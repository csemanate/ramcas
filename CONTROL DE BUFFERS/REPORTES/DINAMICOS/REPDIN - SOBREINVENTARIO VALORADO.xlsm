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hidePivotFieldList="1" defaultThemeVersion="124226"/>
  <bookViews>
    <workbookView xWindow="240" yWindow="105" windowWidth="15600" windowHeight="10740"/>
  </bookViews>
  <sheets>
    <sheet name="TD_EXCESO_BUFFERS" sheetId="5" r:id="rId1"/>
    <sheet name="EXCESO_BUFFERS" sheetId="1" r:id="rId2"/>
    <sheet name="ITEMS_INACTIVOS" sheetId="6" r:id="rId3"/>
  </sheets>
  <definedNames>
    <definedName name="Consulta_desde_DatosConsolidados" localSheetId="1" hidden="1">EXCESO_BUFFERS!$A$1:$K$287</definedName>
    <definedName name="Consulta_desde_Repdin___Items" localSheetId="2" hidden="1">ITEMS_INACTIVOS!$A$1:$G$3488</definedName>
  </definedNames>
  <calcPr calcId="125725"/>
  <pivotCaches>
    <pivotCache cacheId="175" r:id="rId4"/>
    <pivotCache cacheId="182" r:id="rId5"/>
  </pivotCaches>
</workbook>
</file>

<file path=xl/calcChain.xml><?xml version="1.0" encoding="utf-8"?>
<calcChain xmlns="http://schemas.openxmlformats.org/spreadsheetml/2006/main">
  <c r="L2" i="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H2" i="6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1515"/>
  <c r="H1516"/>
  <c r="H1517"/>
  <c r="H1518"/>
  <c r="H1519"/>
  <c r="H1520"/>
  <c r="H1521"/>
  <c r="H1522"/>
  <c r="H1523"/>
  <c r="H1524"/>
  <c r="H1525"/>
  <c r="H1526"/>
  <c r="H1527"/>
  <c r="H1528"/>
  <c r="H1529"/>
  <c r="H1530"/>
  <c r="H1531"/>
  <c r="H1532"/>
  <c r="H1533"/>
  <c r="H1534"/>
  <c r="H1535"/>
  <c r="H1536"/>
  <c r="H1537"/>
  <c r="H1538"/>
  <c r="H1539"/>
  <c r="H1540"/>
  <c r="H1541"/>
  <c r="H1542"/>
  <c r="H1543"/>
  <c r="H1544"/>
  <c r="H1545"/>
  <c r="H1546"/>
  <c r="H1547"/>
  <c r="H1548"/>
  <c r="H1549"/>
  <c r="H1550"/>
  <c r="H1551"/>
  <c r="H1552"/>
  <c r="H1553"/>
  <c r="H1554"/>
  <c r="H1555"/>
  <c r="H1556"/>
  <c r="H1557"/>
  <c r="H1558"/>
  <c r="H1559"/>
  <c r="H1560"/>
  <c r="H1561"/>
  <c r="H1562"/>
  <c r="H1563"/>
  <c r="H1564"/>
  <c r="H1565"/>
  <c r="H1566"/>
  <c r="H1567"/>
  <c r="H1568"/>
  <c r="H1569"/>
  <c r="H1570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</calcChain>
</file>

<file path=xl/connections.xml><?xml version="1.0" encoding="utf-8"?>
<connections xmlns="http://schemas.openxmlformats.org/spreadsheetml/2006/main">
  <connection id="1" name="Consulta desde DatosConsolidados" type="1" refreshedVersion="3" background="1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Empresa, `CONSOLIDADO$`.Bodega, `CONSOLIDADO$`.Codigo, `CONSOLIDADO$`.Descripcion, `CONSOLIDADO$`.Grupo, `CONSOLIDADO$`.Linea, `CONSOLIDADO$`.CTV, `CONSOLIDADO$`.PV, `CONSOLIDADO$`.`Buff Act`, `CONSOLIDADO$`.`Inv Fís Act`, (`CONSOLIDADO$`.`Inv Fís Act`-`CONSOLIDADO$`.`Buff Act`) AS [Exceso Unid]_x000d__x000a_FROM `CONSOLIDADO$` `CONSOLIDADO$`_x000d__x000a_WHERE (`CONSOLIDADO$`.Bodega&lt;&gt;'AGROTACENTRALPROPIA'''' OR &lt;&gt;''''AGROINSUMOSCENTRALPROPIA') AND (`CONSOLIDADO$`.Color='L')_x000d__x000a_ORDER BY  `CONSOLIDADO$`.Codigo"/>
  </connection>
  <connection id="2" name="Consulta desde Repdin - Items" type="1" refreshedVersion="3" saveData="1">
    <dbPr connection="DBQ=C:\RAM CAS\MEJORA CONTINUA\CONTROL DE BUFFERS\REPORTES\DINAMICOS\REPDIN - ITEMS.xlsm;DefaultDir=C:\RAM CAS\MEJORA CONTINUA\CONTROL DE BUFFERS\REPORTES\DINAMICOS;Driver={Microsoft Excel Driver (*.xls, *.xlsx, *.xlsm, *.xlsb)};DriverId=1046;FIL=excel 12.0;MaxBufferSize=2048;MaxScanRows=8;PageTimeout=5;ReadOnly=1;SafeTransactions=0;Threads=3;UID=admin;UserCommitSync=Yes;" command="SELECT `ITEMS_CON_EXISTENCIA$`.EMPRESA, `ITEMS_CON_EXISTENCIA$`.CODIGO, `ITEMS_CON_EXISTENCIA$`.DESCRIPCION, `ITEMS_CON_EXISTENCIA$`.GRUPO, `ITEMS_CON_EXISTENCIA$`.LINEA, `ITEMS_CON_EXISTENCIA$`.COSTO, `ITEMS_CON_EXISTENCIA$`.EXISTENCIA, `ITEMS_CON_EXISTENCIA$`.`COSTO TOTAL`_x000d__x000a_FROM `ITEMS_CON_EXISTENCIA$` `ITEMS_CON_EXISTENCIA$`_x000d__x000a_WHERE (`ITEMS_CON_EXISTENCIA$`.ACTIVO=0.0)_x000d__x000a_ORDER BY `ITEMS_CON_EXISTENCIA$`.CODIGO"/>
  </connection>
</connections>
</file>

<file path=xl/sharedStrings.xml><?xml version="1.0" encoding="utf-8"?>
<sst xmlns="http://schemas.openxmlformats.org/spreadsheetml/2006/main" count="30949" uniqueCount="6125">
  <si>
    <t>Empresa</t>
  </si>
  <si>
    <t>Bodega</t>
  </si>
  <si>
    <t>Codigo</t>
  </si>
  <si>
    <t>Descripcion</t>
  </si>
  <si>
    <t>Grupo</t>
  </si>
  <si>
    <t>Linea</t>
  </si>
  <si>
    <t>CTV</t>
  </si>
  <si>
    <t>PV</t>
  </si>
  <si>
    <t>Buff Act</t>
  </si>
  <si>
    <t>Inv Fís Act</t>
  </si>
  <si>
    <t>Exceso Unid</t>
  </si>
  <si>
    <t>Exceso Valorado</t>
  </si>
  <si>
    <t>Valores</t>
  </si>
  <si>
    <t xml:space="preserve">Exceso Unid </t>
  </si>
  <si>
    <t xml:space="preserve">Exceso Valorado </t>
  </si>
  <si>
    <t>(Todas)</t>
  </si>
  <si>
    <t xml:space="preserve">CTV </t>
  </si>
  <si>
    <t>CODIGO</t>
  </si>
  <si>
    <t>DESCRIPCION</t>
  </si>
  <si>
    <t>COSTO</t>
  </si>
  <si>
    <t>EXISTENCIA</t>
  </si>
  <si>
    <t>COSTO TOTAL</t>
  </si>
  <si>
    <t>GRUPO</t>
  </si>
  <si>
    <t>LINEA</t>
  </si>
  <si>
    <t>EMPRESA</t>
  </si>
  <si>
    <t>ITEMS INACTIVOS CON INVENTARIO</t>
  </si>
  <si>
    <t>EXCEDENTES DE BUFFERS</t>
  </si>
  <si>
    <t xml:space="preserve">EXISTENCIA </t>
  </si>
  <si>
    <t xml:space="preserve">COSTO TOTAL </t>
  </si>
  <si>
    <t>01-00102</t>
  </si>
  <si>
    <t>LACURA X LT</t>
  </si>
  <si>
    <t>AA (No Aplica)</t>
  </si>
  <si>
    <t>05010102436</t>
  </si>
  <si>
    <t>TORNILLO COM SUJ. RUED SUBS 1K27766</t>
  </si>
  <si>
    <t>0501011545</t>
  </si>
  <si>
    <t>TORNILLO SUJ. CUERP DISCO AFL 1K06857</t>
  </si>
  <si>
    <t>0503010014 AFL</t>
  </si>
  <si>
    <t>TUERCA 3/4UNC 1K03097SUJE CUER  DSC AFL</t>
  </si>
  <si>
    <t>0503010023</t>
  </si>
  <si>
    <t>ARANDELA P GRAPA P AF (1K01584)</t>
  </si>
  <si>
    <t>0503010335</t>
  </si>
  <si>
    <t>TUERCA 3/4 UNF RUEDA GUIA 1K03290</t>
  </si>
  <si>
    <t>0624010005</t>
  </si>
  <si>
    <t>PUNTA UÑA SUBS. 16"X3"X1 (1656056)</t>
  </si>
  <si>
    <t>073001105872</t>
  </si>
  <si>
    <t>DISCO FRENO SAME 603 CRONO</t>
  </si>
  <si>
    <t>0T-012</t>
  </si>
  <si>
    <t>MAQUINA DE SOLDAR</t>
  </si>
  <si>
    <t>0T-13</t>
  </si>
  <si>
    <t>TALADRO PEDESTAL MEDIANO</t>
  </si>
  <si>
    <t>0T-14</t>
  </si>
  <si>
    <t>MOLADORA GRANDE</t>
  </si>
  <si>
    <t xml:space="preserve">0T-16 </t>
  </si>
  <si>
    <t xml:space="preserve">TALADRO DE MANO   </t>
  </si>
  <si>
    <t>34012301</t>
  </si>
  <si>
    <t>KIT 123 ( BOMBA M)</t>
  </si>
  <si>
    <t>34012701</t>
  </si>
  <si>
    <t>KIT 127 ( BOMBA M )</t>
  </si>
  <si>
    <t>34013200</t>
  </si>
  <si>
    <t>KIT 132 ( CLEANMATIC )</t>
  </si>
  <si>
    <t>34013401</t>
  </si>
  <si>
    <t>KIT 134 ( CLEANMATIC )</t>
  </si>
  <si>
    <t>34013701</t>
  </si>
  <si>
    <t>KIT 137 ( BOMBA M )</t>
  </si>
  <si>
    <t>3982-000-1640</t>
  </si>
  <si>
    <t>38920001640 DIENTE DE CADENA D.S.C. 820</t>
  </si>
  <si>
    <t>44040109</t>
  </si>
  <si>
    <t>PISTONE D 18X37.5</t>
  </si>
  <si>
    <t>51040009</t>
  </si>
  <si>
    <t>PISTONE D 15X25</t>
  </si>
  <si>
    <t>75218022</t>
  </si>
  <si>
    <t>COPPERCHIO VALVOLE T33</t>
  </si>
  <si>
    <t>83907851BR</t>
  </si>
  <si>
    <t>TAPA TANQUE HIDRAULICO TL-90</t>
  </si>
  <si>
    <t>89218022</t>
  </si>
  <si>
    <t>COPPERCHIO VALVOLE T44</t>
  </si>
  <si>
    <t>90154200</t>
  </si>
  <si>
    <t>KIT 147 ( CLEANMATIC )</t>
  </si>
  <si>
    <t>90156500</t>
  </si>
  <si>
    <t>KIT 83 ( BOX JET )</t>
  </si>
  <si>
    <t>96700800</t>
  </si>
  <si>
    <t>ROSETTA D 8X13X1</t>
  </si>
  <si>
    <t>96707000</t>
  </si>
  <si>
    <t>ROSETTA D 9X23X 0.5</t>
  </si>
  <si>
    <t>A506000260</t>
  </si>
  <si>
    <t>REPUESTOS DESMALEZADORA</t>
  </si>
  <si>
    <t>AGROFORESTAL</t>
  </si>
  <si>
    <t>BR-001</t>
  </si>
  <si>
    <t>DESMALEZADORA 025 BRISTOL</t>
  </si>
  <si>
    <t>DESMALEZADORA</t>
  </si>
  <si>
    <t>BR-002</t>
  </si>
  <si>
    <t>DESMALEZADORA 08 BRISTOL</t>
  </si>
  <si>
    <t>BR-004</t>
  </si>
  <si>
    <t>RABETA 051/076 BRISTOL</t>
  </si>
  <si>
    <t>BR-007</t>
  </si>
  <si>
    <t>PERFORADOR SOLO PS10 051/076</t>
  </si>
  <si>
    <t>BR-010</t>
  </si>
  <si>
    <t>FUMIGADOR 08 BRISTOL</t>
  </si>
  <si>
    <t>REPUESTO BOMBA DE FUMIGACION</t>
  </si>
  <si>
    <t>C-0010</t>
  </si>
  <si>
    <t>CAJA 500 ML</t>
  </si>
  <si>
    <t xml:space="preserve">MATERIA PRIMA </t>
  </si>
  <si>
    <t>PRODUCCION</t>
  </si>
  <si>
    <t>C-007</t>
  </si>
  <si>
    <t>CAJA 100 ML</t>
  </si>
  <si>
    <t>C-008</t>
  </si>
  <si>
    <t>CAJA LITRO</t>
  </si>
  <si>
    <t>C-009</t>
  </si>
  <si>
    <t>CAJA 250 ML</t>
  </si>
  <si>
    <t>CHEV-LUVDMAX</t>
  </si>
  <si>
    <t>CAMIONETA CHEVROLET LUV D-MAX 2.5L DIESEL TM 4X2</t>
  </si>
  <si>
    <t>LUV DMAX CAMIONETA</t>
  </si>
  <si>
    <t>ACTIVO FIJO</t>
  </si>
  <si>
    <t>CO-0021</t>
  </si>
  <si>
    <t>STICKER COMBO SINOPRID XL</t>
  </si>
  <si>
    <t>MATERIA PRIMA</t>
  </si>
  <si>
    <t>CO-0031</t>
  </si>
  <si>
    <t>STICKER COMBO SCOBA XL</t>
  </si>
  <si>
    <t>CO-01311</t>
  </si>
  <si>
    <t>STICKER COMBO COGOLLERO</t>
  </si>
  <si>
    <t>COR-006</t>
  </si>
  <si>
    <t>MOTOR 1HP WEG 1800RPM 110/220V</t>
  </si>
  <si>
    <t xml:space="preserve">CR-008   </t>
  </si>
  <si>
    <t xml:space="preserve">MOTOR 10HP EBERLE 1800RPM 220/440V   </t>
  </si>
  <si>
    <t xml:space="preserve">MOTORES </t>
  </si>
  <si>
    <t>AGROPECUARIA</t>
  </si>
  <si>
    <t>CR-0100</t>
  </si>
  <si>
    <t>ENGRANAJE 13 DIENTES BATIDOR VFC 5000</t>
  </si>
  <si>
    <t xml:space="preserve">REPUESTOS MOLINOS PICADORES </t>
  </si>
  <si>
    <t>CR-01001</t>
  </si>
  <si>
    <t>ENGRANAJE 14 DIENTES FLANJE VFC 5000</t>
  </si>
  <si>
    <t>REPUESTOS COSECHADORAS</t>
  </si>
  <si>
    <t>CR-02.053.02</t>
  </si>
  <si>
    <t>BANDA 5B-152 COSECHADORA 930C</t>
  </si>
  <si>
    <t>CR-02.100.07</t>
  </si>
  <si>
    <t>CAJA DE TRANSMICION DAC 600</t>
  </si>
  <si>
    <t xml:space="preserve">REPUESTOS ESPARCIDORAS </t>
  </si>
  <si>
    <t>CR-020</t>
  </si>
  <si>
    <t>JUEGO TORNILLOS CUCHILLAS DP4</t>
  </si>
  <si>
    <t>CR-023</t>
  </si>
  <si>
    <t>RESORTE DEL BASCULANTE PARA EC 4800</t>
  </si>
  <si>
    <t xml:space="preserve">REPUESTOS ENSILADORAS </t>
  </si>
  <si>
    <t>CR-025</t>
  </si>
  <si>
    <t>CORONA DE BRONCE SINFIN</t>
  </si>
  <si>
    <t>CR-028</t>
  </si>
  <si>
    <t>DESGRANADORA 360 (KG/HORA) OSORIO</t>
  </si>
  <si>
    <t>DESGRANADORAS</t>
  </si>
  <si>
    <t>CR-03.090.05</t>
  </si>
  <si>
    <t>CILINDRO ALIMENTADOR LISO EC-4800</t>
  </si>
  <si>
    <t>CR-03.154.07</t>
  </si>
  <si>
    <t>CILINDRO ALIMENTADOR LISO EC-4000</t>
  </si>
  <si>
    <t xml:space="preserve">CR-041  </t>
  </si>
  <si>
    <t xml:space="preserve">GANCHO GTC1000   </t>
  </si>
  <si>
    <t>ENSILADORAS</t>
  </si>
  <si>
    <t>CR-056</t>
  </si>
  <si>
    <t>ZARANDA DP4 (0,6MM)</t>
  </si>
  <si>
    <t>CR-057</t>
  </si>
  <si>
    <t>ZARANDA DP4 (0,8MM)</t>
  </si>
  <si>
    <t>CR-058</t>
  </si>
  <si>
    <t>ZARANDA TCM4 (0,6MM)</t>
  </si>
  <si>
    <t xml:space="preserve">REPUESTOS TRITURADORES </t>
  </si>
  <si>
    <t>CR-059</t>
  </si>
  <si>
    <t>ZARANDA TCM4 (0,8MM)</t>
  </si>
  <si>
    <t>CR-060</t>
  </si>
  <si>
    <t>ZARANDA DPF JR (0,6MM)</t>
  </si>
  <si>
    <t>CR-061</t>
  </si>
  <si>
    <t>ZARANDA DPF JR (0,8MM)</t>
  </si>
  <si>
    <t>CR-062</t>
  </si>
  <si>
    <t>ZARANDA DP1 (0,6MM)</t>
  </si>
  <si>
    <t>CR-063</t>
  </si>
  <si>
    <t>ZARANDA DP1 (0,8MM)</t>
  </si>
  <si>
    <t>CR-064</t>
  </si>
  <si>
    <t>ZARANDA DP2 (0,6MM)</t>
  </si>
  <si>
    <t xml:space="preserve">CR-082 </t>
  </si>
  <si>
    <t xml:space="preserve">MOTOR 1.5 HP KOLBACH 3600 RPM </t>
  </si>
  <si>
    <t>CR-083</t>
  </si>
  <si>
    <t>MOTOR 1.5 HP WEG 1800 RPM</t>
  </si>
  <si>
    <t>CR-093</t>
  </si>
  <si>
    <t>CONTRA CUCHILLA CILINDRO RECOGEDOR P 930</t>
  </si>
  <si>
    <t>CR-096</t>
  </si>
  <si>
    <t>ESTIRADOR CADENA CILINDRO DENTADO 930 C</t>
  </si>
  <si>
    <t>CR-097</t>
  </si>
  <si>
    <t>ESTIRADOR CADENA CILINDRO MOVIL 930 C</t>
  </si>
  <si>
    <t>CR-098</t>
  </si>
  <si>
    <t>FLANJE ENTALLADO COSECHADORA 930 C</t>
  </si>
  <si>
    <t xml:space="preserve">CR-104       </t>
  </si>
  <si>
    <t xml:space="preserve">TOLVA DE SALIDA PARA EC 4000/4800  </t>
  </si>
  <si>
    <t xml:space="preserve">ACCESORIOS PICADORA </t>
  </si>
  <si>
    <t>CR-115</t>
  </si>
  <si>
    <t>MOTOR GASO 3.5 HP EJE RECTO</t>
  </si>
  <si>
    <t>CR-122</t>
  </si>
  <si>
    <t>71.118.10 SINFIN PARA EC MINI</t>
  </si>
  <si>
    <t>CR-158</t>
  </si>
  <si>
    <t>JUEGO PISTON STD</t>
  </si>
  <si>
    <t>CR-20.170.07</t>
  </si>
  <si>
    <t>CILINDRO ALIMENTADOR DENTADO EC-4800</t>
  </si>
  <si>
    <t>CR-20.171.07</t>
  </si>
  <si>
    <t>CILINDRO ALIMENTADOR DENTADO EC-4000</t>
  </si>
  <si>
    <t>CR-20.715.07</t>
  </si>
  <si>
    <t>TOLVA NEGRA PARA DPF-JR</t>
  </si>
  <si>
    <t xml:space="preserve">ACCESORIOS MOLINOS PICADORES </t>
  </si>
  <si>
    <t>CR-DP2</t>
  </si>
  <si>
    <t>MOLINO PICADOR DP2</t>
  </si>
  <si>
    <t xml:space="preserve">MOLINOS PICADORES </t>
  </si>
  <si>
    <t>CRE-032</t>
  </si>
  <si>
    <t xml:space="preserve">TOLVA DE ENTRADA EC 4800   </t>
  </si>
  <si>
    <t xml:space="preserve">CRE-033    </t>
  </si>
  <si>
    <t>TOLVA DE ENTRADA DPF MINI</t>
  </si>
  <si>
    <t xml:space="preserve">ACCESORIOS ENSILADORAS </t>
  </si>
  <si>
    <t>CRE-034</t>
  </si>
  <si>
    <t>TOLVA DE ENTRADA EC 4000</t>
  </si>
  <si>
    <t>CRE-128</t>
  </si>
  <si>
    <t>RODILLO DEL DESCASCARADOR</t>
  </si>
  <si>
    <t>CRE-129</t>
  </si>
  <si>
    <t>ZARANDA DEL BRUNIDOR</t>
  </si>
  <si>
    <t>CRE-857</t>
  </si>
  <si>
    <t>CUCHILLAS EC MINI (UNIDADES)</t>
  </si>
  <si>
    <t>EC-10000060730</t>
  </si>
  <si>
    <t>PISTON KIT CS1201</t>
  </si>
  <si>
    <t xml:space="preserve">REPUESTOS MOTOSIERRAS </t>
  </si>
  <si>
    <t>EC-10001105330</t>
  </si>
  <si>
    <t>EC-10010006210</t>
  </si>
  <si>
    <t>CIGUEÑAL DM6110</t>
  </si>
  <si>
    <t>REPUESTOS NEBULIZADORA. PULVERIZADORA Y ESPOLVEADORA</t>
  </si>
  <si>
    <t>EC-10010055931</t>
  </si>
  <si>
    <t>10010055930 CIGUEÑAL SHP-800</t>
  </si>
  <si>
    <t>EC-10503</t>
  </si>
  <si>
    <t>ROLLO NYLON SHINDAIWA 3LB 0.105"</t>
  </si>
  <si>
    <t>ACCESORIOS DESMALEZADORA</t>
  </si>
  <si>
    <t>EC-10505</t>
  </si>
  <si>
    <t>ROLLO NYLON SHINDAIWA 5LB 0.105"</t>
  </si>
  <si>
    <t>EC-12313719830</t>
  </si>
  <si>
    <t>AGUJA CARBURADOR DM6110 CS420 CS600 PPT2400 SRM270 CS3500</t>
  </si>
  <si>
    <t>EC-12534408560</t>
  </si>
  <si>
    <t>TORNILLO RELANTIN 4300</t>
  </si>
  <si>
    <t>EC-13000739930</t>
  </si>
  <si>
    <t>AISLADOR SC3500</t>
  </si>
  <si>
    <t>EC-13010</t>
  </si>
  <si>
    <t>HILO NYLON 0.130  13010"</t>
  </si>
  <si>
    <t>EC-17500539133</t>
  </si>
  <si>
    <t>TAMBOR EMBRAGUE CS3000 SH</t>
  </si>
  <si>
    <t>EC-17500905131</t>
  </si>
  <si>
    <t>ZAPATA EMBRAGUE HC-150</t>
  </si>
  <si>
    <t xml:space="preserve">REPUESTOS CORTASETOS </t>
  </si>
  <si>
    <t>EC-17720206210</t>
  </si>
  <si>
    <t>POLEA COMPLETA DM6110</t>
  </si>
  <si>
    <t>EC-17721510632</t>
  </si>
  <si>
    <t>TAMBOR CUERDA CS-1201</t>
  </si>
  <si>
    <t>EC-17722601110</t>
  </si>
  <si>
    <t>CUERDA SRM3605</t>
  </si>
  <si>
    <t>EC-17722811120</t>
  </si>
  <si>
    <t>PERILLA DEL ARRANCADOR HC-150</t>
  </si>
  <si>
    <t>TAMBOR EMBRAGUE C230-P230</t>
  </si>
  <si>
    <t>EC-22412713710</t>
  </si>
  <si>
    <t>4050771 EMPAQUE DIFUSOR ES726</t>
  </si>
  <si>
    <t>EC-25001102011</t>
  </si>
  <si>
    <t>EMPAQUE DE TAPA TANQUE DM6110</t>
  </si>
  <si>
    <t>TANQUE 23L DM6110</t>
  </si>
  <si>
    <t>EC-313105055</t>
  </si>
  <si>
    <t>ROLLO NYLON ECHO 3LB 0.105"</t>
  </si>
  <si>
    <t>EC-315105055</t>
  </si>
  <si>
    <t>EC-43021113432</t>
  </si>
  <si>
    <t>BARRA DE 3/8 40RC50 40CM/16"</t>
  </si>
  <si>
    <t>ACCESORIOS MOTOSIERRAS</t>
  </si>
  <si>
    <t>EC-43301119830</t>
  </si>
  <si>
    <t>ESPARRAGO BARRA CS680</t>
  </si>
  <si>
    <t>EC-43301903933</t>
  </si>
  <si>
    <t>TUERCA BARRA CS3500</t>
  </si>
  <si>
    <t>EC-43710038832</t>
  </si>
  <si>
    <t>EC-450093990</t>
  </si>
  <si>
    <t>CONECTOR GIRATORIO</t>
  </si>
  <si>
    <t>EC-488/EMC</t>
  </si>
  <si>
    <t>MOTOSIERRA 488</t>
  </si>
  <si>
    <t>EC-569006</t>
  </si>
  <si>
    <t xml:space="preserve">UNIDAD CIERRE SP40BPS			</t>
  </si>
  <si>
    <t>EC-569007</t>
  </si>
  <si>
    <t>MANGUERA SP40BPS</t>
  </si>
  <si>
    <t>EC-569020</t>
  </si>
  <si>
    <t>ANILLO KIT SP40BPS</t>
  </si>
  <si>
    <t>EC-569023</t>
  </si>
  <si>
    <t>VALVULA KIT CARTUCHO SP40BPS</t>
  </si>
  <si>
    <t>EC-569024</t>
  </si>
  <si>
    <t>PISTON CILINDRO KIT SP40BPS</t>
  </si>
  <si>
    <t>BOMBA DE FUMIGACION</t>
  </si>
  <si>
    <t>EC-569028</t>
  </si>
  <si>
    <t>CAMARA DE PRESION SP40BPS</t>
  </si>
  <si>
    <t>EC-61030056930</t>
  </si>
  <si>
    <t>PIÑON KIT CAJA SRM 3605</t>
  </si>
  <si>
    <t>EC-61031452130</t>
  </si>
  <si>
    <t>EC-6450009</t>
  </si>
  <si>
    <t>TAZA PARA MEDIR ACEITE</t>
  </si>
  <si>
    <t>EC-6450107</t>
  </si>
  <si>
    <t>ACEITE ECHO POWER BLEND 2T</t>
  </si>
  <si>
    <t>EC-65001</t>
  </si>
  <si>
    <t>ACC. DESMALEZADORA M-230 65001</t>
  </si>
  <si>
    <t>EC-65002</t>
  </si>
  <si>
    <t>ACC. PODARRAMAS M-230 65002</t>
  </si>
  <si>
    <t>EC-65003</t>
  </si>
  <si>
    <t>ACC. CORTASETOS ARTICULADOS M-230 65003</t>
  </si>
  <si>
    <t>EC-70102005510</t>
  </si>
  <si>
    <t>CONECTOR VARILLA DM6110</t>
  </si>
  <si>
    <t>EC-70602009970</t>
  </si>
  <si>
    <t>EC-70602032010</t>
  </si>
  <si>
    <t>RESORTE VALVULA SHP-800</t>
  </si>
  <si>
    <t>EC-70602033710</t>
  </si>
  <si>
    <t>EC-70602066011</t>
  </si>
  <si>
    <t>BOLA DE ACERO BOMBA SHP800</t>
  </si>
  <si>
    <t>EC-70602067820</t>
  </si>
  <si>
    <t>EC-70602068010</t>
  </si>
  <si>
    <t>RESORTE VALVULA PRESION SHP800</t>
  </si>
  <si>
    <t>EC-70615001951</t>
  </si>
  <si>
    <t>VISOR ACEITE SHP800</t>
  </si>
  <si>
    <t>EC-70615086060</t>
  </si>
  <si>
    <t>RETENEDOR RESORTE SHP800</t>
  </si>
  <si>
    <t>EC-70617027722</t>
  </si>
  <si>
    <t>VARILLA PULVERIZADORA SHP800</t>
  </si>
  <si>
    <t>EC-70617055030</t>
  </si>
  <si>
    <t>HERRAMIENTA BOMBA SHP800</t>
  </si>
  <si>
    <t>EC-72LPX60CQ</t>
  </si>
  <si>
    <t>CADENA 16"</t>
  </si>
  <si>
    <t>EC-73LGX72X</t>
  </si>
  <si>
    <t xml:space="preserve"> 43101230831CADENA 50CM 20" CS600</t>
  </si>
  <si>
    <t>EC-73LGX84X</t>
  </si>
  <si>
    <t>73DP-84X CADENA60CM 24", 3/8, 058</t>
  </si>
  <si>
    <t>EC-80221</t>
  </si>
  <si>
    <t>TANQUE COMBUS C270</t>
  </si>
  <si>
    <t>EC-80253</t>
  </si>
  <si>
    <t>KIT REPARA BOMBA ES726</t>
  </si>
  <si>
    <t>EC-80256</t>
  </si>
  <si>
    <t>AGUJA KIT KWIK ES726</t>
  </si>
  <si>
    <t>EC-80677</t>
  </si>
  <si>
    <t>80677 ADAPTADOR UN10 C270,BP35</t>
  </si>
  <si>
    <t>EC-80678</t>
  </si>
  <si>
    <t>EC-82002</t>
  </si>
  <si>
    <t>82002 COMBNACION CASCO/VISOR Y OREJERAS</t>
  </si>
  <si>
    <t>EC-82003</t>
  </si>
  <si>
    <t>82003 COMBINACION VISOR/OREJERAS</t>
  </si>
  <si>
    <t>EC-82067A</t>
  </si>
  <si>
    <t>EC-8890150</t>
  </si>
  <si>
    <t>INTERRUPTOR ES726</t>
  </si>
  <si>
    <t>EC-8890802</t>
  </si>
  <si>
    <t>AMORTIGUADOR ES726</t>
  </si>
  <si>
    <t>EC-89852017130</t>
  </si>
  <si>
    <t>MEDIDA DE COMBUSTIBLE</t>
  </si>
  <si>
    <t>EC-90024205025</t>
  </si>
  <si>
    <t>90024205025 TORNILLO 5X25</t>
  </si>
  <si>
    <t>EC-91046</t>
  </si>
  <si>
    <t>MALETIN HERRAMIENTA ECHO</t>
  </si>
  <si>
    <t>EC-99944100471</t>
  </si>
  <si>
    <t>KIT REPARACION, MANGUITO, VALVULAS SP40BPS</t>
  </si>
  <si>
    <t>EC-99944100473</t>
  </si>
  <si>
    <t>569002 TAPA Y FILTRO DE TANQUE QUIMICO SP40BPS</t>
  </si>
  <si>
    <t>EC-99944100475</t>
  </si>
  <si>
    <t>569004 PISTON KIT SP40BPS</t>
  </si>
  <si>
    <t>EC-99944100477</t>
  </si>
  <si>
    <t xml:space="preserve">VALVULA KIT REPARACION CIERRE SP40BPS			</t>
  </si>
  <si>
    <t>EC-99944100480</t>
  </si>
  <si>
    <t>569008 LANZA DE FUMIGACION SP40BPS</t>
  </si>
  <si>
    <t>EC-99944100482</t>
  </si>
  <si>
    <t>BOQUILLA DE LATON SP40BPS</t>
  </si>
  <si>
    <t>EC-99944100483</t>
  </si>
  <si>
    <t xml:space="preserve">BOQUILLA POIETIL SP40BPS			</t>
  </si>
  <si>
    <t>EC-99944100484</t>
  </si>
  <si>
    <t>569012 BOQUILLA TIPO ABANICO SP40BPS</t>
  </si>
  <si>
    <t>EC-99944100485</t>
  </si>
  <si>
    <t>569013 BOQUILLAS KIT</t>
  </si>
  <si>
    <t>EC-99944100486</t>
  </si>
  <si>
    <t>569014 O-RING KIT SP40BPS</t>
  </si>
  <si>
    <t>EC-99944200904</t>
  </si>
  <si>
    <t>EC-99944900040</t>
  </si>
  <si>
    <t>ACCESORIOS TALADRO MOTORIZADO</t>
  </si>
  <si>
    <t>EC-99946400023</t>
  </si>
  <si>
    <t>EXTENSION 122CM-4</t>
  </si>
  <si>
    <t xml:space="preserve">ACCESORIOS PODADORAS DE ALTURA </t>
  </si>
  <si>
    <t>EC-A011000720</t>
  </si>
  <si>
    <t>EC-A011000830</t>
  </si>
  <si>
    <t>70210-42001 CIGUEÑAL COMPLETO B450</t>
  </si>
  <si>
    <t>EC-A011000860</t>
  </si>
  <si>
    <t>20010-42002 CIGUENAL COMPLETO C350-BP35</t>
  </si>
  <si>
    <t>EC-A011001060</t>
  </si>
  <si>
    <t>22169-42000 CIGUENAL 757</t>
  </si>
  <si>
    <t>EC-A021000740</t>
  </si>
  <si>
    <t>CARBURADOR HC-150</t>
  </si>
  <si>
    <t>EC-A021002470</t>
  </si>
  <si>
    <t>CARBURADOR COMPLETO C350</t>
  </si>
  <si>
    <t>EC-A021003110</t>
  </si>
  <si>
    <t>22175-81000 CARBURADOR COMP 577-577P</t>
  </si>
  <si>
    <t>EC-A023000160</t>
  </si>
  <si>
    <t>CUBIERTA FILTRO DE AIRE B530</t>
  </si>
  <si>
    <t>EC-A030000250</t>
  </si>
  <si>
    <t>70210-15102 SILENCIADOR COMP. B450</t>
  </si>
  <si>
    <t>EC-A030000610</t>
  </si>
  <si>
    <t>22169-15113 SILENCIADOR 757</t>
  </si>
  <si>
    <t>EC-A033000330</t>
  </si>
  <si>
    <t>EC-A051001861</t>
  </si>
  <si>
    <t>72933-75900 ARRANCADOR SIN ETIQUETA C230</t>
  </si>
  <si>
    <t>EC-A052000011</t>
  </si>
  <si>
    <t>EC-A052000160</t>
  </si>
  <si>
    <t>POLEA CON TRINQUETE ARRANCADOR HC-150</t>
  </si>
  <si>
    <t>EC-A055000140</t>
  </si>
  <si>
    <t>EC-A056000010</t>
  </si>
  <si>
    <t>EMBRAGUE CS3500</t>
  </si>
  <si>
    <t>EC-A056000520</t>
  </si>
  <si>
    <t>EC-A056000650</t>
  </si>
  <si>
    <t>EMBRAGUE COMPLETO 757</t>
  </si>
  <si>
    <t>EC-A100000680</t>
  </si>
  <si>
    <t>EC-A101000090</t>
  </si>
  <si>
    <t>EC-A130000980</t>
  </si>
  <si>
    <t>EC-A130001070</t>
  </si>
  <si>
    <t>CILINDRO EB500</t>
  </si>
  <si>
    <t xml:space="preserve">REPUESTOS SOPLADORAS </t>
  </si>
  <si>
    <t>EC-A130001660</t>
  </si>
  <si>
    <t>CILINDRO 577</t>
  </si>
  <si>
    <t>CUBIERTA CILINDRO B530</t>
  </si>
  <si>
    <t>EC-A200000560</t>
  </si>
  <si>
    <t>AISLADOR C270</t>
  </si>
  <si>
    <t>EC-A225000500</t>
  </si>
  <si>
    <t>20010-81711 PORTA FILTRO B45-BP35</t>
  </si>
  <si>
    <t>EC-A226000020</t>
  </si>
  <si>
    <t>FILTRO AIRE SRM4300</t>
  </si>
  <si>
    <t>EC-A411000130</t>
  </si>
  <si>
    <t>EC-A411000550</t>
  </si>
  <si>
    <t>BOBINA EB500</t>
  </si>
  <si>
    <t>EC-A504000110</t>
  </si>
  <si>
    <t>EC-A504000190</t>
  </si>
  <si>
    <t>RESORTE DE ARRANCADOR Y CAJA 577,757</t>
  </si>
  <si>
    <t>EC-A520000080</t>
  </si>
  <si>
    <t>70064-75310 POLEA DE ARRANCADOR C230</t>
  </si>
  <si>
    <t>EC-A556000480</t>
  </si>
  <si>
    <t>TAMBOR EMBRAGUE CS420</t>
  </si>
  <si>
    <t>EC-A575000380</t>
  </si>
  <si>
    <t>22020-11110 UNION B450-B45</t>
  </si>
  <si>
    <t>EC-C020000010</t>
  </si>
  <si>
    <t>63880-62391 TAPA DE ACEITE COMP P230</t>
  </si>
  <si>
    <t>REPUESTOS MAQ MULTIUSOS</t>
  </si>
  <si>
    <t>EC-C022000120</t>
  </si>
  <si>
    <t xml:space="preserve">REPUESTOS PODADORAS DE ALTURA </t>
  </si>
  <si>
    <t>EC-C051000480</t>
  </si>
  <si>
    <t>CAJA DE ENGRANAJE C270</t>
  </si>
  <si>
    <t>EC-C051000610</t>
  </si>
  <si>
    <t>EC-C05100600</t>
  </si>
  <si>
    <t>EC-C057000070</t>
  </si>
  <si>
    <t>EJE FLEXIBLE, KIT COMPLETO BP35</t>
  </si>
  <si>
    <t>EC-C270EMC</t>
  </si>
  <si>
    <t>DESMALEZADORA C-270</t>
  </si>
  <si>
    <t>EC-C305000350</t>
  </si>
  <si>
    <t>22155-97610 PLACA GUIA A 577</t>
  </si>
  <si>
    <t>EC-C305000360</t>
  </si>
  <si>
    <t>22155-97620 PLACA GUIA B 577</t>
  </si>
  <si>
    <t>EC-C309000030</t>
  </si>
  <si>
    <t>PIN TENSOR CADENA CS680S</t>
  </si>
  <si>
    <t>EC-C309000110</t>
  </si>
  <si>
    <t>22150-52440 PIN DEL TENSOR DE CADENA 577-488-757</t>
  </si>
  <si>
    <t>EC-C320000350</t>
  </si>
  <si>
    <t>MANGO DE FRENO 577</t>
  </si>
  <si>
    <t>EC-C504000550</t>
  </si>
  <si>
    <t>EJE CENTRAL A P230</t>
  </si>
  <si>
    <t>EC-C504000770</t>
  </si>
  <si>
    <t>22050-12411 EJE CENTRAL BP 35</t>
  </si>
  <si>
    <t>EC-C535000640</t>
  </si>
  <si>
    <t>SOPORTE (A) C270</t>
  </si>
  <si>
    <t>EC-C535000650</t>
  </si>
  <si>
    <t>SOPORTE (B) C270</t>
  </si>
  <si>
    <t>EC-C535000860</t>
  </si>
  <si>
    <t>PROTECTOR PERNO BP35</t>
  </si>
  <si>
    <t>EC-CS 680S</t>
  </si>
  <si>
    <t>MOTOSIERRA CS-680S</t>
  </si>
  <si>
    <t>MOTOSIERRAS</t>
  </si>
  <si>
    <t>EC-CS-3000</t>
  </si>
  <si>
    <t>MOTOSIERRA CS-3000-30</t>
  </si>
  <si>
    <t>EC-CS-680S-50EUSTD</t>
  </si>
  <si>
    <t>MOTOSIERRA CS-680S-50 CON BARRA Y CADENA</t>
  </si>
  <si>
    <t>EC-CS-8002-70EUSTD</t>
  </si>
  <si>
    <t>MOTOSIERRA CS-8002-70 (28") CON BARRA,CA</t>
  </si>
  <si>
    <t>NEBULIZADORA. PULVERIZADORA Y ESPOLVEADORA</t>
  </si>
  <si>
    <t>EC-E025000260</t>
  </si>
  <si>
    <t>ACCESORIOS BOMBA DE FUMIGACION</t>
  </si>
  <si>
    <t>EC-ES-255</t>
  </si>
  <si>
    <t>SOPLADORA ECHO ES-255</t>
  </si>
  <si>
    <t>SOPLADORAS</t>
  </si>
  <si>
    <t>EC-HC-150STD</t>
  </si>
  <si>
    <t xml:space="preserve">CORTASETOS </t>
  </si>
  <si>
    <t>EC-P004001360</t>
  </si>
  <si>
    <t>20011-81550 VALVULA COMBUST B45-B45LA</t>
  </si>
  <si>
    <t>EC-P004001940</t>
  </si>
  <si>
    <t>PALANCA BALANCIN B45LA B45</t>
  </si>
  <si>
    <t>EC-P005000790</t>
  </si>
  <si>
    <t>RESORTE MARIPOSA CARBURADOR SRM4300</t>
  </si>
  <si>
    <t>EC-P021002800</t>
  </si>
  <si>
    <t>EC-P021007772</t>
  </si>
  <si>
    <t>PISTON KIT HC-150</t>
  </si>
  <si>
    <t>EC-P021012780</t>
  </si>
  <si>
    <t>ABRAZAD CODO SRM4605 3605</t>
  </si>
  <si>
    <t>EC-P021012790</t>
  </si>
  <si>
    <t>ABRAZADERA MANUBRIO SRM270</t>
  </si>
  <si>
    <t>EC-P021032390</t>
  </si>
  <si>
    <t>EC-P021032440</t>
  </si>
  <si>
    <t>EC-P021035440</t>
  </si>
  <si>
    <t>EC-P021035720</t>
  </si>
  <si>
    <t>70131-75100 ARRANCADOR COMP B45LA-C350</t>
  </si>
  <si>
    <t>EC-P022002090</t>
  </si>
  <si>
    <t>RESORTE TRINQUETE SRM4300</t>
  </si>
  <si>
    <t>EC-P022006870</t>
  </si>
  <si>
    <t>CUBIERTA EMBRAGUE SRM4300</t>
  </si>
  <si>
    <t>EC-P022006900</t>
  </si>
  <si>
    <t>SEGURO TAMBOR EMBRRAGUE SRM4300</t>
  </si>
  <si>
    <t>EC-P022006940</t>
  </si>
  <si>
    <t>AMORTIGUADOR CAMPANA SRM4300</t>
  </si>
  <si>
    <t>EC-P022006990</t>
  </si>
  <si>
    <t>COLGADOR SRM4300</t>
  </si>
  <si>
    <t>EC-P022007260</t>
  </si>
  <si>
    <t>GATILLO ACELERADOR SRM4300</t>
  </si>
  <si>
    <t>EC-P022007270</t>
  </si>
  <si>
    <t>TRABA ACELERADOR SRM4300</t>
  </si>
  <si>
    <t>EC-P022007320</t>
  </si>
  <si>
    <t>RESORTE MANGO TRABA 4300</t>
  </si>
  <si>
    <t>EC-UN10</t>
  </si>
  <si>
    <t>UN-10 CABEZAL NYLON</t>
  </si>
  <si>
    <t>EC-V043000550</t>
  </si>
  <si>
    <t>62113-83010 CABLE COMPLETO B45-C35LA</t>
  </si>
  <si>
    <t>EC-V100000570</t>
  </si>
  <si>
    <t>22169-12120 EMPAQUE CILINDRO 757</t>
  </si>
  <si>
    <t>EC-V103001020</t>
  </si>
  <si>
    <t>EC-V104001360</t>
  </si>
  <si>
    <t>EC-V104001620</t>
  </si>
  <si>
    <t>EMPAQUE DE SILENCIADOR 757</t>
  </si>
  <si>
    <t>EC-V13800020</t>
  </si>
  <si>
    <t>OJAL DEL TANQUE DE COMBUSTIBL B450</t>
  </si>
  <si>
    <t>EC-V203000110</t>
  </si>
  <si>
    <t>PERNO 5 TENSOR CS680S</t>
  </si>
  <si>
    <t>EC-V204000640</t>
  </si>
  <si>
    <t>22150-15412 ESPARRAGOS DE CARBURADOR 577</t>
  </si>
  <si>
    <t>EC-V206000250</t>
  </si>
  <si>
    <t>PERNO TAPA GRASA B530,B450,C350</t>
  </si>
  <si>
    <t>EC-V255000030</t>
  </si>
  <si>
    <t>72316-53310 TORNILO TENSOR 757</t>
  </si>
  <si>
    <t>EC-V265000230</t>
  </si>
  <si>
    <t>22150-52411 TUERCA 577</t>
  </si>
  <si>
    <t>EC-V356000490</t>
  </si>
  <si>
    <t>EC-V420002500</t>
  </si>
  <si>
    <t>AMORTIGUADOR (A) B530</t>
  </si>
  <si>
    <t>EC-V420002510</t>
  </si>
  <si>
    <t>62035-85341 AMORTIGUADOR TANQUE B530</t>
  </si>
  <si>
    <t>EC-V505000140</t>
  </si>
  <si>
    <t>22150-21250 RETEN 22F-22C</t>
  </si>
  <si>
    <t>EC-V510000030</t>
  </si>
  <si>
    <t>22169-21630 RETEN 757-577</t>
  </si>
  <si>
    <t>EC-V592000290</t>
  </si>
  <si>
    <t>COJINETE B450</t>
  </si>
  <si>
    <t>EC-V641000150</t>
  </si>
  <si>
    <t>SEGURO DE CUCHILLA BP35,C270</t>
  </si>
  <si>
    <t>EC-V651000001</t>
  </si>
  <si>
    <t>ENGRANAJE PIÑON TENSOR CS680S</t>
  </si>
  <si>
    <t>EC-V651000011</t>
  </si>
  <si>
    <t>ENGRANAJE ANGULAR TENSOR CS680S</t>
  </si>
  <si>
    <t>EC-V652000180</t>
  </si>
  <si>
    <t>EC-X602000140</t>
  </si>
  <si>
    <t>EC-X602000150</t>
  </si>
  <si>
    <t>LLAVE DE BUJIA C230</t>
  </si>
  <si>
    <t>EC-X602000220</t>
  </si>
  <si>
    <t>ESLIVE-004</t>
  </si>
  <si>
    <t>MOTOCULTOR DF-15L DE 16HP</t>
  </si>
  <si>
    <t>F-001</t>
  </si>
  <si>
    <t>BLINDAX X LT</t>
  </si>
  <si>
    <t>F-0013</t>
  </si>
  <si>
    <t>VIRUS STOP X 250 ML</t>
  </si>
  <si>
    <t>F-0014</t>
  </si>
  <si>
    <t>BLINDAX X 100 ML</t>
  </si>
  <si>
    <t>F-0015</t>
  </si>
  <si>
    <t>CITOQMAX X LT</t>
  </si>
  <si>
    <t>F-002</t>
  </si>
  <si>
    <t>BLINDAX X 20 LT</t>
  </si>
  <si>
    <t>F-003</t>
  </si>
  <si>
    <t>CINNA MIX X LT</t>
  </si>
  <si>
    <t>F-005</t>
  </si>
  <si>
    <t>IMPULMAX X LT</t>
  </si>
  <si>
    <t>F-007</t>
  </si>
  <si>
    <t>UREUM X 20 LT</t>
  </si>
  <si>
    <t>F-011</t>
  </si>
  <si>
    <t>IMPULMAX X 250 ML</t>
  </si>
  <si>
    <t>TERMINADO</t>
  </si>
  <si>
    <t>NUTRICIONAL</t>
  </si>
  <si>
    <t>F-013</t>
  </si>
  <si>
    <t>UREUM X LT</t>
  </si>
  <si>
    <t>F-014</t>
  </si>
  <si>
    <t>UREUM X GL</t>
  </si>
  <si>
    <t>F-018</t>
  </si>
  <si>
    <t>RAIZ FORTE G  X KG</t>
  </si>
  <si>
    <t>FIL-003</t>
  </si>
  <si>
    <t>FILTRO DE COMBUSTIBLE FLEETGUARD FF5039</t>
  </si>
  <si>
    <t>FIL-013</t>
  </si>
  <si>
    <t>FILTRO AIRE (I) TL80/90/100 1930825</t>
  </si>
  <si>
    <t>FIL-232</t>
  </si>
  <si>
    <t>FILTRO HCDO. S-40/TS110 82005016</t>
  </si>
  <si>
    <t>FIL-237</t>
  </si>
  <si>
    <t>FILTRO ACEITE MOTOR TL60 73403765</t>
  </si>
  <si>
    <t>FIL-299</t>
  </si>
  <si>
    <t>FILTRO ACEITE MOTOR TL/935/4010/5010/UN</t>
  </si>
  <si>
    <t>FIL-40572</t>
  </si>
  <si>
    <t>VASO CRISTAL COMBUSTIBLE 40572</t>
  </si>
  <si>
    <t>FIL-501</t>
  </si>
  <si>
    <t>FILTRO HIDRAULICO NEW HOLLAND 1930986 UK</t>
  </si>
  <si>
    <t>FIL-568</t>
  </si>
  <si>
    <t>FILTRO LH. TL-85-TL-95 73402522</t>
  </si>
  <si>
    <t>FIL-570</t>
  </si>
  <si>
    <t>FILTRO GASOLIN FP586F</t>
  </si>
  <si>
    <t>FIL-571</t>
  </si>
  <si>
    <t>FILTRO ACEITE PH 4403</t>
  </si>
  <si>
    <t>FUM-004</t>
  </si>
  <si>
    <t>DISCOS D35</t>
  </si>
  <si>
    <t>FUM-007</t>
  </si>
  <si>
    <t>LANZAS DE FUMIGACION</t>
  </si>
  <si>
    <t>FUM-010</t>
  </si>
  <si>
    <t>MANGUERA FUMIGACION X 100 MTS.</t>
  </si>
  <si>
    <t>G-001</t>
  </si>
  <si>
    <t>ALGAENZIMES 20 LT</t>
  </si>
  <si>
    <t>G-0010</t>
  </si>
  <si>
    <t>VIRAFIN X LT</t>
  </si>
  <si>
    <t xml:space="preserve">TERMINADO </t>
  </si>
  <si>
    <t>INSECTICIDAS</t>
  </si>
  <si>
    <t>G-0011</t>
  </si>
  <si>
    <t>VIRAFIN X 250 ML</t>
  </si>
  <si>
    <t>G-0012</t>
  </si>
  <si>
    <t>ESTAMPIDA ORG X LITRO</t>
  </si>
  <si>
    <t>G-0014</t>
  </si>
  <si>
    <t>BIOBAN X GALON</t>
  </si>
  <si>
    <t>FUNGICIDAS</t>
  </si>
  <si>
    <t>G-0015</t>
  </si>
  <si>
    <t>BIOBAN X 20 LT</t>
  </si>
  <si>
    <t>G-002</t>
  </si>
  <si>
    <t>EZCOBA OR X LITRO</t>
  </si>
  <si>
    <t>G-004</t>
  </si>
  <si>
    <t>PROLIFIC PLUS X LT</t>
  </si>
  <si>
    <t>G-005</t>
  </si>
  <si>
    <t>ABUNDANCE PLUS X LITRO</t>
  </si>
  <si>
    <t>G-006</t>
  </si>
  <si>
    <t>BSK 100 X 200 LT</t>
  </si>
  <si>
    <t>G-008</t>
  </si>
  <si>
    <t>BIOBAN X LITRO</t>
  </si>
  <si>
    <t xml:space="preserve">HER-001  </t>
  </si>
  <si>
    <t>TALADRO 1/2 PERCUSION TP-6R</t>
  </si>
  <si>
    <t>HER-013</t>
  </si>
  <si>
    <t xml:space="preserve">PINZA P SEGURO STY EXTER-84271-7X </t>
  </si>
  <si>
    <t>HER-015</t>
  </si>
  <si>
    <t>MARTILLO BOLA CABO F/VIDRIO 3LB. JL-809</t>
  </si>
  <si>
    <t>HER-017</t>
  </si>
  <si>
    <t>PULIDORA NEUMATICA KMJ-328</t>
  </si>
  <si>
    <t>HER-020</t>
  </si>
  <si>
    <t>BROCA ESPIRAL HSS 29PZ 1/16-1/2 ALEMANA"</t>
  </si>
  <si>
    <t>HI-014</t>
  </si>
  <si>
    <t>LLAVE MIXTA-10 MM 86-855</t>
  </si>
  <si>
    <t>HI-016</t>
  </si>
  <si>
    <t>SANTIAGO 3 PATAS 4";SANTIAGO 3 PATAS 4""</t>
  </si>
  <si>
    <t>HI-020</t>
  </si>
  <si>
    <t>CORTADORA DE CADENA # 24548 A OREGON</t>
  </si>
  <si>
    <t>HI-021</t>
  </si>
  <si>
    <t>REMACHADORA DE CADENA # 24549 A OREGON</t>
  </si>
  <si>
    <t>IB-001</t>
  </si>
  <si>
    <t>BANDAS B-58</t>
  </si>
  <si>
    <t>IB-002</t>
  </si>
  <si>
    <t>BANDAS B-59</t>
  </si>
  <si>
    <t>IB-003</t>
  </si>
  <si>
    <t>BANDA B-61</t>
  </si>
  <si>
    <t>IB-006</t>
  </si>
  <si>
    <t>BANDA B-40</t>
  </si>
  <si>
    <t>IB-010</t>
  </si>
  <si>
    <t>BANDA B-43</t>
  </si>
  <si>
    <t>IB-011</t>
  </si>
  <si>
    <t>MOTOR MONOFASICO 3HP-1800RPM 220V</t>
  </si>
  <si>
    <t>IMB-001</t>
  </si>
  <si>
    <t>LIMA TRIANGULAR # 10-4083 BELLOTA</t>
  </si>
  <si>
    <t>IMP-045</t>
  </si>
  <si>
    <t>FILTRO AIRE (E) PRIMARIO 3540051M1 ATLAS</t>
  </si>
  <si>
    <t>IMP-061</t>
  </si>
  <si>
    <t>FILTRO AIRE (I) SECUND 3540052M1ATLAS 90</t>
  </si>
  <si>
    <t>IMP-188</t>
  </si>
  <si>
    <t>KIT SURCADOR</t>
  </si>
  <si>
    <t>IMP-241</t>
  </si>
  <si>
    <t>PIÑONES PARA ROTAVATOR LAVRALE</t>
  </si>
  <si>
    <t>IMP-250</t>
  </si>
  <si>
    <t>CHUMACERA DE GRASA 182MM X 1 1/4</t>
  </si>
  <si>
    <t>IMP-251</t>
  </si>
  <si>
    <t>LATAS PARA REPUESTOS DP4</t>
  </si>
  <si>
    <t>IMP-252</t>
  </si>
  <si>
    <t>TIRO DE TRACTOR LANDINI</t>
  </si>
  <si>
    <t>IMP-254</t>
  </si>
  <si>
    <t>TIRO AMARILLO PARA CARRETON</t>
  </si>
  <si>
    <t>IMP-256</t>
  </si>
  <si>
    <t>PIEZAS TRACTOR (TORNILLO TUERCA PASADOR)</t>
  </si>
  <si>
    <t>IMP-2563</t>
  </si>
  <si>
    <t>PASADOR CON BINCHA 15CMX22CM</t>
  </si>
  <si>
    <t>IMP-259</t>
  </si>
  <si>
    <t>TENSOR DE CADENA</t>
  </si>
  <si>
    <t>IMP-261</t>
  </si>
  <si>
    <t>SET REPUESTOS (2BASES 1LLAVE 2PIÑON)</t>
  </si>
  <si>
    <t>IMP-271</t>
  </si>
  <si>
    <t>BASE PLOMA</t>
  </si>
  <si>
    <t>IMP-278</t>
  </si>
  <si>
    <t>LLAVES DE ARADO</t>
  </si>
  <si>
    <t>IMP-279</t>
  </si>
  <si>
    <t>LIMPIADORES DE RASTRA</t>
  </si>
  <si>
    <t>IMP-528</t>
  </si>
  <si>
    <t>CHUMACERA EJE PARA GCMR 16-18-20</t>
  </si>
  <si>
    <t>IMP-865</t>
  </si>
  <si>
    <t>SEMBRADORA DE HORTALIZAS SPH-110</t>
  </si>
  <si>
    <t>IN - 126</t>
  </si>
  <si>
    <t>AGROTAFOL COMBI X 200 G</t>
  </si>
  <si>
    <t>IN - 127</t>
  </si>
  <si>
    <t>RAIZ FORTE X LT</t>
  </si>
  <si>
    <t>IN -141</t>
  </si>
  <si>
    <t>SINOTOP X LT</t>
  </si>
  <si>
    <t>HERBICIDAS</t>
  </si>
  <si>
    <t>IN-0004</t>
  </si>
  <si>
    <t>AGROTAFOL K PLUS X 500 ML</t>
  </si>
  <si>
    <t>IN-0007</t>
  </si>
  <si>
    <t>AGROTAFOL BORO X 500 ML</t>
  </si>
  <si>
    <t>IN-0008</t>
  </si>
  <si>
    <t>AGROTAFOL FOSFITO X 500 ML</t>
  </si>
  <si>
    <t>IN-00102</t>
  </si>
  <si>
    <t>AGROTAFOL SUPER X KG</t>
  </si>
  <si>
    <t>IN-0011</t>
  </si>
  <si>
    <t>BUCANER X LT</t>
  </si>
  <si>
    <t>IN-0012</t>
  </si>
  <si>
    <t>BUCANER X 250 ML</t>
  </si>
  <si>
    <t>IN-0014</t>
  </si>
  <si>
    <t>BUCANER X 500 ML</t>
  </si>
  <si>
    <t>IN-0017</t>
  </si>
  <si>
    <t>AGROTHANE  X KG</t>
  </si>
  <si>
    <t>IN-00171</t>
  </si>
  <si>
    <t>BUCANER FORTE X 500 ML</t>
  </si>
  <si>
    <t>IN-00172</t>
  </si>
  <si>
    <t>BUCANER FORTE X 250 ML</t>
  </si>
  <si>
    <t>IN-0028</t>
  </si>
  <si>
    <t>AGROTAFIX  X 250 ML</t>
  </si>
  <si>
    <t>FIJADORES</t>
  </si>
  <si>
    <t>IN-0042</t>
  </si>
  <si>
    <t>AGROTAFIX  X 100 ML</t>
  </si>
  <si>
    <t>IN-0081</t>
  </si>
  <si>
    <t>AGROTAFOL FOSFITO X 250 ML</t>
  </si>
  <si>
    <t>IN-0236</t>
  </si>
  <si>
    <t>FAST X 250 ML</t>
  </si>
  <si>
    <t>IN-031</t>
  </si>
  <si>
    <t>SKEKURA WP X KG</t>
  </si>
  <si>
    <t>IN-033</t>
  </si>
  <si>
    <t>SKEKURA WP X 100 G</t>
  </si>
  <si>
    <t>IN-035</t>
  </si>
  <si>
    <t>SCOBA X 50 ML</t>
  </si>
  <si>
    <t>IN-036</t>
  </si>
  <si>
    <t>SCOBA X 100 ML</t>
  </si>
  <si>
    <t>IN-037</t>
  </si>
  <si>
    <t>SCOBA X 250 ML</t>
  </si>
  <si>
    <t>IN-038</t>
  </si>
  <si>
    <t>SKEKURA  X LT</t>
  </si>
  <si>
    <t>IN-039</t>
  </si>
  <si>
    <t>SKEKURA  X 250 ML</t>
  </si>
  <si>
    <t>IN-040</t>
  </si>
  <si>
    <t>SCOBA COEX X LT</t>
  </si>
  <si>
    <t>IN-041.</t>
  </si>
  <si>
    <t>AGROTAFIX X LT</t>
  </si>
  <si>
    <t>IN-043</t>
  </si>
  <si>
    <t>AGROTAFOL FOSFITO X LT</t>
  </si>
  <si>
    <t>IN-044</t>
  </si>
  <si>
    <t>AGROTAFOL AMINO X LT</t>
  </si>
  <si>
    <t>IN-048</t>
  </si>
  <si>
    <t>AGROTAFOL K PLUS X LT</t>
  </si>
  <si>
    <t>IN-086</t>
  </si>
  <si>
    <t>SKEKURA  X 500 ML</t>
  </si>
  <si>
    <t>IN-092</t>
  </si>
  <si>
    <t>AGROTAFOL BORO X LT</t>
  </si>
  <si>
    <t>IN-094</t>
  </si>
  <si>
    <t>AGROTALINA X LT</t>
  </si>
  <si>
    <t>IN-102</t>
  </si>
  <si>
    <t>KEMADOR X GALON</t>
  </si>
  <si>
    <t>IN-104</t>
  </si>
  <si>
    <t>AGROTAFOL BORO X 250 ML</t>
  </si>
  <si>
    <t>IN-123</t>
  </si>
  <si>
    <t>KEMADOR X 19 LT</t>
  </si>
  <si>
    <t>IN-1234</t>
  </si>
  <si>
    <t>SKEKURA WP X 500 GRS</t>
  </si>
  <si>
    <t>IN-1235</t>
  </si>
  <si>
    <t>AGROTAFIX PLUS X 100 ML</t>
  </si>
  <si>
    <t>IN-127</t>
  </si>
  <si>
    <t>ORGANIC POWER X 500 ML</t>
  </si>
  <si>
    <t>IN-128</t>
  </si>
  <si>
    <t>SKEKURA X 100 ML</t>
  </si>
  <si>
    <t>IN-129</t>
  </si>
  <si>
    <t>YOGA X LT</t>
  </si>
  <si>
    <t>IN-130</t>
  </si>
  <si>
    <t>YOGA X 100 ML</t>
  </si>
  <si>
    <t>IN-139</t>
  </si>
  <si>
    <t>AGROTAZOLE 25% EC  X LT</t>
  </si>
  <si>
    <t>IN-140</t>
  </si>
  <si>
    <t>AGROVERDOL X 500 ML</t>
  </si>
  <si>
    <t>IN-141</t>
  </si>
  <si>
    <t>AGROVERDOL X LT</t>
  </si>
  <si>
    <t>IN-1410</t>
  </si>
  <si>
    <t>AGROVERDOL X GL</t>
  </si>
  <si>
    <t>IN-144</t>
  </si>
  <si>
    <t>CIROMAZINA X 50 G AGROTA</t>
  </si>
  <si>
    <t>IN-1441</t>
  </si>
  <si>
    <t>CIROMAZINA FRONTEAGRO X 50 G</t>
  </si>
  <si>
    <t xml:space="preserve">IN-2041             </t>
  </si>
  <si>
    <t xml:space="preserve">MYCLOBUTANIL 12,5 % EC SOL  X 100 ML  </t>
  </si>
  <si>
    <t>IN-30</t>
  </si>
  <si>
    <t>AGROTAFOL ZINC X LT</t>
  </si>
  <si>
    <t>IN-32</t>
  </si>
  <si>
    <t>AGROTAFOL 15-40-15-10 INICIAL X KG</t>
  </si>
  <si>
    <t>IN-33</t>
  </si>
  <si>
    <t>AGROTAFOL 30-10-10-20 DESARROLLO X KG</t>
  </si>
  <si>
    <t>IN-34</t>
  </si>
  <si>
    <t>AGROTAFOL 10-15-30-5 ENGROSE X KG</t>
  </si>
  <si>
    <t>IN-35</t>
  </si>
  <si>
    <t>AGROTAFOL 20-20-1 FLORACION X KG</t>
  </si>
  <si>
    <t>IN-352</t>
  </si>
  <si>
    <t>SKEKURA WP X 200 G</t>
  </si>
  <si>
    <t>IN-358</t>
  </si>
  <si>
    <t>IN-362</t>
  </si>
  <si>
    <t>ORGANIC POWER X 250 ML</t>
  </si>
  <si>
    <t>IN-375</t>
  </si>
  <si>
    <t>PARALANCHA BLUE X 250 G</t>
  </si>
  <si>
    <t>IN-378</t>
  </si>
  <si>
    <t>PARALANCHA BLUE X 500 G</t>
  </si>
  <si>
    <t>IN-380</t>
  </si>
  <si>
    <t>SCOBA  X LT</t>
  </si>
  <si>
    <t>IN-5421</t>
  </si>
  <si>
    <t>RIDONATE X 100 ML</t>
  </si>
  <si>
    <t>IN-5422</t>
  </si>
  <si>
    <t>BUCANER X 100 ML</t>
  </si>
  <si>
    <t>IN-65</t>
  </si>
  <si>
    <t>AGROTAFOL 20-20-20-1 FLORACION 500G</t>
  </si>
  <si>
    <t>IN-6610</t>
  </si>
  <si>
    <t>PROPILAQ X 100 ML</t>
  </si>
  <si>
    <t>IN-6611</t>
  </si>
  <si>
    <t>RIDONATE X LITRO</t>
  </si>
  <si>
    <t>IN-6613</t>
  </si>
  <si>
    <t>RIDONATE X 250 ML</t>
  </si>
  <si>
    <t>IN-6614</t>
  </si>
  <si>
    <t>RIDONATE x 200 ML</t>
  </si>
  <si>
    <t>IN-6615</t>
  </si>
  <si>
    <t>PROPILAQ X  250 ML</t>
  </si>
  <si>
    <t>IN-666</t>
  </si>
  <si>
    <t>AGROTAFOL AC X 250 ML</t>
  </si>
  <si>
    <t>IN-6669</t>
  </si>
  <si>
    <t>PROPILAQ X LITRO</t>
  </si>
  <si>
    <t>IN-667</t>
  </si>
  <si>
    <t>CITOQMAX X 250 ML</t>
  </si>
  <si>
    <t>IN-668</t>
  </si>
  <si>
    <t>BIOBAN X 250 ML</t>
  </si>
  <si>
    <t>IN-670</t>
  </si>
  <si>
    <t>QUBIK X LT</t>
  </si>
  <si>
    <t>IN-81</t>
  </si>
  <si>
    <t>KEMADOR X LT</t>
  </si>
  <si>
    <t>IN-94</t>
  </si>
  <si>
    <t>PROGIBB X 10  GR</t>
  </si>
  <si>
    <t>INCO-006</t>
  </si>
  <si>
    <t>2011556 MANGUERA DE CORTA DE COLECTOR</t>
  </si>
  <si>
    <t>INCO-007</t>
  </si>
  <si>
    <t>INCO-008</t>
  </si>
  <si>
    <t>9401077 CAJA REGULADOR VACIO CON MUELLE</t>
  </si>
  <si>
    <t>INCO-010</t>
  </si>
  <si>
    <t>2010154 BALON LISA DE GOMA NO. 03/70MM</t>
  </si>
  <si>
    <t>INCO-011</t>
  </si>
  <si>
    <t>2010452 JUNTA DE LA TAPA OPERATRIZ</t>
  </si>
  <si>
    <t>INCO-012</t>
  </si>
  <si>
    <t>2011939 TAPA DE PULSACION</t>
  </si>
  <si>
    <t>INCO-013</t>
  </si>
  <si>
    <t>2011970 SELLADO DE PULSACIÓN</t>
  </si>
  <si>
    <t>INCO-014</t>
  </si>
  <si>
    <t>9400338 RECEPTOR DE LECHE 350</t>
  </si>
  <si>
    <t>INCO-016</t>
  </si>
  <si>
    <t>2011080 ANILLO INTERNO DE RECOLECTOR 350</t>
  </si>
  <si>
    <t>INCO-017</t>
  </si>
  <si>
    <t>9402047 VALVULA DE CIERRE AUTOMATICO</t>
  </si>
  <si>
    <t>INCO-018</t>
  </si>
  <si>
    <t>2011968 TRABA DE VALVULA DE CIERRE AUTOM</t>
  </si>
  <si>
    <t>INCO-020</t>
  </si>
  <si>
    <t>2011082 AMORTIGUADOR PARA RECOLECTOR 350</t>
  </si>
  <si>
    <t>INCO-021</t>
  </si>
  <si>
    <t>2010642 MEMBRANA PRINCIPAL DEL PULSADOR</t>
  </si>
  <si>
    <t>INCO-022</t>
  </si>
  <si>
    <t>2010065 ANILLO ORING 2006 6.46X2.90X1.7</t>
  </si>
  <si>
    <t>INCO-023</t>
  </si>
  <si>
    <t>2012000 VALVULA DE DRENAJE (GOMA)</t>
  </si>
  <si>
    <t>INCO-024</t>
  </si>
  <si>
    <t>2011662 NIPLE DEL LUBRIFICADOR MECANICO</t>
  </si>
  <si>
    <t>INCO-025</t>
  </si>
  <si>
    <t>9400388 VISOR DE ACEITE</t>
  </si>
  <si>
    <t>INCO-026</t>
  </si>
  <si>
    <t>2012776 ANILLO ORING 2005 2,57X6,13X1,7</t>
  </si>
  <si>
    <t>INCO-027</t>
  </si>
  <si>
    <t>2012777 ANILLO ORING 2114 15,54X20,78X2</t>
  </si>
  <si>
    <t>INCO-029</t>
  </si>
  <si>
    <t>2010193 MANGUERA GEMELA DE PULSACIÓN</t>
  </si>
  <si>
    <t>INCO-030</t>
  </si>
  <si>
    <t>INCO-031</t>
  </si>
  <si>
    <t>2010643 MEMBRADA DE INVENSION PULSADOR C</t>
  </si>
  <si>
    <t>INCO-033</t>
  </si>
  <si>
    <t>MARTILLO PARA MOLINO TIN-2</t>
  </si>
  <si>
    <t>INCO-034</t>
  </si>
  <si>
    <t>CONTRA MARTILLO C.J. PARA TIN-2</t>
  </si>
  <si>
    <t>INCO-040</t>
  </si>
  <si>
    <t>PUESTO COMPLETO DE ORDEÑADORA</t>
  </si>
  <si>
    <t>INCO-041</t>
  </si>
  <si>
    <t>2010025 ANILLO ORING</t>
  </si>
  <si>
    <t>INCO-042</t>
  </si>
  <si>
    <t>2011297 TRABA DEL AJUSTADOR</t>
  </si>
  <si>
    <t>INCO-043</t>
  </si>
  <si>
    <t>2010046 ANILLO DE GOMA DEL ASIENTO PULSA</t>
  </si>
  <si>
    <t>INCO-044</t>
  </si>
  <si>
    <t>2013174 MANIPULO DEL COLECTOR</t>
  </si>
  <si>
    <t>INCO-047</t>
  </si>
  <si>
    <t>2010177 BUJE DE GOMA ADAPTADOR</t>
  </si>
  <si>
    <t>INCO-051</t>
  </si>
  <si>
    <t>2010640 MEMBRANA DEL LAVADOR</t>
  </si>
  <si>
    <t>INCO-054</t>
  </si>
  <si>
    <t>2010762 ALETA DE LA BOMBA BVIN 765</t>
  </si>
  <si>
    <t>INCO-055</t>
  </si>
  <si>
    <t>2010810 KNOB</t>
  </si>
  <si>
    <t>INCO-056</t>
  </si>
  <si>
    <t>2010886 RETENEDOR</t>
  </si>
  <si>
    <t>INCO-057</t>
  </si>
  <si>
    <t>2010998 VALVULA DE REPERCUSION</t>
  </si>
  <si>
    <t>INCO-059</t>
  </si>
  <si>
    <t>2011030 ASIENTO DEL PULSADOR</t>
  </si>
  <si>
    <t>INCO-065</t>
  </si>
  <si>
    <t>2011554 MANGUERA DE GOMA</t>
  </si>
  <si>
    <t>INCO-066</t>
  </si>
  <si>
    <t>2011574 RESORTE MENOR DEL LAVADOR</t>
  </si>
  <si>
    <t>INCO-067</t>
  </si>
  <si>
    <t>2011553 MANGUERA DE DESCARGA DE LAVADOR</t>
  </si>
  <si>
    <t>INCO-068</t>
  </si>
  <si>
    <t>2011557 RESORTE MAYOR DEL LAVADOR</t>
  </si>
  <si>
    <t>INCO-069</t>
  </si>
  <si>
    <t>2010972 TOMA DE VACIO</t>
  </si>
  <si>
    <t>INCO-070</t>
  </si>
  <si>
    <t>2011024 ANILLO DE VEDACION DEL CONTENEDO</t>
  </si>
  <si>
    <t>INCO-071</t>
  </si>
  <si>
    <t>9401172 PULSADOR PIN</t>
  </si>
  <si>
    <t>INCO-072</t>
  </si>
  <si>
    <t>9400422 VISOR DEL ACEITE II</t>
  </si>
  <si>
    <t>INCO-073</t>
  </si>
  <si>
    <t>2010902 BALERO DURO DE ESFERA 6204</t>
  </si>
  <si>
    <t>INCO-074</t>
  </si>
  <si>
    <t>VACUOMETRO</t>
  </si>
  <si>
    <t xml:space="preserve">REPUESTOS ORDENOS MECANICOS </t>
  </si>
  <si>
    <t>INCO-075</t>
  </si>
  <si>
    <t>9400024 ANILLO DE ENCOSTO BVIN 745/765</t>
  </si>
  <si>
    <t>INCO-076</t>
  </si>
  <si>
    <t>9401010 PESAS REGULADORA DE VACIO</t>
  </si>
  <si>
    <t>INCO-077</t>
  </si>
  <si>
    <t>2011664 NIPLE DE CONECCION 745/765</t>
  </si>
  <si>
    <t>INCO-078</t>
  </si>
  <si>
    <t>LUBRICADOR II</t>
  </si>
  <si>
    <t>INCO-079</t>
  </si>
  <si>
    <t>2011570 MANGUERA DE CRISTAL DE LUBRICACI</t>
  </si>
  <si>
    <t>INCO-080</t>
  </si>
  <si>
    <t>9400326 CUERPO DEL AJUSTADOR DE VACIO</t>
  </si>
  <si>
    <t>INCO-085</t>
  </si>
  <si>
    <t>INCO-087</t>
  </si>
  <si>
    <t>JUEGO DE PALETA BOMBA BVIN-350 2012789</t>
  </si>
  <si>
    <t>INCO-088</t>
  </si>
  <si>
    <t>JUEGO DE PALETA BOMBA B-VIN 745 2010761</t>
  </si>
  <si>
    <t>INCO-091</t>
  </si>
  <si>
    <t>TUBO DE ACE, INOX PERFORADO 1CC</t>
  </si>
  <si>
    <t>INCO-092</t>
  </si>
  <si>
    <t>TUBO DE ACE, INOX PERFORADO 1.9M</t>
  </si>
  <si>
    <t>INCO-093</t>
  </si>
  <si>
    <t>TUBO DE ACE INOX PERFORADO X 3M</t>
  </si>
  <si>
    <t>INCO-095</t>
  </si>
  <si>
    <t>9401013 SISTEMA LAVADOR</t>
  </si>
  <si>
    <t>INCO-096</t>
  </si>
  <si>
    <t>TUBOS DE ESCAPE DE ORDEÑO</t>
  </si>
  <si>
    <t>INCO-1602</t>
  </si>
  <si>
    <t>GRIFO DE VACIO</t>
  </si>
  <si>
    <t>INCO-2010602</t>
  </si>
  <si>
    <t>INCO-2010762</t>
  </si>
  <si>
    <t>PALETA PARA BOMBA BIN 900 (765)</t>
  </si>
  <si>
    <t>INCO-2011384</t>
  </si>
  <si>
    <t>2011384 TETERA LARGA</t>
  </si>
  <si>
    <t xml:space="preserve">ORDENOS MECANICOS </t>
  </si>
  <si>
    <t>INCO-35</t>
  </si>
  <si>
    <t>ZARANDA DIAMETRO 5MM TIN-2</t>
  </si>
  <si>
    <t>INCO-36</t>
  </si>
  <si>
    <t>BARRA C/ 15 CUCHILLAS Y 1 MEDIA CUCHILLA</t>
  </si>
  <si>
    <t>INCO-365</t>
  </si>
  <si>
    <t>9400339 MANIPULO</t>
  </si>
  <si>
    <t>INCO-5011</t>
  </si>
  <si>
    <t>ADAPTADOR PULSADOR</t>
  </si>
  <si>
    <t>INCO-88</t>
  </si>
  <si>
    <t>2011016 ANILLO DE FIJACIÓN REG. 415</t>
  </si>
  <si>
    <t>INCO-9400447T</t>
  </si>
  <si>
    <t>ADAPTADOR DE ALUMINIO PARA ORDEÑO</t>
  </si>
  <si>
    <t>INCO-9403002</t>
  </si>
  <si>
    <t>PESO DE INOX 350</t>
  </si>
  <si>
    <t xml:space="preserve">ESPARCIDORAS </t>
  </si>
  <si>
    <t>INT-002</t>
  </si>
  <si>
    <t>TROMBA X 500 G</t>
  </si>
  <si>
    <t>INT-007</t>
  </si>
  <si>
    <t>SINOMITE X LT</t>
  </si>
  <si>
    <t>INT-010</t>
  </si>
  <si>
    <t>SINOTYL X 100 G</t>
  </si>
  <si>
    <t>INT-011</t>
  </si>
  <si>
    <t>SARGENT X LT</t>
  </si>
  <si>
    <t>INT-013</t>
  </si>
  <si>
    <t>TROMBA X 250 G</t>
  </si>
  <si>
    <t>IP009</t>
  </si>
  <si>
    <t>KIT 1 ( BOX JET )</t>
  </si>
  <si>
    <t>IP010</t>
  </si>
  <si>
    <t>KIT 87 ( BOX JET )</t>
  </si>
  <si>
    <t>IP011</t>
  </si>
  <si>
    <t>KIT 125 ( BOMBA M )</t>
  </si>
  <si>
    <t>IP012</t>
  </si>
  <si>
    <t>KIT 146</t>
  </si>
  <si>
    <t>IP013</t>
  </si>
  <si>
    <t>FILTRO LINEA</t>
  </si>
  <si>
    <t>IP014</t>
  </si>
  <si>
    <t>DADO M8X13X5 INOX AISI</t>
  </si>
  <si>
    <t>JD-006</t>
  </si>
  <si>
    <t>FIL. COMBUSTIBLE JOHN DEERE 5705 RE62419</t>
  </si>
  <si>
    <t>JD-010</t>
  </si>
  <si>
    <t>FILTRO PRIMARIO 6405 JOHN DEERE AL78223</t>
  </si>
  <si>
    <t>JD-012</t>
  </si>
  <si>
    <t>JUEGO DE PESAS DELANTERAS TRACTOR 5705</t>
  </si>
  <si>
    <t>JD-013</t>
  </si>
  <si>
    <t>FILTRO SEC. 5705  AT 171854 JOHN DEERE</t>
  </si>
  <si>
    <t>JD-015</t>
  </si>
  <si>
    <t>FILTRO SECUNDARIO AIRE 6405 AL78224</t>
  </si>
  <si>
    <t>JD-352</t>
  </si>
  <si>
    <t>CUCHILLA Z A51501</t>
  </si>
  <si>
    <t>JET50AX/F400</t>
  </si>
  <si>
    <t>BOMBA DIESEL 6.7HP JET - F/400</t>
  </si>
  <si>
    <t>JF-009</t>
  </si>
  <si>
    <t>02.046636 TORNILLO DE LA CONTRA CUCHILLA</t>
  </si>
  <si>
    <t>JF-010</t>
  </si>
  <si>
    <t>CONTRA PERNO DE LA CORONA</t>
  </si>
  <si>
    <t>JF-011</t>
  </si>
  <si>
    <t>02.045379 CONTRA CUCHILLA JF5/H5-F3</t>
  </si>
  <si>
    <t>JF-013</t>
  </si>
  <si>
    <t>JF-015</t>
  </si>
  <si>
    <t>05.01194 RESORTE DEL TAMBOR DENTADO MOVI</t>
  </si>
  <si>
    <t>JF-020</t>
  </si>
  <si>
    <t>CONTRA CUCHILLA H20F4 JF60S JF</t>
  </si>
  <si>
    <t>JF-024</t>
  </si>
  <si>
    <t>02.049503 EJE DOBLE POLEA CARDAN</t>
  </si>
  <si>
    <t xml:space="preserve">REPUESTOS MOTOCULTORES </t>
  </si>
  <si>
    <t>JF-027</t>
  </si>
  <si>
    <t>BASE Y PIEDRA AFILADOR JF92Z10</t>
  </si>
  <si>
    <t>JF-028</t>
  </si>
  <si>
    <t>02.075377 KIT CUCHILLA DEL RECOGEDOR JF9</t>
  </si>
  <si>
    <t xml:space="preserve">JF-032 </t>
  </si>
  <si>
    <t xml:space="preserve">02.093647 KIT DE HERRAMIENTAS P/JF92 </t>
  </si>
  <si>
    <t>JF-034</t>
  </si>
  <si>
    <t>02.045823 VEDACION INFERIOR JFD 250</t>
  </si>
  <si>
    <t>JF-036</t>
  </si>
  <si>
    <t>ZARANDA DIAMETRO 0.8MM TIN-2</t>
  </si>
  <si>
    <t>JF-064</t>
  </si>
  <si>
    <t>ORDEÑADORA BVIN-765 02.400163</t>
  </si>
  <si>
    <t>JF-082</t>
  </si>
  <si>
    <t>KIT DE ZARANDAS H5F3/JF5/JF5D</t>
  </si>
  <si>
    <t>JF-083</t>
  </si>
  <si>
    <t>KIT DE ZARANDAS JF5</t>
  </si>
  <si>
    <t>JF-084</t>
  </si>
  <si>
    <t>KIT DE ZARANDAS JF2/3</t>
  </si>
  <si>
    <t xml:space="preserve">JF-087  </t>
  </si>
  <si>
    <t>KIT CUCHILLAS JF2/2D/D250 COMPLETO</t>
  </si>
  <si>
    <t>JF-095</t>
  </si>
  <si>
    <t>9401058 TAPA OPERATRIZ</t>
  </si>
  <si>
    <t xml:space="preserve">JF-232  </t>
  </si>
  <si>
    <t>02.116560 CUBIERTA DE LA TRANSMISION</t>
  </si>
  <si>
    <t xml:space="preserve">JF-233   </t>
  </si>
  <si>
    <t xml:space="preserve">02.116594 CUBIERTA DE PROTECCION SUPERIOR  </t>
  </si>
  <si>
    <t>JF-265</t>
  </si>
  <si>
    <t>02.116555 BRAZO ACCIONADOR COMPLETO</t>
  </si>
  <si>
    <t>JF-267</t>
  </si>
  <si>
    <t>02.116629 ENGANCHE DE LA BARRA DE CORTE</t>
  </si>
  <si>
    <t>JF-269</t>
  </si>
  <si>
    <t>05.001489 GUIA SUPERIOR (0004-00-W)</t>
  </si>
  <si>
    <t>JF-270</t>
  </si>
  <si>
    <t>05.00133 TORNILLOS M10X1.5X0.35 8.8 ZB B</t>
  </si>
  <si>
    <t>JF-271</t>
  </si>
  <si>
    <t>05.001544 TORNILLO M10X1.5X0.5 8.8 ZB RI</t>
  </si>
  <si>
    <t>JF-272</t>
  </si>
  <si>
    <t>05.000520 ARANDELA LISA M 10 DIN 125 ZB</t>
  </si>
  <si>
    <t>JF-273</t>
  </si>
  <si>
    <t>05.000581 TUERCA SEXTAVADA C/ TRABA DE N</t>
  </si>
  <si>
    <t>JF-274</t>
  </si>
  <si>
    <t>CUCHILLAS JF-40P UNIDADES</t>
  </si>
  <si>
    <t>JF-275</t>
  </si>
  <si>
    <t>02.081277 CONJUNTO DEL SIN FIM ZM10</t>
  </si>
  <si>
    <t>JF-276</t>
  </si>
  <si>
    <t>03.056705 ENGRANAGE SUPERIOR</t>
  </si>
  <si>
    <t>JF-277</t>
  </si>
  <si>
    <t>02.046460 ENGRANAJE CON LANZADOR DE ACEI</t>
  </si>
  <si>
    <t>JF-278</t>
  </si>
  <si>
    <t>03.060444 ENGRANAGE INTERMEDIARIA</t>
  </si>
  <si>
    <t>JF-279</t>
  </si>
  <si>
    <t>03.046449 ENGRANAGE DE MANDO</t>
  </si>
  <si>
    <t>JF-280</t>
  </si>
  <si>
    <t>03.046499 GUA DEL ENGRANAGE DE MANDO</t>
  </si>
  <si>
    <t>JF-282</t>
  </si>
  <si>
    <t>02.055600 ENGRANAJE DEL COMANDO</t>
  </si>
  <si>
    <t>JF-283</t>
  </si>
  <si>
    <t>02.043906 CONTRA CUCHILLA RECOJEDOR</t>
  </si>
  <si>
    <t>JF-284</t>
  </si>
  <si>
    <t>02.081227 CARDAN MANGO MECAN. JFZ10</t>
  </si>
  <si>
    <t>JF-285</t>
  </si>
  <si>
    <t>02.066265 CRUCETA P/MANDO MECANICO</t>
  </si>
  <si>
    <t>JF-286</t>
  </si>
  <si>
    <t>05.000260 TORNILLO SEXT 7.94X 44.45</t>
  </si>
  <si>
    <t>JF-287</t>
  </si>
  <si>
    <t>05.035274 TUERCA SEXT 7.94(5/16)"</t>
  </si>
  <si>
    <t>JF-288</t>
  </si>
  <si>
    <t>05.032192 PIN ELASTICO 5 X 30MM</t>
  </si>
  <si>
    <t xml:space="preserve">JF-289 </t>
  </si>
  <si>
    <t xml:space="preserve">05.003018 BANDA 5/ B 152" </t>
  </si>
  <si>
    <t>JF-290</t>
  </si>
  <si>
    <t>CONTRA CUCHILLAS JF 30P</t>
  </si>
  <si>
    <t>JF-291</t>
  </si>
  <si>
    <t>KIT CUCHILLAS COMPLETO JF30P</t>
  </si>
  <si>
    <t xml:space="preserve">REPUESTOS PICADORA </t>
  </si>
  <si>
    <t xml:space="preserve">JGOHERR-04 </t>
  </si>
  <si>
    <t>JUEGO DE HERRAM. 10PC HM-1798</t>
  </si>
  <si>
    <t>JIM-003</t>
  </si>
  <si>
    <t>RETEN 65X90X12</t>
  </si>
  <si>
    <t>JIM-004</t>
  </si>
  <si>
    <t>RETEN 45X70X12</t>
  </si>
  <si>
    <t>JIM-005</t>
  </si>
  <si>
    <t>RETEN 45X65X8</t>
  </si>
  <si>
    <t>JIM-007</t>
  </si>
  <si>
    <t>ANILLOS</t>
  </si>
  <si>
    <t>JIM-008</t>
  </si>
  <si>
    <t>JUEGO DE FOCOS</t>
  </si>
  <si>
    <t>JIM-009</t>
  </si>
  <si>
    <t>JUEGO DE ANILLOS</t>
  </si>
  <si>
    <t>JIM-010</t>
  </si>
  <si>
    <t>ABRASADERA</t>
  </si>
  <si>
    <t>JIM-012</t>
  </si>
  <si>
    <t>FILTROS</t>
  </si>
  <si>
    <t>JIM-013</t>
  </si>
  <si>
    <t>EMPAQUES DE LAS PUNTAS</t>
  </si>
  <si>
    <t>JIM-014</t>
  </si>
  <si>
    <t>EMPAQUES DEL CABESOTE</t>
  </si>
  <si>
    <t>JIM-015</t>
  </si>
  <si>
    <t>EMPAQUES DEL TUBO DE ESCAPE</t>
  </si>
  <si>
    <t>JIM-016</t>
  </si>
  <si>
    <t>EMPAQUES DE LA TAPA DE MOTOR</t>
  </si>
  <si>
    <t>JIM-017</t>
  </si>
  <si>
    <t>EMPAQUE VERDE</t>
  </si>
  <si>
    <t>JIM-018</t>
  </si>
  <si>
    <t>SENSOR INDUITIVO</t>
  </si>
  <si>
    <t>JIM-019</t>
  </si>
  <si>
    <t>EJE DE TRANSMICION DELANTERO</t>
  </si>
  <si>
    <t>JIM-020</t>
  </si>
  <si>
    <t>ACOPLE DE ACEITE</t>
  </si>
  <si>
    <t>JIM-021</t>
  </si>
  <si>
    <t>RETEN 40X64X8</t>
  </si>
  <si>
    <t>JIM-023</t>
  </si>
  <si>
    <t>MEDIDOR DE GASOLINA</t>
  </si>
  <si>
    <t>JIM-024</t>
  </si>
  <si>
    <t>JUEGO DE CHAPA DE BIELA YZ-4100</t>
  </si>
  <si>
    <t>JIM-025</t>
  </si>
  <si>
    <t>TAPA DE GASOLINA</t>
  </si>
  <si>
    <t>JIM-026</t>
  </si>
  <si>
    <t>SEGURO DE ARRANQUE</t>
  </si>
  <si>
    <t>JIM-028</t>
  </si>
  <si>
    <t>RESORTE PEQUEÑO</t>
  </si>
  <si>
    <t>JIM-029</t>
  </si>
  <si>
    <t>RESORTE GRANDE</t>
  </si>
  <si>
    <t>JIM-031</t>
  </si>
  <si>
    <t>BOYA PARA NIVEL DE DIESEL</t>
  </si>
  <si>
    <t>JIM-032</t>
  </si>
  <si>
    <t>VALVULAS DE ADMISION</t>
  </si>
  <si>
    <t>JIM-035</t>
  </si>
  <si>
    <t>MEDIDOR DE ACEITE</t>
  </si>
  <si>
    <t>JIM-036</t>
  </si>
  <si>
    <t>FOCOS PARA TRACTOR JINMA</t>
  </si>
  <si>
    <t>JIM-037</t>
  </si>
  <si>
    <t>JUEGO DE RINGS</t>
  </si>
  <si>
    <t>JIM-038</t>
  </si>
  <si>
    <t>RETEN 100X130X12</t>
  </si>
  <si>
    <t>JM-005</t>
  </si>
  <si>
    <t>BOMBA DE AGUA</t>
  </si>
  <si>
    <t>JM-006</t>
  </si>
  <si>
    <t>INYECTORES</t>
  </si>
  <si>
    <t>JM-007</t>
  </si>
  <si>
    <t>CAJA DE FUSIBLES</t>
  </si>
  <si>
    <t>JM-008</t>
  </si>
  <si>
    <t>FILTRO DE ACEITE(PARA JINMA)</t>
  </si>
  <si>
    <t>JM-011</t>
  </si>
  <si>
    <t>ALTERNADOR</t>
  </si>
  <si>
    <t>JM-013</t>
  </si>
  <si>
    <t>MANGUERA DE RADIADOR</t>
  </si>
  <si>
    <t>JM-014</t>
  </si>
  <si>
    <t>MOTOR DE ARRANQUE</t>
  </si>
  <si>
    <t>JM-015</t>
  </si>
  <si>
    <t>PITO</t>
  </si>
  <si>
    <t>JM-016</t>
  </si>
  <si>
    <t>RADIADOR</t>
  </si>
  <si>
    <t>JM-017</t>
  </si>
  <si>
    <t>REGULADOR</t>
  </si>
  <si>
    <t>JM-018</t>
  </si>
  <si>
    <t>RELAY DE PITO</t>
  </si>
  <si>
    <t>JM-019</t>
  </si>
  <si>
    <t>SWITCH DE ARRANQUE</t>
  </si>
  <si>
    <t>JM-021</t>
  </si>
  <si>
    <t>TAPA DE RADIADOR</t>
  </si>
  <si>
    <t>JM-023</t>
  </si>
  <si>
    <t>JUNTA PARA EL CILINDRO DE LA DIRECCION</t>
  </si>
  <si>
    <t>JM-025</t>
  </si>
  <si>
    <t>TUERCA DE LA LLANTA</t>
  </si>
  <si>
    <t>JM-026</t>
  </si>
  <si>
    <t>PERNO DE LA LLANTA</t>
  </si>
  <si>
    <t>JM-029</t>
  </si>
  <si>
    <t>BOLAS PARA LOS FRENOS</t>
  </si>
  <si>
    <t>JM-033</t>
  </si>
  <si>
    <t>AMPERIMETRO</t>
  </si>
  <si>
    <t>JM-034</t>
  </si>
  <si>
    <t>SWITCH</t>
  </si>
  <si>
    <t>JM-035</t>
  </si>
  <si>
    <t>SWITCH DIRECCIONALES</t>
  </si>
  <si>
    <t>JM-036</t>
  </si>
  <si>
    <t>MEDIDOR DE TEMPERATURA DEL AGUA</t>
  </si>
  <si>
    <t>JM-038</t>
  </si>
  <si>
    <t>PLUG DE PRESION DE ACEITE</t>
  </si>
  <si>
    <t>JM-039</t>
  </si>
  <si>
    <t>DISCO DE EMBRAGUE (PTO)</t>
  </si>
  <si>
    <t>LB-005</t>
  </si>
  <si>
    <t>FILT AICEITE GP 24419340</t>
  </si>
  <si>
    <t>LB-236</t>
  </si>
  <si>
    <t>TAPA P  DEPURADOR DE TRAC  LAMBORGHINI</t>
  </si>
  <si>
    <t>LIQ-0005</t>
  </si>
  <si>
    <t>FUNDA PARA VIVERO DE 4X6 10 MILLARES</t>
  </si>
  <si>
    <t>MAY-004</t>
  </si>
  <si>
    <t>DISCO PLASTICO C35</t>
  </si>
  <si>
    <t>MAY-963</t>
  </si>
  <si>
    <t>ARRANQUE COMPLETO DE MS 56</t>
  </si>
  <si>
    <t>MOT-0023</t>
  </si>
  <si>
    <t>MOTOR HONDA 6.5 HP</t>
  </si>
  <si>
    <t>MOT-53</t>
  </si>
  <si>
    <t>MOTOR HONDA 5.5 HP 3600 RPM</t>
  </si>
  <si>
    <t>MOT-640</t>
  </si>
  <si>
    <t>MOTOR DIESEL 8 HP CHANFA</t>
  </si>
  <si>
    <t>MP - 064</t>
  </si>
  <si>
    <t>MP - 233</t>
  </si>
  <si>
    <t>ETIQUETA AGROTAFOL COMBI DELANTERA</t>
  </si>
  <si>
    <t>MP -234</t>
  </si>
  <si>
    <t>ETIQUETA AGROTAFOL COMBI POSTERIOR</t>
  </si>
  <si>
    <t>MP.0302</t>
  </si>
  <si>
    <t>STICKER PARALANCHA BLUE</t>
  </si>
  <si>
    <t>MP-000100</t>
  </si>
  <si>
    <t>ETIQUETA AGROTAFOL FOSFITO X 250 ML</t>
  </si>
  <si>
    <t>MP-001</t>
  </si>
  <si>
    <t>30 - 10 - 10 - 2 + MICROELEMENTOS X KG</t>
  </si>
  <si>
    <t>MP-002</t>
  </si>
  <si>
    <t>10 - 15 - 30 - 5 + MICROELEMENTOS X KG</t>
  </si>
  <si>
    <t>MP-003</t>
  </si>
  <si>
    <t>20 - 20 - 20 - 1 + MICROELEMENTOS X KG</t>
  </si>
  <si>
    <t>MP-004</t>
  </si>
  <si>
    <t>15 - 40 - 15 - 1 + MICROELEMENTOS X KG</t>
  </si>
  <si>
    <t>MP-0056</t>
  </si>
  <si>
    <t>BISPIRIBAC SODIO 40%</t>
  </si>
  <si>
    <t>MP-006</t>
  </si>
  <si>
    <t>10 - 15 - 30 - 5 + MICROELEMENTOS  500 G</t>
  </si>
  <si>
    <t>MP-008</t>
  </si>
  <si>
    <t>15-40-15-1+MICROELEMENTOS 500 G</t>
  </si>
  <si>
    <t>MP-011</t>
  </si>
  <si>
    <t>35 -  25 - 20 + MICRO + GA3 + AUXINAS + VITAMINAS</t>
  </si>
  <si>
    <t>MP-015</t>
  </si>
  <si>
    <t>FOSFONATO POTASICO 70 %</t>
  </si>
  <si>
    <t>MP-017</t>
  </si>
  <si>
    <t>OXIDO DE POTASIO 40 % QUELATADO</t>
  </si>
  <si>
    <t>MP-0176</t>
  </si>
  <si>
    <t>ETIQUETA TOKAL 400 X 100 ML</t>
  </si>
  <si>
    <t>MP-019</t>
  </si>
  <si>
    <t>MP-020</t>
  </si>
  <si>
    <t>CALCIO 6 % / BORO 3 %</t>
  </si>
  <si>
    <t>MP-021</t>
  </si>
  <si>
    <t>ACEITE MINERAL</t>
  </si>
  <si>
    <t>MP-022</t>
  </si>
  <si>
    <t>ACIDOS HUMICOS , FULVICOS + AMINOACIDOS</t>
  </si>
  <si>
    <t>MP-023</t>
  </si>
  <si>
    <t>HEXYTHIAZOX 5 % EC</t>
  </si>
  <si>
    <t>MP-024</t>
  </si>
  <si>
    <t>MYCLOBUTANIL 12,5 % EC x 200L</t>
  </si>
  <si>
    <t>MP-025</t>
  </si>
  <si>
    <t>BENALAXIL 8% + MANCOZEB 65 % WP 500 GR</t>
  </si>
  <si>
    <t>MP-029</t>
  </si>
  <si>
    <t>MP-031</t>
  </si>
  <si>
    <t>FOSETYL ALUMINIO 80 % WP KILO</t>
  </si>
  <si>
    <t>MP-034</t>
  </si>
  <si>
    <t>CLOROTALONIL 72 % SC</t>
  </si>
  <si>
    <t>MP-037</t>
  </si>
  <si>
    <t>CARBENDAZIM 50 % SC 200L</t>
  </si>
  <si>
    <t>MP-038</t>
  </si>
  <si>
    <t>CARBENDAZIM 50 % WP KILO</t>
  </si>
  <si>
    <t>MP-040</t>
  </si>
  <si>
    <t>CARBENDAZIM 50 % WP 100 GR</t>
  </si>
  <si>
    <t>MP-047</t>
  </si>
  <si>
    <t>SULFATO DE COBRE 24%</t>
  </si>
  <si>
    <t>MP-0471</t>
  </si>
  <si>
    <t>MP-058</t>
  </si>
  <si>
    <t>PARAQUAT 24 % SC 200 LT</t>
  </si>
  <si>
    <t>MP-062</t>
  </si>
  <si>
    <t>TENSOACTIVO HUMECTANTE</t>
  </si>
  <si>
    <t>MP-064</t>
  </si>
  <si>
    <t>DELTAMETRINA 2,5 % EC</t>
  </si>
  <si>
    <t>MP-072</t>
  </si>
  <si>
    <t>CARTAP 50% WP  100 G</t>
  </si>
  <si>
    <t>MP-073</t>
  </si>
  <si>
    <t>CYROMAZINA 75 % WP x 50g</t>
  </si>
  <si>
    <t>MP-075</t>
  </si>
  <si>
    <t>IMIDACLOPRID 25 % WP 100 G</t>
  </si>
  <si>
    <t>MP-076</t>
  </si>
  <si>
    <t xml:space="preserve">LAMBDA CYHALOTRINA 2,5 % EC 200L </t>
  </si>
  <si>
    <t>MP-079</t>
  </si>
  <si>
    <t>CLOFENTAZINE 50 % SC</t>
  </si>
  <si>
    <t>MP-083</t>
  </si>
  <si>
    <t>ETIQUETA AGROTAFOL FLORACION X KILO</t>
  </si>
  <si>
    <t>MP-085</t>
  </si>
  <si>
    <t>ETIQUETA AGROTAFOL DESARROLLO X 500 GRS</t>
  </si>
  <si>
    <t>MP-087</t>
  </si>
  <si>
    <t>ETIQUETA AGROTAFOL FLORACION X 500 GRS</t>
  </si>
  <si>
    <t>MP-088</t>
  </si>
  <si>
    <t>ETIQUETA AGROTAFOL INICIAL X 500 GRS</t>
  </si>
  <si>
    <t>MP-089</t>
  </si>
  <si>
    <t>MP-092</t>
  </si>
  <si>
    <t>ETIQUETA AGROTAFOL CALCIO X 500 ML</t>
  </si>
  <si>
    <t>MP-095</t>
  </si>
  <si>
    <t>ETIQUETA AGROTAFOL AMINO X 500 ML</t>
  </si>
  <si>
    <t>MP-097</t>
  </si>
  <si>
    <t>ETIQUETA AGROTAFOL FOSFITO X LITRO</t>
  </si>
  <si>
    <t>MP-098</t>
  </si>
  <si>
    <t>ETIQUETA AGROTAFOL FOSFITO X 500 ML</t>
  </si>
  <si>
    <t>MP-099</t>
  </si>
  <si>
    <t>ETIQUETA AGROTAFOL K X LITRO</t>
  </si>
  <si>
    <t>MP-100</t>
  </si>
  <si>
    <t>ETIQUETA AGROTAFOL K PLUS X LITRO</t>
  </si>
  <si>
    <t>MP-101</t>
  </si>
  <si>
    <t>ETIQUETA AGROTAFOL K PLUS X 500 ML</t>
  </si>
  <si>
    <t>MP-103</t>
  </si>
  <si>
    <t>ETIQUETA AGROTAFOL ZINC X LITRO</t>
  </si>
  <si>
    <t>MP-104</t>
  </si>
  <si>
    <t>ETIQUETA AGROTAFOL ZINC X 500 ML</t>
  </si>
  <si>
    <t>MP-107</t>
  </si>
  <si>
    <t>ETIQUETA AGROTAFOL BORO X LITRO</t>
  </si>
  <si>
    <t>MP-108</t>
  </si>
  <si>
    <t>ETIQUETA AGROTAFOL BORO X 500 ML</t>
  </si>
  <si>
    <t>MP-109</t>
  </si>
  <si>
    <t>ETIQUETA AGROTAFOL BORO X 250 ML</t>
  </si>
  <si>
    <t>MP-110</t>
  </si>
  <si>
    <t>ETIQUETA AGROTAFOL AC X LITRO</t>
  </si>
  <si>
    <t>MP-113</t>
  </si>
  <si>
    <t>ETIQUETA ORGANIC POWER X LITRO</t>
  </si>
  <si>
    <t>MP-114</t>
  </si>
  <si>
    <t>ETIQUETA ORGANIC POWER X 250 ML</t>
  </si>
  <si>
    <t>MP-117</t>
  </si>
  <si>
    <t>ETIQUETA SINOMITE X LITRO</t>
  </si>
  <si>
    <t>MP-121</t>
  </si>
  <si>
    <t>ETIQUETA SINOZOX X 500 ML</t>
  </si>
  <si>
    <t>MP-122</t>
  </si>
  <si>
    <t>ETIQUETA SINOZOX X 100 ML</t>
  </si>
  <si>
    <t>MP-123</t>
  </si>
  <si>
    <t>ETIQUETA LETAL X 500 ML</t>
  </si>
  <si>
    <t>MP-1234</t>
  </si>
  <si>
    <t>ETIQUETA SKEKURA X 500 GRS DEL</t>
  </si>
  <si>
    <t>MP-1235</t>
  </si>
  <si>
    <t>TENSOACTIVO PLUS</t>
  </si>
  <si>
    <t>MP-124</t>
  </si>
  <si>
    <t>ETIQUETA LETAL X 250 ML</t>
  </si>
  <si>
    <t>MP-125</t>
  </si>
  <si>
    <t>ETIQUETA LETAL X 100 ML</t>
  </si>
  <si>
    <t>MP-126</t>
  </si>
  <si>
    <t>ETIQUETA PARALANCHA X 500 GRS / DELANTER</t>
  </si>
  <si>
    <t>MP-1262</t>
  </si>
  <si>
    <t>MP-1266</t>
  </si>
  <si>
    <t>16-16-12+1B X GALON</t>
  </si>
  <si>
    <t>MP-128</t>
  </si>
  <si>
    <t>ETIQUETA SARGENT X LITRO</t>
  </si>
  <si>
    <t>MP-129</t>
  </si>
  <si>
    <t>ETIQUETA SARGENT X 250 ML</t>
  </si>
  <si>
    <t>MP-130</t>
  </si>
  <si>
    <t>ETIQUETA FAST X LITRO</t>
  </si>
  <si>
    <t>MP-131</t>
  </si>
  <si>
    <t>ETIQUETA FAST X 250 ML</t>
  </si>
  <si>
    <t>MP-132</t>
  </si>
  <si>
    <t>ETIQUETA FAST X 100 ML</t>
  </si>
  <si>
    <t>MP-1323</t>
  </si>
  <si>
    <t>ETIQUETA SKEKURA X 500 GRS POST</t>
  </si>
  <si>
    <t>MP-133</t>
  </si>
  <si>
    <t>ETIQUETA SCOBA X LITRO</t>
  </si>
  <si>
    <t>MP-134</t>
  </si>
  <si>
    <t>ETIQUETA SCOBA X 250 ML</t>
  </si>
  <si>
    <t>MP-135</t>
  </si>
  <si>
    <t>ETIQUETA SCOBA X 100 ML</t>
  </si>
  <si>
    <t>MP-136</t>
  </si>
  <si>
    <t>ETIQUETA SCOBA X 50 ML</t>
  </si>
  <si>
    <t>MP-137</t>
  </si>
  <si>
    <t>ETIQUETA BOTRYAZOLE X LITRO</t>
  </si>
  <si>
    <t>MP-138</t>
  </si>
  <si>
    <t>ETIQUETA BOTRYAZOLE X 250 ML</t>
  </si>
  <si>
    <t>MP-140</t>
  </si>
  <si>
    <t>ETIQUETA SINOTYL X KILO</t>
  </si>
  <si>
    <t>MP-141</t>
  </si>
  <si>
    <t>ETIQUETA SINOTYL X 500 GRS - DELANTERA</t>
  </si>
  <si>
    <t>MP-146</t>
  </si>
  <si>
    <t>ETIQUETA SITI X 500 GRS</t>
  </si>
  <si>
    <t>MP-147</t>
  </si>
  <si>
    <t>ETIQUETA SITI X 250 GRS</t>
  </si>
  <si>
    <t>MP-148</t>
  </si>
  <si>
    <t>ETIQUETA SKEKURA X LITRO</t>
  </si>
  <si>
    <t>MP-149</t>
  </si>
  <si>
    <t>MP-150</t>
  </si>
  <si>
    <t>ETIQUETA SKEKURA X 100 ML</t>
  </si>
  <si>
    <t>MP-151</t>
  </si>
  <si>
    <t>ETIQUETA SKEKURA X KILO</t>
  </si>
  <si>
    <t>MP-152</t>
  </si>
  <si>
    <t>ETIQUETA SKEKURA X 250 GRS</t>
  </si>
  <si>
    <t>MP-156</t>
  </si>
  <si>
    <t>ETIQUETA SPIN X 500 ML</t>
  </si>
  <si>
    <t>MP-157</t>
  </si>
  <si>
    <t>ETIQUETA SPIN X 250 ML</t>
  </si>
  <si>
    <t>MP-160</t>
  </si>
  <si>
    <t>ETIQUETA AGROTHANE X 500 GRS</t>
  </si>
  <si>
    <t>MP-162</t>
  </si>
  <si>
    <t>ETIQUETA BUCANER X LITRO</t>
  </si>
  <si>
    <t>MP-163</t>
  </si>
  <si>
    <t>ETIQUETA BUCANER X 500 ML</t>
  </si>
  <si>
    <t>MP-164</t>
  </si>
  <si>
    <t>ETIQUETA BUCANER X 250 ML</t>
  </si>
  <si>
    <t>MP-168</t>
  </si>
  <si>
    <t>ETIQUETA GLIFOSATO X LITRO</t>
  </si>
  <si>
    <t>MP-170</t>
  </si>
  <si>
    <t>ETIQUETA AGROTAMINA X LITRO</t>
  </si>
  <si>
    <t>MP-173</t>
  </si>
  <si>
    <t>ETIQUETA AGROTALINA X LITRO</t>
  </si>
  <si>
    <t>MP-176</t>
  </si>
  <si>
    <t>ETIQUETA TOKAL X 250 ML</t>
  </si>
  <si>
    <t>MP-177</t>
  </si>
  <si>
    <t>ETIQUETA FIERA X LITRO</t>
  </si>
  <si>
    <t>MP-180</t>
  </si>
  <si>
    <t>ETIQUETA KEMADOR X LITRO</t>
  </si>
  <si>
    <t>MP-181</t>
  </si>
  <si>
    <t>ETIQUETA KEMADOR X GALON</t>
  </si>
  <si>
    <t>MP-183</t>
  </si>
  <si>
    <t>ETIQUETA TANQUE X LITRO</t>
  </si>
  <si>
    <t>MP-186</t>
  </si>
  <si>
    <t>ETIQUETA AGROTAFIX X LITRO</t>
  </si>
  <si>
    <t>MP-187</t>
  </si>
  <si>
    <t>ETIQUETA AGROTAFIX X 250 ML</t>
  </si>
  <si>
    <t>MP-188</t>
  </si>
  <si>
    <t>ETIQUETA AGROTAFOL PH X LITRO</t>
  </si>
  <si>
    <t>MP-189</t>
  </si>
  <si>
    <t>ETIQUETA AGROTAFOL PH X 100 ML</t>
  </si>
  <si>
    <t>MP-190</t>
  </si>
  <si>
    <t>ETIQUETA ANIQUILADOR X LITRO</t>
  </si>
  <si>
    <t>MP-191</t>
  </si>
  <si>
    <t>ETIQUETA ANIQUILADOR X 100 ML</t>
  </si>
  <si>
    <t>MP-193</t>
  </si>
  <si>
    <t>ETIQUETA CAPITAN X 500 ML</t>
  </si>
  <si>
    <t>MP-1945</t>
  </si>
  <si>
    <t>BENALAXYL + MANCOZEB  BLUE X 500 G</t>
  </si>
  <si>
    <t>MP-19451</t>
  </si>
  <si>
    <t>ETIQUETA RIDONATE X 200 ML</t>
  </si>
  <si>
    <t>MP-19452</t>
  </si>
  <si>
    <t>ETIQUETA BUCANER FORTE X 250 ML</t>
  </si>
  <si>
    <t>MP-19453</t>
  </si>
  <si>
    <t>ETIQUETA BUCANER X 100 ML</t>
  </si>
  <si>
    <t>MP-19454</t>
  </si>
  <si>
    <t>ETIQUETA RIDONATE X 100 ML</t>
  </si>
  <si>
    <t>MP-19455</t>
  </si>
  <si>
    <t>ETIQUETA RIDONATE X 400 ML</t>
  </si>
  <si>
    <t>MP-19456</t>
  </si>
  <si>
    <t>ETIQUETA BUCANER FORTE X 500 ML</t>
  </si>
  <si>
    <t>MP-19457</t>
  </si>
  <si>
    <t>ETIQUETA BUCANER FORTE X 100 ML</t>
  </si>
  <si>
    <t>MP-19458</t>
  </si>
  <si>
    <t>ETIQUETA GREEN GIBB DELANTERA</t>
  </si>
  <si>
    <t>MP-19459</t>
  </si>
  <si>
    <t>ETIQUETA GREEN GIBB POSTERIOR</t>
  </si>
  <si>
    <t>MP-1946</t>
  </si>
  <si>
    <t>CIROMAZINA 75%WP PREIMPRESA X 50 G</t>
  </si>
  <si>
    <t>MP-195</t>
  </si>
  <si>
    <t>ETIQUETA LABOMBA X LITRO</t>
  </si>
  <si>
    <t>MP-197</t>
  </si>
  <si>
    <t>ETIQUETA LORFOS X LITRO</t>
  </si>
  <si>
    <t>MP-198</t>
  </si>
  <si>
    <t>ETIQUETA LORFOS X 250 ML</t>
  </si>
  <si>
    <t>MP-200</t>
  </si>
  <si>
    <t>ETIQUETA ENDOSULFAN X 250 ML</t>
  </si>
  <si>
    <t>MP-201</t>
  </si>
  <si>
    <t>ETIQUETA CIPERMETRINA X LITRO</t>
  </si>
  <si>
    <t>MP-206</t>
  </si>
  <si>
    <t>ETIQUETA DEPREDADOR X 300 GRS</t>
  </si>
  <si>
    <t>MP-207</t>
  </si>
  <si>
    <t>ETIQUETA DEPREDADOR X 100 GRS</t>
  </si>
  <si>
    <t>MP-208</t>
  </si>
  <si>
    <t>ETIQUETA FULMINANTE  X 50 GRS / DELANTER</t>
  </si>
  <si>
    <t>MP-211</t>
  </si>
  <si>
    <t>ETIQUETA SKEMATA X 100 ML</t>
  </si>
  <si>
    <t>MP-212</t>
  </si>
  <si>
    <t>ETIQUETA SKEMATA X 250 ML</t>
  </si>
  <si>
    <t>MP-213</t>
  </si>
  <si>
    <t>ETIQUETA SKEMATA X 500 ML</t>
  </si>
  <si>
    <t>MP-214</t>
  </si>
  <si>
    <t>ETIQUETA SKEMATA X LITRO</t>
  </si>
  <si>
    <t>MP-216</t>
  </si>
  <si>
    <t>ENVASE PET LITRO</t>
  </si>
  <si>
    <t>MP-217</t>
  </si>
  <si>
    <t>ENVASE PET 500 ML</t>
  </si>
  <si>
    <t>MP-218</t>
  </si>
  <si>
    <t>ENVASE PET 250 ML</t>
  </si>
  <si>
    <t>MP-219</t>
  </si>
  <si>
    <t>ENVASE AGROGALON</t>
  </si>
  <si>
    <t>MP-221</t>
  </si>
  <si>
    <t>ENVASE AGROBALA 1/2 LITRO</t>
  </si>
  <si>
    <t>MP-222</t>
  </si>
  <si>
    <t>ENVASE AGROBALA 1/4 LITRO</t>
  </si>
  <si>
    <t>MP-223</t>
  </si>
  <si>
    <t>ENVASE FARMACEUTICO 120 ML</t>
  </si>
  <si>
    <t>MP-224</t>
  </si>
  <si>
    <t>ENVASE FARMACEUTICO 60 ML</t>
  </si>
  <si>
    <t>MP-225</t>
  </si>
  <si>
    <t>ENVASE PARAGUAS PREIMPRESA</t>
  </si>
  <si>
    <t>MP-227</t>
  </si>
  <si>
    <t>ENVASE TROMBA 250 G PREIMPRESA</t>
  </si>
  <si>
    <t>MP-228</t>
  </si>
  <si>
    <t>ENVASE AGROTHANE KG PREIMPRESA</t>
  </si>
  <si>
    <t>MP-229</t>
  </si>
  <si>
    <t>ENVASE ATRAZINA KG PREIMPRESA</t>
  </si>
  <si>
    <t>MP-230</t>
  </si>
  <si>
    <t>ETIQUETA ESTAMPIDA X 100 ML</t>
  </si>
  <si>
    <t>MP-234</t>
  </si>
  <si>
    <t>ETIQUETA ESTAMPIDA X 250 ML</t>
  </si>
  <si>
    <t>MP-241</t>
  </si>
  <si>
    <t>MP-246</t>
  </si>
  <si>
    <t>ETIQUETA SINOPRID X 500 GMS / DELANTERA</t>
  </si>
  <si>
    <t>MP-248</t>
  </si>
  <si>
    <t>ETIQUETA ORGANIC POWER X 500 ML</t>
  </si>
  <si>
    <t>MP-249</t>
  </si>
  <si>
    <t>ENVASE PREIMPRESO SKEKURA WP X 100 GMS</t>
  </si>
  <si>
    <t>MP-251</t>
  </si>
  <si>
    <t>ETIQUETA YOGA X LITRO</t>
  </si>
  <si>
    <t>MP-254</t>
  </si>
  <si>
    <t>ETIQUETA SINOPRID X 50 GMS</t>
  </si>
  <si>
    <t>MP-255</t>
  </si>
  <si>
    <t>ETIQUETA YOGA X 100 ML</t>
  </si>
  <si>
    <t>MP-259</t>
  </si>
  <si>
    <t>PROPICONAZOL 25 % EC</t>
  </si>
  <si>
    <t>MP-26</t>
  </si>
  <si>
    <t>ETIQUETA FULMINANTE X 50 GMS / TRASERA</t>
  </si>
  <si>
    <t>MP-2601</t>
  </si>
  <si>
    <t>ETIQUETA FULMINANTE DEL AGRIPAC</t>
  </si>
  <si>
    <t>MP-2602</t>
  </si>
  <si>
    <t>ETIQUETA FULMINANTE POST AGRIPAC</t>
  </si>
  <si>
    <t>MP-261</t>
  </si>
  <si>
    <t>ETIQUETA RAIZ FORTE X LITRO</t>
  </si>
  <si>
    <t>MP-2611</t>
  </si>
  <si>
    <t>ETIQUETA RAIZ FORTE X 500 ML</t>
  </si>
  <si>
    <t>MP-262</t>
  </si>
  <si>
    <t>16-16-12 -1B x 500 ml</t>
  </si>
  <si>
    <t>MP-2621</t>
  </si>
  <si>
    <t>MP-265</t>
  </si>
  <si>
    <t>ENVASE SINOPRID X 100 GMS PREIMPRESA</t>
  </si>
  <si>
    <t>MP-267</t>
  </si>
  <si>
    <t>CARBENDAZIM 50 % WP 25 KG (Kg)</t>
  </si>
  <si>
    <t>MP-268</t>
  </si>
  <si>
    <t>ETIQUETA AGROTAFIX X 100 ML</t>
  </si>
  <si>
    <t>MP-2681</t>
  </si>
  <si>
    <t>ETIQUETA AGROTAFIX PLUS X 100 ML</t>
  </si>
  <si>
    <t>MP-269</t>
  </si>
  <si>
    <t>ETIQUETA AGROCARBOFURAN X LITRO</t>
  </si>
  <si>
    <t>MP-270</t>
  </si>
  <si>
    <t>ETIQUETA AGROCARBOFURAN X 250 ML</t>
  </si>
  <si>
    <t>MP-271</t>
  </si>
  <si>
    <t>ENVASE AGROBALA X 100 ML</t>
  </si>
  <si>
    <t>MP-273</t>
  </si>
  <si>
    <t>ETIQUETA AGROVERDOL X 500 ML</t>
  </si>
  <si>
    <t>MP-274</t>
  </si>
  <si>
    <t>ETIQUETA SINOTOP X LITRO</t>
  </si>
  <si>
    <t>MP-275</t>
  </si>
  <si>
    <t>ETIQUETA SINOTOP X 100 ML</t>
  </si>
  <si>
    <t>MP-276</t>
  </si>
  <si>
    <t>ETIQUETA AGROTASULF X LITRO</t>
  </si>
  <si>
    <t>MP-279</t>
  </si>
  <si>
    <t>ETIQUETA SKEKURA X 200 GMS</t>
  </si>
  <si>
    <t>MP-2791</t>
  </si>
  <si>
    <t>ETIQUETA SKEKURA 200 GRS DELANTERA</t>
  </si>
  <si>
    <t xml:space="preserve">MP-2792        </t>
  </si>
  <si>
    <t>ETIQUETA SKEKURA X 200 GRS POSTERIOR</t>
  </si>
  <si>
    <t>MP-284</t>
  </si>
  <si>
    <t>ETIQUETA CITOQMAX X LITRO</t>
  </si>
  <si>
    <t>MP-285</t>
  </si>
  <si>
    <t>ETIQUETA AGROVERDOL X LITRO</t>
  </si>
  <si>
    <t>MP-289</t>
  </si>
  <si>
    <t>MP-2891</t>
  </si>
  <si>
    <t>ETIQUETA CIROMAZINA  50 GRS AGROMAC ( DEL)</t>
  </si>
  <si>
    <t>MP-292</t>
  </si>
  <si>
    <t>ENVASE COEX 125 g X LITRO</t>
  </si>
  <si>
    <t>MP-310</t>
  </si>
  <si>
    <t>ENVASE SINOTYL X 100 GMS PREIMPRESO</t>
  </si>
  <si>
    <t>MP-313</t>
  </si>
  <si>
    <t>FOSETIL ALUMINIO 80 %   X 25 KG</t>
  </si>
  <si>
    <t>MP-315</t>
  </si>
  <si>
    <t>ENVASE AGROTAFOL DESARROLLO X KILO PREIM</t>
  </si>
  <si>
    <t>MP-316</t>
  </si>
  <si>
    <t>ENVASE AGROTAFOL ENGROSE X KILO PREIMPRE</t>
  </si>
  <si>
    <t>MP-350</t>
  </si>
  <si>
    <t>ETIQUETA BIOBAN LITRO GALON 5 GL</t>
  </si>
  <si>
    <t>MP-351</t>
  </si>
  <si>
    <t>ETIQUETA VIRAFIN X LT</t>
  </si>
  <si>
    <t>MP-352</t>
  </si>
  <si>
    <t>ETIQUETA VIRAFIN X 250 ML</t>
  </si>
  <si>
    <t>MP-353</t>
  </si>
  <si>
    <t>ETIQUETA ESTAMPIDA ORGANICO X LITRO</t>
  </si>
  <si>
    <t>MP-358</t>
  </si>
  <si>
    <t>MP-359</t>
  </si>
  <si>
    <t>ETIQUETA ZULLY X 15 GRS DELANTERA</t>
  </si>
  <si>
    <t>MP-360</t>
  </si>
  <si>
    <t>ETIQUETA ZULLY X 15 GRS POSTERIOR</t>
  </si>
  <si>
    <t>MP-361</t>
  </si>
  <si>
    <t>ENVASE PREIMPRESO PARALANCHA 250/500 G</t>
  </si>
  <si>
    <t>MP-363</t>
  </si>
  <si>
    <t>ETIQUETA SKEKURA X 500 ML</t>
  </si>
  <si>
    <t>MP-366</t>
  </si>
  <si>
    <t>ETIQUETA BLINDAX X 100 ML</t>
  </si>
  <si>
    <t>MP-368</t>
  </si>
  <si>
    <t>ETIQUETA QUITA LATEX GALON - CANECA</t>
  </si>
  <si>
    <t>MP-370</t>
  </si>
  <si>
    <t>BENALAXIL + MANCOZEB BLUE X 25 KG</t>
  </si>
  <si>
    <t>MP-373</t>
  </si>
  <si>
    <t>LAMBDACIHALOTRINA 2,5% EC X 250 ML</t>
  </si>
  <si>
    <t>MP-374</t>
  </si>
  <si>
    <t>LAMBDACIHALOTRINA 2,5% EC X 100 ML</t>
  </si>
  <si>
    <t>MP-382</t>
  </si>
  <si>
    <t>DIFENOCONAZOLE COEX x LT</t>
  </si>
  <si>
    <t>MP-387</t>
  </si>
  <si>
    <t>MP-388</t>
  </si>
  <si>
    <t>ETIQUETA CIROMAZINA 50 GRS POST (AGROTA)</t>
  </si>
  <si>
    <t>MP-389</t>
  </si>
  <si>
    <t>ETIQUETA CIROMAZINA 50 GRS POST (F.A)</t>
  </si>
  <si>
    <t>MP-390</t>
  </si>
  <si>
    <t>ETIQUETA IMPULMAX X LITRO</t>
  </si>
  <si>
    <t>MP-391</t>
  </si>
  <si>
    <t>ETIQUETA IMPULMAX X 250 ML</t>
  </si>
  <si>
    <t>MP-392</t>
  </si>
  <si>
    <t>ETIQUETA UREUM LITRO-GALON-20 L</t>
  </si>
  <si>
    <t>MP-393</t>
  </si>
  <si>
    <t>ETIQUETA ANIQUILADOR X 250 ML</t>
  </si>
  <si>
    <t>MP-394</t>
  </si>
  <si>
    <t>ETIQUETA ANIQUILADOR X 500 ML</t>
  </si>
  <si>
    <t>MP-395</t>
  </si>
  <si>
    <t>ETIQUETA RAIZ FORTE G X KILO</t>
  </si>
  <si>
    <t>MP-396</t>
  </si>
  <si>
    <t>HUMICEL 20 LITROS</t>
  </si>
  <si>
    <t>MP-398</t>
  </si>
  <si>
    <t>KELAGRO MAGNESIO X 20 LITROS</t>
  </si>
  <si>
    <t>MP-400</t>
  </si>
  <si>
    <t>ETIQUETA TOKAL 400 X 500ML</t>
  </si>
  <si>
    <t>MP-402</t>
  </si>
  <si>
    <t>ABAMECTINA NEGRA 1.8% X 200L</t>
  </si>
  <si>
    <t>MP-407</t>
  </si>
  <si>
    <t>UREFOL X CANECA 20L</t>
  </si>
  <si>
    <t>MP-416</t>
  </si>
  <si>
    <t>PROPANIL X GL</t>
  </si>
  <si>
    <t>MP-459</t>
  </si>
  <si>
    <t>ENVASE PREIMPRESO AGROTAFOL COMBI X 200</t>
  </si>
  <si>
    <t>MP-460</t>
  </si>
  <si>
    <t>CARTAP 50 % PS 25KG</t>
  </si>
  <si>
    <t>MP-465</t>
  </si>
  <si>
    <t>IMIDACLOROPRID 25% WP X 25KL</t>
  </si>
  <si>
    <t>MP-542</t>
  </si>
  <si>
    <t>ETIQUETA BLINDAX LITRO GALON 20 L</t>
  </si>
  <si>
    <t>MP-543</t>
  </si>
  <si>
    <t>PARAQUAT X GALON</t>
  </si>
  <si>
    <t>MP-558</t>
  </si>
  <si>
    <t>CAJA COMBO FRESA</t>
  </si>
  <si>
    <t>MP-578</t>
  </si>
  <si>
    <t>16-16-12+ 1B X 5 GALO</t>
  </si>
  <si>
    <t>MP-6610</t>
  </si>
  <si>
    <t>ETIQUETA PROPILAQ POR 100ML</t>
  </si>
  <si>
    <t>MP-6612</t>
  </si>
  <si>
    <t>ETIQUETA RIDONATE X LITRO</t>
  </si>
  <si>
    <t>MP-6613</t>
  </si>
  <si>
    <t>ETIQUETA RIDONATE X 500 ML</t>
  </si>
  <si>
    <t>ETIQUETA RIDONATE X 250 ML</t>
  </si>
  <si>
    <t>mp-6615</t>
  </si>
  <si>
    <t>ETIQUETA PROPILAQ X  250ML</t>
  </si>
  <si>
    <t>MP-66690</t>
  </si>
  <si>
    <t>ETIQUETA CITOQMAX X 250 ML</t>
  </si>
  <si>
    <t>MP-667</t>
  </si>
  <si>
    <t>ETIQUETA PROPILAQ X LITRO</t>
  </si>
  <si>
    <t>MP-668</t>
  </si>
  <si>
    <t>TEBUCONAZOL 25% EC x 200 LT</t>
  </si>
  <si>
    <t>MP-6687</t>
  </si>
  <si>
    <t>ETIQUETA BIOBAN X 250 ML</t>
  </si>
  <si>
    <t>MP-669</t>
  </si>
  <si>
    <t>ETIQUETA QUBIK X LITRO</t>
  </si>
  <si>
    <t>MP-7091</t>
  </si>
  <si>
    <t>ETIQUETA FEGADAZIM X LITRO</t>
  </si>
  <si>
    <t>MP-7092</t>
  </si>
  <si>
    <t>ETIQUETA FEGADAZIM X 250 ML</t>
  </si>
  <si>
    <t>MP-767</t>
  </si>
  <si>
    <t>ENVASE CLON X LITRO</t>
  </si>
  <si>
    <t>MP-788</t>
  </si>
  <si>
    <t>ETIQUETA ABAMECTIN  X 100 ML</t>
  </si>
  <si>
    <t>MP-789</t>
  </si>
  <si>
    <t>ETIQUETA ABAMECTIN X LITRO</t>
  </si>
  <si>
    <t>MP-790</t>
  </si>
  <si>
    <t>TENSOACTIVO HUMECTANTE  PLUS  X 100 ML</t>
  </si>
  <si>
    <t>MP-791</t>
  </si>
  <si>
    <t>FOSFONATO POTASICO 70% X 500 ML</t>
  </si>
  <si>
    <t>MP-800</t>
  </si>
  <si>
    <t xml:space="preserve">ENVASE COEX 105g X LITRO   </t>
  </si>
  <si>
    <t>MP-801</t>
  </si>
  <si>
    <t xml:space="preserve">ENVASE COEX 60g X 500ML     </t>
  </si>
  <si>
    <t>MP-802</t>
  </si>
  <si>
    <t xml:space="preserve">ENVASE COEX 40g X 250ML    </t>
  </si>
  <si>
    <t>MP-803</t>
  </si>
  <si>
    <t xml:space="preserve">ENVASE COEX 20g X 100ML     </t>
  </si>
  <si>
    <t>MP-855</t>
  </si>
  <si>
    <t>ETIQUETA SUPERMATA TODO (RIERA) LT/GL</t>
  </si>
  <si>
    <t>MP-856</t>
  </si>
  <si>
    <t>ETIQUETA MOSKAFIN 100G (DR. AGRO)POST.</t>
  </si>
  <si>
    <t>MP-857</t>
  </si>
  <si>
    <t>ETIQUETA GLIFOSATO 20LT (RIERA)</t>
  </si>
  <si>
    <t>MP-858</t>
  </si>
  <si>
    <t>ETIQUETA SINOPRID 50 G / TRASERA</t>
  </si>
  <si>
    <t>MP-859</t>
  </si>
  <si>
    <t>ETIQUETA CIROMAZINA  50 GRS AGROMAC (POS</t>
  </si>
  <si>
    <t>MP-890</t>
  </si>
  <si>
    <t>BENALAXYL + MANCOZEB CREMA X 25 KILOS</t>
  </si>
  <si>
    <t>MP-897</t>
  </si>
  <si>
    <t>ETIQUETA LETAL X LITRO</t>
  </si>
  <si>
    <t>MY-008</t>
  </si>
  <si>
    <t>CILINDRO DEL MOTOR</t>
  </si>
  <si>
    <t>MY-010</t>
  </si>
  <si>
    <t>WASA CLUCTH</t>
  </si>
  <si>
    <t>MY-011</t>
  </si>
  <si>
    <t>TORNILLO DEL CLUTH</t>
  </si>
  <si>
    <t>MY-012</t>
  </si>
  <si>
    <t>PISTON</t>
  </si>
  <si>
    <t>MY-014</t>
  </si>
  <si>
    <t>BALIENRA DEL CIGUENAL</t>
  </si>
  <si>
    <t>MY-016</t>
  </si>
  <si>
    <t>EMPAQUE SILIENCIADOR</t>
  </si>
  <si>
    <t>MY-019</t>
  </si>
  <si>
    <t>BASE DIAFRAGMAS BC 420</t>
  </si>
  <si>
    <t>MY-024</t>
  </si>
  <si>
    <t>DIAFRAGMA CARBURADOR  BC420 190405</t>
  </si>
  <si>
    <t>MY-025</t>
  </si>
  <si>
    <t>DIAFRAGMA CARBURADOR BC 420 190408</t>
  </si>
  <si>
    <t>MY-029</t>
  </si>
  <si>
    <t>ESTABILIZADOR CUCHILLA BC 320H</t>
  </si>
  <si>
    <t>MY-032</t>
  </si>
  <si>
    <t>VALVULA DE V.R.P. COMPLETA</t>
  </si>
  <si>
    <t>MY-040</t>
  </si>
  <si>
    <t>COLLAR</t>
  </si>
  <si>
    <t>MY1903-25</t>
  </si>
  <si>
    <t>1903-25 PISTON</t>
  </si>
  <si>
    <t>MY-1903-26</t>
  </si>
  <si>
    <t>1903-26 ANILLO DEL PISTON</t>
  </si>
  <si>
    <t>MY-1903-27</t>
  </si>
  <si>
    <t>1903-27 PIN DEL PISTON</t>
  </si>
  <si>
    <t>MY-36</t>
  </si>
  <si>
    <t>CILINDRO 7304-02</t>
  </si>
  <si>
    <t>NEW-001</t>
  </si>
  <si>
    <t>FILTRO HIDRAULICO 1920986-1</t>
  </si>
  <si>
    <t>NEW-010</t>
  </si>
  <si>
    <t>FILTRO DE ACETIE 81879134UK</t>
  </si>
  <si>
    <t>NEW-D8NN-B486-D</t>
  </si>
  <si>
    <t>FILTRO HDCO 4-5-6-7600 S10 S 30 D8NN-B48</t>
  </si>
  <si>
    <t>N-OO1</t>
  </si>
  <si>
    <t>RAICES 500</t>
  </si>
  <si>
    <t>OR2021</t>
  </si>
  <si>
    <t>AN. ANTIES 6.2X9X1.5</t>
  </si>
  <si>
    <t>OT-00040</t>
  </si>
  <si>
    <t>KIT ESPADA Y CADENA 14"</t>
  </si>
  <si>
    <t>OT-0010</t>
  </si>
  <si>
    <t>DESARMADOR PLANO Y ESTRELLA SHINDAIWA</t>
  </si>
  <si>
    <t>OT-00404</t>
  </si>
  <si>
    <t>IMPULSOR DM-6110</t>
  </si>
  <si>
    <t>OT-015</t>
  </si>
  <si>
    <t>MOTOR 10HP WEG 1800RPM 220/440V</t>
  </si>
  <si>
    <t>OT-059</t>
  </si>
  <si>
    <t>CORONA DE TRACTOR LAMBORGINI</t>
  </si>
  <si>
    <t>OT-085</t>
  </si>
  <si>
    <t>BOMBA PRESION 10HP/F400 DIESEL</t>
  </si>
  <si>
    <t>OT-1000</t>
  </si>
  <si>
    <t>PINZA SEGURO INTERNO CUVO</t>
  </si>
  <si>
    <t>OT-1001</t>
  </si>
  <si>
    <t>PLAYO</t>
  </si>
  <si>
    <t>OT-1002</t>
  </si>
  <si>
    <t>PINZA PATA CONICA</t>
  </si>
  <si>
    <t>OT-1003</t>
  </si>
  <si>
    <t>PORTA MACHUELOS</t>
  </si>
  <si>
    <t>OT-1004</t>
  </si>
  <si>
    <t>CORTADORA DE ZUNCHOS SANDUIK</t>
  </si>
  <si>
    <t>OT-1006</t>
  </si>
  <si>
    <t>QUEMADOR DE GAS-MANGUERA-VALVULA</t>
  </si>
  <si>
    <t>OT-1017</t>
  </si>
  <si>
    <t>PINZA SACA BOCADOR</t>
  </si>
  <si>
    <t>OT-1020</t>
  </si>
  <si>
    <t>LINTERNA</t>
  </si>
  <si>
    <t>OT-1025</t>
  </si>
  <si>
    <t>LLAVE TUBO 24";LLAVE TUBO 24""</t>
  </si>
  <si>
    <t>OT-1030</t>
  </si>
  <si>
    <t>ZS1100-1120 FILTRO DE AIRE</t>
  </si>
  <si>
    <t>OT-1031</t>
  </si>
  <si>
    <t>ZS1100-CO506A FILTRO DE GASOLINA</t>
  </si>
  <si>
    <t>OT-1032</t>
  </si>
  <si>
    <t>PRENSA HIDRAULICA 20T</t>
  </si>
  <si>
    <t>OT-1033</t>
  </si>
  <si>
    <t>BOMBA DE FUMIGAR ANOBI REVERVERI 1 SALIDA</t>
  </si>
  <si>
    <t>OT-1041</t>
  </si>
  <si>
    <t>BOMBA DE AGUA DIESEL CWD 50XL</t>
  </si>
  <si>
    <t xml:space="preserve">OT-1050  </t>
  </si>
  <si>
    <t xml:space="preserve">TECLE HIDRAULICO </t>
  </si>
  <si>
    <t>OT-1051</t>
  </si>
  <si>
    <t xml:space="preserve">MOTOR 18HP EJE RECTO </t>
  </si>
  <si>
    <t>OT-107</t>
  </si>
  <si>
    <t>MOTOR GASO 16 HP EJE RECTO I/C B&amp;S</t>
  </si>
  <si>
    <t>MOTOR GASOLINA</t>
  </si>
  <si>
    <t xml:space="preserve">MOTOR GASO 6 HP INTEK EJE RECTO  </t>
  </si>
  <si>
    <t>OT-126</t>
  </si>
  <si>
    <t>ESPARCIDORA FERTILIZANTE SITREX500 Y CAR</t>
  </si>
  <si>
    <t xml:space="preserve">OT-15   </t>
  </si>
  <si>
    <t xml:space="preserve">ESMERIL DE PEDESTAL </t>
  </si>
  <si>
    <t>OT-154</t>
  </si>
  <si>
    <t>BASES PARA TERCER PUNTO(JINMA)</t>
  </si>
  <si>
    <t>OT-159</t>
  </si>
  <si>
    <t>VALVULAS CHEQUE 2 DE BRONCE"</t>
  </si>
  <si>
    <t>OT-16</t>
  </si>
  <si>
    <t>JUEGO COMPRESOR</t>
  </si>
  <si>
    <t>OT-2316</t>
  </si>
  <si>
    <t>BOMBA 2" DE CAUDAL WP 2-40 (SIN MOTOR)</t>
  </si>
  <si>
    <t>OT-2317</t>
  </si>
  <si>
    <t>BOMBA AGUA 6.5HP 3" (SIN MOTOR)</t>
  </si>
  <si>
    <t>OT-237</t>
  </si>
  <si>
    <t>CAJON DE HERRAMIENTAS # 1</t>
  </si>
  <si>
    <t>OT-238</t>
  </si>
  <si>
    <t>CAJON DE HERRAMIENTAS # 2</t>
  </si>
  <si>
    <t>OT-240</t>
  </si>
  <si>
    <t>CAJON DE HERRAMIENTAS # 3</t>
  </si>
  <si>
    <t>OT-247</t>
  </si>
  <si>
    <t>BOMBA DE AGUA 5.5 2 (SIN MOTOR)"</t>
  </si>
  <si>
    <t>OT-25</t>
  </si>
  <si>
    <t>POLEA B3.5 1RAN  28MM. MEZCLADORA</t>
  </si>
  <si>
    <t>MEZCLADORAS</t>
  </si>
  <si>
    <t>OT-2653</t>
  </si>
  <si>
    <t>VALVULA DE PIE</t>
  </si>
  <si>
    <t>OT-326</t>
  </si>
  <si>
    <t>MOTOR DIESEL 13.2 HP JIANG DONG</t>
  </si>
  <si>
    <t>MOTOR DIESEL</t>
  </si>
  <si>
    <t>OT-401</t>
  </si>
  <si>
    <t>GATA HIDRAULICA DE RUEDAS 2.5</t>
  </si>
  <si>
    <t>OT-412</t>
  </si>
  <si>
    <t>ACEITE SUPER DIESEL 25W40</t>
  </si>
  <si>
    <t>OT-421</t>
  </si>
  <si>
    <t xml:space="preserve">TECLE TIGER 5T-3M-ACCION C.CADE </t>
  </si>
  <si>
    <t>OT-457</t>
  </si>
  <si>
    <t>DESENGRASANTE NEUTRO</t>
  </si>
  <si>
    <t>OT-480</t>
  </si>
  <si>
    <t>POLEA MIXTA 3.5" Y 4"/DESGRA/GASO</t>
  </si>
  <si>
    <t>OT-482</t>
  </si>
  <si>
    <t>POLEA B2.5"/1RAN,5/8",ELECTRI/TRAPICHE</t>
  </si>
  <si>
    <t xml:space="preserve">ACCESORIOS TRAPICHES </t>
  </si>
  <si>
    <t>OT-483</t>
  </si>
  <si>
    <t>POLEA A3.5  1RAN,5 8  ELECT</t>
  </si>
  <si>
    <t>OT-523</t>
  </si>
  <si>
    <t>MOTOR 2HP EBERLE 1800RPM 110/220V</t>
  </si>
  <si>
    <t>OT-5632</t>
  </si>
  <si>
    <t>ACOPLE P  BOMBA DE GASOLINA B&amp;S</t>
  </si>
  <si>
    <t>OT-5633</t>
  </si>
  <si>
    <t>POLEA 4" 2 RANURAS HUECO 1"</t>
  </si>
  <si>
    <t>ACCESORIOS COSECHADORAS</t>
  </si>
  <si>
    <t>OT-5634</t>
  </si>
  <si>
    <t>POLEA 4" 2 RANURAS HUECO 38MM</t>
  </si>
  <si>
    <t>OT-5635</t>
  </si>
  <si>
    <t>POLEA 4" 1 RANURA HUECO 16MM</t>
  </si>
  <si>
    <t>OT-5643</t>
  </si>
  <si>
    <t>MANGUERA 5/16, 10 MTS</t>
  </si>
  <si>
    <t>OT-585</t>
  </si>
  <si>
    <t>BUJIA 7A</t>
  </si>
  <si>
    <t xml:space="preserve">OT-601  </t>
  </si>
  <si>
    <t>TECLE TIGER 1.1/2T-2.5M</t>
  </si>
  <si>
    <t>OT-65</t>
  </si>
  <si>
    <t>LLAVE PICO DE LORO 12";LLAVE PICO DE LORO 12""</t>
  </si>
  <si>
    <t>OT-65765</t>
  </si>
  <si>
    <t>65765 TAPA ACEI. MOTOR FORD 6600-7600-S1</t>
  </si>
  <si>
    <t xml:space="preserve">OT-664 </t>
  </si>
  <si>
    <t>TANQUE APILABLE 500LTRS</t>
  </si>
  <si>
    <t>OT-687</t>
  </si>
  <si>
    <t>DISCO SIERRA 48 DIENTES</t>
  </si>
  <si>
    <t>OT-693</t>
  </si>
  <si>
    <t>ORGANIC POWER X LT</t>
  </si>
  <si>
    <t>OT-702</t>
  </si>
  <si>
    <t>JUEGO DE RINES B&amp;S 9HP</t>
  </si>
  <si>
    <t>OT-703</t>
  </si>
  <si>
    <t>KIT DE CARBURADOR B&amp;S 9HP</t>
  </si>
  <si>
    <t>OT-704</t>
  </si>
  <si>
    <t>KIT DE EMPAQUES MOTOR B&amp;S 9HP</t>
  </si>
  <si>
    <t>OT-72LPX</t>
  </si>
  <si>
    <t>DIENTE CADENA 3/8 OREGON</t>
  </si>
  <si>
    <t xml:space="preserve">OT-744  </t>
  </si>
  <si>
    <t>CARRETILLA P/ BODEGA 2 POSTURAS ROJA 16.5 KG</t>
  </si>
  <si>
    <t>OT-749</t>
  </si>
  <si>
    <t>BRAZO GUIADOR IZQUIERDO</t>
  </si>
  <si>
    <t>OT-75</t>
  </si>
  <si>
    <t>ENGRASADORA</t>
  </si>
  <si>
    <t>OT-750</t>
  </si>
  <si>
    <t>BRAZO GUIADOR DERECHO</t>
  </si>
  <si>
    <t xml:space="preserve">OT-7846 </t>
  </si>
  <si>
    <t xml:space="preserve">REMACHADORA </t>
  </si>
  <si>
    <t>OT-845</t>
  </si>
  <si>
    <t>MANGUERA DE SUCCION 3-6MT(1)"</t>
  </si>
  <si>
    <t>OT-848</t>
  </si>
  <si>
    <t>POLEA 4" 1 RANURA HUECO 3/4</t>
  </si>
  <si>
    <t>OT-854</t>
  </si>
  <si>
    <t xml:space="preserve">OT-880 </t>
  </si>
  <si>
    <t>ZAPAPICO KILOS PULIDO</t>
  </si>
  <si>
    <t>OT-881</t>
  </si>
  <si>
    <t xml:space="preserve">CABO P/ZAPAPICO  </t>
  </si>
  <si>
    <t xml:space="preserve">OT-882  </t>
  </si>
  <si>
    <t>PALA P/JARDIN</t>
  </si>
  <si>
    <t>OT-900</t>
  </si>
  <si>
    <t>CAMISETAS</t>
  </si>
  <si>
    <t xml:space="preserve">OT-990  </t>
  </si>
  <si>
    <t xml:space="preserve">LAVADORA BOSCH </t>
  </si>
  <si>
    <t>OT-997</t>
  </si>
  <si>
    <t>ACEITE CELERITY 2T 24/4</t>
  </si>
  <si>
    <t>ACEITES Y GRASA</t>
  </si>
  <si>
    <t>OTROS</t>
  </si>
  <si>
    <t>OT-999</t>
  </si>
  <si>
    <t>PINZA SEGURO INTERNO</t>
  </si>
  <si>
    <t>OT-A20</t>
  </si>
  <si>
    <t>BANDA A-20</t>
  </si>
  <si>
    <t>OT-A30</t>
  </si>
  <si>
    <t>BANDA A-30</t>
  </si>
  <si>
    <t>OT-A36</t>
  </si>
  <si>
    <t>BANDA A-36</t>
  </si>
  <si>
    <t>OT-A40</t>
  </si>
  <si>
    <t>BANDA A-40</t>
  </si>
  <si>
    <t>OT-A54</t>
  </si>
  <si>
    <t>BANDA A-54</t>
  </si>
  <si>
    <t>OT-A56</t>
  </si>
  <si>
    <t>BANDA A-56</t>
  </si>
  <si>
    <t>OT-A75</t>
  </si>
  <si>
    <t>BANDA A-75</t>
  </si>
  <si>
    <t>OT-AG001</t>
  </si>
  <si>
    <t xml:space="preserve">AGUILON DE FUMIGACION  </t>
  </si>
  <si>
    <t>OT-B67</t>
  </si>
  <si>
    <t>BANDA B-67</t>
  </si>
  <si>
    <t>OT-B70</t>
  </si>
  <si>
    <t>BANDA B-70</t>
  </si>
  <si>
    <t>OT-B71</t>
  </si>
  <si>
    <t>BANDA B-71</t>
  </si>
  <si>
    <t>OT-B72</t>
  </si>
  <si>
    <t>BANDA B-72</t>
  </si>
  <si>
    <t>OT-B75</t>
  </si>
  <si>
    <t>BANDA B-75</t>
  </si>
  <si>
    <t>OT-B79</t>
  </si>
  <si>
    <t>BANDA B-79</t>
  </si>
  <si>
    <t>OT-B80</t>
  </si>
  <si>
    <t>BANDA B-90</t>
  </si>
  <si>
    <t>OT-B98</t>
  </si>
  <si>
    <t>BANDA B-98</t>
  </si>
  <si>
    <t>OT-CARB002</t>
  </si>
  <si>
    <t>CARBURADOR PARA MOTOR 16HP I/C</t>
  </si>
  <si>
    <t>OT-FILC001</t>
  </si>
  <si>
    <t>FILTROS CARTUCHO MOTOR 8HP</t>
  </si>
  <si>
    <t>OT-PULS</t>
  </si>
  <si>
    <t>PULSADOR JD-91</t>
  </si>
  <si>
    <t>ACCESORIOS ORDENOS MECANICOS</t>
  </si>
  <si>
    <t>OT-SRAH-ADAP</t>
  </si>
  <si>
    <t>ADAPTADOR PARA CABEZAL SRAH-205</t>
  </si>
  <si>
    <t>OT-VANG18HP</t>
  </si>
  <si>
    <t>MOTOR GASOLINA VANGUARD EJE RECTO</t>
  </si>
  <si>
    <t>P-001</t>
  </si>
  <si>
    <t>CAJA COMBO PRO</t>
  </si>
  <si>
    <t>P-0010</t>
  </si>
  <si>
    <t>CAJA COMBO ARROZ INICIAL</t>
  </si>
  <si>
    <t>P-0011</t>
  </si>
  <si>
    <t>CAJA COMBO MONILIA</t>
  </si>
  <si>
    <t>P-0012</t>
  </si>
  <si>
    <t>CAJA COMBO CACAO FLORACION</t>
  </si>
  <si>
    <t>P-0013</t>
  </si>
  <si>
    <t>CAJA COMBO MARACUYA</t>
  </si>
  <si>
    <t>P-0014</t>
  </si>
  <si>
    <t>CAJA COMBO ARROZ ENGROSE</t>
  </si>
  <si>
    <t>P-003</t>
  </si>
  <si>
    <t>CAJA COMBO MASTER INICIAL</t>
  </si>
  <si>
    <t>P-004</t>
  </si>
  <si>
    <t>CAJA COMBO MASTER ENGROSE</t>
  </si>
  <si>
    <t>P-005</t>
  </si>
  <si>
    <t>CAJA COMBO INSECTICIDA</t>
  </si>
  <si>
    <t>P-006</t>
  </si>
  <si>
    <t>CAJA COMBO ARROZ TOTAL</t>
  </si>
  <si>
    <t>P-007</t>
  </si>
  <si>
    <t>P-009</t>
  </si>
  <si>
    <t>CAJA COMBO PAPAYA</t>
  </si>
  <si>
    <t>PT-009</t>
  </si>
  <si>
    <t>AGROTAFOL AMINO X GL</t>
  </si>
  <si>
    <t>PT-268</t>
  </si>
  <si>
    <t>QUITALATEX  X GL</t>
  </si>
  <si>
    <t>PT-269</t>
  </si>
  <si>
    <t>QUITALATEX X 5 GL</t>
  </si>
  <si>
    <t>QU-012</t>
  </si>
  <si>
    <t>ANIQUILADOR X 250 ML</t>
  </si>
  <si>
    <t>QU-013</t>
  </si>
  <si>
    <t>ANIQUILADOR X 500 ML</t>
  </si>
  <si>
    <t>QUIM-001</t>
  </si>
  <si>
    <t>QUIM-002</t>
  </si>
  <si>
    <t>LETAL X 250 ML</t>
  </si>
  <si>
    <t>QUIM-003</t>
  </si>
  <si>
    <t>FULMINANTE  X 50 G</t>
  </si>
  <si>
    <t>QUIM-004</t>
  </si>
  <si>
    <t>SINOTYL X 500 G</t>
  </si>
  <si>
    <t>QUIM-005</t>
  </si>
  <si>
    <t>SINOTYL X KG</t>
  </si>
  <si>
    <t>QUIM-007</t>
  </si>
  <si>
    <t>SINOPRID X 500 G</t>
  </si>
  <si>
    <t>QUIM-008</t>
  </si>
  <si>
    <t>SINOPRID X 100 G</t>
  </si>
  <si>
    <t>QUIM-010</t>
  </si>
  <si>
    <t>ANIQUILADOR X LT</t>
  </si>
  <si>
    <t>QUIM-011</t>
  </si>
  <si>
    <t>ANIQUILADOR X 100 ML</t>
  </si>
  <si>
    <t>QUIM-013</t>
  </si>
  <si>
    <t>SKEMATA X LT</t>
  </si>
  <si>
    <t>QUIM-014</t>
  </si>
  <si>
    <t>SKEMATA X 500 ML</t>
  </si>
  <si>
    <t>QUIM-015</t>
  </si>
  <si>
    <t>SKEMATA X 250 ML</t>
  </si>
  <si>
    <t>QUIM-016</t>
  </si>
  <si>
    <t>SKEMATA X 100 ML</t>
  </si>
  <si>
    <t>QUIM-018</t>
  </si>
  <si>
    <t>LETAL X 100 ML</t>
  </si>
  <si>
    <t>QUIM-0181</t>
  </si>
  <si>
    <t>LETAL X LITRO</t>
  </si>
  <si>
    <t>QUIM-019</t>
  </si>
  <si>
    <t>SINOZOX X 100 ML</t>
  </si>
  <si>
    <t>QUIM-020</t>
  </si>
  <si>
    <t>DEPREDADOR X 100 G</t>
  </si>
  <si>
    <t>QUIM-021</t>
  </si>
  <si>
    <t>DEPREDADOR X 300 G</t>
  </si>
  <si>
    <t>QUIM-022</t>
  </si>
  <si>
    <t>PARALANCHA X 500 G</t>
  </si>
  <si>
    <t>QUIM-023</t>
  </si>
  <si>
    <t>PARALANCHA X 250 GRMS</t>
  </si>
  <si>
    <t>QUIM-024</t>
  </si>
  <si>
    <t>SINOZOX X 500 ML</t>
  </si>
  <si>
    <t>QUIM-025</t>
  </si>
  <si>
    <t>SINOZINE X 100 ML</t>
  </si>
  <si>
    <t>ROD 20 D6 629</t>
  </si>
  <si>
    <t>RODAMIENTO 20 D6 629-ZZ</t>
  </si>
  <si>
    <t>ROD 20-6002</t>
  </si>
  <si>
    <t>RODAMIENTO 20 D6 6002-2RS</t>
  </si>
  <si>
    <t>ROD-20 D6201</t>
  </si>
  <si>
    <t>RODAMIENTO 20D6 6201-2RS</t>
  </si>
  <si>
    <t>ROD-20 D6202</t>
  </si>
  <si>
    <t>RODAMIENTO 20 D6 6202-2RS</t>
  </si>
  <si>
    <t>ROD-20D6 6000</t>
  </si>
  <si>
    <t>RODAMIENTO 20 D6 6000-2RS</t>
  </si>
  <si>
    <t>ROD-62072ZJ</t>
  </si>
  <si>
    <t>RODAMIENTOS 6207 2Z JAPAN</t>
  </si>
  <si>
    <t>ROD-69002RS</t>
  </si>
  <si>
    <t>RODAMIENTOS 6900 2RS CMB</t>
  </si>
  <si>
    <t>RULIT-00102</t>
  </si>
  <si>
    <t>BANDA B-102</t>
  </si>
  <si>
    <t>RULIT-004</t>
  </si>
  <si>
    <t>BANDAS B-62</t>
  </si>
  <si>
    <t>RULIT-005</t>
  </si>
  <si>
    <t>BANDAS B-65</t>
  </si>
  <si>
    <t>RULIT-006</t>
  </si>
  <si>
    <t>BANDAS A-32</t>
  </si>
  <si>
    <t>RULIT-007</t>
  </si>
  <si>
    <t>BANDA B-44</t>
  </si>
  <si>
    <t xml:space="preserve">SE-014 </t>
  </si>
  <si>
    <t>CUCHILLA DE TRES PUNTAS 300 MM</t>
  </si>
  <si>
    <t>SE-025</t>
  </si>
  <si>
    <t>PULVERIZADOR A MOTOR MD.432</t>
  </si>
  <si>
    <t>SE-029</t>
  </si>
  <si>
    <t>BULON DEL PISTON MD.603-70-80-90</t>
  </si>
  <si>
    <t>SE-045</t>
  </si>
  <si>
    <t>TACOMETRO</t>
  </si>
  <si>
    <t>SE-075</t>
  </si>
  <si>
    <t>MANGUITO VITON MD.425-35.EMPAQUE PARA PI</t>
  </si>
  <si>
    <t>SE-091</t>
  </si>
  <si>
    <t>TORNILLO MD.130-34-40-41</t>
  </si>
  <si>
    <t>SE-112</t>
  </si>
  <si>
    <t>PISTON MD.425-35-56-57</t>
  </si>
  <si>
    <t>SE-140</t>
  </si>
  <si>
    <t>TUERCA RACORD MD.415-20-22-24-25-26-35</t>
  </si>
  <si>
    <t>SE-157</t>
  </si>
  <si>
    <t>PODADORA DE ALTURA SOLO(ACCESORIO)</t>
  </si>
  <si>
    <t xml:space="preserve">PODADORAS DE ALTURA </t>
  </si>
  <si>
    <t>SE-195</t>
  </si>
  <si>
    <t>BARRA TOBERA 2 SALIDAS</t>
  </si>
  <si>
    <t>SE-236</t>
  </si>
  <si>
    <t>TAPA DE FILTRO 20.74.113</t>
  </si>
  <si>
    <t>SE-253</t>
  </si>
  <si>
    <t>FILTRO DE AIRE 20.48.121</t>
  </si>
  <si>
    <t>SE-522</t>
  </si>
  <si>
    <t>KIT DE JUNTAS MD. 425/435</t>
  </si>
  <si>
    <t>SE-998</t>
  </si>
  <si>
    <t>SOPORTE</t>
  </si>
  <si>
    <t>SE-999</t>
  </si>
  <si>
    <t>BOMBA DE FUMIGAR MOTOR 20 LT. 432</t>
  </si>
  <si>
    <t>SH-02432-32120</t>
  </si>
  <si>
    <t>ANILLO DE RETENCION B450-C35</t>
  </si>
  <si>
    <t>SH-02432-35150</t>
  </si>
  <si>
    <t>ANILLO RETENCION C350-B450-B</t>
  </si>
  <si>
    <t>SH-036</t>
  </si>
  <si>
    <t>EXHIBIDOR MOTOSIERRA</t>
  </si>
  <si>
    <t>SH-12311215030</t>
  </si>
  <si>
    <t>DIAFRAGMA DE LA BOMBA 4605</t>
  </si>
  <si>
    <t>RESORTE ACELERADOR B530</t>
  </si>
  <si>
    <t>SH-12534408560</t>
  </si>
  <si>
    <t>SH-18500-50100</t>
  </si>
  <si>
    <t>18500-50100 CUCHILLA ACC CORTACETOS</t>
  </si>
  <si>
    <t>SH-18500-50102</t>
  </si>
  <si>
    <t>CUCHILLA ACC CORTACETOS</t>
  </si>
  <si>
    <t>SH-18500-90002</t>
  </si>
  <si>
    <t>18500-90002 CUCHILLA SUPERIOR 40 HT230</t>
  </si>
  <si>
    <t>SH-18500-90003</t>
  </si>
  <si>
    <t>18500-90003 CUCHILLA INFERIOR 40"</t>
  </si>
  <si>
    <t>SH-20000-21211</t>
  </si>
  <si>
    <t>RETEN 22F-C230-ES726</t>
  </si>
  <si>
    <t>SH-20000-41210</t>
  </si>
  <si>
    <t>SH-20000-72230</t>
  </si>
  <si>
    <t>20000-72230 RESORTE SPARK C230-C350-EB50</t>
  </si>
  <si>
    <t>SH-20000-72241</t>
  </si>
  <si>
    <t>20000-72241 CUBIERTA BUJIA C230-C350-B45</t>
  </si>
  <si>
    <t>SH-20000-75130</t>
  </si>
  <si>
    <t>20000-75130 TRINQUETE B450-BP35</t>
  </si>
  <si>
    <t>SH-20000-75160</t>
  </si>
  <si>
    <t>20000-75160 RESORTE SEGURO ARRANC  B450</t>
  </si>
  <si>
    <t>SH-20000-75220</t>
  </si>
  <si>
    <t>20000-75220 RESORTE TRIQUETE B450</t>
  </si>
  <si>
    <t>SH-20000-81150</t>
  </si>
  <si>
    <t>RETENEDOR C350-B450</t>
  </si>
  <si>
    <t>SH-20000-81310</t>
  </si>
  <si>
    <t>20000-81310 TORNILLO (T) B450-B530-BP35</t>
  </si>
  <si>
    <t>SH-20000-81330</t>
  </si>
  <si>
    <t>20000-81330 TORNILLO (L) B450-B530</t>
  </si>
  <si>
    <t>SH-20000-81340</t>
  </si>
  <si>
    <t>CA RESORTE L B450-B530</t>
  </si>
  <si>
    <t>SH-20000-81441</t>
  </si>
  <si>
    <t>20000-81441 AGUJA BALANCIN B450-C350</t>
  </si>
  <si>
    <t>SH-20000-81740</t>
  </si>
  <si>
    <t>20000-81740 FILTRO AIRE B45-B45LA</t>
  </si>
  <si>
    <t>SH-20000-85500</t>
  </si>
  <si>
    <t>20000-85500 VALVULA DE PRESION B450-B45L</t>
  </si>
  <si>
    <t>SH-20000-85579</t>
  </si>
  <si>
    <t>20000-85579 OJAL TANQUE COMB B450-C350</t>
  </si>
  <si>
    <t>SH-20010-12121</t>
  </si>
  <si>
    <t>20010-12121 EMPAQUE CILINDRO B450-C350</t>
  </si>
  <si>
    <t>20010-12211 TUBERIA USE</t>
  </si>
  <si>
    <t>SH-20010-21211</t>
  </si>
  <si>
    <t>20010-21211 RETEN B450-B530-C350-EB500</t>
  </si>
  <si>
    <t>SH-20010-41210</t>
  </si>
  <si>
    <t>SH-20010-41330</t>
  </si>
  <si>
    <t>CA COJINETE AGUJA C350-BP35</t>
  </si>
  <si>
    <t>SH-20010-71631</t>
  </si>
  <si>
    <t>AISLADOR DE BOBINA B450-C350</t>
  </si>
  <si>
    <t>20010-71650 ARANDELA B450-B530-C350</t>
  </si>
  <si>
    <t>SH-20010-72221</t>
  </si>
  <si>
    <t>20010-72221 CAPUCHON DE BUJIA C350</t>
  </si>
  <si>
    <t>SH-20010-75190</t>
  </si>
  <si>
    <t>20010-75190 PERILLA ARRANCADOR B450-C350</t>
  </si>
  <si>
    <t>SH-20010-81760</t>
  </si>
  <si>
    <t>CA FILTRO REJA B45-B45LA</t>
  </si>
  <si>
    <t>SH-20010-86130</t>
  </si>
  <si>
    <t>20010-86130 AMORTIGUADOR B450-C350</t>
  </si>
  <si>
    <t>SH-20011-12220</t>
  </si>
  <si>
    <t>CA EMPAQUE AISLADOR B450-C350</t>
  </si>
  <si>
    <t>SH-20011-81451</t>
  </si>
  <si>
    <t>20011-81451 PALANCA BALANCIN B450-C350</t>
  </si>
  <si>
    <t>SH-20011-85401</t>
  </si>
  <si>
    <t>CA FILTRO COMBUST B45-B45LA</t>
  </si>
  <si>
    <t>SH-20011-86120</t>
  </si>
  <si>
    <t>ABRAZADERA (M) B450-C350</t>
  </si>
  <si>
    <t>SH-20016-12112</t>
  </si>
  <si>
    <t>20016-12112 CILINDRO C230-ES726-M230/1-P</t>
  </si>
  <si>
    <t>SH-20016-12120</t>
  </si>
  <si>
    <t>20016-12120 EMPAQUE CILINDRO 22F-C230-ES</t>
  </si>
  <si>
    <t>SH-20016-12222</t>
  </si>
  <si>
    <t>20016-12222 EMPAQUE AISLADOR C230-ES726</t>
  </si>
  <si>
    <t>20016-21100 CARTER COMP. C230-P230</t>
  </si>
  <si>
    <t>20016-21200 CARTER M COMP C230-P230</t>
  </si>
  <si>
    <t>SH-20016-71601</t>
  </si>
  <si>
    <t>SH-20016-81021</t>
  </si>
  <si>
    <t>20016-81021 CARBURADOR SUB. COMP. C230</t>
  </si>
  <si>
    <t>SH-20018-31260</t>
  </si>
  <si>
    <t>CA AISLADOR BOBINA ES726</t>
  </si>
  <si>
    <t>SH-20018-81750</t>
  </si>
  <si>
    <t>20018-81750 FILTRO AIRE C230-P230</t>
  </si>
  <si>
    <t>SH-20020-75120</t>
  </si>
  <si>
    <t>20020-75120 TAMBOR B450-B45</t>
  </si>
  <si>
    <t>SH-20020-75180</t>
  </si>
  <si>
    <t>20020-75180 CUERDA B450-C350-B530-BP35</t>
  </si>
  <si>
    <t>SH-20020-81140</t>
  </si>
  <si>
    <t>20020-81140 RESORTE CABLE B45-B530-B45LA</t>
  </si>
  <si>
    <t>SH-20020-86140</t>
  </si>
  <si>
    <t>20020-86140 BANDA C350-BP35-B450</t>
  </si>
  <si>
    <t>SH-20021-41210</t>
  </si>
  <si>
    <t>20021-41330 COJINETE B45-EB500-B45LA</t>
  </si>
  <si>
    <t>SH-20021-51102</t>
  </si>
  <si>
    <t>EMBRAGUE COMP. B45</t>
  </si>
  <si>
    <t>20021-81560 PALANCA DE BOMBEO B45-B45LA</t>
  </si>
  <si>
    <t>SH-20021-83411</t>
  </si>
  <si>
    <t>20021-83411 EMPAQUE CARB. B450-B45-C350</t>
  </si>
  <si>
    <t>SH-20021-96420</t>
  </si>
  <si>
    <t>20021-96420 HERRAMIENTA RETENEDOR X2</t>
  </si>
  <si>
    <t>SH-20024-71610</t>
  </si>
  <si>
    <t>BOBINA C270</t>
  </si>
  <si>
    <t>SH-20024-75130</t>
  </si>
  <si>
    <t>20024-75130 RESORTE ARRANC B450-C350-B45</t>
  </si>
  <si>
    <t>SH-20024-75220</t>
  </si>
  <si>
    <t>SH-20024-81023</t>
  </si>
  <si>
    <t>20024-81023 CARBURADO C270</t>
  </si>
  <si>
    <t>SH-20024-81931</t>
  </si>
  <si>
    <t>KIT DE AGUJA C270</t>
  </si>
  <si>
    <t>SH-20024-83410</t>
  </si>
  <si>
    <t>20024-83410 EMPAQUE CABURA C270</t>
  </si>
  <si>
    <t>SH-20035-21100</t>
  </si>
  <si>
    <t>20035-21100 CARTER S 22F-22C</t>
  </si>
  <si>
    <t>SH-20036-81670</t>
  </si>
  <si>
    <t>20036-81670 BOMBA DEL CEBADOR 22F-C230-E</t>
  </si>
  <si>
    <t>SH-20037-82130</t>
  </si>
  <si>
    <t>20037-82130 MANGA C350-B450-B530</t>
  </si>
  <si>
    <t>SH-20040-81680</t>
  </si>
  <si>
    <t>SH-20055-81004</t>
  </si>
  <si>
    <t>SH-20056-81740</t>
  </si>
  <si>
    <t>20056-81740 FILTRO AIRE C350-B450</t>
  </si>
  <si>
    <t>SH-20060-12210</t>
  </si>
  <si>
    <t>20060-12210 AISLADOR CONDENS B450-C350</t>
  </si>
  <si>
    <t>SH-20060-81781</t>
  </si>
  <si>
    <t>20060-81781 PERILLA DE FILTRO C350-B450</t>
  </si>
  <si>
    <t>20075-41111 PISTON P230-C230-ES726-HT230</t>
  </si>
  <si>
    <t>SH-20087-81820</t>
  </si>
  <si>
    <t>20087-81820 BOMBA CEBADOR  B450-B530-C35</t>
  </si>
  <si>
    <t>SH-20142-12110</t>
  </si>
  <si>
    <t>20142-12110 CILINDRO 22F-22C-F220</t>
  </si>
  <si>
    <t>SH-21001-304111</t>
  </si>
  <si>
    <t>CODO CORRUGADO DM6110</t>
  </si>
  <si>
    <t>SH-22000-13512</t>
  </si>
  <si>
    <t>22000-13512 PERNO CUCHILLA  BP 35</t>
  </si>
  <si>
    <t>SH-22000-13530</t>
  </si>
  <si>
    <t>PASADOR CUCHUILLA C270</t>
  </si>
  <si>
    <t>SH-22000-92157</t>
  </si>
  <si>
    <t>SH-22015-12120</t>
  </si>
  <si>
    <t>22015-12120 BUSHING C350</t>
  </si>
  <si>
    <t>SEGURO ZEGER B450</t>
  </si>
  <si>
    <t>SH-22015-13120</t>
  </si>
  <si>
    <t>RETEN C350-B450-B530-B45</t>
  </si>
  <si>
    <t>SH-22015-13220</t>
  </si>
  <si>
    <t>SH-22015-13230</t>
  </si>
  <si>
    <t>22015-13230 COLLAR B45-B450-B530-C350</t>
  </si>
  <si>
    <t>SH-22015-13241</t>
  </si>
  <si>
    <t>SH-22015-13261</t>
  </si>
  <si>
    <t>PERNO CUCHILLA B45-B450-C350</t>
  </si>
  <si>
    <t>SH-22015-13290</t>
  </si>
  <si>
    <t>22015-13290 SUJETADOR CUCHILLA B450-B530</t>
  </si>
  <si>
    <t>SH-22015-13390</t>
  </si>
  <si>
    <t>22015-13390 JUEGO DE PINON C350</t>
  </si>
  <si>
    <t>SH-22015-13420</t>
  </si>
  <si>
    <t>22015-13420 EMPAQUE SEGURO 450-B530-C350</t>
  </si>
  <si>
    <t>SH-22015-14301</t>
  </si>
  <si>
    <t>22015-14301 PALANCA ACELERADOR B45-C35LA</t>
  </si>
  <si>
    <t>SH-22020-14200</t>
  </si>
  <si>
    <t>22020-14200 MANGO COMPLETO B45-B45LA-C350</t>
  </si>
  <si>
    <t>SH-22021-13390</t>
  </si>
  <si>
    <t>CA JUEGO DE PIÑON B45-B450-B530</t>
  </si>
  <si>
    <t>SH-22024-13291</t>
  </si>
  <si>
    <t>22024-13291 PROTECTOR DE PERNO C270</t>
  </si>
  <si>
    <t>SH-22024-13912</t>
  </si>
  <si>
    <t>SOPORTE A C270</t>
  </si>
  <si>
    <t>SH-22035-13140</t>
  </si>
  <si>
    <t>22035-13140 RETEN 22C-C230</t>
  </si>
  <si>
    <t>SH-22035-13242</t>
  </si>
  <si>
    <t>22035-13242 SOPORTE (A) C230-22C</t>
  </si>
  <si>
    <t>SH-22035-13271</t>
  </si>
  <si>
    <t>22035-13271 PERNO CUCHILLA C230</t>
  </si>
  <si>
    <t>SH-22035-13290</t>
  </si>
  <si>
    <t>22035-13290 PROTECTOR PERNO 22C-C230</t>
  </si>
  <si>
    <t>22044-14120 PLACA MANUBRIO BP35</t>
  </si>
  <si>
    <t>SH-22051-11922</t>
  </si>
  <si>
    <t>22051-11922 EJE FLEXIBLE BP35</t>
  </si>
  <si>
    <t>22070-12410 EJE CENTRAL C230</t>
  </si>
  <si>
    <t>SH-22100-41230</t>
  </si>
  <si>
    <t>22100-41230 ANILLO RETENEDOR B450</t>
  </si>
  <si>
    <t>SH-22100-81230</t>
  </si>
  <si>
    <t>22100-81230 PALANCA BALANCIN C230</t>
  </si>
  <si>
    <t>SH-22102-72220</t>
  </si>
  <si>
    <t>22102-72220 BUJIA DE CAPUCHON 22F-C230</t>
  </si>
  <si>
    <t>22150-41280 COJINETE DE AGUJAS 577-B530</t>
  </si>
  <si>
    <t>RESORTE DEL EMBRAGUE 577-757</t>
  </si>
  <si>
    <t>22150-71120 TRINQUETE 757-577</t>
  </si>
  <si>
    <t>22150-75520 PERILLA ARRANCADOR 757-577-4</t>
  </si>
  <si>
    <t>22152-21501 CARTER C COMPLETO 577</t>
  </si>
  <si>
    <t>SH-22152-41231</t>
  </si>
  <si>
    <t>22152-41231 ANILLO DE RETENCION B45-B530</t>
  </si>
  <si>
    <t>SH-22154-52410</t>
  </si>
  <si>
    <t>22154-52410 TUERCA 757</t>
  </si>
  <si>
    <t>SH-22154-55110</t>
  </si>
  <si>
    <t>22154-55110 ENGRANAJE 488</t>
  </si>
  <si>
    <t>22154-85540 SUJETADOR 757</t>
  </si>
  <si>
    <t>SH-22155-51200</t>
  </si>
  <si>
    <t>EMBRAGUE 577</t>
  </si>
  <si>
    <t>TAMBOR EMBRAGUE COMPLETO 577</t>
  </si>
  <si>
    <t>SH-22157-41210</t>
  </si>
  <si>
    <t>ANILLO PISTON 488</t>
  </si>
  <si>
    <t>22160-12150 MANGA 488</t>
  </si>
  <si>
    <t>SH-22160-33821</t>
  </si>
  <si>
    <t>22160-33821 EMPAQUE CORCHO 488-577-757</t>
  </si>
  <si>
    <t>SH-22160-41240</t>
  </si>
  <si>
    <t>CA COJINETE DE BIELA 488</t>
  </si>
  <si>
    <t>22160-42002 CIGUENAL 488</t>
  </si>
  <si>
    <t>SH-22160-51200</t>
  </si>
  <si>
    <t>EMBRAGUE COMPLETO 488</t>
  </si>
  <si>
    <t>ZAPATA DEL EMBRAGUE 488</t>
  </si>
  <si>
    <t>SH-22160-71511</t>
  </si>
  <si>
    <t>BOBINA 488</t>
  </si>
  <si>
    <t>SH-22160-75100</t>
  </si>
  <si>
    <t>22160-75100 ARRANCADOR COMPLETO 488</t>
  </si>
  <si>
    <t>22169-15170 DEFLECTOR 577</t>
  </si>
  <si>
    <t>CUBIERTA DE CILINDRO 757</t>
  </si>
  <si>
    <t>SH-22169-32110</t>
  </si>
  <si>
    <t>22169-32110 MANGO 757</t>
  </si>
  <si>
    <t>22169-33102 HANDLE ASSY 577</t>
  </si>
  <si>
    <t>SH-22169-35400</t>
  </si>
  <si>
    <t>22169-35400 FILTRO GASOLINA 577-757-B450-B30</t>
  </si>
  <si>
    <t>SH-22169-41210</t>
  </si>
  <si>
    <t>22169-84102 FRENO COMPLETO NR 757</t>
  </si>
  <si>
    <t>SH-22169-55110</t>
  </si>
  <si>
    <t>22169-55110 ENGRANAJE 757</t>
  </si>
  <si>
    <t xml:space="preserve">SH-22169-55200 </t>
  </si>
  <si>
    <t>CA BOMBA DE ACEITE COMP. 757</t>
  </si>
  <si>
    <t>SH-22169-71510</t>
  </si>
  <si>
    <t>BOBINA 577-757</t>
  </si>
  <si>
    <t>SH-22169-71700</t>
  </si>
  <si>
    <t>CA BOBINA AZUL PEQUEÑA 757</t>
  </si>
  <si>
    <t>22169-72220 CAPUCHON DE BUJIA 757</t>
  </si>
  <si>
    <t>22169-75101 ARRANCADOR COMPLETO 577</t>
  </si>
  <si>
    <t>22175-12121 EMPAQUE CILINDRO 577</t>
  </si>
  <si>
    <t>22175-82320 FILTRO BASE 577</t>
  </si>
  <si>
    <t>22175-82510 TAPA DE FILTRO 577</t>
  </si>
  <si>
    <t>SH-22182-41210</t>
  </si>
  <si>
    <t>SH-22410-13251</t>
  </si>
  <si>
    <t>22410-13251 SOPORTE (B) 22C-C230</t>
  </si>
  <si>
    <t>SH-22410-13530</t>
  </si>
  <si>
    <t>22410-13530 SUJETADOR CUCHILLA C230-22C</t>
  </si>
  <si>
    <t>22410-14100 MANGO DELANTERO COMP C230</t>
  </si>
  <si>
    <t>22410-14302 PALANCA DEL ACELERADOR C230</t>
  </si>
  <si>
    <t>SH-22901-31000</t>
  </si>
  <si>
    <t>SH-25090206310</t>
  </si>
  <si>
    <t>SUETADOR DE TANQUE DM6110</t>
  </si>
  <si>
    <t>SH-3014111</t>
  </si>
  <si>
    <t>3014111 FILTRO DE TANQUE ES726</t>
  </si>
  <si>
    <t>SH-37019-63170</t>
  </si>
  <si>
    <t>37019-63170 SOPORTE (B) BP35</t>
  </si>
  <si>
    <t>SH-38500-32010</t>
  </si>
  <si>
    <t>38500-32010 CUBIERTA DE CILINDRO C230-ES726</t>
  </si>
  <si>
    <t>38500-81321 TAPA SUJETADORA CARBURADOR ES726</t>
  </si>
  <si>
    <t>SH-38500-82130</t>
  </si>
  <si>
    <t>38500-82130 CUBIERTA FILTRO AIRE ES726</t>
  </si>
  <si>
    <t>4568020 CUERPO DE LA VALVULA ES726</t>
  </si>
  <si>
    <t>HOMBRERA ES726</t>
  </si>
  <si>
    <t>SH-60020-98310</t>
  </si>
  <si>
    <t>SH-60023-98031</t>
  </si>
  <si>
    <t>FILTRO DE AIRE M230-M231</t>
  </si>
  <si>
    <t>SH-60035-98030</t>
  </si>
  <si>
    <t>PISTON KIT B530</t>
  </si>
  <si>
    <t>SH-62035-12111</t>
  </si>
  <si>
    <t>62035-12111 CILINDRO B530</t>
  </si>
  <si>
    <t>SH-62035-12120</t>
  </si>
  <si>
    <t>62035-12120 EMPAQUE CILINDRO B530</t>
  </si>
  <si>
    <t>SH-62035-31110</t>
  </si>
  <si>
    <t>62035-31110 CUBIERTA DE VENTILADOR B530</t>
  </si>
  <si>
    <t>SH-62035-31212</t>
  </si>
  <si>
    <t>SH-62035-31310</t>
  </si>
  <si>
    <t>62035-31310 PLACA UNION B530</t>
  </si>
  <si>
    <t>SH-62035-32112</t>
  </si>
  <si>
    <t>62035-32112 CUBIERTA CILINDRO B530</t>
  </si>
  <si>
    <t>SH-62035-32310</t>
  </si>
  <si>
    <t>CUBIERTA BUJIA B530</t>
  </si>
  <si>
    <t>62035-33110 UNION B530</t>
  </si>
  <si>
    <t>SH-62035-41120</t>
  </si>
  <si>
    <t>SH-62035-42010</t>
  </si>
  <si>
    <t>CA CIGUENAL B530</t>
  </si>
  <si>
    <t>SH-62035-71020</t>
  </si>
  <si>
    <t>BOBINA COMPLETA B530</t>
  </si>
  <si>
    <t>SH-62035-75120</t>
  </si>
  <si>
    <t>TAMBOR ARRANCADOR B530</t>
  </si>
  <si>
    <t>SH-62035-75310</t>
  </si>
  <si>
    <t>GUIA CUERDA B530</t>
  </si>
  <si>
    <t>SH-62035-81013</t>
  </si>
  <si>
    <t>SH-62035-81310</t>
  </si>
  <si>
    <t>62035-81310 EMPAQUE B CARBURADOR B530</t>
  </si>
  <si>
    <t>SH-62035-82121</t>
  </si>
  <si>
    <t>62035-82121 FILTRO AIRE B530</t>
  </si>
  <si>
    <t>SH-62035-82330</t>
  </si>
  <si>
    <t>SH-62035-82340</t>
  </si>
  <si>
    <t>CA PLACA FILTRO B530</t>
  </si>
  <si>
    <t>SH-62035-85360</t>
  </si>
  <si>
    <t>62035-85360 PROTECTOR DEL TANQUE B530</t>
  </si>
  <si>
    <t>SH-62064-81011</t>
  </si>
  <si>
    <t>62064-81011 CARBURADOR COMPLETO C230</t>
  </si>
  <si>
    <t>SH-62074-12120</t>
  </si>
  <si>
    <t>62074-12120 EMPAQUE CILINDRO C270</t>
  </si>
  <si>
    <t>SH-62104-32321</t>
  </si>
  <si>
    <t xml:space="preserve">62104-32321 CUBIERTA, SILENCIADOR B45LA-C35LA    </t>
  </si>
  <si>
    <t>SH-62809-12111</t>
  </si>
  <si>
    <t>62809-12111 CILINDRO C230-HT230</t>
  </si>
  <si>
    <t>SH-63020-63111</t>
  </si>
  <si>
    <t>SH-63901-63022</t>
  </si>
  <si>
    <t>63901-63022 CAJA DE ENGRANAJE C230</t>
  </si>
  <si>
    <t>SH-64000-66311</t>
  </si>
  <si>
    <t>SH-64007-64310</t>
  </si>
  <si>
    <t>64007-64310 CABLE B530</t>
  </si>
  <si>
    <t>64112-66330 TAPA PROTECT DESPOJO 22F</t>
  </si>
  <si>
    <t>SH-67000-81010</t>
  </si>
  <si>
    <t>CA CARBURADOR 22F-22C</t>
  </si>
  <si>
    <t>SH-67001-62211</t>
  </si>
  <si>
    <t>67001-62211 EJE FLEXIBLE 22F</t>
  </si>
  <si>
    <t>SH-68501-12210</t>
  </si>
  <si>
    <t>68501-81360 VALVULA PISTON ES726</t>
  </si>
  <si>
    <t>SH-68501-81490</t>
  </si>
  <si>
    <t>68501-81490 AGUJA ES726</t>
  </si>
  <si>
    <t>SH-70012-31111</t>
  </si>
  <si>
    <t>CUBIERTA VENTILADOR B45-B450</t>
  </si>
  <si>
    <t>SH-70030-71620</t>
  </si>
  <si>
    <t>70030-71620 AISLADOR DE BOBINA B530-22F</t>
  </si>
  <si>
    <t>SH-70036-98020</t>
  </si>
  <si>
    <t>EMPAQUETADURA DIAGRAG C270</t>
  </si>
  <si>
    <t>SH-70051-31210</t>
  </si>
  <si>
    <t>TAMBOR DE EMBRAGUE BP35</t>
  </si>
  <si>
    <t>SH-70064-75190</t>
  </si>
  <si>
    <t>CA CUERDA 22F-22C-C230</t>
  </si>
  <si>
    <t>70103-86130 PROTECT TANQUE C270</t>
  </si>
  <si>
    <t>70131-75110 TAPA ARRANCADOR B45LA-C350</t>
  </si>
  <si>
    <t>70131-75200 POLEA COMPLETA B45LA-C350</t>
  </si>
  <si>
    <t>70131-81180 VALVULA PISTON B450-C350</t>
  </si>
  <si>
    <t>70135-15100 SILENCIADOR COMPLETO C230-ES726-P230-M230</t>
  </si>
  <si>
    <t>SH-70140-51220</t>
  </si>
  <si>
    <t>RESORTE EMBRAGUE C230-HT230</t>
  </si>
  <si>
    <t>SH-70140-81710</t>
  </si>
  <si>
    <t>70140-81710 BASE FILTRO P230</t>
  </si>
  <si>
    <t>70196-12110 CILINDRO C350-C35LA</t>
  </si>
  <si>
    <t>70198-12110 CILINDRO B45-B45LA</t>
  </si>
  <si>
    <t>SH-70200-33112</t>
  </si>
  <si>
    <t>70200-33112 BASE B45-B45LA-B450-C350</t>
  </si>
  <si>
    <t>SH-70200-71200</t>
  </si>
  <si>
    <t>70200-71200 VOLANTE B450-C350</t>
  </si>
  <si>
    <t>SH-70200-71610</t>
  </si>
  <si>
    <t>70200-71610 BOBINA B450-C350-C35LA-B45LA</t>
  </si>
  <si>
    <t>SH-70210-12111</t>
  </si>
  <si>
    <t>70210-12111 CILINDRO B450</t>
  </si>
  <si>
    <t>SH-70210-15212</t>
  </si>
  <si>
    <t xml:space="preserve">70210-15212 EMPAQUE, SILENCIADOR B45-B450-C350-BP35                               </t>
  </si>
  <si>
    <t>70210-41110  PISTON B450</t>
  </si>
  <si>
    <t>SH-70210-81022</t>
  </si>
  <si>
    <t>CARBURADOR B450-C350</t>
  </si>
  <si>
    <t>70210-81451 PLACA CARB B450</t>
  </si>
  <si>
    <t>SH-70210-83110</t>
  </si>
  <si>
    <t>70210-83110 CABLE B450-C350</t>
  </si>
  <si>
    <t>SH-70870-98020</t>
  </si>
  <si>
    <t>70871-81100 CARBURADOR SEMI COMP HT230</t>
  </si>
  <si>
    <t>SH-713545</t>
  </si>
  <si>
    <t>713545 ARNES</t>
  </si>
  <si>
    <t>SH-72005-13010</t>
  </si>
  <si>
    <t>CAJA DE ENGRANAJE BP35</t>
  </si>
  <si>
    <t>SH-72051-98011</t>
  </si>
  <si>
    <t>72051-98310 PISTON SEMI COMPL. C35LA-C350</t>
  </si>
  <si>
    <t>SH-72080-13013</t>
  </si>
  <si>
    <t>SH-72080-98011</t>
  </si>
  <si>
    <t>SH-72174-99200</t>
  </si>
  <si>
    <t>72282-15101 SILENCIADOR 577</t>
  </si>
  <si>
    <t>SH-72330-33710</t>
  </si>
  <si>
    <t>AMORTIGUADOR 577-757</t>
  </si>
  <si>
    <t>SH-72435-13920</t>
  </si>
  <si>
    <t>SH-72450-14200</t>
  </si>
  <si>
    <t>MANUBRIO C270</t>
  </si>
  <si>
    <t>SH-72451-14570</t>
  </si>
  <si>
    <t>72451-14570 CABLE COMPLETO C350</t>
  </si>
  <si>
    <t>SH-72481-98310</t>
  </si>
  <si>
    <t>72481-98310 KIT MOTOR RECONSTRUC. C230</t>
  </si>
  <si>
    <t>SH-72550-82120</t>
  </si>
  <si>
    <t>SH-72920-71711</t>
  </si>
  <si>
    <t>CA UNIDAD ELECTRONICA BP35-B45</t>
  </si>
  <si>
    <t>72930-14210 INTERRUPTOR B45-B45LA</t>
  </si>
  <si>
    <t>CARBURADOR EB 500</t>
  </si>
  <si>
    <t>SH-72LG0-105X</t>
  </si>
  <si>
    <t>72LG0-105X CADENA 32" 3/08 0.5</t>
  </si>
  <si>
    <t>72LG0-84X CADENA 3/8 0.5</t>
  </si>
  <si>
    <t>SH-78890-11000</t>
  </si>
  <si>
    <t>SH-80360</t>
  </si>
  <si>
    <t>80360 EXHIBIDOR</t>
  </si>
  <si>
    <t>PUBLICIDAD</t>
  </si>
  <si>
    <t>SH-80728</t>
  </si>
  <si>
    <t>SH-810502</t>
  </si>
  <si>
    <t>COJINETE DE AGUJAS BIELA C230</t>
  </si>
  <si>
    <t>SH-81630</t>
  </si>
  <si>
    <t>MANGUERA ES726</t>
  </si>
  <si>
    <t>SH-90SG-033X</t>
  </si>
  <si>
    <t>SH-9214D-24</t>
  </si>
  <si>
    <t>SH-9-P230EPA</t>
  </si>
  <si>
    <t>CORTARAMAS P230EPA</t>
  </si>
  <si>
    <t>SHDW-012</t>
  </si>
  <si>
    <t>HILO NYLON 0.095  09510"</t>
  </si>
  <si>
    <t>SHDW-013</t>
  </si>
  <si>
    <t>SHDW-015</t>
  </si>
  <si>
    <t>DISCO PARA ORILLADORA 7 3/4 80419"</t>
  </si>
  <si>
    <t>SHDW-037</t>
  </si>
  <si>
    <t>DISCO TORNADO 9 6 DIENTES LP6-9"</t>
  </si>
  <si>
    <t>SHDW-045</t>
  </si>
  <si>
    <t>GAFAS SHINDAIWA</t>
  </si>
  <si>
    <t>PODADORA DE ALTURA P230S</t>
  </si>
  <si>
    <t>SH-P231</t>
  </si>
  <si>
    <t>PODADORA DE ALTURA  P231</t>
  </si>
  <si>
    <t xml:space="preserve">SH-UN32  </t>
  </si>
  <si>
    <t xml:space="preserve">UN-32 CABEZAL PRO-MATIC CON PERNOS </t>
  </si>
  <si>
    <t>SO-13008-6045</t>
  </si>
  <si>
    <t>ARO DEL PISTON MD 135</t>
  </si>
  <si>
    <t>SO-21171-2157</t>
  </si>
  <si>
    <t>21171-2157 BOBINA ELECTRONICA MD 135</t>
  </si>
  <si>
    <t>SO-23.00.713</t>
  </si>
  <si>
    <t>BOBINA MOD. 134/140/141</t>
  </si>
  <si>
    <t>SO-508</t>
  </si>
  <si>
    <t>BANDA A-35</t>
  </si>
  <si>
    <t>SO-69.00.653</t>
  </si>
  <si>
    <t>69.00.653 POLYMATIC MD. 140/142/154</t>
  </si>
  <si>
    <t xml:space="preserve">SOUTH-006 </t>
  </si>
  <si>
    <t xml:space="preserve">MOTOR 3HP TEMCO 1800RPM 110/220V  </t>
  </si>
  <si>
    <t xml:space="preserve">MOTOR 2HP TEMCO 3600RPM 110/220V </t>
  </si>
  <si>
    <t>SOUTH-020</t>
  </si>
  <si>
    <t>BOMBA HIDRONEUMATICA 2 HP</t>
  </si>
  <si>
    <t xml:space="preserve">SOUTH-04  </t>
  </si>
  <si>
    <t xml:space="preserve">MOTOR 7.5HP TEMCO 1800RPM 220V </t>
  </si>
  <si>
    <t xml:space="preserve">SOUTH-05   </t>
  </si>
  <si>
    <t xml:space="preserve">MOTOR 10HP TEMCO 1800RPM 220V </t>
  </si>
  <si>
    <t>BUSHING-NYLON 1715538 PARA EC MINI</t>
  </si>
  <si>
    <t>TB-1756904</t>
  </si>
  <si>
    <t>SHREDDER BLADE 1756904</t>
  </si>
  <si>
    <t>TB-1762636</t>
  </si>
  <si>
    <t>BELT V 1762636</t>
  </si>
  <si>
    <t>TB-1771392</t>
  </si>
  <si>
    <t>TAMPER 1771392</t>
  </si>
  <si>
    <t>TB-1771495</t>
  </si>
  <si>
    <t>WHEEL 1771495</t>
  </si>
  <si>
    <t>TB-1901748</t>
  </si>
  <si>
    <t>WHEEL-NEW HUB CHIP/VAC 1901748</t>
  </si>
  <si>
    <t>TB-1902656</t>
  </si>
  <si>
    <t>FLAP SAFETY 1902656</t>
  </si>
  <si>
    <t>TB-1902802001</t>
  </si>
  <si>
    <t>LOWER HANDLEBAR 1902802001</t>
  </si>
  <si>
    <t>TB-1903417</t>
  </si>
  <si>
    <t>QUADRANT INNER 1903417</t>
  </si>
  <si>
    <t>TB-1908749</t>
  </si>
  <si>
    <t>BELT DRIVE 1908749</t>
  </si>
  <si>
    <t xml:space="preserve">REPUESTOS MOTORES </t>
  </si>
  <si>
    <t>TB-1909946</t>
  </si>
  <si>
    <t>BELT-V NGMM 1909946</t>
  </si>
  <si>
    <t>TB-9621</t>
  </si>
  <si>
    <t>SEAL-OIL WHEELSHAFT 9621</t>
  </si>
  <si>
    <t>TB-97075</t>
  </si>
  <si>
    <t>BELT FLAT 97075</t>
  </si>
  <si>
    <t>TR-236</t>
  </si>
  <si>
    <t>BOMBA FRENO S-60/35/TL-TM135</t>
  </si>
  <si>
    <t>TROY-002</t>
  </si>
  <si>
    <t>GEAR-WORM</t>
  </si>
  <si>
    <t>V103001040</t>
  </si>
  <si>
    <t>CA EMPAQUE CARBURADOR B530</t>
  </si>
  <si>
    <t xml:space="preserve">BOMBAS DE AGUA </t>
  </si>
  <si>
    <t>ZM-003</t>
  </si>
  <si>
    <t>BOMBA ZM 76 MAXXI</t>
  </si>
  <si>
    <t>ZM-010</t>
  </si>
  <si>
    <t>JUEGOS O RINGS ZM-44</t>
  </si>
  <si>
    <t>ZM-013</t>
  </si>
  <si>
    <t>CILINDROS ZM 44</t>
  </si>
  <si>
    <t>ZM-014</t>
  </si>
  <si>
    <t>VALVULAS (XEQUE) ZM 51</t>
  </si>
  <si>
    <t>ZM-015</t>
  </si>
  <si>
    <t>VALVULAS (XEQUE) ZM-44</t>
  </si>
  <si>
    <t>ZM-016</t>
  </si>
  <si>
    <t>GUIA DE HASTE ZM-44/51</t>
  </si>
  <si>
    <t>ZM-017</t>
  </si>
  <si>
    <t>APOYO DE LOS CUEROS ZM 51</t>
  </si>
  <si>
    <t>ZM-018</t>
  </si>
  <si>
    <t>APOYO DE LOS CUEROS ZM-44</t>
  </si>
  <si>
    <t>ZM-019</t>
  </si>
  <si>
    <t>SEPARADOR DE CUEROS ZM 51</t>
  </si>
  <si>
    <t>ZM-020</t>
  </si>
  <si>
    <t>SEPARADOR DE CUEROS ZM-44</t>
  </si>
  <si>
    <t>ZM-022</t>
  </si>
  <si>
    <t>ASTA DE ZM-44</t>
  </si>
  <si>
    <t>ZM-023</t>
  </si>
  <si>
    <t>CAJA VALVULAS ENTRADAS ZM-51</t>
  </si>
  <si>
    <t>ZM-025</t>
  </si>
  <si>
    <t>BIELA OVAL ZM-51</t>
  </si>
  <si>
    <t>ZM-026</t>
  </si>
  <si>
    <t>BIELA OVAL ZM-44</t>
  </si>
  <si>
    <t>ZM-027</t>
  </si>
  <si>
    <t>ANEL RODAMIENTO BIELA ZM-51</t>
  </si>
  <si>
    <t>ZM-028</t>
  </si>
  <si>
    <t>ANEL RODAMIENTO BIELA ZM-44</t>
  </si>
  <si>
    <t>ZM-029</t>
  </si>
  <si>
    <t>PROTECTOR DE PISTON ZM-51</t>
  </si>
  <si>
    <t>ZM-030</t>
  </si>
  <si>
    <t>PROTECTOR DE PISTON ZM-44</t>
  </si>
  <si>
    <t>ZM-031</t>
  </si>
  <si>
    <t>CAJA VALVULAS SALIDA ZM-51</t>
  </si>
  <si>
    <t>ZM-040</t>
  </si>
  <si>
    <t xml:space="preserve">RUEDA PARA ZM 51 1.80X0.18 </t>
  </si>
  <si>
    <t xml:space="preserve">ACCESORIOS BOMBAS DE AGUA </t>
  </si>
  <si>
    <t>ZM-042</t>
  </si>
  <si>
    <t>RUEDA PARA ZM 76 2.00X0.35</t>
  </si>
  <si>
    <t>RUEDA PARA ZM 51 1.80X0.25</t>
  </si>
  <si>
    <t>ZM-044</t>
  </si>
  <si>
    <t>RUEDA PARA ZM 44 1.00X0.15</t>
  </si>
  <si>
    <t>ZM-045</t>
  </si>
  <si>
    <t>CABALLETE PARA ZM 44</t>
  </si>
  <si>
    <t>ZM-048</t>
  </si>
  <si>
    <t>LAVADORA HIDROMAXXI 22L</t>
  </si>
  <si>
    <t xml:space="preserve">RUEDA PARA ZM 95 2.00X0.50 CON EJE INDEPENDIENTE </t>
  </si>
  <si>
    <t>ZM-056</t>
  </si>
  <si>
    <t>CILINDROS ZM 76</t>
  </si>
  <si>
    <t>ZM-060</t>
  </si>
  <si>
    <t>VALVULA PARA ZM 76 MAXXI</t>
  </si>
  <si>
    <t>ZM-061</t>
  </si>
  <si>
    <t>CUERO PARA ZM 76 MAXXI</t>
  </si>
  <si>
    <t>RUEDA PARA ZM 95 2.00X0.50 PARA EJE SUPERIOR</t>
  </si>
  <si>
    <t>ZM-064</t>
  </si>
  <si>
    <t>JUEGO CILINDROS ZM 95 MAXXI</t>
  </si>
  <si>
    <t>ZM-065</t>
  </si>
  <si>
    <t>JUEGO DE CUEROS ZM 95 MAXXI</t>
  </si>
  <si>
    <t>ZM-066</t>
  </si>
  <si>
    <t>JUEGO O RINGS ZM-95 MAXXI</t>
  </si>
  <si>
    <t>ZM-067</t>
  </si>
  <si>
    <t>JUEGOS O RINGS ZM 76</t>
  </si>
  <si>
    <t>ZM-068</t>
  </si>
  <si>
    <t>JUEGO DE CUEROS ZM 51 MAXXI</t>
  </si>
  <si>
    <t>ZM-069</t>
  </si>
  <si>
    <t>SEPARADOR DE CAMISA ZM-44 MAXXI</t>
  </si>
  <si>
    <t>ZM-070</t>
  </si>
  <si>
    <t>JUEGO DE CUEROS ZM 44 MAXXI</t>
  </si>
  <si>
    <t>ZM-071</t>
  </si>
  <si>
    <t>JUEGO CILINDROS ZM 76</t>
  </si>
  <si>
    <t>ZM-073</t>
  </si>
  <si>
    <t>JUEGO CILINDROS ZM 44</t>
  </si>
  <si>
    <t>ZM-074</t>
  </si>
  <si>
    <t>JUEGO DE CUEROS ZM 76</t>
  </si>
  <si>
    <t>ZMANO060</t>
  </si>
  <si>
    <t>MANOMETRO DE GLICERINA</t>
  </si>
  <si>
    <t>ZONDA</t>
  </si>
  <si>
    <t>REDUCTOR  MOTOR A GASOLINA</t>
  </si>
  <si>
    <t>ZU-005</t>
  </si>
  <si>
    <t>BROCA METAL DORADA</t>
  </si>
  <si>
    <t>ZU-015</t>
  </si>
  <si>
    <t>CUCHILLA TUPI RC005A</t>
  </si>
  <si>
    <t>ALEN 5X30</t>
  </si>
  <si>
    <t>PERNO ALEN 5X30</t>
  </si>
  <si>
    <t>ALEN 5X40</t>
  </si>
  <si>
    <t>PERNO ALEN 5X40</t>
  </si>
  <si>
    <t>COR-001</t>
  </si>
  <si>
    <t>MOTOR 3HP WEG 3600 RPM 110/220V</t>
  </si>
  <si>
    <t>CR-011</t>
  </si>
  <si>
    <t>JUEGO DE CUCHILLAS DP2</t>
  </si>
  <si>
    <t>CR-014</t>
  </si>
  <si>
    <t>JUEGO DE MARTILLOS PARA DP2</t>
  </si>
  <si>
    <t>CR-015</t>
  </si>
  <si>
    <t>JUEGO DE ZARANDAS PARA DP1</t>
  </si>
  <si>
    <t>CR-017</t>
  </si>
  <si>
    <t>CONTRA CUCHILLA DP4</t>
  </si>
  <si>
    <t>CR-065</t>
  </si>
  <si>
    <t>JUEGO DE CUCHILLAS DP1</t>
  </si>
  <si>
    <t>CR-067</t>
  </si>
  <si>
    <t>JUEGO DE MARTILLOS PARA DP1</t>
  </si>
  <si>
    <t>CR-080</t>
  </si>
  <si>
    <t>JUEGO DE CUCHILLAS DPF JR</t>
  </si>
  <si>
    <t>CR-088</t>
  </si>
  <si>
    <t>CONTRA CUCHILLA DPF MINI</t>
  </si>
  <si>
    <t>CR-095</t>
  </si>
  <si>
    <t>CUCHILLAS RECOGEDORAS IZQUIERDAS 930 C</t>
  </si>
  <si>
    <t>CR-100</t>
  </si>
  <si>
    <t>CONTRA CUCHILLA DP1</t>
  </si>
  <si>
    <t>CR-1002</t>
  </si>
  <si>
    <t>CUCHILLAS RECOGEDORAS DERECHAS 930 C</t>
  </si>
  <si>
    <t>CR-123</t>
  </si>
  <si>
    <t>10.236.05 SINFIN PARA EC 4000/EC 4800</t>
  </si>
  <si>
    <t>CR-126</t>
  </si>
  <si>
    <t>PERILLAS PARA EC/DP</t>
  </si>
  <si>
    <t>CR-CARCUSTOM</t>
  </si>
  <si>
    <t>CARDAN PARA CUSTOM 930-C SIN EMBRAGUE</t>
  </si>
  <si>
    <t>CRE-004</t>
  </si>
  <si>
    <t>JUEGO DE MARTILLOS PARA DPF JR.</t>
  </si>
  <si>
    <t>CRE-023</t>
  </si>
  <si>
    <t>CUCHILLAS REPICADORAS PPC3</t>
  </si>
  <si>
    <t>CRE-079</t>
  </si>
  <si>
    <t>JUEGO DE ZARANDAS PARA DPF MINI</t>
  </si>
  <si>
    <t>CRE-125</t>
  </si>
  <si>
    <t>JUEGO DE MARTILLOS PARA TMC-4</t>
  </si>
  <si>
    <t>CRE-253</t>
  </si>
  <si>
    <t>JUEGO DE CUCHILLAS PPC3</t>
  </si>
  <si>
    <t>CRE-267</t>
  </si>
  <si>
    <t>CONTRA CUCHILLA PARA PPC-3</t>
  </si>
  <si>
    <t>CRE-856</t>
  </si>
  <si>
    <t>KIT CUCHILLAS DE ROTOR PPC-3</t>
  </si>
  <si>
    <t>EC-10000039130</t>
  </si>
  <si>
    <t>PISTON KIT CS3000</t>
  </si>
  <si>
    <t>EC-10000060931</t>
  </si>
  <si>
    <t>PISTON KIT CS3500-35</t>
  </si>
  <si>
    <t>EC-10001101110</t>
  </si>
  <si>
    <t>ANILLOS PISTON CS3500</t>
  </si>
  <si>
    <t>EC-10001130831</t>
  </si>
  <si>
    <t>EC-10010030830</t>
  </si>
  <si>
    <t>10010030830 CIGUENAL CS8002</t>
  </si>
  <si>
    <t>EC-10010055430</t>
  </si>
  <si>
    <t>10010055430 CIGUENAL SRM3605</t>
  </si>
  <si>
    <t>EC-10010160931</t>
  </si>
  <si>
    <t>10010160931 CIGUENAL CS3500</t>
  </si>
  <si>
    <t>EC-10020442230</t>
  </si>
  <si>
    <t>EC-10020455430</t>
  </si>
  <si>
    <t>EC-10020456232</t>
  </si>
  <si>
    <t>EC-10024255430</t>
  </si>
  <si>
    <t>10024255430 EMPAQUE CARTER SRM3605</t>
  </si>
  <si>
    <t>EC-10091532530</t>
  </si>
  <si>
    <t>PERNO AMORTIGUADOR CS510</t>
  </si>
  <si>
    <t>EC-10092138330</t>
  </si>
  <si>
    <t>AMORTIGUADOR CS510</t>
  </si>
  <si>
    <t>EC-10101006211</t>
  </si>
  <si>
    <t>10101006211 EMPAQUE CILINDRO DM6110</t>
  </si>
  <si>
    <t>EC-10101030830</t>
  </si>
  <si>
    <t>EC-10101032431</t>
  </si>
  <si>
    <t>10101032431 EMPAQUE CILINDRO CS680S</t>
  </si>
  <si>
    <t>EC-10101055430</t>
  </si>
  <si>
    <t>10101055430 EMPAQUE CILINDRO SRM3605</t>
  </si>
  <si>
    <t>EC-10101056030</t>
  </si>
  <si>
    <t>10101056030 EMPAQUE CILINDRO SRM270</t>
  </si>
  <si>
    <t>EC-10103456532</t>
  </si>
  <si>
    <t>10103456532 CILINDRO SRM270</t>
  </si>
  <si>
    <t>EC-12300038832</t>
  </si>
  <si>
    <t>CARBURADOR CS8002</t>
  </si>
  <si>
    <t>EC-12300055630</t>
  </si>
  <si>
    <t>CARBURADOR SRM3605</t>
  </si>
  <si>
    <t>EC-12300057731</t>
  </si>
  <si>
    <t>CARBURADOR SRM270</t>
  </si>
  <si>
    <t>EC-12300060131</t>
  </si>
  <si>
    <t>CARBURADOR CS3000</t>
  </si>
  <si>
    <t>EC-12300060930</t>
  </si>
  <si>
    <t>CARBURADOR CS3500-35</t>
  </si>
  <si>
    <t>EC-12311605160</t>
  </si>
  <si>
    <t>20016-81180 VALVULA SOUPAPE 22F</t>
  </si>
  <si>
    <t>EC-12312232630</t>
  </si>
  <si>
    <t>EC-12312338330</t>
  </si>
  <si>
    <t>EC-12312509560</t>
  </si>
  <si>
    <t>12312509560 DIAFRAGMA SRM3605</t>
  </si>
  <si>
    <t>EC-12313704260</t>
  </si>
  <si>
    <t>VALVULA SRM3605</t>
  </si>
  <si>
    <t>EC-12314103930</t>
  </si>
  <si>
    <t xml:space="preserve">DIAFRAGMA SRM3605 SRM4605 </t>
  </si>
  <si>
    <t>EC-12318139130</t>
  </si>
  <si>
    <t>BOMBA DE CEBADOR CS420</t>
  </si>
  <si>
    <t>EC-12318140630</t>
  </si>
  <si>
    <t>EC-12411405530</t>
  </si>
  <si>
    <t>RESORTE ACELERADOR SHP800</t>
  </si>
  <si>
    <t>EC-12412215310</t>
  </si>
  <si>
    <t>INYECTOR PRINCIPAL SHP800</t>
  </si>
  <si>
    <t>EC-12420013220</t>
  </si>
  <si>
    <t>CARBURADOR SHP800</t>
  </si>
  <si>
    <t>EC-12435550130</t>
  </si>
  <si>
    <t>EC-12436212710</t>
  </si>
  <si>
    <t>PLACA CARBURADOR SHP800</t>
  </si>
  <si>
    <t>EC-12436312710</t>
  </si>
  <si>
    <t>EMPAQUE DE BOMBA SHP800</t>
  </si>
  <si>
    <t>EC-12436721330</t>
  </si>
  <si>
    <t>20011-81680 RESORTE MEMBRANA C35LA-B45-B</t>
  </si>
  <si>
    <t>EC-12438055430</t>
  </si>
  <si>
    <t>BOMBA DEL CEBADOR ES726</t>
  </si>
  <si>
    <t>EC-12532308260</t>
  </si>
  <si>
    <t>EC-12538108660</t>
  </si>
  <si>
    <t>BOMBA DE CEBADO SRM4300</t>
  </si>
  <si>
    <t>EC-12A0CD3744</t>
  </si>
  <si>
    <t>BARRA 12" PPT2400</t>
  </si>
  <si>
    <t>EC-13000739932</t>
  </si>
  <si>
    <t>AISLADOR SC420</t>
  </si>
  <si>
    <t>EC-13001606232</t>
  </si>
  <si>
    <t>EC-13001743130</t>
  </si>
  <si>
    <t>AISLADOR SRM4605</t>
  </si>
  <si>
    <t>EC-13001755630</t>
  </si>
  <si>
    <t>AISLADOR SRM3605</t>
  </si>
  <si>
    <t>EC-13002151530</t>
  </si>
  <si>
    <t>PERNO CARBURADOR SRM4605</t>
  </si>
  <si>
    <t>EC-13030013411</t>
  </si>
  <si>
    <t>FILTRO COMPLETO AIRE SHP800</t>
  </si>
  <si>
    <t>EC-13030039730</t>
  </si>
  <si>
    <t>13030039730 FILTRO AIRE CS3500-CS420-45</t>
  </si>
  <si>
    <t>EC-13030252131</t>
  </si>
  <si>
    <t>EC-13031002910</t>
  </si>
  <si>
    <t>FILTRO AIRE DM6110</t>
  </si>
  <si>
    <t>EC-13031051730</t>
  </si>
  <si>
    <t>13031051730 ELEMENTO FILTRO AIRE SRM3605</t>
  </si>
  <si>
    <t>EC-13031051830</t>
  </si>
  <si>
    <t>FILTRO AIRE SRM270</t>
  </si>
  <si>
    <t>EC-13031306230</t>
  </si>
  <si>
    <t>13031306230 CUBIERTA FILTRO AIRE SRM4605</t>
  </si>
  <si>
    <t>EC-13051030830</t>
  </si>
  <si>
    <t>MANGA ADMISION CS80002</t>
  </si>
  <si>
    <t>EC-13051039932</t>
  </si>
  <si>
    <t>MANGA ADMISION CS3500</t>
  </si>
  <si>
    <t>EC-13100455530</t>
  </si>
  <si>
    <t>TAPA TANQUE SRM3605 4300 4605</t>
  </si>
  <si>
    <t>EC-13101064931</t>
  </si>
  <si>
    <t>TANQUE COMBUST SRM3605</t>
  </si>
  <si>
    <t>EC-13120519831</t>
  </si>
  <si>
    <t>EC-13191043130</t>
  </si>
  <si>
    <t>BASE TANQUE SRM4605</t>
  </si>
  <si>
    <t>EC-13192055430</t>
  </si>
  <si>
    <t>AMORTIGUA TANQ SRM4300-3605-4605</t>
  </si>
  <si>
    <t>EC-13201035430</t>
  </si>
  <si>
    <t>TUBO COMBUSTIBLE SRM4300</t>
  </si>
  <si>
    <t>EC-13211555930</t>
  </si>
  <si>
    <t>OJAL LINEA DE COMBUSTIBLE SRM4300</t>
  </si>
  <si>
    <t>EC-14551055932</t>
  </si>
  <si>
    <t>14551055932 EMPAQUE DE ESCAPE SHP800</t>
  </si>
  <si>
    <t>EC-15262655430</t>
  </si>
  <si>
    <t>BOBINA SRM3605</t>
  </si>
  <si>
    <t>EC-15262655932</t>
  </si>
  <si>
    <t>BOBINA SHP800</t>
  </si>
  <si>
    <t>EC-15262656032</t>
  </si>
  <si>
    <t>BOBINA SRM270</t>
  </si>
  <si>
    <t>EC-15660106211</t>
  </si>
  <si>
    <t>BOBINA DM6110</t>
  </si>
  <si>
    <t>EC-15660130832</t>
  </si>
  <si>
    <t>BOBINA DE ENCENDIDO CS8002</t>
  </si>
  <si>
    <t>EC-15660132632</t>
  </si>
  <si>
    <t>EC-15662639130</t>
  </si>
  <si>
    <t>BOBINA CS3000</t>
  </si>
  <si>
    <t>EC-15662660930</t>
  </si>
  <si>
    <t>BOBINA CS3500-35</t>
  </si>
  <si>
    <t>EC-17500030832</t>
  </si>
  <si>
    <t>EMBRAGUE CS8002</t>
  </si>
  <si>
    <t>EC-17500549930</t>
  </si>
  <si>
    <t>TAMBOR EMBRAGUE SRM3605</t>
  </si>
  <si>
    <t>EC-17500555930</t>
  </si>
  <si>
    <t>TAMBOR EMBRAGUE SRM270</t>
  </si>
  <si>
    <t>EC-17501805533</t>
  </si>
  <si>
    <t>RESORTE EMBRAGUE SRM270</t>
  </si>
  <si>
    <t>EC-17504606230</t>
  </si>
  <si>
    <t>PERNO EMBRAGUE SRM4300-4605</t>
  </si>
  <si>
    <t>EC-17504646430</t>
  </si>
  <si>
    <t>PERNO EMBRAGUE SRM3605</t>
  </si>
  <si>
    <t>EC-17504656030</t>
  </si>
  <si>
    <t>TORNILLO EMBRAGUE SHP800</t>
  </si>
  <si>
    <t>EC-17504805530</t>
  </si>
  <si>
    <t>ARANDELA EMBRAGUE SRM3605</t>
  </si>
  <si>
    <t>EC-17510530831</t>
  </si>
  <si>
    <t>TAMBOR DE EMBREGUE CS8002</t>
  </si>
  <si>
    <t>EC-17510532431</t>
  </si>
  <si>
    <t>TAMBOR EMBRAGUE CS680</t>
  </si>
  <si>
    <t>EC-17720006210</t>
  </si>
  <si>
    <t>ARRANCADOR COMP. DM6110</t>
  </si>
  <si>
    <t>EC-17720055631</t>
  </si>
  <si>
    <t>ARRANCADOR COMPLETO SRM3605</t>
  </si>
  <si>
    <t>EC-17720360930</t>
  </si>
  <si>
    <t>RESORTE ARRANQUE CS3500</t>
  </si>
  <si>
    <t>EC-17721532330</t>
  </si>
  <si>
    <t>TAMBOR ARRANCADOR CS680S</t>
  </si>
  <si>
    <t>EC-17722002834</t>
  </si>
  <si>
    <t>RESORTE ARRANCADOR CS680</t>
  </si>
  <si>
    <t>EC-17722006310</t>
  </si>
  <si>
    <t>EC-17722040630</t>
  </si>
  <si>
    <t>EC-17722827030</t>
  </si>
  <si>
    <t>PERILLA ARRANCADOR SRM3605</t>
  </si>
  <si>
    <t>EC-17800143230</t>
  </si>
  <si>
    <t>EC-17800159230</t>
  </si>
  <si>
    <t>CABLE ACELERADOR SRM270</t>
  </si>
  <si>
    <t>EC-17812743230</t>
  </si>
  <si>
    <t>PROTECTOR CABLE SRM4605</t>
  </si>
  <si>
    <t>EC-30511055630</t>
  </si>
  <si>
    <t>BASE TANQUE SRM 3605</t>
  </si>
  <si>
    <t>EC-35131122431</t>
  </si>
  <si>
    <t>MANGO IZQUIERDO SRM3605-4605</t>
  </si>
  <si>
    <t>EC-43021330833</t>
  </si>
  <si>
    <t>BARRA 24"  CS-680, CS-8002</t>
  </si>
  <si>
    <t>EC-43052737333</t>
  </si>
  <si>
    <t>BARRA 17" CS420ES 0.375</t>
  </si>
  <si>
    <t>EC-43113516431</t>
  </si>
  <si>
    <t>CADENA 36" CS1201 0.404</t>
  </si>
  <si>
    <t>EC-43171730230</t>
  </si>
  <si>
    <t>CADENA 17" CS420ES</t>
  </si>
  <si>
    <t>EC-43700237530</t>
  </si>
  <si>
    <t>EC-4575740</t>
  </si>
  <si>
    <t>TAPA TANQUE ES726</t>
  </si>
  <si>
    <t>EC-61001125530</t>
  </si>
  <si>
    <t>61001125530 EJE CENTRAL SRM270</t>
  </si>
  <si>
    <t>EC-61020623030</t>
  </si>
  <si>
    <t>TUBO EXTERNO SRM270</t>
  </si>
  <si>
    <t>EC-61020643130</t>
  </si>
  <si>
    <t>TUBO EXTERNO SRM4605</t>
  </si>
  <si>
    <t>EC-61020656930</t>
  </si>
  <si>
    <t>TUBO EXTERNO SRM3605</t>
  </si>
  <si>
    <t>EC-61031056931</t>
  </si>
  <si>
    <t>EC-61031307132</t>
  </si>
  <si>
    <t>SOPORTE (A) SRM4300</t>
  </si>
  <si>
    <t>EC-61031421231</t>
  </si>
  <si>
    <t>EC-61032027430</t>
  </si>
  <si>
    <t>TUERCA CUCHILLA SRM4300</t>
  </si>
  <si>
    <t>EC-61032052130</t>
  </si>
  <si>
    <t>TUERCA DE CUCHILLA SRM3605 SRM4605</t>
  </si>
  <si>
    <t>EC-69922956830</t>
  </si>
  <si>
    <t>ESTABILIZADOR CUCHILLA SRM270-3605</t>
  </si>
  <si>
    <t>EC-70602042040</t>
  </si>
  <si>
    <t>TAPA DE GRASERO SHP800</t>
  </si>
  <si>
    <t>EC-70602046780</t>
  </si>
  <si>
    <t>EMPAQUE DE CILINDRO PRESION SHP800</t>
  </si>
  <si>
    <t>EC-70602048970</t>
  </si>
  <si>
    <t>O RING B SHP800</t>
  </si>
  <si>
    <t>EC-70602049A20</t>
  </si>
  <si>
    <t>EC-70604001A61</t>
  </si>
  <si>
    <t>TAPA DE TANQUE SHP-800</t>
  </si>
  <si>
    <t>EC-70604003770</t>
  </si>
  <si>
    <t>EMPAQUE TAPA SHP-800</t>
  </si>
  <si>
    <t>EC-70613005230</t>
  </si>
  <si>
    <t>CABLE DE ACELERADOR SHP800</t>
  </si>
  <si>
    <t>EC-70615050520</t>
  </si>
  <si>
    <t>CABEZA DE CILINDRO BOMBA SHP 800</t>
  </si>
  <si>
    <t>EC-70616002061</t>
  </si>
  <si>
    <t>MANGUERA COMBUST B SHP-800</t>
  </si>
  <si>
    <t>EC-80250</t>
  </si>
  <si>
    <t>ZAPATA DEL EMBRAGUE COMPLETA ES726</t>
  </si>
  <si>
    <t>EC-90016205050</t>
  </si>
  <si>
    <t>PERNO DE CARBURADOR CS510</t>
  </si>
  <si>
    <t>EC-90016205057</t>
  </si>
  <si>
    <t>EC-90SG-39X</t>
  </si>
  <si>
    <t>EC-91VX44CQ</t>
  </si>
  <si>
    <t>CADENA 12" PPT2400</t>
  </si>
  <si>
    <t>EC-A011000120</t>
  </si>
  <si>
    <t>A011000120 CIGUENAL SRM4300</t>
  </si>
  <si>
    <t>EC-A011000250</t>
  </si>
  <si>
    <t>A011000250 CIGUEÑAL CS680-S</t>
  </si>
  <si>
    <t>EC-A011000810</t>
  </si>
  <si>
    <t>CIGUEÑAL B45-B45LA</t>
  </si>
  <si>
    <t>EC-A011000840</t>
  </si>
  <si>
    <t>CIGUEÑAL B530</t>
  </si>
  <si>
    <t>EC-A021001680</t>
  </si>
  <si>
    <t>CARBURADOR CS680</t>
  </si>
  <si>
    <t>EC-A021002120</t>
  </si>
  <si>
    <t>CARBURADOR 22F-22C</t>
  </si>
  <si>
    <t>EC-A021002140</t>
  </si>
  <si>
    <t>CARBURADOR COMPLETO C230</t>
  </si>
  <si>
    <t>EC-A021002520</t>
  </si>
  <si>
    <t>CARBURADOR B45-B45LA</t>
  </si>
  <si>
    <t>EC-A021002570</t>
  </si>
  <si>
    <t>EC-A021003180</t>
  </si>
  <si>
    <t>CARBURADOR COMPLETO ES726</t>
  </si>
  <si>
    <t>EC-A030000120</t>
  </si>
  <si>
    <t>EC-A030000270</t>
  </si>
  <si>
    <t>62035-15012 SILENCIADOR COMPLETO B530</t>
  </si>
  <si>
    <t>EC-A033000070</t>
  </si>
  <si>
    <t>TAPA COMBUS 22C-22F-ES726</t>
  </si>
  <si>
    <t>EC-A033000230</t>
  </si>
  <si>
    <t>22160-33801 TAPA COMBUS 757-577-488</t>
  </si>
  <si>
    <t>EC-A039000020</t>
  </si>
  <si>
    <t>EC-A052000030</t>
  </si>
  <si>
    <t>POLEA ARRACADOR SHP800</t>
  </si>
  <si>
    <t>EC-A052000380</t>
  </si>
  <si>
    <t>POLEA DE ARRANCADOR B530; SRM4300</t>
  </si>
  <si>
    <t>EC-A052000430</t>
  </si>
  <si>
    <t>20035-75200 POLEA COMPLETA ALUMINIO ES726</t>
  </si>
  <si>
    <t>EC-A056000050</t>
  </si>
  <si>
    <t>EMBRAGUE CS680S</t>
  </si>
  <si>
    <t>EC-A056000330</t>
  </si>
  <si>
    <t>ZAPATA EMBRAGUE COMP. 22F</t>
  </si>
  <si>
    <t>EC-A057000011</t>
  </si>
  <si>
    <t>EC-A101000000</t>
  </si>
  <si>
    <t>EC-A101000150</t>
  </si>
  <si>
    <t>EC-A101000350</t>
  </si>
  <si>
    <t>EC-A130000111</t>
  </si>
  <si>
    <t>A130000111 CILINDRO DM6110</t>
  </si>
  <si>
    <t>EC-A130000292</t>
  </si>
  <si>
    <t>CILINDRO SRM4300</t>
  </si>
  <si>
    <t>EC-A130000601</t>
  </si>
  <si>
    <t>A130000601 CILINDRO SRM3605</t>
  </si>
  <si>
    <t>EC-A130000870</t>
  </si>
  <si>
    <t>A130000870 CILINDRO SRM4300</t>
  </si>
  <si>
    <t>EC-A130001150</t>
  </si>
  <si>
    <t>CILINDRO 22F-22C-F220</t>
  </si>
  <si>
    <t>EC-A130001330</t>
  </si>
  <si>
    <t>EC-A130001750</t>
  </si>
  <si>
    <t>EC-A172001300</t>
  </si>
  <si>
    <t>EC-A175000200</t>
  </si>
  <si>
    <t>PROTECTOR DEL TANQUE B45-B450</t>
  </si>
  <si>
    <t>EC-A175000210</t>
  </si>
  <si>
    <t>PROTECTOR DEL TANQUE B530</t>
  </si>
  <si>
    <t>EC-A200000140</t>
  </si>
  <si>
    <t>AISLADOR SRM4300</t>
  </si>
  <si>
    <t>EC-A200000640</t>
  </si>
  <si>
    <t>EC-A202000011</t>
  </si>
  <si>
    <t>AISLADOR CS680</t>
  </si>
  <si>
    <t>EC-A225000400</t>
  </si>
  <si>
    <t>A225000400 PORTA FILTRO ES726</t>
  </si>
  <si>
    <t>EC-A226000070</t>
  </si>
  <si>
    <t>EC-A226000300</t>
  </si>
  <si>
    <t>EC-A226000310</t>
  </si>
  <si>
    <t>FILTRO AIRE  INTERMEDIO SRM4300</t>
  </si>
  <si>
    <t>EC-A232000940</t>
  </si>
  <si>
    <t>EC-A235000220</t>
  </si>
  <si>
    <t>A235000220 PERILLA ARRANCADOR C230</t>
  </si>
  <si>
    <t>EC-A320000760</t>
  </si>
  <si>
    <t>CUBIERTA SILENCIADOR B450</t>
  </si>
  <si>
    <t>EC-A350000131</t>
  </si>
  <si>
    <t>TANQUE COMBUSTIBLE SRM4300</t>
  </si>
  <si>
    <t>EC-A369000070</t>
  </si>
  <si>
    <t>EC-A393000050</t>
  </si>
  <si>
    <t>BASE TANQUE SRM4300</t>
  </si>
  <si>
    <t>EC-A409000520</t>
  </si>
  <si>
    <t>VOLANTE ES726</t>
  </si>
  <si>
    <t>EC-A409000640</t>
  </si>
  <si>
    <t>VOLANTE B450 C350</t>
  </si>
  <si>
    <t>EC-A409000650</t>
  </si>
  <si>
    <t>62035-71110 VOLANTE B530</t>
  </si>
  <si>
    <t>EC-A411000031</t>
  </si>
  <si>
    <t>EC-A411000050</t>
  </si>
  <si>
    <t>BOBINA SRM4300</t>
  </si>
  <si>
    <t>EC-A411000264</t>
  </si>
  <si>
    <t>BOBINA CS420</t>
  </si>
  <si>
    <t>EC-A411000820</t>
  </si>
  <si>
    <t>BOBINA B45-BP35</t>
  </si>
  <si>
    <t>EC-A426000050</t>
  </si>
  <si>
    <t>RESORTE BUJIA C230-C350-EB500</t>
  </si>
  <si>
    <t>EC-A429000110</t>
  </si>
  <si>
    <t>CUBIERTA BUJIA C230-C350-B45</t>
  </si>
  <si>
    <t>EC-A429000120</t>
  </si>
  <si>
    <t>EC-A506000260</t>
  </si>
  <si>
    <t>EC-A510000110</t>
  </si>
  <si>
    <t>EC-A553000000</t>
  </si>
  <si>
    <t>ZAPATA EMBRAGUE UNIDAD SRM3605</t>
  </si>
  <si>
    <t>EC-A555000130</t>
  </si>
  <si>
    <t>ZAPATA EMBRAGUE C350-B450-B5</t>
  </si>
  <si>
    <t>EC-A556000650</t>
  </si>
  <si>
    <t>20016-31212TAMBOR DE EMBRAGUE 22C</t>
  </si>
  <si>
    <t>EC-A566000200</t>
  </si>
  <si>
    <t>RESORTE EMBRAGUE C230,HT230</t>
  </si>
  <si>
    <t>EC-A570000200</t>
  </si>
  <si>
    <t>PLACA UNION B530</t>
  </si>
  <si>
    <t>EC-A575000410</t>
  </si>
  <si>
    <t>EC-C400000211</t>
  </si>
  <si>
    <t>MANUBRIO DERECHO SRM270</t>
  </si>
  <si>
    <t>EC-C501000070</t>
  </si>
  <si>
    <t>EC-C531000600</t>
  </si>
  <si>
    <t>EC-C535000001</t>
  </si>
  <si>
    <t>EC-C535000510</t>
  </si>
  <si>
    <t>SOPORTE (A) C230</t>
  </si>
  <si>
    <t>EC-C535000630</t>
  </si>
  <si>
    <t>PROTECTOR DE PERNO (B) C270</t>
  </si>
  <si>
    <t>EC-C535000850</t>
  </si>
  <si>
    <t>SOPORTE (B) BP35</t>
  </si>
  <si>
    <t>EC-C536000030</t>
  </si>
  <si>
    <t>PROTECTOR CAJA ENGRANAJE SRM4300</t>
  </si>
  <si>
    <t>EC-P004000440</t>
  </si>
  <si>
    <t>20011-81140 RESORTE CABLE ES726-C35LA</t>
  </si>
  <si>
    <t>EC-P004000880</t>
  </si>
  <si>
    <t>TORNILLO (L) B450-B530</t>
  </si>
  <si>
    <t>EC-P004002860</t>
  </si>
  <si>
    <t>AGUJA ES726</t>
  </si>
  <si>
    <t>EC-P005001080</t>
  </si>
  <si>
    <t>BOQUILLA VALVULA RET SRM4300</t>
  </si>
  <si>
    <t>EC-P021000371</t>
  </si>
  <si>
    <t>PISTON KIT SRM270</t>
  </si>
  <si>
    <t>EC-P021000803</t>
  </si>
  <si>
    <t>EC-P021001820</t>
  </si>
  <si>
    <t>PISTON  KIT DM6110</t>
  </si>
  <si>
    <t>EC-P021002471</t>
  </si>
  <si>
    <t>EC-P021005410</t>
  </si>
  <si>
    <t>CILINDRO CS8002</t>
  </si>
  <si>
    <t>EC-P021005900</t>
  </si>
  <si>
    <t>EC-P021005911</t>
  </si>
  <si>
    <t>VOLANTE SRM4300</t>
  </si>
  <si>
    <t>EC-P021006153</t>
  </si>
  <si>
    <t>PISTON KIT CS510</t>
  </si>
  <si>
    <t>EC-P021010574</t>
  </si>
  <si>
    <t>P021010574 CILINDRO CS420</t>
  </si>
  <si>
    <t>EC-P021010582</t>
  </si>
  <si>
    <t>PISTON KIT CS420</t>
  </si>
  <si>
    <t>EC-P021012620</t>
  </si>
  <si>
    <t>PROTECTOR DE DESPOJOS SRM3605-4605</t>
  </si>
  <si>
    <t>EC-P021012791</t>
  </si>
  <si>
    <t>ABRAZADERA DE MANGO KIT SRM4300</t>
  </si>
  <si>
    <t>EC-P021012920</t>
  </si>
  <si>
    <t>EC-P021014320</t>
  </si>
  <si>
    <t>EC-P021015290</t>
  </si>
  <si>
    <t>PISTON KIT CS680S</t>
  </si>
  <si>
    <t>EC-P021015770</t>
  </si>
  <si>
    <t>PISTON KIT SRM4605</t>
  </si>
  <si>
    <t>EC-P021017990</t>
  </si>
  <si>
    <t>EC-P021027090</t>
  </si>
  <si>
    <t>EC-P021028610</t>
  </si>
  <si>
    <t>TUBO EXTERNO B530</t>
  </si>
  <si>
    <t>EC-P021029730</t>
  </si>
  <si>
    <t>EC-P021030570</t>
  </si>
  <si>
    <t>EC-P021031560</t>
  </si>
  <si>
    <t>PISTON KIT C350,C35LA,BP35</t>
  </si>
  <si>
    <t>EC-P021031630</t>
  </si>
  <si>
    <t>PISTON KIT B45 B45LA</t>
  </si>
  <si>
    <t>EC-P022006970</t>
  </si>
  <si>
    <t>TUBO COMPLETO SRM4300</t>
  </si>
  <si>
    <t>EC-P022007160</t>
  </si>
  <si>
    <t>PROTECTOR DESPOJOS SRM4300</t>
  </si>
  <si>
    <t>EC-P022007460</t>
  </si>
  <si>
    <t>PIÑON KIT SRM4300</t>
  </si>
  <si>
    <t>EC-P022010440</t>
  </si>
  <si>
    <t>RESORTE DE ARRANCADRO CS420</t>
  </si>
  <si>
    <t>EC-SHP-800EUSTD</t>
  </si>
  <si>
    <t>BOMBA DE FUMIGACION SHP-800</t>
  </si>
  <si>
    <t>EC-SP40BPS</t>
  </si>
  <si>
    <t>BOMBA MANUAL 15LT</t>
  </si>
  <si>
    <t>EC-SP45BPE</t>
  </si>
  <si>
    <t>BOMBA MANUAL 17LT</t>
  </si>
  <si>
    <t>EC-SRM-4605UEU</t>
  </si>
  <si>
    <t>DESMALEZADORA SRM 4605</t>
  </si>
  <si>
    <t>EC-V043000560</t>
  </si>
  <si>
    <t>CABLE ACELERADOR BP35</t>
  </si>
  <si>
    <t>EC-V100000450</t>
  </si>
  <si>
    <t>EMPAQUE CILINDRO B530</t>
  </si>
  <si>
    <t>EC-V103000950</t>
  </si>
  <si>
    <t>EMPAQUE AISLADOR B450-C350</t>
  </si>
  <si>
    <t>EC-V103001030</t>
  </si>
  <si>
    <t>EC-V104000210</t>
  </si>
  <si>
    <t>EMPAQUE ESCAPE SRM4300</t>
  </si>
  <si>
    <t>EC-V104001330</t>
  </si>
  <si>
    <t>EMPAQUE SILENCIAD B45, B450, C350, BP35</t>
  </si>
  <si>
    <t>EC-V205000480</t>
  </si>
  <si>
    <t>PERNO CUCHILLA  BP 35</t>
  </si>
  <si>
    <t>EC-V216000040</t>
  </si>
  <si>
    <t>PERNO CUCHILLA C230</t>
  </si>
  <si>
    <t>EC-V225000180</t>
  </si>
  <si>
    <t>EC-V299000410</t>
  </si>
  <si>
    <t>PERILLA DE FILTRO B530-HT230</t>
  </si>
  <si>
    <t>EC-V299000420</t>
  </si>
  <si>
    <t>20018-31251 PERILLA C230-ES726-P230</t>
  </si>
  <si>
    <t>EC-V304000010</t>
  </si>
  <si>
    <t>ARANDELA EMBRAGUE SHP 800</t>
  </si>
  <si>
    <t>EC-V304000180</t>
  </si>
  <si>
    <t>22000-13410 ANILLO DE GRASERO C230</t>
  </si>
  <si>
    <t>EC-V352000140</t>
  </si>
  <si>
    <t>EC-V420002520</t>
  </si>
  <si>
    <t>AMORTIGUADOR,TANQUE B530</t>
  </si>
  <si>
    <t>EC-V430001330</t>
  </si>
  <si>
    <t>CABLE ACELERADOR DM6110</t>
  </si>
  <si>
    <t>EC-V430002910</t>
  </si>
  <si>
    <t>CABLE B B450-B530-C350</t>
  </si>
  <si>
    <t>EC-V451000040</t>
  </si>
  <si>
    <t>RESORTE EMBRAGUE SHP800</t>
  </si>
  <si>
    <t>EC-V452000550</t>
  </si>
  <si>
    <t>RESORTE DE FRICCION B450-B45</t>
  </si>
  <si>
    <t>EC-V580000100</t>
  </si>
  <si>
    <t>ANILLO DE RETENCION B45-B530-B45LA</t>
  </si>
  <si>
    <t>EC-V651000520</t>
  </si>
  <si>
    <t>EC-V651000540</t>
  </si>
  <si>
    <t>PIÑON HUECO B45-B450-B530-C350</t>
  </si>
  <si>
    <t>EC-V651000700</t>
  </si>
  <si>
    <t>EC-V652000170</t>
  </si>
  <si>
    <t>ENGRANAJE 488</t>
  </si>
  <si>
    <t>EC-X114000000</t>
  </si>
  <si>
    <t>BARRA 36G63 PARA S.A.</t>
  </si>
  <si>
    <t>EC-X405000001</t>
  </si>
  <si>
    <t>EC-X405000011</t>
  </si>
  <si>
    <t>EC-X411000950</t>
  </si>
  <si>
    <t>CUCHILLA INFERIOR 40" ACC CORTACETOS</t>
  </si>
  <si>
    <t>EC-X475000050</t>
  </si>
  <si>
    <t>28820-07340 BOQUILLA SPEED FEED</t>
  </si>
  <si>
    <t>IB-007</t>
  </si>
  <si>
    <t>BANDA B-45</t>
  </si>
  <si>
    <t>INCO-019</t>
  </si>
  <si>
    <t>9400337 TAPA DE RECOLECTOR 350</t>
  </si>
  <si>
    <t>JF-008</t>
  </si>
  <si>
    <t>02.045001 PERNO DE SEGURIDAD</t>
  </si>
  <si>
    <t xml:space="preserve">ACCESORIOS MOTOCULTORES </t>
  </si>
  <si>
    <t>JF-014</t>
  </si>
  <si>
    <t>02.045369 CONTRA CUCHILLA JF2 / JF3</t>
  </si>
  <si>
    <t>JF-016</t>
  </si>
  <si>
    <t>02.070822 JUEGO COMP. MARTILLOS JF 2</t>
  </si>
  <si>
    <t>JF-017</t>
  </si>
  <si>
    <t>02.045530 KIT CUCHILLAS COMPLETO JF2/2D/</t>
  </si>
  <si>
    <t>JF-018</t>
  </si>
  <si>
    <t>02.046292 CONTRA CUCHILLA JF40S/MAXXIUM</t>
  </si>
  <si>
    <t>JF-023</t>
  </si>
  <si>
    <t>02.070842 JUEGO COMP. MARTILLOS JF 5</t>
  </si>
  <si>
    <t>JF-033</t>
  </si>
  <si>
    <t>ENSILADORA JF 40P</t>
  </si>
  <si>
    <t>JF-039</t>
  </si>
  <si>
    <t>MOLINO PICADOR JF 5 D</t>
  </si>
  <si>
    <t>JF-040</t>
  </si>
  <si>
    <t>MOLINO PICADOR JF 2 D</t>
  </si>
  <si>
    <t>JF-071</t>
  </si>
  <si>
    <t>2012619 KIT DE CUCHILLA COMPLETO JF-40P</t>
  </si>
  <si>
    <t>JF-125</t>
  </si>
  <si>
    <t>ENSILADORA JF-30P</t>
  </si>
  <si>
    <t>MOT-003</t>
  </si>
  <si>
    <t xml:space="preserve">MOTOR DIESEL 10 HP F400 </t>
  </si>
  <si>
    <t>OR-205963</t>
  </si>
  <si>
    <t>DIENTE P/MOTOSIERRA 27R 100B 0.404;DIENTE P/MOTOSIERRA 27R 100B 0.404</t>
  </si>
  <si>
    <t>OR-206045</t>
  </si>
  <si>
    <t>BARRA GUIA 30 STL 303ATLE099 OREGON</t>
  </si>
  <si>
    <t>OR-65789</t>
  </si>
  <si>
    <t>ANILLO PINON PASO 0.404" 7 DIENTES 22270</t>
  </si>
  <si>
    <t>OT-113</t>
  </si>
  <si>
    <t>MOTOR GASO 10 HP INTEK EJE RECTO</t>
  </si>
  <si>
    <t>OT-2356</t>
  </si>
  <si>
    <t>ORGANIZADOR DE PASTOS VALLE</t>
  </si>
  <si>
    <t>OT-481</t>
  </si>
  <si>
    <t>POLA 4" 1RA 16MM ELEC 3HPEC-MINI,30P</t>
  </si>
  <si>
    <t>OT-694</t>
  </si>
  <si>
    <t>GRASA SINTETICA AZUL 1LIBRA</t>
  </si>
  <si>
    <t>OT-701</t>
  </si>
  <si>
    <t>MOTOR 10HP WEG 3600RPM 220/440V</t>
  </si>
  <si>
    <t>OT-B83</t>
  </si>
  <si>
    <t>BANDA B-83</t>
  </si>
  <si>
    <t>SH-108642-24</t>
  </si>
  <si>
    <t>108642-24 BARRA 24 LT, 3/8, 0.58</t>
  </si>
  <si>
    <t>SH-108644-30</t>
  </si>
  <si>
    <t>108644-30 BARRA 30 .058 D009</t>
  </si>
  <si>
    <t>20000-75150 PLACA FRICCION B450-BP35</t>
  </si>
  <si>
    <t>20011-81021 CARBURADOR C35LA</t>
  </si>
  <si>
    <t>20011-81360 RESORTE H B450-C350-B530</t>
  </si>
  <si>
    <t>20015-93200 ACELERADOR COMP. ES726</t>
  </si>
  <si>
    <t>20021-81121 TAPA CARBURADOR B45-B45LA</t>
  </si>
  <si>
    <t>SH-20021-81920</t>
  </si>
  <si>
    <t>20021-81920 EMPAQUETADURA DIAFR B45-B45L</t>
  </si>
  <si>
    <t>SH-20021-96601</t>
  </si>
  <si>
    <t>HERRAM EXTRACTOR PISTON B450</t>
  </si>
  <si>
    <t>20070-81350 TORNILLO (H) B450</t>
  </si>
  <si>
    <t>20140-12210 AISLADOR CONDENS 22F</t>
  </si>
  <si>
    <t>20140-12221 EMPAQUE-AISLADOR 22C-22F</t>
  </si>
  <si>
    <t>22000-13241 PLACA A B35</t>
  </si>
  <si>
    <t>SH-22015-96500</t>
  </si>
  <si>
    <t>22015-96500 HERRAM EXTRACTOR COMPLETO</t>
  </si>
  <si>
    <t>SH-22015-96600</t>
  </si>
  <si>
    <t>22015-96600 HERRAM EXTRACTOR COMPLETO</t>
  </si>
  <si>
    <t>22021-12120 BUSHING B450-B530</t>
  </si>
  <si>
    <t>22104-75420 PERILLA ARRANCADOR B530</t>
  </si>
  <si>
    <t>22155-71130 RESORTE DEL TRINQUETE 757-57</t>
  </si>
  <si>
    <t>22155-96540 HERRAMIENTA LLAVE-T (5)</t>
  </si>
  <si>
    <t>22160-55200 BOMBA DE ACEITE 488-577</t>
  </si>
  <si>
    <t>22169-21300 TAPA ACIETE 757</t>
  </si>
  <si>
    <t>22169-51130 ARANDELA 757</t>
  </si>
  <si>
    <t>22169-54630 RESORTE ACELERADOR 757</t>
  </si>
  <si>
    <t>22169-55310 TUBERIA 757</t>
  </si>
  <si>
    <t>22169-57360 FILTRO ACEITE 488-577-757</t>
  </si>
  <si>
    <t>22169-82251 BASE DE FLTRO 757</t>
  </si>
  <si>
    <t>SH-22169-96580</t>
  </si>
  <si>
    <t>22169-96580 HERRAM ESTRACTOR</t>
  </si>
  <si>
    <t>22175-21200 CARTER M COMPLETO 577</t>
  </si>
  <si>
    <t>22175-82310 FILTRO DE AIRE 577-757C</t>
  </si>
  <si>
    <t>22175-82520 PERILLA DE CUBIERTA 577</t>
  </si>
  <si>
    <t>33SL0-72X CADENA 18.325.050</t>
  </si>
  <si>
    <t>SH-38490-18</t>
  </si>
  <si>
    <t>38490-18 BARRA 18 PROLITE D 0.816</t>
  </si>
  <si>
    <t>38500-71020 BOBINA COMPLETA ES726</t>
  </si>
  <si>
    <t>LANZA 5 BOQUILLAS</t>
  </si>
  <si>
    <t>JUEGO DE EMPAQUES ES726</t>
  </si>
  <si>
    <t>TAPA DEL DRENAJE ES726</t>
  </si>
  <si>
    <t>SH-60035-98061</t>
  </si>
  <si>
    <t>JUEGO DE AGUJAS B530</t>
  </si>
  <si>
    <t>62022-15100 SILENCIADOR COMPLETO B450</t>
  </si>
  <si>
    <t>62035-32320 PERILLA DORADA B530</t>
  </si>
  <si>
    <t>SH-62035-83111</t>
  </si>
  <si>
    <t>62083-81310 TAPA CARBURADOR B530</t>
  </si>
  <si>
    <t>63019-63170 SOPORTE (B) B530</t>
  </si>
  <si>
    <t>SH-70870-98030</t>
  </si>
  <si>
    <t>70870-98030 KIT DE VALVULAS HT230</t>
  </si>
  <si>
    <t>SH-72005-92630</t>
  </si>
  <si>
    <t>BOQUILLA UN-10-UN-32</t>
  </si>
  <si>
    <t>72030-13151 SOPORTE 22F</t>
  </si>
  <si>
    <t>72330-82320 PRE FILTRO 577P-757</t>
  </si>
  <si>
    <t>SH-73DP-98X</t>
  </si>
  <si>
    <t>73DP-98X CADENA, 30 3/8", 058"</t>
  </si>
  <si>
    <t>SH-8003009</t>
  </si>
  <si>
    <t>SH-80424</t>
  </si>
  <si>
    <t>80424 DISCO MAXI BLADE 9</t>
  </si>
  <si>
    <t>SH-80771</t>
  </si>
  <si>
    <t>80771 DISCO ACERO 10; 3 DIENTES</t>
  </si>
  <si>
    <t>88102 BOQUILLA HV-2</t>
  </si>
  <si>
    <t>SH-88421</t>
  </si>
  <si>
    <t>SH-99909-12212</t>
  </si>
  <si>
    <t>AISLADOR CONDENS C230</t>
  </si>
  <si>
    <t>AGUJA KIT 757</t>
  </si>
  <si>
    <t>AGUJA KIT C230</t>
  </si>
  <si>
    <t>SH-CAB.- BUJIA</t>
  </si>
  <si>
    <t>CABLE BUJIA</t>
  </si>
  <si>
    <t>MOTOSIERRA 757 SHINDAIWA</t>
  </si>
  <si>
    <t>SHDW-016</t>
  </si>
  <si>
    <t>DISCO TORNADO 9 12 DIENTES LP12-9"</t>
  </si>
  <si>
    <t>ROLLO HILO NYLON 0.095 (870 MTS) 09510"</t>
  </si>
  <si>
    <t>SHDW-036</t>
  </si>
  <si>
    <t>CUCHILLA CORBATIN</t>
  </si>
  <si>
    <t>SHDW-048</t>
  </si>
  <si>
    <t>Agroinsumos Cia. Ltda</t>
  </si>
  <si>
    <t>Agrota Cia. Ltda</t>
  </si>
  <si>
    <t>Sukampo S.A.</t>
  </si>
  <si>
    <t>2DK-16</t>
  </si>
  <si>
    <t xml:space="preserve">BOMBA CAUDAL 1HP 2"X2" </t>
  </si>
  <si>
    <t xml:space="preserve">IMPLEMENTOS </t>
  </si>
  <si>
    <t>CA TAMBOR ARRANQUE B530</t>
  </si>
  <si>
    <t>ACC-014</t>
  </si>
  <si>
    <t>ROLLO 100MT MANGUERA FUM 200BAR 3/8"</t>
  </si>
  <si>
    <t>ALEN 5X16</t>
  </si>
  <si>
    <t>PERNO ALEN 5 X 16 CA</t>
  </si>
  <si>
    <t>ALEN 5X16 CC</t>
  </si>
  <si>
    <t>PERNO ALEN 5X16 CC</t>
  </si>
  <si>
    <t>ALEN 5X25</t>
  </si>
  <si>
    <t>PERNO ALEN 5 X 25</t>
  </si>
  <si>
    <t>ARA-1LS-220</t>
  </si>
  <si>
    <t>ARADO DE 2 VERTEDERAS</t>
  </si>
  <si>
    <t>BOMSU-004</t>
  </si>
  <si>
    <t>BOMBA DE AGUA SUBARU  PKX 20IT</t>
  </si>
  <si>
    <t xml:space="preserve">MAQUINA DE TALLER </t>
  </si>
  <si>
    <t>BR-CAT-12390</t>
  </si>
  <si>
    <t>ROLLO DE NYLON 1LB PARA WT-190</t>
  </si>
  <si>
    <t>ACCESORIOS WHEELED TRIMMERS</t>
  </si>
  <si>
    <t>BR-CAT-70089</t>
  </si>
  <si>
    <t>KIT ACCESORIO DE CORTE 70089</t>
  </si>
  <si>
    <t>ACCESORIOS CHIPPER/SHEDDERS</t>
  </si>
  <si>
    <t>BR-CAT-70738</t>
  </si>
  <si>
    <t>KIT, HERRAMIENTA EN HOJA DE ACERO 70738</t>
  </si>
  <si>
    <t>BR-CAT-70973</t>
  </si>
  <si>
    <t>KIT, DESFIBRADOR 70973</t>
  </si>
  <si>
    <t>BR-CAT-71381</t>
  </si>
  <si>
    <t>KIT, CUCHILLA DESFIBRADORA</t>
  </si>
  <si>
    <t>BR-CAT-72704-12</t>
  </si>
  <si>
    <t>CABEZAL DE NYLON PARA WT190</t>
  </si>
  <si>
    <t>BR-CAT-72780</t>
  </si>
  <si>
    <t>KIT,.155 ROUND STRING (10)</t>
  </si>
  <si>
    <t>BR-CAT-73060</t>
  </si>
  <si>
    <t>KIT, TRIMMER BLADE</t>
  </si>
  <si>
    <t>BR-CAT-74548-00</t>
  </si>
  <si>
    <t>KIT, SABRE TOOTH BLADE</t>
  </si>
  <si>
    <t>BR-CAT-7620212</t>
  </si>
  <si>
    <t>ZARANDA FINA 76202-12</t>
  </si>
  <si>
    <t>BR-CAT-76204-12</t>
  </si>
  <si>
    <t>ZARANDA MEDIANA 76204-12</t>
  </si>
  <si>
    <t>BR-CAT-76206-12</t>
  </si>
  <si>
    <t>Criba para humedos mod. SC3305, SC3265, SC3342</t>
  </si>
  <si>
    <t>BR-CAT-76214-12</t>
  </si>
  <si>
    <t>Criba para humedos mod. SC3206</t>
  </si>
  <si>
    <t>BR-CAT-77022-00</t>
  </si>
  <si>
    <t>KIT, DESFIBRADOR PARA SC2170</t>
  </si>
  <si>
    <t>BR-CAT-CH4400</t>
  </si>
  <si>
    <t>CHIPPER TIPO REMOLQUE CH4400</t>
  </si>
  <si>
    <t>BR-CAT-CS3206</t>
  </si>
  <si>
    <t>CHIPPER/SHREDDERS CS3206</t>
  </si>
  <si>
    <t>CHIPPER/SHEDDERS</t>
  </si>
  <si>
    <t>BR-CAT-CS3342</t>
  </si>
  <si>
    <t>CHIPPER/SHREDDERS CS3342</t>
  </si>
  <si>
    <t>BR-CAT-SC2170</t>
  </si>
  <si>
    <t>CHIPPER/SHREDDERS SC2170</t>
  </si>
  <si>
    <t>BR-CAT-SC3305</t>
  </si>
  <si>
    <t xml:space="preserve">CHIPPER/SHREDDERS SC3305		</t>
  </si>
  <si>
    <t>BR-WT190</t>
  </si>
  <si>
    <t xml:space="preserve">TRIMMERS-DESBROZADORA WT190			</t>
  </si>
  <si>
    <t>BS-6535LA</t>
  </si>
  <si>
    <t>TUNEL TERMOENCOGIBLE BS-6535LA</t>
  </si>
  <si>
    <t>MAQUINARIA</t>
  </si>
  <si>
    <t>COA-001</t>
  </si>
  <si>
    <t xml:space="preserve">COMBO AGROTA  MONILIA </t>
  </si>
  <si>
    <t>COA-002</t>
  </si>
  <si>
    <t xml:space="preserve">COMBO  AGROTA CACAO FLORACION </t>
  </si>
  <si>
    <t>COA-003</t>
  </si>
  <si>
    <t xml:space="preserve">COMBO AGROTA CACAO INICIO </t>
  </si>
  <si>
    <t>COA-004</t>
  </si>
  <si>
    <t>COMBO AGROTA INSECTICIDA</t>
  </si>
  <si>
    <t>COA-005</t>
  </si>
  <si>
    <t>COMBO AGROTA FRESA</t>
  </si>
  <si>
    <t>MOTOR ELETRICO</t>
  </si>
  <si>
    <t>CR-012</t>
  </si>
  <si>
    <t>JUEGO DE CUCHILLAS DP4 / DPC-4 / EC- MINI</t>
  </si>
  <si>
    <t>CR-013</t>
  </si>
  <si>
    <t>CONTRA CUCHILLA DP2</t>
  </si>
  <si>
    <t>CR-019</t>
  </si>
  <si>
    <t>JUEGO DE ZARANDAS PARA DP4</t>
  </si>
  <si>
    <t>CR-026</t>
  </si>
  <si>
    <t>CILINDRO ALIMENTADOR DENTADO</t>
  </si>
  <si>
    <t>CR-027</t>
  </si>
  <si>
    <t>CILINDRO ALIMENTADOR LISO</t>
  </si>
  <si>
    <t>CR-049</t>
  </si>
  <si>
    <t>MOTOR 5HP WEG 1800RPM 220/440V</t>
  </si>
  <si>
    <t>CR-052</t>
  </si>
  <si>
    <t>MOLINO PICADOR DPF JR.</t>
  </si>
  <si>
    <t>CR-066</t>
  </si>
  <si>
    <t>JUEGO DE CUCHILLAS DPF MINI</t>
  </si>
  <si>
    <t>CR-089</t>
  </si>
  <si>
    <t>CONTRA CUCHILLA DPF JR</t>
  </si>
  <si>
    <t>CR-094</t>
  </si>
  <si>
    <t>CONTRA CUCHILLA DEL ROTOR 930 C</t>
  </si>
  <si>
    <t>CR-099</t>
  </si>
  <si>
    <t>JUEGO CUCHILLAS ROTOR COSECHADORA 930 C</t>
  </si>
  <si>
    <t>CR-102</t>
  </si>
  <si>
    <t>CONTRA CUCHILLA EC 4000</t>
  </si>
  <si>
    <t>CR-117</t>
  </si>
  <si>
    <t>MEZCLADORA MRC 500</t>
  </si>
  <si>
    <t>CR-121</t>
  </si>
  <si>
    <t xml:space="preserve">CORONA DE BRONCE EC MINI  71.200.10 </t>
  </si>
  <si>
    <t>CR-125</t>
  </si>
  <si>
    <t>CORONA BRONCE EC 4800</t>
  </si>
  <si>
    <t>CR-140</t>
  </si>
  <si>
    <t>MOTOR 2 HP PARA DPF SR</t>
  </si>
  <si>
    <t>CR-1715538</t>
  </si>
  <si>
    <t>CR-240</t>
  </si>
  <si>
    <t>POLEA 4`` DE 2 RANURAS</t>
  </si>
  <si>
    <t>POLEAS</t>
  </si>
  <si>
    <t>CR-71.064.10</t>
  </si>
  <si>
    <t>CAJA INVERSORA EC-MINI</t>
  </si>
  <si>
    <t>CR-DPC4</t>
  </si>
  <si>
    <t>MOLINO PICADOR DPC4</t>
  </si>
  <si>
    <t>CR-DPF</t>
  </si>
  <si>
    <t>MOLINO DPF MINI</t>
  </si>
  <si>
    <t>CR-DPFSR</t>
  </si>
  <si>
    <t>MOLINO PICADOR DPF-SR</t>
  </si>
  <si>
    <t>CRE-003</t>
  </si>
  <si>
    <t>JUEGO DE ZARANDAS PARA DPF JR.</t>
  </si>
  <si>
    <t>CRE-010</t>
  </si>
  <si>
    <t>JUEGO DE CUCHILLAS EC 4000</t>
  </si>
  <si>
    <t>CRE-016</t>
  </si>
  <si>
    <t>JUEGO DE ZARANDAS PARA DP2</t>
  </si>
  <si>
    <t>CRE-082</t>
  </si>
  <si>
    <t>CONTRA CUCHILLA EC MINI</t>
  </si>
  <si>
    <t>CRMOT</t>
  </si>
  <si>
    <t>COCINA MONTE CARLO QUARZO</t>
  </si>
  <si>
    <t>ELECTRODOMESTICOS</t>
  </si>
  <si>
    <t>CT-0001</t>
  </si>
  <si>
    <t>CORTADORA CRAFTSMAN  5.5HP CON LLANTAS POS. ALTAS MOD. 917.385143</t>
  </si>
  <si>
    <t>CT-0002</t>
  </si>
  <si>
    <t>CORTADORA CRAFTSMAN 5.5HP LLANTA BAJA MOD. 247.385200</t>
  </si>
  <si>
    <t>CT-0003</t>
  </si>
  <si>
    <t>CORTADORA CRAFTSMAN  6.7 LLANTAS POS. ALTAS Y RECO  CESPED MOD. 247.389160</t>
  </si>
  <si>
    <t>CT-0004</t>
  </si>
  <si>
    <t>CORTADORA CRAFTSMAN 7HP DE TRACC. DE LLANTERA CON LLAN POST ALTAS MO 917.370680</t>
  </si>
  <si>
    <t>CY-001</t>
  </si>
  <si>
    <t>CYTOKIN X 100CC</t>
  </si>
  <si>
    <t>DIS-ESCRITORIO 150X50 HAYA</t>
  </si>
  <si>
    <t>ESCRITORIO DE 150X60 CON SOPORTES Y CAJONERA METALICA COLOR HAYA</t>
  </si>
  <si>
    <t>MUEBLES</t>
  </si>
  <si>
    <t>DIS-ESTACIONTRABAJO</t>
  </si>
  <si>
    <t>ESTACIÓN DE TRABAJO DE 150X150 ESTRUCTURA SOPORTES Y FALDON CAJONERA 3 GAVETAS</t>
  </si>
  <si>
    <t>EC-001107</t>
  </si>
  <si>
    <t>AGARRADERA MANUBRIO PULVERIZADORA</t>
  </si>
  <si>
    <t>EC-09510</t>
  </si>
  <si>
    <t>ANILLO PISTON, KIT SHP800  EDR210</t>
  </si>
  <si>
    <t>EC-10001108360</t>
  </si>
  <si>
    <t>ANILLO PISTON DM6110</t>
  </si>
  <si>
    <t>EC-10001116431</t>
  </si>
  <si>
    <t>ANILLO PISTON CS1201</t>
  </si>
  <si>
    <t>EC-10001121230</t>
  </si>
  <si>
    <t>ANILLO PISTON PPT2400</t>
  </si>
  <si>
    <t>ANILLO PISTON CS8002</t>
  </si>
  <si>
    <t>EC-10001132431</t>
  </si>
  <si>
    <t>ANILLOS PISTON CS6700</t>
  </si>
  <si>
    <t>EC-10001139731</t>
  </si>
  <si>
    <t>ANILLO PISTON CS510</t>
  </si>
  <si>
    <t>EC-10001142230</t>
  </si>
  <si>
    <t>ANILLO PISTON SRM3605</t>
  </si>
  <si>
    <t>EC-10001143230</t>
  </si>
  <si>
    <t>ANILLO PISTON SRM4605</t>
  </si>
  <si>
    <t>EC-10001146430</t>
  </si>
  <si>
    <t>ANILLO PISTON CS3000</t>
  </si>
  <si>
    <t>EC-10001212331</t>
  </si>
  <si>
    <t>COJINETE DE AGUJAS DE TAMBOR CS420</t>
  </si>
  <si>
    <t>EC-10010043130</t>
  </si>
  <si>
    <t>10010043130 CIGUENAL SRM4605</t>
  </si>
  <si>
    <t>EC-10010060731</t>
  </si>
  <si>
    <t>CIGUEÑAL CS1201</t>
  </si>
  <si>
    <t>EC-1001141</t>
  </si>
  <si>
    <t>TANQUE ES726</t>
  </si>
  <si>
    <t>EC-10014212330</t>
  </si>
  <si>
    <t>CHAVETA SRM3605</t>
  </si>
  <si>
    <t>EC-10020416430</t>
  </si>
  <si>
    <t>CARTER COMPLETO CS1201</t>
  </si>
  <si>
    <t>CARTER COMPLETO SRM4605</t>
  </si>
  <si>
    <t>EC-10020452132</t>
  </si>
  <si>
    <t>CARTER COMPLETO WP-1000 EDR-210</t>
  </si>
  <si>
    <t>REPUESTOS TALADRO MOTORIZADO</t>
  </si>
  <si>
    <t>CARTER COMPLETO SRM3605</t>
  </si>
  <si>
    <t>CARTER COMPLETO SRM270</t>
  </si>
  <si>
    <t>EC-10021219830</t>
  </si>
  <si>
    <t>SELLO DE ACEITE CS680S</t>
  </si>
  <si>
    <t>EC-10021227930</t>
  </si>
  <si>
    <t>SELLO DE ACEITE, RETEN SRM4605</t>
  </si>
  <si>
    <t>EC-10021232430</t>
  </si>
  <si>
    <t>SELLO DE ACEITE CS680</t>
  </si>
  <si>
    <t>EC-10021300310</t>
  </si>
  <si>
    <t>RETENEDOR CIGUEÑAL DM6110 SRM4300</t>
  </si>
  <si>
    <t>EC-10021302830</t>
  </si>
  <si>
    <t>EC-10021305530</t>
  </si>
  <si>
    <t>SELLO DE ACEITE SRM3605 SRM4300</t>
  </si>
  <si>
    <t>EC-10021330830</t>
  </si>
  <si>
    <t>SELLO DE ACEITE CS8002</t>
  </si>
  <si>
    <t>EC-10024230830</t>
  </si>
  <si>
    <t>EMPAQUE CARTER  CS8002</t>
  </si>
  <si>
    <t>EC-10024232430</t>
  </si>
  <si>
    <t>EMPAQUE CARTER CS680</t>
  </si>
  <si>
    <t>EC-10024242030</t>
  </si>
  <si>
    <t>EMPAQUE CARTER PPT2400, HC150, WP1000</t>
  </si>
  <si>
    <t>EC-10024242230</t>
  </si>
  <si>
    <t>EMPAQUE CARTER SRM 4605</t>
  </si>
  <si>
    <t>EC-10091016430</t>
  </si>
  <si>
    <t>AMORTIGUADOR POSTERIOR CS1201</t>
  </si>
  <si>
    <t>EC-10091030830</t>
  </si>
  <si>
    <t>AMORTIGUADOR FRONTAL CS8002</t>
  </si>
  <si>
    <t>EC-10091516430</t>
  </si>
  <si>
    <t>PERNO SUJETADOR DE AMORTIGUADOR CS1201</t>
  </si>
  <si>
    <t>EC-10091716430</t>
  </si>
  <si>
    <t>AMORTIGUADOR FRONTAL CS1201</t>
  </si>
  <si>
    <t>EC-10091730830</t>
  </si>
  <si>
    <t>AMORTIGUADOR CS8002</t>
  </si>
  <si>
    <t>EC-10092230830</t>
  </si>
  <si>
    <t>AMORTIGUADOR POSTERIOR CS8002</t>
  </si>
  <si>
    <t>EC-10101016431</t>
  </si>
  <si>
    <t>EMPAQUE DE CILINDRO CS1201</t>
  </si>
  <si>
    <t>10101030830 EMPAQUE DE CILINDRO CS8002</t>
  </si>
  <si>
    <t>EC-10101042231</t>
  </si>
  <si>
    <t>10101042231 EMPAQUE CILINDRO SRM4605</t>
  </si>
  <si>
    <t>EC-10101044332</t>
  </si>
  <si>
    <t>EMPAQUE DE CILINDRO PPT2400, EDR210</t>
  </si>
  <si>
    <t>EC-10101055930</t>
  </si>
  <si>
    <t>EMPAQUE CILINDRO SHP-800</t>
  </si>
  <si>
    <t>EC-10101108961</t>
  </si>
  <si>
    <t>CILINDRO PPT-2400</t>
  </si>
  <si>
    <t>EC-10101147530</t>
  </si>
  <si>
    <t>10101147530 CILINDRO SRM4605</t>
  </si>
  <si>
    <t>EC-10101160730</t>
  </si>
  <si>
    <t>CILINDRO CS1201</t>
  </si>
  <si>
    <t>EC-10101161230</t>
  </si>
  <si>
    <t>10101161230 CILINDRO SHP800</t>
  </si>
  <si>
    <t>EC-102922452</t>
  </si>
  <si>
    <t>GAFAS SPORT ECHO</t>
  </si>
  <si>
    <t>ACCESORIOS</t>
  </si>
  <si>
    <t>EC-10494022560</t>
  </si>
  <si>
    <t>RESORTE DE COMPRESION EJE PPT2400</t>
  </si>
  <si>
    <t>EC-10510</t>
  </si>
  <si>
    <t>ROLLO HILO NYLON 0.105"700MTS) 10510"</t>
  </si>
  <si>
    <t>EC-12200032930</t>
  </si>
  <si>
    <t>CARBURADOR CS1201</t>
  </si>
  <si>
    <t>EC-12211200230</t>
  </si>
  <si>
    <t>DIAFRAGMA CARBURADOR CS1201</t>
  </si>
  <si>
    <t>EC-12212300230</t>
  </si>
  <si>
    <t>PALANCA BALANCIN CS1201</t>
  </si>
  <si>
    <t>EC-12212500230</t>
  </si>
  <si>
    <t>EMPAQUETADURA BOMBA CARBURADOR CS1201</t>
  </si>
  <si>
    <t>EC-12213700230</t>
  </si>
  <si>
    <t>VALVULA REGULADORA CS1201</t>
  </si>
  <si>
    <t>EC-12214000230</t>
  </si>
  <si>
    <t>EMPAQUE DE DIAFRAGMA DE MEDICION CS1201</t>
  </si>
  <si>
    <t>EC-12214100230</t>
  </si>
  <si>
    <t>DIAFRAGMA DEL BALANCIN CS1201</t>
  </si>
  <si>
    <t>EC-12300047532</t>
  </si>
  <si>
    <t>CARBURADOR SRM4605</t>
  </si>
  <si>
    <t>EC-12300052133</t>
  </si>
  <si>
    <t>CARBURADOR PPT-2400</t>
  </si>
  <si>
    <t>EC-12310052130</t>
  </si>
  <si>
    <t>KIT DE REPARACION, CARBURADOR PPT2400</t>
  </si>
  <si>
    <t>EC-12311212330</t>
  </si>
  <si>
    <t>DIAFRAGMA DE CARBURADOR CS680 488</t>
  </si>
  <si>
    <t>EC-12311824430</t>
  </si>
  <si>
    <t>AGUJA (L) SRM3605</t>
  </si>
  <si>
    <t>EC-12312009560</t>
  </si>
  <si>
    <t>AGUJA (H) SRM3605</t>
  </si>
  <si>
    <t>EC-12312116130</t>
  </si>
  <si>
    <t>RESORTE DE AGUJA DE REGULACION CS8002</t>
  </si>
  <si>
    <t>EC-12312203660</t>
  </si>
  <si>
    <t>RESORTE BALANCIN SRM3605</t>
  </si>
  <si>
    <t>RESORTE BALANCIN CS8002</t>
  </si>
  <si>
    <t>EC-12312318330</t>
  </si>
  <si>
    <t>PALANCA BALANCIN CS680  488,577,757</t>
  </si>
  <si>
    <t>22100-81230 PALANCA BALANCIN SRM3605 SRM4605 C230</t>
  </si>
  <si>
    <t>EC-12312512330</t>
  </si>
  <si>
    <t>EMPAQUE DE DIAFRAGMA DE CARBURADOR CS680 488,577,757</t>
  </si>
  <si>
    <t>EC-12314003930</t>
  </si>
  <si>
    <t>EMPAQUETADURA Y DIAFRAGMA SRM4605</t>
  </si>
  <si>
    <t>EC-12314016130</t>
  </si>
  <si>
    <t>EMPAQUE DE DIAFRAGMA DE MEDICION CARB 488,577,757</t>
  </si>
  <si>
    <t>EC-12314016131</t>
  </si>
  <si>
    <t>EMPAQUE DE DIAFRAGMA DE BALANCIN CS8002</t>
  </si>
  <si>
    <t>EC-12314116131</t>
  </si>
  <si>
    <t>DIAFRAGMA DE BALANCIN CS600 CS680</t>
  </si>
  <si>
    <t>20036-81670 BOMBA DEL CEBADOR 22F-C230-EB500-HT23</t>
  </si>
  <si>
    <t>EC-12411305910</t>
  </si>
  <si>
    <t>EC-12411411120</t>
  </si>
  <si>
    <t>EC-12411505530</t>
  </si>
  <si>
    <t>EC-12411511120</t>
  </si>
  <si>
    <t>20020-81150 RESORTE RODELA B45-B530-B45L</t>
  </si>
  <si>
    <t>EC-12411605530</t>
  </si>
  <si>
    <t>RETENEDOR TIPO E SHP800</t>
  </si>
  <si>
    <t>EC-12415905530</t>
  </si>
  <si>
    <t>TORNILLO RELANTIN B450 C350</t>
  </si>
  <si>
    <t>EC-12416011120</t>
  </si>
  <si>
    <t>72920-81820 RESORTE T B450-C350-B530</t>
  </si>
  <si>
    <t>EC-12431749930</t>
  </si>
  <si>
    <t>AGUJA PIVOTE SHP800</t>
  </si>
  <si>
    <t>EC-12433149930</t>
  </si>
  <si>
    <t>20040-81430 RESORTE BALANCIN C350-B450</t>
  </si>
  <si>
    <t>EC-12435412710</t>
  </si>
  <si>
    <t>EC-12435521330</t>
  </si>
  <si>
    <t>20040-81680 RESORTE MEMBRANA B450-C350-C270-SHP800</t>
  </si>
  <si>
    <t>EC-12436112710</t>
  </si>
  <si>
    <t>EMPAQUE DE CARBURADOR SHP800</t>
  </si>
  <si>
    <t>EC-12436412710</t>
  </si>
  <si>
    <t>DIAFRAGMA BOMBA GASOLINA SHP800</t>
  </si>
  <si>
    <t>EC-12436755430</t>
  </si>
  <si>
    <t>62035-81360 RESORTE MEMBRANA B530</t>
  </si>
  <si>
    <t>EC-12437455430</t>
  </si>
  <si>
    <t>VALVULA PATO B530 B450</t>
  </si>
  <si>
    <t>EC-12438012710</t>
  </si>
  <si>
    <t>12438012710 BOMBA CEBADOR B450-B530-C350</t>
  </si>
  <si>
    <t>PALANCA BALANCIN SRM4300</t>
  </si>
  <si>
    <t>EC-12532508360</t>
  </si>
  <si>
    <t>12532508360 EMPAQUE BOMBA CARBURADOR SRM4300</t>
  </si>
  <si>
    <t>EC-12533708260</t>
  </si>
  <si>
    <t>AGUJA H SRM4300</t>
  </si>
  <si>
    <t>EC-12534107360</t>
  </si>
  <si>
    <t>12534107360 DIAFRAGMA SRM4300</t>
  </si>
  <si>
    <t>EC-13000039131</t>
  </si>
  <si>
    <t>AISLADOR KIT CS3000</t>
  </si>
  <si>
    <t>EC-13001005960</t>
  </si>
  <si>
    <t>EMPAQUE (B) ADMISION PPT2400</t>
  </si>
  <si>
    <t>EC-13001038330</t>
  </si>
  <si>
    <t>EMPAQUE CARBURADOR CS510</t>
  </si>
  <si>
    <t>EC-13001316431</t>
  </si>
  <si>
    <t>ADAPTADOR DE MANGA CARBURADOR CS1201</t>
  </si>
  <si>
    <t>EMPAQUE B CARBURADOR SRM4300</t>
  </si>
  <si>
    <t>EC-13001642231</t>
  </si>
  <si>
    <t>EMPAQUE AISLADOR (B) SRM4605</t>
  </si>
  <si>
    <t>EC-13001742031</t>
  </si>
  <si>
    <t>AISLADOR PPT2400</t>
  </si>
  <si>
    <t>EC-13001756431</t>
  </si>
  <si>
    <t>AISLADOR SRM270</t>
  </si>
  <si>
    <t>ROLLO HILO NYLON 0.130 (460MTS) 13010"</t>
  </si>
  <si>
    <t>TAPA FILTRO SRM3605</t>
  </si>
  <si>
    <t>EC-13030330831</t>
  </si>
  <si>
    <t>FILTRO DE AIRE CS8002</t>
  </si>
  <si>
    <t>EC-13030516430</t>
  </si>
  <si>
    <t>FILTRO DE AIRE CS1201</t>
  </si>
  <si>
    <t>EC-13030747533</t>
  </si>
  <si>
    <t>BASE FILTRO AIRE SRM4605</t>
  </si>
  <si>
    <t>EC-13031013410</t>
  </si>
  <si>
    <t>FILTRO AIRE SHP800</t>
  </si>
  <si>
    <t>EC-13031043130</t>
  </si>
  <si>
    <t>FILTRO DE AIRE SRM4605</t>
  </si>
  <si>
    <t>EC-13031303710</t>
  </si>
  <si>
    <t>TAPA FILTRO AIRE DM-6110</t>
  </si>
  <si>
    <t>EC-13031357030</t>
  </si>
  <si>
    <t>CUBIERTA FILTRO SRM4300</t>
  </si>
  <si>
    <t>EC-13040652131</t>
  </si>
  <si>
    <t>PERILLA TAPA FILTRO SRM3605</t>
  </si>
  <si>
    <t>EC-13051016431</t>
  </si>
  <si>
    <t>MANGA CS1201</t>
  </si>
  <si>
    <t>EC-13051214731</t>
  </si>
  <si>
    <t>PLACA BASE MANGA CS1201</t>
  </si>
  <si>
    <t>EC-13051630830</t>
  </si>
  <si>
    <t>ANILLO BASE DE LA MANGA CS8002</t>
  </si>
  <si>
    <t>EC-13100546831</t>
  </si>
  <si>
    <t>TANQUE DE COMBUSTIBLE PPT2400</t>
  </si>
  <si>
    <t>EC-13120507320</t>
  </si>
  <si>
    <t>FILTRO DE COMBUSTIBLE PPT2400</t>
  </si>
  <si>
    <t>FILTRO COMBUST SRM4300 SRM4605</t>
  </si>
  <si>
    <t>EC-13192311120</t>
  </si>
  <si>
    <t>AMORTIGUADOR SRM4605</t>
  </si>
  <si>
    <t>EC-13192443130</t>
  </si>
  <si>
    <t>AMORTIGUADOR DE TANQUE SRM4605</t>
  </si>
  <si>
    <t>EC-13201043130</t>
  </si>
  <si>
    <t>MANGUERA DE COMBUSTIBLE SRM4605</t>
  </si>
  <si>
    <t>EC-13201119831</t>
  </si>
  <si>
    <t>ADAPTADOR DE MANGUERA CS8002</t>
  </si>
  <si>
    <t>EC-13211544330</t>
  </si>
  <si>
    <t>OJAL TANQUE COMBUSTIBLE SHP-800</t>
  </si>
  <si>
    <t>EC-13-58</t>
  </si>
  <si>
    <t xml:space="preserve">GRASA SHINDAIWA TUBO 283.5 G  </t>
  </si>
  <si>
    <t>GRASAS</t>
  </si>
  <si>
    <t>EC-14551006211</t>
  </si>
  <si>
    <t>EMPAQUE DE SILENCIADOR DM6110</t>
  </si>
  <si>
    <t>EC-14551030830</t>
  </si>
  <si>
    <t>EMPAQUE SILENCIADOR CS8002</t>
  </si>
  <si>
    <t>EC-14551206211</t>
  </si>
  <si>
    <t>EMPAQUETADURA DEL SILENCIADOR DM6110</t>
  </si>
  <si>
    <t>EC-14586130830</t>
  </si>
  <si>
    <t>DEFLECTOR DE SILENCIADOR CS8002</t>
  </si>
  <si>
    <t>EC-15262660730</t>
  </si>
  <si>
    <t>BOBINA CS1201</t>
  </si>
  <si>
    <t>EC-15660112920</t>
  </si>
  <si>
    <t>BOBINA SRM4605</t>
  </si>
  <si>
    <t>BOBINA CS680S, CS6702</t>
  </si>
  <si>
    <t>EC-15662652730</t>
  </si>
  <si>
    <t>BOBINA PPT2400</t>
  </si>
  <si>
    <t>EC-15680142230</t>
  </si>
  <si>
    <t>VOLANTE SRM4605</t>
  </si>
  <si>
    <t>EC-15901201620</t>
  </si>
  <si>
    <t>TAPA DE BUJIA SRM4605</t>
  </si>
  <si>
    <t>EC-16340032430</t>
  </si>
  <si>
    <t>INTERRUPTOR DE ENCENDIDO CS680</t>
  </si>
  <si>
    <t>EC-17500056831</t>
  </si>
  <si>
    <t>EMBRAGUE PPT2400 GT-22GES</t>
  </si>
  <si>
    <t>EC-17500542030</t>
  </si>
  <si>
    <t>TAMBOR EMBRAGUE PPT2400</t>
  </si>
  <si>
    <t>EC-17500543130</t>
  </si>
  <si>
    <t>TAMBOR EMBRAGUE SRM4605</t>
  </si>
  <si>
    <t>EC-17500544331</t>
  </si>
  <si>
    <t>TAMBOR DEL EMBRAGUE 22GT</t>
  </si>
  <si>
    <t>EC-17500660730</t>
  </si>
  <si>
    <t>TAMBOR DE EMBRAGUE CS1201</t>
  </si>
  <si>
    <t>EC-17500942231</t>
  </si>
  <si>
    <t>ZAPATA EMBRAGUE UNIDAD SRM4605</t>
  </si>
  <si>
    <t>EC-17500955931</t>
  </si>
  <si>
    <t>ZAPATA EMBRAGUE UNIDAD SRM270, SHP800</t>
  </si>
  <si>
    <t>EC-17501230831</t>
  </si>
  <si>
    <t>COJINETE AGUJAS EMBRAGUE CS8002</t>
  </si>
  <si>
    <t>EC-17501232430</t>
  </si>
  <si>
    <t>COJINETE DE AGUJAS PARA EMBRAGUE CS680</t>
  </si>
  <si>
    <t>EC-17501830830</t>
  </si>
  <si>
    <t>RESORTE DE EMBRAGUE DE CS8002</t>
  </si>
  <si>
    <t>EC-17501842230</t>
  </si>
  <si>
    <t>RESORTE EMBRAGUE SRM4300-4605</t>
  </si>
  <si>
    <t>EC-17501849932</t>
  </si>
  <si>
    <t>RESORTE EMBRAGUE SRM3605</t>
  </si>
  <si>
    <t>EC-17503314731</t>
  </si>
  <si>
    <t>22150-51520 PINON FLOTANTE 577-757-CS8002</t>
  </si>
  <si>
    <t>EC-17504803920</t>
  </si>
  <si>
    <t>ARANDELA B EMBRAGUE SRM4300</t>
  </si>
  <si>
    <t>EC-17504903920</t>
  </si>
  <si>
    <t>ARANDELA A EMBRAGUE SRM4300</t>
  </si>
  <si>
    <t>EC-17531320430</t>
  </si>
  <si>
    <t>EMPAQUE GT22</t>
  </si>
  <si>
    <t>EC-17720016431</t>
  </si>
  <si>
    <t>ARRANCADOR  COMPLETO CS1201</t>
  </si>
  <si>
    <t>EC-17720030831</t>
  </si>
  <si>
    <t>ARRANCADOR CS8002</t>
  </si>
  <si>
    <t>EC-17720042033</t>
  </si>
  <si>
    <t>ARRANCADOR COMP PPT2400</t>
  </si>
  <si>
    <t>EC-17720055931</t>
  </si>
  <si>
    <t>ARRANCADOR COMPLETO SRM270-SHP-800</t>
  </si>
  <si>
    <t>EC-17720212220</t>
  </si>
  <si>
    <t>POLEA DE ALUMINIO DE ARRANQUE PPT2400</t>
  </si>
  <si>
    <t>EC-17720241030</t>
  </si>
  <si>
    <t>POLEA ARRANQUE SRM3605,4605</t>
  </si>
  <si>
    <t>EC-17720614330</t>
  </si>
  <si>
    <t>TAMBOR DE ARRANCADOR CS8002</t>
  </si>
  <si>
    <t>EC-17721535632</t>
  </si>
  <si>
    <t>TAMBOR ARRANQUE CS3000</t>
  </si>
  <si>
    <t>EC-17721538330</t>
  </si>
  <si>
    <t>TAMBOR ARRANQUE CS510</t>
  </si>
  <si>
    <t>EC-17721540630</t>
  </si>
  <si>
    <t>TAMBOR ARRANQUE SHP800</t>
  </si>
  <si>
    <t>EC-17721543130</t>
  </si>
  <si>
    <t>TAMBOR ARRANQ SRM4605 B45LA-C350-EB500 (A506000150)</t>
  </si>
  <si>
    <t>EC-17721544430</t>
  </si>
  <si>
    <t>70030-75120 TAMBOR DE ARRANCADOR HT230,ES726</t>
  </si>
  <si>
    <t>EC-17721560930</t>
  </si>
  <si>
    <t>TAMBOR ARRANCADOR CS3500</t>
  </si>
  <si>
    <t>EC-17721830830</t>
  </si>
  <si>
    <t>TRINQUTE CS8002</t>
  </si>
  <si>
    <t>EC-17721832631</t>
  </si>
  <si>
    <t>TRINQUETE CS680</t>
  </si>
  <si>
    <t>EC-17721844330</t>
  </si>
  <si>
    <t>TRINQUETE PPT2400</t>
  </si>
  <si>
    <t>62035-75130 RESORTE ARRANQUE SRM4300 B530</t>
  </si>
  <si>
    <t>EC-17722010631</t>
  </si>
  <si>
    <t>RESORTE DE ARRANCADOR CS1201</t>
  </si>
  <si>
    <t>EC-17722035430</t>
  </si>
  <si>
    <t>RESORTE RECULAR ARRANQUE SC600</t>
  </si>
  <si>
    <t>20024-75130 RESORTE ARRANQUE SHP800</t>
  </si>
  <si>
    <t>EC-17722107060</t>
  </si>
  <si>
    <t>BASE RESORTE ARRANCADOR CS680</t>
  </si>
  <si>
    <t>EC-17722135631</t>
  </si>
  <si>
    <t>PLACA DE ARRANQUE CS3000</t>
  </si>
  <si>
    <t>EC-17722138330</t>
  </si>
  <si>
    <t>CAJA RESORTE ARRANCADOR CS510</t>
  </si>
  <si>
    <t>EC-17723412220</t>
  </si>
  <si>
    <t>20035-75230 RESORTE TRINQUETE ES726</t>
  </si>
  <si>
    <t>EC-17723419832</t>
  </si>
  <si>
    <t>RESORTE DEL TRINQUETE CS680</t>
  </si>
  <si>
    <t>EC-17723430830</t>
  </si>
  <si>
    <t>RESORTE DEL TRINQUETE CS8002</t>
  </si>
  <si>
    <t>EC-17723440630</t>
  </si>
  <si>
    <t>RESORTE TRINQUETE SRM3605-4605</t>
  </si>
  <si>
    <t>EC-17724214730</t>
  </si>
  <si>
    <t>BASE DEL RESORTE DE ARRANQUE CS1201</t>
  </si>
  <si>
    <t>EC-17724230830</t>
  </si>
  <si>
    <t>BASE DEL RESORTE DE ARRANQUE CS8002</t>
  </si>
  <si>
    <t>CABLE DE ACELERADOR SRM4605</t>
  </si>
  <si>
    <t>EC-17800147530</t>
  </si>
  <si>
    <t>CABLE ACELERADOR SRM3605</t>
  </si>
  <si>
    <t>EC-17800151030</t>
  </si>
  <si>
    <t>CABLE DE ACELERADOR PPT2400</t>
  </si>
  <si>
    <t>EC-17801005960</t>
  </si>
  <si>
    <t>GATILLO DEL ACELERADOR 4605</t>
  </si>
  <si>
    <t>EC-17801022560</t>
  </si>
  <si>
    <t>GATILLO DEL ACELERADOR PPT2400</t>
  </si>
  <si>
    <t>EC-17801205960</t>
  </si>
  <si>
    <t>TRABA DE GATILLO 4605</t>
  </si>
  <si>
    <t>EC-17801335631</t>
  </si>
  <si>
    <t>RESORTE DE GATILLO 4605</t>
  </si>
  <si>
    <t>EC-17809022560</t>
  </si>
  <si>
    <t>TRABA DE GATILLO PPT2400</t>
  </si>
  <si>
    <t>EC-17809037930</t>
  </si>
  <si>
    <t>PALANCA SEGURO ACELERADOR CS3500</t>
  </si>
  <si>
    <t>EC-18F8LS3372</t>
  </si>
  <si>
    <t>BARRA 18" CS-420ES</t>
  </si>
  <si>
    <t>EC-20019-83410</t>
  </si>
  <si>
    <t>EMPAQUE ADMISION CARBURADOR CILINDRO ES726</t>
  </si>
  <si>
    <t>EC-20D8TW3872</t>
  </si>
  <si>
    <t>BARRA 50CM 3/8"/0.58"</t>
  </si>
  <si>
    <t>EC-21250001111</t>
  </si>
  <si>
    <t>P050008390 BOQUILLA COMPLETA DM6110</t>
  </si>
  <si>
    <t>EC-2150001111</t>
  </si>
  <si>
    <t>BOQUILLA</t>
  </si>
  <si>
    <t>EC-21560056</t>
  </si>
  <si>
    <t>CABEZAL SRM22GUES</t>
  </si>
  <si>
    <t>EC-22400010610</t>
  </si>
  <si>
    <t>HERRAMIENTA EXTRACTOR DE EMBRAGUE DE MOTOSIERRA</t>
  </si>
  <si>
    <t xml:space="preserve">HERRAMIENTAS VENTA </t>
  </si>
  <si>
    <t>EC-24D8TW3884</t>
  </si>
  <si>
    <t>BARRA 60CM 3/8"/0.58"</t>
  </si>
  <si>
    <t>EC-25001708013</t>
  </si>
  <si>
    <t>EC-25021111610</t>
  </si>
  <si>
    <t>TAPA DRENAJE SHP 800</t>
  </si>
  <si>
    <t>EC-28D8TW3892</t>
  </si>
  <si>
    <t>BARRA 28" 70CM 3/8"/0.058" CS680S CS8002</t>
  </si>
  <si>
    <t>EC-30100156831</t>
  </si>
  <si>
    <t>30100156831 ARNES SRM3605</t>
  </si>
  <si>
    <t>EC-30511042030</t>
  </si>
  <si>
    <t>PROTECTOR DEL TANQUE PPT2400</t>
  </si>
  <si>
    <t>ROLLO NYLON  5LB.105" REDONDO NYL</t>
  </si>
  <si>
    <t>EC-32D8PS3805</t>
  </si>
  <si>
    <t>BARRA DE 30" 3/8 0.58 (80CM) PARA CS8002</t>
  </si>
  <si>
    <t>EC-33SL0-72X</t>
  </si>
  <si>
    <t>EC-35101052931</t>
  </si>
  <si>
    <t>MANUBRIO IZQ SRM3605-4605</t>
  </si>
  <si>
    <t>EC-35110022362</t>
  </si>
  <si>
    <t>MANGO POSTERIOR PPT2400</t>
  </si>
  <si>
    <t>EC-35110247530</t>
  </si>
  <si>
    <t>MANGO DERECHO SRM3605-SRM460</t>
  </si>
  <si>
    <t>EC-35791100111</t>
  </si>
  <si>
    <t>SUJETADOR DE CAUCHO TUBO DM6110</t>
  </si>
  <si>
    <t>EC-35810001111</t>
  </si>
  <si>
    <t>LLAVE DE PASO DM6110</t>
  </si>
  <si>
    <t>EC-400442310</t>
  </si>
  <si>
    <t>FILTRO MALLA ES726</t>
  </si>
  <si>
    <t>EC-4037771</t>
  </si>
  <si>
    <t>TAMBOR DE EMBRAGUE ES726</t>
  </si>
  <si>
    <t>EC-4042881</t>
  </si>
  <si>
    <t>EMBOLO ES726</t>
  </si>
  <si>
    <t>EC-4048451</t>
  </si>
  <si>
    <t>ASIENTO DE VALVULA ES726</t>
  </si>
  <si>
    <t>EC-4070981</t>
  </si>
  <si>
    <t>EC-4073281</t>
  </si>
  <si>
    <t>SOPORTE DE LANZA ES726</t>
  </si>
  <si>
    <t>EC-43021530833</t>
  </si>
  <si>
    <t>CA BARRA 28" CS 8002</t>
  </si>
  <si>
    <t>EC-43021531731</t>
  </si>
  <si>
    <t>CA BARRA GUIA 28" CS-8002</t>
  </si>
  <si>
    <t>EC-43021531732</t>
  </si>
  <si>
    <t>BARRA GUIA 60CM</t>
  </si>
  <si>
    <t>EC-43021531733</t>
  </si>
  <si>
    <t>BARRA GUIA 70CM</t>
  </si>
  <si>
    <t>EC-43101330831</t>
  </si>
  <si>
    <t>CADENA 24" CS680 CS 8002</t>
  </si>
  <si>
    <t>EC-43301116430</t>
  </si>
  <si>
    <t>ESPARRAGO DE BARRA CS1201</t>
  </si>
  <si>
    <t>EC-43301330830</t>
  </si>
  <si>
    <t>PLACA GUIA INTERNA CS680  CS8002</t>
  </si>
  <si>
    <t>EC-43301402830</t>
  </si>
  <si>
    <t>PIN TENSOR DE CADENA CS8002</t>
  </si>
  <si>
    <t>EC-43301416430</t>
  </si>
  <si>
    <t>TENSOR DE LA CADENA CS1201</t>
  </si>
  <si>
    <t>EC-43301611031</t>
  </si>
  <si>
    <t>TORNILLO TENSOR DE CADENA DE CS8002</t>
  </si>
  <si>
    <t>EC-43301616430</t>
  </si>
  <si>
    <t>TORNILLO TENSOR CS1201</t>
  </si>
  <si>
    <t>EC-43301910631</t>
  </si>
  <si>
    <t>TUERCA BARRA CS1201</t>
  </si>
  <si>
    <t>EC-43301912330</t>
  </si>
  <si>
    <t>TUERCA BARRA CS680</t>
  </si>
  <si>
    <t>EC-43302116430</t>
  </si>
  <si>
    <t>CUBIERTA DE EMBRAGUE CS1201</t>
  </si>
  <si>
    <t>EC-43302811030</t>
  </si>
  <si>
    <t>CLIP TENSOR DE CADENA CS8002</t>
  </si>
  <si>
    <t>EC-43700037530</t>
  </si>
  <si>
    <t>ENGRANAJE COMPLETO CS680</t>
  </si>
  <si>
    <t>BOMBA ACEITE CS680 CS8002</t>
  </si>
  <si>
    <t>EC-43700632330</t>
  </si>
  <si>
    <t>KIT TORNILLO SIN FIN BOMBA CS-680 CS-6702</t>
  </si>
  <si>
    <t>EC-43706319930</t>
  </si>
  <si>
    <t>ENGRANAJE TORNILLO SINFIN CS-680</t>
  </si>
  <si>
    <t>EC-43710016430</t>
  </si>
  <si>
    <t>BOMBA DE ACEITE CS1201</t>
  </si>
  <si>
    <t>EC-43710019832</t>
  </si>
  <si>
    <t>BOMBA DE ACEITE CS8002</t>
  </si>
  <si>
    <t>CA BOMBA DE ACEITE CS8000</t>
  </si>
  <si>
    <t>EC-43721015130</t>
  </si>
  <si>
    <t>MANGUERA COMBUST A SHP-800</t>
  </si>
  <si>
    <t>EC-450095060</t>
  </si>
  <si>
    <t>4515030 VALVULA DE PASO ES726</t>
  </si>
  <si>
    <t>EC-4502640</t>
  </si>
  <si>
    <t>LANZA MANGO ES726</t>
  </si>
  <si>
    <t>EC-4517530</t>
  </si>
  <si>
    <t>ESLABON GIRATORIO ES726,SHP800</t>
  </si>
  <si>
    <t>EC-452009480</t>
  </si>
  <si>
    <t>EC-4525920</t>
  </si>
  <si>
    <t>ESLABON GIRATORIO C/DESCONEXION</t>
  </si>
  <si>
    <t>EC-4527270</t>
  </si>
  <si>
    <t>MANGO FILTRO 320 PARA ES726,SHP800</t>
  </si>
  <si>
    <t>EC-4529110</t>
  </si>
  <si>
    <t>EC-4550460</t>
  </si>
  <si>
    <t>BOQUILLA ES726</t>
  </si>
  <si>
    <t>EC-4552760</t>
  </si>
  <si>
    <t>VALVULA DE GATILLO ES726</t>
  </si>
  <si>
    <t>EC-4555310</t>
  </si>
  <si>
    <t>4555310 PLACA GOTA FINA ES726</t>
  </si>
  <si>
    <t>EC-4557850</t>
  </si>
  <si>
    <t>LANZA ES726</t>
  </si>
  <si>
    <t>EC-4562530</t>
  </si>
  <si>
    <t>CA BOQUILLA METAL ES726</t>
  </si>
  <si>
    <t>EC-4567930</t>
  </si>
  <si>
    <t>CAJA DE ENGRANAJE ES726</t>
  </si>
  <si>
    <t>EC-4573040</t>
  </si>
  <si>
    <t>BOMBA COMPLETA ES726</t>
  </si>
  <si>
    <t>EC-4573060</t>
  </si>
  <si>
    <t>EC-4573110</t>
  </si>
  <si>
    <t>EC-4574920</t>
  </si>
  <si>
    <t>JUEGO DE VALVULAS ES726</t>
  </si>
  <si>
    <t>EC-4575060</t>
  </si>
  <si>
    <t>EC-4575700</t>
  </si>
  <si>
    <t>EC-4576340</t>
  </si>
  <si>
    <t>EC-4579070</t>
  </si>
  <si>
    <t>VALVULA COMPLETA ES726</t>
  </si>
  <si>
    <t>EC-488-50EMC</t>
  </si>
  <si>
    <t>MOTOSIERRA 488 Con espada de 50"</t>
  </si>
  <si>
    <t>EC-60405105560</t>
  </si>
  <si>
    <t>MANDRIL EDR-210</t>
  </si>
  <si>
    <t>EC-60876</t>
  </si>
  <si>
    <t>MANUAL SERVICIO TECNICO</t>
  </si>
  <si>
    <t>EC-61001106230</t>
  </si>
  <si>
    <t>61001106230 EJE CENTRAL SRM3605 SRM4605</t>
  </si>
  <si>
    <t>EC-61001122061</t>
  </si>
  <si>
    <t>EJE TRANSMISIÓN INFERIOR PPT2400</t>
  </si>
  <si>
    <t>EC-61001122460</t>
  </si>
  <si>
    <t>EJE TRANSMISION SUPERIOR PPT240</t>
  </si>
  <si>
    <t>EC-61001222361</t>
  </si>
  <si>
    <t>CONECTOR EJE TRANSMISION PPT2400</t>
  </si>
  <si>
    <t>EC-61010522360</t>
  </si>
  <si>
    <t>SOPORTE COJINETE COMPLETO PPT2400</t>
  </si>
  <si>
    <t>EC-61020543131</t>
  </si>
  <si>
    <t>CUBIERTA DE EMBRAGUE SRM4605</t>
  </si>
  <si>
    <t>EC-61021022461</t>
  </si>
  <si>
    <t>TUBO SUPERIOR PPT2400</t>
  </si>
  <si>
    <t>EC-61022222360</t>
  </si>
  <si>
    <t>TUBO PRINCIPAL PPT2400</t>
  </si>
  <si>
    <t>EC-61023904130</t>
  </si>
  <si>
    <t>ARANDELAS DE SEGURIDAD DE CAJA SRM4300</t>
  </si>
  <si>
    <t>EC-61028222360</t>
  </si>
  <si>
    <t>ABRAZADERA INFERIOR PPT2400</t>
  </si>
  <si>
    <t>EC-61028222460</t>
  </si>
  <si>
    <t>ABRAZADERA SUPERIOR PPT2400</t>
  </si>
  <si>
    <t>EC-61029822360</t>
  </si>
  <si>
    <t>ADAPTADOR EJE TRANSMISION PPT2400</t>
  </si>
  <si>
    <t>EC-61031005730</t>
  </si>
  <si>
    <t>61031005730 EJE PINON SRM4300</t>
  </si>
  <si>
    <t>EC-61031056831</t>
  </si>
  <si>
    <t>EJE DE ENGRANAJE SRM270</t>
  </si>
  <si>
    <t xml:space="preserve">EJE PIÑON SRM4605 SRM3605  </t>
  </si>
  <si>
    <t>61031421231 ESTABILIZADOR CUCHILLA SRM4300</t>
  </si>
  <si>
    <t>SOPORTE (B) SRM270 SRM3605 SRM4605</t>
  </si>
  <si>
    <t>EC-61031507130</t>
  </si>
  <si>
    <t>ESPACIADOR DE CAJA DE ENGRANAJES SRM4300</t>
  </si>
  <si>
    <t>EC-61041307130</t>
  </si>
  <si>
    <t>SELLO DE ACEITE B530</t>
  </si>
  <si>
    <t>EC-61043450031</t>
  </si>
  <si>
    <t>PERNO GRASERO SRM3605-4300-4605-270</t>
  </si>
  <si>
    <t>EC-61091051830</t>
  </si>
  <si>
    <t>AMORTIGUADOR UNION SRM4605</t>
  </si>
  <si>
    <t>ACEITES</t>
  </si>
  <si>
    <t>EC-682100</t>
  </si>
  <si>
    <t>PIÑON LOCO CS680S</t>
  </si>
  <si>
    <t>EC-70602004970</t>
  </si>
  <si>
    <t>ORING DE TAPA DE CARTER DE BOMBA SHP800</t>
  </si>
  <si>
    <t>CA TAPON BOMBA SHP800</t>
  </si>
  <si>
    <t>EC-70602013250</t>
  </si>
  <si>
    <t>TAMBOR DE EMBRAGUE SHP800</t>
  </si>
  <si>
    <t>EC-70602016970</t>
  </si>
  <si>
    <t>RETEN DE CARTER BIELA SHP800</t>
  </si>
  <si>
    <t>EC-70602018220</t>
  </si>
  <si>
    <t>BIELA BOMBA SHP-800</t>
  </si>
  <si>
    <t>EC-70602028970</t>
  </si>
  <si>
    <t>RETEN DE CUBIERTA DE EMBRAGUE SHP800</t>
  </si>
  <si>
    <t>EC-70602031A13</t>
  </si>
  <si>
    <t>VASTAGO DE EMBOLO SHP800</t>
  </si>
  <si>
    <t>VALVULA PRESION SHP-800</t>
  </si>
  <si>
    <t>EC-70602034770</t>
  </si>
  <si>
    <t>70602034770 CABEZA PISTON SHP800</t>
  </si>
  <si>
    <t>EC-70602035911</t>
  </si>
  <si>
    <t>ASIENTO DE VALVULA SHP800</t>
  </si>
  <si>
    <t>EC-70602038720</t>
  </si>
  <si>
    <t>EMPAQUE BOMBA SHP 800</t>
  </si>
  <si>
    <t>EC-70602039720</t>
  </si>
  <si>
    <t>EMPAQUE DE GRASA SHP800</t>
  </si>
  <si>
    <t>EC-70602040771</t>
  </si>
  <si>
    <t>JUEGO DE EMPAQUES BOMBA SHP800</t>
  </si>
  <si>
    <t>EC-70602041720</t>
  </si>
  <si>
    <t>ANILLO DE GRASA SHP-800</t>
  </si>
  <si>
    <t>EC-70602047412</t>
  </si>
  <si>
    <t>CILINDRO DE BOMBA SHP 800</t>
  </si>
  <si>
    <t>VALVULA PRESION SHP800</t>
  </si>
  <si>
    <t>EC-70602050000</t>
  </si>
  <si>
    <t>VALVULA KIT DE EMBOLO SHP800</t>
  </si>
  <si>
    <t>EC-70602060A22</t>
  </si>
  <si>
    <t>70602060A22 VALVULA REGULADORA SHP800</t>
  </si>
  <si>
    <t>RETENEDOR DE RESORTE SHP-800</t>
  </si>
  <si>
    <t>EC-70604060762</t>
  </si>
  <si>
    <t>MANGUERA PULV SHP800</t>
  </si>
  <si>
    <t>EC-70604061461</t>
  </si>
  <si>
    <t>MANIJA DE LANZA SHP800</t>
  </si>
  <si>
    <t>EC-70604062621</t>
  </si>
  <si>
    <t>VALVULA DE PASO SHP800</t>
  </si>
  <si>
    <t>EC-70617038721</t>
  </si>
  <si>
    <t>BOQUILLA COMPLETA SHP800</t>
  </si>
  <si>
    <t>EC-70617047620</t>
  </si>
  <si>
    <t>MALLA SHP800</t>
  </si>
  <si>
    <t>EC-70617050720</t>
  </si>
  <si>
    <t>TAPA DE LA BOQUILLA SHP800</t>
  </si>
  <si>
    <t>EC-70617051631</t>
  </si>
  <si>
    <t>PLACA DE BOQUILLA SHP800</t>
  </si>
  <si>
    <t>EC-70617052970</t>
  </si>
  <si>
    <t>ORING DE BOQUILLA SHP800</t>
  </si>
  <si>
    <t>EC-73LGX92X</t>
  </si>
  <si>
    <t>43101530831 CADENA70CM 28" CS8002</t>
  </si>
  <si>
    <t>EC-73LGX92X60</t>
  </si>
  <si>
    <t>CADENA 60CM 28" CS8002</t>
  </si>
  <si>
    <t>EC-757-70INTL</t>
  </si>
  <si>
    <t>MOTOSIERRA 757-70 CON BARRA Y CADENA</t>
  </si>
  <si>
    <t>EC-757CINTL</t>
  </si>
  <si>
    <t>EC-78890-21001</t>
  </si>
  <si>
    <t>CABEZAL DE ALTA CAPACIDAD SPEED FEED</t>
  </si>
  <si>
    <t>EC-8000142</t>
  </si>
  <si>
    <t>O-RING DE LANZA,SELLO ES726</t>
  </si>
  <si>
    <t>EC-80023</t>
  </si>
  <si>
    <t>TUBO COMPLETO C350</t>
  </si>
  <si>
    <t>EC-80025</t>
  </si>
  <si>
    <t>TUBO COMPLETO B450</t>
  </si>
  <si>
    <t>EC-8003009</t>
  </si>
  <si>
    <t>EMPAQUE TAPA ES726</t>
  </si>
  <si>
    <t>EC-80187</t>
  </si>
  <si>
    <t>JUEGO, GUIAS DE RETENEDOR</t>
  </si>
  <si>
    <t>EC-80247</t>
  </si>
  <si>
    <t>TUBO COMP CON ETIQUETA  C230</t>
  </si>
  <si>
    <t>EC-80255</t>
  </si>
  <si>
    <t>EMPAQUETADURA-DIAF ES726</t>
  </si>
  <si>
    <t>EC-80405</t>
  </si>
  <si>
    <t>KIT ESPARRAJOS ROSCA IZQUIERDA</t>
  </si>
  <si>
    <t>EC-80425</t>
  </si>
  <si>
    <t>CA DISCOS DE ALTA EXIGENCIA 8"</t>
  </si>
  <si>
    <t>EC-80426</t>
  </si>
  <si>
    <t>CA DISCO DE ALTA EXIGENCIA 9"</t>
  </si>
  <si>
    <t>EC-80550</t>
  </si>
  <si>
    <t>EMPAQUETADURA DIAFR 488-577-757</t>
  </si>
  <si>
    <t>EC-80551</t>
  </si>
  <si>
    <t>EMPAQUETADURA DIAFR 488-488P</t>
  </si>
  <si>
    <t>EC-80676</t>
  </si>
  <si>
    <t>ADAPTADOR UN10 C230</t>
  </si>
  <si>
    <t>80678 ADAPTADOR UN10,B450,B530,C350</t>
  </si>
  <si>
    <t>EC-80786</t>
  </si>
  <si>
    <t>CABEZAL METALICO SIN EMPAQUE</t>
  </si>
  <si>
    <t>EC-80794A</t>
  </si>
  <si>
    <t>CABEZAL DE NYLON METALICO</t>
  </si>
  <si>
    <t>EC-81593</t>
  </si>
  <si>
    <t>EC-81630</t>
  </si>
  <si>
    <t>MANGUERA LANZA ES726</t>
  </si>
  <si>
    <t xml:space="preserve">CABEZAL NYLON UN-10 SIN EMPAQUE) 82067A </t>
  </si>
  <si>
    <t>EC-88102</t>
  </si>
  <si>
    <t>EC-88198-S</t>
  </si>
  <si>
    <t>TAPA DE BOQUILLA ES726</t>
  </si>
  <si>
    <t>EC-89757005560</t>
  </si>
  <si>
    <t>LLAVE MANDRIL EDR-210</t>
  </si>
  <si>
    <t>EC-89770819835</t>
  </si>
  <si>
    <t>EC-90016205014</t>
  </si>
  <si>
    <t xml:space="preserve">PERNO 5x14 </t>
  </si>
  <si>
    <t>EC-90016205025</t>
  </si>
  <si>
    <t>PERNO DE SUJECION (COM) SRM4605,SRM4300,SRM3605</t>
  </si>
  <si>
    <t>PERNO SUJETADOR CARBURADOR SRM3605</t>
  </si>
  <si>
    <t>EC-90024205057</t>
  </si>
  <si>
    <t>TORNILLO SRM4605</t>
  </si>
  <si>
    <t>EC-900302</t>
  </si>
  <si>
    <t>LLAVERO PROBADOR CHISPA</t>
  </si>
  <si>
    <t>EC-90050000005</t>
  </si>
  <si>
    <t>TUERCA DE MANUBRIO SRM4605</t>
  </si>
  <si>
    <t>EC-90060300005</t>
  </si>
  <si>
    <t>ARANDELA VARIOS MODELOS</t>
  </si>
  <si>
    <t>EC-90060500004</t>
  </si>
  <si>
    <t>01600-04101 ARANDELA PRESION C230,P230,C350,B45,B450</t>
  </si>
  <si>
    <t>EC-90072000012</t>
  </si>
  <si>
    <t>O RING CAJA ENGRANAJE SRM4605</t>
  </si>
  <si>
    <t>EC-9007200012</t>
  </si>
  <si>
    <t>ORING CAJA SRM4605</t>
  </si>
  <si>
    <t>EC-90080206000</t>
  </si>
  <si>
    <t>COJINETE 6000 B450 B530</t>
  </si>
  <si>
    <t>EC-90080206002</t>
  </si>
  <si>
    <t>02006-06002 COJINETE C350-B450</t>
  </si>
  <si>
    <t>EC-90080406001</t>
  </si>
  <si>
    <t>02002-06001 COJINETE B450 B530</t>
  </si>
  <si>
    <t>EC-90081036202</t>
  </si>
  <si>
    <t>COJINETE 6202 B450 B530 SRM430</t>
  </si>
  <si>
    <t>EC-901018</t>
  </si>
  <si>
    <t xml:space="preserve">CA ARNES 901018 </t>
  </si>
  <si>
    <t>90SG-039X CADENA GUIA 10" P230</t>
  </si>
  <si>
    <t>EC-9103006010</t>
  </si>
  <si>
    <t>PERNO TAPA GRASA C230</t>
  </si>
  <si>
    <t>EC-91032</t>
  </si>
  <si>
    <t>HERRAMIENTA KIT ENGENER</t>
  </si>
  <si>
    <t>EC-91VX57X</t>
  </si>
  <si>
    <t>CADENA PARA BARRA DE 16" 40CM 3/8" 0.058"</t>
  </si>
  <si>
    <t>EC-9242422000</t>
  </si>
  <si>
    <t>02432-22100 SEGURO ZEGER CAJA ENGRANAJE C230</t>
  </si>
  <si>
    <t>EC-9242426000</t>
  </si>
  <si>
    <t>02432-26120 ANILLO RETENEDOR C230</t>
  </si>
  <si>
    <t>EC-9242428000</t>
  </si>
  <si>
    <t>02432-28120 ANILLO DE RETENCION 22F</t>
  </si>
  <si>
    <t>EC-9242432000</t>
  </si>
  <si>
    <t>EC-9242435000</t>
  </si>
  <si>
    <t>ANILLO SEGER C350-B450-B530</t>
  </si>
  <si>
    <t>EC-9242440000</t>
  </si>
  <si>
    <t>02432-40170 ANILLO DE RETENCION B45-488</t>
  </si>
  <si>
    <t>EC-9311503010</t>
  </si>
  <si>
    <t>CHAVETA B530</t>
  </si>
  <si>
    <t>EC-9701201</t>
  </si>
  <si>
    <t>ANILLO BOQUILLA LANZA ES726</t>
  </si>
  <si>
    <t>EC-9701401</t>
  </si>
  <si>
    <t>ORINGS ES726</t>
  </si>
  <si>
    <t>EC-9711151</t>
  </si>
  <si>
    <t>ORINGS ES 726</t>
  </si>
  <si>
    <t>EC-9720135</t>
  </si>
  <si>
    <t>EC-99909-156</t>
  </si>
  <si>
    <t>EC-99909-159</t>
  </si>
  <si>
    <t>EMPAQUETADURA KIT C230</t>
  </si>
  <si>
    <t>EC-99909-160</t>
  </si>
  <si>
    <t>EC-99909-207</t>
  </si>
  <si>
    <t>VALVULA DE CONTROL C230</t>
  </si>
  <si>
    <t>EC-99909-229</t>
  </si>
  <si>
    <t>PISTON KIT 22C-22F</t>
  </si>
  <si>
    <t>EC-99909-306</t>
  </si>
  <si>
    <t>CARTER S C350</t>
  </si>
  <si>
    <t>EC-99909-307</t>
  </si>
  <si>
    <t>CARTER M C350</t>
  </si>
  <si>
    <t>EC-99909-450</t>
  </si>
  <si>
    <t>99909-450 PISTON KIT B450</t>
  </si>
  <si>
    <t>EC-99909-451</t>
  </si>
  <si>
    <t>EMPAQUETADURA-DIAFRAG B450</t>
  </si>
  <si>
    <t>EC-99909-453</t>
  </si>
  <si>
    <t>AGUJA KIT B450</t>
  </si>
  <si>
    <t>EC-99909-55113</t>
  </si>
  <si>
    <t>ACEITE SHINDAIWA PREMIUM 2-TIEMPOS 100ML</t>
  </si>
  <si>
    <t>CABEZAL SPEED FEED CURVED SHAFT GT-22 SRM22</t>
  </si>
  <si>
    <t>CA BROCA EDR210</t>
  </si>
  <si>
    <t>EC-99944900240</t>
  </si>
  <si>
    <t>ACCESORIO PARA HOYADORA 6"</t>
  </si>
  <si>
    <t>EC-99944900250</t>
  </si>
  <si>
    <t>ACCESORIO PARA HOYADORA 8"</t>
  </si>
  <si>
    <t>EC-99944900260</t>
  </si>
  <si>
    <t>ACCESORIO PARA HOYADORA 10"</t>
  </si>
  <si>
    <t>EC-A011000101</t>
  </si>
  <si>
    <t>CIGUEÑAL PPT2400</t>
  </si>
  <si>
    <t>EC-A011000540</t>
  </si>
  <si>
    <t>CIGUENAL CS600</t>
  </si>
  <si>
    <t>20016-42002 CIGUENAL C230-P230-ES726</t>
  </si>
  <si>
    <t>EC-A011000770</t>
  </si>
  <si>
    <t>20024-42001 CIGUENAL C270</t>
  </si>
  <si>
    <t>EC-A011001030</t>
  </si>
  <si>
    <t>EC-A011001050</t>
  </si>
  <si>
    <t>22150-42002 CIGUEÑAL COMPLETO 577</t>
  </si>
  <si>
    <t>EC-A020000080</t>
  </si>
  <si>
    <t>CARBURADOR BP35</t>
  </si>
  <si>
    <t>EC-A021000220</t>
  </si>
  <si>
    <t>CARBURADOR CS510</t>
  </si>
  <si>
    <t>EC-A021000290</t>
  </si>
  <si>
    <t>CARBURADOR CS6702</t>
  </si>
  <si>
    <t>EC-A021000681</t>
  </si>
  <si>
    <t>CARBURADOR SRM4300</t>
  </si>
  <si>
    <t>EC-A021000990</t>
  </si>
  <si>
    <t>CARBURADOR DM6110</t>
  </si>
  <si>
    <t>EC-A021001660</t>
  </si>
  <si>
    <t>CARBURADOR COMPLETO CS600</t>
  </si>
  <si>
    <t>EC-A021002010</t>
  </si>
  <si>
    <t>EC-A021002190</t>
  </si>
  <si>
    <t>CARBURADOR C230</t>
  </si>
  <si>
    <t>EC-A021002500</t>
  </si>
  <si>
    <t>70203-81020 CARBURADOR SEMI COMP C350</t>
  </si>
  <si>
    <t>EC-A021002540</t>
  </si>
  <si>
    <t>CARBURADOR B450 C350</t>
  </si>
  <si>
    <t>CARBURADOR B530</t>
  </si>
  <si>
    <t>EC-A021002690</t>
  </si>
  <si>
    <t>CARBURADOR HT230</t>
  </si>
  <si>
    <t>EC-A021003120</t>
  </si>
  <si>
    <t>22169-81000 CARBURADOR COMPLETO 757</t>
  </si>
  <si>
    <t>EC-A021003440</t>
  </si>
  <si>
    <t>EC-A021003490</t>
  </si>
  <si>
    <t>EC-A023000240</t>
  </si>
  <si>
    <t>EC-A030000190</t>
  </si>
  <si>
    <t>70103-15100 SILENCIADOR C270</t>
  </si>
  <si>
    <t>EC-A030000240</t>
  </si>
  <si>
    <t xml:space="preserve">70200-15101 SILENCIADOR SEMI COMP. B45 </t>
  </si>
  <si>
    <t>EC-A030000260</t>
  </si>
  <si>
    <t>EC-A030000570</t>
  </si>
  <si>
    <t>SILENCIADOR COMPLETO 488</t>
  </si>
  <si>
    <t>EC-A030000590</t>
  </si>
  <si>
    <t>70168-85201 TAPA DE COMBUSTIBLE B530,B450,C350,C230</t>
  </si>
  <si>
    <t>EC-A038000330</t>
  </si>
  <si>
    <t>62035-85013 TANQUE COMBUSTIBLE  B530</t>
  </si>
  <si>
    <t>EC-A038000430</t>
  </si>
  <si>
    <t>20016-85003 TANQUE DE COMBUSTIBLE C230</t>
  </si>
  <si>
    <t>VALVULA DE AIRE, RESPIRADERO COMP B450-B45L</t>
  </si>
  <si>
    <t>EC-A045000340</t>
  </si>
  <si>
    <t>EC-A050000200</t>
  </si>
  <si>
    <t>ARRANCADOR COMPLETO B530</t>
  </si>
  <si>
    <t>EC-A050000240</t>
  </si>
  <si>
    <t>ARRANCADOR COMP. B45-B450</t>
  </si>
  <si>
    <t>EC-A051000070</t>
  </si>
  <si>
    <t>ARRANCADOR COMPLETO SRM4300</t>
  </si>
  <si>
    <t>EC-A051000170</t>
  </si>
  <si>
    <t>ARRANCADOR COMPLETO SRM4605</t>
  </si>
  <si>
    <t>EC-A051000982</t>
  </si>
  <si>
    <t>ARRANCADOR CS420</t>
  </si>
  <si>
    <t>EC-A051001660</t>
  </si>
  <si>
    <t>70162-75100 ARRANCADOR COMPLETO C270</t>
  </si>
  <si>
    <t>EC-A051002100</t>
  </si>
  <si>
    <t>EC-A051002180</t>
  </si>
  <si>
    <t>ARRANCADOR COMPLETO ES726</t>
  </si>
  <si>
    <t>TAMBOR ARRANCADOR ALUMINIO SRM4300</t>
  </si>
  <si>
    <t>EC-A052000370</t>
  </si>
  <si>
    <t>EC-A055000000</t>
  </si>
  <si>
    <t>TAMBOR EMBRAGUE C350</t>
  </si>
  <si>
    <t>EC-A055000020</t>
  </si>
  <si>
    <t>TAMBOR EMBRAGUE B450-B45</t>
  </si>
  <si>
    <t>EC-A055000100</t>
  </si>
  <si>
    <t>TAMBOR EMBRAGUE COMPLETO 488</t>
  </si>
  <si>
    <t>TAMBOR EMBRAGUE B530 (A556000870)</t>
  </si>
  <si>
    <t>EC-A056000170</t>
  </si>
  <si>
    <t>EMBRAGUE CS1201</t>
  </si>
  <si>
    <t>EC-A056000220</t>
  </si>
  <si>
    <t>EMBRAGUE COMPLETO CS600</t>
  </si>
  <si>
    <t>EC-A056000450</t>
  </si>
  <si>
    <t>EMBRAGUE B530-B450-C350</t>
  </si>
  <si>
    <t>70157-51101 EMBRAGUE COMPLETO C230</t>
  </si>
  <si>
    <t>EC-A056000640</t>
  </si>
  <si>
    <t>EC-A058000010</t>
  </si>
  <si>
    <t>62035-33010 UNION COMPLETA B530</t>
  </si>
  <si>
    <t>EC-A100000610</t>
  </si>
  <si>
    <t>PISTON C270</t>
  </si>
  <si>
    <t>EC-A100000670</t>
  </si>
  <si>
    <t>62035-41110 PISTON B530</t>
  </si>
  <si>
    <t>EC-A100000730</t>
  </si>
  <si>
    <t>EC-A100000960</t>
  </si>
  <si>
    <t>22157-41112 PISTON 488</t>
  </si>
  <si>
    <t>ANILLO PISTON SHP-800   EDR-210</t>
  </si>
  <si>
    <t>EC-A101000010</t>
  </si>
  <si>
    <t>ANILLO PISTON SRM270</t>
  </si>
  <si>
    <t>ANILLO PISTON HC-150</t>
  </si>
  <si>
    <t>ANILLO PISTON CS680</t>
  </si>
  <si>
    <t>EC-A101000160</t>
  </si>
  <si>
    <t>ANILLOS PISTON CS420</t>
  </si>
  <si>
    <t>EC-A101000210</t>
  </si>
  <si>
    <t>ANILLO PISTON CS600</t>
  </si>
  <si>
    <t>EC-A101000250</t>
  </si>
  <si>
    <t>ANILLO PISTON EB500</t>
  </si>
  <si>
    <t>EC-A101000300</t>
  </si>
  <si>
    <t>20142-41210 ANILLO PISTON 22F-22C-F2</t>
  </si>
  <si>
    <t>EC-A101000330</t>
  </si>
  <si>
    <t>20024-41210 ANILLO PISTON C270</t>
  </si>
  <si>
    <t>ANILLO PISTON B45-B45LA</t>
  </si>
  <si>
    <t>EC-A101000360</t>
  </si>
  <si>
    <t>ANILLOS PISTON B450</t>
  </si>
  <si>
    <t>EC-A101000370</t>
  </si>
  <si>
    <t>62035-41120 ANILLO PISTON B530</t>
  </si>
  <si>
    <t>EC-A101000380</t>
  </si>
  <si>
    <t>ANILLOS PISTON C350-BP35</t>
  </si>
  <si>
    <t>EC-A101000400</t>
  </si>
  <si>
    <t>ANILLOS PISTON C230-HT230</t>
  </si>
  <si>
    <t>EC-A101000550</t>
  </si>
  <si>
    <t>22152-41210 ANILLO DEL PISTON 577</t>
  </si>
  <si>
    <t>EC-A130000430</t>
  </si>
  <si>
    <t>CILINDRO EDR-210</t>
  </si>
  <si>
    <t>EC-A130000910</t>
  </si>
  <si>
    <t>CILINDRO CS600</t>
  </si>
  <si>
    <t>CILINDRO CS680</t>
  </si>
  <si>
    <t>EC-A130000990</t>
  </si>
  <si>
    <t>CILINDRO 6702</t>
  </si>
  <si>
    <t>EC-A130001340</t>
  </si>
  <si>
    <t>CILINDRO B450</t>
  </si>
  <si>
    <t>EC-A130001370</t>
  </si>
  <si>
    <t>CA CILINDRO C350-C35LA</t>
  </si>
  <si>
    <t>EC-A130001371</t>
  </si>
  <si>
    <t>EC-A130001670</t>
  </si>
  <si>
    <t>22169-12111 CILINDRO 757</t>
  </si>
  <si>
    <t>EC-A130001780</t>
  </si>
  <si>
    <t>CILINDRO B530</t>
  </si>
  <si>
    <t>EC-A130001820</t>
  </si>
  <si>
    <t>CILINDRO 488</t>
  </si>
  <si>
    <t>EC-A160001640</t>
  </si>
  <si>
    <t>70210-32111 CUBIERTA CILINDRO B450</t>
  </si>
  <si>
    <t>EC-A160001650</t>
  </si>
  <si>
    <t>EC-A160002110</t>
  </si>
  <si>
    <t>EC-A160002240</t>
  </si>
  <si>
    <t>CUBIERTA DE CILINDRO C230-ES726</t>
  </si>
  <si>
    <t>EC-A1601650</t>
  </si>
  <si>
    <t>CA CUBIERTA CILINDRO B530</t>
  </si>
  <si>
    <t>EC-A172001270</t>
  </si>
  <si>
    <t>CUBIERTA DE VENTILADOR B530</t>
  </si>
  <si>
    <t>CUBIERTA DEL VENTILADOR BP35</t>
  </si>
  <si>
    <t>EC-A175000150</t>
  </si>
  <si>
    <t>EC-A175000180</t>
  </si>
  <si>
    <t>BASE B45-B45LA-B450-C350</t>
  </si>
  <si>
    <t>EC-A200000470</t>
  </si>
  <si>
    <t>EC-A200000500</t>
  </si>
  <si>
    <t>AISLADOR CONDENSADORES726</t>
  </si>
  <si>
    <t>AISLADOR CONDENS B450-C350</t>
  </si>
  <si>
    <t>EC-A200000680</t>
  </si>
  <si>
    <t>62035-12210 AISLADOR CONDENS B530</t>
  </si>
  <si>
    <t>EC-A200000870</t>
  </si>
  <si>
    <t>PLATO ASIENTO MANGA 577</t>
  </si>
  <si>
    <t>EC-A201000030</t>
  </si>
  <si>
    <t>EC-A202000060</t>
  </si>
  <si>
    <t>AISLADOR CS420</t>
  </si>
  <si>
    <t>EC-A202000080</t>
  </si>
  <si>
    <t>MANGA CS600</t>
  </si>
  <si>
    <t>EC-A202000160</t>
  </si>
  <si>
    <t>EC-A202000180</t>
  </si>
  <si>
    <t>MANGA 757-577</t>
  </si>
  <si>
    <t>EC-A206000010</t>
  </si>
  <si>
    <t>BRIDA MANGA CS600</t>
  </si>
  <si>
    <t>EC-A225000490</t>
  </si>
  <si>
    <t>FILTRO CUERPO AIRE B450-C350</t>
  </si>
  <si>
    <t>EC-A225000530</t>
  </si>
  <si>
    <t>CA FILTRO AIRE SRM4300 MODELO ANTIGUO</t>
  </si>
  <si>
    <t>FILTRO AIRE CS680</t>
  </si>
  <si>
    <t>EC-A226000520</t>
  </si>
  <si>
    <t>PRE FILTRO B530</t>
  </si>
  <si>
    <t>EC-A226000580</t>
  </si>
  <si>
    <t>FILTRO AIRE  22F-22C</t>
  </si>
  <si>
    <t>EC-A226000620</t>
  </si>
  <si>
    <t>38500-82120 FILTRO AIRE ES726</t>
  </si>
  <si>
    <t>EC-A226000650</t>
  </si>
  <si>
    <t>EC-A226000660</t>
  </si>
  <si>
    <t>FILTRO AIRE B530</t>
  </si>
  <si>
    <t>EC-A226001220</t>
  </si>
  <si>
    <t>EC-A226001260</t>
  </si>
  <si>
    <t>EC-A226001410</t>
  </si>
  <si>
    <t>FILTRO DE AIRE SRM270</t>
  </si>
  <si>
    <t>EC-A232000312</t>
  </si>
  <si>
    <t>CA CUBIERTA FILTRO DE AIRE SRM4300</t>
  </si>
  <si>
    <t>EC-A232000710</t>
  </si>
  <si>
    <t>CUBIERTA FILTRO AIRE ES726</t>
  </si>
  <si>
    <t>EC-A232000840</t>
  </si>
  <si>
    <t>62035-82131 CUBIERTA FILTRO AIRE B530</t>
  </si>
  <si>
    <t>70140-81760 CUBIERTA  DE FILTRO T230</t>
  </si>
  <si>
    <t>EC-A232001250</t>
  </si>
  <si>
    <t>EC-A235000300</t>
  </si>
  <si>
    <t>EC-A244000180</t>
  </si>
  <si>
    <t>PLACA FILTRO B530</t>
  </si>
  <si>
    <t>EC-A300000781</t>
  </si>
  <si>
    <t>SILENCIADOR CS680</t>
  </si>
  <si>
    <t>EC-A313001590</t>
  </si>
  <si>
    <t>EC-A314000020</t>
  </si>
  <si>
    <t>72282-15310 CUBIERTA SILENCIADOR 577</t>
  </si>
  <si>
    <t>EC-A320000080</t>
  </si>
  <si>
    <t>CUBIERTA SILENCIADOR SRM4300</t>
  </si>
  <si>
    <t>EC-A320000790</t>
  </si>
  <si>
    <t>62035-32331 CUBIERTA, SILENCIADOR B530</t>
  </si>
  <si>
    <t>EC-A320000890</t>
  </si>
  <si>
    <t>CUBIERTA DEL SILENCIADOR SRM4605</t>
  </si>
  <si>
    <t>EC-A356000030</t>
  </si>
  <si>
    <t>RESPIRADERO CS600  EDR210  HC150  WP1000</t>
  </si>
  <si>
    <t>EC-A356000050</t>
  </si>
  <si>
    <t>VALVULA DE VENTILADOR B530</t>
  </si>
  <si>
    <t>EC-A362000000</t>
  </si>
  <si>
    <t>20000-85511 TAPON DE VENTILACION B45</t>
  </si>
  <si>
    <t>FILTRO COMBUST 22F-C230-HT230-ES726</t>
  </si>
  <si>
    <t>EC-A369000100</t>
  </si>
  <si>
    <t>FILTRO COMBUSTIBLE TANQUE 577-757-B450-B530</t>
  </si>
  <si>
    <t>EC-A392000060</t>
  </si>
  <si>
    <t>BANDA C350-BP35-B450</t>
  </si>
  <si>
    <t>EC-A393000180</t>
  </si>
  <si>
    <t>20021-86110 ABRAZADERA S B450 C300 B45-B45LA</t>
  </si>
  <si>
    <t>EC-A393000190</t>
  </si>
  <si>
    <t>ABRAZADERA (M) B450 C350</t>
  </si>
  <si>
    <t>EC-A409000620</t>
  </si>
  <si>
    <t>VOLANTE BP35</t>
  </si>
  <si>
    <t>EC-A409000730</t>
  </si>
  <si>
    <t>20016-71200 VOLANTE  C230-P230</t>
  </si>
  <si>
    <t>EC-A409000960</t>
  </si>
  <si>
    <t>22175-71110 VOLANTE 577</t>
  </si>
  <si>
    <t>EC-A410000030</t>
  </si>
  <si>
    <t>BOBINA CS510</t>
  </si>
  <si>
    <t>BOBINA HC 150</t>
  </si>
  <si>
    <t>EC-A411000450</t>
  </si>
  <si>
    <t>BOBINA CS600</t>
  </si>
  <si>
    <t>EC-A411000650</t>
  </si>
  <si>
    <t>EC-A411000780</t>
  </si>
  <si>
    <t>BOBINA B450 C350 C35LA B45LA</t>
  </si>
  <si>
    <t>EC-A411000790</t>
  </si>
  <si>
    <t>EC-A411000910</t>
  </si>
  <si>
    <t>EC-A426000000</t>
  </si>
  <si>
    <t>RESORTE BUJIA SRM4300</t>
  </si>
  <si>
    <t>EC-A427000000</t>
  </si>
  <si>
    <t>TAPA DE BUJIA SRM4300</t>
  </si>
  <si>
    <t>EC-A427000090</t>
  </si>
  <si>
    <t>CAPUCHON DE BUJIA   C350</t>
  </si>
  <si>
    <t>EC-A427000150</t>
  </si>
  <si>
    <t>EC-A439000510</t>
  </si>
  <si>
    <t>70014-74120 SOPORTE INTERUPTOR  B45</t>
  </si>
  <si>
    <t>EC-A440000300</t>
  </si>
  <si>
    <t>SWICH 4605</t>
  </si>
  <si>
    <t>EC-A500000840</t>
  </si>
  <si>
    <t>EC-A504000060</t>
  </si>
  <si>
    <t>RESORTE ARRANCADOR B450-C350-B45</t>
  </si>
  <si>
    <t>20140-75130 RESORTE ARRANCADOR  22c-c230-9230</t>
  </si>
  <si>
    <t>EC-A504000130</t>
  </si>
  <si>
    <t>CA RESORTE ARRANQUE B530</t>
  </si>
  <si>
    <t>EC-A504000140</t>
  </si>
  <si>
    <t>CA RESORTE ARRANCADOR B450-B45</t>
  </si>
  <si>
    <t>EC-A506000080</t>
  </si>
  <si>
    <t>TAMBOR ARRANQUE CS420</t>
  </si>
  <si>
    <t>EC-A506000110</t>
  </si>
  <si>
    <t>TAMBOR CUERDA CS600</t>
  </si>
  <si>
    <t>EC-A506000120</t>
  </si>
  <si>
    <t>TAMBOR ARRANQUE C230</t>
  </si>
  <si>
    <t>EC-A506000230</t>
  </si>
  <si>
    <t>20024-75120 TAMBOR CUERDA C270</t>
  </si>
  <si>
    <t>CA TAMBOR ARANQUE B530 (P022002080)</t>
  </si>
  <si>
    <t>EC-A506000270</t>
  </si>
  <si>
    <t>TAMBOR ARANQ B450-B45</t>
  </si>
  <si>
    <t>EC-A506000410</t>
  </si>
  <si>
    <t xml:space="preserve"> TAMBOR DE ARRANCADOR 757</t>
  </si>
  <si>
    <t>EC-A509000320</t>
  </si>
  <si>
    <t>CUERDA 22F-22C-C230</t>
  </si>
  <si>
    <t>EC-A511000160</t>
  </si>
  <si>
    <t>MANGO DEL ARRANCADOR HT230</t>
  </si>
  <si>
    <t>EC-A511000210</t>
  </si>
  <si>
    <t>EC-A511000250</t>
  </si>
  <si>
    <t>EC-A514000080</t>
  </si>
  <si>
    <t>TRINQUETE B45LA-B530-C350-SRM270</t>
  </si>
  <si>
    <t>EC-A514000130</t>
  </si>
  <si>
    <t>TRINQUETE B450,BP35,B45</t>
  </si>
  <si>
    <t>EC-A514000230</t>
  </si>
  <si>
    <t>EC-A518000010</t>
  </si>
  <si>
    <t>TRINQUETE C230-P230-M230</t>
  </si>
  <si>
    <t>EC-A518000050</t>
  </si>
  <si>
    <t>EC-A520000170</t>
  </si>
  <si>
    <t>POLEA DE ALUMINIO DE ARRANQUE B450,B45,BP35</t>
  </si>
  <si>
    <t>EC-A552000120</t>
  </si>
  <si>
    <t>20020-51112 CABEZAL DEL EMBRAGUE C350-B450-B530</t>
  </si>
  <si>
    <t>EC-A553000060</t>
  </si>
  <si>
    <t>EMBRAGUE C230</t>
  </si>
  <si>
    <t>EC-A555000220</t>
  </si>
  <si>
    <t>EC-A556000021</t>
  </si>
  <si>
    <t>TAMBOR EMBRAGUE CS600-CS530</t>
  </si>
  <si>
    <t>EC-A556000181</t>
  </si>
  <si>
    <t>EC-A556000660</t>
  </si>
  <si>
    <t>70030-31120 TAMBOR EMBRAGUE 22F</t>
  </si>
  <si>
    <t>EC-A556000700</t>
  </si>
  <si>
    <t>20087-31210 TAMBOR EMBRAGUE C230-P230</t>
  </si>
  <si>
    <t>EC-A556000810</t>
  </si>
  <si>
    <t>TAMBOR DE EMBRAGUE C270</t>
  </si>
  <si>
    <t>EC-A556000960</t>
  </si>
  <si>
    <t>EC-A556001170</t>
  </si>
  <si>
    <t>22169-51110 TAMBOR DE EMBRAGUE 757</t>
  </si>
  <si>
    <t>EC-A556001270</t>
  </si>
  <si>
    <t>TAMBOR DE EMBRAGUE CS420</t>
  </si>
  <si>
    <t>EC-A565000070</t>
  </si>
  <si>
    <t>22150-12180 PLACA MANGA 757</t>
  </si>
  <si>
    <t>EC-A566000120</t>
  </si>
  <si>
    <t>70102-51220 RESORTE EMBRAGUE C270</t>
  </si>
  <si>
    <t>EC-A566000130</t>
  </si>
  <si>
    <t>RESORTE EMBRAGUE B45</t>
  </si>
  <si>
    <t>EC-A566000210</t>
  </si>
  <si>
    <t>EC-A566000220</t>
  </si>
  <si>
    <t>A566000220 RESORTE EMBRAGUE B450-B530-C</t>
  </si>
  <si>
    <t>EC-A575000270</t>
  </si>
  <si>
    <t>UNION C270</t>
  </si>
  <si>
    <t>70012-35130 CUBIERTA DE LA UNION B450</t>
  </si>
  <si>
    <t>EC-A575000430</t>
  </si>
  <si>
    <t>ABRAZADERA (A) TUBO B450-C350</t>
  </si>
  <si>
    <t>EC-A575000440</t>
  </si>
  <si>
    <t>EC-AP004001950</t>
  </si>
  <si>
    <t>EC-C020000070</t>
  </si>
  <si>
    <t>EC-C022000020</t>
  </si>
  <si>
    <t>BOMBA DE ACEITE CS420</t>
  </si>
  <si>
    <t>C022000120 BOMBA DE ACEITE P230,757</t>
  </si>
  <si>
    <t>EC-C022000130</t>
  </si>
  <si>
    <t>EC-C044000480</t>
  </si>
  <si>
    <t>EC-C044000540</t>
  </si>
  <si>
    <t>EC-C044000640</t>
  </si>
  <si>
    <t>PALANCA DEL ACELERADOR COMPLETO C270</t>
  </si>
  <si>
    <t>EC-C044000880</t>
  </si>
  <si>
    <t>PALANCA ACELERADOR COMP B450,B530</t>
  </si>
  <si>
    <t>EC-C050001880</t>
  </si>
  <si>
    <t>TUBO EXTERNO B450</t>
  </si>
  <si>
    <t>EC-C050001920</t>
  </si>
  <si>
    <t>22050-12100 TUBO COMP. BP35</t>
  </si>
  <si>
    <t>EC-C051000120</t>
  </si>
  <si>
    <t>CARCASA SUPERIOR CAJA ENGRANAJE PPT2400</t>
  </si>
  <si>
    <t>EC-C051000560</t>
  </si>
  <si>
    <t>72017-13013 CAJA DE ENGRANAJE C350-C35LA</t>
  </si>
  <si>
    <t>EC-C051000600</t>
  </si>
  <si>
    <t>CAJA DE ENGRANAJES COMP.B45-B45LA-B45</t>
  </si>
  <si>
    <t>63019-63019 CAJA DE ENGRANAJE SEMICOMPLETA B530</t>
  </si>
  <si>
    <t>EC-C051000680</t>
  </si>
  <si>
    <t>CAJA DE ENGRANAJE C230</t>
  </si>
  <si>
    <t xml:space="preserve">CAJA DE ENGRANAJE SEMICOMPLETO B450 </t>
  </si>
  <si>
    <t>EC-C062000340</t>
  </si>
  <si>
    <t>ARNES C230 22C</t>
  </si>
  <si>
    <t>EC-C062000430</t>
  </si>
  <si>
    <t>ARNES COMPLETO B530  B450  C350</t>
  </si>
  <si>
    <t>EC-C063000030</t>
  </si>
  <si>
    <t>22017-12210 COLGADOR C350-B530</t>
  </si>
  <si>
    <t>EC-C209000080</t>
  </si>
  <si>
    <t>EC-C300000740</t>
  </si>
  <si>
    <t>22169-53111 TAPA DEL EMBRAGUE 757</t>
  </si>
  <si>
    <t>EC-C305000040</t>
  </si>
  <si>
    <t>PLACA GUIA EXTRENO CS680</t>
  </si>
  <si>
    <t>EC-C305000370</t>
  </si>
  <si>
    <t>22169-52460 GUIA PLACA (A) 757</t>
  </si>
  <si>
    <t>EC-C305000380</t>
  </si>
  <si>
    <t>22169-53120 GUIA PLACA (B) 757</t>
  </si>
  <si>
    <t>EC-C316000010</t>
  </si>
  <si>
    <t>GUIA DE EJE PPT2400</t>
  </si>
  <si>
    <t>EC-C328000080</t>
  </si>
  <si>
    <t>BANDA DE FRENO CS420</t>
  </si>
  <si>
    <t>EC-C423000790</t>
  </si>
  <si>
    <t>EC-C450000042</t>
  </si>
  <si>
    <t>GATILLO ACELERADOR</t>
  </si>
  <si>
    <t>EC-C450000510</t>
  </si>
  <si>
    <t>22015-14331 PALANCA GATILLO B45-C35LA-B45LA</t>
  </si>
  <si>
    <t>EC-C454000181</t>
  </si>
  <si>
    <t>VARRILLA ACELERADOR CS680</t>
  </si>
  <si>
    <t>EC-C482000070</t>
  </si>
  <si>
    <t>CONECTOR ACELERADOR B450-B530-C350</t>
  </si>
  <si>
    <t>EC-C501000080</t>
  </si>
  <si>
    <t>EC-C504000500</t>
  </si>
  <si>
    <t>EC-C504000560</t>
  </si>
  <si>
    <t>63880-64460 EJE B COMPLETO P230</t>
  </si>
  <si>
    <t>EC-C504000620</t>
  </si>
  <si>
    <t>EJE CENTRAL C270</t>
  </si>
  <si>
    <t>EC-C504000690</t>
  </si>
  <si>
    <t>EJE CENTRAL C350</t>
  </si>
  <si>
    <t>EC-C504000720</t>
  </si>
  <si>
    <t>22021-12400 EJE CENTRAL B45-B45LA</t>
  </si>
  <si>
    <t>EC-C504000740</t>
  </si>
  <si>
    <t>EJE CENTRAL B530 B450</t>
  </si>
  <si>
    <t>EC-C506000200</t>
  </si>
  <si>
    <t>EJE FLEXIBLE BP35</t>
  </si>
  <si>
    <t>EC-C510000120</t>
  </si>
  <si>
    <t>ACOPLE TUBO PRINCIPAL PPT2400</t>
  </si>
  <si>
    <t>EC-C531000030</t>
  </si>
  <si>
    <t>CARCASA (A) SUPERIOR CAJA ENGRANAJE PPT2400</t>
  </si>
  <si>
    <t>CARCASA CAJA DE ENGRANAJES B530-B450-B45LA</t>
  </si>
  <si>
    <t>EC-C534000590</t>
  </si>
  <si>
    <t>EJE DE ENGRANAJE B45-B450-C350</t>
  </si>
  <si>
    <t>EC-C534000600</t>
  </si>
  <si>
    <t>63019-63130 EJE, ENGRANAJE B530</t>
  </si>
  <si>
    <t>EC-C534000680</t>
  </si>
  <si>
    <t>EJE DE ENGRANAJE C230</t>
  </si>
  <si>
    <t xml:space="preserve"> SOPORTE (A) SRM3605</t>
  </si>
  <si>
    <t>EC-C535000480</t>
  </si>
  <si>
    <t>EC-C535000520</t>
  </si>
  <si>
    <t>SOPORTE (B) C230</t>
  </si>
  <si>
    <t>EC-C535000530</t>
  </si>
  <si>
    <t>PROTECTOR DE PERNO C230</t>
  </si>
  <si>
    <t>EC-C535000760</t>
  </si>
  <si>
    <t>C53500850 SOPORTE (B) BP35</t>
  </si>
  <si>
    <t>EC-C535000770</t>
  </si>
  <si>
    <t>72447-13240 SOPORTE (A) C350-B450-B530-B</t>
  </si>
  <si>
    <t>EC-C535000790</t>
  </si>
  <si>
    <t>PROTECTOR PERNO C350,B450,B530</t>
  </si>
  <si>
    <t>EC-C535000990</t>
  </si>
  <si>
    <t>EC-C535001010</t>
  </si>
  <si>
    <t>EC-C550000430</t>
  </si>
  <si>
    <t>62903-66111 PROTECTOR DESPOJO B450-C350-B530</t>
  </si>
  <si>
    <t>EC-C551000070</t>
  </si>
  <si>
    <t>EC-C551000110</t>
  </si>
  <si>
    <t>72017-16130 PLACA DESPOJ C350-B450-B530</t>
  </si>
  <si>
    <t>EC-C624000070</t>
  </si>
  <si>
    <t>22019-11313 ABRAZADERA ALETA B450-B45</t>
  </si>
  <si>
    <t>EC-CS 8002EUSTD</t>
  </si>
  <si>
    <t xml:space="preserve">MOTOSIERRA CS-8002EUSTD       </t>
  </si>
  <si>
    <t>EC-CS-1201-90EUSTD</t>
  </si>
  <si>
    <t>MOTOSIERRA CS-1201-90 CON BARRA Y CADENA</t>
  </si>
  <si>
    <t>EC-CS-3500</t>
  </si>
  <si>
    <t>MOTOSIERRA CS3500</t>
  </si>
  <si>
    <t>EC-CS-3500-35EUSTD</t>
  </si>
  <si>
    <t>MOTOSIERRA CS-3500-35 CON BARRA Y CADENA</t>
  </si>
  <si>
    <t>EC-CS-420ES</t>
  </si>
  <si>
    <t>MOTOSIERRA CS-420ES</t>
  </si>
  <si>
    <t>EC-CS-600-50EUSTD</t>
  </si>
  <si>
    <t>MOTOSIERRA CS-600-50 CON BARRA Y CADENA</t>
  </si>
  <si>
    <t>EC-CS-680S-60EUSTD</t>
  </si>
  <si>
    <t>MOTOSIERRA CS-680S-60 CON BARRA Y CADENA</t>
  </si>
  <si>
    <t>EC-CS-680S-70EUSTD</t>
  </si>
  <si>
    <t>MOTOSIERRA CS-680-70 CON BARRA Y CADENA</t>
  </si>
  <si>
    <t>EC-CS-8002-80EUSTD</t>
  </si>
  <si>
    <t>MOTOSIERRA CS-8002-80 CON BARRA Y CADENA</t>
  </si>
  <si>
    <t>EC-DM-6110-13EUSTD</t>
  </si>
  <si>
    <t>NEBULIZADORA, PULVERIZADORA 13LITROS</t>
  </si>
  <si>
    <t>EC-DMAD-4610EUSTD</t>
  </si>
  <si>
    <t>ACC. PARA PULVERIZADOR (SOLIDOS) DMAD4610</t>
  </si>
  <si>
    <t>ACCESORIOS NEBULIZADORA. PULVERIZADORA Y ESPOLVEADORA</t>
  </si>
  <si>
    <t>LANZA CON BOQUILLA AJUSTABLE</t>
  </si>
  <si>
    <t>EC-E025000470</t>
  </si>
  <si>
    <t>BOQUILLA AJUSTABLE SHP800</t>
  </si>
  <si>
    <t>EC-E164000100</t>
  </si>
  <si>
    <t>72935-63210 TUBERIA PRINCIPAL EB500</t>
  </si>
  <si>
    <t>EC-EA-410</t>
  </si>
  <si>
    <t>HOYADORA EA-410</t>
  </si>
  <si>
    <t>EC-EB500/EC1</t>
  </si>
  <si>
    <t>SOPLADORA EB500</t>
  </si>
  <si>
    <t>CORTASETOS HC-150 20"</t>
  </si>
  <si>
    <t>EC-J420000080</t>
  </si>
  <si>
    <t>PLACA SWITCH 757</t>
  </si>
  <si>
    <t>EC-M230/EMC</t>
  </si>
  <si>
    <t>MAQUINA MULTI USOS M230</t>
  </si>
  <si>
    <t>MAQ MULTIUSOS</t>
  </si>
  <si>
    <t>EC-P003000240</t>
  </si>
  <si>
    <t>P003000240 EMPAQUE DIAFRAG CS510</t>
  </si>
  <si>
    <t>EC-P003000250</t>
  </si>
  <si>
    <t>AGUJA KIT REPARACION CS510</t>
  </si>
  <si>
    <t>EC-P003000570</t>
  </si>
  <si>
    <t>AGUJA DE REGULACION DE BAJA CS8002</t>
  </si>
  <si>
    <t>EC-P003002210</t>
  </si>
  <si>
    <t>AGUJA DE REGULACION ALTA CS8002</t>
  </si>
  <si>
    <t>EC-P004000430</t>
  </si>
  <si>
    <t>20055-81610 LLAVES DE PASO BP-35</t>
  </si>
  <si>
    <t>EC-P004000700</t>
  </si>
  <si>
    <t>TAPA CARBURADOR C350-B450</t>
  </si>
  <si>
    <t>EC-P004000890</t>
  </si>
  <si>
    <t>RESORTE L B450-B530</t>
  </si>
  <si>
    <t>EC-P004000930</t>
  </si>
  <si>
    <t>AGUJA BALANCIN B450-C350</t>
  </si>
  <si>
    <t>EC-P004001340</t>
  </si>
  <si>
    <t>PALANCA BALANCIN B450-C350</t>
  </si>
  <si>
    <t>EC-P004001660</t>
  </si>
  <si>
    <t>VALVULA REGULADORA CARBURADOR B530</t>
  </si>
  <si>
    <t>EC-P004001890</t>
  </si>
  <si>
    <t>EC-P004001920</t>
  </si>
  <si>
    <t>20021-81180 VALVULA PISTON B45-B45LA</t>
  </si>
  <si>
    <t>EC-P004002520</t>
  </si>
  <si>
    <t>20087-81531 BOMBA COMPLETA C350-B450</t>
  </si>
  <si>
    <t>EC-P004002640</t>
  </si>
  <si>
    <t>EC-P004002680</t>
  </si>
  <si>
    <t>VALVULA DESLIZANTE DE CARBURADOR B530</t>
  </si>
  <si>
    <t>EC-P004002730</t>
  </si>
  <si>
    <t>AGUJA JET B530</t>
  </si>
  <si>
    <t>EC-P004002820</t>
  </si>
  <si>
    <t>EC-P004002900</t>
  </si>
  <si>
    <t>EC-P004003010</t>
  </si>
  <si>
    <t>EC-P005001110</t>
  </si>
  <si>
    <t>MEMBRANA CARBURADOR SRM4300</t>
  </si>
  <si>
    <t>EC-P005001130</t>
  </si>
  <si>
    <t>RESORTE BALANCIN SRM4300</t>
  </si>
  <si>
    <t>EC-P005001140</t>
  </si>
  <si>
    <t>EMPAQUETADURA DE DIAFRAGMA SRM4300</t>
  </si>
  <si>
    <t>EC-P005001150</t>
  </si>
  <si>
    <t>AGUJA (H)  SRM4300</t>
  </si>
  <si>
    <t>EC-P005001160</t>
  </si>
  <si>
    <t>AGUJA (L) SRM4300</t>
  </si>
  <si>
    <t>CARTER COMPLETO CS3500</t>
  </si>
  <si>
    <t>EC-P021001102</t>
  </si>
  <si>
    <t>P021001101 PISTON KIT EDR-210</t>
  </si>
  <si>
    <t>CARTER COMPLETO SRM4300</t>
  </si>
  <si>
    <t>EC-P021002791</t>
  </si>
  <si>
    <t>P021002791 PISTON KIT CS6702</t>
  </si>
  <si>
    <t>AISLADOR DE ADMISION CS680</t>
  </si>
  <si>
    <t>EC-P021003540</t>
  </si>
  <si>
    <t>TAPA DEL TUBO PPT2400</t>
  </si>
  <si>
    <t>EC-P021004090</t>
  </si>
  <si>
    <t>P021004090 CILINDRO Y CARTER CS510</t>
  </si>
  <si>
    <t>EC-P021005420</t>
  </si>
  <si>
    <t>PISTON KIT CS8002</t>
  </si>
  <si>
    <t>EC-P021006200</t>
  </si>
  <si>
    <t>ZAPATAS EMBRAGUE KIT SRM4300</t>
  </si>
  <si>
    <t>EC-P021006290</t>
  </si>
  <si>
    <t>CA BASE FILTRO AIRE SRM4300 anterior</t>
  </si>
  <si>
    <t>EC-P021007312</t>
  </si>
  <si>
    <t>FRENO CS8002</t>
  </si>
  <si>
    <t>EC-P021008630</t>
  </si>
  <si>
    <t>SILENCIADOR DM6110</t>
  </si>
  <si>
    <t>EC-P021010210</t>
  </si>
  <si>
    <t>AISLADOR DM6110</t>
  </si>
  <si>
    <t>EC-P021010232</t>
  </si>
  <si>
    <t>CAJA FILTRO DE AIRE SRM4300</t>
  </si>
  <si>
    <t>EC-P021010581</t>
  </si>
  <si>
    <t>EC-P021010593</t>
  </si>
  <si>
    <t>MANGO POSTERIOR CS420</t>
  </si>
  <si>
    <t>EC-P021010642</t>
  </si>
  <si>
    <t>FRENO COMPLETO CS680S</t>
  </si>
  <si>
    <t>EC-P021011610</t>
  </si>
  <si>
    <t>JUEGO DE PIÑONES PPT-2400</t>
  </si>
  <si>
    <t>EC-P021012591</t>
  </si>
  <si>
    <t>CAJA ENGRANAJE SRM4605</t>
  </si>
  <si>
    <t>EC-P021012600</t>
  </si>
  <si>
    <t>CAJA ENGRANAJE SRM270</t>
  </si>
  <si>
    <t>EC-P021012781</t>
  </si>
  <si>
    <t>EC-P021012810</t>
  </si>
  <si>
    <t>ABRAZADERA COMPLETA DE LA UNION SRM4605</t>
  </si>
  <si>
    <t>EC-P021012831</t>
  </si>
  <si>
    <t>P021012830 ABRAZADERA MANUBRIO SRM3605</t>
  </si>
  <si>
    <t>P021012920 CARCASA EMBRAGUE SRM4605</t>
  </si>
  <si>
    <t>EC-P021013620</t>
  </si>
  <si>
    <t>P021013620 CIGUENAL CS420</t>
  </si>
  <si>
    <t>EC-P021014260</t>
  </si>
  <si>
    <t>PISTON KIT SRM4300</t>
  </si>
  <si>
    <t>CUCHILLA 3 PUNTAS  P021014320</t>
  </si>
  <si>
    <t>EC-P021014440</t>
  </si>
  <si>
    <t>PISTON KIT SHP-800</t>
  </si>
  <si>
    <t>EC-P021015132</t>
  </si>
  <si>
    <t>CARTER COMPLETO CS600</t>
  </si>
  <si>
    <t>EC-P021015160</t>
  </si>
  <si>
    <t>ARRANCADOR COMPLETO CS600</t>
  </si>
  <si>
    <t>EC-P021015190</t>
  </si>
  <si>
    <t>PISTON KIT CS600</t>
  </si>
  <si>
    <t>EC-P021015350</t>
  </si>
  <si>
    <t>13001744330 INSULADOR AISLADOR EDR210</t>
  </si>
  <si>
    <t>EC-P021015780</t>
  </si>
  <si>
    <t>PISTON KIT SRM3605</t>
  </si>
  <si>
    <t>EC-P021016250</t>
  </si>
  <si>
    <t>MANGO POSTERIOR CS680</t>
  </si>
  <si>
    <t>EC-P021016370</t>
  </si>
  <si>
    <t>FILTRO DE AIRE CS600</t>
  </si>
  <si>
    <t>EC-P021017220</t>
  </si>
  <si>
    <t>FRENO COMPLETO CS420</t>
  </si>
  <si>
    <t>EC-P021017910</t>
  </si>
  <si>
    <t>EC-P021017920</t>
  </si>
  <si>
    <t>EC-P021018010</t>
  </si>
  <si>
    <t>MANGUERA DE COMBUSTIBLE CON CEBADOR B45LA B45</t>
  </si>
  <si>
    <t>EC-P021021240</t>
  </si>
  <si>
    <t>ABRAZADERA DE TUBO CON MARIPOSA (B) B450</t>
  </si>
  <si>
    <t>EC-P021021540</t>
  </si>
  <si>
    <t>22045-14101 ABRAZADERA COMPLETA 22C-C230</t>
  </si>
  <si>
    <t>EC-P021021910</t>
  </si>
  <si>
    <t>EC-P021022060</t>
  </si>
  <si>
    <t>EC-P021022520</t>
  </si>
  <si>
    <t>22169-21203 CARTER M COMPLETO 757</t>
  </si>
  <si>
    <t>EC-P021022530</t>
  </si>
  <si>
    <t>CARTER C 757</t>
  </si>
  <si>
    <t>EC-P021022550</t>
  </si>
  <si>
    <t>EC-P021022560</t>
  </si>
  <si>
    <t>22169-51100 TAMBOR EMBRAGUE COMPLETO 757</t>
  </si>
  <si>
    <t>EC-P021022570</t>
  </si>
  <si>
    <t>EC-P021022580</t>
  </si>
  <si>
    <t>22169-54103 FRENO COMPLETO NR 757</t>
  </si>
  <si>
    <t>EC-P021022590</t>
  </si>
  <si>
    <t>22169-71100 VOLANTE PARA MOTOSIERRA 757</t>
  </si>
  <si>
    <t>EC-P021022720</t>
  </si>
  <si>
    <t>EC-P021023230</t>
  </si>
  <si>
    <t>EC-P021023260</t>
  </si>
  <si>
    <t>CABLE ACELERADOR C230</t>
  </si>
  <si>
    <t>EC-P021027031</t>
  </si>
  <si>
    <t>P021027030 KIT MOTOR RECONSTRUCCION C350</t>
  </si>
  <si>
    <t>EC-P021027040</t>
  </si>
  <si>
    <t>KIT MOTOR RECONSTRUCCION B450</t>
  </si>
  <si>
    <t>EC-P021027100</t>
  </si>
  <si>
    <t>KIT MOTOR RECONSTRUCCION B530</t>
  </si>
  <si>
    <t>EC-P021027130</t>
  </si>
  <si>
    <t>P021027130 KIT MOTOR RECONSTRUCCION C270</t>
  </si>
  <si>
    <t>EC-P021027280</t>
  </si>
  <si>
    <t>KIT MOTOR RECONSTRUCCION B45LA</t>
  </si>
  <si>
    <t>EC-P021027760</t>
  </si>
  <si>
    <t>62035-21010 CARTER COMPLETO B530</t>
  </si>
  <si>
    <t>EC-P021027770</t>
  </si>
  <si>
    <t>62035-21020 CARTER COMP. M B530</t>
  </si>
  <si>
    <t>EC-P021028810</t>
  </si>
  <si>
    <t>CAJA ENGRANAJES ACC CORT</t>
  </si>
  <si>
    <t>EC-P021028840</t>
  </si>
  <si>
    <t>CAJA DE ENGRANAJE PODADORA DE ALTURA</t>
  </si>
  <si>
    <t>EC-P021028850</t>
  </si>
  <si>
    <t>MANGUERA DE ACEITE P230</t>
  </si>
  <si>
    <t>KIT MOTOR RECONTRUCCION 757</t>
  </si>
  <si>
    <t>EC-P021030360</t>
  </si>
  <si>
    <t>EC-P021030550</t>
  </si>
  <si>
    <t>70244-98040 PISTON KIT C270</t>
  </si>
  <si>
    <t>PISTON KIT C230-ES726-HT230</t>
  </si>
  <si>
    <t>EC-P021031570</t>
  </si>
  <si>
    <t>EC-P021031650</t>
  </si>
  <si>
    <t>KIT MOTOR RECONSTRUCCION B45</t>
  </si>
  <si>
    <t>72330-98010 PISTON KIT 757</t>
  </si>
  <si>
    <t>72334-98010 PISTON KIT 577</t>
  </si>
  <si>
    <t>EC-P021032670</t>
  </si>
  <si>
    <t>TUBO EXTERIOR C270</t>
  </si>
  <si>
    <t>EC-P021033070</t>
  </si>
  <si>
    <t>72514-14100 ABRAZADERA COMPLETA B530-B450</t>
  </si>
  <si>
    <t>EC-P021033200</t>
  </si>
  <si>
    <t>72547-91100 HERRAMIENTAS KIT B450</t>
  </si>
  <si>
    <t>EC-P021033230</t>
  </si>
  <si>
    <t>72551-12101 TUBO EXTERIOR B450</t>
  </si>
  <si>
    <t>EC-P021033250</t>
  </si>
  <si>
    <t>72555-14100 ABRAZADERA MANUBRIO COMP. B450-B530-C350</t>
  </si>
  <si>
    <t>EC-P021033470</t>
  </si>
  <si>
    <t>PISTON KIT EB500</t>
  </si>
  <si>
    <t>EC-P021034100</t>
  </si>
  <si>
    <t>EMBRAGUE BP35</t>
  </si>
  <si>
    <t>EC-P021034560</t>
  </si>
  <si>
    <t>62035-85031 MANGUERA TANQUE B530</t>
  </si>
  <si>
    <t>EC-P021035221</t>
  </si>
  <si>
    <t>69011-98310 KIT MOTOR RECONSTRUC 577</t>
  </si>
  <si>
    <t>EC-P021035261</t>
  </si>
  <si>
    <t>20140-75100 ARRANCADOR SEMI 22F</t>
  </si>
  <si>
    <t>EC-P021035340</t>
  </si>
  <si>
    <t>MANUBRIO B450AUS</t>
  </si>
  <si>
    <t>EC-P021035430</t>
  </si>
  <si>
    <t>72481-14200 MANGO SEMI COMPLETO C230</t>
  </si>
  <si>
    <t>MANUBRIO TUBO B450 B530</t>
  </si>
  <si>
    <t>EC-P021036030</t>
  </si>
  <si>
    <t>60035-98310 KIT MOTOR RECONSTRUC B530</t>
  </si>
  <si>
    <t>EC-P021036100</t>
  </si>
  <si>
    <t>KIT MOTOR RECONSTRUCCION 488</t>
  </si>
  <si>
    <t>EC-P021036460</t>
  </si>
  <si>
    <t>70200-85001 TANQUE DE COMBUSTIBLE C350-B45</t>
  </si>
  <si>
    <t>EC-P022002080</t>
  </si>
  <si>
    <t>TAMBOR ARRANCADOR SRM4300 B530 (A506000260)</t>
  </si>
  <si>
    <t>EC-P022002100</t>
  </si>
  <si>
    <t>V583000140 SUJETADOR CUCHILLA B530-C350-B450</t>
  </si>
  <si>
    <t>CUBIERTA EMBRAGUE CARCASA SRM4300</t>
  </si>
  <si>
    <t>EC-P022006910</t>
  </si>
  <si>
    <t>TAMBOR EMBRAGUE SRM4300</t>
  </si>
  <si>
    <t>EC-P022006980</t>
  </si>
  <si>
    <t>P022006980 EJE CENTRAL SRM4300</t>
  </si>
  <si>
    <t>EC-P022007020</t>
  </si>
  <si>
    <t>P022007020 ABRAZADERA MANGO GIRAT. SRM4300</t>
  </si>
  <si>
    <t>EC-P022007030</t>
  </si>
  <si>
    <t>ESPACIADOR (A) SRM4300</t>
  </si>
  <si>
    <t>EC-P022007041</t>
  </si>
  <si>
    <t>CAJA DE ENGRANAJES SRM4300</t>
  </si>
  <si>
    <t>EC-P022007050</t>
  </si>
  <si>
    <t>PERNO DE SUJECION CAJA ENGRANAJE SRM4300</t>
  </si>
  <si>
    <t>EC-P022007060</t>
  </si>
  <si>
    <t>PERNO SEGURO CAJA SRM4300</t>
  </si>
  <si>
    <t>EC-P022007081</t>
  </si>
  <si>
    <t>ABRAZADERA (A) SRM4300</t>
  </si>
  <si>
    <t>EC-P022007090</t>
  </si>
  <si>
    <t>ABRAZADERA (B) SRM4300</t>
  </si>
  <si>
    <t>EC-P022007110</t>
  </si>
  <si>
    <t>PERNO DE LA ABRAZADERA SRM4300</t>
  </si>
  <si>
    <t>EC-P022007120</t>
  </si>
  <si>
    <t>ESPACIADOR (B) SRM4300</t>
  </si>
  <si>
    <t>EC-P022007131</t>
  </si>
  <si>
    <t>MANUBRIO IZQUIERDO SRM4300</t>
  </si>
  <si>
    <t>EC-P022007151</t>
  </si>
  <si>
    <t>MANUBRIO DERECHO SRM4300</t>
  </si>
  <si>
    <t>EC-P022007170</t>
  </si>
  <si>
    <t>ARNES SRM4300</t>
  </si>
  <si>
    <t>EC-P022007230</t>
  </si>
  <si>
    <t>PALANCA ACELERADOR SRM4300</t>
  </si>
  <si>
    <t>EC-P022007310</t>
  </si>
  <si>
    <t>RESORTE GATILLO SRM4300</t>
  </si>
  <si>
    <t>EC-P022007430</t>
  </si>
  <si>
    <t>CABLE ACELERADOR SRM4300</t>
  </si>
  <si>
    <t>EC-P022007440</t>
  </si>
  <si>
    <t>CABLE CONDUCTOR SRM 4300</t>
  </si>
  <si>
    <t>EC-P022024750</t>
  </si>
  <si>
    <t>P022007100 ABRAZADERA (C) SRM4300</t>
  </si>
  <si>
    <t>EC-P022024760</t>
  </si>
  <si>
    <t>CARCAZA DE EMBRAGUE</t>
  </si>
  <si>
    <t>EC-P022025180</t>
  </si>
  <si>
    <t>CABLE COMPLETO B450</t>
  </si>
  <si>
    <t>EC-P050009350</t>
  </si>
  <si>
    <t>EMPAQUETADURA Y DIAFRAGMA KIT B530 (60035-98040)</t>
  </si>
  <si>
    <t>EC-P230S/EC1</t>
  </si>
  <si>
    <t>EC-SP20HPS</t>
  </si>
  <si>
    <t>BOMBA MANUAL 7,5 LTS</t>
  </si>
  <si>
    <t>EC-SP30BPE</t>
  </si>
  <si>
    <t>BOMBA MANUAL 11,5 LTS</t>
  </si>
  <si>
    <t>EC-SRAH-205</t>
  </si>
  <si>
    <t xml:space="preserve">CABEZAL DE NYLON ECHO  SRAH-205 </t>
  </si>
  <si>
    <t>EC-SRM-22GUES</t>
  </si>
  <si>
    <t>DESMALEZADORA SRM-22GUES</t>
  </si>
  <si>
    <t>EC-SRM-4300R</t>
  </si>
  <si>
    <t>DESMALEZADORA SRM 4300R</t>
  </si>
  <si>
    <t>EC-T230XREMC</t>
  </si>
  <si>
    <t>DESMALEZADORA T230</t>
  </si>
  <si>
    <t>EC-V000000130</t>
  </si>
  <si>
    <t>PIÑON CONICO CON VASTAGO P230</t>
  </si>
  <si>
    <t>EC-V043000420</t>
  </si>
  <si>
    <t>CABLE DE ACELERADOR C270</t>
  </si>
  <si>
    <t>EC-V043000530</t>
  </si>
  <si>
    <t>CABLE COMPLETO C350</t>
  </si>
  <si>
    <t>EC-V043000540</t>
  </si>
  <si>
    <t>CABLE (B) ACELERADOR MANUBRIO B530 B450 C350</t>
  </si>
  <si>
    <t>EC-V043000870</t>
  </si>
  <si>
    <t>68501-98010 CABLE DEL ACELERADOR ES726</t>
  </si>
  <si>
    <t>EC-V100000040</t>
  </si>
  <si>
    <t>EMPAQUE CILINDRO SRM4300</t>
  </si>
  <si>
    <t>EC-V100000270</t>
  </si>
  <si>
    <t>EMPAQUE CILINDRO CS600</t>
  </si>
  <si>
    <t>EC-V100000410</t>
  </si>
  <si>
    <t>EMPAQUE CILINDRO C270</t>
  </si>
  <si>
    <t>EC-V100000470</t>
  </si>
  <si>
    <t>EMPAQUE CILINDRO B450-C350</t>
  </si>
  <si>
    <t>EC-V100000490</t>
  </si>
  <si>
    <t>EMPAQUE CILINDRO 22F-C230-ES726</t>
  </si>
  <si>
    <t>EC-V100000560</t>
  </si>
  <si>
    <t>EC-V102000001</t>
  </si>
  <si>
    <t>EMPAQUE CARTER SRM4300</t>
  </si>
  <si>
    <t>EC-V102000060</t>
  </si>
  <si>
    <t>EMPAQUE CARTER ACEITE CS600</t>
  </si>
  <si>
    <t>EC-V103000070</t>
  </si>
  <si>
    <t>EMPAQUE AISLADOR A SRM 4300</t>
  </si>
  <si>
    <t>EC-V103000490</t>
  </si>
  <si>
    <t>EMPAQUETADURA DE ADMISION PPT-2400</t>
  </si>
  <si>
    <t>EC-V103000720</t>
  </si>
  <si>
    <t>EC-V103001010</t>
  </si>
  <si>
    <t>EMPQUE CARB. B450-B45-C350</t>
  </si>
  <si>
    <t>62035-12220 EMPAQUE AISLADOR (A) B530</t>
  </si>
  <si>
    <t>EMPAQUE (B) CARBURADOR B530</t>
  </si>
  <si>
    <t>EC-V103001040</t>
  </si>
  <si>
    <t>EMPAQUE (A) CARBURADOR B530.</t>
  </si>
  <si>
    <t>EC-V103001080</t>
  </si>
  <si>
    <t>EMPAQUE CARBURADOR ES726</t>
  </si>
  <si>
    <t>EC-V104000910</t>
  </si>
  <si>
    <t>EMPAQUE ESCAPE CS600</t>
  </si>
  <si>
    <t>EC-V104000920</t>
  </si>
  <si>
    <t>EMPAQUE ESCAPE CS 680</t>
  </si>
  <si>
    <t>62035-15210 EMPAQUE SILENCIADOR B530</t>
  </si>
  <si>
    <t>EC-V104001500</t>
  </si>
  <si>
    <t>EMPAQUE SILENCIADOR C230-ES726</t>
  </si>
  <si>
    <t>EC-V104001610</t>
  </si>
  <si>
    <t>22169-15212 EMPAQUE ESCAPE 757</t>
  </si>
  <si>
    <t>EC-V138000020</t>
  </si>
  <si>
    <t>OJAL TANQUE COMB B450-C350</t>
  </si>
  <si>
    <t>EC-V204000410</t>
  </si>
  <si>
    <t>11022-06280 PERNO 6X25CC UNION B530</t>
  </si>
  <si>
    <t>EC-V205000400</t>
  </si>
  <si>
    <t>PERNO PRISIONERO CARTER CS600</t>
  </si>
  <si>
    <t>EC-V206000220</t>
  </si>
  <si>
    <t>PERNO CUCHILLA B450 C350</t>
  </si>
  <si>
    <t>EC-V206000230</t>
  </si>
  <si>
    <t>PERNO CUCHILLA B530</t>
  </si>
  <si>
    <t>EC-V224000031</t>
  </si>
  <si>
    <t>V224000030 ESPARRAGO BARRA  CS3000,CS3500</t>
  </si>
  <si>
    <t>EC-V225000160</t>
  </si>
  <si>
    <t>72312-21520 ESPARRAGO BARRA 488</t>
  </si>
  <si>
    <t>22169-21520 ESPARRAGO BARRA 757</t>
  </si>
  <si>
    <t>EC-V265000240</t>
  </si>
  <si>
    <t>22169-51170 TUERCA PUNTA CIGUE 757</t>
  </si>
  <si>
    <t>EC-V265000250</t>
  </si>
  <si>
    <t>TUERCA MOTOSIERRA757</t>
  </si>
  <si>
    <t>EC-V299000390</t>
  </si>
  <si>
    <t>EC-V302000010</t>
  </si>
  <si>
    <t>EC-V307000230</t>
  </si>
  <si>
    <t>EMPAQUE SEGURO 450-B530-C350</t>
  </si>
  <si>
    <t>EC-V309000040</t>
  </si>
  <si>
    <t xml:space="preserve">ARANDELA 12 DE BOMBA CS680		</t>
  </si>
  <si>
    <t>EC-V309000080</t>
  </si>
  <si>
    <t>EC-V322000040</t>
  </si>
  <si>
    <t>AISLADOR DE BOBINA B530-22F</t>
  </si>
  <si>
    <t>EC-V353000430</t>
  </si>
  <si>
    <t>AISLADOR BOBINA ES726</t>
  </si>
  <si>
    <t>EC-V356000352</t>
  </si>
  <si>
    <t>COLLAR DE EMBRAGUE BOMBA CS420</t>
  </si>
  <si>
    <t>EC-V356000480</t>
  </si>
  <si>
    <t>COLLAR C230</t>
  </si>
  <si>
    <t>72432-13230 COLLAR CAJA DE ENGRANAJE C230,T230XR</t>
  </si>
  <si>
    <t>EC-V357000180</t>
  </si>
  <si>
    <t>72030-13140 COLLAR B 22F</t>
  </si>
  <si>
    <t>EC-V358000130</t>
  </si>
  <si>
    <t>COLLAR B45-B450-B530-C350</t>
  </si>
  <si>
    <t>EC-V358000140</t>
  </si>
  <si>
    <t>22169-55130 COLLAR 757</t>
  </si>
  <si>
    <t>EC-V360000060</t>
  </si>
  <si>
    <t>COLLAR MANGA CS-600</t>
  </si>
  <si>
    <t>EC-V401000050</t>
  </si>
  <si>
    <t>AMORTIGUADOR DERECHO CS680</t>
  </si>
  <si>
    <t>EC-V401000390</t>
  </si>
  <si>
    <t>22169-33740 AMORTIGUADOR 577-757</t>
  </si>
  <si>
    <t>EC-V420002390</t>
  </si>
  <si>
    <t>AMORTIGUADOR B450-C350</t>
  </si>
  <si>
    <t>EC-V420002400</t>
  </si>
  <si>
    <t>22019-17110 PROTECTOR CUERO C350-B450-B45</t>
  </si>
  <si>
    <t>EC-V420002620</t>
  </si>
  <si>
    <t>AMORTIGUADOR DE CARCAZA C230</t>
  </si>
  <si>
    <t>EC-V430002900</t>
  </si>
  <si>
    <t>CABLE (A) CORTO ACELERADOR B450-C350</t>
  </si>
  <si>
    <t>EC-V430002930</t>
  </si>
  <si>
    <t>CABLE ACELERADOR CORTO B530</t>
  </si>
  <si>
    <t>EC-V430003240</t>
  </si>
  <si>
    <t>63880-65371 CABLE DEL ACELERADOR M230 P230 P231</t>
  </si>
  <si>
    <t>EC-V450000150</t>
  </si>
  <si>
    <t>RESORTE DEL ACELERADOR CS680-CS600</t>
  </si>
  <si>
    <t>EC-V451000940</t>
  </si>
  <si>
    <t>22160-51230 RESORTE DEL EMBRAGUE 488</t>
  </si>
  <si>
    <t>EC-V452000520</t>
  </si>
  <si>
    <t>RESORTE TRINQUETE B530-B45LA</t>
  </si>
  <si>
    <t>EC-V452000560</t>
  </si>
  <si>
    <t>RESORTE TRIQUETE B450</t>
  </si>
  <si>
    <t>EC-V452000950</t>
  </si>
  <si>
    <t>EC-V452000960</t>
  </si>
  <si>
    <t>EC-V470001600</t>
  </si>
  <si>
    <t>EC-V471002660</t>
  </si>
  <si>
    <t>70200-85320 TUBO SUCCION C350-B450</t>
  </si>
  <si>
    <t>EC-V475004810</t>
  </si>
  <si>
    <t>MANGA C350-B450-B530</t>
  </si>
  <si>
    <t>EC-V490000530</t>
  </si>
  <si>
    <t>SUJETADOR CUCHILLA C230-22C</t>
  </si>
  <si>
    <t>EC-V490000680</t>
  </si>
  <si>
    <t>20018-31270 SUJETADOR C230-ES726</t>
  </si>
  <si>
    <t>EC-V490000720</t>
  </si>
  <si>
    <t>EC-V505000080</t>
  </si>
  <si>
    <t>EC-V508000050</t>
  </si>
  <si>
    <t>RETEN B450-B530-C350-EB500</t>
  </si>
  <si>
    <t>EC-V508000080</t>
  </si>
  <si>
    <t>22155-21630 RETEN 757-577</t>
  </si>
  <si>
    <t>EC-V509000000</t>
  </si>
  <si>
    <t>RETEN 22C-C230</t>
  </si>
  <si>
    <t>EC-V513000000</t>
  </si>
  <si>
    <t>EC-V553000100</t>
  </si>
  <si>
    <t>67000-41230 COJINETE 22F</t>
  </si>
  <si>
    <t>EC-V556000020</t>
  </si>
  <si>
    <t>EC-V556000030</t>
  </si>
  <si>
    <t>EC-V558000000</t>
  </si>
  <si>
    <t>22150-51310 COJINETE 577-757</t>
  </si>
  <si>
    <t>EC-V582000100</t>
  </si>
  <si>
    <t>EC-V582000200</t>
  </si>
  <si>
    <t>22169-51140 ANILLO DE RETENCION 757</t>
  </si>
  <si>
    <t>EC-V583000181</t>
  </si>
  <si>
    <t>20011-31230 ANILLO DE RETENCION, SEGURO C350-B450</t>
  </si>
  <si>
    <t>EC-V609000050</t>
  </si>
  <si>
    <t>62035-41210 PIN DE PISTON B530</t>
  </si>
  <si>
    <t>EC-V641000140</t>
  </si>
  <si>
    <t>SUJETA CUCHILLA B450-B530-C350</t>
  </si>
  <si>
    <t>22015-13390 PIÑON CONICO CON VASTAGO C350</t>
  </si>
  <si>
    <t>EC-V651000550</t>
  </si>
  <si>
    <t>JUEGO DE PIÑON B45-B450-B530</t>
  </si>
  <si>
    <t>EC-V651000690</t>
  </si>
  <si>
    <t>22035-13220 PINON HUECO C230-22C</t>
  </si>
  <si>
    <t>22035-13391 PINON BASTAGO C230-22C</t>
  </si>
  <si>
    <t>EC-V652000030</t>
  </si>
  <si>
    <t>ENGRANAJE DE BOMBA CS420</t>
  </si>
  <si>
    <t>EC-V652000090</t>
  </si>
  <si>
    <t>PIÑON DE LA CAJA DE ENGRANAJE P230</t>
  </si>
  <si>
    <t>22155-55110 ENGRANAJE SIN FIN 577</t>
  </si>
  <si>
    <t>EC-V652000190</t>
  </si>
  <si>
    <t>ENGRANAJE SIN FIN 757</t>
  </si>
  <si>
    <t xml:space="preserve">CA CUCHILLA METALICA DE 3 ELEME   X405000001 </t>
  </si>
  <si>
    <t xml:space="preserve">CUCHILLA METALICA DE 3 ELEME   X405000011  </t>
  </si>
  <si>
    <t>EC-X600000111</t>
  </si>
  <si>
    <t>20000-96411 HERRAM LLAVE VOLANTE</t>
  </si>
  <si>
    <t>EC-X602000020</t>
  </si>
  <si>
    <t>X602000140 LLAVE DE BUJIA B530,B450,C350</t>
  </si>
  <si>
    <t>72518-91180 LLAVE DE BUJIA B45-B450-B530-C350</t>
  </si>
  <si>
    <t>EC-X602000210</t>
  </si>
  <si>
    <t>22155-96521 HERRAMIENTA LLAVE (3)</t>
  </si>
  <si>
    <t>22155-96531 LLAVE T 4mm</t>
  </si>
  <si>
    <t>EC-X602000230</t>
  </si>
  <si>
    <t>EC-X605000090</t>
  </si>
  <si>
    <t>09026-03001 LLAVE EXAGONAL 3MM B450 HERRAM</t>
  </si>
  <si>
    <t>EC-X605000100</t>
  </si>
  <si>
    <t>09026-04001 LLAVE 4MM B450 HERRAMIENTA</t>
  </si>
  <si>
    <t>EC-X640000150</t>
  </si>
  <si>
    <t>22155-91580 HERRAMIENTA LLAVE</t>
  </si>
  <si>
    <t xml:space="preserve">MOTOCULTORES </t>
  </si>
  <si>
    <t>MAQUINARIA HUESO</t>
  </si>
  <si>
    <t>G-0041</t>
  </si>
  <si>
    <t>PROLIFIC TIPO BIOZYME X LITRO</t>
  </si>
  <si>
    <t>GESU-005</t>
  </si>
  <si>
    <t>GENERADOR SUBARU 211  MOD.  9000354</t>
  </si>
  <si>
    <t>GENERADORES</t>
  </si>
  <si>
    <t>CONSTRUCCION</t>
  </si>
  <si>
    <t>HF-011</t>
  </si>
  <si>
    <t xml:space="preserve">BOMBA FUMIGAR 16LTS LANZA METAL </t>
  </si>
  <si>
    <t>HF-011AB</t>
  </si>
  <si>
    <t>BOMBA FUMIGACION  16LT AZUL LANZA  MET</t>
  </si>
  <si>
    <t>HF-019</t>
  </si>
  <si>
    <t xml:space="preserve">BOMBA DE FUMIGAR 20LTS LANZA METAL </t>
  </si>
  <si>
    <t>HF-019AB</t>
  </si>
  <si>
    <t xml:space="preserve">BOMBA FUMIGAR 20LT AZUAL LANZA METAL </t>
  </si>
  <si>
    <t>HFPJ-20</t>
  </si>
  <si>
    <t xml:space="preserve">BOMBA FUMIGAR 20LTS LANZA METAL </t>
  </si>
  <si>
    <t>BANDAS</t>
  </si>
  <si>
    <t>IB-009</t>
  </si>
  <si>
    <t>BANDAS B-53</t>
  </si>
  <si>
    <t>IN - 1271</t>
  </si>
  <si>
    <t>RAIZ FORTE X 500 ML</t>
  </si>
  <si>
    <t>IN-0005</t>
  </si>
  <si>
    <t>AGROTAFOL ZINC X 500 ML</t>
  </si>
  <si>
    <t>IN-00117</t>
  </si>
  <si>
    <t>LORFOS X LT</t>
  </si>
  <si>
    <t>IN-00173</t>
  </si>
  <si>
    <t>BUCANER FORTE X 100 ML</t>
  </si>
  <si>
    <t>IN-00174</t>
  </si>
  <si>
    <t>BUCANER FORTE X LITRO</t>
  </si>
  <si>
    <t>IN-0029</t>
  </si>
  <si>
    <t>AGROTAFIX X 500 ML</t>
  </si>
  <si>
    <t>IN-091</t>
  </si>
  <si>
    <t>ESTAMPIDA X LT</t>
  </si>
  <si>
    <t>IN-0976</t>
  </si>
  <si>
    <t>FEGADAZIM X 250 ML</t>
  </si>
  <si>
    <t>IN-0977</t>
  </si>
  <si>
    <t>FEGADAZIM X 500 ML</t>
  </si>
  <si>
    <t>IN-0987</t>
  </si>
  <si>
    <t>FEGADAZIM X LITRO</t>
  </si>
  <si>
    <t>IN-0998</t>
  </si>
  <si>
    <t>FEGADAZIM X 100 ML</t>
  </si>
  <si>
    <t>IN-1130</t>
  </si>
  <si>
    <t>SUPER VIVERO X KILO</t>
  </si>
  <si>
    <t>IN-1131</t>
  </si>
  <si>
    <t>THICKER X KILO</t>
  </si>
  <si>
    <t>IN-1945</t>
  </si>
  <si>
    <t>GREEN GIBB X 10 GRS</t>
  </si>
  <si>
    <t>ZULLY 60 X 15G</t>
  </si>
  <si>
    <t>IN-5665</t>
  </si>
  <si>
    <t>ABAMECTIN X LITRO</t>
  </si>
  <si>
    <t>IN-6617</t>
  </si>
  <si>
    <t>RIDONATE X 400 ML</t>
  </si>
  <si>
    <t>IN-7654</t>
  </si>
  <si>
    <t>JAQUER 400 X 100 ML</t>
  </si>
  <si>
    <t>IN-9876</t>
  </si>
  <si>
    <t>IMPULMAX  X 100 ML</t>
  </si>
  <si>
    <t>PALETA DE LA BOMBA BVIN-185-765</t>
  </si>
  <si>
    <t>INCO-015</t>
  </si>
  <si>
    <t>2011026 SELLADO DEL RECOLECTOR DE LECHE</t>
  </si>
  <si>
    <t>9401109 CONJUNTO DE TETERAS PARA CABRA</t>
  </si>
  <si>
    <t>9402011T CONJUNTO DE LA VALVULA DE AJUSTE</t>
  </si>
  <si>
    <t>MANGUERA ATOXICA CRISTAL 15.5X26</t>
  </si>
  <si>
    <t>INCO-9031910</t>
  </si>
  <si>
    <t>MEZCLADORA INCOMAGRI MIN-300P</t>
  </si>
  <si>
    <t>INCO-9051910</t>
  </si>
  <si>
    <t>MEZCLADORA INCOMAGRI MIN-500P</t>
  </si>
  <si>
    <t>INCO-9661970</t>
  </si>
  <si>
    <t>ESPARCIDORA ABONADORA SEMBRA 400P</t>
  </si>
  <si>
    <t>JA-001</t>
  </si>
  <si>
    <t>JARRITA DOSIFICADORA X 250 cc</t>
  </si>
  <si>
    <t>JF-002</t>
  </si>
  <si>
    <t>ENSILADORA JF 50 MAXXIUM</t>
  </si>
  <si>
    <t>JF-003</t>
  </si>
  <si>
    <t>ENSILADORA JF 40 MAXXIUM</t>
  </si>
  <si>
    <t>JF-012</t>
  </si>
  <si>
    <t>02.045389 CONTRA CUCHILLA JF10</t>
  </si>
  <si>
    <t>RESORTE DE LA TAPA (PICADORA) 05.001159</t>
  </si>
  <si>
    <t>JF-019</t>
  </si>
  <si>
    <t>02.046303 CONTRA CUCHILLA JF50S/MAXXIUM</t>
  </si>
  <si>
    <t>JF-021</t>
  </si>
  <si>
    <t>02.045510 KIT CUCHILLAS COMPLETO JF5D</t>
  </si>
  <si>
    <t>JF-022</t>
  </si>
  <si>
    <t>02.045520 KIT CUCHILLAS COMPLETO JF10</t>
  </si>
  <si>
    <t>JF-025</t>
  </si>
  <si>
    <t>02.046555 KIT CUCHILLA COMP. JF40</t>
  </si>
  <si>
    <t>JF-026</t>
  </si>
  <si>
    <t>02.070862 JUEGO COMP. MARTILLOS JF10</t>
  </si>
  <si>
    <t>JF-029</t>
  </si>
  <si>
    <t>02.046575 KIT CUCHILLA COMP. JF50</t>
  </si>
  <si>
    <t xml:space="preserve">ACCESORIOS TRITURADORES </t>
  </si>
  <si>
    <t>JF-041</t>
  </si>
  <si>
    <t>CONTRA CUCHILLA JF 40P</t>
  </si>
  <si>
    <t>JF-085</t>
  </si>
  <si>
    <t>KIT CUCHILLAS JF 50 MAXXIUM COMPLETO</t>
  </si>
  <si>
    <t>JF-086</t>
  </si>
  <si>
    <t>KIT CUCHILLAS  JF40P COMPLETO</t>
  </si>
  <si>
    <t>JF-281</t>
  </si>
  <si>
    <t>02.055541 JUEGO DE CUCHILLAS</t>
  </si>
  <si>
    <t>JF-CABALLETE</t>
  </si>
  <si>
    <t>CABALLETE JF-40P</t>
  </si>
  <si>
    <t>LA186FAE</t>
  </si>
  <si>
    <t xml:space="preserve">MOTOR 10HP DIESEL ARRANQUE ELECTRICO </t>
  </si>
  <si>
    <t>LCD42G40090H</t>
  </si>
  <si>
    <t>TV LCD 42"</t>
  </si>
  <si>
    <t>LT1200C</t>
  </si>
  <si>
    <t>GENERADOR 1.2KM 110 12V LT1200C</t>
  </si>
  <si>
    <t>LT200</t>
  </si>
  <si>
    <t xml:space="preserve">MOTOR 6.5HP GASOLINA </t>
  </si>
  <si>
    <t>LT420Q1E</t>
  </si>
  <si>
    <t xml:space="preserve">MOTOR 16HP GASOLINA </t>
  </si>
  <si>
    <t>LT950DC</t>
  </si>
  <si>
    <t>GENERADOR 800W 110V 12V</t>
  </si>
  <si>
    <t>LTA007</t>
  </si>
  <si>
    <t>ROLLO 100M  MANGUERA FUM 200BAR 5/16"</t>
  </si>
  <si>
    <t>LTF40C-2</t>
  </si>
  <si>
    <t xml:space="preserve">BOMBA DE PRESION 1.5" 6.5HP GASOLINA </t>
  </si>
  <si>
    <t>LTP50C</t>
  </si>
  <si>
    <t xml:space="preserve">BOMBA DE PRESION 2" 5.5HP GASOLINA </t>
  </si>
  <si>
    <t>LTP80C</t>
  </si>
  <si>
    <t xml:space="preserve">BOMBA DE CAUDAL TEMCO 3" 6.5HP GASOLINA </t>
  </si>
  <si>
    <t>LTS22W</t>
  </si>
  <si>
    <t xml:space="preserve">FUMIGADORA ESTAC GASOLINA 15L/M </t>
  </si>
  <si>
    <t>MONT-6M15421</t>
  </si>
  <si>
    <t>MONTACARGA MANUAL MT JPC0307</t>
  </si>
  <si>
    <t>MOT-004</t>
  </si>
  <si>
    <t>MOTOR DIESEL 6.7 HP F300</t>
  </si>
  <si>
    <t>MOT-052</t>
  </si>
  <si>
    <t>MOTOR DIESEL 16HP 2200RPM CHANGFA-1100</t>
  </si>
  <si>
    <t>MOTSU-001</t>
  </si>
  <si>
    <t xml:space="preserve">MOTOR SUBARU  DE 6 HP </t>
  </si>
  <si>
    <t>MOTSU-002</t>
  </si>
  <si>
    <t xml:space="preserve">MOTOR   SUBARU  9HP </t>
  </si>
  <si>
    <t>MOTSU-003</t>
  </si>
  <si>
    <t xml:space="preserve">MOTOR  SUBARU DE 13.5HP </t>
  </si>
  <si>
    <t>MP - 0631</t>
  </si>
  <si>
    <t>MICROELEMENTOS SOLUBLES + AMINOACIDOS X KILO</t>
  </si>
  <si>
    <t>ORTOFOSFATO 20% + AMINO ACIDOS X LT</t>
  </si>
  <si>
    <t>MP-010</t>
  </si>
  <si>
    <t>15-40-15-1+MICROELEMENTOS 25 KG</t>
  </si>
  <si>
    <t>MP-01130</t>
  </si>
  <si>
    <t>ETIQUETA SUPER VIVERO X KILO</t>
  </si>
  <si>
    <t>MP-01131</t>
  </si>
  <si>
    <t>ETIQUETA PROFESIONAL THICKER X KILO</t>
  </si>
  <si>
    <t>MP-01245</t>
  </si>
  <si>
    <t>FOSFONATO POTASICO 70 % X 20LITROS</t>
  </si>
  <si>
    <t>QUELATO DE ZN + AZUFRE + AC. HUMICOS X LT</t>
  </si>
  <si>
    <t>MP-01945</t>
  </si>
  <si>
    <t>CAJA GREEN GIBB X 15 UNID</t>
  </si>
  <si>
    <t>MP-0221</t>
  </si>
  <si>
    <t>ACIDOS HUMICOS, FULVICOS + AMINOACIDOS X 20 LITROS</t>
  </si>
  <si>
    <t>AGROQUIMICOS</t>
  </si>
  <si>
    <t>DIFENOCONAZOLE 25 % EC X 200 LITROS</t>
  </si>
  <si>
    <t>SULFATO DE COBRE + AMINOACIDOS X LT</t>
  </si>
  <si>
    <t>MP-059</t>
  </si>
  <si>
    <t>PARAQUAT 24 % SC 20 LT</t>
  </si>
  <si>
    <t>MP-060</t>
  </si>
  <si>
    <t>PARAQUAT X LITRO</t>
  </si>
  <si>
    <t>ETIQUETA AGROTAFOL SUPER</t>
  </si>
  <si>
    <t>MP-09877</t>
  </si>
  <si>
    <t>ETIQUETA FEGADAZIM X 500 ML</t>
  </si>
  <si>
    <t>MP-1130</t>
  </si>
  <si>
    <t>0-20-50 TIPO K-FOL</t>
  </si>
  <si>
    <t>CA 16-16-12  + B</t>
  </si>
  <si>
    <t>ETIQUETA SKEKURA X 250 ML</t>
  </si>
  <si>
    <t>MP-194589</t>
  </si>
  <si>
    <t>ACIDO GIBERELICO X KILO</t>
  </si>
  <si>
    <t>MP-19460</t>
  </si>
  <si>
    <t>ETIQUETA BUCANER FORTE X LITRO</t>
  </si>
  <si>
    <t>MP-2021</t>
  </si>
  <si>
    <t>FUNDA GREENGIB</t>
  </si>
  <si>
    <t>MP-2022</t>
  </si>
  <si>
    <t xml:space="preserve">FUNDA ALUMINIZADA 250/500 GRS </t>
  </si>
  <si>
    <t>MP-2023</t>
  </si>
  <si>
    <t>FUNDA ALUMINIZADA 300 GRS</t>
  </si>
  <si>
    <t>ETIQUETA MOSKAFIN X 100 GMS DELANTERA</t>
  </si>
  <si>
    <t>MP-250</t>
  </si>
  <si>
    <t>ENVASE AGROBALA VERDE X LITRO</t>
  </si>
  <si>
    <t>MP-257</t>
  </si>
  <si>
    <t>ABAMECTINA NEGRA 1.8% X 100 ML</t>
  </si>
  <si>
    <t>16-16-12+ B X LT</t>
  </si>
  <si>
    <t>MP-280</t>
  </si>
  <si>
    <t>TENSOACTIVO HUMECTANTE X 500ML</t>
  </si>
  <si>
    <t>MP-281</t>
  </si>
  <si>
    <t>ETIQUETA AGROTAFIX X 500 ML</t>
  </si>
  <si>
    <t>MP-282</t>
  </si>
  <si>
    <t>ETIQUETA IMPULMAX X 100 ML</t>
  </si>
  <si>
    <t>ETIQUETA CIROMAZINA X 50 GMS DEL  (F. A.)</t>
  </si>
  <si>
    <t>ENVASES</t>
  </si>
  <si>
    <t>METSULFURON METYL X 15 GR</t>
  </si>
  <si>
    <t>MP-3611</t>
  </si>
  <si>
    <t>ETIQUETA PARALANCHA 250/500 GRS DELANTERA</t>
  </si>
  <si>
    <t>MP-3612</t>
  </si>
  <si>
    <t>ETIQUETA PARALANCHA 250/500 GRS POSTERIOR</t>
  </si>
  <si>
    <t>MP-376</t>
  </si>
  <si>
    <t>DIFENOCONAZOLE 2,5% EC X 100 ML</t>
  </si>
  <si>
    <t>ETIQUETA CIROMAZINA X 50 GMS  DEL (AGROTA)</t>
  </si>
  <si>
    <t>MP-6614</t>
  </si>
  <si>
    <t>MP-7654</t>
  </si>
  <si>
    <t>ETIQUETA JAQUER X 100 ML</t>
  </si>
  <si>
    <t>MP-7687</t>
  </si>
  <si>
    <t>ETIQUETA FEGADAZIM X 100 ML</t>
  </si>
  <si>
    <t>MP-7881</t>
  </si>
  <si>
    <t>ABAMECTIN X 100 ML</t>
  </si>
  <si>
    <t>MP-9753</t>
  </si>
  <si>
    <t>CAJA COMBO MARACUYA FLORACION</t>
  </si>
  <si>
    <t>OR-238337</t>
  </si>
  <si>
    <t>DIENTE P/MOTOSIERRA 73D 100B 3/8 OREGON</t>
  </si>
  <si>
    <t>OT-02002-06001</t>
  </si>
  <si>
    <t>02002-06001 COJINETE B450-B530</t>
  </si>
  <si>
    <t>OT-02006-06000</t>
  </si>
  <si>
    <t>02006-06000 COJINETE B45-B530</t>
  </si>
  <si>
    <t>OT-11</t>
  </si>
  <si>
    <t>POLEA A3.5"/1RAN,3/4" GASO</t>
  </si>
  <si>
    <t>OT-1131</t>
  </si>
  <si>
    <t xml:space="preserve">ACCESORIOS MEZCLADORAS </t>
  </si>
  <si>
    <t>OT-28MM</t>
  </si>
  <si>
    <t>POLEA 4"X 2RANUX28MMM</t>
  </si>
  <si>
    <t>OT-343</t>
  </si>
  <si>
    <t>TAPAS ALUMINIO FUNDIDAS ORDEÑADORA</t>
  </si>
  <si>
    <t>OT-478</t>
  </si>
  <si>
    <t>POLA 4  2RAN 1  GASODISEL PC3 DP2 DP1</t>
  </si>
  <si>
    <t>OT-479</t>
  </si>
  <si>
    <t>POLEA B2.5 1RAN 3 4  GASOL TRAPICHE</t>
  </si>
  <si>
    <t>OT-531</t>
  </si>
  <si>
    <t>MOTOR 3HP MONOFASICO 3600 RPM</t>
  </si>
  <si>
    <t>OT-55</t>
  </si>
  <si>
    <t>PERNO 4X15 MM</t>
  </si>
  <si>
    <t>OT-584</t>
  </si>
  <si>
    <t>BUJIA 6A</t>
  </si>
  <si>
    <t>OT-653</t>
  </si>
  <si>
    <t>POLEA 4" 1 RANURA HUECO 1"</t>
  </si>
  <si>
    <t>OT-82067A</t>
  </si>
  <si>
    <t>CABEZAL NYLON UN-10 SIN EMPAQUE 82067A</t>
  </si>
  <si>
    <t>MANGUERA DE AGUA 10" M 1 1/2" VERDE</t>
  </si>
  <si>
    <t>OT-A48</t>
  </si>
  <si>
    <t>BANDA A-48</t>
  </si>
  <si>
    <t>OT-B48</t>
  </si>
  <si>
    <t>BANDA B-48</t>
  </si>
  <si>
    <t>OT-B95</t>
  </si>
  <si>
    <t>BANDA-B95</t>
  </si>
  <si>
    <t>OT-M.CHAVET</t>
  </si>
  <si>
    <t>MATERIAL PARA CHAVETA</t>
  </si>
  <si>
    <t>OT-MO4HP</t>
  </si>
  <si>
    <t xml:space="preserve">MOTOR 4HP WEG 1800RPM 220V  </t>
  </si>
  <si>
    <t>P-0015</t>
  </si>
  <si>
    <t>CAJA COMBO RAIZ ROSADA</t>
  </si>
  <si>
    <t>P-0016</t>
  </si>
  <si>
    <t>CAJA COMBO CACAO INICIO</t>
  </si>
  <si>
    <t>CAJA COMBO ARROZ DESARROLLO</t>
  </si>
  <si>
    <t>P-008</t>
  </si>
  <si>
    <t>ENVASE AGROBALA VERDE X 500 ML</t>
  </si>
  <si>
    <t>P022007000</t>
  </si>
  <si>
    <t>PERNO SUJETADOR SRM4300</t>
  </si>
  <si>
    <t>PASU-007</t>
  </si>
  <si>
    <t>PLANCHA  SUBARU   CF2</t>
  </si>
  <si>
    <t>VIBROAPISONADOR</t>
  </si>
  <si>
    <t>PK60-1</t>
  </si>
  <si>
    <t xml:space="preserve">BOMBA CENTRIFUGA 0.5HP 1"X1" </t>
  </si>
  <si>
    <t>PK80-1</t>
  </si>
  <si>
    <t xml:space="preserve">BOMBA CENTRIFUGA 1HP 1"X12 </t>
  </si>
  <si>
    <t>PR-002</t>
  </si>
  <si>
    <t>MOTOR 2HP WEG 1800 RPM 110/220V</t>
  </si>
  <si>
    <t>PRO-001</t>
  </si>
  <si>
    <t>MOTOR 7.5HP WEG 3600 RPM 220/440</t>
  </si>
  <si>
    <t>LETAL X 500 ML</t>
  </si>
  <si>
    <t>RI-585</t>
  </si>
  <si>
    <t>QUARZO CROMA INDURAMA</t>
  </si>
  <si>
    <t>ROD-62052ZF</t>
  </si>
  <si>
    <t>RODAMEINTO 6205 2Z FAG</t>
  </si>
  <si>
    <t>ROD-62072ZC3F</t>
  </si>
  <si>
    <t>RODAMIENTO  6207 2Z C3 FAG</t>
  </si>
  <si>
    <t>RULIT-009</t>
  </si>
  <si>
    <t>BANDAS B-75</t>
  </si>
  <si>
    <t>SC-002</t>
  </si>
  <si>
    <t>SCORE X 100CC</t>
  </si>
  <si>
    <t>SH-037</t>
  </si>
  <si>
    <t>EXHIBIDOR DESMALEZADORA</t>
  </si>
  <si>
    <t>SH-11022-05450</t>
  </si>
  <si>
    <t>PERNO PROTECTOR DESPOJOS B530</t>
  </si>
  <si>
    <t>SH-20000-96104</t>
  </si>
  <si>
    <t>20000-96104 HERRAM EXTACT VOLANTE</t>
  </si>
  <si>
    <t>ANILLO PISTON C350-BP35</t>
  </si>
  <si>
    <t>20016-71601 BOBINA C230-P230</t>
  </si>
  <si>
    <t>SH-20019-81440</t>
  </si>
  <si>
    <t>20019-81440 VALVULA REGULADORA B530</t>
  </si>
  <si>
    <t>ANILLOS PISTON B45-B45L</t>
  </si>
  <si>
    <t>20024-75220 TRINQUETE B45LA-B530-C350-SRM270</t>
  </si>
  <si>
    <t>20055-81004 CARBURADOR BP35</t>
  </si>
  <si>
    <t>SH-20060-81760</t>
  </si>
  <si>
    <t>TAPA FILTRO C350-B450</t>
  </si>
  <si>
    <t>SH-22000-12413</t>
  </si>
  <si>
    <t>22000-12413 EJE CENTRAL C270</t>
  </si>
  <si>
    <t>SH-22000-13290</t>
  </si>
  <si>
    <t>CA PROTECTOR DE PERNO BP35</t>
  </si>
  <si>
    <t>CA DISCO 8" 30 DIENTES</t>
  </si>
  <si>
    <t>SH-22000-92167</t>
  </si>
  <si>
    <t xml:space="preserve">22000-92167 DISCO 9" 30 DIENTES </t>
  </si>
  <si>
    <t>SH-22000-92812</t>
  </si>
  <si>
    <t xml:space="preserve">CA CABEZAL METALICO  22000-92812  </t>
  </si>
  <si>
    <t>22015-13220 PINON HUECO B45-B450-B530-C350</t>
  </si>
  <si>
    <t>22015-13241 SOPORTE (A) B450-C350-B450</t>
  </si>
  <si>
    <t>SH-22015-13410</t>
  </si>
  <si>
    <t>CA PERNO TAPA GRASA B45-B450-B5</t>
  </si>
  <si>
    <t>SH-22150-12152</t>
  </si>
  <si>
    <t>22150-12152 MANGA 757-577</t>
  </si>
  <si>
    <t>SH-22155-55110</t>
  </si>
  <si>
    <t>SH-22155-96531</t>
  </si>
  <si>
    <t>22155-96531 HERRAMIENTA LLAVE (4)</t>
  </si>
  <si>
    <t>SH-22169-21503</t>
  </si>
  <si>
    <t>22169-21503 CARTER C COMPLETO 757</t>
  </si>
  <si>
    <t>22169-41210 ANILLOS PISTON 757</t>
  </si>
  <si>
    <t>SH-22169-51170</t>
  </si>
  <si>
    <t>SH-22169-82310</t>
  </si>
  <si>
    <t>22169-82310 FILTRO AIRE 577-757</t>
  </si>
  <si>
    <t>SH-22197-55201</t>
  </si>
  <si>
    <t>22197-55201 BOMBA ACEITE P230,757</t>
  </si>
  <si>
    <t>SH-224127-13710</t>
  </si>
  <si>
    <t>EMPAQUE DIFUSOR ES726</t>
  </si>
  <si>
    <t>22901-31000 MANGUERA DE SUCCION GP450</t>
  </si>
  <si>
    <t>SH-28820-08000</t>
  </si>
  <si>
    <t>28820-08000 CABEZAL NYLON SPEED-FEED</t>
  </si>
  <si>
    <t>KIT MOTOR RECONSTRUC B450</t>
  </si>
  <si>
    <t>SH-62035-15210</t>
  </si>
  <si>
    <t>CA EMPAQUE SILENCIADOR B530</t>
  </si>
  <si>
    <t>CA TAMBOR EMBRAGUE B530</t>
  </si>
  <si>
    <t>ANILLOS PISTON B530</t>
  </si>
  <si>
    <t>62035-81013 CARBURADOR B530</t>
  </si>
  <si>
    <t>62035-82330 EMPAQUE (A) CARBURADOR B530.</t>
  </si>
  <si>
    <t>CA CABLE B530</t>
  </si>
  <si>
    <t>CARCASA CAJA DE ENGRANAJES B450 B530 C350</t>
  </si>
  <si>
    <t>64000-66311 PROTECTOR DESPOJO COMP B450  B530</t>
  </si>
  <si>
    <t>SH-64007-67011</t>
  </si>
  <si>
    <t>64007-67011 ARNES COMPLETO</t>
  </si>
  <si>
    <t>SH-67000-42010</t>
  </si>
  <si>
    <t>CIGUEÑAL  22F-22C-ES726</t>
  </si>
  <si>
    <t>CA AISLADOR CONDENSADOR ES726</t>
  </si>
  <si>
    <t>SH-70244-98050</t>
  </si>
  <si>
    <t>EMPAQUETADURA-DIAF C350</t>
  </si>
  <si>
    <t>70870-98020 PISTON KIT C230-ES726-HT230</t>
  </si>
  <si>
    <t>SH-72051-14101</t>
  </si>
  <si>
    <t>MANUBRIO BP 35</t>
  </si>
  <si>
    <t>72051-98011 PISTON KIT C350-C35LA-BP35</t>
  </si>
  <si>
    <t>CAJA DE ENGRANAJES SEMCOMP B45LA</t>
  </si>
  <si>
    <t>72080-98011 PISTON KIT B45-B45LA</t>
  </si>
  <si>
    <t>SH-72080-98020</t>
  </si>
  <si>
    <t>72080-98020 EMPAQUETADURA DIAF B45-B45LA</t>
  </si>
  <si>
    <t>CA PROBADOR DE PRESION DE PRESION</t>
  </si>
  <si>
    <t>SH-72447-13121</t>
  </si>
  <si>
    <t>72447-13121 RETENEDOR B530-B450-C350-B45</t>
  </si>
  <si>
    <t>72550-82120 CONECTOR ACELERADOR B450-B530-C350</t>
  </si>
  <si>
    <t>SH-72LG0-84X</t>
  </si>
  <si>
    <t>CABEZAL SPEED FEED 375 PARA C230, T230</t>
  </si>
  <si>
    <t xml:space="preserve"> EMPAQUE TAPA ES726</t>
  </si>
  <si>
    <t>SH-80253</t>
  </si>
  <si>
    <t>CA KIT DE REPARACION BOMBA ES726</t>
  </si>
  <si>
    <t>SH-80256</t>
  </si>
  <si>
    <t>80256 AGUJA KIT KWIK ES726</t>
  </si>
  <si>
    <t>SH-80387</t>
  </si>
  <si>
    <t>CA CABEZAL METALICO EMPACADO</t>
  </si>
  <si>
    <t>CA DISCO DE ACERO 4 PUNTAS</t>
  </si>
  <si>
    <t>CA ROLLO HILO NYLON 0.105" 12.2M (2.7MM)</t>
  </si>
  <si>
    <t>SH-813010</t>
  </si>
  <si>
    <t>ROLLO NYLON AZUL (460MT) 0.130"</t>
  </si>
  <si>
    <t xml:space="preserve">PISTOLA HZ-20GT 88421 </t>
  </si>
  <si>
    <t>SH-8890802</t>
  </si>
  <si>
    <t>8890802 AMORTIGUADOR ES726</t>
  </si>
  <si>
    <t xml:space="preserve">CADENA 8" 3/8" 0.43"     90SG-033X </t>
  </si>
  <si>
    <t xml:space="preserve">CA BARRA 24 050 9214D-24 </t>
  </si>
  <si>
    <t>SH-99909-55130</t>
  </si>
  <si>
    <t>ACEITE BARRA CADENA PREMIUM 99909-551</t>
  </si>
  <si>
    <t>SH-99909-55133</t>
  </si>
  <si>
    <t>ACEITE SHINDAIWA PREMIUM 2TIEMPOS 1LT</t>
  </si>
  <si>
    <t>HILO NYLON 0.105" 10510</t>
  </si>
  <si>
    <t>SHDW-014</t>
  </si>
  <si>
    <t>SHDW-038</t>
  </si>
  <si>
    <t>DISCOS VIDIA 9";DISCOS VIDIA 9""</t>
  </si>
  <si>
    <t>MASCARILLA LENTES OREJERAS</t>
  </si>
  <si>
    <t>SHDW-051</t>
  </si>
  <si>
    <t>CASCO CON VISERA GRANDE TOMATE</t>
  </si>
  <si>
    <t>SH-HT230/40</t>
  </si>
  <si>
    <t>CORTASETOS HT230/40</t>
  </si>
  <si>
    <t>SH-PBN22301</t>
  </si>
  <si>
    <t>ROLLO NYLON AZUL (700MT)0.105"</t>
  </si>
  <si>
    <t>SO-00.71.237A</t>
  </si>
  <si>
    <t>SO-00.71.237A RESORTE DE EMBRAGUE MD-117-121-129</t>
  </si>
  <si>
    <t>SO-20.48.121</t>
  </si>
  <si>
    <t>SO-20.48.121 FILTRO DE AIRE MOD.117/121/129</t>
  </si>
  <si>
    <t>SO-20.48.346</t>
  </si>
  <si>
    <t>SO-20.48.346 ARO DEL PISTON MOD.129/130</t>
  </si>
  <si>
    <t>SO-20.48.377</t>
  </si>
  <si>
    <t xml:space="preserve">SO-20.48.377 ARO DEL PISTON MOD.432/433 </t>
  </si>
  <si>
    <t>SO-20.63.372</t>
  </si>
  <si>
    <t>SO-20.63.372 JUNTA MD. 433/432</t>
  </si>
  <si>
    <t>SO-20.74.113</t>
  </si>
  <si>
    <t>SO-20.74.113 TAPA DE FILTRO MOD. 117-121.129</t>
  </si>
  <si>
    <t>SO-33.00.194</t>
  </si>
  <si>
    <t>SO-33.00.194 CASQUILLO DE COJINETE MOD. 369/645/</t>
  </si>
  <si>
    <t>SO-60.63.322</t>
  </si>
  <si>
    <t>SO-60.63.322 TUBO MOD. 450</t>
  </si>
  <si>
    <t>SOUTH-017</t>
  </si>
  <si>
    <t>VIBSU-006</t>
  </si>
  <si>
    <t>VIBROAPISONADOR  SUBARU SRU66 1106654</t>
  </si>
  <si>
    <t>WA17W7MDP</t>
  </si>
  <si>
    <t>LAVADORA WOBBLE</t>
  </si>
  <si>
    <t>YC-3</t>
  </si>
  <si>
    <t xml:space="preserve">MOTOR ELECTRICO MONOFASICO 110/220V 3HP 1750RPM </t>
  </si>
  <si>
    <t>ZM-001</t>
  </si>
  <si>
    <t>BOMBA ZM 51 MAXXI</t>
  </si>
  <si>
    <t>BOMBAS ZM</t>
  </si>
  <si>
    <t>REPUESTOS BOMBAS ZM</t>
  </si>
  <si>
    <t>ZM-011</t>
  </si>
  <si>
    <t>JUEGOS O RINGS ZM 51</t>
  </si>
  <si>
    <t>ZM-036</t>
  </si>
  <si>
    <t>BOMBA ZM 95 MAXXI</t>
  </si>
  <si>
    <t>ACCESORIOS BOMBAS ZM</t>
  </si>
  <si>
    <t>ZM-043</t>
  </si>
  <si>
    <t>ZM-051</t>
  </si>
  <si>
    <t>CABALLETE PARA ZM 51</t>
  </si>
  <si>
    <t>ZM-055</t>
  </si>
  <si>
    <t>ZM-057</t>
  </si>
  <si>
    <t xml:space="preserve">RUEDA PARA ZM 95 2.00X0.35  </t>
  </si>
  <si>
    <t>ZM-058</t>
  </si>
  <si>
    <t xml:space="preserve">CABALLETE PARA ZM 95 </t>
  </si>
  <si>
    <t>ZM-063</t>
  </si>
  <si>
    <t>ZM-072</t>
  </si>
  <si>
    <t>JUEGO CILINDROS ZM 51</t>
  </si>
  <si>
    <t>REPUESTOS BOMBAS DE AGUA</t>
  </si>
  <si>
    <t>REPUESTOS TRACTORES</t>
  </si>
  <si>
    <t>EC-SRM-3605UEU</t>
  </si>
  <si>
    <t>DESMALEZADORA SRM 3605</t>
  </si>
  <si>
    <t>EC-WP-1000</t>
  </si>
  <si>
    <t>BOMBA DE AGUA WP-1000</t>
  </si>
  <si>
    <t>BOMBAS DE AGUA</t>
  </si>
  <si>
    <t>CR-039</t>
  </si>
  <si>
    <t>ENSILADORA EC MINI</t>
  </si>
  <si>
    <t>EC-10000052130</t>
  </si>
  <si>
    <t>PISTON KIT PPT2400</t>
  </si>
  <si>
    <t>EC-10001110530</t>
  </si>
  <si>
    <t>ANILLOS  PISTON SRM4300</t>
  </si>
  <si>
    <t>EC-A230000000</t>
  </si>
  <si>
    <t>REJILLA FILTRO AIRE SRM4300</t>
  </si>
  <si>
    <t>EC-A575000420</t>
  </si>
  <si>
    <t>20011-35141 ABRAZADERA (B) TUBO B450-C350</t>
  </si>
  <si>
    <t>EC-B450/AUS</t>
  </si>
  <si>
    <t>DESMALEZADORA B450 AUS</t>
  </si>
  <si>
    <t>EC-B450EMC</t>
  </si>
  <si>
    <t>DESMALEZADORA B450</t>
  </si>
  <si>
    <t>EC-B530INTL</t>
  </si>
  <si>
    <t>DESMALEZADORA B-530</t>
  </si>
  <si>
    <t>EC-BP35INTL</t>
  </si>
  <si>
    <t>DESMALEZADORA BP35</t>
  </si>
  <si>
    <t>EC-C230INTL</t>
  </si>
  <si>
    <t>DESMALEZADORA C-230</t>
  </si>
  <si>
    <t>EC-C350INTL</t>
  </si>
  <si>
    <t>DESMALEZADORA C-350</t>
  </si>
  <si>
    <t>EC-CS-3000-30EUSTD</t>
  </si>
  <si>
    <t>MOTOSIERRA CS-3000-30 CON BARRA Y CADEN</t>
  </si>
  <si>
    <t>EC-CS-3500-40EUSTD</t>
  </si>
  <si>
    <t>MOTOSIERRA CS-3500-40 CON BARRA Y CADENA</t>
  </si>
  <si>
    <t>EC-CS-420ES-45EU</t>
  </si>
  <si>
    <t>MOTOSIERRA CS-420-45 CON BARRA Y CADENA</t>
  </si>
  <si>
    <t>EC-CS-600-60EUSTD</t>
  </si>
  <si>
    <t>MOTOSIERRA CS-600-60 CON BARRA Y CADENA</t>
  </si>
  <si>
    <t>EC-DM-6110EUSTD</t>
  </si>
  <si>
    <t>NEBULIZADORA, PULVERIZADORA 23LITROS</t>
  </si>
  <si>
    <t>EC-EDR-210</t>
  </si>
  <si>
    <t>TALADRO DE 21.2CC CON FUNCION EDR-210</t>
  </si>
  <si>
    <t>TALADRO MOTORIZADO</t>
  </si>
  <si>
    <t>EC-ES726</t>
  </si>
  <si>
    <t>BOMBA DE FUMIGAR A MOTOR ES726</t>
  </si>
  <si>
    <t>EC-GT-22GES</t>
  </si>
  <si>
    <t>DESMALEZADORA GT-22GES</t>
  </si>
  <si>
    <t>EC-PPT-2400STD</t>
  </si>
  <si>
    <t>PODADORA DE EXTENSION 2400STD</t>
  </si>
  <si>
    <t>EC-SHP-800-2</t>
  </si>
  <si>
    <t>BOMBA DE FUMIGACION SHP-800-2</t>
  </si>
  <si>
    <t>EC-SRM-270UEU</t>
  </si>
  <si>
    <t>DESMALEZADORA SRM 270</t>
  </si>
  <si>
    <t>EC-SRM-4300F</t>
  </si>
  <si>
    <t>DESMALEZADORA SRM 4300F</t>
  </si>
  <si>
    <t>MOTORALMOR</t>
  </si>
  <si>
    <t>BP-MATRIZ</t>
  </si>
  <si>
    <t>01.007.0005</t>
  </si>
  <si>
    <t>MANUBRIO MOXAL/001/RO</t>
  </si>
  <si>
    <t>01.011.0019</t>
  </si>
  <si>
    <t>COB.TANQUE I/D RO M1R200/250</t>
  </si>
  <si>
    <t>01.011.0020</t>
  </si>
  <si>
    <t>COB.TANQUE I/D NE M1R200/250</t>
  </si>
  <si>
    <t>01.011.0026</t>
  </si>
  <si>
    <t>COB.TANQUE I/D SKR200 RO</t>
  </si>
  <si>
    <t>01.011.0027</t>
  </si>
  <si>
    <t>COB.TANQUE I/D SKR200 AZ</t>
  </si>
  <si>
    <t>01.011.0039</t>
  </si>
  <si>
    <t>COB.TANQUE I/D AZ M1R200/250</t>
  </si>
  <si>
    <t>01.011.0040</t>
  </si>
  <si>
    <t>COB.TANQUE I/D BL M1R200/250</t>
  </si>
  <si>
    <t>01.011.0041</t>
  </si>
  <si>
    <t>COB.TANQUE I/D TO M1R200/250</t>
  </si>
  <si>
    <t>01.011.0042</t>
  </si>
  <si>
    <t>COB. TANQUE I/D AM QM200GY</t>
  </si>
  <si>
    <t>01.011.0044</t>
  </si>
  <si>
    <t>COB. TANQUE I/D NE QM200GY</t>
  </si>
  <si>
    <t>01.013.0068</t>
  </si>
  <si>
    <t>COB.LAT.POS.(I/D) XY125-8X AZ</t>
  </si>
  <si>
    <t>01.013.0069</t>
  </si>
  <si>
    <t>COB.LAT.POS.(I/D) XY125-8X RO</t>
  </si>
  <si>
    <t>01.013.0070</t>
  </si>
  <si>
    <t>COB.LAT.POS.(I/D) XY125-8X GR</t>
  </si>
  <si>
    <t>01.013.0082</t>
  </si>
  <si>
    <t>COB. LAT. I/D AM QM200GY</t>
  </si>
  <si>
    <t>01.013.0086</t>
  </si>
  <si>
    <t>COB. LAT. INF. CEN I/D AZ</t>
  </si>
  <si>
    <t>01.013.0087</t>
  </si>
  <si>
    <t>COB. LAT. INF. CEN I/D NE</t>
  </si>
  <si>
    <t>01.013.0088</t>
  </si>
  <si>
    <t>COB. LAT. INF. CEN I/D RO</t>
  </si>
  <si>
    <t>01.013.0089</t>
  </si>
  <si>
    <t>COB. LAT. POS. I/D AZ</t>
  </si>
  <si>
    <t>01.013.0090</t>
  </si>
  <si>
    <t>COB. LAT. POS. I/D NE</t>
  </si>
  <si>
    <t>01.013.0091</t>
  </si>
  <si>
    <t>COB. LAT. POS. I/D RO</t>
  </si>
  <si>
    <t>01.013.0092</t>
  </si>
  <si>
    <t>COB. LAT. I/D NE/GR PULSAR135L</t>
  </si>
  <si>
    <t>01.013.0093</t>
  </si>
  <si>
    <t>COB. LAT. I/D NE/AZ PULSAR135L</t>
  </si>
  <si>
    <t>01.016.0006</t>
  </si>
  <si>
    <t>ESPEJO RD 10mm CUAD.</t>
  </si>
  <si>
    <t>01.016.0021</t>
  </si>
  <si>
    <t>ESPEJO RD 10mm LED EMX02</t>
  </si>
  <si>
    <t>01.017.0014</t>
  </si>
  <si>
    <t>GAFAS T815-7 (LEN.TRA.) ROSADO</t>
  </si>
  <si>
    <t>01.017.0015</t>
  </si>
  <si>
    <t>GAFAS T815-7 (LEN.OBS.) ROSADO</t>
  </si>
  <si>
    <t>01.017.0016</t>
  </si>
  <si>
    <t>GAFAS GMXL-01 (L.AM/P.NAR) AZ</t>
  </si>
  <si>
    <t>01.017.0018</t>
  </si>
  <si>
    <t>GAFAS GMXL-01 (L.AM/P.NAR) RO</t>
  </si>
  <si>
    <t>01.017.0019</t>
  </si>
  <si>
    <t>GAFAS GMXL-01 (L.AM/P.NAR) RS</t>
  </si>
  <si>
    <t>01.017.0020</t>
  </si>
  <si>
    <t>GAFAS GMXL-01 (L.AM/P.NAR) TO</t>
  </si>
  <si>
    <t>01.017.0021</t>
  </si>
  <si>
    <t>GAFAS GMXL-01 (L.AM/P.NAR) VE</t>
  </si>
  <si>
    <t>01.017.0023</t>
  </si>
  <si>
    <t>GAFAS GMXL-01 (L.50%/P.NAR) NE</t>
  </si>
  <si>
    <t>01.017.0025</t>
  </si>
  <si>
    <t>GAFAS GMXL-01 (L.50%/P.NAR) RS</t>
  </si>
  <si>
    <t>01.017.0026</t>
  </si>
  <si>
    <t>GAFAS GMXL-01 (L.50%/P.NAR) TO</t>
  </si>
  <si>
    <t>01.017.0027</t>
  </si>
  <si>
    <t>GAFAS GMXL-01 (L.50%/P.NAR) VE</t>
  </si>
  <si>
    <t>01.017.0029</t>
  </si>
  <si>
    <t>GAFAS GMXL-01 (L.TR/P.NAR) NE</t>
  </si>
  <si>
    <t>01.017.0031</t>
  </si>
  <si>
    <t>GAFAS GMXL-01 (L.TR/P.NAR) RS</t>
  </si>
  <si>
    <t>01.019.0026</t>
  </si>
  <si>
    <t>GUAR. POS. BL SKR/M1R200</t>
  </si>
  <si>
    <t>01.019.0028</t>
  </si>
  <si>
    <t>GUAR. DEL. RO PULSAR135LS</t>
  </si>
  <si>
    <t>01.019.0029</t>
  </si>
  <si>
    <t>GUAR. DEL. NE PULSAR135LS</t>
  </si>
  <si>
    <t>01.019.0105</t>
  </si>
  <si>
    <t>GUAR. POS. XY125-8X</t>
  </si>
  <si>
    <t>01.019.0106</t>
  </si>
  <si>
    <t>GUAR. DEL. AX100</t>
  </si>
  <si>
    <t>01.019.0107</t>
  </si>
  <si>
    <t>GUAR. POS. JL110-8</t>
  </si>
  <si>
    <t>01.019.0114</t>
  </si>
  <si>
    <t>GUAR. DEL. DSR200 BL</t>
  </si>
  <si>
    <t>01.019.0116</t>
  </si>
  <si>
    <t>GUAR. DEL. DSR200 RO</t>
  </si>
  <si>
    <t>01.019.0120</t>
  </si>
  <si>
    <t>GUAR. DEL. NITROX RO</t>
  </si>
  <si>
    <t>01.019.0135</t>
  </si>
  <si>
    <t>GUAR. POS. AM QM200GY</t>
  </si>
  <si>
    <t>01.019.0137</t>
  </si>
  <si>
    <t>GUAR. POS. NE QM200GY</t>
  </si>
  <si>
    <t>01.019.0139</t>
  </si>
  <si>
    <t>GUAR. DEL. AM QM200GY</t>
  </si>
  <si>
    <t>01.019.0140</t>
  </si>
  <si>
    <t>GUAR. DEL. AZ QM200GY</t>
  </si>
  <si>
    <t>01.019.0141</t>
  </si>
  <si>
    <t>GUAR. DEL. NE QM200GY</t>
  </si>
  <si>
    <t>01.019.0143</t>
  </si>
  <si>
    <t>GUAR. DEL. (2PCS) AZ JOY150</t>
  </si>
  <si>
    <t>01.019.0144</t>
  </si>
  <si>
    <t>GUAR. DEL. (2PCS) RO JOY150</t>
  </si>
  <si>
    <t>01.019.0145</t>
  </si>
  <si>
    <t>GUAR. DEL. (2PCS) NE JOY150</t>
  </si>
  <si>
    <t>01.019.0151</t>
  </si>
  <si>
    <t>GUAR. DEL. BL XR250</t>
  </si>
  <si>
    <t>01.019.0152</t>
  </si>
  <si>
    <t>GUAR. DEL. RO XR250</t>
  </si>
  <si>
    <t>01.019.0153</t>
  </si>
  <si>
    <t>GUAR. DEL. NE XR250</t>
  </si>
  <si>
    <t>01.020.0008</t>
  </si>
  <si>
    <t>TERNO IMPERMEABLE / M / AZUL</t>
  </si>
  <si>
    <t>01.024.0013</t>
  </si>
  <si>
    <t>MASCARILLA GUIA DIR.</t>
  </si>
  <si>
    <t>01.024.0039</t>
  </si>
  <si>
    <t>MASCARILLA SUP. AZ XY125-8X</t>
  </si>
  <si>
    <t>01.024.0041</t>
  </si>
  <si>
    <t>MASCARILLA SUP. GR XY125-8X</t>
  </si>
  <si>
    <t>01.024.0043</t>
  </si>
  <si>
    <t>MASCARILLA INF. AZ  XY125-8X</t>
  </si>
  <si>
    <t>01.024.0046</t>
  </si>
  <si>
    <t>ACCESORIO CEN.MASC. SH200XY</t>
  </si>
  <si>
    <t>01.024.0049</t>
  </si>
  <si>
    <t>MASCARILLA INFERIOR FARO NE</t>
  </si>
  <si>
    <t>01.024.0051</t>
  </si>
  <si>
    <t>COB. MASC. RO PULSAR135LS</t>
  </si>
  <si>
    <t>01.024.0052</t>
  </si>
  <si>
    <t>COB. MASC. NE PULSAR135LS</t>
  </si>
  <si>
    <t>01.025.0078</t>
  </si>
  <si>
    <t>FARO Y MASCARILLA AM QM200GY</t>
  </si>
  <si>
    <t>01.025.0080</t>
  </si>
  <si>
    <t>FARO Y MASCARILLA NE QM200GY</t>
  </si>
  <si>
    <t>01.025.0081</t>
  </si>
  <si>
    <t>FARO Y MASCARILLA RO QM200GY</t>
  </si>
  <si>
    <t>01.028.0013</t>
  </si>
  <si>
    <t>PROT. MANOS/FX200/RO</t>
  </si>
  <si>
    <t>01.028.0014</t>
  </si>
  <si>
    <t>PROT. MANOS/FX200/AZ</t>
  </si>
  <si>
    <t>01.042.0004</t>
  </si>
  <si>
    <t>COB. CEN. FRO. AZ</t>
  </si>
  <si>
    <t>01.042.0005</t>
  </si>
  <si>
    <t>COB. CEN. FRO. NE</t>
  </si>
  <si>
    <t>01.042.0006</t>
  </si>
  <si>
    <t>COB. CEN. FRO. RO</t>
  </si>
  <si>
    <t>02.001.0039</t>
  </si>
  <si>
    <t>BAT. YTX9A-BS12V 9Ah</t>
  </si>
  <si>
    <t>BATERIAS</t>
  </si>
  <si>
    <t>02.001.0040</t>
  </si>
  <si>
    <t>BAT. YTX6.5L-BS 12V 6.5Ah</t>
  </si>
  <si>
    <t>02.001.0041</t>
  </si>
  <si>
    <t>BAT. YTX9-BS 12V 8Ah</t>
  </si>
  <si>
    <t>03.006.0001</t>
  </si>
  <si>
    <t>CAS.INTEGRAL 868/BR/M/NE-AZ/GR</t>
  </si>
  <si>
    <t>CASCOS</t>
  </si>
  <si>
    <t>03.006.0009</t>
  </si>
  <si>
    <t>CAS.INTEGRAL 868/BR/M/NE-PL/GR</t>
  </si>
  <si>
    <t>03.006.0011</t>
  </si>
  <si>
    <t>CAS.INTEGRAL 868/BR/M/AZ/GR</t>
  </si>
  <si>
    <t>03.007.0001</t>
  </si>
  <si>
    <t>CAS.INTEGRAL 606/BR/S/NE/SP</t>
  </si>
  <si>
    <t>03.007.0002</t>
  </si>
  <si>
    <t>CAS.INTEGRAL 606/BR/M/NE/SP</t>
  </si>
  <si>
    <t>03.007.0003</t>
  </si>
  <si>
    <t>CAS.INTEGRAL 606/BR/L/NE/SP</t>
  </si>
  <si>
    <t>03.007.0004</t>
  </si>
  <si>
    <t>CAS.INTEGRAL 606/BR/S/AZ/SP</t>
  </si>
  <si>
    <t>03.007.0005</t>
  </si>
  <si>
    <t>CAS.INTEGRAL 606/BR/M/AZ/SP</t>
  </si>
  <si>
    <t>03.007.0007</t>
  </si>
  <si>
    <t>CAS.INTEGRAL 606/BR/S/RO/SP</t>
  </si>
  <si>
    <t>03.007.0008</t>
  </si>
  <si>
    <t>CAS.INTEGRAL 606/BR/M/RO/SP</t>
  </si>
  <si>
    <t>03.007.0010</t>
  </si>
  <si>
    <t>CAS.INTEGRAL 606/BR/S/NE/SO</t>
  </si>
  <si>
    <t>03.007.0011</t>
  </si>
  <si>
    <t>CAS.INTEGRAL 606/BR/M/NE/SO</t>
  </si>
  <si>
    <t>03.007.0012</t>
  </si>
  <si>
    <t>CAS.INTEGRAL 606/L/NE/SO</t>
  </si>
  <si>
    <t>03.007.0013</t>
  </si>
  <si>
    <t>CAS.INTEGRAL 606/MA/S/NE/SO</t>
  </si>
  <si>
    <t>03.007.0014</t>
  </si>
  <si>
    <t>CAS.INTEGRAL 606/MA/M/NE/SO</t>
  </si>
  <si>
    <t>03.007.0015</t>
  </si>
  <si>
    <t>CAS.INTEGRAL 606/MA/L/NE/SO</t>
  </si>
  <si>
    <t>03.007.0016</t>
  </si>
  <si>
    <t>CAS.INTEGRAL 606/BR/M/BL/SO</t>
  </si>
  <si>
    <t>03.009.0005</t>
  </si>
  <si>
    <t>VISOR CASCO C17 TRAN</t>
  </si>
  <si>
    <t>03.009.0006</t>
  </si>
  <si>
    <t>VISOR GAFAS T-815 TR</t>
  </si>
  <si>
    <t>03.009.0007</t>
  </si>
  <si>
    <t>VISOR GAFAS T-815 P50%</t>
  </si>
  <si>
    <t>03.012.0001</t>
  </si>
  <si>
    <t>CAS.ABIERTO 227/BR/S/NE-PL/AIR</t>
  </si>
  <si>
    <t>03.012.0011</t>
  </si>
  <si>
    <t>CAS.ABIERTO 227/BR/S/NE-VE/AIR</t>
  </si>
  <si>
    <t>03.012.0018</t>
  </si>
  <si>
    <t>CAS.ABIERTO 227/BR/M/NE/SO</t>
  </si>
  <si>
    <t>03.012.0020</t>
  </si>
  <si>
    <t>CAS.ABIERTO 227/MA/M/NE/SO</t>
  </si>
  <si>
    <t>03.013.0022</t>
  </si>
  <si>
    <t>CAS.CROSS/MXL12/TCH/BR/XL/ROJ</t>
  </si>
  <si>
    <t>03.017.0024</t>
  </si>
  <si>
    <t>C.CRO 601 (T/F) BR M RO/BL F8</t>
  </si>
  <si>
    <t>03.017.0025</t>
  </si>
  <si>
    <t>C.CRO 601 (T/F) BR M AZ/BL F8</t>
  </si>
  <si>
    <t>03.018.0007</t>
  </si>
  <si>
    <t>C.CON 818 (V.T) BR XL NE SO</t>
  </si>
  <si>
    <t>03.018.0008</t>
  </si>
  <si>
    <t>C.CON 818 (V.T) MA XL NE SO</t>
  </si>
  <si>
    <t>03.018.0010</t>
  </si>
  <si>
    <t>C.CON 818 (V.T) BR M N/P/B SP</t>
  </si>
  <si>
    <t>03.018.0012</t>
  </si>
  <si>
    <t>C.CON 818 (V.T) BR M N/B/P SP</t>
  </si>
  <si>
    <t>04.001.0006</t>
  </si>
  <si>
    <t>21x7-10 4PR T/L 23G HF247</t>
  </si>
  <si>
    <t>LLANTAS Y TUBOS</t>
  </si>
  <si>
    <t>04.001.0020</t>
  </si>
  <si>
    <t>26x11-12 AT 6PR TL DI2025</t>
  </si>
  <si>
    <t>04.001.0022</t>
  </si>
  <si>
    <t>26x9-12 AT 6PR TL DI2037</t>
  </si>
  <si>
    <t>04.001.0024</t>
  </si>
  <si>
    <t>26x9.00-14 6PR TL DI2037</t>
  </si>
  <si>
    <t>04.001.0025</t>
  </si>
  <si>
    <t>26x11-14 AT 6PR TL DI2037</t>
  </si>
  <si>
    <t>04.003.0001</t>
  </si>
  <si>
    <t>110/90-16  T/T 59S DM1004</t>
  </si>
  <si>
    <t>04.003.0010</t>
  </si>
  <si>
    <t>4.10-18 4PR T/T 59P HF333</t>
  </si>
  <si>
    <t>04.003.0012</t>
  </si>
  <si>
    <t>3.00-14 4PR T/T HF331</t>
  </si>
  <si>
    <t>04.003.0044</t>
  </si>
  <si>
    <t>90/90-18  T/L 51H HF918</t>
  </si>
  <si>
    <t>04.003.0048</t>
  </si>
  <si>
    <t>130/90-15  4PR T/T 66P HF296C</t>
  </si>
  <si>
    <t>04.003.0049</t>
  </si>
  <si>
    <t>3.00-16 4PR T/T 43P HF336</t>
  </si>
  <si>
    <t>04.003.0076</t>
  </si>
  <si>
    <t>90/90-18 4PR T/L 51P HF329</t>
  </si>
  <si>
    <t>04.003.0083</t>
  </si>
  <si>
    <t>120/80-17 T/L  HF918</t>
  </si>
  <si>
    <t>04.003.0086</t>
  </si>
  <si>
    <t>2.50-18 4PR TT HF319</t>
  </si>
  <si>
    <t>04.003.0087</t>
  </si>
  <si>
    <t>2.75-18 M/C 4PR TT HF903</t>
  </si>
  <si>
    <t>04.003.0089</t>
  </si>
  <si>
    <t>3.00-18 M/C 4PR TT HF903</t>
  </si>
  <si>
    <t>04.003.0090</t>
  </si>
  <si>
    <t>90/90-18 M/C 4PR TT 51P HF903</t>
  </si>
  <si>
    <t>04.003.0091</t>
  </si>
  <si>
    <t>90/90-18 M/C 4PR TL HF903</t>
  </si>
  <si>
    <t>04.005.0003</t>
  </si>
  <si>
    <t>80/90-21 M/C T/T 48R MT70</t>
  </si>
  <si>
    <t>04.005.0005</t>
  </si>
  <si>
    <t>3.00-18 M/C TT 47S MT15</t>
  </si>
  <si>
    <t>04.005.0010</t>
  </si>
  <si>
    <t>120/80-18 M/C T/T 62S MT90AT</t>
  </si>
  <si>
    <t>04.005.0030</t>
  </si>
  <si>
    <t>2.75-18 M/C T/T 42P D.TRAC</t>
  </si>
  <si>
    <t>04.005.0039</t>
  </si>
  <si>
    <t>90/90-10 M/C 50J TL-SL26</t>
  </si>
  <si>
    <t>04.005.0046</t>
  </si>
  <si>
    <t>120/100-18 NHS 68M SCMXEX</t>
  </si>
  <si>
    <t>04.005.0048</t>
  </si>
  <si>
    <t>90/90-21 M/C T/L 54V MT90AT</t>
  </si>
  <si>
    <t>04.005.0050</t>
  </si>
  <si>
    <t>2.50-17 M/C T/T 38P MA.DUE</t>
  </si>
  <si>
    <t>04.005.0051</t>
  </si>
  <si>
    <t>2.50-18 M/C 40P MA.DUE</t>
  </si>
  <si>
    <t>04.005.0052</t>
  </si>
  <si>
    <t>90/90-18 M/C T/T 51P MA.DUE</t>
  </si>
  <si>
    <t>04.005.0053</t>
  </si>
  <si>
    <t>2.75-17 M/C T/T 47P RE MA.DUE</t>
  </si>
  <si>
    <t>04.005.0071</t>
  </si>
  <si>
    <t>140/80-17  T/L 69H MT60</t>
  </si>
  <si>
    <t>04.005.0114</t>
  </si>
  <si>
    <t>120/80-17 61P TL SPORT DEMON</t>
  </si>
  <si>
    <t>04.005.0120</t>
  </si>
  <si>
    <t>2.75-18 M/C TL 42P MT65</t>
  </si>
  <si>
    <t>04.005.0123</t>
  </si>
  <si>
    <t>60/100-14 M/C NHS 29M SCMXEXJ</t>
  </si>
  <si>
    <t>04.005.0125</t>
  </si>
  <si>
    <t>110/85-19 M/C NHS TT SCMXMH554</t>
  </si>
  <si>
    <t>04.005.0126</t>
  </si>
  <si>
    <t>110/90-19 M/C NHS TT 62M SCMXM</t>
  </si>
  <si>
    <t>04.005.0131</t>
  </si>
  <si>
    <t>120/80-19 M/C NHS 63M SCMXMH</t>
  </si>
  <si>
    <t>04.005.0132</t>
  </si>
  <si>
    <t>60/100-14NHS 29M SCMIDSO32</t>
  </si>
  <si>
    <t>04.005.0135</t>
  </si>
  <si>
    <t>150/70 R17 M/C TL 69V SC.TRAI</t>
  </si>
  <si>
    <t>04.005.0137</t>
  </si>
  <si>
    <t>120/70Z R17 M/C TL 58W ANGGTF</t>
  </si>
  <si>
    <t>04.005.0138</t>
  </si>
  <si>
    <t>190/50Z R17 M/C TL 73W ANGGT</t>
  </si>
  <si>
    <t>04.006.0006</t>
  </si>
  <si>
    <t>TUBO DURO 24x2.125 VAL.DUNLOP</t>
  </si>
  <si>
    <t>04.006.0018</t>
  </si>
  <si>
    <t>TUBO DURO 400/450-17 TR4</t>
  </si>
  <si>
    <t>04.007.0023</t>
  </si>
  <si>
    <t>TUBO TAK 4.00/4.50-17 TR4</t>
  </si>
  <si>
    <t>04.007.0024</t>
  </si>
  <si>
    <t>TUBO TAK 18X9.50-8 TR13</t>
  </si>
  <si>
    <t>04.007.0025</t>
  </si>
  <si>
    <t>TUBO TAK 22X10-10 TR13</t>
  </si>
  <si>
    <t>04.008.0003</t>
  </si>
  <si>
    <t>3.00-21 4PR T/T 51P DS K280</t>
  </si>
  <si>
    <t>04.008.0004</t>
  </si>
  <si>
    <t>2.50-17 4PR T/T 38P OT K262</t>
  </si>
  <si>
    <t>04.008.0005</t>
  </si>
  <si>
    <t>2.75-17 4PR T/T 41P OT K262</t>
  </si>
  <si>
    <t>04.008.0006</t>
  </si>
  <si>
    <t>3.00-18 4PR T/T 48P OT K262</t>
  </si>
  <si>
    <t>04.008.0007</t>
  </si>
  <si>
    <t>3.50-18 4PR T/T 56P OT K262</t>
  </si>
  <si>
    <t>04.008.0011</t>
  </si>
  <si>
    <t>2.50-17 4PR T/T 38 ST K340</t>
  </si>
  <si>
    <t>04.008.0012</t>
  </si>
  <si>
    <t>2.75-18 4PR T/T 42P ST K340</t>
  </si>
  <si>
    <t>04.008.0013</t>
  </si>
  <si>
    <t>3.00-17 4PR T/T 45P OT K262</t>
  </si>
  <si>
    <t>04.008.0014</t>
  </si>
  <si>
    <t>2.75-18 M/C 4PR TT 42P K262</t>
  </si>
  <si>
    <t>04.008.0020</t>
  </si>
  <si>
    <t>3.00-18 4PR T/T 47P K761</t>
  </si>
  <si>
    <t>04.008.0022</t>
  </si>
  <si>
    <t>4.10-18 4PR T/T 59P K761</t>
  </si>
  <si>
    <t>04.008.0023</t>
  </si>
  <si>
    <t>3.00-17 4PR T/T 45P K761</t>
  </si>
  <si>
    <t>04.008.0025</t>
  </si>
  <si>
    <t>2.75-18 4PR T/T 42P K320</t>
  </si>
  <si>
    <t>04.008.0026</t>
  </si>
  <si>
    <t>3.00-18 4PR T/T 48P K320</t>
  </si>
  <si>
    <t>04.008.0029</t>
  </si>
  <si>
    <t>3.00-14 4PR 40P TT K262</t>
  </si>
  <si>
    <t>04.008.0030</t>
  </si>
  <si>
    <t>2.75-18 4PR 42P TT K262</t>
  </si>
  <si>
    <t>04.008.0031</t>
  </si>
  <si>
    <t>120/80-17 4PR 61P TL K761</t>
  </si>
  <si>
    <t>04.008.0051</t>
  </si>
  <si>
    <t>3.00-18 4P 47P K669</t>
  </si>
  <si>
    <t>04.008.0052</t>
  </si>
  <si>
    <t>4.10-17 4PR 58M K257D</t>
  </si>
  <si>
    <t>04.008.0053</t>
  </si>
  <si>
    <t>60/100-14 M/C TT 30M K771F RO</t>
  </si>
  <si>
    <t>04.008.0055</t>
  </si>
  <si>
    <t>2.50-10 M/C TT 33J K771 RO</t>
  </si>
  <si>
    <t>04.008.0057</t>
  </si>
  <si>
    <t>110/70-17 M/C 6PR TL 54H K671F</t>
  </si>
  <si>
    <t>04.008.0058</t>
  </si>
  <si>
    <t>120/80-17 M/C 4PR TL 61S K328</t>
  </si>
  <si>
    <t>04.008.0061</t>
  </si>
  <si>
    <t>90/90-18 M/C TL 51H K492</t>
  </si>
  <si>
    <t>04.008.0062</t>
  </si>
  <si>
    <t>90/90-18 M/C TL 51H K671F</t>
  </si>
  <si>
    <t>04.008.0063</t>
  </si>
  <si>
    <t>2.75-18 M/C 4PR TL 42P K208</t>
  </si>
  <si>
    <t>04.008.0064</t>
  </si>
  <si>
    <t>90/90-18 M/C TL 51P K761</t>
  </si>
  <si>
    <t>04.008.0065</t>
  </si>
  <si>
    <t>2.75-18 M/C 4PR TL 42P K761</t>
  </si>
  <si>
    <t>04.008.0066</t>
  </si>
  <si>
    <t>3.00-16 M/C 4PR TT 43P K262</t>
  </si>
  <si>
    <t>04.009.0002</t>
  </si>
  <si>
    <t>TUBO 3.00/3.25 - 18 TR4</t>
  </si>
  <si>
    <t>04.010.0009</t>
  </si>
  <si>
    <t>TUBO PIRELLI MA 10V1-09-1</t>
  </si>
  <si>
    <t>04.010.0010</t>
  </si>
  <si>
    <t>TUBO PIRELLI MC 19V1-09-1</t>
  </si>
  <si>
    <t>06.002.0005</t>
  </si>
  <si>
    <t>DISCO FRENO 5H SH-XY150/WY150</t>
  </si>
  <si>
    <t>REPUESTOS</t>
  </si>
  <si>
    <t>06.002.0011</t>
  </si>
  <si>
    <t>DISCO FRENO 5H CG125</t>
  </si>
  <si>
    <t>06.002.0014</t>
  </si>
  <si>
    <t>DISCO FRENO DEL. 3H</t>
  </si>
  <si>
    <t>06.006.0002</t>
  </si>
  <si>
    <t>APOYA PIES POS.(I/D) JL110</t>
  </si>
  <si>
    <t>06.006.0018</t>
  </si>
  <si>
    <t>APOYA PIES CENTRAL XY150</t>
  </si>
  <si>
    <t>06.008.0028</t>
  </si>
  <si>
    <t>ARO ME. POS. 1.60x17 XY125-8X</t>
  </si>
  <si>
    <t>06.008.0029</t>
  </si>
  <si>
    <t>ARO 1.60-17 MET GR</t>
  </si>
  <si>
    <t>06.009.0018</t>
  </si>
  <si>
    <t>ASIENTO COMP. PULSAR135LS</t>
  </si>
  <si>
    <t>06.014.0010</t>
  </si>
  <si>
    <t>BARRA TELESC. I/D JOY150</t>
  </si>
  <si>
    <t>06.015.0002</t>
  </si>
  <si>
    <t>TANQUE DE ACEITE AX100</t>
  </si>
  <si>
    <t>06.020.0005</t>
  </si>
  <si>
    <t>KIT BIELA (13201-KGA)BROSS/TIT</t>
  </si>
  <si>
    <t>06.020.0010</t>
  </si>
  <si>
    <t>KIT BIELA - GL145 /CHINAS150cc</t>
  </si>
  <si>
    <t>06.020.0011</t>
  </si>
  <si>
    <t>KIT BIELA XR250 TORNADO</t>
  </si>
  <si>
    <t>06.020.0012</t>
  </si>
  <si>
    <t>KIT BIELA AX100</t>
  </si>
  <si>
    <t>06.020.0015</t>
  </si>
  <si>
    <t>KIT BIELA XL200/CG125/200cc</t>
  </si>
  <si>
    <t>06.020.0017</t>
  </si>
  <si>
    <t>KIT BIELA DR200</t>
  </si>
  <si>
    <t>06.022.0012</t>
  </si>
  <si>
    <t>BOMBA ACEITE CABALLITO 125</t>
  </si>
  <si>
    <t>06.026.0006</t>
  </si>
  <si>
    <t>CABEZOTE AX100</t>
  </si>
  <si>
    <t>06.027.0024</t>
  </si>
  <si>
    <t>CABLE ACE. 100.1cm PULSAR 180</t>
  </si>
  <si>
    <t>06.028.0007</t>
  </si>
  <si>
    <t>CABLE AHO. 95cm. PULSAR 180</t>
  </si>
  <si>
    <t>06.029.0017</t>
  </si>
  <si>
    <t>CABLE EMB. 103cm. PULSAR180</t>
  </si>
  <si>
    <t>06.031.0008</t>
  </si>
  <si>
    <t>CABLE TACO. 57.5cm. QM200GY</t>
  </si>
  <si>
    <t>06.036.0008</t>
  </si>
  <si>
    <t>ZAPATA REF. AX100</t>
  </si>
  <si>
    <t>06.041.0006</t>
  </si>
  <si>
    <t>CARTER IZQ./BROS200/SH-150 UT</t>
  </si>
  <si>
    <t>06.041.0007</t>
  </si>
  <si>
    <t>CARTER IZQ. AX100</t>
  </si>
  <si>
    <t>06.041.0008</t>
  </si>
  <si>
    <t>CARTER DER. AX100</t>
  </si>
  <si>
    <t>06.042.0007</t>
  </si>
  <si>
    <t>CATALINA 428H 4H 45D GY200</t>
  </si>
  <si>
    <t>06.042.0017</t>
  </si>
  <si>
    <t>CATALINA 520H 39D 6H GR TS185</t>
  </si>
  <si>
    <t>06.042.0019</t>
  </si>
  <si>
    <t>CATALINA 428H 37D 4H GR AX100</t>
  </si>
  <si>
    <t>06.042.0020</t>
  </si>
  <si>
    <t>CATALINA 428H 49D 4H DTK175/GY</t>
  </si>
  <si>
    <t>06.043.0002</t>
  </si>
  <si>
    <t>CAUCHO APOYA PIES I/D AX100</t>
  </si>
  <si>
    <t>06.045.0001</t>
  </si>
  <si>
    <t>CAUCHOS VAL. (D.R) MTT125</t>
  </si>
  <si>
    <t>06.045.0007</t>
  </si>
  <si>
    <t>CAUCHO VAL. DR200SE</t>
  </si>
  <si>
    <t>06.046.0005</t>
  </si>
  <si>
    <t>DES. CAD. (CAUCHO) BROS200</t>
  </si>
  <si>
    <t>06.061.0004</t>
  </si>
  <si>
    <t>VELOCIMETRO JOY150</t>
  </si>
  <si>
    <t>06.062.0007</t>
  </si>
  <si>
    <t>KIT EMP.CIL.(CAB/TAP) MT110</t>
  </si>
  <si>
    <t>06.062.0008</t>
  </si>
  <si>
    <t>KIT EMP.CIL.(CAB/TAP) CG125</t>
  </si>
  <si>
    <t>06.062.0009</t>
  </si>
  <si>
    <t>KIT EMP.CIL.(CAB/TAP) GY6-150</t>
  </si>
  <si>
    <t>06.062.0010</t>
  </si>
  <si>
    <t>KIT EMP.CIL.(CAB/TAP)</t>
  </si>
  <si>
    <t>06.066.0003</t>
  </si>
  <si>
    <t>EMPAQUE FUEGO FX200</t>
  </si>
  <si>
    <t>06.072.0033</t>
  </si>
  <si>
    <t>FARO JOY</t>
  </si>
  <si>
    <t>06.072.0034</t>
  </si>
  <si>
    <t>FARO PULSAR135LS</t>
  </si>
  <si>
    <t>06.074.0007</t>
  </si>
  <si>
    <t>FILTRO AIRE SH-XY200GY6</t>
  </si>
  <si>
    <t>06.077.0024</t>
  </si>
  <si>
    <t>FOCO G8 12V 10W 1 PLUG AZ</t>
  </si>
  <si>
    <t>06.080.0025</t>
  </si>
  <si>
    <t>GUIA DIR.PEQ./(I/D)/AX100/TR</t>
  </si>
  <si>
    <t>06.080.0027</t>
  </si>
  <si>
    <t>GUIA DIR.(I/D)TELS. 6mm</t>
  </si>
  <si>
    <t>06.080.0048</t>
  </si>
  <si>
    <t>GUIA DIR. I/D (L.TR) SH-XY150</t>
  </si>
  <si>
    <t>06.080.0053</t>
  </si>
  <si>
    <t>GUIA DIR. I/D</t>
  </si>
  <si>
    <t>06.081.0015</t>
  </si>
  <si>
    <t>HAL. P15D-25-1 12V 35/35W</t>
  </si>
  <si>
    <t>06.081.0016</t>
  </si>
  <si>
    <t>HAL. DOBLE 12V 35/35W BA20D</t>
  </si>
  <si>
    <t>06.084.0004</t>
  </si>
  <si>
    <t>INS. ELEC. MATRIZ XY125-8</t>
  </si>
  <si>
    <t>06.086.0004</t>
  </si>
  <si>
    <t>KIT BIELA JL110 132cm</t>
  </si>
  <si>
    <t>06.087.0003</t>
  </si>
  <si>
    <t>KIT BOCIN CAT. REF</t>
  </si>
  <si>
    <t>06.088.0038</t>
  </si>
  <si>
    <t>VAL.ADM.(30)ESC(25) PC CB125</t>
  </si>
  <si>
    <t>06.088.0043</t>
  </si>
  <si>
    <t>VAL. ADM(31.54). ESC(27) XL200</t>
  </si>
  <si>
    <t>06.088.0044</t>
  </si>
  <si>
    <t>VAL. ADM(28.9).ESC(25)PL XL185</t>
  </si>
  <si>
    <t>06.088.0045</t>
  </si>
  <si>
    <t>VAL. ADM(31.4). ESC(26) GL145</t>
  </si>
  <si>
    <t>06.089.0006</t>
  </si>
  <si>
    <t>KIT EMPAQUES TORITO 150</t>
  </si>
  <si>
    <t>06.090.0001</t>
  </si>
  <si>
    <t>PERNOS BOCIN/610MM/DY100</t>
  </si>
  <si>
    <t>06.094.0055</t>
  </si>
  <si>
    <t>KIT PISTON 0.75</t>
  </si>
  <si>
    <t>06.095.0002</t>
  </si>
  <si>
    <t>KIT RETENES GY6-125</t>
  </si>
  <si>
    <t>06.106.0009</t>
  </si>
  <si>
    <t>LUZ STOP MT150</t>
  </si>
  <si>
    <t>06.106.0023</t>
  </si>
  <si>
    <t>LUZ STOP PULSAR135LS</t>
  </si>
  <si>
    <t>06.108.0003</t>
  </si>
  <si>
    <t>MANDO DE LUZ IZQ 9P WY125</t>
  </si>
  <si>
    <t>06.108.0010</t>
  </si>
  <si>
    <t>MANDO DE LUCES JL110</t>
  </si>
  <si>
    <t>06.108.0012</t>
  </si>
  <si>
    <t>MANDO DE LUCES QINGQI QM200GY</t>
  </si>
  <si>
    <t>06.108.0013</t>
  </si>
  <si>
    <t>BOTON ENCENDIDO JOY150</t>
  </si>
  <si>
    <t>06.109.0007</t>
  </si>
  <si>
    <t>MANGUERA FLU.FRE.POS. 200cm</t>
  </si>
  <si>
    <t>06.110.0001</t>
  </si>
  <si>
    <t>MANIGUETA EMB. FRE. AX100 NE</t>
  </si>
  <si>
    <t>06.110.0007</t>
  </si>
  <si>
    <t>MANIGUETA FRENO/TRAXX150 NE</t>
  </si>
  <si>
    <t>06.110.0010</t>
  </si>
  <si>
    <t>MANIGUETA FRENO DIS. DEL JL125</t>
  </si>
  <si>
    <t>06.110.0018</t>
  </si>
  <si>
    <t>MANIGUETA FRENO EN125 NE</t>
  </si>
  <si>
    <t>06.122.0001</t>
  </si>
  <si>
    <t>PATINETA SEL.CAMBIO GY/BROS200</t>
  </si>
  <si>
    <t>06.123.0014</t>
  </si>
  <si>
    <t>PEDAL ARRANQUE NE</t>
  </si>
  <si>
    <t>06.125.0003</t>
  </si>
  <si>
    <t>PEDAL FRENO, VAR.FRENO</t>
  </si>
  <si>
    <t>06.133.0013</t>
  </si>
  <si>
    <t>PIÑON M. 428H 15D DT175/AX100</t>
  </si>
  <si>
    <t>06.141.0017</t>
  </si>
  <si>
    <t>DISCOS EMB. ARM. 5H CG125/150</t>
  </si>
  <si>
    <t>06.141.0018</t>
  </si>
  <si>
    <t>DISCOS EMB. 6PCS QM200GY/TS125</t>
  </si>
  <si>
    <t>06.141.0019</t>
  </si>
  <si>
    <t>DISCOS EMB. 6PCS</t>
  </si>
  <si>
    <t>06.142.0002</t>
  </si>
  <si>
    <t>SOPORTE MAN.EMB.FRE. DTK175</t>
  </si>
  <si>
    <t>06.149.0016</t>
  </si>
  <si>
    <t>SET RAYOS G8-165mm CR</t>
  </si>
  <si>
    <t>06.149.0018</t>
  </si>
  <si>
    <t>SET RAYOS T 10GX235mm GY200 GR</t>
  </si>
  <si>
    <t>06.149.0020</t>
  </si>
  <si>
    <t>SET RAYOS TOR. 160mm CR</t>
  </si>
  <si>
    <t>06.150.0014</t>
  </si>
  <si>
    <t>RECT. AC/DC AX100</t>
  </si>
  <si>
    <t>06.156.0003</t>
  </si>
  <si>
    <t>ACELERACION RÁPIDA</t>
  </si>
  <si>
    <t>06.161.0005</t>
  </si>
  <si>
    <t>SOCKET GUIA DIR. T13</t>
  </si>
  <si>
    <t>06.175.0005</t>
  </si>
  <si>
    <t>TAPA MOTOR DER. XY125-8X</t>
  </si>
  <si>
    <t>06.177.0006</t>
  </si>
  <si>
    <t>TAPA VELOCIMETRO JOY150</t>
  </si>
  <si>
    <t>06.180.0012</t>
  </si>
  <si>
    <t>TAPA TANQUE GAS. RED. AX100</t>
  </si>
  <si>
    <t>06.180.0018</t>
  </si>
  <si>
    <t>TAPA TANQUE GAS. SH-XY150</t>
  </si>
  <si>
    <t>06.181.0015</t>
  </si>
  <si>
    <t>TEMPLADOR 1-2 CAD.DIS. CB125</t>
  </si>
  <si>
    <t>06.181.0016</t>
  </si>
  <si>
    <t>TEMPLADOR 1-2 CAD.DIS. JOY150</t>
  </si>
  <si>
    <t>06.181.0017</t>
  </si>
  <si>
    <t>TEMPLADOR 1-2 CAD.DIS. GY6-150</t>
  </si>
  <si>
    <t>06.185.0007</t>
  </si>
  <si>
    <t>TORNILLO HEXAGONAL M8x18</t>
  </si>
  <si>
    <t>06.186.0005</t>
  </si>
  <si>
    <t>TROMPO FRENO DEL. ENDURO200</t>
  </si>
  <si>
    <t>06.204.0003</t>
  </si>
  <si>
    <t>SOPORTE APOYO XY125-8X</t>
  </si>
  <si>
    <t>06.210.0002</t>
  </si>
  <si>
    <t>KIT ARR. 428H P14-C44  CG125 T</t>
  </si>
  <si>
    <t>06.210.0007</t>
  </si>
  <si>
    <t>KIT ARRA. 428P16-C49 4H DT175K</t>
  </si>
  <si>
    <t>06.210.0008</t>
  </si>
  <si>
    <t>KIT ARRA. 428H P16-C49 DT175K</t>
  </si>
  <si>
    <t>06.213.0001</t>
  </si>
  <si>
    <t>PIÑON SINCRONIZADOR 28D</t>
  </si>
  <si>
    <t>10.001.0006</t>
  </si>
  <si>
    <t>MULT. DIG. FY9805</t>
  </si>
  <si>
    <t>EQUIPOS ELECTRO</t>
  </si>
  <si>
    <t>(en blanco)</t>
  </si>
</sst>
</file>

<file path=xl/styles.xml><?xml version="1.0" encoding="utf-8"?>
<styleSheet xmlns="http://schemas.openxmlformats.org/spreadsheetml/2006/main">
  <numFmts count="1">
    <numFmt numFmtId="164" formatCode="&quot;$&quot;\ #,##0.00"/>
  </numFmts>
  <fonts count="3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1" fillId="0" borderId="0" xfId="1"/>
    <xf numFmtId="0" fontId="2" fillId="0" borderId="0" xfId="0" applyFont="1"/>
  </cellXfs>
  <cellStyles count="2">
    <cellStyle name="Normal" xfId="0" builtinId="0"/>
    <cellStyle name="Título" xfId="1" builtinId="15"/>
  </cellStyles>
  <dxfs count="12"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64" formatCode="&quot;$&quot;\ #,##0.00"/>
    </dxf>
    <dxf>
      <numFmt numFmtId="164" formatCode="&quot;$&quot;\ #,##0.00"/>
    </dxf>
    <dxf>
      <font>
        <color auto="1"/>
      </font>
    </dxf>
    <dxf>
      <numFmt numFmtId="164" formatCode="&quot;$&quot;\ #,##0.0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uario" refreshedDate="41562.530795370367" createdVersion="3" refreshedVersion="3" minRefreshableVersion="3" recordCount="286">
  <cacheSource type="worksheet">
    <worksheetSource name="Tabla_Esfuerzo_Ventas_Valorado"/>
  </cacheSource>
  <cacheFields count="12">
    <cacheField name="Empresa" numFmtId="0">
      <sharedItems containsBlank="1" count="3">
        <s v="MOTORALMOR"/>
        <m u="1"/>
        <s v="AGROTA" u="1"/>
      </sharedItems>
    </cacheField>
    <cacheField name="Bodega" numFmtId="0">
      <sharedItems containsBlank="1" count="7">
        <s v="BP-MATRIZ"/>
        <m u="1"/>
        <s v="AGROTACENTRAL" u="1"/>
        <s v="AGROTAPROMACOFI" u="1"/>
        <s v="AGROTAMAXGUAYAQUIL" u="1"/>
        <s v="AGROTASUCRE" u="1"/>
        <s v="AGROTALOJA" u="1"/>
      </sharedItems>
    </cacheField>
    <cacheField name="Codigo" numFmtId="0">
      <sharedItems containsBlank="1" count="739">
        <s v="01.007.0005"/>
        <s v="01.011.0019"/>
        <s v="01.011.0020"/>
        <s v="01.011.0026"/>
        <s v="01.011.0027"/>
        <s v="01.011.0039"/>
        <s v="01.011.0040"/>
        <s v="01.011.0041"/>
        <s v="01.011.0042"/>
        <s v="01.011.0044"/>
        <s v="01.013.0068"/>
        <s v="01.013.0069"/>
        <s v="01.013.0070"/>
        <s v="01.013.0082"/>
        <s v="01.013.0086"/>
        <s v="01.013.0087"/>
        <s v="01.013.0088"/>
        <s v="01.013.0089"/>
        <s v="01.013.0090"/>
        <s v="01.013.0091"/>
        <s v="01.013.0092"/>
        <s v="01.013.0093"/>
        <s v="01.016.0006"/>
        <s v="01.016.0021"/>
        <s v="01.017.0014"/>
        <s v="01.017.0015"/>
        <s v="01.017.0016"/>
        <s v="01.017.0018"/>
        <s v="01.017.0019"/>
        <s v="01.017.0020"/>
        <s v="01.017.0021"/>
        <s v="01.017.0023"/>
        <s v="01.017.0025"/>
        <s v="01.017.0026"/>
        <s v="01.017.0027"/>
        <s v="01.017.0029"/>
        <s v="01.017.0031"/>
        <s v="01.019.0026"/>
        <s v="01.019.0028"/>
        <s v="01.019.0029"/>
        <s v="01.019.0105"/>
        <s v="01.019.0106"/>
        <s v="01.019.0107"/>
        <s v="01.019.0114"/>
        <s v="01.019.0116"/>
        <s v="01.019.0120"/>
        <s v="01.019.0135"/>
        <s v="01.019.0137"/>
        <s v="01.019.0139"/>
        <s v="01.019.0140"/>
        <s v="01.019.0141"/>
        <s v="01.019.0143"/>
        <s v="01.019.0144"/>
        <s v="01.019.0145"/>
        <s v="01.019.0151"/>
        <s v="01.019.0152"/>
        <s v="01.019.0153"/>
        <s v="01.020.0008"/>
        <s v="01.024.0013"/>
        <s v="01.024.0039"/>
        <s v="01.024.0041"/>
        <s v="01.024.0043"/>
        <s v="01.024.0046"/>
        <s v="01.024.0049"/>
        <s v="01.024.0051"/>
        <s v="01.024.0052"/>
        <s v="01.025.0078"/>
        <s v="01.025.0080"/>
        <s v="01.025.0081"/>
        <s v="01.028.0013"/>
        <s v="01.028.0014"/>
        <s v="01.042.0004"/>
        <s v="01.042.0005"/>
        <s v="01.042.0006"/>
        <s v="02.001.0039"/>
        <s v="02.001.0040"/>
        <s v="02.001.0041"/>
        <s v="03.006.0001"/>
        <s v="03.006.0009"/>
        <s v="03.006.0011"/>
        <s v="03.007.0001"/>
        <s v="03.007.0002"/>
        <s v="03.007.0003"/>
        <s v="03.007.0004"/>
        <s v="03.007.0005"/>
        <s v="03.007.0007"/>
        <s v="03.007.0008"/>
        <s v="03.007.0010"/>
        <s v="03.007.0011"/>
        <s v="03.007.0012"/>
        <s v="03.007.0013"/>
        <s v="03.007.0014"/>
        <s v="03.007.0015"/>
        <s v="03.007.0016"/>
        <s v="03.009.0005"/>
        <s v="03.009.0006"/>
        <s v="03.009.0007"/>
        <s v="03.012.0001"/>
        <s v="03.012.0011"/>
        <s v="03.012.0018"/>
        <s v="03.012.0020"/>
        <s v="03.013.0022"/>
        <s v="03.017.0024"/>
        <s v="03.017.0025"/>
        <s v="03.018.0007"/>
        <s v="03.018.0008"/>
        <s v="03.018.0010"/>
        <s v="03.018.0012"/>
        <s v="04.001.0006"/>
        <s v="04.001.0020"/>
        <s v="04.001.0022"/>
        <s v="04.001.0024"/>
        <s v="04.001.0025"/>
        <s v="04.003.0001"/>
        <s v="04.003.0010"/>
        <s v="04.003.0012"/>
        <s v="04.003.0044"/>
        <s v="04.003.0048"/>
        <s v="04.003.0049"/>
        <s v="04.003.0076"/>
        <s v="04.003.0083"/>
        <s v="04.003.0086"/>
        <s v="04.003.0087"/>
        <s v="04.003.0089"/>
        <s v="04.003.0090"/>
        <s v="04.003.0091"/>
        <s v="04.005.0003"/>
        <s v="04.005.0005"/>
        <s v="04.005.0010"/>
        <s v="04.005.0030"/>
        <s v="04.005.0039"/>
        <s v="04.005.0046"/>
        <s v="04.005.0048"/>
        <s v="04.005.0050"/>
        <s v="04.005.0051"/>
        <s v="04.005.0052"/>
        <s v="04.005.0053"/>
        <s v="04.005.0071"/>
        <s v="04.005.0114"/>
        <s v="04.005.0120"/>
        <s v="04.005.0123"/>
        <s v="04.005.0125"/>
        <s v="04.005.0126"/>
        <s v="04.005.0131"/>
        <s v="04.005.0132"/>
        <s v="04.005.0135"/>
        <s v="04.005.0137"/>
        <s v="04.005.0138"/>
        <s v="04.006.0006"/>
        <s v="04.006.0018"/>
        <s v="04.007.0023"/>
        <s v="04.007.0024"/>
        <s v="04.007.0025"/>
        <s v="04.008.0003"/>
        <s v="04.008.0004"/>
        <s v="04.008.0005"/>
        <s v="04.008.0006"/>
        <s v="04.008.0007"/>
        <s v="04.008.0011"/>
        <s v="04.008.0012"/>
        <s v="04.008.0013"/>
        <s v="04.008.0014"/>
        <s v="04.008.0020"/>
        <s v="04.008.0022"/>
        <s v="04.008.0023"/>
        <s v="04.008.0025"/>
        <s v="04.008.0026"/>
        <s v="04.008.0029"/>
        <s v="04.008.0030"/>
        <s v="04.008.0031"/>
        <s v="04.008.0051"/>
        <s v="04.008.0052"/>
        <s v="04.008.0053"/>
        <s v="04.008.0055"/>
        <s v="04.008.0057"/>
        <s v="04.008.0058"/>
        <s v="04.008.0061"/>
        <s v="04.008.0062"/>
        <s v="04.008.0063"/>
        <s v="04.008.0064"/>
        <s v="04.008.0065"/>
        <s v="04.008.0066"/>
        <s v="04.009.0002"/>
        <s v="04.010.0009"/>
        <s v="04.010.0010"/>
        <s v="06.002.0005"/>
        <s v="06.002.0011"/>
        <s v="06.002.0014"/>
        <s v="06.006.0002"/>
        <s v="06.006.0018"/>
        <s v="06.008.0028"/>
        <s v="06.008.0029"/>
        <s v="06.009.0018"/>
        <s v="06.014.0010"/>
        <s v="06.015.0002"/>
        <s v="06.020.0005"/>
        <s v="06.020.0010"/>
        <s v="06.020.0011"/>
        <s v="06.020.0012"/>
        <s v="06.020.0015"/>
        <s v="06.020.0017"/>
        <s v="06.022.0012"/>
        <s v="06.026.0006"/>
        <s v="06.027.0024"/>
        <s v="06.028.0007"/>
        <s v="06.029.0017"/>
        <s v="06.031.0008"/>
        <s v="06.036.0008"/>
        <s v="06.041.0006"/>
        <s v="06.041.0007"/>
        <s v="06.041.0008"/>
        <s v="06.042.0007"/>
        <s v="06.042.0017"/>
        <s v="06.042.0019"/>
        <s v="06.042.0020"/>
        <s v="06.043.0002"/>
        <s v="06.045.0001"/>
        <s v="06.045.0007"/>
        <s v="06.046.0005"/>
        <s v="06.061.0004"/>
        <s v="06.062.0007"/>
        <s v="06.062.0008"/>
        <s v="06.062.0009"/>
        <s v="06.062.0010"/>
        <s v="06.066.0003"/>
        <s v="06.072.0033"/>
        <s v="06.072.0034"/>
        <s v="06.074.0007"/>
        <s v="06.077.0024"/>
        <s v="06.080.0025"/>
        <s v="06.080.0027"/>
        <s v="06.080.0048"/>
        <s v="06.080.0053"/>
        <s v="06.081.0015"/>
        <s v="06.081.0016"/>
        <s v="06.084.0004"/>
        <s v="06.086.0004"/>
        <s v="06.087.0003"/>
        <s v="06.088.0038"/>
        <s v="06.088.0043"/>
        <s v="06.088.0044"/>
        <s v="06.088.0045"/>
        <s v="06.089.0006"/>
        <s v="06.090.0001"/>
        <s v="06.094.0055"/>
        <s v="06.095.0002"/>
        <s v="06.106.0009"/>
        <s v="06.106.0023"/>
        <s v="06.108.0003"/>
        <s v="06.108.0010"/>
        <s v="06.108.0012"/>
        <s v="06.108.0013"/>
        <s v="06.109.0007"/>
        <s v="06.110.0001"/>
        <s v="06.110.0007"/>
        <s v="06.110.0010"/>
        <s v="06.110.0018"/>
        <s v="06.122.0001"/>
        <s v="06.123.0014"/>
        <s v="06.125.0003"/>
        <s v="06.133.0013"/>
        <s v="06.141.0017"/>
        <s v="06.141.0018"/>
        <s v="06.141.0019"/>
        <s v="06.142.0002"/>
        <s v="06.149.0016"/>
        <s v="06.149.0018"/>
        <s v="06.149.0020"/>
        <s v="06.150.0014"/>
        <s v="06.156.0003"/>
        <s v="06.161.0005"/>
        <s v="06.175.0005"/>
        <s v="06.177.0006"/>
        <s v="06.180.0012"/>
        <s v="06.180.0018"/>
        <s v="06.181.0015"/>
        <s v="06.181.0016"/>
        <s v="06.181.0017"/>
        <s v="06.185.0007"/>
        <s v="06.186.0005"/>
        <s v="06.204.0003"/>
        <s v="06.210.0002"/>
        <s v="06.210.0007"/>
        <s v="06.210.0008"/>
        <s v="06.213.0001"/>
        <s v="10.001.0006"/>
        <s v="EC-P021031630" u="1"/>
        <m u="1"/>
        <s v="EC-61032027430" u="1"/>
        <s v="SH-33SL0-72X" u="1"/>
        <s v="SH-80424" u="1"/>
        <s v="EC-A350000131" u="1"/>
        <s v="EC-V420002520" u="1"/>
        <s v="EC-X411000950" u="1"/>
        <s v="EC-A021003180" u="1"/>
        <s v="OT-2356" u="1"/>
        <s v="SH-22160-55200" u="1"/>
        <s v="JF-071" u="1"/>
        <s v="SH-99909-307" u="1"/>
        <s v="EC-10091532530" u="1"/>
        <s v="EC-15262655430" u="1"/>
        <s v="EC-17500549930" u="1"/>
        <s v="SH-73DP-98X" u="1"/>
        <s v="EC-12411405530" u="1"/>
        <s v="EC-90016205050" u="1"/>
        <s v="EC-X405000011" u="1"/>
        <s v="SH-60876" u="1"/>
        <s v="EC-35121452931" u="1"/>
        <s v="EC-A411000031" u="1"/>
        <s v="SH-4529110" u="1"/>
        <s v="EC-P004000440" u="1"/>
        <s v="EC-A021001680" u="1"/>
        <s v="EC-C536000030" u="1"/>
        <s v="SH-80405" u="1"/>
        <s v="EC-A101000000" u="1"/>
        <s v="EC-P022010440" u="1"/>
        <s v="SH-62035-12210" u="1"/>
        <s v="EC-61001125530" u="1"/>
        <s v="COR-001" u="1"/>
        <s v="EC-C535000630" u="1"/>
        <s v="EC-C501000070" u="1"/>
        <s v="SH-22169-57360" u="1"/>
        <s v="EC-A011000840" u="1"/>
        <s v="SH-20140-12210" u="1"/>
        <s v="EC-A226000300" u="1"/>
        <s v="EC-A225000400" u="1"/>
        <s v="EC-A566000200" u="1"/>
        <s v="EC-V103001030" u="1"/>
        <s v="EC-A232000940" u="1"/>
        <s v="SHDW-025" u="1"/>
        <s v="OT-701" u="1"/>
        <s v="EC-17722827030" u="1"/>
        <s v="EC-13031051730" u="1"/>
        <s v="EC-13030039730" u="1"/>
        <s v="EC-V104001330" u="1"/>
        <s v="SH-20140-12221" u="1"/>
        <s v="SH-80676" u="1"/>
        <s v="SH-4070981" u="1"/>
        <s v="EC-12314103930" u="1"/>
        <s v="EC-17504656030" u="1"/>
        <s v="OT-481" u="1"/>
        <s v="SH-62903-66111" u="1"/>
        <s v="EC-12436721330" u="1"/>
        <s v="EC-70615050520" u="1"/>
        <s v="SH-22015-96500" u="1"/>
        <s v="EC-12438055430" u="1"/>
        <s v="EC-91VX44CQ" u="1"/>
        <s v="EC-17722006310" u="1"/>
        <s v="EC-A056000050" u="1"/>
        <s v="EC-10010030830" u="1"/>
        <s v="EC-15660130832" u="1"/>
        <s v="EC-63019-63170" u="1"/>
        <s v="MOT-003" u="1"/>
        <s v="EC-A130001150" u="1"/>
        <s v="EC-A393000050" u="1"/>
        <s v="EC-V652000170" u="1"/>
        <s v="EC-P022007160" u="1"/>
        <s v="SHDW-016" u="1"/>
        <s v="SHDW-036" u="1"/>
        <s v="EC-P022007460" u="1"/>
        <s v="EC-V401000430" u="1"/>
        <s v="EC-10101032431" u="1"/>
        <s v="EC-WP-1000" u="1"/>
        <s v="SH-99909-160" u="1"/>
        <s v="EC-A011000250" u="1"/>
        <s v="EC-A130001750" u="1"/>
        <s v="EC-10101055430" u="1"/>
        <s v="EC-10000060931" u="1"/>
        <s v="EC-12538108660" u="1"/>
        <s v="SH-9720135" u="1"/>
        <s v="SH-80247" u="1"/>
        <s v="EC-13001755630" u="1"/>
        <s v="EC-A226000310" u="1"/>
        <s v="EC-10001130831" u="1"/>
        <s v="EC-12A0CD3744" u="1"/>
        <s v="SH-62035-32320" u="1"/>
        <s v="EC-C504000700" u="1"/>
        <s v="EC-10010160931" u="1"/>
        <s v="SH-72017-16130" u="1"/>
        <s v="EC-P021006153" u="1"/>
        <s v="EC-A411000050" u="1"/>
        <s v="EC-13031051830" u="1"/>
        <s v="EC-A429000110" u="1"/>
        <s v="OR-65789" u="1"/>
        <s v="SH-62035-32331" u="1"/>
        <s v="EC-A556000650" u="1"/>
        <s v="EC-SRM-3605UEU" u="1"/>
        <s v="EC-A021002120" u="1"/>
        <s v="CRE-079" u="1"/>
        <s v="SH-108644-30" u="1"/>
        <s v="SH-22169-54630" u="1"/>
        <s v="CR-017" u="1"/>
        <s v="SH-22015-96600" u="1"/>
        <s v="EC-A202000011" u="1"/>
        <s v="EC-13051030830" u="1"/>
        <s v="EC-12311605160" u="1"/>
        <s v="EC-A021002520" u="1"/>
        <s v="EC-69922956830" u="1"/>
        <s v="EC-12312338330" u="1"/>
        <s v="SH-70200-85001" u="1"/>
        <s v="CR-039" u="1"/>
        <s v="CR-015" u="1"/>
        <s v="EC-10001101110" u="1"/>
        <s v="EC-A509000190" u="1"/>
        <s v="SHDW-018" u="1"/>
        <s v="EC-P004002860" u="1"/>
        <s v="SH-99909-229" u="1"/>
        <s v="EC-X114000000" u="1"/>
        <s v="SH-80771" u="1"/>
        <s v="SH-4527270" u="1"/>
        <s v="EC-V651000700" u="1"/>
        <s v="CRE-253" u="1"/>
        <s v="SHDW-048" u="1"/>
        <s v="EC-17721532330" u="1"/>
        <s v="EC-10000039130" u="1"/>
        <s v="SH-CAB.- BUJIA" u="1"/>
        <s v="SH-80551" u="1"/>
        <s v="SH-20011-81021" u="1"/>
        <s v="SH-72514-14100" u="1"/>
        <s v="EC-13192055430" u="1"/>
        <s v="CR-011" u="1"/>
        <s v="EC-43171730230" u="1"/>
        <s v="EC-13030252131" u="1"/>
        <s v="EC-SRM-4605UEU" u="1"/>
        <s v="EC-13031002910" u="1"/>
        <s v="SH-22155-71130" u="1"/>
        <s v="SH-72330-82320" u="1"/>
        <s v="EC-V299000410" u="1"/>
        <s v="EC-SHP-800EUSTD" u="1"/>
        <s v="EC-P022006970" u="1"/>
        <s v="EC-A101000520" u="1"/>
        <s v="EC-C535000850" u="1"/>
        <s v="EC-17510532431" u="1"/>
        <s v="CR-067" u="1"/>
        <s v="JF-008" u="1"/>
        <s v="CR-123" u="1"/>
        <s v="EC-12318139130" u="1"/>
        <s v="SHDW-009" u="1"/>
        <s v="EC-43021330833" u="1"/>
        <s v="SH-22175-21200" u="1"/>
        <s v="CR-065" u="1"/>
        <s v="JF-018" u="1"/>
        <s v="IB-007" u="1"/>
        <s v="EC-P021031560" u="1"/>
        <s v="EC-A429000120" u="1"/>
        <s v="EC-35131122431" u="1"/>
        <s v="EC-C400000211" u="1"/>
        <s v="EC-13051039932" u="1"/>
        <s v="EC-12532308260" u="1"/>
        <s v="EC-P021015770" u="1"/>
        <s v="EC-12420013220" u="1"/>
        <s v="JF-016" u="1"/>
        <s v="EC-15660106211" u="1"/>
        <s v="EC-V100000450" u="1"/>
        <s v="SH-72555-14100" u="1"/>
        <s v="EC-V430002910" u="1"/>
        <s v="SH-62035-81360" u="1"/>
        <s v="SH-72447-13240" u="1"/>
        <s v="SH-9701401" u="1"/>
        <s v="SH-22169-96580" u="1"/>
        <s v="EC-12436212710" u="1"/>
        <s v="EC-12300055630" u="1"/>
        <s v="JF-014" u="1"/>
        <s v="CRE-856" u="1"/>
        <s v="EC-A409000520" u="1"/>
        <s v="CR-095" u="1"/>
        <s v="EC-V103000950" u="1"/>
        <s v="EC-17720055631" u="1"/>
        <s v="EC-A033000070" u="1"/>
        <s v="EC-A030000270" u="1"/>
        <s v="EC-13100455530" u="1"/>
        <s v="EC-12436312710" u="1"/>
        <s v="EC-A023000230" u="1"/>
        <s v="ALEN 5X30" u="1"/>
        <s v="EC-80250" u="1"/>
        <s v="CR-CARCUSTOM" u="1"/>
        <s v="SH-20021-81121" u="1"/>
        <s v="EC-P021002471" u="1"/>
        <s v="EC-10020456232" u="1"/>
        <s v="EC-43700237530" u="1"/>
        <s v="EC-15262656032" u="1"/>
        <s v="SH-22175-82310" u="1"/>
        <s v="OR-205963" u="1"/>
        <s v="SH-70870-98030" u="1"/>
        <s v="EC-70602042040" u="1"/>
        <s v="EC-A130000870" u="1"/>
        <s v="EC-V299000420" u="1"/>
        <s v="EC-17800143230" u="1"/>
        <s v="EC-P021005900" u="1"/>
        <s v="EC-17800159230" u="1"/>
        <s v="EC-V043000560" u="1"/>
        <s v="EC-17504606230" u="1"/>
        <s v="SH-22169-53111" u="1"/>
        <s v="EC-P021000371" u="1"/>
        <s v="JF-040" u="1"/>
        <s v="EC-30511055630" u="1"/>
        <s v="EC-P021028900" u="1"/>
        <s v="EC-61031056931" u="1"/>
        <s v="SH-22169-33740" u="1"/>
        <s v="SH-20021-81920" u="1"/>
        <s v="ALEN 5X40" u="1"/>
        <s v="SH-22150-51520" u="1"/>
        <s v="EC-12300057731" u="1"/>
        <s v="SH-22169-51110" u="1"/>
        <s v="SH-63019-63170" u="1"/>
        <s v="SH-4573110" u="1"/>
        <s v="INCO-019" u="1"/>
        <s v="EC-10103456532" u="1"/>
        <s v="SH-20011-35110" u="1"/>
        <s v="EC-A172001300" u="1"/>
        <s v="EC-10020442230" u="1"/>
        <s v="EC-P021030570" u="1"/>
        <s v="SH-99909-453" u="1"/>
        <s v="EC-13000739932" u="1"/>
        <s v="EC-A021002140" u="1"/>
        <s v="SH-88102" u="1"/>
        <s v="EC-13211555930" u="1"/>
        <s v="EC-A175000200" u="1"/>
        <s v="EC-61020623030" u="1"/>
        <s v="EC-P005001080" u="1"/>
        <s v="EC-SP40BPS" u="1"/>
        <s v="EC-A037000000" u="1"/>
        <s v="SH-70210-32111" u="1"/>
        <s v="EC-A052000380" u="1"/>
        <s v="EC-V651000520" u="1"/>
        <s v="EC-61032052130" u="1"/>
        <s v="EC-A130001380" u="1"/>
        <s v="EC-12313704260" u="1"/>
        <s v="EC-17722040630" u="1"/>
        <s v="EC-P021005410" u="1"/>
        <s v="EC-A570000200" u="1"/>
        <s v="OT-B83" u="1"/>
        <s v="EC-P004000880" u="1"/>
        <s v="SH-4525920" u="1"/>
        <s v="EC-15662660930" u="1"/>
        <s v="EC-70602049A20" u="1"/>
        <s v="EC-13001743130" u="1"/>
        <s v="EC-15262655932" u="1"/>
        <s v="EC-13030013411" u="1"/>
        <s v="SH-4042881" u="1"/>
        <s v="SH-4573060" u="1"/>
        <s v="EC-A553000000" u="1"/>
        <s v="EC-A200000140" u="1"/>
        <s v="EC-P021028610" u="1"/>
        <s v="SH-22104-75420" u="1"/>
        <s v="SH-72005-92630" u="1"/>
        <s v="EC-P021027090" u="1"/>
        <s v="EC-A411001080" u="1"/>
        <s v="EC-12312232630" u="1"/>
        <s v="EC-P021017990" u="1"/>
        <s v="EC-P021015290" u="1"/>
        <s v="EC-70602046780" u="1"/>
        <s v="EC-A226000740" u="1"/>
        <s v="EC-A200000640" u="1"/>
        <s v="EC-61031307132" u="1"/>
        <s v="EC-A416000000" u="1"/>
        <s v="SH-22169-51130" u="1"/>
        <s v="SH-20000-75150" u="1"/>
        <s v="SH-22021-12120" u="1"/>
        <s v="EC-A411000264" u="1"/>
        <s v="EC-17501805533" u="1"/>
        <s v="EC-61020643130" u="1"/>
        <s v="EC-A130000601" u="1"/>
        <s v="EC-12300038832" u="1"/>
        <s v="EC-V430001330" u="1"/>
        <s v="SH-4579070" u="1"/>
        <s v="EC-61020656930" u="1"/>
        <s v="EC-10010055430" u="1"/>
        <s v="EC-12412215310" u="1"/>
        <s v="EC-4575740" u="1"/>
        <s v="EC-43113516431" u="1"/>
        <s v="SH-70030-31120" u="1"/>
        <s v="EC-A411000880" u="1"/>
        <s v="EC-A175000210" u="1"/>
        <s v="EC-15662639130" u="1"/>
        <s v="EC-P021005911" u="1"/>
        <s v="EC-17500030832" u="1"/>
        <s v="SH-20011-35141" u="1"/>
        <s v="EC-17504646430" u="1"/>
        <s v="EC-A409000640" u="1"/>
        <s v="EC-13031306230" u="1"/>
        <s v="EC-A130001390" u="1"/>
        <s v="SH-4073281" u="1"/>
        <s v="EC-10101056030" u="1"/>
        <s v="OT-694" u="1"/>
        <s v="EC-12300060131" u="1"/>
        <s v="EC-C531000600" u="1"/>
        <s v="SH-20000-96411" u="1"/>
        <s v="EC-13001606232" u="1"/>
        <s v="EC-P021010574" u="1"/>
        <s v="SH-62022-15100" u="1"/>
        <s v="EC-P021010582" u="1"/>
        <s v="EC-A011000810" u="1"/>
        <s v="EC-A101000150" u="1"/>
        <s v="SH-108642-24" u="1"/>
        <s v="EC-12435550130" u="1"/>
        <s v="EC-10101030830" u="1"/>
        <s v="EC-A057000011" u="1"/>
        <s v="EC-A101000350" u="1"/>
        <s v="SH-20011-35151" u="1"/>
        <s v="SH-20015-93200" u="1"/>
        <s v="SH-09026-03001" u="1"/>
        <s v="EC-P021032610" u="1"/>
        <s v="EC-A575000410" u="1"/>
        <s v="SH-09026-04001" u="1"/>
        <s v="EC-10092138330" u="1"/>
        <s v="EC-P021000803" u="1"/>
        <s v="EC-A566000150" u="1"/>
        <s v="EC-70604003770" u="1"/>
        <s v="EC-A410000010" u="1"/>
        <s v="EC-V580000100" u="1"/>
        <s v="EC-A130000111" u="1"/>
        <s v="EC-P021032910" u="1"/>
        <s v="EC-C535000001" u="1"/>
        <s v="EC-V352000140" u="1"/>
        <s v="SH-22169-21300" u="1"/>
        <s v="EC-12300060930" u="1"/>
        <s v="EC-P021012791" u="1"/>
        <s v="EC-A426000050" u="1"/>
        <s v="EC-P021014320" u="1"/>
        <s v="EC-V451000040" u="1"/>
        <s v="EC-61031421231" u="1"/>
        <s v="EC-A510000110" u="1"/>
        <s v="EC-V216000040" u="1"/>
        <s v="EC-V225000180" u="1"/>
        <s v="EC-13201035430" u="1"/>
        <s v="EC-10020455430" u="1"/>
        <s v="EC-17722002834" u="1"/>
        <s v="SH-22169-55310" u="1"/>
        <s v="SH-22175-82520" u="1"/>
        <s v="EC-A556000890" u="1"/>
        <s v="SH-22000-13241" u="1"/>
        <s v="EC-17812743230" u="1"/>
        <s v="EC-SP45BPE" u="1"/>
        <s v="EC-P021001820" u="1"/>
        <s v="EC-A030000120" u="1"/>
        <s v="EC-P021012620" u="1"/>
        <s v="EC-A409000650" u="1"/>
        <s v="EC-V205000480" u="1"/>
        <s v="EC-V304000180" u="1"/>
        <s v="SH-22169-82251" u="1"/>
        <s v="CRE-023" u="1"/>
        <s v="CR-014" u="1"/>
        <s v="SH-62035-21010" u="1"/>
        <s v="EC-70613005230" u="1"/>
        <s v="EC-CS-420ES-45EU" u="1"/>
        <s v="EC-A039000020" u="1"/>
        <s v="EC-V651000540" u="1"/>
        <s v="EC-14551055932" u="1"/>
        <s v="CRE-267" u="1"/>
        <s v="SH-62035-83111" u="1"/>
        <s v="EC-A056000620" u="1"/>
        <s v="EC-P021012920" u="1"/>
        <s v="EC-90016205057" u="1"/>
        <s v="EC-A011000120" u="1"/>
        <s v="SH-72312-21520" u="1"/>
        <s v="CRE-004" u="1"/>
        <s v="EC-70602048970" u="1"/>
        <s v="CRE-125" u="1"/>
        <s v="EC-A130000292" u="1"/>
        <s v="EC-13101064931" u="1"/>
        <s v="EC-C535000510" u="1"/>
        <s v="CR-126" u="1"/>
        <s v="EC-A235000220" u="1"/>
        <s v="EC-12312509560" u="1"/>
        <s v="EC-P021029730" u="1"/>
        <s v="SH-9711151" u="1"/>
        <s v="CR-100" u="1"/>
        <s v="EC-17510530831" u="1"/>
        <s v="SH-72030-13140" u="1"/>
        <s v="EC-A101000560" u="1"/>
        <s v="SH-4575700" u="1"/>
        <s v="SH-20040-81430" u="1"/>
        <s v="SH-20070-81350" u="1"/>
        <s v="SH-62035-21020" u="1"/>
        <s v="EC-V580000110" u="1"/>
        <s v="OR-206045" u="1"/>
        <s v="SH-8003009" u="1"/>
        <s v="EC-10101006211" u="1"/>
        <s v="EC-90SG-39X" u="1"/>
        <s v="CR-088" u="1"/>
        <s v="EC-A320000760" u="1"/>
        <s v="JF-017" u="1"/>
        <s v="EC-70616002061" u="1"/>
        <s v="SH-72030-13151" u="1"/>
        <s v="EC-V104000210" u="1"/>
        <s v="CR-1002" u="1"/>
        <s v="SH-22021-12400" u="1"/>
        <s v="EC-X411000940" u="1"/>
        <s v="EC-17720360930" u="1"/>
        <s v="SH-99909-12212" u="1"/>
        <s v="EC-13191043130" u="1"/>
        <s v="JF-039" u="1"/>
        <s v="EC-13120519831" u="1"/>
        <s v="SH-22155-96540" u="1"/>
        <s v="SH-99909-306" u="1"/>
        <s v="EC-A411000820" u="1"/>
        <s v="EC-A052000030" u="1"/>
        <s v="EC-V452000550" u="1"/>
        <s v="EC-V304000010" u="1"/>
        <s v="EC-17720006210" u="1"/>
        <s v="SH-38500-71020" u="1"/>
        <s v="EC-A506000260" u="1"/>
        <s v="EC-17504805530" u="1"/>
        <s v="EC-A052000430" u="1"/>
        <s v="EC-A021002570" u="1"/>
        <s v="EC-X405000001" u="1"/>
        <s v="EC-A056000330" u="1"/>
        <s v="EC-15660132632" u="1"/>
        <s v="OT-113" u="1"/>
        <s v="EC-A130001330" u="1"/>
        <s v="JF-023" u="1"/>
        <s v="EC-A033000230" u="1"/>
        <s v="EC-P021012830" u="1"/>
        <s v="EC-B450EMC" u="1"/>
        <s v="EC-X475000050" u="1"/>
        <s v="EC-12318140630" u="1"/>
        <s v="CR-080" u="1"/>
        <s v="SH-88421" u="1"/>
        <s v="JF-033" u="1"/>
        <s v="JF-125" u="1"/>
        <s v="SH-99909-156" u="1"/>
        <s v="EC-43052737333" u="1"/>
        <s v="SH-38490-18" u="1"/>
        <s v="EC-13002151530" u="1"/>
        <s v="SH-60035-98061" u="1"/>
        <s v="EC-A369000070" u="1"/>
        <s v="EC-10024255430" u="1"/>
        <s v="SH-20021-96601" u="1"/>
        <s v="EC-70604001A61" u="1"/>
        <s v="SH-62083-81310" u="1"/>
        <s v="EC-A226000070" u="1"/>
        <s v="SH-20011-81360" u="1"/>
        <s v="SH-80023" u="1"/>
        <s v="EC-43101530831" u="1"/>
        <s v="EC-10000060730" u="1"/>
        <s v="EC-A555000130" u="1"/>
        <s v="EC-A226000670" u="1"/>
        <s v="EC-17500555930" u="1"/>
      </sharedItems>
    </cacheField>
    <cacheField name="Descripcion" numFmtId="0">
      <sharedItems containsBlank="1" count="735">
        <s v="MANUBRIO MOXAL/001/RO"/>
        <s v="COB.TANQUE I/D RO M1R200/250"/>
        <s v="COB.TANQUE I/D NE M1R200/250"/>
        <s v="COB.TANQUE I/D SKR200 RO"/>
        <s v="COB.TANQUE I/D SKR200 AZ"/>
        <s v="COB.TANQUE I/D AZ M1R200/250"/>
        <s v="COB.TANQUE I/D BL M1R200/250"/>
        <s v="COB.TANQUE I/D TO M1R200/250"/>
        <s v="COB. TANQUE I/D AM QM200GY"/>
        <s v="COB. TANQUE I/D NE QM200GY"/>
        <s v="COB.LAT.POS.(I/D) XY125-8X AZ"/>
        <s v="COB.LAT.POS.(I/D) XY125-8X RO"/>
        <s v="COB.LAT.POS.(I/D) XY125-8X GR"/>
        <s v="COB. LAT. I/D AM QM200GY"/>
        <s v="COB. LAT. INF. CEN I/D AZ"/>
        <s v="COB. LAT. INF. CEN I/D NE"/>
        <s v="COB. LAT. INF. CEN I/D RO"/>
        <s v="COB. LAT. POS. I/D AZ"/>
        <s v="COB. LAT. POS. I/D NE"/>
        <s v="COB. LAT. POS. I/D RO"/>
        <s v="COB. LAT. I/D NE/GR PULSAR135L"/>
        <s v="COB. LAT. I/D NE/AZ PULSAR135L"/>
        <s v="ESPEJO RD 10mm CUAD."/>
        <s v="ESPEJO RD 10mm LED EMX02"/>
        <s v="GAFAS T815-7 (LEN.TRA.) ROSADO"/>
        <s v="GAFAS T815-7 (LEN.OBS.) ROSADO"/>
        <s v="GAFAS GMXL-01 (L.AM/P.NAR) AZ"/>
        <s v="GAFAS GMXL-01 (L.AM/P.NAR) RO"/>
        <s v="GAFAS GMXL-01 (L.AM/P.NAR) RS"/>
        <s v="GAFAS GMXL-01 (L.AM/P.NAR) TO"/>
        <s v="GAFAS GMXL-01 (L.AM/P.NAR) VE"/>
        <s v="GAFAS GMXL-01 (L.50%/P.NAR) NE"/>
        <s v="GAFAS GMXL-01 (L.50%/P.NAR) RS"/>
        <s v="GAFAS GMXL-01 (L.50%/P.NAR) TO"/>
        <s v="GAFAS GMXL-01 (L.50%/P.NAR) VE"/>
        <s v="GAFAS GMXL-01 (L.TR/P.NAR) NE"/>
        <s v="GAFAS GMXL-01 (L.TR/P.NAR) RS"/>
        <s v="GUAR. POS. BL SKR/M1R200"/>
        <s v="GUAR. DEL. RO PULSAR135LS"/>
        <s v="GUAR. DEL. NE PULSAR135LS"/>
        <s v="GUAR. POS. XY125-8X"/>
        <s v="GUAR. DEL. AX100"/>
        <s v="GUAR. POS. JL110-8"/>
        <s v="GUAR. DEL. DSR200 BL"/>
        <s v="GUAR. DEL. DSR200 RO"/>
        <s v="GUAR. DEL. NITROX RO"/>
        <s v="GUAR. POS. AM QM200GY"/>
        <s v="GUAR. POS. NE QM200GY"/>
        <s v="GUAR. DEL. AM QM200GY"/>
        <s v="GUAR. DEL. AZ QM200GY"/>
        <s v="GUAR. DEL. NE QM200GY"/>
        <s v="GUAR. DEL. (2PCS) AZ JOY150"/>
        <s v="GUAR. DEL. (2PCS) RO JOY150"/>
        <s v="GUAR. DEL. (2PCS) NE JOY150"/>
        <s v="GUAR. DEL. BL XR250"/>
        <s v="GUAR. DEL. RO XR250"/>
        <s v="GUAR. DEL. NE XR250"/>
        <s v="TERNO IMPERMEABLE / M / AZUL"/>
        <s v="MASCARILLA GUIA DIR."/>
        <s v="MASCARILLA SUP. AZ XY125-8X"/>
        <s v="MASCARILLA SUP. GR XY125-8X"/>
        <s v="MASCARILLA INF. AZ  XY125-8X"/>
        <s v="ACCESORIO CEN.MASC. SH200XY"/>
        <s v="MASCARILLA INFERIOR FARO NE"/>
        <s v="COB. MASC. RO PULSAR135LS"/>
        <s v="COB. MASC. NE PULSAR135LS"/>
        <s v="FARO Y MASCARILLA AM QM200GY"/>
        <s v="FARO Y MASCARILLA NE QM200GY"/>
        <s v="FARO Y MASCARILLA RO QM200GY"/>
        <s v="PROT. MANOS/FX200/RO"/>
        <s v="PROT. MANOS/FX200/AZ"/>
        <s v="COB. CEN. FRO. AZ"/>
        <s v="COB. CEN. FRO. NE"/>
        <s v="COB. CEN. FRO. RO"/>
        <s v="BAT. YTX9A-BS12V 9Ah"/>
        <s v="BAT. YTX6.5L-BS 12V 6.5Ah"/>
        <s v="BAT. YTX9-BS 12V 8Ah"/>
        <s v="CAS.INTEGRAL 868/BR/M/NE-AZ/GR"/>
        <s v="CAS.INTEGRAL 868/BR/M/NE-PL/GR"/>
        <s v="CAS.INTEGRAL 868/BR/M/AZ/GR"/>
        <s v="CAS.INTEGRAL 606/BR/S/NE/SP"/>
        <s v="CAS.INTEGRAL 606/BR/M/NE/SP"/>
        <s v="CAS.INTEGRAL 606/BR/L/NE/SP"/>
        <s v="CAS.INTEGRAL 606/BR/S/AZ/SP"/>
        <s v="CAS.INTEGRAL 606/BR/M/AZ/SP"/>
        <s v="CAS.INTEGRAL 606/BR/S/RO/SP"/>
        <s v="CAS.INTEGRAL 606/BR/M/RO/SP"/>
        <s v="CAS.INTEGRAL 606/BR/S/NE/SO"/>
        <s v="CAS.INTEGRAL 606/BR/M/NE/SO"/>
        <s v="CAS.INTEGRAL 606/L/NE/SO"/>
        <s v="CAS.INTEGRAL 606/MA/S/NE/SO"/>
        <s v="CAS.INTEGRAL 606/MA/M/NE/SO"/>
        <s v="CAS.INTEGRAL 606/MA/L/NE/SO"/>
        <s v="CAS.INTEGRAL 606/BR/M/BL/SO"/>
        <s v="VISOR CASCO C17 TRAN"/>
        <s v="VISOR GAFAS T-815 TR"/>
        <s v="VISOR GAFAS T-815 P50%"/>
        <s v="CAS.ABIERTO 227/BR/S/NE-PL/AIR"/>
        <s v="CAS.ABIERTO 227/BR/S/NE-VE/AIR"/>
        <s v="CAS.ABIERTO 227/BR/M/NE/SO"/>
        <s v="CAS.ABIERTO 227/MA/M/NE/SO"/>
        <s v="CAS.CROSS/MXL12/TCH/BR/XL/ROJ"/>
        <s v="C.CRO 601 (T/F) BR M RO/BL F8"/>
        <s v="C.CRO 601 (T/F) BR M AZ/BL F8"/>
        <s v="C.CON 818 (V.T) BR XL NE SO"/>
        <s v="C.CON 818 (V.T) MA XL NE SO"/>
        <s v="C.CON 818 (V.T) BR M N/P/B SP"/>
        <s v="C.CON 818 (V.T) BR M N/B/P SP"/>
        <s v="21x7-10 4PR T/L 23G HF247"/>
        <s v="26x11-12 AT 6PR TL DI2025"/>
        <s v="26x9-12 AT 6PR TL DI2037"/>
        <s v="26x9.00-14 6PR TL DI2037"/>
        <s v="26x11-14 AT 6PR TL DI2037"/>
        <s v="110/90-16  T/T 59S DM1004"/>
        <s v="4.10-18 4PR T/T 59P HF333"/>
        <s v="3.00-14 4PR T/T HF331"/>
        <s v="90/90-18  T/L 51H HF918"/>
        <s v="130/90-15  4PR T/T 66P HF296C"/>
        <s v="3.00-16 4PR T/T 43P HF336"/>
        <s v="90/90-18 4PR T/L 51P HF329"/>
        <s v="120/80-17 T/L  HF918"/>
        <s v="2.50-18 4PR TT HF319"/>
        <s v="2.75-18 M/C 4PR TT HF903"/>
        <s v="3.00-18 M/C 4PR TT HF903"/>
        <s v="90/90-18 M/C 4PR TT 51P HF903"/>
        <s v="90/90-18 M/C 4PR TL HF903"/>
        <s v="80/90-21 M/C T/T 48R MT70"/>
        <s v="3.00-18 M/C TT 47S MT15"/>
        <s v="120/80-18 M/C T/T 62S MT90AT"/>
        <s v="2.75-18 M/C T/T 42P D.TRAC"/>
        <s v="90/90-10 M/C 50J TL-SL26"/>
        <s v="120/100-18 NHS 68M SCMXEX"/>
        <s v="90/90-21 M/C T/L 54V MT90AT"/>
        <s v="2.50-17 M/C T/T 38P MA.DUE"/>
        <s v="2.50-18 M/C 40P MA.DUE"/>
        <s v="90/90-18 M/C T/T 51P MA.DUE"/>
        <s v="2.75-17 M/C T/T 47P RE MA.DUE"/>
        <s v="140/80-17  T/L 69H MT60"/>
        <s v="120/80-17 61P TL SPORT DEMON"/>
        <s v="2.75-18 M/C TL 42P MT65"/>
        <s v="60/100-14 M/C NHS 29M SCMXEXJ"/>
        <s v="110/85-19 M/C NHS TT SCMXMH554"/>
        <s v="110/90-19 M/C NHS TT 62M SCMXM"/>
        <s v="120/80-19 M/C NHS 63M SCMXMH"/>
        <s v="60/100-14NHS 29M SCMIDSO32"/>
        <s v="150/70 R17 M/C TL 69V SC.TRAI"/>
        <s v="120/70Z R17 M/C TL 58W ANGGTF"/>
        <s v="190/50Z R17 M/C TL 73W ANGGT"/>
        <s v="TUBO DURO 24x2.125 VAL.DUNLOP"/>
        <s v="TUBO DURO 400/450-17 TR4"/>
        <s v="TUBO TAK 4.00/4.50-17 TR4"/>
        <s v="TUBO TAK 18X9.50-8 TR13"/>
        <s v="TUBO TAK 22X10-10 TR13"/>
        <s v="3.00-21 4PR T/T 51P DS K280"/>
        <s v="2.50-17 4PR T/T 38P OT K262"/>
        <s v="2.75-17 4PR T/T 41P OT K262"/>
        <s v="3.00-18 4PR T/T 48P OT K262"/>
        <s v="3.50-18 4PR T/T 56P OT K262"/>
        <s v="2.50-17 4PR T/T 38 ST K340"/>
        <s v="2.75-18 4PR T/T 42P ST K340"/>
        <s v="3.00-17 4PR T/T 45P OT K262"/>
        <s v="2.75-18 M/C 4PR TT 42P K262"/>
        <s v="3.00-18 4PR T/T 47P K761"/>
        <s v="4.10-18 4PR T/T 59P K761"/>
        <s v="3.00-17 4PR T/T 45P K761"/>
        <s v="2.75-18 4PR T/T 42P K320"/>
        <s v="3.00-18 4PR T/T 48P K320"/>
        <s v="3.00-14 4PR 40P TT K262"/>
        <s v="2.75-18 4PR 42P TT K262"/>
        <s v="120/80-17 4PR 61P TL K761"/>
        <s v="3.00-18 4P 47P K669"/>
        <s v="4.10-17 4PR 58M K257D"/>
        <s v="60/100-14 M/C TT 30M K771F RO"/>
        <s v="2.50-10 M/C TT 33J K771 RO"/>
        <s v="110/70-17 M/C 6PR TL 54H K671F"/>
        <s v="120/80-17 M/C 4PR TL 61S K328"/>
        <s v="90/90-18 M/C TL 51H K492"/>
        <s v="90/90-18 M/C TL 51H K671F"/>
        <s v="2.75-18 M/C 4PR TL 42P K208"/>
        <s v="90/90-18 M/C TL 51P K761"/>
        <s v="2.75-18 M/C 4PR TL 42P K761"/>
        <s v="3.00-16 M/C 4PR TT 43P K262"/>
        <s v="TUBO 3.00/3.25 - 18 TR4"/>
        <s v="TUBO PIRELLI MA 10V1-09-1"/>
        <s v="TUBO PIRELLI MC 19V1-09-1"/>
        <s v="DISCO FRENO 5H SH-XY150/WY150"/>
        <s v="DISCO FRENO 5H CG125"/>
        <s v="DISCO FRENO DEL. 3H"/>
        <s v="APOYA PIES POS.(I/D) JL110"/>
        <s v="APOYA PIES CENTRAL XY150"/>
        <s v="ARO ME. POS. 1.60x17 XY125-8X"/>
        <s v="ARO 1.60-17 MET GR"/>
        <s v="ASIENTO COMP. PULSAR135LS"/>
        <s v="BARRA TELESC. I/D JOY150"/>
        <s v="TANQUE DE ACEITE AX100"/>
        <s v="KIT BIELA (13201-KGA)BROSS/TIT"/>
        <s v="KIT BIELA - GL145 /CHINAS150cc"/>
        <s v="KIT BIELA XR250 TORNADO"/>
        <s v="KIT BIELA AX100"/>
        <s v="KIT BIELA XL200/CG125/200cc"/>
        <s v="KIT BIELA DR200"/>
        <s v="BOMBA ACEITE CABALLITO 125"/>
        <s v="CABEZOTE AX100"/>
        <s v="CABLE ACE. 100.1cm PULSAR 180"/>
        <s v="CABLE AHO. 95cm. PULSAR 180"/>
        <s v="CABLE EMB. 103cm. PULSAR180"/>
        <s v="CABLE TACO. 57.5cm. QM200GY"/>
        <s v="ZAPATA REF. AX100"/>
        <s v="CARTER IZQ./BROS200/SH-150 UT"/>
        <s v="CARTER IZQ. AX100"/>
        <s v="CARTER DER. AX100"/>
        <s v="CATALINA 428H 4H 45D GY200"/>
        <s v="CATALINA 520H 39D 6H GR TS185"/>
        <s v="CATALINA 428H 37D 4H GR AX100"/>
        <s v="CATALINA 428H 49D 4H DTK175/GY"/>
        <s v="CAUCHO APOYA PIES I/D AX100"/>
        <s v="CAUCHOS VAL. (D.R) MTT125"/>
        <s v="CAUCHO VAL. DR200SE"/>
        <s v="DES. CAD. (CAUCHO) BROS200"/>
        <s v="VELOCIMETRO JOY150"/>
        <s v="KIT EMP.CIL.(CAB/TAP) MT110"/>
        <s v="KIT EMP.CIL.(CAB/TAP) CG125"/>
        <s v="KIT EMP.CIL.(CAB/TAP) GY6-150"/>
        <s v="KIT EMP.CIL.(CAB/TAP)"/>
        <s v="EMPAQUE FUEGO FX200"/>
        <s v="FARO JOY"/>
        <s v="FARO PULSAR135LS"/>
        <s v="FILTRO AIRE SH-XY200GY6"/>
        <s v="FOCO G8 12V 10W 1 PLUG AZ"/>
        <s v="GUIA DIR.PEQ./(I/D)/AX100/TR"/>
        <s v="GUIA DIR.(I/D)TELS. 6mm"/>
        <s v="GUIA DIR. I/D (L.TR) SH-XY150"/>
        <s v="GUIA DIR. I/D"/>
        <s v="HAL. P15D-25-1 12V 35/35W"/>
        <s v="HAL. DOBLE 12V 35/35W BA20D"/>
        <s v="INS. ELEC. MATRIZ XY125-8"/>
        <s v="KIT BIELA JL110 132cm"/>
        <s v="KIT BOCIN CAT. REF"/>
        <s v="VAL.ADM.(30)ESC(25) PC CB125"/>
        <s v="VAL. ADM(31.54). ESC(27) XL200"/>
        <s v="VAL. ADM(28.9).ESC(25)PL XL185"/>
        <s v="VAL. ADM(31.4). ESC(26) GL145"/>
        <s v="KIT EMPAQUES TORITO 150"/>
        <s v="PERNOS BOCIN/610MM/DY100"/>
        <s v="KIT PISTON 0.75"/>
        <s v="KIT RETENES GY6-125"/>
        <s v="LUZ STOP MT150"/>
        <s v="LUZ STOP PULSAR135LS"/>
        <s v="MANDO DE LUZ IZQ 9P WY125"/>
        <s v="MANDO DE LUCES JL110"/>
        <s v="MANDO DE LUCES QINGQI QM200GY"/>
        <s v="BOTON ENCENDIDO JOY150"/>
        <s v="MANGUERA FLU.FRE.POS. 200cm"/>
        <s v="MANIGUETA EMB. FRE. AX100 NE"/>
        <s v="MANIGUETA FRENO/TRAXX150 NE"/>
        <s v="MANIGUETA FRENO DIS. DEL JL125"/>
        <s v="MANIGUETA FRENO EN125 NE"/>
        <s v="PATINETA SEL.CAMBIO GY/BROS200"/>
        <s v="PEDAL ARRANQUE NE"/>
        <s v="PEDAL FRENO, VAR.FRENO"/>
        <s v="PIÑON M. 428H 15D DT175/AX100"/>
        <s v="DISCOS EMB. ARM. 5H CG125/150"/>
        <s v="DISCOS EMB. 6PCS QM200GY/TS125"/>
        <s v="DISCOS EMB. 6PCS"/>
        <s v="SOPORTE MAN.EMB.FRE. DTK175"/>
        <s v="SET RAYOS G8-165mm CR"/>
        <s v="SET RAYOS T 10GX235mm GY200 GR"/>
        <s v="SET RAYOS TOR. 160mm CR"/>
        <s v="RECT. AC/DC AX100"/>
        <s v="ACELERACION RÁPIDA"/>
        <s v="SOCKET GUIA DIR. T13"/>
        <s v="TAPA MOTOR DER. XY125-8X"/>
        <s v="TAPA VELOCIMETRO JOY150"/>
        <s v="TAPA TANQUE GAS. RED. AX100"/>
        <s v="TAPA TANQUE GAS. SH-XY150"/>
        <s v="TEMPLADOR 1-2 CAD.DIS. CB125"/>
        <s v="TEMPLADOR 1-2 CAD.DIS. JOY150"/>
        <s v="TEMPLADOR 1-2 CAD.DIS. GY6-150"/>
        <s v="TORNILLO HEXAGONAL M8x18"/>
        <s v="TROMPO FRENO DEL. ENDURO200"/>
        <s v="SOPORTE APOYO XY125-8X"/>
        <s v="KIT ARR. 428H P14-C44  CG125 T"/>
        <s v="KIT ARRA. 428P16-C49 4H DT175K"/>
        <s v="KIT ARRA. 428H P16-C49 DT175K"/>
        <s v="PIÑON SINCRONIZADOR 28D"/>
        <s v="MULT. DIG. FY9805"/>
        <s v="99909-307 CARTER M C350" u="1"/>
        <m u="1"/>
        <s v="TAPA DEL EMBRAGUE 757" u="1"/>
        <s v="99909-306 CARTER S C350" u="1"/>
        <s v="UN-10 CABEZAL NYLON" u="1"/>
        <s v="EJE CENTRAL C35LA" u="1"/>
        <s v="PROTECT DESPOJO COMP B450-C350" u="1"/>
        <s v="AISLADOR CONDENS B530" u="1"/>
        <s v="TAMBOR DE EMBRAGUE 757" u="1"/>
        <s v="BOBINA DM6110" u="1"/>
        <s v="FILTRO AIRE  INTERMEDIO SRM4300" u="1"/>
        <s v="02.045530 KIT CUCHILLAS COMPLETO JF2/2D/" u="1"/>
        <s v="TORNILLO EMBRAGUE SHP800" u="1"/>
        <s v="FILTRO COMPLETO AIRE SHP800" u="1"/>
        <s v="TUBO EXTERNO SRM4605" u="1"/>
        <s v="BOMBA DE AGUA WP-1000" u="1"/>
        <s v="POLEA ARRACADOR SHP800" u="1"/>
        <s v="JUEGO ANILLO PISTON B45-B45LA" u="1"/>
        <s v="2012619 KIT DE CUCHILLA COMPLETO JF-40P" u="1"/>
        <s v="22015-96500 HERRAM EXTRACTOR COMPLETO" u="1"/>
        <s v="22015-96600 HERRAM EXTRACTOR COMPLETO" u="1"/>
        <s v="13030252131 COMBERTOR FILTRO SRM3605" u="1"/>
        <s v="22015-13251 SOPORTE B B45-B450-C350" u="1"/>
        <s v="TUBO EXTERNO B530" u="1"/>
        <s v="CUCHILLAS RECOGEDORAS DERECHAS 930 C" u="1"/>
        <s v="AISLADOR B450 C350" u="1"/>
        <s v="20070-81350 TORNILLO (H) B450" u="1"/>
        <s v="ABRAZADERA MANUBRIO SRM3605" u="1"/>
        <s v="MANGUERA COMBUST B SHP-800" u="1"/>
        <s v="CABLE ACELERADOR DM6110" u="1"/>
        <s v="BOBINA CS3000" u="1"/>
        <s v="TAPA TANQUE SRM3605 4300 4605" u="1"/>
        <s v="EMBRAGUE COMPLETO 488" u="1"/>
        <s v="BASE TANQUE SRM 3605" u="1"/>
        <s v="CILINDRO CS8002" u="1"/>
        <s v="PISTON KIT CS510" u="1"/>
        <s v="BOBINA CS420" u="1"/>
        <s v="10.236.05 SINFIN PARA EC 4000/EC 4800" u="1"/>
        <s v="22169-96580 HERRAM ESTRACTOR" u="1"/>
        <s v="CARTER COMPLETO B530" u="1"/>
        <s v="RESORTE ARRANQUE CS3500" u="1"/>
        <s v="BOBINA C230-P230" u="1"/>
        <s v="ANILLO RETENEDOR B450" u="1"/>
        <s v="POLEA DE ARRANCADOR B530; SRM4300" u="1"/>
        <s v="JUEGO DE ZARANDAS PARA DPF MINI" u="1"/>
        <s v="BOBINA DE ENCENDIDO CS8002" u="1"/>
        <s v=" ABRAZADERA COMP. B450-B530-C350" u="1"/>
        <s v="22169-82251 BASE DE FLTRO 757" u="1"/>
        <s v="PROTECTOR CAJA ENGRANAJE SRM4300" u="1"/>
        <s v="BOBINA 488" u="1"/>
        <s v="20011-81360 RESORTE H B450-C350-B530" u="1"/>
        <s v="09026-04001 HERRAMIENTA LLAVE 4MM B450" u="1"/>
        <s v="PISTON KIT CS420" u="1"/>
        <s v="ZAPATA DEL EMBRAGUE COMPLETA ES726" u="1"/>
        <s v="20000-75150 PLACA FRICCION B450-BP35" u="1"/>
        <s v="JUEGO DE PERNO" u="1"/>
        <s v="72017-16130 PLACA DESPOJ C350-B450-B530-C230 " u="1"/>
        <s v="COLLAR B 22F" u="1"/>
        <s v="CUBIERTA SILENCIADOR B450" u="1"/>
        <s v="P021010574 CILINDRO CS420" u="1"/>
        <s v="20015-93200 ACELERADOR COMP. ES726" u="1"/>
        <s v="BANDA B-83" u="1"/>
        <s v="PERNO CUCHILLA C230" u="1"/>
        <s v="CONTRA CUCHILLA DP1" u="1"/>
        <s v="10010160931 CIGUENAL CS3500" u="1"/>
        <s v="SOPORTE (A) C230" u="1"/>
        <s v="CABLE DE ACELERADOR SHP800" u="1"/>
        <s v="A225000400 PORTA FILTRO ES726" u="1"/>
        <s v="JUEGO ANILLO DEL PISTON 757" u="1"/>
        <s v="AMORTIGUADOR CS510" u="1"/>
        <s v="22155-71130 RESORTE DEL TRINQUETE 757-57" u="1"/>
        <s v="TAPA TANQUE ES726" u="1"/>
        <s v="FILTRO AIRE B45-B45LA" u="1"/>
        <s v="99909-453 AGUJA KIT B450" u="1"/>
        <s v="14551055932 EMPAQUE DE ESCAPE SHP800" u="1"/>
        <s v="GRASA SINTETICA AZUL 1LIBRA" u="1"/>
        <s v="TANQUE COMBUST SRM3605" u="1"/>
        <s v="ANILLO DE PISTON CS8002" u="1"/>
        <s v="BOBINA CS680S" u="1"/>
        <s v="09026-03001 HERRAM LLAVE EXAGONAL 3MM B450" u="1"/>
        <s v="CONTRA CUCHILLA DP4" u="1"/>
        <s v="A130000111 CILINDRO DM6110" u="1"/>
        <s v="9720135 ORINGS ES 726" u="1"/>
        <s v="PERNO CARBURADOR SRM4605" u="1"/>
        <s v="PLACA CARBURADOR SHP800" u="1"/>
        <s v="PISTON JUEGO COMPLETO 488" u="1"/>
        <s v="02.046292 CONTRA CUCHILLA JF40S/MAXXIUM" u="1"/>
        <s v="CABLE B B450-B530-C350" u="1"/>
        <s v="BOBINA SRM3605" u="1"/>
        <s v="CILINDRO C230-ES726-M230-P230" u="1"/>
        <s v="VALVULA SRM3605" u="1"/>
        <s v="AISLADOR SRM4300" u="1"/>
        <s v="62035-32320 PERILLA DORADA B530" u="1"/>
        <s v="80023 TUBO COMPLETO C350" u="1"/>
        <s v="PISTON KIT SRM270" u="1"/>
        <s v="9711151 ORINGS ES 726" u="1"/>
        <s v="BASE TANQUE SRM4605" u="1"/>
        <s v="ENSILADORA EC MINI" u="1"/>
        <s v="EJE CENTRAL B45-B45LA" u="1"/>
        <s v="10101055430 EMPAQUE CILINDRO SRM3605" u="1"/>
        <s v="PIÑON CONICO CON VASTAGO C350" u="1"/>
        <s v="CUBIERTA CILINDRO B450" u="1"/>
        <s v="PERNO DE CARBURADOR CS510" u="1"/>
        <s v="62035-81360 ROSORTE MEMBRANA B530" u="1"/>
        <s v="OJAL LINEA DE COMBUSTIBLE SRM4300" u="1"/>
        <s v="FILTRO AIRE SRM4300" u="1"/>
        <s v="JUEGO DE AGUJAS B530" u="1"/>
        <s v="JUEGO DE MARTILLOS PARA DP1" u="1"/>
        <s v="RESORTE BUJIA C230-C350-EB500" u="1"/>
        <s v="AISLADOR CS680" u="1"/>
        <s v="TAPA DEL DRENAJE ES726" u="1"/>
        <s v="70870-98030 KIT DE VALVULAS HT230" u="1"/>
        <s v="DISCO TORNADO 9 12 DIENTES LP12-9&quot;" u="1"/>
        <s v="88102 BOQUILLA HV-2" u="1"/>
        <s v="28820-07340 BOQUILLA SPEED FEED" u="1"/>
        <s v="BOBINA PAQUEÑA 757" u="1"/>
        <s v="EMPAQUETADURA DE ADMISION" u="1"/>
        <s v="22160-33801 TAPA COMBUS 757-577-488" u="1"/>
        <s v="10024255430 EMPAQUE CARTER SRM3605" u="1"/>
        <s v="BOMBA MANUAL 15LT" u="1"/>
        <s v="22175-82310 FILTRO DE AIRE 577-757C" u="1"/>
        <s v="PERILLA ARRANCADOR SRM3605" u="1"/>
        <s v="4573110 ASIENTO DE VALVULA ES726" u="1"/>
        <s v="20035-75200 POLEA COMPLETA ALUMINIO ES726" u="1"/>
        <s v="BUSHING C350" u="1"/>
        <s v="CUERDA B450-C350-B530-BP35" u="1"/>
        <s v="BOMBA MANUAL 17LT" u="1"/>
        <s v="CARBURADOR SRM270" u="1"/>
        <s v="BOMBA DE CEBADOR CS420" u="1"/>
        <s v="SOPORTE (B) BP35" u="1"/>
        <s v="AISLADOR SC420" u="1"/>
        <s v="80771 DISCO ACERO 10; 3 DIENTES" u="1"/>
        <s v="DESMALEZADORA B-450" u="1"/>
        <s v="20016-31212TAMBOR DE EMBRAGUE 22C" u="1"/>
        <s v="10103456532 CILINDRO SRM270" u="1"/>
        <s v="JUEGO DE MARTILLOS PARA DP2" u="1"/>
        <s v="PLACA UNION B530" u="1"/>
        <s v="TUBO COMPLETO SRM4300" u="1"/>
        <s v="AISLADOR SRM3605" u="1"/>
        <s v="10101032431 EMPAQUE CILINDRO CS680S" u="1"/>
        <s v="72030-13151 SOPORTE 22F" u="1"/>
        <s v="VOLANTE B450 C350" u="1"/>
        <s v="20021-81920 EMPAQUETADURA DIAFR B45-B45L" u="1"/>
        <s v="CONTRA CUCHILLA DPF MINI" u="1"/>
        <s v="EMBRAGUE COMP. B45" u="1"/>
        <s v="CABLE ACELERADOR SRM270" u="1"/>
        <s v="22150-51520 PINON FLOTANTE 577-757" u="1"/>
        <s v="ABRAZADERA DE MANGO KIT SRM4300" u="1"/>
        <s v="10101030830 EMPAQUET DE CILINDRO CS8002" u="1"/>
        <s v="TUERCA DE CUCHILLA SRM3605 SRM4605" u="1"/>
        <s v="CABLE B530" u="1"/>
        <s v="ANILLO DE RETENCION B45-B530-B45LA" u="1"/>
        <s v="PISTON KIT CS3000" u="1"/>
        <s v="CARBURADOR CS3500-35" u="1"/>
        <s v="MANGA ADMISION CS3500" u="1"/>
        <s v="EMPAQUE CILINDRO B530" u="1"/>
        <s v="TORNILLO (L) B450-B530" u="1"/>
        <s v="4527270 FILTRO 320" u="1"/>
        <s v="A011000120 CIGUENAL SRM4300" u="1"/>
        <s v="80551 EMPAQUETADURA DIAFR 488-488P" u="1"/>
        <s v="PERILLAS PARA EC/DP" u="1"/>
        <s v="TAMBOR DE EMBREGUE CS8002" u="1"/>
        <s v="MASCARILLA LETES OREJERAS" u="1"/>
        <s v="INYECTOR PRINCIPAL SHP800" u="1"/>
        <s v="ZAPATA EMBRAGUE UNIDAD SRM3605" u="1"/>
        <s v="AISLADOR SRM4605" u="1"/>
        <s v="X405000001  CUCHILLA METALICA DE 3 ELEME" u="1"/>
        <s v="X405000011  CUCHILLA METALICA DE 3 ELEME" u="1"/>
        <s v="EMPAQUE DE BOMBA SHP800" u="1"/>
        <s v="TAMBOR ARRANCADOR CS680S" u="1"/>
        <s v="ANILLO PINON PASO 0.404&quot; 7 DIENTES 22270" u="1"/>
        <s v="80247 TUBO COMP CON ETIQUETA  C230" u="1"/>
        <s v="TAPA DE GRASERO SHP800" u="1"/>
        <s v="VOLANTE ES726" u="1"/>
        <s v="ARANDELA EMBRAGUE SRM3605" u="1"/>
        <s v="02.070822 JUEGO COMP. MARTILLOS JF 2" u="1"/>
        <s v="A130000601 CILINDRO SRM3605" u="1"/>
        <s v="108644-30 BARRA 30 .058 D009" u="1"/>
        <s v="EMPAQUE DE CILINDRO PRESION SHP800" u="1"/>
        <s v="CARTER SET SRM4300" u="1"/>
        <s v="DESMALEZADORA SRM 3605" u="1"/>
        <s v="ENSILADORA JF-30P" u="1"/>
        <s v="BOMBA DEL CEBADOR ES726" u="1"/>
        <s v="KIT CUCHILLAS DE ROTOR PPC-3" u="1"/>
        <s v="PERNO AMORTIGUADOR CS510" u="1"/>
        <s v="P021012920 CIGUENAL CS420-45" u="1"/>
        <s v="CABLE BUJIA" u="1"/>
        <s v="A226000070 ELEMENT AIR FILTER CS680" u="1"/>
        <s v="DESMALEZADORA SRM 4605" u="1"/>
        <s v="CARBURADOR CS3000" u="1"/>
        <s v="CUBIERTA EMBRAGUE SRM4300" u="1"/>
        <s v="MANGA ADMISION CS80002" u="1"/>
        <s v="FILTRO AIRE DM6110" u="1"/>
        <s v="SOPORTE (A) C350-B450-B530-B" u="1"/>
        <s v="TUBO EXTERNO SRM270" u="1"/>
        <s v="BOMBA DE FUMIGACION SHP-800" u="1"/>
        <s v="AISLADOR DE BOBINA B450-C350" u="1"/>
        <s v="AGUJA KIT 757" u="1"/>
        <s v="ABRAZADERA B450-C350" u="1"/>
        <s v="10020455430 CARTER SRM3605" u="1"/>
        <s v="72312-21520 PERNO BARRA 488" u="1"/>
        <s v="PROTECTOR DEL TANQUE B530" u="1"/>
        <s v="PINON BASTAGO C230-22C" u="1"/>
        <s v="AGUJA KIT C230" u="1"/>
        <s v="22169-21520 PERNO BARRA 757" u="1"/>
        <s v="HERRAM LLAVE VOLANTE" u="1"/>
        <s v="22169-21300 TAPA ACIETE 757" u="1"/>
        <s v="02.045001 PERNO DE SEGURIDAD" u="1"/>
        <s v="PISTON KIT CS3500-35" u="1"/>
        <s v="61001125530 EJE CENTRAL SRM270" u="1"/>
        <s v="UNIDAD ELECTRONICA BP35-B45" u="1"/>
        <s v="BARRA 12&quot; PPT2400" u="1"/>
        <s v="KIT MOTOR RECONSRTUCCION 757" u="1"/>
        <s v="FILTRO AIRE C230-P230" u="1"/>
        <s v="RESORTE EMBRAGUE B450-B530-C" u="1"/>
        <s v="CUBIERTA, SILENCIADOR B530" u="1"/>
        <s v="CADENA 36&quot; CS1201 0.404" u="1"/>
        <s v="CARBURADOR CS8002" u="1"/>
        <s v="MOLINO PICADOR JF 2 D" u="1"/>
        <s v="A011000250 CIGUEÑAL CS680-S" u="1"/>
        <s v="02.045369 CONTRA CUCHILLA JF2 / JF3" u="1"/>
        <s v="RESORTE MEMBRANA B450-C350-C270-SHP800" u="1"/>
        <s v="MOTOR 10HP WEG 3600RPM 220/440V" u="1"/>
        <s v="PERNO EMBRAGUE SRM3605" u="1"/>
        <s v="CABLE ACELERADOR SRM4605" u="1"/>
        <s v="22021-12120 BUSHING B450-B530" u="1"/>
        <s v="FILTRO COMBUST 22F-C230-HT230-ES726-P" u="1"/>
        <s v="70602049A20 VALVULA SHP800" u="1"/>
        <s v="EMPAQUE TAPA SHP-800" u="1"/>
        <s v="EMPAQUE SILENCIAD B45, B450, C350, BP35" u="1"/>
        <s v="72330-82320 PRE FILTRO 577P-757" u="1"/>
        <s v="FILTRO COMBUST B45-B45LA" u="1"/>
        <s v="TANQUE COMBUSTIBLE SRM4300" u="1"/>
        <s v="60876 MANUAL SERVICIO TECNICO" u="1"/>
        <s v="PISTON KIT CS680S" u="1"/>
        <s v="PISTON KIT CS1201" u="1"/>
        <s v="CILINDRO B45-B45LA" u="1"/>
        <s v="MOLINO PICADOR JF 5 D" u="1"/>
        <s v="BARRA 24&quot;  CS-680, CS-8002" u="1"/>
        <s v="10020456232 CARTER KIT SRM270" u="1"/>
        <s v="62035-71110 VOLANTE B530" u="1"/>
        <s v="JUEGO DE CUCHILLAS DP1" u="1"/>
        <s v="JUEGO DE CUCHILLAS DP2" u="1"/>
        <s v="20011-81680 RESORTE MEMBRANA C35LA-B45-B" u="1"/>
        <s v="BOMBA DE CEBADO SRM4300" u="1"/>
        <s v="RESORTE EMBRAGUE C230,HT230" u="1"/>
        <s v="22000-13241 PLACA A B35" u="1"/>
        <s v="MOTOSIERRA CS-420EU CON BARRA Y CADENA" u="1"/>
        <s v="TUERCA CUCHILLA SRM4300" u="1"/>
        <s v="61031421231 ESTBILIZAD CUCHILLA SRM4300" u="1"/>
        <s v="80676 ADAPTADOR UN10 C230" u="1"/>
        <s v="TAMBOR EMBRAGUE SRM3605" u="1"/>
        <s v="UNION MOTOR-EJE B450-C350" u="1"/>
        <s v="4073281 SOPORTE DE LANZA ES726" u="1"/>
        <s v="JUEGO DE CUCHILLAS DPF JR" u="1"/>
        <s v="CABEZA DE CILINDRO BOMBA SHP 800" u="1"/>
        <s v="ABRAZADERA B B450-C350" u="1"/>
        <s v="AMORTIGUA TANQ SRM4300-3605-4605" u="1"/>
        <s v="62083-81310 TAPA CARBURADOR B530" u="1"/>
        <s v="62903-66111 PORTEC DESPOJO B450-C350-B53" u="1"/>
        <s v="ANILLOS PISTON CS3500" u="1"/>
        <s v="TAPA COMBUS 22C-22F-ES726" u="1"/>
        <s v="FILTRO COMBUST SRM4300" u="1"/>
        <s v="20011-81140 RESORTE CABLE ES726-C35LA" u="1"/>
        <s v="CARBURADOR COMPLETO C230" u="1"/>
        <s v="20018-31251 PERILLA C230-ES726-P230" u="1"/>
        <s v="FILTRO AIRE SRM270" u="1"/>
        <s v="A130000870 CILINDRO SRM4300" u="1"/>
        <s v="CONTRA CUCHILLA PARA PPC-3" u="1"/>
        <s v="BOQUILLA UN-10-UN-32" u="1"/>
        <s v="MANUBRIO DERECHO SRM3605-SRM" u="1"/>
        <s v="CARBURADOR SRM3605" u="1"/>
        <s v="RESORTE ARRANQUE SHP800" u="1"/>
        <s v="RESORTE EMBRAGUE SHP800" u="1"/>
        <s v="BARRA GUIA 30 STL 303ATLE099 OREGON" u="1"/>
        <s v="22169-54630 RESORTE ACELERADOR 757" u="1"/>
        <s v="CUCHILLA CORBATIN" u="1"/>
        <s v="ARANDELA EMBRAGUE SHP 800" u="1"/>
        <s v="BOQUILLA VALVULA RET SRM4300" u="1"/>
        <s v="AMORTIGUADOR,TANQUE B530" u="1"/>
        <s v="22160-55200 BOMBA DE ACEITE 488-577" u="1"/>
        <s v="RESORTE DE ARRANCADRO CS420" u="1"/>
        <s v="CUBIERTA DEL VENTILADOR" u="1"/>
        <s v="20140-12221 EMPAQUE-AISLADOR 22C-22F" u="1"/>
        <s v="CARBURADOR B45-B45LA" u="1"/>
        <s v="10010055430 CIGUENAL SRM3605" u="1"/>
        <s v="ARRANCADOR COMP. DM6110" u="1"/>
        <s v="PISTON KIT C230" u="1"/>
        <s v="EMBRAGUE CS3500" u="1"/>
        <s v="9701401 ORINGS ES726" u="1"/>
        <s v="MOTOSIERRA 757 SHINDAIWA" u="1"/>
        <s v="CARBURADOR COMP. B530" u="1"/>
        <s v="22175-82520 PERILLA DE CUBIERTA 577" u="1"/>
        <s v="PERNO CUCHILLA  BP 35" u="1"/>
        <s v="ZAPATA EMBRAGUE COMP. 22F" u="1"/>
        <s v="88421 PISTOLA HZ-20GT" u="1"/>
        <s v="LANZA 5 BOQUILLAS" u="1"/>
        <s v="80424 DISCO MAXI BLADE 9" u="1"/>
        <s v="ABRAZADERA COMPLETA B530-B450" u="1"/>
        <s v="RESORTE ARRANCADOR CS680" u="1"/>
        <s v="POLA 4&quot; 1RA 16MM ELEC 3HPEC-MINI,30P" u="1"/>
        <s v="PISTON KIT B45 B45LA" u="1"/>
        <s v="13030039730 FILTRO AIRE CS3500-CS420-45" u="1"/>
        <s v="TANQUE DE COMBUSTIBLE C350-B45" u="1"/>
        <s v="20140-12210 AISLADOR CONDENS 22F" u="1"/>
        <s v="CARTER SET CS3500" u="1"/>
        <s v="ANILLO PISTON SHP-800" u="1"/>
        <s v="TAMBOR EMBRAGUE CS680" u="1"/>
        <s v="JUEGO DE CUCHILLAS PPC3" u="1"/>
        <s v="BASE FILTRO P230" u="1"/>
        <s v=" EMPAQUE TIPO ES726" u="1"/>
        <s v="CUCHILLA SUPERIOR 40&quot; HT230" u="1"/>
        <s v="PISTON KIT B530" u="1"/>
        <s v="TAMBOR DE EMBRAGUE BP35" u="1"/>
        <s v="CARDAN PARA CUSTOM 930-C SIN EMBRAGUE" u="1"/>
        <s v="PERNO ALEN 5X40" u="1"/>
        <s v="VOLANTE SRM4300" u="1"/>
        <s v="PROTECTOR DE DESPOJOS SRM3605-4605" u="1"/>
        <s v="PISTON  KIT DM6110" u="1"/>
        <s v="108642-24 BARRA 24 LT, 3/8, 0.58" u="1"/>
        <s v="GUIA CUERDA B530" u="1"/>
        <s v="CILINDRO 22F-22C-F220" u="1"/>
        <s v="73LGX92X CADENA70CM 28&quot; CS8002" u="1"/>
        <s v="CARBURADOR CS680" u="1"/>
        <s v="JUEGO DE MARTILLOS PARA TMC-4" u="1"/>
        <s v="PISTON KIT SRM4605" u="1"/>
        <s v="JUEGO DE ZARANDAS PARA DP1" u="1"/>
        <s v="EJE PIÑON SRM 4300" u="1"/>
        <s v="22169-51130 ARANDELA 757" u="1"/>
        <s v="20016-81180 VALVULA SOUPAPE 22F" u="1"/>
        <s v="PERNO ALEN 5X30" u="1"/>
        <s v="PROTECTOR DEL TANQUE B45-B450" u="1"/>
        <s v="EMBRAGUE CS680S" u="1"/>
        <s v="CUCHILLA INFERIOR 40&quot; ACC CORTACETOS" u="1"/>
        <s v="02.070842 JUEGO COMP. MARTILLOS JF 5" u="1"/>
        <s v="KIT MOTOR RECONSTRUC. C230" u="1"/>
        <s v="CADENA 12&quot; PPT2400" u="1"/>
        <s v="BASE TANQUE SRM4300" u="1"/>
        <s v="RESORTE ACELERADOR SHP800" u="1"/>
        <s v="BARRA 17&quot; CS420ES 0.375" u="1"/>
        <s v="CUBIERTA BUJIA C230-C350-B45" u="1"/>
        <s v="JUEGO ANILLO PISTON 488" u="1"/>
        <s v="PIÑON HUECO B45-B450-B530-C350" u="1"/>
        <s v="13031051730 ELEMENTO FILTRO AIRE SRM3605" u="1"/>
        <s v="BOBINA SHP800" u="1"/>
        <s v="13031306230 CUBIERTA FILTRO AIRE SRM4605" u="1"/>
        <s v="TUBO COMBUSTIBLE SRM4300" u="1"/>
        <s v=" SOPORTE (A) CS3605" u="1"/>
        <s v="A235000220 PERILLA ARRANCADOR C230" u="1"/>
        <s v="10101006211 EMPAQUE CILINDRO DM6110" u="1"/>
        <s v="10020442230 CARTER KIT SRM4605" u="1"/>
        <s v="RESORTE EMBRAGUE SRM270" u="1"/>
        <s v="CILINDRO C230-HT230" u="1"/>
        <s v="PROTECTOR DE PERNO (B) C270" u="1"/>
        <s v="#N/A" u="1"/>
        <s v="PROTECTOR DESPOJOS SRM4300" u="1"/>
        <s v="VALVULA DE PRESION B450-B45L" u="1"/>
        <s v="4579070 VALVULA COMPLETA ES726" u="1"/>
        <s v="CUCHILLAS REPICADORAS PPC3" u="1"/>
        <s v="38490-18 BARRA 18 PROLITE D 0.816" u="1"/>
        <s v="PROTECTOR CABLE SRM4605" u="1"/>
        <s v="ENGRANAJE 488" u="1"/>
        <s v="AGUJA ES726" u="1"/>
        <s v="RESORTE DE FRICCION B450-B45" u="1"/>
        <s v="ESTABILIZADOR CUCHILLA SRM270-3605" u="1"/>
        <s v="JUEGO DE EMPAQUES ES726" u="1"/>
        <s v="JUEGO DE MARTILLOS PARA DPF JR." u="1"/>
        <s v="22155-96540 HERRAMIENTA LLAVE-T (5)" u="1"/>
        <s v="CABLE ACELERADOR BP35" u="1"/>
        <s v="33SL0-72X CADENA 18.325.050" u="1"/>
        <s v="PALANCA BALANCIN SR4300" u="1"/>
        <s v="ANILLOS PISTON JUEGO CS680" u="1"/>
        <s v="22169-57360 FILTRO ACEITE 488-577-757" u="1"/>
        <s v="22175-21200 CARTER M COMPLETO 577" u="1"/>
        <s v="38500-71020 BOBINA COMPLETA ES726" u="1"/>
        <s v="TAPA DE TANQUE SHP-800" u="1"/>
        <s v="ENSILADORA JF 40P" u="1"/>
        <s v="CARBURADOR SHP800" u="1"/>
        <s v="BARRA 36G63 PARA S.A." u="1"/>
        <s v="BOMBA DEL CEBADOR 22F-C230-EB500-HT23" u="1"/>
        <s v="RESORTE ARRANQUE SRM4300" u="1"/>
        <s v="BOBINA B45-BP35" u="1"/>
        <s v="CARBURADOR COMPLETO ES726" u="1"/>
        <s v="P021014320 CUCHILLA 3 PUNTAS" u="1"/>
        <s v="TAMBOR EMBRAGUE 22F" u="1"/>
        <s v="20021-81121 TAPA CARBURADOR B45-B45LA" u="1"/>
        <s v="CILINDRO 577" u="1"/>
        <s v="TAMBOR EMBRAGUE SRM270" u="1"/>
        <s v="EMPAQUE AISLADOR B450-C350" u="1"/>
        <s v="CARBURADOR 22F-22C" u="1"/>
        <s v="10010030830 CIGUENAL CS8002" u="1"/>
        <s v="PERNO DE CARBURADOR SRM3605" u="1"/>
        <s v="10101056030 EMPAQUE CILINDRO SRM270" u="1"/>
        <s v="PIÑON KIT SRM4300" u="1"/>
        <s v="MANUBRIO DERECHO SRM270" u="1"/>
        <s v="22169-55310 TUBERIA 757" u="1"/>
        <s v="HERRAM EXTRACTOR PISTON B450" u="1"/>
        <s v="MOTOR GASO 10 HP INTEK EJE RECTO" u="1"/>
        <s v="MANGO IZQUIERDO SRM3605-4605" u="1"/>
        <s v="TUBO EXTERNO SRM3605" u="1"/>
        <s v="SOPORTE (A) SRM4300" u="1"/>
        <s v="CAJA DE ENGRANAJES B450-B45LA" u="1"/>
        <s v="ZAPATA EMBRAGUE C350-B450-B5" u="1"/>
        <s v="ORGANIZADOR DE PASTOS VALLE" u="1"/>
        <s v="PERILLA DE FILTRO B530-HT230" u="1"/>
        <s v="20011-81021 CARBURADOR C35LA" u="1"/>
        <s v="CADENA 17&quot; CS420ES" u="1"/>
        <s v="CIGUEÑAL B45-B45LA" u="1"/>
        <s v="CILINDRO SRM4300" u="1"/>
        <s v="20040-81430 RESORTE BALANCIN C350-B450-B" u="1"/>
        <s v="EMPAQUE B CARBURADOR B530" u="1"/>
        <s v="63019-63170 SOPORTE (B) B530" u="1"/>
        <s v="CARTER COMP. M B530" u="1"/>
        <s v="4525920 ESLABON GIRATORIO C/DESCONEXION" u="1"/>
        <s v="22104-75420 PERILLA ARRANCADOR B530" u="1"/>
        <s v="4070981 ASIENTO DE VALVULA ES726" u="1"/>
        <s v="62022-15100 SILENCIADOR COMPLETO B450" u="1"/>
        <s v="CIGUEÑAL B530" u="1"/>
        <s v="RESORTE DE BALANCIN CS8002" u="1"/>
        <s v="BOBINA DE ENCENDIDO CS510" u="1"/>
        <s v="DIAFRAGMA SRM3605 SRM4605 " u="1"/>
        <s v="9400337 TAPA DE RECOLECTOR 350" u="1"/>
        <s v="73DP-98X CADENA, 30 3/8&quot;, 058&quot;" u="1"/>
        <s v="BANDA B-45" u="1"/>
        <s v="ENGRASADOR DE ACEITE CS680 CS8002" u="1"/>
        <s v="PISTON KIT C350,C35LA,BP35" u="1"/>
        <s v="12312509560 DIAFRAGMA SRM3605" u="1"/>
        <s v="CUCHILLAS RECOGEDORAS IZQUIERDAS 930 C" u="1"/>
        <s v="EMPAQUE ESCAPE SRM4300" u="1"/>
        <s v="AISLADOR CONDENS C230" u="1"/>
        <s v="TAMBOR ARANQUE B530" u="1"/>
        <s v="MOTOR 3HP WEG 3600 RPM 110/220V" u="1"/>
        <s v="BOBINA SRM4300" u="1"/>
        <s v="BOBINA CS3500-35" u="1"/>
        <s v="PERNO EMBRAGUE SRM4300-4605" u="1"/>
        <s v="JUEGO DE PISTON 22C-22F" u="1"/>
        <s v="VALVULA DE CARBURADOR SRM3605" u="1"/>
        <s v="O RING B SHP800" u="1"/>
        <s v="62035-15012 SILENCIADOR COMPLETO B530" u="1"/>
        <s v="ROLLO HILO NYLON 0.095 (870 MTS) 09510&quot;" u="1"/>
        <s v="AMORTIGUADOR 577-757" u="1"/>
        <s v="DIENTE P/MOTOSIERRA 27R 100B 0.404;DIENTE P/MOTOSIERRA 27R 100B 0.404" u="1"/>
        <s v="ARRANCADOR COMPLETO SRM3605" u="1"/>
        <s v="EMBRAGUE CS8002" u="1"/>
        <s v="4042881 EMBOLO ES726" u="1"/>
        <s v="BOBINA SRM270" u="1"/>
        <s v="22000-13410 ANILLO DE GRASERO C230" u="1"/>
        <s v="MOTOR DIESEL 10 HP F400 " u="1"/>
        <s v="CUBIERTA BUJIA B530" u="1"/>
      </sharedItems>
    </cacheField>
    <cacheField name="Grupo" numFmtId="0">
      <sharedItems containsNonDate="0" containsBlank="1" count="32">
        <m/>
        <s v="REPUESTOS PODADORAS DE ALTURA " u="1"/>
        <s v="REPUESTO BOMBA DE FUMIGACION" u="1"/>
        <s v="ACCESORIOS ENSILADORAS " u="1"/>
        <s v="BOMBAS DE AGUA" u="1"/>
        <s v="REPUESTOS MAQ MULTIUSOS" u="1"/>
        <s v="REPUESTOS TRITURADORES " u="1"/>
        <s v="MOTORES " u="1"/>
        <s v="NEBULIZADORA. PULVERIZADORA Y ESPOLVEADORA" u="1"/>
        <s v="REPUESTOS DESMALEZADORA" u="1"/>
        <s v="MOLINOS PICADORES " u="1"/>
        <s v="ACCESORIOS MOTOCULTORES " u="1"/>
        <s v="PUBLICIDAD" u="1"/>
        <s v="REPUESTOS ENSILADORAS " u="1"/>
        <s v="ACCESORIOS MOLINOS PICADORES " u="1"/>
        <s v="REPUESTOS MOLINOS PICADORES " u="1"/>
        <s v="BOMBA DE FUMIGACION" u="1"/>
        <s v="REPUESTOS MOTOSIERRAS " u="1"/>
        <s v="MOTOR DIESEL" u="1"/>
        <s v="ACCESORIOS MOTOSIERRAS" u="1"/>
        <s v="REPUESTOS COSECHADORAS" u="1"/>
        <s v="REPUESTOS NEBULIZADORA. PULVERIZADORA Y ESPOLVEADORA" u="1"/>
        <s v="REPUESTOS CORTASETOS " u="1"/>
        <s v="ACCESORIOS BOMBA DE FUMIGACION" u="1"/>
        <s v="REPUESTOS PICADORA " u="1"/>
        <s v="ENSILADORAS" u="1"/>
        <s v="DESMALEZADORA" u="1"/>
        <s v="MOTOSIERRAS" u="1"/>
        <s v="ACCESORIOS PICADORA " u="1"/>
        <s v="ACCESORIOS DESMALEZADORA" u="1"/>
        <s v="AA (No Aplica)" u="1"/>
        <s v="#N/A" u="1"/>
      </sharedItems>
    </cacheField>
    <cacheField name="Linea" numFmtId="0">
      <sharedItems containsBlank="1" count="12">
        <s v="ACCESORIOS"/>
        <s v="BATERIAS"/>
        <s v="CASCOS"/>
        <s v="LLANTAS Y TUBOS"/>
        <s v="REPUESTOS"/>
        <s v="EQUIPOS ELECTRO"/>
        <m u="1"/>
        <s v="AGROFORESTAL" u="1"/>
        <s v="AGROPECUARIA" u="1"/>
        <s v="AA (No Aplica)" u="1"/>
        <s v="OTROS" u="1"/>
        <s v="#N/A" u="1"/>
      </sharedItems>
    </cacheField>
    <cacheField name="CTV" numFmtId="164">
      <sharedItems containsSemiMixedTypes="0" containsString="0" containsNumber="1" minValue="0.06" maxValue="169.49"/>
    </cacheField>
    <cacheField name="PV" numFmtId="164">
      <sharedItems containsSemiMixedTypes="0" containsString="0" containsNumber="1" minValue="0.13" maxValue="220"/>
    </cacheField>
    <cacheField name="Buff Act" numFmtId="0">
      <sharedItems containsSemiMixedTypes="0" containsString="0" containsNumber="1" containsInteger="1" minValue="2" maxValue="3361"/>
    </cacheField>
    <cacheField name="Inv Fís Act" numFmtId="0">
      <sharedItems containsSemiMixedTypes="0" containsString="0" containsNumber="1" containsInteger="1" minValue="4" maxValue="10380"/>
    </cacheField>
    <cacheField name="Exceso Unid" numFmtId="0">
      <sharedItems containsSemiMixedTypes="0" containsString="0" containsNumber="1" containsInteger="1" minValue="1" maxValue="8857"/>
    </cacheField>
    <cacheField name="Exceso Valorado" numFmtId="164">
      <sharedItems containsSemiMixedTypes="0" containsString="0" containsNumber="1" minValue="1.7999999999999998" maxValue="11183.81000000000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uario" refreshedDate="41562.530796064813" createdVersion="3" refreshedVersion="3" minRefreshableVersion="3" recordCount="3487">
  <cacheSource type="worksheet">
    <worksheetSource name="Tabla_Items_Inactivos"/>
  </cacheSource>
  <cacheFields count="8">
    <cacheField name="EMPRESA" numFmtId="0">
      <sharedItems containsBlank="1" count="7">
        <s v="Agroinsumos Cia. Ltda"/>
        <s v="Agrota Cia. Ltda"/>
        <s v="Sukampo S.A."/>
        <s v="Sukampo" u="1"/>
        <m u="1"/>
        <s v="Agrota" u="1"/>
        <s v="Agroinsumos" u="1"/>
      </sharedItems>
    </cacheField>
    <cacheField name="CODIGO" numFmtId="0">
      <sharedItems containsBlank="1" count="2944">
        <s v="01-00102"/>
        <s v="05010102436"/>
        <s v="0501011545"/>
        <s v="0503010014 AFL"/>
        <s v="0503010023"/>
        <s v="0503010335"/>
        <s v="0624010005"/>
        <s v="073001105872"/>
        <s v="0T-012"/>
        <s v="0T-13"/>
        <s v="0T-14"/>
        <s v="0T-16 "/>
        <s v="2DK-16"/>
        <s v="34012301"/>
        <s v="34012701"/>
        <s v="34013200"/>
        <s v="34013401"/>
        <s v="34013701"/>
        <s v="3982-000-1640"/>
        <s v="44040109"/>
        <s v="51040009"/>
        <s v="75218022"/>
        <s v="83907851BR"/>
        <s v="89218022"/>
        <s v="90154200"/>
        <s v="90156500"/>
        <s v="96700800"/>
        <s v="96707000"/>
        <s v="A506000260"/>
        <s v="ACC-014"/>
        <s v="ALEN 5X16"/>
        <s v="ALEN 5X16 CC"/>
        <s v="ALEN 5X25"/>
        <s v="ALEN 5X30"/>
        <s v="ALEN 5X40"/>
        <s v="ARA-1LS-220"/>
        <s v="BOMSU-004"/>
        <s v="BR-001"/>
        <s v="BR-002"/>
        <s v="BR-004"/>
        <s v="BR-007"/>
        <s v="BR-010"/>
        <s v="BR-CAT-12390"/>
        <s v="BR-CAT-70089"/>
        <s v="BR-CAT-70738"/>
        <s v="BR-CAT-70973"/>
        <s v="BR-CAT-71381"/>
        <s v="BR-CAT-72704-12"/>
        <s v="BR-CAT-72780"/>
        <s v="BR-CAT-73060"/>
        <s v="BR-CAT-74548-00"/>
        <s v="BR-CAT-7620212"/>
        <s v="BR-CAT-76204-12"/>
        <s v="BR-CAT-76206-12"/>
        <s v="BR-CAT-76214-12"/>
        <s v="BR-CAT-77022-00"/>
        <s v="BR-CAT-CH4400"/>
        <s v="BR-CAT-CS3206"/>
        <s v="BR-CAT-CS3342"/>
        <s v="BR-CAT-SC2170"/>
        <s v="BR-CAT-SC3305"/>
        <s v="BR-WT190"/>
        <s v="BS-6535LA"/>
        <s v="C-0010"/>
        <s v="C-007"/>
        <s v="C-008"/>
        <s v="C-009"/>
        <s v="CHEV-LUVDMAX"/>
        <s v="CO-0021"/>
        <s v="CO-0031"/>
        <s v="CO-01311"/>
        <s v="COA-001"/>
        <s v="COA-002"/>
        <s v="COA-003"/>
        <s v="COA-004"/>
        <s v="COA-005"/>
        <s v="COR-001"/>
        <s v="COR-006"/>
        <s v="CR-008   "/>
        <s v="CR-0100"/>
        <s v="CR-01001"/>
        <s v="CR-011"/>
        <s v="CR-012"/>
        <s v="CR-013"/>
        <s v="CR-014"/>
        <s v="CR-015"/>
        <s v="CR-017"/>
        <s v="CR-019"/>
        <s v="CR-02.053.02"/>
        <s v="CR-02.100.07"/>
        <s v="CR-020"/>
        <s v="CR-023"/>
        <s v="CR-025"/>
        <s v="CR-026"/>
        <s v="CR-027"/>
        <s v="CR-028"/>
        <s v="CR-03.090.05"/>
        <s v="CR-03.154.07"/>
        <s v="CR-039"/>
        <s v="CR-041  "/>
        <s v="CR-049"/>
        <s v="CR-052"/>
        <s v="CR-056"/>
        <s v="CR-057"/>
        <s v="CR-058"/>
        <s v="CR-059"/>
        <s v="CR-060"/>
        <s v="CR-061"/>
        <s v="CR-062"/>
        <s v="CR-063"/>
        <s v="CR-064"/>
        <s v="CR-065"/>
        <s v="CR-066"/>
        <s v="CR-067"/>
        <s v="CR-080"/>
        <s v="CR-082 "/>
        <s v="CR-083"/>
        <s v="CR-088"/>
        <s v="CR-089"/>
        <s v="CR-093"/>
        <s v="CR-094"/>
        <s v="CR-095"/>
        <s v="CR-096"/>
        <s v="CR-097"/>
        <s v="CR-098"/>
        <s v="CR-099"/>
        <s v="CR-100"/>
        <s v="CR-1002"/>
        <s v="CR-102"/>
        <s v="CR-104       "/>
        <s v="CR-115"/>
        <s v="CR-117"/>
        <s v="CR-121"/>
        <s v="CR-122"/>
        <s v="CR-123"/>
        <s v="CR-125"/>
        <s v="CR-126"/>
        <s v="CR-140"/>
        <s v="CR-158"/>
        <s v="CR-1715538"/>
        <s v="CR-20.170.07"/>
        <s v="CR-20.171.07"/>
        <s v="CR-20.715.07"/>
        <s v="CR-240"/>
        <s v="CR-71.064.10"/>
        <s v="CR-CARCUSTOM"/>
        <s v="CR-DP2"/>
        <s v="CR-DPC4"/>
        <s v="CR-DPF"/>
        <s v="CR-DPFSR"/>
        <s v="CRE-003"/>
        <s v="CRE-004"/>
        <s v="CRE-010"/>
        <s v="CRE-016"/>
        <s v="CRE-023"/>
        <s v="CRE-032"/>
        <s v="CRE-033    "/>
        <s v="CRE-034"/>
        <s v="CRE-079"/>
        <s v="CRE-082"/>
        <s v="CRE-125"/>
        <s v="CRE-128"/>
        <s v="CRE-129"/>
        <s v="CRE-253"/>
        <s v="CRE-267"/>
        <s v="CRE-856"/>
        <s v="CRE-857"/>
        <s v="CRMOT"/>
        <s v="CT-0001"/>
        <s v="CT-0002"/>
        <s v="CT-0003"/>
        <s v="CT-0004"/>
        <s v="CY-001"/>
        <s v="DIS-ESCRITORIO 150X50 HAYA"/>
        <s v="DIS-ESTACIONTRABAJO"/>
        <s v="EC-001107"/>
        <s v="EC-09510"/>
        <s v="EC-10000039130"/>
        <s v="EC-10000052130"/>
        <s v="EC-10000060730"/>
        <s v="EC-10000060931"/>
        <s v="EC-10001101110"/>
        <s v="EC-10001105330"/>
        <s v="EC-10001108360"/>
        <s v="EC-10001110530"/>
        <s v="EC-10001116431"/>
        <s v="EC-10001121230"/>
        <s v="EC-10001130831"/>
        <s v="EC-10001132431"/>
        <s v="EC-10001139731"/>
        <s v="EC-10001142230"/>
        <s v="EC-10001143230"/>
        <s v="EC-10001146430"/>
        <s v="EC-10001212331"/>
        <s v="EC-10010006210"/>
        <s v="EC-10010030830"/>
        <s v="EC-10010043130"/>
        <s v="EC-10010055430"/>
        <s v="EC-10010055931"/>
        <s v="EC-10010060731"/>
        <s v="EC-10010160931"/>
        <s v="EC-1001141"/>
        <s v="EC-10014212330"/>
        <s v="EC-10020416430"/>
        <s v="EC-10020442230"/>
        <s v="EC-10020452132"/>
        <s v="EC-10020455430"/>
        <s v="EC-10020456232"/>
        <s v="EC-10021219830"/>
        <s v="EC-10021227930"/>
        <s v="EC-10021232430"/>
        <s v="EC-10021300310"/>
        <s v="EC-10021302830"/>
        <s v="EC-10021305530"/>
        <s v="EC-10021330830"/>
        <s v="EC-10024230830"/>
        <s v="EC-10024232430"/>
        <s v="EC-10024242030"/>
        <s v="EC-10024242230"/>
        <s v="EC-10024255430"/>
        <s v="EC-10091016430"/>
        <s v="EC-10091030830"/>
        <s v="EC-10091516430"/>
        <s v="EC-10091532530"/>
        <s v="EC-10091716430"/>
        <s v="EC-10091730830"/>
        <s v="EC-10092138330"/>
        <s v="EC-10092230830"/>
        <s v="EC-10101006211"/>
        <s v="EC-10101016431"/>
        <s v="EC-10101030830"/>
        <s v="EC-10101032431"/>
        <s v="EC-10101042231"/>
        <s v="EC-10101044332"/>
        <s v="EC-10101055430"/>
        <s v="EC-10101055930"/>
        <s v="EC-10101056030"/>
        <s v="EC-10101108961"/>
        <s v="EC-10101147530"/>
        <s v="EC-10101160730"/>
        <s v="EC-10101161230"/>
        <s v="EC-10103456532"/>
        <s v="EC-102922452"/>
        <s v="EC-10494022560"/>
        <s v="EC-10503"/>
        <s v="EC-10505"/>
        <s v="EC-10510"/>
        <s v="EC-12200032930"/>
        <s v="EC-12211200230"/>
        <s v="EC-12212300230"/>
        <s v="EC-12212500230"/>
        <s v="EC-12213700230"/>
        <s v="EC-12214000230"/>
        <s v="EC-12214100230"/>
        <s v="EC-12300038832"/>
        <s v="EC-12300047532"/>
        <s v="EC-12300052133"/>
        <s v="EC-12300055630"/>
        <s v="EC-12300057731"/>
        <s v="EC-12300060131"/>
        <s v="EC-12300060930"/>
        <s v="EC-12310052130"/>
        <s v="EC-12311212330"/>
        <s v="EC-12311605160"/>
        <s v="EC-12311824430"/>
        <s v="EC-12312009560"/>
        <s v="EC-12312116130"/>
        <s v="EC-12312203660"/>
        <s v="EC-12312232630"/>
        <s v="EC-12312318330"/>
        <s v="EC-12312338330"/>
        <s v="EC-12312509560"/>
        <s v="EC-12312512330"/>
        <s v="EC-12313704260"/>
        <s v="EC-12313719830"/>
        <s v="EC-12314003930"/>
        <s v="EC-12314016130"/>
        <s v="EC-12314016131"/>
        <s v="EC-12314103930"/>
        <s v="EC-12314116131"/>
        <s v="EC-12318139130"/>
        <s v="EC-12318140630"/>
        <s v="EC-12411305910"/>
        <s v="EC-12411405530"/>
        <s v="EC-12411411120"/>
        <s v="EC-12411505530"/>
        <s v="EC-12411511120"/>
        <s v="EC-12411605530"/>
        <s v="EC-12412215310"/>
        <s v="EC-12415905530"/>
        <s v="EC-12416011120"/>
        <s v="EC-12420013220"/>
        <s v="EC-12431749930"/>
        <s v="EC-12433149930"/>
        <s v="EC-12435412710"/>
        <s v="EC-12435521330"/>
        <s v="EC-12435550130"/>
        <s v="EC-12436112710"/>
        <s v="EC-12436212710"/>
        <s v="EC-12436312710"/>
        <s v="EC-12436412710"/>
        <s v="EC-12436721330"/>
        <s v="EC-12436755430"/>
        <s v="EC-12437455430"/>
        <s v="EC-12438012710"/>
        <s v="EC-12438055430"/>
        <s v="EC-12532308260"/>
        <s v="EC-12532508360"/>
        <s v="EC-12533708260"/>
        <s v="EC-12534107360"/>
        <s v="EC-12534408560"/>
        <s v="EC-12538108660"/>
        <s v="EC-12A0CD3744"/>
        <s v="EC-13000039131"/>
        <s v="EC-13000739930"/>
        <s v="EC-13000739932"/>
        <s v="EC-13001005960"/>
        <s v="EC-13001038330"/>
        <s v="EC-13001316431"/>
        <s v="EC-13001606232"/>
        <s v="EC-13001642231"/>
        <s v="EC-13001742031"/>
        <s v="EC-13001743130"/>
        <s v="EC-13001755630"/>
        <s v="EC-13001756431"/>
        <s v="EC-13002151530"/>
        <s v="EC-13010"/>
        <s v="EC-13030013411"/>
        <s v="EC-13030039730"/>
        <s v="EC-13030252131"/>
        <s v="EC-13030330831"/>
        <s v="EC-13030516430"/>
        <s v="EC-13030747533"/>
        <s v="EC-13031002910"/>
        <s v="EC-13031013410"/>
        <s v="EC-13031043130"/>
        <s v="EC-13031051730"/>
        <s v="EC-13031051830"/>
        <s v="EC-13031303710"/>
        <s v="EC-13031306230"/>
        <s v="EC-13031357030"/>
        <s v="EC-13040652131"/>
        <s v="EC-13051016431"/>
        <s v="EC-13051030830"/>
        <s v="EC-13051039932"/>
        <s v="EC-13051214731"/>
        <s v="EC-13051630830"/>
        <s v="EC-13100455530"/>
        <s v="EC-13100546831"/>
        <s v="EC-13101064931"/>
        <s v="EC-13120507320"/>
        <s v="EC-13120519831"/>
        <s v="EC-13191043130"/>
        <s v="EC-13192055430"/>
        <s v="EC-13192311120"/>
        <s v="EC-13192443130"/>
        <s v="EC-13201035430"/>
        <s v="EC-13201043130"/>
        <s v="EC-13201119831"/>
        <s v="EC-13211544330"/>
        <s v="EC-13211555930"/>
        <s v="EC-13-58"/>
        <s v="EC-14551006211"/>
        <s v="EC-14551030830"/>
        <s v="EC-14551055932"/>
        <s v="EC-14551206211"/>
        <s v="EC-14586130830"/>
        <s v="EC-15262655430"/>
        <s v="EC-15262655932"/>
        <s v="EC-15262656032"/>
        <s v="EC-15262660730"/>
        <s v="EC-15660106211"/>
        <s v="EC-15660112920"/>
        <s v="EC-15660130832"/>
        <s v="EC-15660132632"/>
        <s v="EC-15662639130"/>
        <s v="EC-15662652730"/>
        <s v="EC-15662660930"/>
        <s v="EC-15680142230"/>
        <s v="EC-15901201620"/>
        <s v="EC-16340032430"/>
        <s v="EC-17500030832"/>
        <s v="EC-17500056831"/>
        <s v="EC-17500539133"/>
        <s v="EC-17500542030"/>
        <s v="EC-17500543130"/>
        <s v="EC-17500544331"/>
        <s v="EC-17500549930"/>
        <s v="EC-17500555930"/>
        <s v="EC-17500660730"/>
        <s v="EC-17500905131"/>
        <s v="EC-17500942231"/>
        <s v="EC-17500955931"/>
        <s v="EC-17501230831"/>
        <s v="EC-17501232430"/>
        <s v="EC-17501805533"/>
        <s v="EC-17501830830"/>
        <s v="EC-17501842230"/>
        <s v="EC-17501849932"/>
        <s v="EC-17503314731"/>
        <s v="EC-17504606230"/>
        <s v="EC-17504646430"/>
        <s v="EC-17504656030"/>
        <s v="EC-17504803920"/>
        <s v="EC-17504805530"/>
        <s v="EC-17504903920"/>
        <s v="EC-17510530831"/>
        <s v="EC-17510532431"/>
        <s v="EC-17531320430"/>
        <s v="EC-17720006210"/>
        <s v="EC-17720016431"/>
        <s v="EC-17720030831"/>
        <s v="EC-17720042033"/>
        <s v="EC-17720055631"/>
        <s v="EC-17720055931"/>
        <s v="EC-17720206210"/>
        <s v="EC-17720212220"/>
        <s v="EC-17720241030"/>
        <s v="EC-17720360930"/>
        <s v="EC-17720614330"/>
        <s v="EC-17721510632"/>
        <s v="EC-17721532330"/>
        <s v="EC-17721535632"/>
        <s v="EC-17721538330"/>
        <s v="EC-17721540630"/>
        <s v="EC-17721543130"/>
        <s v="EC-17721544430"/>
        <s v="EC-17721560930"/>
        <s v="EC-17721830830"/>
        <s v="EC-17721832631"/>
        <s v="EC-17721844330"/>
        <s v="EC-17722002834"/>
        <s v="EC-17722006310"/>
        <s v="EC-17722010631"/>
        <s v="EC-17722035430"/>
        <s v="EC-17722040630"/>
        <s v="EC-17722107060"/>
        <s v="EC-17722135631"/>
        <s v="EC-17722138330"/>
        <s v="EC-17722601110"/>
        <s v="EC-17722811120"/>
        <s v="EC-17722827030"/>
        <s v="EC-17723412220"/>
        <s v="EC-17723419832"/>
        <s v="EC-17723430830"/>
        <s v="EC-17723440630"/>
        <s v="EC-17724214730"/>
        <s v="EC-17724230830"/>
        <s v="EC-17800143230"/>
        <s v="EC-17800147530"/>
        <s v="EC-17800151030"/>
        <s v="EC-17800159230"/>
        <s v="EC-17801005960"/>
        <s v="EC-17801022560"/>
        <s v="EC-17801205960"/>
        <s v="EC-17801335631"/>
        <s v="EC-17809022560"/>
        <s v="EC-17809037930"/>
        <s v="EC-17812743230"/>
        <s v="EC-18F8LS3372"/>
        <s v="EC-20019-83410"/>
        <s v="EC-20D8TW3872"/>
        <s v="EC-21250001111"/>
        <s v="EC-2150001111"/>
        <s v="EC-21560056"/>
        <s v="EC-22400010610"/>
        <s v="EC-22412713710"/>
        <s v="EC-24D8TW3884"/>
        <s v="EC-25001102011"/>
        <s v="EC-25001708013"/>
        <s v="EC-25021111610"/>
        <s v="EC-28D8TW3892"/>
        <s v="EC-30100156831"/>
        <s v="EC-30511042030"/>
        <s v="EC-30511055630"/>
        <s v="EC-313105055"/>
        <s v="EC-315105055"/>
        <s v="EC-32D8PS3805"/>
        <s v="EC-33SL0-72X"/>
        <s v="EC-35101052931"/>
        <s v="EC-35110022362"/>
        <s v="EC-35110247530"/>
        <s v="EC-35131122431"/>
        <s v="EC-35791100111"/>
        <s v="EC-35810001111"/>
        <s v="EC-400442310"/>
        <s v="EC-4037771"/>
        <s v="EC-4042881"/>
        <s v="EC-4048451"/>
        <s v="EC-4070981"/>
        <s v="EC-4073281"/>
        <s v="EC-43021113432"/>
        <s v="EC-43021330833"/>
        <s v="EC-43021530833"/>
        <s v="EC-43021531731"/>
        <s v="EC-43021531732"/>
        <s v="EC-43021531733"/>
        <s v="EC-43052737333"/>
        <s v="EC-43101330831"/>
        <s v="EC-43113516431"/>
        <s v="EC-43171730230"/>
        <s v="EC-43301116430"/>
        <s v="EC-43301119830"/>
        <s v="EC-43301330830"/>
        <s v="EC-43301402830"/>
        <s v="EC-43301416430"/>
        <s v="EC-43301611031"/>
        <s v="EC-43301616430"/>
        <s v="EC-43301903933"/>
        <s v="EC-43301910631"/>
        <s v="EC-43301912330"/>
        <s v="EC-43302116430"/>
        <s v="EC-43302811030"/>
        <s v="EC-43700037530"/>
        <s v="EC-43700237530"/>
        <s v="EC-43700632330"/>
        <s v="EC-43706319930"/>
        <s v="EC-43710016430"/>
        <s v="EC-43710019832"/>
        <s v="EC-43710038832"/>
        <s v="EC-43721015130"/>
        <s v="EC-450093990"/>
        <s v="EC-450095060"/>
        <s v="EC-4502640"/>
        <s v="EC-4517530"/>
        <s v="EC-452009480"/>
        <s v="EC-4525920"/>
        <s v="EC-4527270"/>
        <s v="EC-4529110"/>
        <s v="EC-4550460"/>
        <s v="EC-4552760"/>
        <s v="EC-4555310"/>
        <s v="EC-4557850"/>
        <s v="EC-4562530"/>
        <s v="EC-4567930"/>
        <s v="EC-4573040"/>
        <s v="EC-4573060"/>
        <s v="EC-4573110"/>
        <s v="EC-4574920"/>
        <s v="EC-4575060"/>
        <s v="EC-4575700"/>
        <s v="EC-4575740"/>
        <s v="EC-4576340"/>
        <s v="EC-4579070"/>
        <s v="EC-488/EMC"/>
        <s v="EC-488-50EMC"/>
        <s v="EC-569006"/>
        <s v="EC-569007"/>
        <s v="EC-569020"/>
        <s v="EC-569023"/>
        <s v="EC-569024"/>
        <s v="EC-569028"/>
        <s v="EC-60405105560"/>
        <s v="EC-60876"/>
        <s v="EC-61001106230"/>
        <s v="EC-61001122061"/>
        <s v="EC-61001122460"/>
        <s v="EC-61001125530"/>
        <s v="EC-61001222361"/>
        <s v="EC-61010522360"/>
        <s v="EC-61020543131"/>
        <s v="EC-61020623030"/>
        <s v="EC-61020643130"/>
        <s v="EC-61020656930"/>
        <s v="EC-61021022461"/>
        <s v="EC-61022222360"/>
        <s v="EC-61023904130"/>
        <s v="EC-61028222360"/>
        <s v="EC-61028222460"/>
        <s v="EC-61029822360"/>
        <s v="EC-61030056930"/>
        <s v="EC-61031005730"/>
        <s v="EC-61031056831"/>
        <s v="EC-61031056931"/>
        <s v="EC-61031307132"/>
        <s v="EC-61031421231"/>
        <s v="EC-61031452130"/>
        <s v="EC-61031507130"/>
        <s v="EC-61032027430"/>
        <s v="EC-61032052130"/>
        <s v="EC-61041307130"/>
        <s v="EC-61043450031"/>
        <s v="EC-61091051830"/>
        <s v="EC-6450009"/>
        <s v="EC-6450107"/>
        <s v="EC-65001"/>
        <s v="EC-65002"/>
        <s v="EC-65003"/>
        <s v="EC-682100"/>
        <s v="EC-69922956830"/>
        <s v="EC-70102005510"/>
        <s v="EC-70602004970"/>
        <s v="EC-70602009970"/>
        <s v="EC-70602013250"/>
        <s v="EC-70602016970"/>
        <s v="EC-70602018220"/>
        <s v="EC-70602028970"/>
        <s v="EC-70602031A13"/>
        <s v="EC-70602032010"/>
        <s v="EC-70602033710"/>
        <s v="EC-70602034770"/>
        <s v="EC-70602035911"/>
        <s v="EC-70602038720"/>
        <s v="EC-70602039720"/>
        <s v="EC-70602040771"/>
        <s v="EC-70602041720"/>
        <s v="EC-70602042040"/>
        <s v="EC-70602046780"/>
        <s v="EC-70602047412"/>
        <s v="EC-70602048970"/>
        <s v="EC-70602049A20"/>
        <s v="EC-70602050000"/>
        <s v="EC-70602060A22"/>
        <s v="EC-70602066011"/>
        <s v="EC-70602067820"/>
        <s v="EC-70602068010"/>
        <s v="EC-70604001A61"/>
        <s v="EC-70604003770"/>
        <s v="EC-70604060762"/>
        <s v="EC-70604061461"/>
        <s v="EC-70604062621"/>
        <s v="EC-70613005230"/>
        <s v="EC-70615001951"/>
        <s v="EC-70615050520"/>
        <s v="EC-70615086060"/>
        <s v="EC-70616002061"/>
        <s v="EC-70617027722"/>
        <s v="EC-70617038721"/>
        <s v="EC-70617047620"/>
        <s v="EC-70617050720"/>
        <s v="EC-70617051631"/>
        <s v="EC-70617052970"/>
        <s v="EC-70617055030"/>
        <s v="EC-72LPX60CQ"/>
        <s v="EC-73LGX72X"/>
        <s v="EC-73LGX84X"/>
        <s v="EC-73LGX92X"/>
        <s v="EC-73LGX92X60"/>
        <s v="EC-757-70INTL"/>
        <s v="EC-757CINTL"/>
        <s v="EC-78890-21001"/>
        <s v="EC-8000142"/>
        <s v="EC-80023"/>
        <s v="EC-80025"/>
        <s v="EC-8003009"/>
        <s v="EC-80187"/>
        <s v="EC-80221"/>
        <s v="EC-80247"/>
        <s v="EC-80250"/>
        <s v="EC-80253"/>
        <s v="EC-80255"/>
        <s v="EC-80256"/>
        <s v="EC-80405"/>
        <s v="EC-80425"/>
        <s v="EC-80426"/>
        <s v="EC-80550"/>
        <s v="EC-80551"/>
        <s v="EC-80676"/>
        <s v="EC-80677"/>
        <s v="EC-80678"/>
        <s v="EC-80786"/>
        <s v="EC-80794A"/>
        <s v="EC-81593"/>
        <s v="EC-81630"/>
        <s v="EC-82002"/>
        <s v="EC-82003"/>
        <s v="EC-82067A"/>
        <s v="EC-88102"/>
        <s v="EC-88198-S"/>
        <s v="EC-8890150"/>
        <s v="EC-8890802"/>
        <s v="EC-89757005560"/>
        <s v="EC-89770819835"/>
        <s v="EC-89852017130"/>
        <s v="EC-90016205014"/>
        <s v="EC-90016205025"/>
        <s v="EC-90016205050"/>
        <s v="EC-90016205057"/>
        <s v="EC-90024205025"/>
        <s v="EC-90024205057"/>
        <s v="EC-900302"/>
        <s v="EC-90050000005"/>
        <s v="EC-90060300005"/>
        <s v="EC-90060500004"/>
        <s v="EC-90072000012"/>
        <s v="EC-9007200012"/>
        <s v="EC-90080206000"/>
        <s v="EC-90080206002"/>
        <s v="EC-90080406001"/>
        <s v="EC-90081036202"/>
        <s v="EC-901018"/>
        <s v="EC-90SG-39X"/>
        <s v="EC-9103006010"/>
        <s v="EC-91032"/>
        <s v="EC-91046"/>
        <s v="EC-91VX44CQ"/>
        <s v="EC-91VX57X"/>
        <s v="EC-9242422000"/>
        <s v="EC-9242426000"/>
        <s v="EC-9242428000"/>
        <s v="EC-9242432000"/>
        <s v="EC-9242435000"/>
        <s v="EC-9242440000"/>
        <s v="EC-9311503010"/>
        <s v="EC-9701201"/>
        <s v="EC-9701401"/>
        <s v="EC-9711151"/>
        <s v="EC-9720135"/>
        <s v="EC-99909-156"/>
        <s v="EC-99909-159"/>
        <s v="EC-99909-160"/>
        <s v="EC-99909-207"/>
        <s v="EC-99909-229"/>
        <s v="EC-99909-306"/>
        <s v="EC-99909-307"/>
        <s v="EC-99909-450"/>
        <s v="EC-99909-451"/>
        <s v="EC-99909-453"/>
        <s v="EC-99909-55113"/>
        <s v="EC-99944100471"/>
        <s v="EC-99944100473"/>
        <s v="EC-99944100475"/>
        <s v="EC-99944100477"/>
        <s v="EC-99944100480"/>
        <s v="EC-99944100482"/>
        <s v="EC-99944100483"/>
        <s v="EC-99944100484"/>
        <s v="EC-99944100485"/>
        <s v="EC-99944100486"/>
        <s v="EC-99944200904"/>
        <s v="EC-99944900040"/>
        <s v="EC-99944900240"/>
        <s v="EC-99944900250"/>
        <s v="EC-99944900260"/>
        <s v="EC-99946400023"/>
        <s v="EC-A011000101"/>
        <s v="EC-A011000120"/>
        <s v="EC-A011000250"/>
        <s v="EC-A011000540"/>
        <s v="EC-A011000720"/>
        <s v="EC-A011000770"/>
        <s v="EC-A011000810"/>
        <s v="EC-A011000830"/>
        <s v="EC-A011000840"/>
        <s v="EC-A011000860"/>
        <s v="EC-A011001030"/>
        <s v="EC-A011001050"/>
        <s v="EC-A011001060"/>
        <s v="EC-A020000080"/>
        <s v="EC-A021000220"/>
        <s v="EC-A021000290"/>
        <s v="EC-A021000681"/>
        <s v="EC-A021000740"/>
        <s v="EC-A021000990"/>
        <s v="EC-A021001660"/>
        <s v="EC-A021001680"/>
        <s v="EC-A021002010"/>
        <s v="EC-A021002120"/>
        <s v="EC-A021002140"/>
        <s v="EC-A021002190"/>
        <s v="EC-A021002470"/>
        <s v="EC-A021002500"/>
        <s v="EC-A021002520"/>
        <s v="EC-A021002540"/>
        <s v="EC-A021002570"/>
        <s v="EC-A021002690"/>
        <s v="EC-A021003110"/>
        <s v="EC-A021003120"/>
        <s v="EC-A021003180"/>
        <s v="EC-A021003440"/>
        <s v="EC-A021003490"/>
        <s v="EC-A023000160"/>
        <s v="EC-A023000240"/>
        <s v="EC-A030000120"/>
        <s v="EC-A030000190"/>
        <s v="EC-A030000240"/>
        <s v="EC-A030000250"/>
        <s v="EC-A030000260"/>
        <s v="EC-A030000270"/>
        <s v="EC-A030000570"/>
        <s v="EC-A030000590"/>
        <s v="EC-A030000610"/>
        <s v="EC-A033000070"/>
        <s v="EC-A033000230"/>
        <s v="EC-A033000330"/>
        <s v="EC-A038000330"/>
        <s v="EC-A038000430"/>
        <s v="EC-A039000020"/>
        <s v="EC-A045000340"/>
        <s v="EC-A050000200"/>
        <s v="EC-A050000240"/>
        <s v="EC-A051000070"/>
        <s v="EC-A051000170"/>
        <s v="EC-A051000982"/>
        <s v="EC-A051001660"/>
        <s v="EC-A051001861"/>
        <s v="EC-A051002100"/>
        <s v="EC-A051002180"/>
        <s v="EC-A052000011"/>
        <s v="EC-A052000030"/>
        <s v="EC-A052000160"/>
        <s v="EC-A052000370"/>
        <s v="EC-A052000380"/>
        <s v="EC-A052000430"/>
        <s v="EC-A055000000"/>
        <s v="EC-A055000020"/>
        <s v="EC-A055000100"/>
        <s v="EC-A055000140"/>
        <s v="EC-A056000010"/>
        <s v="EC-A056000050"/>
        <s v="EC-A056000170"/>
        <s v="EC-A056000220"/>
        <s v="EC-A056000330"/>
        <s v="EC-A056000450"/>
        <s v="EC-A056000520"/>
        <s v="EC-A056000640"/>
        <s v="EC-A056000650"/>
        <s v="EC-A057000011"/>
        <s v="EC-A058000010"/>
        <s v="EC-A100000610"/>
        <s v="EC-A100000670"/>
        <s v="EC-A100000680"/>
        <s v="EC-A100000730"/>
        <s v="EC-A100000960"/>
        <s v="EC-A101000000"/>
        <s v="EC-A101000010"/>
        <s v="EC-A101000090"/>
        <s v="EC-A101000150"/>
        <s v="EC-A101000160"/>
        <s v="EC-A101000210"/>
        <s v="EC-A101000250"/>
        <s v="EC-A101000300"/>
        <s v="EC-A101000330"/>
        <s v="EC-A101000350"/>
        <s v="EC-A101000360"/>
        <s v="EC-A101000370"/>
        <s v="EC-A101000380"/>
        <s v="EC-A101000400"/>
        <s v="EC-A101000550"/>
        <s v="EC-A130000111"/>
        <s v="EC-A130000292"/>
        <s v="EC-A130000430"/>
        <s v="EC-A130000601"/>
        <s v="EC-A130000870"/>
        <s v="EC-A130000910"/>
        <s v="EC-A130000980"/>
        <s v="EC-A130000990"/>
        <s v="EC-A130001070"/>
        <s v="EC-A130001150"/>
        <s v="EC-A130001330"/>
        <s v="EC-A130001340"/>
        <s v="EC-A130001370"/>
        <s v="EC-A130001371"/>
        <s v="EC-A130001660"/>
        <s v="EC-A130001670"/>
        <s v="EC-A130001750"/>
        <s v="EC-A130001780"/>
        <s v="EC-A130001820"/>
        <s v="EC-A160001640"/>
        <s v="EC-A160001650"/>
        <s v="EC-A160002110"/>
        <s v="EC-A160002240"/>
        <s v="EC-A1601650"/>
        <s v="EC-A172001270"/>
        <s v="EC-A172001300"/>
        <s v="EC-A175000150"/>
        <s v="EC-A175000180"/>
        <s v="EC-A175000200"/>
        <s v="EC-A175000210"/>
        <s v="EC-A200000140"/>
        <s v="EC-A200000470"/>
        <s v="EC-A200000500"/>
        <s v="EC-A200000560"/>
        <s v="EC-A200000640"/>
        <s v="EC-A200000680"/>
        <s v="EC-A200000870"/>
        <s v="EC-A201000030"/>
        <s v="EC-A202000011"/>
        <s v="EC-A202000060"/>
        <s v="EC-A202000080"/>
        <s v="EC-A202000160"/>
        <s v="EC-A202000180"/>
        <s v="EC-A206000010"/>
        <s v="EC-A225000400"/>
        <s v="EC-A225000490"/>
        <s v="EC-A225000500"/>
        <s v="EC-A225000530"/>
        <s v="EC-A226000020"/>
        <s v="EC-A226000070"/>
        <s v="EC-A226000300"/>
        <s v="EC-A226000310"/>
        <s v="EC-A226000520"/>
        <s v="EC-A226000580"/>
        <s v="EC-A226000620"/>
        <s v="EC-A226000650"/>
        <s v="EC-A226000660"/>
        <s v="EC-A226001220"/>
        <s v="EC-A226001260"/>
        <s v="EC-A226001410"/>
        <s v="EC-A230000000"/>
        <s v="EC-A232000312"/>
        <s v="EC-A232000710"/>
        <s v="EC-A232000840"/>
        <s v="EC-A232000940"/>
        <s v="EC-A232001250"/>
        <s v="EC-A235000220"/>
        <s v="EC-A235000300"/>
        <s v="EC-A244000180"/>
        <s v="EC-A300000781"/>
        <s v="EC-A313001590"/>
        <s v="EC-A314000020"/>
        <s v="EC-A320000080"/>
        <s v="EC-A320000760"/>
        <s v="EC-A320000790"/>
        <s v="EC-A320000890"/>
        <s v="EC-A350000131"/>
        <s v="EC-A356000030"/>
        <s v="EC-A356000050"/>
        <s v="EC-A362000000"/>
        <s v="EC-A369000070"/>
        <s v="EC-A369000100"/>
        <s v="EC-A392000060"/>
        <s v="EC-A393000050"/>
        <s v="EC-A393000180"/>
        <s v="EC-A393000190"/>
        <s v="EC-A409000520"/>
        <s v="EC-A409000620"/>
        <s v="EC-A409000640"/>
        <s v="EC-A409000650"/>
        <s v="EC-A409000730"/>
        <s v="EC-A409000960"/>
        <s v="EC-A410000030"/>
        <s v="EC-A411000031"/>
        <s v="EC-A411000050"/>
        <s v="EC-A411000130"/>
        <s v="EC-A411000264"/>
        <s v="EC-A411000450"/>
        <s v="EC-A411000550"/>
        <s v="EC-A411000650"/>
        <s v="EC-A411000780"/>
        <s v="EC-A411000790"/>
        <s v="EC-A411000820"/>
        <s v="EC-A411000910"/>
        <s v="EC-A426000000"/>
        <s v="EC-A426000050"/>
        <s v="EC-A427000000"/>
        <s v="EC-A427000090"/>
        <s v="EC-A427000150"/>
        <s v="EC-A429000110"/>
        <s v="EC-A429000120"/>
        <s v="EC-A439000510"/>
        <s v="EC-A440000300"/>
        <s v="EC-A500000840"/>
        <s v="EC-A504000060"/>
        <s v="EC-A504000110"/>
        <s v="EC-A504000130"/>
        <s v="EC-A504000140"/>
        <s v="EC-A504000190"/>
        <s v="EC-A506000080"/>
        <s v="EC-A506000110"/>
        <s v="EC-A506000120"/>
        <s v="EC-A506000230"/>
        <s v="EC-A506000260"/>
        <s v="EC-A506000270"/>
        <s v="EC-A506000410"/>
        <s v="EC-A509000320"/>
        <s v="EC-A510000110"/>
        <s v="EC-A511000160"/>
        <s v="EC-A511000210"/>
        <s v="EC-A511000250"/>
        <s v="EC-A514000080"/>
        <s v="EC-A514000130"/>
        <s v="EC-A514000230"/>
        <s v="EC-A518000010"/>
        <s v="EC-A518000050"/>
        <s v="EC-A520000080"/>
        <s v="EC-A520000170"/>
        <s v="EC-A552000120"/>
        <s v="EC-A553000000"/>
        <s v="EC-A553000060"/>
        <s v="EC-A555000130"/>
        <s v="EC-A555000220"/>
        <s v="EC-A556000021"/>
        <s v="EC-A556000181"/>
        <s v="EC-A556000480"/>
        <s v="EC-A556000650"/>
        <s v="EC-A556000660"/>
        <s v="EC-A556000700"/>
        <s v="EC-A556000810"/>
        <s v="EC-A556000960"/>
        <s v="EC-A556001170"/>
        <s v="EC-A556001270"/>
        <s v="EC-A565000070"/>
        <s v="EC-A566000120"/>
        <s v="EC-A566000130"/>
        <s v="EC-A566000200"/>
        <s v="EC-A566000210"/>
        <s v="EC-A566000220"/>
        <s v="EC-A570000200"/>
        <s v="EC-A575000270"/>
        <s v="EC-A575000380"/>
        <s v="EC-A575000410"/>
        <s v="EC-A575000420"/>
        <s v="EC-A575000430"/>
        <s v="EC-A575000440"/>
        <s v="EC-AP004001950"/>
        <s v="EC-B450/AUS"/>
        <s v="EC-B450EMC"/>
        <s v="EC-B530INTL"/>
        <s v="EC-BP35INTL"/>
        <s v="EC-C020000010"/>
        <s v="EC-C020000070"/>
        <s v="EC-C022000020"/>
        <s v="EC-C022000120"/>
        <s v="EC-C022000130"/>
        <s v="EC-C044000480"/>
        <s v="EC-C044000540"/>
        <s v="EC-C044000640"/>
        <s v="EC-C044000880"/>
        <s v="EC-C050001880"/>
        <s v="EC-C050001920"/>
        <s v="EC-C051000120"/>
        <s v="EC-C051000480"/>
        <s v="EC-C051000560"/>
        <s v="EC-C051000600"/>
        <s v="EC-C051000610"/>
        <s v="EC-C051000680"/>
        <s v="EC-C05100600"/>
        <s v="EC-C057000070"/>
        <s v="EC-C062000340"/>
        <s v="EC-C062000430"/>
        <s v="EC-C063000030"/>
        <s v="EC-C209000080"/>
        <s v="EC-C230INTL"/>
        <s v="EC-C270EMC"/>
        <s v="EC-C300000740"/>
        <s v="EC-C305000040"/>
        <s v="EC-C305000350"/>
        <s v="EC-C305000360"/>
        <s v="EC-C305000370"/>
        <s v="EC-C305000380"/>
        <s v="EC-C309000030"/>
        <s v="EC-C309000110"/>
        <s v="EC-C316000010"/>
        <s v="EC-C320000350"/>
        <s v="EC-C328000080"/>
        <s v="EC-C350INTL"/>
        <s v="EC-C400000211"/>
        <s v="EC-C423000790"/>
        <s v="EC-C450000042"/>
        <s v="EC-C450000510"/>
        <s v="EC-C454000181"/>
        <s v="EC-C482000070"/>
        <s v="EC-C501000070"/>
        <s v="EC-C501000080"/>
        <s v="EC-C504000500"/>
        <s v="EC-C504000550"/>
        <s v="EC-C504000560"/>
        <s v="EC-C504000620"/>
        <s v="EC-C504000690"/>
        <s v="EC-C504000720"/>
        <s v="EC-C504000740"/>
        <s v="EC-C504000770"/>
        <s v="EC-C506000200"/>
        <s v="EC-C510000120"/>
        <s v="EC-C531000030"/>
        <s v="EC-C531000600"/>
        <s v="EC-C534000590"/>
        <s v="EC-C534000600"/>
        <s v="EC-C534000680"/>
        <s v="EC-C535000001"/>
        <s v="EC-C535000480"/>
        <s v="EC-C535000510"/>
        <s v="EC-C535000520"/>
        <s v="EC-C535000530"/>
        <s v="EC-C535000630"/>
        <s v="EC-C535000640"/>
        <s v="EC-C535000650"/>
        <s v="EC-C535000760"/>
        <s v="EC-C535000770"/>
        <s v="EC-C535000790"/>
        <s v="EC-C535000850"/>
        <s v="EC-C535000860"/>
        <s v="EC-C535000990"/>
        <s v="EC-C535001010"/>
        <s v="EC-C536000030"/>
        <s v="EC-C550000430"/>
        <s v="EC-C551000070"/>
        <s v="EC-C551000110"/>
        <s v="EC-C624000070"/>
        <s v="EC-CS 680S"/>
        <s v="EC-CS 8002EUSTD"/>
        <s v="EC-CS-1201-90EUSTD"/>
        <s v="EC-CS-3000"/>
        <s v="EC-CS-3000-30EUSTD"/>
        <s v="EC-CS-3500"/>
        <s v="EC-CS-3500-35EUSTD"/>
        <s v="EC-CS-3500-40EUSTD"/>
        <s v="EC-CS-420ES"/>
        <s v="EC-CS-420ES-45EU"/>
        <s v="EC-CS-600-50EUSTD"/>
        <s v="EC-CS-600-60EUSTD"/>
        <s v="EC-CS-680S-50EUSTD"/>
        <s v="EC-CS-680S-60EUSTD"/>
        <s v="EC-CS-680S-70EUSTD"/>
        <s v="EC-CS-8002-70EUSTD"/>
        <s v="EC-CS-8002-80EUSTD"/>
        <s v="EC-DM-6110-13EUSTD"/>
        <s v="EC-DM-6110EUSTD"/>
        <s v="EC-DMAD-4610EUSTD"/>
        <s v="EC-E025000260"/>
        <s v="EC-E025000470"/>
        <s v="EC-E164000100"/>
        <s v="EC-EA-410"/>
        <s v="EC-EB500/EC1"/>
        <s v="EC-EDR-210"/>
        <s v="EC-ES-255"/>
        <s v="EC-ES726"/>
        <s v="EC-GT-22GES"/>
        <s v="EC-HC-150STD"/>
        <s v="EC-J420000080"/>
        <s v="EC-M230/EMC"/>
        <s v="EC-P003000240"/>
        <s v="EC-P003000250"/>
        <s v="EC-P003000570"/>
        <s v="EC-P003002210"/>
        <s v="EC-P004000430"/>
        <s v="EC-P004000440"/>
        <s v="EC-P004000700"/>
        <s v="EC-P004000880"/>
        <s v="EC-P004000890"/>
        <s v="EC-P004000930"/>
        <s v="EC-P004001340"/>
        <s v="EC-P004001360"/>
        <s v="EC-P004001660"/>
        <s v="EC-P004001890"/>
        <s v="EC-P004001920"/>
        <s v="EC-P004001940"/>
        <s v="EC-P004002520"/>
        <s v="EC-P004002640"/>
        <s v="EC-P004002680"/>
        <s v="EC-P004002730"/>
        <s v="EC-P004002820"/>
        <s v="EC-P004002860"/>
        <s v="EC-P004002900"/>
        <s v="EC-P004003010"/>
        <s v="EC-P005000790"/>
        <s v="EC-P005001080"/>
        <s v="EC-P005001110"/>
        <s v="EC-P005001130"/>
        <s v="EC-P005001140"/>
        <s v="EC-P005001150"/>
        <s v="EC-P005001160"/>
        <s v="EC-P021000371"/>
        <s v="EC-P021000803"/>
        <s v="EC-P021001102"/>
        <s v="EC-P021001820"/>
        <s v="EC-P021002471"/>
        <s v="EC-P021002791"/>
        <s v="EC-P021002800"/>
        <s v="EC-P021003540"/>
        <s v="EC-P021004090"/>
        <s v="EC-P021005410"/>
        <s v="EC-P021005420"/>
        <s v="EC-P021005900"/>
        <s v="EC-P021005911"/>
        <s v="EC-P021006153"/>
        <s v="EC-P021006200"/>
        <s v="EC-P021006290"/>
        <s v="EC-P021007312"/>
        <s v="EC-P021007772"/>
        <s v="EC-P021008630"/>
        <s v="EC-P021010210"/>
        <s v="EC-P021010232"/>
        <s v="EC-P021010574"/>
        <s v="EC-P021010581"/>
        <s v="EC-P021010582"/>
        <s v="EC-P021010593"/>
        <s v="EC-P021010642"/>
        <s v="EC-P021011610"/>
        <s v="EC-P021012591"/>
        <s v="EC-P021012600"/>
        <s v="EC-P021012620"/>
        <s v="EC-P021012780"/>
        <s v="EC-P021012781"/>
        <s v="EC-P021012790"/>
        <s v="EC-P021012791"/>
        <s v="EC-P021012810"/>
        <s v="EC-P021012831"/>
        <s v="EC-P021012920"/>
        <s v="EC-P021013620"/>
        <s v="EC-P021014260"/>
        <s v="EC-P021014320"/>
        <s v="EC-P021014440"/>
        <s v="EC-P021015132"/>
        <s v="EC-P021015160"/>
        <s v="EC-P021015190"/>
        <s v="EC-P021015290"/>
        <s v="EC-P021015350"/>
        <s v="EC-P021015770"/>
        <s v="EC-P021015780"/>
        <s v="EC-P021016250"/>
        <s v="EC-P021016370"/>
        <s v="EC-P021017220"/>
        <s v="EC-P021017910"/>
        <s v="EC-P021017920"/>
        <s v="EC-P021017990"/>
        <s v="EC-P021018010"/>
        <s v="EC-P021021240"/>
        <s v="EC-P021021540"/>
        <s v="EC-P021021910"/>
        <s v="EC-P021022060"/>
        <s v="EC-P021022520"/>
        <s v="EC-P021022530"/>
        <s v="EC-P021022550"/>
        <s v="EC-P021022560"/>
        <s v="EC-P021022570"/>
        <s v="EC-P021022580"/>
        <s v="EC-P021022590"/>
        <s v="EC-P021022720"/>
        <s v="EC-P021023230"/>
        <s v="EC-P021023260"/>
        <s v="EC-P021027031"/>
        <s v="EC-P021027040"/>
        <s v="EC-P021027090"/>
        <s v="EC-P021027100"/>
        <s v="EC-P021027130"/>
        <s v="EC-P021027280"/>
        <s v="EC-P021027760"/>
        <s v="EC-P021027770"/>
        <s v="EC-P021028610"/>
        <s v="EC-P021028810"/>
        <s v="EC-P021028840"/>
        <s v="EC-P021028850"/>
        <s v="EC-P021029730"/>
        <s v="EC-P021030360"/>
        <s v="EC-P021030550"/>
        <s v="EC-P021030570"/>
        <s v="EC-P021031560"/>
        <s v="EC-P021031570"/>
        <s v="EC-P021031630"/>
        <s v="EC-P021031650"/>
        <s v="EC-P021032390"/>
        <s v="EC-P021032440"/>
        <s v="EC-P021032670"/>
        <s v="EC-P021033070"/>
        <s v="EC-P021033200"/>
        <s v="EC-P021033230"/>
        <s v="EC-P021033250"/>
        <s v="EC-P021033470"/>
        <s v="EC-P021034100"/>
        <s v="EC-P021034560"/>
        <s v="EC-P021035221"/>
        <s v="EC-P021035261"/>
        <s v="EC-P021035340"/>
        <s v="EC-P021035430"/>
        <s v="EC-P021035440"/>
        <s v="EC-P021035720"/>
        <s v="EC-P021036030"/>
        <s v="EC-P021036100"/>
        <s v="EC-P021036460"/>
        <s v="EC-P022002080"/>
        <s v="EC-P022002090"/>
        <s v="EC-P022002100"/>
        <s v="EC-P022006870"/>
        <s v="EC-P022006900"/>
        <s v="EC-P022006910"/>
        <s v="EC-P022006940"/>
        <s v="EC-P022006970"/>
        <s v="EC-P022006980"/>
        <s v="EC-P022006990"/>
        <s v="EC-P022007020"/>
        <s v="EC-P022007030"/>
        <s v="EC-P022007041"/>
        <s v="EC-P022007050"/>
        <s v="EC-P022007060"/>
        <s v="EC-P022007081"/>
        <s v="EC-P022007090"/>
        <s v="EC-P022007110"/>
        <s v="EC-P022007120"/>
        <s v="EC-P022007131"/>
        <s v="EC-P022007151"/>
        <s v="EC-P022007160"/>
        <s v="EC-P022007170"/>
        <s v="EC-P022007230"/>
        <s v="EC-P022007260"/>
        <s v="EC-P022007270"/>
        <s v="EC-P022007310"/>
        <s v="EC-P022007320"/>
        <s v="EC-P022007430"/>
        <s v="EC-P022007440"/>
        <s v="EC-P022007460"/>
        <s v="EC-P022010440"/>
        <s v="EC-P022024750"/>
        <s v="EC-P022024760"/>
        <s v="EC-P022025180"/>
        <s v="EC-P050009350"/>
        <s v="EC-P230S/EC1"/>
        <s v="EC-PPT-2400STD"/>
        <s v="EC-SHP-800-2"/>
        <s v="EC-SHP-800EUSTD"/>
        <s v="EC-SP20HPS"/>
        <s v="EC-SP30BPE"/>
        <s v="EC-SP40BPS"/>
        <s v="EC-SP45BPE"/>
        <s v="EC-SRAH-205"/>
        <s v="EC-SRM-22GUES"/>
        <s v="EC-SRM-270UEU"/>
        <s v="EC-SRM-3605UEU"/>
        <s v="EC-SRM-4300F"/>
        <s v="EC-SRM-4300R"/>
        <s v="EC-SRM-4605UEU"/>
        <s v="EC-T230XREMC"/>
        <s v="EC-UN10"/>
        <s v="EC-V000000130"/>
        <s v="EC-V043000420"/>
        <s v="EC-V043000530"/>
        <s v="EC-V043000540"/>
        <s v="EC-V043000550"/>
        <s v="EC-V043000560"/>
        <s v="EC-V043000870"/>
        <s v="EC-V100000040"/>
        <s v="EC-V100000270"/>
        <s v="EC-V100000410"/>
        <s v="EC-V100000450"/>
        <s v="EC-V100000470"/>
        <s v="EC-V100000490"/>
        <s v="EC-V100000560"/>
        <s v="EC-V100000570"/>
        <s v="EC-V102000001"/>
        <s v="EC-V102000060"/>
        <s v="EC-V103000070"/>
        <s v="EC-V103000490"/>
        <s v="EC-V103000720"/>
        <s v="EC-V103000950"/>
        <s v="EC-V103001010"/>
        <s v="EC-V103001020"/>
        <s v="EC-V103001030"/>
        <s v="EC-V103001040"/>
        <s v="EC-V103001080"/>
        <s v="EC-V104000210"/>
        <s v="EC-V104000910"/>
        <s v="EC-V104000920"/>
        <s v="EC-V104001330"/>
        <s v="EC-V104001360"/>
        <s v="EC-V104001500"/>
        <s v="EC-V104001610"/>
        <s v="EC-V104001620"/>
        <s v="EC-V138000020"/>
        <s v="EC-V13800020"/>
        <s v="EC-V203000110"/>
        <s v="EC-V204000410"/>
        <s v="EC-V204000640"/>
        <s v="EC-V205000400"/>
        <s v="EC-V205000480"/>
        <s v="EC-V206000220"/>
        <s v="EC-V206000230"/>
        <s v="EC-V206000250"/>
        <s v="EC-V216000040"/>
        <s v="EC-V224000031"/>
        <s v="EC-V225000160"/>
        <s v="EC-V225000180"/>
        <s v="EC-V255000030"/>
        <s v="EC-V265000230"/>
        <s v="EC-V265000240"/>
        <s v="EC-V265000250"/>
        <s v="EC-V299000390"/>
        <s v="EC-V299000410"/>
        <s v="EC-V299000420"/>
        <s v="EC-V302000010"/>
        <s v="EC-V304000010"/>
        <s v="EC-V304000180"/>
        <s v="EC-V307000230"/>
        <s v="EC-V309000040"/>
        <s v="EC-V309000080"/>
        <s v="EC-V322000040"/>
        <s v="EC-V352000140"/>
        <s v="EC-V353000430"/>
        <s v="EC-V356000352"/>
        <s v="EC-V356000480"/>
        <s v="EC-V356000490"/>
        <s v="EC-V357000180"/>
        <s v="EC-V358000130"/>
        <s v="EC-V358000140"/>
        <s v="EC-V360000060"/>
        <s v="EC-V401000050"/>
        <s v="EC-V401000390"/>
        <s v="EC-V420002390"/>
        <s v="EC-V420002400"/>
        <s v="EC-V420002500"/>
        <s v="EC-V420002510"/>
        <s v="EC-V420002520"/>
        <s v="EC-V420002620"/>
        <s v="EC-V430001330"/>
        <s v="EC-V430002900"/>
        <s v="EC-V430002910"/>
        <s v="EC-V430002930"/>
        <s v="EC-V430003240"/>
        <s v="EC-V450000150"/>
        <s v="EC-V451000040"/>
        <s v="EC-V451000940"/>
        <s v="EC-V452000520"/>
        <s v="EC-V452000550"/>
        <s v="EC-V452000560"/>
        <s v="EC-V452000950"/>
        <s v="EC-V452000960"/>
        <s v="EC-V470001600"/>
        <s v="EC-V471002660"/>
        <s v="EC-V475004810"/>
        <s v="EC-V490000530"/>
        <s v="EC-V490000680"/>
        <s v="EC-V490000720"/>
        <s v="EC-V505000080"/>
        <s v="EC-V505000140"/>
        <s v="EC-V508000050"/>
        <s v="EC-V508000080"/>
        <s v="EC-V509000000"/>
        <s v="EC-V510000030"/>
        <s v="EC-V513000000"/>
        <s v="EC-V553000100"/>
        <s v="EC-V556000020"/>
        <s v="EC-V556000030"/>
        <s v="EC-V558000000"/>
        <s v="EC-V580000100"/>
        <s v="EC-V582000100"/>
        <s v="EC-V582000200"/>
        <s v="EC-V583000181"/>
        <s v="EC-V592000290"/>
        <s v="EC-V609000050"/>
        <s v="EC-V641000140"/>
        <s v="EC-V641000150"/>
        <s v="EC-V651000001"/>
        <s v="EC-V651000011"/>
        <s v="EC-V651000520"/>
        <s v="EC-V651000540"/>
        <s v="EC-V651000550"/>
        <s v="EC-V651000690"/>
        <s v="EC-V651000700"/>
        <s v="EC-V652000030"/>
        <s v="EC-V652000090"/>
        <s v="EC-V652000170"/>
        <s v="EC-V652000180"/>
        <s v="EC-V652000190"/>
        <s v="EC-WP-1000"/>
        <s v="EC-X114000000"/>
        <s v="EC-X405000001"/>
        <s v="EC-X405000011"/>
        <s v="EC-X411000950"/>
        <s v="EC-X475000050"/>
        <s v="EC-X600000111"/>
        <s v="EC-X602000020"/>
        <s v="EC-X602000140"/>
        <s v="EC-X602000150"/>
        <s v="EC-X602000210"/>
        <s v="EC-X602000220"/>
        <s v="EC-X602000230"/>
        <s v="EC-X605000090"/>
        <s v="EC-X605000100"/>
        <s v="EC-X640000150"/>
        <s v="ESLIVE-004"/>
        <s v="F-001"/>
        <s v="F-0013"/>
        <s v="F-0014"/>
        <s v="F-0015"/>
        <s v="F-002"/>
        <s v="F-003"/>
        <s v="F-005"/>
        <s v="F-007"/>
        <s v="F-011"/>
        <s v="F-013"/>
        <s v="F-014"/>
        <s v="F-018"/>
        <s v="FIL-003"/>
        <s v="FIL-013"/>
        <s v="FIL-232"/>
        <s v="FIL-237"/>
        <s v="FIL-299"/>
        <s v="FIL-40572"/>
        <s v="FIL-501"/>
        <s v="FIL-568"/>
        <s v="FIL-570"/>
        <s v="FIL-571"/>
        <s v="FUM-004"/>
        <s v="FUM-007"/>
        <s v="FUM-010"/>
        <s v="G-001"/>
        <s v="G-0010"/>
        <s v="G-0011"/>
        <s v="G-0012"/>
        <s v="G-0014"/>
        <s v="G-0015"/>
        <s v="G-002"/>
        <s v="G-004"/>
        <s v="G-0041"/>
        <s v="G-005"/>
        <s v="G-006"/>
        <s v="G-008"/>
        <s v="GESU-005"/>
        <s v="HER-001  "/>
        <s v="HER-013"/>
        <s v="HER-015"/>
        <s v="HER-017"/>
        <s v="HER-020"/>
        <s v="HF-011"/>
        <s v="HF-011AB"/>
        <s v="HF-019"/>
        <s v="HF-019AB"/>
        <s v="HFPJ-20"/>
        <s v="HI-014"/>
        <s v="HI-016"/>
        <s v="HI-020"/>
        <s v="HI-021"/>
        <s v="IB-001"/>
        <s v="IB-002"/>
        <s v="IB-003"/>
        <s v="IB-006"/>
        <s v="IB-007"/>
        <s v="IB-009"/>
        <s v="IB-010"/>
        <s v="IB-011"/>
        <s v="IMB-001"/>
        <s v="IMP-045"/>
        <s v="IMP-061"/>
        <s v="IMP-188"/>
        <s v="IMP-241"/>
        <s v="IMP-250"/>
        <s v="IMP-251"/>
        <s v="IMP-252"/>
        <s v="IMP-254"/>
        <s v="IMP-256"/>
        <s v="IMP-2563"/>
        <s v="IMP-259"/>
        <s v="IMP-261"/>
        <s v="IMP-271"/>
        <s v="IMP-278"/>
        <s v="IMP-279"/>
        <s v="IMP-528"/>
        <s v="IMP-865"/>
        <s v="IN - 126"/>
        <s v="IN - 127"/>
        <s v="IN - 1271"/>
        <s v="IN -141"/>
        <s v="IN-0004"/>
        <s v="IN-0005"/>
        <s v="IN-0007"/>
        <s v="IN-0008"/>
        <s v="IN-00102"/>
        <s v="IN-0011"/>
        <s v="IN-00117"/>
        <s v="IN-0012"/>
        <s v="IN-0014"/>
        <s v="IN-0017"/>
        <s v="IN-00171"/>
        <s v="IN-00172"/>
        <s v="IN-00173"/>
        <s v="IN-00174"/>
        <s v="IN-0028"/>
        <s v="IN-0029"/>
        <s v="IN-0042"/>
        <s v="IN-0081"/>
        <s v="IN-0236"/>
        <s v="IN-031"/>
        <s v="IN-033"/>
        <s v="IN-035"/>
        <s v="IN-036"/>
        <s v="IN-037"/>
        <s v="IN-038"/>
        <s v="IN-039"/>
        <s v="IN-040"/>
        <s v="IN-041."/>
        <s v="IN-043"/>
        <s v="IN-044"/>
        <s v="IN-048"/>
        <s v="IN-086"/>
        <s v="IN-091"/>
        <s v="IN-092"/>
        <s v="IN-094"/>
        <s v="IN-0976"/>
        <s v="IN-0977"/>
        <s v="IN-0987"/>
        <s v="IN-0998"/>
        <s v="IN-102"/>
        <s v="IN-104"/>
        <s v="IN-1130"/>
        <s v="IN-1131"/>
        <s v="IN-123"/>
        <s v="IN-1234"/>
        <s v="IN-1235"/>
        <s v="IN-127"/>
        <s v="IN-128"/>
        <s v="IN-129"/>
        <s v="IN-130"/>
        <s v="IN-139"/>
        <s v="IN-140"/>
        <s v="IN-141"/>
        <s v="IN-1410"/>
        <s v="IN-144"/>
        <s v="IN-1441"/>
        <s v="IN-1945"/>
        <s v="IN-2041             "/>
        <s v="IN-30"/>
        <s v="IN-32"/>
        <s v="IN-33"/>
        <s v="IN-34"/>
        <s v="IN-35"/>
        <s v="IN-352"/>
        <s v="IN-358"/>
        <s v="IN-362"/>
        <s v="IN-375"/>
        <s v="IN-378"/>
        <s v="IN-380"/>
        <s v="IN-5421"/>
        <s v="IN-5422"/>
        <s v="IN-5665"/>
        <s v="IN-65"/>
        <s v="IN-6610"/>
        <s v="IN-6611"/>
        <s v="IN-6613"/>
        <s v="IN-6614"/>
        <s v="IN-6615"/>
        <s v="IN-6617"/>
        <s v="IN-666"/>
        <s v="IN-6669"/>
        <s v="IN-667"/>
        <s v="IN-668"/>
        <s v="IN-670"/>
        <s v="IN-7654"/>
        <s v="IN-81"/>
        <s v="IN-94"/>
        <s v="IN-9876"/>
        <s v="INCO-006"/>
        <s v="INCO-007"/>
        <s v="INCO-008"/>
        <s v="INCO-010"/>
        <s v="INCO-011"/>
        <s v="INCO-012"/>
        <s v="INCO-013"/>
        <s v="INCO-014"/>
        <s v="INCO-015"/>
        <s v="INCO-016"/>
        <s v="INCO-017"/>
        <s v="INCO-018"/>
        <s v="INCO-019"/>
        <s v="INCO-020"/>
        <s v="INCO-021"/>
        <s v="INCO-022"/>
        <s v="INCO-023"/>
        <s v="INCO-024"/>
        <s v="INCO-025"/>
        <s v="INCO-026"/>
        <s v="INCO-027"/>
        <s v="INCO-029"/>
        <s v="INCO-030"/>
        <s v="INCO-031"/>
        <s v="INCO-033"/>
        <s v="INCO-034"/>
        <s v="INCO-040"/>
        <s v="INCO-041"/>
        <s v="INCO-042"/>
        <s v="INCO-043"/>
        <s v="INCO-044"/>
        <s v="INCO-047"/>
        <s v="INCO-051"/>
        <s v="INCO-054"/>
        <s v="INCO-055"/>
        <s v="INCO-056"/>
        <s v="INCO-057"/>
        <s v="INCO-059"/>
        <s v="INCO-065"/>
        <s v="INCO-066"/>
        <s v="INCO-067"/>
        <s v="INCO-068"/>
        <s v="INCO-069"/>
        <s v="INCO-070"/>
        <s v="INCO-071"/>
        <s v="INCO-072"/>
        <s v="INCO-073"/>
        <s v="INCO-074"/>
        <s v="INCO-075"/>
        <s v="INCO-076"/>
        <s v="INCO-077"/>
        <s v="INCO-078"/>
        <s v="INCO-079"/>
        <s v="INCO-080"/>
        <s v="INCO-085"/>
        <s v="INCO-087"/>
        <s v="INCO-088"/>
        <s v="INCO-091"/>
        <s v="INCO-092"/>
        <s v="INCO-093"/>
        <s v="INCO-095"/>
        <s v="INCO-096"/>
        <s v="INCO-1602"/>
        <s v="INCO-2010602"/>
        <s v="INCO-2010762"/>
        <s v="INCO-2011384"/>
        <s v="INCO-35"/>
        <s v="INCO-36"/>
        <s v="INCO-365"/>
        <s v="INCO-5011"/>
        <s v="INCO-88"/>
        <s v="INCO-9031910"/>
        <s v="INCO-9051910"/>
        <s v="INCO-9400447T"/>
        <s v="INCO-9403002"/>
        <s v="INCO-9661970"/>
        <s v="INT-002"/>
        <s v="INT-007"/>
        <s v="INT-010"/>
        <s v="INT-011"/>
        <s v="INT-013"/>
        <s v="IP009"/>
        <s v="IP010"/>
        <s v="IP011"/>
        <s v="IP012"/>
        <s v="IP013"/>
        <s v="IP014"/>
        <s v="JA-001"/>
        <s v="JD-006"/>
        <s v="JD-010"/>
        <s v="JD-012"/>
        <s v="JD-013"/>
        <s v="JD-015"/>
        <s v="JD-352"/>
        <s v="JET50AX/F400"/>
        <s v="JF-002"/>
        <s v="JF-003"/>
        <s v="JF-008"/>
        <s v="JF-009"/>
        <s v="JF-010"/>
        <s v="JF-011"/>
        <s v="JF-012"/>
        <s v="JF-013"/>
        <s v="JF-014"/>
        <s v="JF-015"/>
        <s v="JF-016"/>
        <s v="JF-017"/>
        <s v="JF-018"/>
        <s v="JF-019"/>
        <s v="JF-020"/>
        <s v="JF-021"/>
        <s v="JF-022"/>
        <s v="JF-023"/>
        <s v="JF-024"/>
        <s v="JF-025"/>
        <s v="JF-026"/>
        <s v="JF-027"/>
        <s v="JF-028"/>
        <s v="JF-029"/>
        <s v="JF-032 "/>
        <s v="JF-033"/>
        <s v="JF-034"/>
        <s v="JF-036"/>
        <s v="JF-039"/>
        <s v="JF-040"/>
        <s v="JF-041"/>
        <s v="JF-064"/>
        <s v="JF-071"/>
        <s v="JF-082"/>
        <s v="JF-083"/>
        <s v="JF-084"/>
        <s v="JF-085"/>
        <s v="JF-086"/>
        <s v="JF-087  "/>
        <s v="JF-095"/>
        <s v="JF-125"/>
        <s v="JF-232  "/>
        <s v="JF-233   "/>
        <s v="JF-265"/>
        <s v="JF-267"/>
        <s v="JF-269"/>
        <s v="JF-270"/>
        <s v="JF-271"/>
        <s v="JF-272"/>
        <s v="JF-273"/>
        <s v="JF-274"/>
        <s v="JF-275"/>
        <s v="JF-276"/>
        <s v="JF-277"/>
        <s v="JF-278"/>
        <s v="JF-279"/>
        <s v="JF-280"/>
        <s v="JF-281"/>
        <s v="JF-282"/>
        <s v="JF-283"/>
        <s v="JF-284"/>
        <s v="JF-285"/>
        <s v="JF-286"/>
        <s v="JF-287"/>
        <s v="JF-288"/>
        <s v="JF-289 "/>
        <s v="JF-290"/>
        <s v="JF-291"/>
        <s v="JF-CABALLETE"/>
        <s v="JGOHERR-04 "/>
        <s v="JIM-003"/>
        <s v="JIM-004"/>
        <s v="JIM-005"/>
        <s v="JIM-007"/>
        <s v="JIM-008"/>
        <s v="JIM-009"/>
        <s v="JIM-010"/>
        <s v="JIM-012"/>
        <s v="JIM-013"/>
        <s v="JIM-014"/>
        <s v="JIM-015"/>
        <s v="JIM-016"/>
        <s v="JIM-017"/>
        <s v="JIM-018"/>
        <s v="JIM-019"/>
        <s v="JIM-020"/>
        <s v="JIM-021"/>
        <s v="JIM-023"/>
        <s v="JIM-024"/>
        <s v="JIM-025"/>
        <s v="JIM-026"/>
        <s v="JIM-028"/>
        <s v="JIM-029"/>
        <s v="JIM-031"/>
        <s v="JIM-032"/>
        <s v="JIM-035"/>
        <s v="JIM-036"/>
        <s v="JIM-037"/>
        <s v="JIM-038"/>
        <s v="JM-005"/>
        <s v="JM-006"/>
        <s v="JM-007"/>
        <s v="JM-008"/>
        <s v="JM-011"/>
        <s v="JM-013"/>
        <s v="JM-014"/>
        <s v="JM-015"/>
        <s v="JM-016"/>
        <s v="JM-017"/>
        <s v="JM-018"/>
        <s v="JM-019"/>
        <s v="JM-021"/>
        <s v="JM-023"/>
        <s v="JM-025"/>
        <s v="JM-026"/>
        <s v="JM-029"/>
        <s v="JM-033"/>
        <s v="JM-034"/>
        <s v="JM-035"/>
        <s v="JM-036"/>
        <s v="JM-038"/>
        <s v="JM-039"/>
        <s v="LA186FAE"/>
        <s v="LB-005"/>
        <s v="LB-236"/>
        <s v="LCD42G40090H"/>
        <s v="LIQ-0005"/>
        <s v="LT1200C"/>
        <s v="LT200"/>
        <s v="LT420Q1E"/>
        <s v="LT950DC"/>
        <s v="LTA007"/>
        <s v="LTF40C-2"/>
        <s v="LTP50C"/>
        <s v="LTP80C"/>
        <s v="LTS22W"/>
        <s v="MAY-004"/>
        <s v="MAY-963"/>
        <s v="MONT-6M15421"/>
        <s v="MOT-0023"/>
        <s v="MOT-003"/>
        <s v="MOT-004"/>
        <s v="MOT-052"/>
        <s v="MOT-53"/>
        <s v="MOT-640"/>
        <s v="MOTSU-001"/>
        <s v="MOTSU-002"/>
        <s v="MOTSU-003"/>
        <s v="MP - 0631"/>
        <s v="MP - 064"/>
        <s v="MP - 233"/>
        <s v="MP -234"/>
        <s v="MP.0302"/>
        <s v="MP-000100"/>
        <s v="MP-001"/>
        <s v="MP-002"/>
        <s v="MP-003"/>
        <s v="MP-004"/>
        <s v="MP-0056"/>
        <s v="MP-006"/>
        <s v="MP-008"/>
        <s v="MP-010"/>
        <s v="MP-011"/>
        <s v="MP-01130"/>
        <s v="MP-01131"/>
        <s v="MP-01245"/>
        <s v="MP-015"/>
        <s v="MP-017"/>
        <s v="MP-0176"/>
        <s v="MP-019"/>
        <s v="MP-01945"/>
        <s v="MP-020"/>
        <s v="MP-021"/>
        <s v="MP-022"/>
        <s v="MP-0221"/>
        <s v="MP-023"/>
        <s v="MP-024"/>
        <s v="MP-025"/>
        <s v="MP-029"/>
        <s v="MP-031"/>
        <s v="MP-034"/>
        <s v="MP-037"/>
        <s v="MP-038"/>
        <s v="MP-040"/>
        <s v="MP-047"/>
        <s v="MP-0471"/>
        <s v="MP-058"/>
        <s v="MP-059"/>
        <s v="MP-060"/>
        <s v="MP-062"/>
        <s v="MP-064"/>
        <s v="MP-072"/>
        <s v="MP-073"/>
        <s v="MP-075"/>
        <s v="MP-076"/>
        <s v="MP-079"/>
        <s v="MP-083"/>
        <s v="MP-085"/>
        <s v="MP-087"/>
        <s v="MP-088"/>
        <s v="MP-089"/>
        <s v="MP-092"/>
        <s v="MP-095"/>
        <s v="MP-097"/>
        <s v="MP-098"/>
        <s v="MP-09877"/>
        <s v="MP-099"/>
        <s v="MP-100"/>
        <s v="MP-101"/>
        <s v="MP-103"/>
        <s v="MP-104"/>
        <s v="MP-107"/>
        <s v="MP-108"/>
        <s v="MP-109"/>
        <s v="MP-110"/>
        <s v="MP-113"/>
        <s v="MP-1130"/>
        <s v="MP-114"/>
        <s v="MP-117"/>
        <s v="MP-121"/>
        <s v="MP-122"/>
        <s v="MP-123"/>
        <s v="MP-1234"/>
        <s v="MP-1235"/>
        <s v="MP-124"/>
        <s v="MP-125"/>
        <s v="MP-126"/>
        <s v="MP-1262"/>
        <s v="MP-1266"/>
        <s v="MP-128"/>
        <s v="MP-129"/>
        <s v="MP-130"/>
        <s v="MP-131"/>
        <s v="MP-132"/>
        <s v="MP-1323"/>
        <s v="MP-133"/>
        <s v="MP-134"/>
        <s v="MP-135"/>
        <s v="MP-136"/>
        <s v="MP-137"/>
        <s v="MP-138"/>
        <s v="MP-140"/>
        <s v="MP-141"/>
        <s v="MP-146"/>
        <s v="MP-147"/>
        <s v="MP-148"/>
        <s v="MP-149"/>
        <s v="MP-150"/>
        <s v="MP-151"/>
        <s v="MP-152"/>
        <s v="MP-156"/>
        <s v="MP-157"/>
        <s v="MP-160"/>
        <s v="MP-162"/>
        <s v="MP-163"/>
        <s v="MP-164"/>
        <s v="MP-168"/>
        <s v="MP-170"/>
        <s v="MP-173"/>
        <s v="MP-176"/>
        <s v="MP-177"/>
        <s v="MP-180"/>
        <s v="MP-181"/>
        <s v="MP-183"/>
        <s v="MP-186"/>
        <s v="MP-187"/>
        <s v="MP-188"/>
        <s v="MP-189"/>
        <s v="MP-190"/>
        <s v="MP-191"/>
        <s v="MP-193"/>
        <s v="MP-1945"/>
        <s v="MP-19451"/>
        <s v="MP-19452"/>
        <s v="MP-19453"/>
        <s v="MP-19454"/>
        <s v="MP-19455"/>
        <s v="MP-19456"/>
        <s v="MP-19457"/>
        <s v="MP-19458"/>
        <s v="MP-194589"/>
        <s v="MP-19459"/>
        <s v="MP-1946"/>
        <s v="MP-19460"/>
        <s v="MP-195"/>
        <s v="MP-197"/>
        <s v="MP-198"/>
        <s v="MP-200"/>
        <s v="MP-201"/>
        <s v="MP-2021"/>
        <s v="MP-2022"/>
        <s v="MP-2023"/>
        <s v="MP-206"/>
        <s v="MP-207"/>
        <s v="MP-208"/>
        <s v="MP-211"/>
        <s v="MP-212"/>
        <s v="MP-213"/>
        <s v="MP-214"/>
        <s v="MP-216"/>
        <s v="MP-217"/>
        <s v="MP-218"/>
        <s v="MP-219"/>
        <s v="MP-221"/>
        <s v="MP-222"/>
        <s v="MP-223"/>
        <s v="MP-224"/>
        <s v="MP-225"/>
        <s v="MP-227"/>
        <s v="MP-228"/>
        <s v="MP-229"/>
        <s v="MP-230"/>
        <s v="MP-234"/>
        <s v="MP-241"/>
        <s v="MP-246"/>
        <s v="MP-248"/>
        <s v="MP-249"/>
        <s v="MP-250"/>
        <s v="MP-251"/>
        <s v="MP-254"/>
        <s v="MP-255"/>
        <s v="MP-257"/>
        <s v="MP-259"/>
        <s v="MP-26"/>
        <s v="MP-2601"/>
        <s v="MP-2602"/>
        <s v="MP-261"/>
        <s v="MP-2611"/>
        <s v="MP-262"/>
        <s v="MP-2621"/>
        <s v="MP-265"/>
        <s v="MP-267"/>
        <s v="MP-268"/>
        <s v="MP-2681"/>
        <s v="MP-269"/>
        <s v="MP-270"/>
        <s v="MP-271"/>
        <s v="MP-273"/>
        <s v="MP-274"/>
        <s v="MP-275"/>
        <s v="MP-276"/>
        <s v="MP-279"/>
        <s v="MP-2791"/>
        <s v="MP-2792        "/>
        <s v="MP-280"/>
        <s v="MP-281"/>
        <s v="MP-282"/>
        <s v="MP-284"/>
        <s v="MP-285"/>
        <s v="MP-289"/>
        <s v="MP-2891"/>
        <s v="MP-292"/>
        <s v="MP-310"/>
        <s v="MP-313"/>
        <s v="MP-315"/>
        <s v="MP-316"/>
        <s v="MP-350"/>
        <s v="MP-351"/>
        <s v="MP-352"/>
        <s v="MP-353"/>
        <s v="MP-358"/>
        <s v="MP-359"/>
        <s v="MP-360"/>
        <s v="MP-361"/>
        <s v="MP-3611"/>
        <s v="MP-3612"/>
        <s v="MP-363"/>
        <s v="MP-366"/>
        <s v="MP-368"/>
        <s v="MP-370"/>
        <s v="MP-373"/>
        <s v="MP-374"/>
        <s v="MP-376"/>
        <s v="MP-382"/>
        <s v="MP-387"/>
        <s v="MP-388"/>
        <s v="MP-389"/>
        <s v="MP-390"/>
        <s v="MP-391"/>
        <s v="MP-392"/>
        <s v="MP-393"/>
        <s v="MP-394"/>
        <s v="MP-395"/>
        <s v="MP-396"/>
        <s v="MP-398"/>
        <s v="MP-400"/>
        <s v="MP-402"/>
        <s v="MP-407"/>
        <s v="MP-416"/>
        <s v="MP-459"/>
        <s v="MP-460"/>
        <s v="MP-465"/>
        <s v="MP-542"/>
        <s v="MP-543"/>
        <s v="MP-558"/>
        <s v="MP-578"/>
        <s v="MP-6610"/>
        <s v="MP-6612"/>
        <s v="MP-6613"/>
        <s v="MP-6614"/>
        <s v="mp-6615"/>
        <s v="MP-66690"/>
        <s v="MP-667"/>
        <s v="MP-668"/>
        <s v="MP-6687"/>
        <s v="MP-669"/>
        <s v="MP-7091"/>
        <s v="MP-7092"/>
        <s v="MP-7654"/>
        <s v="MP-767"/>
        <s v="MP-7687"/>
        <s v="MP-788"/>
        <s v="MP-7881"/>
        <s v="MP-789"/>
        <s v="MP-790"/>
        <s v="MP-791"/>
        <s v="MP-800"/>
        <s v="MP-801"/>
        <s v="MP-802"/>
        <s v="MP-803"/>
        <s v="MP-855"/>
        <s v="MP-856"/>
        <s v="MP-857"/>
        <s v="MP-858"/>
        <s v="MP-859"/>
        <s v="MP-890"/>
        <s v="MP-897"/>
        <s v="MP-9753"/>
        <s v="MY-008"/>
        <s v="MY-010"/>
        <s v="MY-011"/>
        <s v="MY-012"/>
        <s v="MY-014"/>
        <s v="MY-016"/>
        <s v="MY-019"/>
        <s v="MY-024"/>
        <s v="MY-025"/>
        <s v="MY-029"/>
        <s v="MY-032"/>
        <s v="MY-040"/>
        <s v="MY1903-25"/>
        <s v="MY-1903-26"/>
        <s v="MY-1903-27"/>
        <s v="MY-36"/>
        <s v="NEW-001"/>
        <s v="NEW-010"/>
        <s v="NEW-D8NN-B486-D"/>
        <s v="N-OO1"/>
        <s v="OR2021"/>
        <s v="OR-205963"/>
        <s v="OR-206045"/>
        <s v="OR-238337"/>
        <s v="OR-65789"/>
        <s v="OT-00040"/>
        <s v="OT-0010"/>
        <s v="OT-00404"/>
        <s v="OT-015"/>
        <s v="OT-02002-06001"/>
        <s v="OT-02006-06000"/>
        <s v="OT-059"/>
        <s v="OT-085"/>
        <s v="OT-1000"/>
        <s v="OT-1001"/>
        <s v="OT-1002"/>
        <s v="OT-1003"/>
        <s v="OT-1004"/>
        <s v="OT-1006"/>
        <s v="OT-1017"/>
        <s v="OT-1020"/>
        <s v="OT-1025"/>
        <s v="OT-1030"/>
        <s v="OT-1031"/>
        <s v="OT-1032"/>
        <s v="OT-1033"/>
        <s v="OT-1041"/>
        <s v="OT-1050  "/>
        <s v="OT-1051"/>
        <s v="OT-107"/>
        <s v="OT-11"/>
        <s v="OT-113"/>
        <s v="OT-1131"/>
        <s v="OT-126"/>
        <s v="OT-15   "/>
        <s v="OT-154"/>
        <s v="OT-159"/>
        <s v="OT-16"/>
        <s v="OT-2316"/>
        <s v="OT-2317"/>
        <s v="OT-2356"/>
        <s v="OT-237"/>
        <s v="OT-238"/>
        <s v="OT-240"/>
        <s v="OT-247"/>
        <s v="OT-25"/>
        <s v="OT-2653"/>
        <s v="OT-28MM"/>
        <s v="OT-326"/>
        <s v="OT-343"/>
        <s v="OT-401"/>
        <s v="OT-412"/>
        <s v="OT-421"/>
        <s v="OT-457"/>
        <s v="OT-478"/>
        <s v="OT-479"/>
        <s v="OT-480"/>
        <s v="OT-481"/>
        <s v="OT-482"/>
        <s v="OT-483"/>
        <s v="OT-523"/>
        <s v="OT-531"/>
        <s v="OT-55"/>
        <s v="OT-5632"/>
        <s v="OT-5633"/>
        <s v="OT-5634"/>
        <s v="OT-5635"/>
        <s v="OT-5643"/>
        <s v="OT-584"/>
        <s v="OT-585"/>
        <s v="OT-601  "/>
        <s v="OT-65"/>
        <s v="OT-653"/>
        <s v="OT-65765"/>
        <s v="OT-664 "/>
        <s v="OT-687"/>
        <s v="OT-693"/>
        <s v="OT-694"/>
        <s v="OT-701"/>
        <s v="OT-702"/>
        <s v="OT-703"/>
        <s v="OT-704"/>
        <s v="OT-72LPX"/>
        <s v="OT-744  "/>
        <s v="OT-749"/>
        <s v="OT-75"/>
        <s v="OT-750"/>
        <s v="OT-7846 "/>
        <s v="OT-82067A"/>
        <s v="OT-845"/>
        <s v="OT-848"/>
        <s v="OT-854"/>
        <s v="OT-880 "/>
        <s v="OT-881"/>
        <s v="OT-882  "/>
        <s v="OT-900"/>
        <s v="OT-990  "/>
        <s v="OT-997"/>
        <s v="OT-999"/>
        <s v="OT-A20"/>
        <s v="OT-A30"/>
        <s v="OT-A36"/>
        <s v="OT-A40"/>
        <s v="OT-A48"/>
        <s v="OT-A54"/>
        <s v="OT-A56"/>
        <s v="OT-A75"/>
        <s v="OT-AG001"/>
        <s v="OT-B48"/>
        <s v="OT-B67"/>
        <s v="OT-B70"/>
        <s v="OT-B71"/>
        <s v="OT-B72"/>
        <s v="OT-B75"/>
        <s v="OT-B79"/>
        <s v="OT-B80"/>
        <s v="OT-B83"/>
        <s v="OT-B95"/>
        <s v="OT-B98"/>
        <s v="OT-CARB002"/>
        <s v="OT-FILC001"/>
        <s v="OT-M.CHAVET"/>
        <s v="OT-MO4HP"/>
        <s v="OT-PULS"/>
        <s v="OT-SRAH-ADAP"/>
        <s v="OT-VANG18HP"/>
        <s v="P-001"/>
        <s v="P-0010"/>
        <s v="P-0011"/>
        <s v="P-0012"/>
        <s v="P-0013"/>
        <s v="P-0014"/>
        <s v="P-0015"/>
        <s v="P-0016"/>
        <s v="P-003"/>
        <s v="P-004"/>
        <s v="P-005"/>
        <s v="P-006"/>
        <s v="P-007"/>
        <s v="P-008"/>
        <s v="P-009"/>
        <s v="P022007000"/>
        <s v="PASU-007"/>
        <s v="PK60-1"/>
        <s v="PK80-1"/>
        <s v="PR-002"/>
        <s v="PRO-001"/>
        <s v="PT-009"/>
        <s v="PT-268"/>
        <s v="PT-269"/>
        <s v="QU-012"/>
        <s v="QU-013"/>
        <s v="QUIM-001"/>
        <s v="QUIM-002"/>
        <s v="QUIM-003"/>
        <s v="QUIM-004"/>
        <s v="QUIM-005"/>
        <s v="QUIM-007"/>
        <s v="QUIM-008"/>
        <s v="QUIM-010"/>
        <s v="QUIM-011"/>
        <s v="QUIM-013"/>
        <s v="QUIM-014"/>
        <s v="QUIM-015"/>
        <s v="QUIM-016"/>
        <s v="QUIM-018"/>
        <s v="QUIM-0181"/>
        <s v="QUIM-019"/>
        <s v="QUIM-020"/>
        <s v="QUIM-021"/>
        <s v="QUIM-022"/>
        <s v="QUIM-023"/>
        <s v="QUIM-024"/>
        <s v="QUIM-025"/>
        <s v="RI-585"/>
        <s v="ROD 20 D6 629"/>
        <s v="ROD 20-6002"/>
        <s v="ROD-20 D6201"/>
        <s v="ROD-20 D6202"/>
        <s v="ROD-20D6 6000"/>
        <s v="ROD-62052ZF"/>
        <s v="ROD-62072ZC3F"/>
        <s v="ROD-62072ZJ"/>
        <s v="ROD-69002RS"/>
        <s v="RULIT-00102"/>
        <s v="RULIT-004"/>
        <s v="RULIT-005"/>
        <s v="RULIT-006"/>
        <s v="RULIT-007"/>
        <s v="RULIT-009"/>
        <s v="SC-002"/>
        <s v="SE-014 "/>
        <s v="SE-025"/>
        <s v="SE-029"/>
        <s v="SE-045"/>
        <s v="SE-075"/>
        <s v="SE-091"/>
        <s v="SE-112"/>
        <s v="SE-140"/>
        <s v="SE-157"/>
        <s v="SE-195"/>
        <s v="SE-236"/>
        <s v="SE-253"/>
        <s v="SE-522"/>
        <s v="SE-998"/>
        <s v="SE-999"/>
        <s v="SH-02432-32120"/>
        <s v="SH-02432-35150"/>
        <s v="SH-036"/>
        <s v="SH-037"/>
        <s v="SH-108642-24"/>
        <s v="SH-108644-30"/>
        <s v="SH-11022-05450"/>
        <s v="SH-12311215030"/>
        <s v="SH-12534408560"/>
        <s v="SH-18500-50100"/>
        <s v="SH-18500-50102"/>
        <s v="SH-18500-90002"/>
        <s v="SH-18500-90003"/>
        <s v="SH-20000-21211"/>
        <s v="SH-20000-41210"/>
        <s v="SH-20000-72230"/>
        <s v="SH-20000-72241"/>
        <s v="SH-20000-75130"/>
        <s v="SH-20000-75160"/>
        <s v="SH-20000-75220"/>
        <s v="SH-20000-81150"/>
        <s v="SH-20000-81310"/>
        <s v="SH-20000-81330"/>
        <s v="SH-20000-81340"/>
        <s v="SH-20000-81441"/>
        <s v="SH-20000-81740"/>
        <s v="SH-20000-85500"/>
        <s v="SH-20000-85579"/>
        <s v="SH-20000-96104"/>
        <s v="SH-20010-12121"/>
        <s v="SH-20010-21211"/>
        <s v="SH-20010-41210"/>
        <s v="SH-20010-41330"/>
        <s v="SH-20010-71631"/>
        <s v="SH-20010-72221"/>
        <s v="SH-20010-75190"/>
        <s v="SH-20010-81760"/>
        <s v="SH-20010-86130"/>
        <s v="SH-20011-12220"/>
        <s v="SH-20011-81451"/>
        <s v="SH-20011-85401"/>
        <s v="SH-20011-86120"/>
        <s v="SH-20016-12112"/>
        <s v="SH-20016-12120"/>
        <s v="SH-20016-12222"/>
        <s v="SH-20016-71601"/>
        <s v="SH-20016-81021"/>
        <s v="SH-20018-31260"/>
        <s v="SH-20018-81750"/>
        <s v="SH-20019-81440"/>
        <s v="SH-20020-75120"/>
        <s v="SH-20020-75180"/>
        <s v="SH-20020-81140"/>
        <s v="SH-20020-86140"/>
        <s v="SH-20021-41210"/>
        <s v="SH-20021-51102"/>
        <s v="SH-20021-81920"/>
        <s v="SH-20021-83411"/>
        <s v="SH-20021-96420"/>
        <s v="SH-20021-96601"/>
        <s v="SH-20024-71610"/>
        <s v="SH-20024-75130"/>
        <s v="SH-20024-75220"/>
        <s v="SH-20024-81023"/>
        <s v="SH-20024-81931"/>
        <s v="SH-20024-83410"/>
        <s v="SH-20035-21100"/>
        <s v="SH-20036-81670"/>
        <s v="SH-20037-82130"/>
        <s v="SH-20040-81680"/>
        <s v="SH-20055-81004"/>
        <s v="SH-20056-81740"/>
        <s v="SH-20060-12210"/>
        <s v="SH-20060-81760"/>
        <s v="SH-20060-81781"/>
        <s v="SH-20087-81820"/>
        <s v="SH-20142-12110"/>
        <s v="SH-21001-304111"/>
        <s v="SH-22000-12413"/>
        <s v="SH-22000-13290"/>
        <s v="SH-22000-13512"/>
        <s v="SH-22000-13530"/>
        <s v="SH-22000-92157"/>
        <s v="SH-22000-92167"/>
        <s v="SH-22000-92812"/>
        <s v="SH-22015-12120"/>
        <s v="SH-22015-13120"/>
        <s v="SH-22015-13220"/>
        <s v="SH-22015-13230"/>
        <s v="SH-22015-13241"/>
        <s v="SH-22015-13261"/>
        <s v="SH-22015-13290"/>
        <s v="SH-22015-13390"/>
        <s v="SH-22015-13410"/>
        <s v="SH-22015-13420"/>
        <s v="SH-22015-14301"/>
        <s v="SH-22015-96500"/>
        <s v="SH-22015-96600"/>
        <s v="SH-22020-14200"/>
        <s v="SH-22021-13390"/>
        <s v="SH-22024-13291"/>
        <s v="SH-22024-13912"/>
        <s v="SH-22035-13140"/>
        <s v="SH-22035-13242"/>
        <s v="SH-22035-13271"/>
        <s v="SH-22035-13290"/>
        <s v="SH-22051-11922"/>
        <s v="SH-22100-41230"/>
        <s v="SH-22100-81230"/>
        <s v="SH-22102-72220"/>
        <s v="SH-22150-12152"/>
        <s v="SH-22152-41231"/>
        <s v="SH-22154-52410"/>
        <s v="SH-22154-55110"/>
        <s v="SH-22155-51200"/>
        <s v="SH-22155-55110"/>
        <s v="SH-22155-96531"/>
        <s v="SH-22157-41210"/>
        <s v="SH-22160-33821"/>
        <s v="SH-22160-41240"/>
        <s v="SH-22160-51200"/>
        <s v="SH-22160-71511"/>
        <s v="SH-22160-75100"/>
        <s v="SH-22169-21503"/>
        <s v="SH-22169-32110"/>
        <s v="SH-22169-35400"/>
        <s v="SH-22169-41210"/>
        <s v="SH-22169-51170"/>
        <s v="SH-22169-55110"/>
        <s v="SH-22169-55200 "/>
        <s v="SH-22169-71510"/>
        <s v="SH-22169-71700"/>
        <s v="SH-22169-82310"/>
        <s v="SH-22169-96580"/>
        <s v="SH-22182-41210"/>
        <s v="SH-22197-55201"/>
        <s v="SH-22410-13251"/>
        <s v="SH-22410-13530"/>
        <s v="SH-224127-13710"/>
        <s v="SH-22901-31000"/>
        <s v="SH-25090206310"/>
        <s v="SH-28820-08000"/>
        <s v="SH-3014111"/>
        <s v="SH-37019-63170"/>
        <s v="SH-38490-18"/>
        <s v="SH-38500-32010"/>
        <s v="SH-38500-82130"/>
        <s v="SH-60020-98310"/>
        <s v="SH-60023-98031"/>
        <s v="SH-60035-98030"/>
        <s v="SH-60035-98061"/>
        <s v="SH-62035-12111"/>
        <s v="SH-62035-12120"/>
        <s v="SH-62035-15210"/>
        <s v="SH-62035-31110"/>
        <s v="SH-62035-31212"/>
        <s v="SH-62035-31310"/>
        <s v="SH-62035-32112"/>
        <s v="SH-62035-32310"/>
        <s v="SH-62035-41120"/>
        <s v="SH-62035-42010"/>
        <s v="SH-62035-71020"/>
        <s v="SH-62035-75120"/>
        <s v="SH-62035-75310"/>
        <s v="SH-62035-81013"/>
        <s v="SH-62035-81310"/>
        <s v="SH-62035-82121"/>
        <s v="SH-62035-82330"/>
        <s v="SH-62035-82340"/>
        <s v="SH-62035-83111"/>
        <s v="SH-62035-85360"/>
        <s v="SH-62064-81011"/>
        <s v="SH-62074-12120"/>
        <s v="SH-62104-32321"/>
        <s v="SH-62809-12111"/>
        <s v="SH-63020-63111"/>
        <s v="SH-63901-63022"/>
        <s v="SH-64000-66311"/>
        <s v="SH-64007-64310"/>
        <s v="SH-64007-67011"/>
        <s v="SH-67000-42010"/>
        <s v="SH-67000-81010"/>
        <s v="SH-67001-62211"/>
        <s v="SH-68501-12210"/>
        <s v="SH-68501-81490"/>
        <s v="SH-70012-31111"/>
        <s v="SH-70030-71620"/>
        <s v="SH-70036-98020"/>
        <s v="SH-70051-31210"/>
        <s v="SH-70064-75190"/>
        <s v="SH-70140-51220"/>
        <s v="SH-70140-81710"/>
        <s v="SH-70200-33112"/>
        <s v="SH-70200-71200"/>
        <s v="SH-70200-71610"/>
        <s v="SH-70210-12111"/>
        <s v="SH-70210-15212"/>
        <s v="SH-70210-81022"/>
        <s v="SH-70210-83110"/>
        <s v="SH-70244-98050"/>
        <s v="SH-70870-98020"/>
        <s v="SH-70870-98030"/>
        <s v="SH-713545"/>
        <s v="SH-72005-13010"/>
        <s v="SH-72005-92630"/>
        <s v="SH-72051-14101"/>
        <s v="SH-72051-98011"/>
        <s v="SH-72080-13013"/>
        <s v="SH-72080-98011"/>
        <s v="SH-72080-98020"/>
        <s v="SH-72174-99200"/>
        <s v="SH-72330-33710"/>
        <s v="SH-72435-13920"/>
        <s v="SH-72447-13121"/>
        <s v="SH-72450-14200"/>
        <s v="SH-72451-14570"/>
        <s v="SH-72481-98310"/>
        <s v="SH-72550-82120"/>
        <s v="SH-72920-71711"/>
        <s v="SH-72LG0-105X"/>
        <s v="SH-72LG0-84X"/>
        <s v="SH-73DP-98X"/>
        <s v="SH-78890-11000"/>
        <s v="SH-8003009"/>
        <s v="SH-80253"/>
        <s v="SH-80256"/>
        <s v="SH-80360"/>
        <s v="SH-80387"/>
        <s v="SH-80424"/>
        <s v="SH-80728"/>
        <s v="SH-80771"/>
        <s v="SH-810502"/>
        <s v="SH-813010"/>
        <s v="SH-81630"/>
        <s v="SH-88421"/>
        <s v="SH-8890802"/>
        <s v="SH-90SG-033X"/>
        <s v="SH-9214D-24"/>
        <s v="SH-99909-12212"/>
        <s v="SH-99909-55130"/>
        <s v="SH-99909-55133"/>
        <s v="SH-9-P230EPA"/>
        <s v="SH-CAB.- BUJIA"/>
        <s v="SHDW-012"/>
        <s v="SHDW-013"/>
        <s v="SHDW-014"/>
        <s v="SHDW-015"/>
        <s v="SHDW-016"/>
        <s v="SHDW-036"/>
        <s v="SHDW-037"/>
        <s v="SHDW-038"/>
        <s v="SHDW-045"/>
        <s v="SHDW-048"/>
        <s v="SHDW-051"/>
        <s v="SH-HT230/40"/>
        <s v="SH-P231"/>
        <s v="SH-PBN22301"/>
        <s v="SH-UN32  "/>
        <s v="SO-00.71.237A"/>
        <s v="SO-13008-6045"/>
        <s v="SO-20.48.121"/>
        <s v="SO-20.48.346"/>
        <s v="SO-20.48.377"/>
        <s v="SO-20.63.372"/>
        <s v="SO-20.74.113"/>
        <s v="SO-21171-2157"/>
        <s v="SO-23.00.713"/>
        <s v="SO-33.00.194"/>
        <s v="SO-508"/>
        <s v="SO-60.63.322"/>
        <s v="SO-69.00.653"/>
        <s v="SOUTH-006 "/>
        <s v="SOUTH-017"/>
        <s v="SOUTH-020"/>
        <s v="SOUTH-04  "/>
        <s v="SOUTH-05   "/>
        <s v="TB-1756904"/>
        <s v="TB-1762636"/>
        <s v="TB-1771392"/>
        <s v="TB-1771495"/>
        <s v="TB-1901748"/>
        <s v="TB-1902656"/>
        <s v="TB-1902802001"/>
        <s v="TB-1903417"/>
        <s v="TB-1908749"/>
        <s v="TB-1909946"/>
        <s v="TB-9621"/>
        <s v="TB-97075"/>
        <s v="TR-236"/>
        <s v="TROY-002"/>
        <s v="V103001040"/>
        <s v="VIBSU-006"/>
        <s v="WA17W7MDP"/>
        <s v="YC-3"/>
        <s v="ZM-001"/>
        <s v="ZM-003"/>
        <s v="ZM-010"/>
        <s v="ZM-011"/>
        <s v="ZM-013"/>
        <s v="ZM-014"/>
        <s v="ZM-015"/>
        <s v="ZM-016"/>
        <s v="ZM-017"/>
        <s v="ZM-018"/>
        <s v="ZM-019"/>
        <s v="ZM-020"/>
        <s v="ZM-022"/>
        <s v="ZM-023"/>
        <s v="ZM-025"/>
        <s v="ZM-026"/>
        <s v="ZM-027"/>
        <s v="ZM-028"/>
        <s v="ZM-029"/>
        <s v="ZM-030"/>
        <s v="ZM-031"/>
        <s v="ZM-036"/>
        <s v="ZM-040"/>
        <s v="ZM-042"/>
        <s v="ZM-043"/>
        <s v="ZM-044"/>
        <s v="ZM-045"/>
        <s v="ZM-048"/>
        <s v="ZM-051"/>
        <s v="ZM-055"/>
        <s v="ZM-056"/>
        <s v="ZM-057"/>
        <s v="ZM-058"/>
        <s v="ZM-060"/>
        <s v="ZM-061"/>
        <s v="ZM-063"/>
        <s v="ZM-064"/>
        <s v="ZM-065"/>
        <s v="ZM-066"/>
        <s v="ZM-067"/>
        <s v="ZM-068"/>
        <s v="ZM-069"/>
        <s v="ZM-070"/>
        <s v="ZM-071"/>
        <s v="ZM-072"/>
        <s v="ZM-073"/>
        <s v="ZM-074"/>
        <s v="ZMANO060"/>
        <s v="ZONDA"/>
        <s v="ZU-005"/>
        <s v="ZU-015"/>
        <m u="1"/>
        <s v="EC-70617005560" u="1"/>
        <s v="SH-22169-72220" u="1"/>
        <s v="SH-70210-41110" u="1"/>
        <s v="MP - 063" u="1"/>
        <s v="OT-B66" u="1"/>
        <s v="SH-72936-81000" u="1"/>
        <s v="EC-P050008390" u="1"/>
        <s v="ZM-063 " u="1"/>
        <s v="F-004" u="1"/>
        <s v="MP-371" u="1"/>
        <s v="SH-70162-75100" u="1"/>
        <s v="SH-22160-51220" u="1"/>
        <s v="SH-70131-75200" u="1"/>
        <s v="SOUTH-017 " u="1"/>
        <s v="MP-084" u="1"/>
        <s v="SH-72051-98310" u="1"/>
        <s v="MOT-365" u="1"/>
        <s v="BA-028" u="1"/>
        <s v="SH-20016-85400" u="1"/>
        <s v="SH-22015-14331" u="1"/>
        <s v="EC-V224000030" u="1"/>
        <s v="SH-22157-41112" u="1"/>
        <s v="SH-P230/EC1" u="1"/>
        <s v="CR-999   " u="1"/>
        <s v="EC-83003" u="1"/>
        <s v="SH-4044231" u="1"/>
        <s v="SH-20024-42001" u="1"/>
        <s v="SH-4567930" u="1"/>
        <s v="SH-64112-66330" u="1"/>
        <s v="SH-20010-12211" u="1"/>
        <s v="SH-22175-82510" u="1"/>
        <s v="SH-02432-26120" u="1"/>
        <s v="EC-CS-8002-60EUSTD" u="1"/>
        <s v="TB-1715538" u="1"/>
        <s v="SH-70103-86130" u="1"/>
        <s v="IN-000127" u="1"/>
        <s v="SH-22169-15170" u="1"/>
        <s v="OT-7845" u="1"/>
        <s v="SH-22015-12130" u="1"/>
        <s v="SH-22015-13270" u="1"/>
        <s v="ZM-024" u="1"/>
        <s v="SH-88051" u="1"/>
        <s v="OT-998" u="1"/>
        <s v="IN-768" u="1"/>
        <s v="HI-019" u="1"/>
        <s v="EC-90072000125" u="1"/>
        <s v="OT-849" u="1"/>
        <s v="SH-4550460" u="1"/>
        <s v="SH-20112-81530" u="1"/>
        <s v="SH-22160-42002" u="1"/>
        <s v="SH-22175-12121" u="1"/>
        <s v="SH-88054" u="1"/>
        <s v="HI-004" u="1"/>
        <s v="HI-018" u="1"/>
        <s v="SH-72LG0-84X " u="1"/>
        <s v="SH-88056" u="1"/>
        <s v="SH-22169-54102" u="1"/>
        <s v="SH-22169-75101" u="1"/>
        <s v="SH-88057" u="1"/>
        <s v="IMP-032" u="1"/>
        <s v="SH-22150-51310" u="1"/>
        <s v="SH-13031303710" u="1"/>
        <s v="SH-72930-14210" u="1"/>
        <s v="HI-002" u="1"/>
        <s v="ZM-021" u="1"/>
        <s v="SH-70196-12110" u="1"/>
        <s v="SH-4573040" u="1"/>
        <s v="SH-01600-04101" u="1"/>
        <s v="SH-70198-12110" u="1"/>
        <s v="SH-22154-85540" u="1"/>
        <s v="HI-001" u="1"/>
        <s v="SH-4576340" u="1"/>
        <s v="HI-015" u="1"/>
        <s v="SH-20011-31200" u="1"/>
        <s v="SH-20021-31200" u="1"/>
        <s v="EC-DM6110EUSTD" u="1"/>
        <s v="INT-009" u="1"/>
        <s v="MP-7911" u="1"/>
        <s v="SH-22410-17202" u="1"/>
        <s v="SH-63880-65371" u="1"/>
        <s v="EC-43052737332" u="1"/>
        <s v="SH-4575740" u="1"/>
        <s v="SH-22410-14302" u="1"/>
        <s v="EC-21001304111" u="1"/>
        <s v="SH-22169-33102" u="1"/>
        <s v="SH-22044-14120" u="1"/>
        <s v="EC-A16001650" u="1"/>
        <s v="HER-010" u="1"/>
        <s v="HER-011" u="1"/>
        <s v="HER-019" u="1"/>
        <s v="EC-25001708012" u="1"/>
        <s v="SH-20055-81120" u="1"/>
        <s v="SH-70210-81451" u="1"/>
        <s v="SH-20021-81560" u="1"/>
        <s v="SH-62035-41210" u="1"/>
        <s v="SH-22410-13210" u="1"/>
        <s v="SH-9701201" u="1"/>
        <s v="SH-20870-33120" u="1"/>
        <s v="OT-508" u="1"/>
        <s v="HER-009" u="1"/>
        <s v="CR-054" u="1"/>
        <s v="SH-70140-81760" u="1"/>
        <s v="IN-6612" u="1"/>
        <s v="SH-20016-21100" u="1"/>
        <s v="SH-72451-14502" u="1"/>
        <s v="EC-17721840630" u="1"/>
        <s v="MP-405" u="1"/>
        <s v="JF-266" u="1"/>
        <s v="SH-22169-31110" u="1"/>
        <s v="SH-22169-12111" u="1"/>
        <s v="SH-20016-21200" u="1"/>
        <s v="SH-72933-75120" u="1"/>
        <s v="EC-P021032700" u="1"/>
        <s v="SH-38500-81321" u="1"/>
        <s v="SH-62035-33110" u="1"/>
        <s v="HI-011" u="1"/>
        <s v="SH-20021-41330" u="1"/>
        <s v="MP-118" u="1"/>
        <s v="SH-70014-74120" u="1"/>
        <s v="SH-20020-51112" u="1"/>
        <s v="SH-22150-41280" u="1"/>
        <s v="SH-70135-15100" u="1"/>
        <s v="SH-80425 " u="1"/>
        <s v="SH-22160-12150" u="1"/>
        <s v="HI-010" u="1"/>
        <s v="IN-38" u="1"/>
        <s v="SH-901018" u="1"/>
        <s v="SH-70871-81100" u="1"/>
        <s v="INCO-9661990" u="1"/>
        <s v="ZM-043     " u="1"/>
        <s v="SH-22169-51100" u="1"/>
        <s v="IN-00126" u="1"/>
        <s v="SH-3013172" u="1"/>
        <s v="MP-417" u="1"/>
        <s v="SH-70012-35130" u="1"/>
        <s v="SH-4568020" u="1"/>
        <s v="SH-02432-22100" u="1"/>
        <s v="SH-22155-51500" u="1"/>
        <s v="SH-72282-15310" u="1"/>
        <s v="SH-12415905530" u="1"/>
        <s v="OT-504" u="1"/>
        <s v="SH-02006-06002" u="1"/>
        <s v="SH-20018-31270" u="1"/>
        <s v="MP-364" u="1"/>
        <s v="SH-02432-40170" u="1"/>
        <s v="SH-72282-15101" u="1"/>
        <s v="SH-81593" u="1"/>
        <s v="SH-60035-98310" u="1"/>
        <s v="SH-60119-98310" u="1"/>
        <s v="SH-72365-98011" u="1"/>
        <s v="ZM-055 " u="1"/>
        <s v="SH-22152-21501" u="1"/>
        <s v="MP-415" u="1"/>
        <s v="SH-4502640" u="1"/>
        <s v="SH-22070-12410" u="1"/>
        <s v="OT-503 " u="1"/>
        <s v="SH-43301912330" u="1"/>
        <s v="SH-22410-14100" u="1"/>
        <s v="SH-68501-81360" u="1"/>
        <s v="SH-80187" u="1"/>
        <s v="OT-51" u="1"/>
        <s v="SH-9242432000" u="1"/>
        <s v="EC-DMAD4610" u="1"/>
        <s v="OT-1021" u="1"/>
        <s v="OT-1022" u="1"/>
        <s v="OT-1023" u="1"/>
        <s v="OT-1024" u="1"/>
        <s v="SH-70131-75110" u="1"/>
        <s v="SH-60059-98310" u="1"/>
        <s v="SH-80025" u="1"/>
        <s v="MP-414" u="1"/>
        <s v="SH-22150-51230" u="1"/>
        <s v="SH-22160-51230" u="1"/>
        <s v="SH-72441-12100" u="1"/>
        <s v="MP-362" u="1"/>
        <s v="SH-72432-13240" u="1"/>
        <s v="SH-22045-14101" u="1"/>
        <s v="OT-1010" u="1"/>
        <s v="OT-1011" u="1"/>
        <s v="OT-1012" u="1"/>
        <s v="OT-1013" u="1"/>
        <s v="OT-1014" u="1"/>
        <s v="OT-1015" u="1"/>
        <s v="OT-1018" u="1"/>
        <s v="OT-1019" u="1"/>
        <s v="IN-082" u="1"/>
        <s v="SH-22017-12410" u="1"/>
        <s v="OT-5642" u="1"/>
        <s v="MP-413" u="1"/>
        <s v="SH-11022-06280" u="1"/>
        <s v="SH-22150-12180" u="1"/>
        <s v="SH-22150-71120" u="1"/>
        <s v="SH-9216D-32  " u="1"/>
        <s v="SH-12411411120" u="1"/>
        <s v="OT-1005" u="1"/>
        <s v="SH-20019-83410" u="1"/>
        <s v="SH-20055-81610" u="1"/>
        <s v="OT-1007" u="1"/>
        <s v="EC-20087-31211" u="1"/>
        <s v="OT-1008" u="1"/>
        <s v="OT-1009" u="1"/>
        <s v="MP-6614        " u="1"/>
        <s v="SH-22175-82320" u="1"/>
        <s v="SH-20010-71650" u="1"/>
        <s v="SH-22160-72220" u="1"/>
        <s v="SH-67000-41230" u="1"/>
        <s v="LB-002" u="1"/>
        <s v="EC-P021028790" u="1"/>
        <s v="SH-63880-64460" u="1"/>
        <s v="SH-70131-81180" u="1"/>
        <s v="SH-4048451" u="1"/>
        <s v="TRANSAUT-001" u="1"/>
        <s v="EC-A232000820" u="1"/>
        <s v="OT-1131 " u="1"/>
        <s v="G-003" u="1"/>
        <s v="SH-20075-41111" u="1"/>
        <s v="ZM-002" u="1"/>
        <s v="SH-22150-75520" u="1"/>
        <s v="SH-72935-63210" u="1"/>
      </sharedItems>
    </cacheField>
    <cacheField name="DESCRIPCION" numFmtId="0">
      <sharedItems containsBlank="1" count="2934">
        <s v="LACURA X LT"/>
        <s v="TORNILLO COM SUJ. RUED SUBS 1K27766"/>
        <s v="TORNILLO SUJ. CUERP DISCO AFL 1K06857"/>
        <s v="TUERCA 3/4UNC 1K03097SUJE CUER  DSC AFL"/>
        <s v="ARANDELA P GRAPA P AF (1K01584)"/>
        <s v="TUERCA 3/4 UNF RUEDA GUIA 1K03290"/>
        <s v="PUNTA UÑA SUBS. 16&quot;X3&quot;X1 (1656056)"/>
        <s v="DISCO FRENO SAME 603 CRONO"/>
        <s v="MAQUINA DE SOLDAR"/>
        <s v="TALADRO PEDESTAL MEDIANO"/>
        <s v="MOLADORA GRANDE"/>
        <s v="TALADRO DE MANO   "/>
        <s v="BOMBA CAUDAL 1HP 2&quot;X2&quot; "/>
        <s v="KIT 123 ( BOMBA M)"/>
        <s v="KIT 127 ( BOMBA M )"/>
        <s v="KIT 132 ( CLEANMATIC )"/>
        <s v="KIT 134 ( CLEANMATIC )"/>
        <s v="KIT 137 ( BOMBA M )"/>
        <s v="38920001640 DIENTE DE CADENA D.S.C. 820"/>
        <s v="PISTONE D 18X37.5"/>
        <s v="PISTONE D 15X25"/>
        <s v="COPPERCHIO VALVOLE T33"/>
        <s v="TAPA TANQUE HIDRAULICO TL-90"/>
        <s v="COPPERCHIO VALVOLE T44"/>
        <s v="KIT 147 ( CLEANMATIC )"/>
        <s v="KIT 83 ( BOX JET )"/>
        <s v="ROSETTA D 8X13X1"/>
        <s v="ROSETTA D 9X23X 0.5"/>
        <s v="CA TAMBOR ARRANQUE B530"/>
        <s v="ROLLO 100MT MANGUERA FUM 200BAR 3/8&quot;"/>
        <s v="PERNO ALEN 5 X 16 CA"/>
        <s v="PERNO ALEN 5X16 CC"/>
        <s v="PERNO ALEN 5 X 25"/>
        <s v="PERNO ALEN 5X30"/>
        <s v="PERNO ALEN 5X40"/>
        <s v="ARADO DE 2 VERTEDERAS"/>
        <s v="BOMBA DE AGUA SUBARU  PKX 20IT"/>
        <s v="DESMALEZADORA 025 BRISTOL"/>
        <s v="DESMALEZADORA 08 BRISTOL"/>
        <s v="RABETA 051/076 BRISTOL"/>
        <s v="PERFORADOR SOLO PS10 051/076"/>
        <s v="FUMIGADOR 08 BRISTOL"/>
        <s v="ROLLO DE NYLON 1LB PARA WT-190"/>
        <s v="KIT ACCESORIO DE CORTE 70089"/>
        <s v="KIT, HERRAMIENTA EN HOJA DE ACERO 70738"/>
        <s v="KIT, DESFIBRADOR 70973"/>
        <s v="KIT, CUCHILLA DESFIBRADORA"/>
        <s v="CABEZAL DE NYLON PARA WT190"/>
        <s v="KIT,.155 ROUND STRING (10)"/>
        <s v="KIT, TRIMMER BLADE"/>
        <s v="KIT, SABRE TOOTH BLADE"/>
        <s v="ZARANDA FINA 76202-12"/>
        <s v="ZARANDA MEDIANA 76204-12"/>
        <s v="Criba para humedos mod. SC3305, SC3265, SC3342"/>
        <s v="Criba para humedos mod. SC3206"/>
        <s v="KIT, DESFIBRADOR PARA SC2170"/>
        <s v="CHIPPER TIPO REMOLQUE CH4400"/>
        <s v="CHIPPER/SHREDDERS CS3206"/>
        <s v="CHIPPER/SHREDDERS CS3342"/>
        <s v="CHIPPER/SHREDDERS SC2170"/>
        <s v="CHIPPER/SHREDDERS SC3305_x0009__x0009_"/>
        <s v="TRIMMERS-DESBROZADORA WT190_x0009__x0009__x0009_"/>
        <s v="TUNEL TERMOENCOGIBLE BS-6535LA"/>
        <s v="CAJA 500 ML"/>
        <s v="CAJA 100 ML"/>
        <s v="CAJA LITRO"/>
        <s v="CAJA 250 ML"/>
        <s v="CAMIONETA CHEVROLET LUV D-MAX 2.5L DIESEL TM 4X2"/>
        <s v="STICKER COMBO SINOPRID XL"/>
        <s v="STICKER COMBO SCOBA XL"/>
        <s v="STICKER COMBO COGOLLERO"/>
        <s v="COMBO AGROTA  MONILIA "/>
        <s v="COMBO  AGROTA CACAO FLORACION "/>
        <s v="COMBO AGROTA CACAO INICIO "/>
        <s v="COMBO AGROTA INSECTICIDA"/>
        <s v="COMBO AGROTA FRESA"/>
        <s v="MOTOR 3HP WEG 3600 RPM 110/220V"/>
        <s v="MOTOR 1HP WEG 1800RPM 110/220V"/>
        <s v="MOTOR 10HP EBERLE 1800RPM 220/440V   "/>
        <s v="ENGRANAJE 13 DIENTES BATIDOR VFC 5000"/>
        <s v="ENGRANAJE 14 DIENTES FLANJE VFC 5000"/>
        <s v="JUEGO DE CUCHILLAS DP2"/>
        <s v="JUEGO DE CUCHILLAS DP4 / DPC-4 / EC- MINI"/>
        <s v="CONTRA CUCHILLA DP2"/>
        <s v="JUEGO DE MARTILLOS PARA DP2"/>
        <s v="JUEGO DE ZARANDAS PARA DP1"/>
        <s v="CONTRA CUCHILLA DP4"/>
        <s v="JUEGO DE ZARANDAS PARA DP4"/>
        <s v="BANDA 5B-152 COSECHADORA 930C"/>
        <s v="CAJA DE TRANSMICION DAC 600"/>
        <s v="JUEGO TORNILLOS CUCHILLAS DP4"/>
        <s v="RESORTE DEL BASCULANTE PARA EC 4800"/>
        <s v="CORONA DE BRONCE SINFIN"/>
        <s v="CILINDRO ALIMENTADOR DENTADO"/>
        <s v="CILINDRO ALIMENTADOR LISO"/>
        <s v="DESGRANADORA 360 (KG/HORA) OSORIO"/>
        <s v="CILINDRO ALIMENTADOR LISO EC-4800"/>
        <s v="CILINDRO ALIMENTADOR LISO EC-4000"/>
        <s v="ENSILADORA EC MINI"/>
        <s v="GANCHO GTC1000   "/>
        <s v="MOTOR 5HP WEG 1800RPM 220/440V"/>
        <s v="MOLINO PICADOR DPF JR."/>
        <s v="ZARANDA DP4 (0,6MM)"/>
        <s v="ZARANDA DP4 (0,8MM)"/>
        <s v="ZARANDA TCM4 (0,6MM)"/>
        <s v="ZARANDA TCM4 (0,8MM)"/>
        <s v="ZARANDA DPF JR (0,6MM)"/>
        <s v="ZARANDA DPF JR (0,8MM)"/>
        <s v="ZARANDA DP1 (0,6MM)"/>
        <s v="ZARANDA DP1 (0,8MM)"/>
        <s v="ZARANDA DP2 (0,6MM)"/>
        <s v="JUEGO DE CUCHILLAS DP1"/>
        <s v="JUEGO DE CUCHILLAS DPF MINI"/>
        <s v="JUEGO DE MARTILLOS PARA DP1"/>
        <s v="JUEGO DE CUCHILLAS DPF JR"/>
        <s v="MOTOR 1.5 HP KOLBACH 3600 RPM "/>
        <s v="MOTOR 1.5 HP WEG 1800 RPM"/>
        <s v="CONTRA CUCHILLA DPF MINI"/>
        <s v="CONTRA CUCHILLA DPF JR"/>
        <s v="CONTRA CUCHILLA CILINDRO RECOGEDOR P 930"/>
        <s v="CONTRA CUCHILLA DEL ROTOR 930 C"/>
        <s v="CUCHILLAS RECOGEDORAS IZQUIERDAS 930 C"/>
        <s v="ESTIRADOR CADENA CILINDRO DENTADO 930 C"/>
        <s v="ESTIRADOR CADENA CILINDRO MOVIL 930 C"/>
        <s v="FLANJE ENTALLADO COSECHADORA 930 C"/>
        <s v="JUEGO CUCHILLAS ROTOR COSECHADORA 930 C"/>
        <s v="CONTRA CUCHILLA DP1"/>
        <s v="CUCHILLAS RECOGEDORAS DERECHAS 930 C"/>
        <s v="CONTRA CUCHILLA EC 4000"/>
        <s v="TOLVA DE SALIDA PARA EC 4000/4800  "/>
        <s v="MOTOR GASO 3.5 HP EJE RECTO"/>
        <s v="MEZCLADORA MRC 500"/>
        <s v="CORONA DE BRONCE EC MINI  71.200.10 "/>
        <s v="71.118.10 SINFIN PARA EC MINI"/>
        <s v="10.236.05 SINFIN PARA EC 4000/EC 4800"/>
        <s v="CORONA BRONCE EC 4800"/>
        <s v="PERILLAS PARA EC/DP"/>
        <s v="MOTOR 2 HP PARA DPF SR"/>
        <s v="JUEGO PISTON STD"/>
        <s v="BUSHING-NYLON 1715538 PARA EC MINI"/>
        <s v="CILINDRO ALIMENTADOR DENTADO EC-4800"/>
        <s v="CILINDRO ALIMENTADOR DENTADO EC-4000"/>
        <s v="TOLVA NEGRA PARA DPF-JR"/>
        <s v="POLEA 4`` DE 2 RANURAS"/>
        <s v="CAJA INVERSORA EC-MINI"/>
        <s v="CARDAN PARA CUSTOM 930-C SIN EMBRAGUE"/>
        <s v="MOLINO PICADOR DP2"/>
        <s v="MOLINO PICADOR DPC4"/>
        <s v="MOLINO DPF MINI"/>
        <s v="MOLINO PICADOR DPF-SR"/>
        <s v="JUEGO DE ZARANDAS PARA DPF JR."/>
        <s v="JUEGO DE MARTILLOS PARA DPF JR."/>
        <s v="JUEGO DE CUCHILLAS EC 4000"/>
        <s v="JUEGO DE ZARANDAS PARA DP2"/>
        <s v="CUCHILLAS REPICADORAS PPC3"/>
        <s v="TOLVA DE ENTRADA EC 4800   "/>
        <s v="TOLVA DE ENTRADA DPF MINI"/>
        <s v="TOLVA DE ENTRADA EC 4000"/>
        <s v="JUEGO DE ZARANDAS PARA DPF MINI"/>
        <s v="CONTRA CUCHILLA EC MINI"/>
        <s v="JUEGO DE MARTILLOS PARA TMC-4"/>
        <s v="RODILLO DEL DESCASCARADOR"/>
        <s v="ZARANDA DEL BRUNIDOR"/>
        <s v="JUEGO DE CUCHILLAS PPC3"/>
        <s v="CONTRA CUCHILLA PARA PPC-3"/>
        <s v="KIT CUCHILLAS DE ROTOR PPC-3"/>
        <s v="CUCHILLAS EC MINI (UNIDADES)"/>
        <s v="COCINA MONTE CARLO QUARZO"/>
        <s v="CORTADORA CRAFTSMAN  5.5HP CON LLANTAS POS. ALTAS MOD. 917.385143"/>
        <s v="CORTADORA CRAFTSMAN 5.5HP LLANTA BAJA MOD. 247.385200"/>
        <s v="CORTADORA CRAFTSMAN  6.7 LLANTAS POS. ALTAS Y RECO  CESPED MOD. 247.389160"/>
        <s v="CORTADORA CRAFTSMAN 7HP DE TRACC. DE LLANTERA CON LLAN POST ALTAS MO 917.370680"/>
        <s v="CYTOKIN X 100CC"/>
        <s v="ESCRITORIO DE 150X60 CON SOPORTES Y CAJONERA METALICA COLOR HAYA"/>
        <s v="ESTACIÓN DE TRABAJO DE 150X150 ESTRUCTURA SOPORTES Y FALDON CAJONERA 3 GAVETAS"/>
        <s v="AGARRADERA MANUBRIO PULVERIZADORA"/>
        <s v="ROLLO HILO NYLON 0.095 (870 MTS) 09510&quot;"/>
        <s v="PISTON KIT CS3000"/>
        <s v="PISTON KIT PPT2400"/>
        <s v="PISTON KIT CS1201"/>
        <s v="PISTON KIT CS3500-35"/>
        <s v="ANILLOS PISTON CS3500"/>
        <s v="ANILLO PISTON, KIT SHP800  EDR210"/>
        <s v="ANILLO PISTON DM6110"/>
        <s v="ANILLOS  PISTON SRM4300"/>
        <s v="ANILLO PISTON CS1201"/>
        <s v="ANILLO PISTON PPT2400"/>
        <s v="ANILLO PISTON CS8002"/>
        <s v="ANILLOS PISTON CS6700"/>
        <s v="ANILLO PISTON CS510"/>
        <s v="ANILLO PISTON SRM3605"/>
        <s v="ANILLO PISTON SRM4605"/>
        <s v="ANILLO PISTON CS3000"/>
        <s v="COJINETE DE AGUJAS DE TAMBOR CS420"/>
        <s v="CIGUEÑAL DM6110"/>
        <s v="10010030830 CIGUENAL CS8002"/>
        <s v="10010043130 CIGUENAL SRM4605"/>
        <s v="10010055430 CIGUENAL SRM3605"/>
        <s v="10010055930 CIGUEÑAL SHP-800"/>
        <s v="CIGUEÑAL CS1201"/>
        <s v="10010160931 CIGUENAL CS3500"/>
        <s v="TANQUE ES726"/>
        <s v="CHAVETA SRM3605"/>
        <s v="CARTER COMPLETO CS1201"/>
        <s v="CARTER COMPLETO SRM4605"/>
        <s v="CARTER COMPLETO WP-1000 EDR-210"/>
        <s v="CARTER COMPLETO SRM3605"/>
        <s v="CARTER COMPLETO SRM270"/>
        <s v="SELLO DE ACEITE CS680S"/>
        <s v="SELLO DE ACEITE, RETEN SRM4605"/>
        <s v="SELLO DE ACEITE CS680"/>
        <s v="RETENEDOR CIGUEÑAL DM6110 SRM4300"/>
        <s v="SELLO DE ACEITE SRM3605 SRM4300"/>
        <s v="SELLO DE ACEITE CS8002"/>
        <s v="EMPAQUE CARTER  CS8002"/>
        <s v="EMPAQUE CARTER CS680"/>
        <s v="EMPAQUE CARTER PPT2400, HC150, WP1000"/>
        <s v="EMPAQUE CARTER SRM 4605"/>
        <s v="10024255430 EMPAQUE CARTER SRM3605"/>
        <s v="AMORTIGUADOR POSTERIOR CS1201"/>
        <s v="AMORTIGUADOR FRONTAL CS8002"/>
        <s v="PERNO SUJETADOR DE AMORTIGUADOR CS1201"/>
        <s v="PERNO AMORTIGUADOR CS510"/>
        <s v="AMORTIGUADOR FRONTAL CS1201"/>
        <s v="AMORTIGUADOR CS8002"/>
        <s v="AMORTIGUADOR CS510"/>
        <s v="AMORTIGUADOR POSTERIOR CS8002"/>
        <s v="10101006211 EMPAQUE CILINDRO DM6110"/>
        <s v="EMPAQUE DE CILINDRO CS1201"/>
        <s v="10101030830 EMPAQUE DE CILINDRO CS8002"/>
        <s v="10101032431 EMPAQUE CILINDRO CS680S"/>
        <s v="10101042231 EMPAQUE CILINDRO SRM4605"/>
        <s v="EMPAQUE DE CILINDRO PPT2400, EDR210"/>
        <s v="10101055430 EMPAQUE CILINDRO SRM3605"/>
        <s v="EMPAQUE CILINDRO SHP-800"/>
        <s v="10101056030 EMPAQUE CILINDRO SRM270"/>
        <s v="CILINDRO PPT-2400"/>
        <s v="10101147530 CILINDRO SRM4605"/>
        <s v="CILINDRO CS1201"/>
        <s v="10101161230 CILINDRO SHP800"/>
        <s v="10103456532 CILINDRO SRM270"/>
        <s v="GAFAS SPORT ECHO"/>
        <s v="RESORTE DE COMPRESION EJE PPT2400"/>
        <s v="ROLLO NYLON SHINDAIWA 3LB 0.105&quot;"/>
        <s v="ROLLO NYLON SHINDAIWA 5LB 0.105&quot;"/>
        <s v="ROLLO HILO NYLON 0.105&quot;700MTS) 10510&quot;"/>
        <s v="CARBURADOR CS1201"/>
        <s v="DIAFRAGMA CARBURADOR CS1201"/>
        <s v="PALANCA BALANCIN CS1201"/>
        <s v="EMPAQUETADURA BOMBA CARBURADOR CS1201"/>
        <s v="VALVULA REGULADORA CS1201"/>
        <s v="EMPAQUE DE DIAFRAGMA DE MEDICION CS1201"/>
        <s v="DIAFRAGMA DEL BALANCIN CS1201"/>
        <s v="CARBURADOR CS8002"/>
        <s v="CARBURADOR SRM4605"/>
        <s v="CARBURADOR PPT-2400"/>
        <s v="CARBURADOR SRM3605"/>
        <s v="CARBURADOR SRM270"/>
        <s v="CARBURADOR CS3000"/>
        <s v="CARBURADOR CS3500-35"/>
        <s v="KIT DE REPARACION, CARBURADOR PPT2400"/>
        <s v="DIAFRAGMA DE CARBURADOR CS680 488"/>
        <s v="20016-81180 VALVULA SOUPAPE 22F"/>
        <s v="AGUJA (L) SRM3605"/>
        <s v="AGUJA (H) SRM3605"/>
        <s v="RESORTE DE AGUJA DE REGULACION CS8002"/>
        <s v="RESORTE BALANCIN SRM3605"/>
        <s v="RESORTE BALANCIN CS8002"/>
        <s v="PALANCA BALANCIN CS680  488,577,757"/>
        <s v="22100-81230 PALANCA BALANCIN SRM3605 SRM4605 C230"/>
        <s v="12312509560 DIAFRAGMA SRM3605"/>
        <s v="EMPAQUE DE DIAFRAGMA DE CARBURADOR CS680 488,577,757"/>
        <s v="VALVULA SRM3605"/>
        <s v="AGUJA CARBURADOR DM6110 CS420 CS600 PPT2400 SRM270 CS3500"/>
        <s v="EMPAQUETADURA Y DIAFRAGMA SRM4605"/>
        <s v="EMPAQUE DE DIAFRAGMA DE MEDICION CARB 488,577,757"/>
        <s v="EMPAQUE DE DIAFRAGMA DE BALANCIN CS8002"/>
        <s v="DIAFRAGMA SRM3605 SRM4605 "/>
        <s v="DIAFRAGMA DE BALANCIN CS600 CS680"/>
        <s v="BOMBA DE CEBADOR CS420"/>
        <s v="20036-81670 BOMBA DEL CEBADOR 22F-C230-EB500-HT23"/>
        <s v="62083-81310 TAPA CARBURADOR B530"/>
        <s v="RESORTE ACELERADOR SHP800"/>
        <s v="RESORTE ACELERADOR B530"/>
        <s v="RETENEDOR C350-B450"/>
        <s v="20020-81150 RESORTE RODELA B45-B530-B45L"/>
        <s v="RETENEDOR TIPO E SHP800"/>
        <s v="INYECTOR PRINCIPAL SHP800"/>
        <s v="TORNILLO RELANTIN B450 C350"/>
        <s v="72920-81820 RESORTE T B450-C350-B530"/>
        <s v="CARBURADOR SHP800"/>
        <s v="AGUJA PIVOTE SHP800"/>
        <s v="20040-81430 RESORTE BALANCIN C350-B450"/>
        <s v="20070-81350 TORNILLO (H) B450"/>
        <s v="20011-81360 RESORTE H B450-C350-B530"/>
        <s v="20040-81680 RESORTE MEMBRANA B450-C350-C270-SHP800"/>
        <s v="EMPAQUE DE CARBURADOR SHP800"/>
        <s v="PLACA CARBURADOR SHP800"/>
        <s v="EMPAQUE DE BOMBA SHP800"/>
        <s v="DIAFRAGMA BOMBA GASOLINA SHP800"/>
        <s v="20011-81680 RESORTE MEMBRANA C35LA-B45-B"/>
        <s v="62035-81360 RESORTE MEMBRANA B530"/>
        <s v="VALVULA PATO B530 B450"/>
        <s v="12438012710 BOMBA CEBADOR B450-B530-C350"/>
        <s v="BOMBA DEL CEBADOR ES726"/>
        <s v="PALANCA BALANCIN SRM4300"/>
        <s v="12532508360 EMPAQUE BOMBA CARBURADOR SRM4300"/>
        <s v="AGUJA H SRM4300"/>
        <s v="12534107360 DIAFRAGMA SRM4300"/>
        <s v="TORNILLO RELANTIN 4300"/>
        <s v="BOMBA DE CEBADO SRM4300"/>
        <s v="BARRA 12&quot; PPT2400"/>
        <s v="AISLADOR KIT CS3000"/>
        <s v="AISLADOR SC3500"/>
        <s v="AISLADOR SC420"/>
        <s v="EMPAQUE (B) ADMISION PPT2400"/>
        <s v="EMPAQUE CARBURADOR CS510"/>
        <s v="ADAPTADOR DE MANGA CARBURADOR CS1201"/>
        <s v="EMPAQUE B CARBURADOR SRM4300"/>
        <s v="EMPAQUE AISLADOR (B) SRM4605"/>
        <s v="AISLADOR PPT2400"/>
        <s v="AISLADOR SRM4605"/>
        <s v="AISLADOR SRM3605"/>
        <s v="AISLADOR SRM270"/>
        <s v="PERNO CARBURADOR SRM4605"/>
        <s v="ROLLO HILO NYLON 0.130 (460MTS) 13010&quot;"/>
        <s v="FILTRO COMPLETO AIRE SHP800"/>
        <s v="13030039730 FILTRO AIRE CS3500-CS420-45"/>
        <s v="TAPA FILTRO SRM3605"/>
        <s v="FILTRO DE AIRE CS8002"/>
        <s v="FILTRO DE AIRE CS1201"/>
        <s v="BASE FILTRO AIRE SRM4605"/>
        <s v="FILTRO AIRE DM6110"/>
        <s v="FILTRO AIRE SHP800"/>
        <s v="FILTRO DE AIRE SRM4605"/>
        <s v="13031051730 ELEMENTO FILTRO AIRE SRM3605"/>
        <s v="FILTRO AIRE SRM270"/>
        <s v="TAPA FILTRO AIRE DM-6110"/>
        <s v="13031306230 CUBIERTA FILTRO AIRE SRM4605"/>
        <s v="CUBIERTA FILTRO SRM4300"/>
        <s v="PERILLA TAPA FILTRO SRM3605"/>
        <s v="MANGA CS1201"/>
        <s v="MANGA ADMISION CS80002"/>
        <s v="MANGA ADMISION CS3500"/>
        <s v="PLACA BASE MANGA CS1201"/>
        <s v="ANILLO BASE DE LA MANGA CS8002"/>
        <s v="TAPA TANQUE SRM3605 4300 4605"/>
        <s v="TANQUE DE COMBUSTIBLE PPT2400"/>
        <s v="TANQUE COMBUST SRM3605"/>
        <s v="FILTRO DE COMBUSTIBLE PPT2400"/>
        <s v="FILTRO COMBUST SRM4300 SRM4605"/>
        <s v="BASE TANQUE SRM4605"/>
        <s v="AMORTIGUA TANQ SRM4300-3605-4605"/>
        <s v="AMORTIGUADOR SRM4605"/>
        <s v="AMORTIGUADOR DE TANQUE SRM4605"/>
        <s v="TUBO COMBUSTIBLE SRM4300"/>
        <s v="MANGUERA DE COMBUSTIBLE SRM4605"/>
        <s v="ADAPTADOR DE MANGUERA CS8002"/>
        <s v="OJAL TANQUE COMBUSTIBLE SHP-800"/>
        <s v="OJAL LINEA DE COMBUSTIBLE SRM4300"/>
        <s v="GRASA SHINDAIWA TUBO 283.5 G  "/>
        <s v="EMPAQUE DE SILENCIADOR DM6110"/>
        <s v="EMPAQUE SILENCIADOR CS8002"/>
        <s v="14551055932 EMPAQUE DE ESCAPE SHP800"/>
        <s v="EMPAQUETADURA DEL SILENCIADOR DM6110"/>
        <s v="DEFLECTOR DE SILENCIADOR CS8002"/>
        <s v="BOBINA SRM3605"/>
        <s v="BOBINA SHP800"/>
        <s v="BOBINA SRM270"/>
        <s v="BOBINA CS1201"/>
        <s v="BOBINA DM6110"/>
        <s v="BOBINA SRM4605"/>
        <s v="BOBINA DE ENCENDIDO CS8002"/>
        <s v="BOBINA CS680S, CS6702"/>
        <s v="BOBINA CS3000"/>
        <s v="BOBINA PPT2400"/>
        <s v="BOBINA CS3500-35"/>
        <s v="VOLANTE SRM4605"/>
        <s v="TAPA DE BUJIA SRM4605"/>
        <s v="INTERRUPTOR DE ENCENDIDO CS680"/>
        <s v="EMBRAGUE CS8002"/>
        <s v="EMBRAGUE PPT2400 GT-22GES"/>
        <s v="TAMBOR EMBRAGUE CS3000 SH"/>
        <s v="TAMBOR EMBRAGUE PPT2400"/>
        <s v="TAMBOR EMBRAGUE SRM4605"/>
        <s v="TAMBOR DEL EMBRAGUE 22GT"/>
        <s v="TAMBOR EMBRAGUE SRM3605"/>
        <s v="TAMBOR EMBRAGUE SRM270"/>
        <s v="TAMBOR DE EMBRAGUE CS1201"/>
        <s v="ZAPATA EMBRAGUE HC-150"/>
        <s v="ZAPATA EMBRAGUE UNIDAD SRM4605"/>
        <s v="ZAPATA EMBRAGUE UNIDAD SRM270, SHP800"/>
        <s v="COJINETE AGUJAS EMBRAGUE CS8002"/>
        <s v="COJINETE DE AGUJAS PARA EMBRAGUE CS680"/>
        <s v="RESORTE EMBRAGUE SRM270"/>
        <s v="RESORTE DE EMBRAGUE DE CS8002"/>
        <s v="RESORTE EMBRAGUE SRM4300-4605"/>
        <s v="RESORTE EMBRAGUE SRM3605"/>
        <s v="22150-51520 PINON FLOTANTE 577-757-CS8002"/>
        <s v="PERNO EMBRAGUE SRM4300-4605"/>
        <s v="PERNO EMBRAGUE SRM3605"/>
        <s v="TORNILLO EMBRAGUE SHP800"/>
        <s v="ARANDELA B EMBRAGUE SRM4300"/>
        <s v="ARANDELA EMBRAGUE SRM3605"/>
        <s v="ARANDELA A EMBRAGUE SRM4300"/>
        <s v="TAMBOR DE EMBREGUE CS8002"/>
        <s v="TAMBOR EMBRAGUE CS680"/>
        <s v="EMPAQUE GT22"/>
        <s v="ARRANCADOR COMP. DM6110"/>
        <s v="ARRANCADOR  COMPLETO CS1201"/>
        <s v="ARRANCADOR CS8002"/>
        <s v="ARRANCADOR COMP PPT2400"/>
        <s v="ARRANCADOR COMPLETO SRM3605"/>
        <s v="ARRANCADOR COMPLETO SRM270-SHP-800"/>
        <s v="POLEA COMPLETA DM6110"/>
        <s v="POLEA DE ALUMINIO DE ARRANQUE PPT2400"/>
        <s v="POLEA ARRANQUE SRM3605,4605"/>
        <s v="RESORTE ARRANQUE CS3500"/>
        <s v="TAMBOR DE ARRANCADOR CS8002"/>
        <s v="TAMBOR CUERDA CS-1201"/>
        <s v="TAMBOR ARRANCADOR CS680S"/>
        <s v="TAMBOR ARRANQUE CS3000"/>
        <s v="TAMBOR ARRANQUE CS510"/>
        <s v="TAMBOR ARRANQUE SHP800"/>
        <s v="TAMBOR ARRANQ SRM4605 B45LA-C350-EB500 (A506000150)"/>
        <s v="70030-75120 TAMBOR DE ARRANCADOR HT230,ES726"/>
        <s v="TAMBOR ARRANCADOR CS3500"/>
        <s v="TRINQUTE CS8002"/>
        <s v="TRINQUETE CS680"/>
        <s v="TRINQUETE PPT2400"/>
        <s v="RESORTE ARRANCADOR CS680"/>
        <s v="62035-75130 RESORTE ARRANQUE SRM4300 B530"/>
        <s v="RESORTE DE ARRANCADOR CS1201"/>
        <s v="RESORTE RECULAR ARRANQUE SC600"/>
        <s v="20024-75130 RESORTE ARRANQUE SHP800"/>
        <s v="BASE RESORTE ARRANCADOR CS680"/>
        <s v="PLACA DE ARRANQUE CS3000"/>
        <s v="CAJA RESORTE ARRANCADOR CS510"/>
        <s v="CUERDA SRM3605"/>
        <s v="PERILLA DEL ARRANCADOR HC-150"/>
        <s v="PERILLA ARRANCADOR SRM3605"/>
        <s v="20035-75230 RESORTE TRINQUETE ES726"/>
        <s v="RESORTE DEL TRINQUETE CS680"/>
        <s v="RESORTE DEL TRINQUETE CS8002"/>
        <s v="RESORTE TRINQUETE SRM3605-4605"/>
        <s v="BASE DEL RESORTE DE ARRANQUE CS1201"/>
        <s v="BASE DEL RESORTE DE ARRANQUE CS8002"/>
        <s v="CABLE DE ACELERADOR SRM4605"/>
        <s v="CABLE ACELERADOR SRM3605"/>
        <s v="CABLE DE ACELERADOR PPT2400"/>
        <s v="CABLE ACELERADOR SRM270"/>
        <s v="GATILLO DEL ACELERADOR 4605"/>
        <s v="GATILLO DEL ACELERADOR PPT2400"/>
        <s v="TRABA DE GATILLO 4605"/>
        <s v="RESORTE DE GATILLO 4605"/>
        <s v="TRABA DE GATILLO PPT2400"/>
        <s v="PALANCA SEGURO ACELERADOR CS3500"/>
        <s v="PROTECTOR CABLE SRM4605"/>
        <s v="BARRA 18&quot; CS-420ES"/>
        <s v="EMPAQUE ADMISION CARBURADOR CILINDRO ES726"/>
        <s v="BARRA 50CM 3/8&quot;/0.58&quot;"/>
        <s v="P050008390 BOQUILLA COMPLETA DM6110"/>
        <s v="BOQUILLA"/>
        <s v="CABEZAL SRM22GUES"/>
        <s v="HERRAMIENTA EXTRACTOR DE EMBRAGUE DE MOTOSIERRA"/>
        <s v="4050771 EMPAQUE DIFUSOR ES726"/>
        <s v="BARRA 60CM 3/8&quot;/0.58&quot;"/>
        <s v="EMPAQUE DE TAPA TANQUE DM6110"/>
        <s v="TANQUE 23L DM6110"/>
        <s v="TAPA DRENAJE SHP 800"/>
        <s v="BARRA 28&quot; 70CM 3/8&quot;/0.058&quot; CS680S CS8002"/>
        <s v="30100156831 ARNES SRM3605"/>
        <s v="PROTECTOR DEL TANQUE PPT2400"/>
        <s v="BASE TANQUE SRM 3605"/>
        <s v="ROLLO NYLON ECHO 3LB 0.105&quot;"/>
        <s v="ROLLO NYLON  5LB.105&quot; REDONDO NYL"/>
        <s v="BARRA DE 30&quot; 3/8 0.58 (80CM) PARA CS8002"/>
        <s v="33SL0-72X CADENA 18.325.050"/>
        <s v="MANUBRIO IZQ SRM3605-4605"/>
        <s v="MANGO POSTERIOR PPT2400"/>
        <s v="MANGO DERECHO SRM3605-SRM460"/>
        <s v="MANGO IZQUIERDO SRM3605-4605"/>
        <s v="SUJETADOR DE CAUCHO TUBO DM6110"/>
        <s v="LLAVE DE PASO DM6110"/>
        <s v="FILTRO MALLA ES726"/>
        <s v="TAMBOR DE EMBRAGUE ES726"/>
        <s v="EMBOLO ES726"/>
        <s v="ASIENTO DE VALVULA ES726"/>
        <s v="SOPORTE DE LANZA ES726"/>
        <s v="BARRA DE 3/8 40RC50 40CM/16&quot;"/>
        <s v="BARRA 24&quot;  CS-680, CS-8002"/>
        <s v="CA BARRA 28&quot; CS 8002"/>
        <s v="CA BARRA GUIA 28&quot; CS-8002"/>
        <s v="BARRA GUIA 60CM"/>
        <s v="BARRA GUIA 70CM"/>
        <s v="BARRA 17&quot; CS420ES 0.375"/>
        <s v="CADENA 24&quot; CS680 CS 8002"/>
        <s v="CADENA 36&quot; CS1201 0.404"/>
        <s v="CADENA 17&quot; CS420ES"/>
        <s v="ESPARRAGO DE BARRA CS1201"/>
        <s v="ESPARRAGO BARRA CS680"/>
        <s v="PLACA GUIA INTERNA CS680  CS8002"/>
        <s v="PIN TENSOR DE CADENA CS8002"/>
        <s v="TENSOR DE LA CADENA CS1201"/>
        <s v="TORNILLO TENSOR DE CADENA DE CS8002"/>
        <s v="TORNILLO TENSOR CS1201"/>
        <s v="TUERCA BARRA CS3500"/>
        <s v="TUERCA BARRA CS1201"/>
        <s v="TUERCA BARRA CS680"/>
        <s v="CUBIERTA DE EMBRAGUE CS1201"/>
        <s v="CLIP TENSOR DE CADENA CS8002"/>
        <s v="ENGRANAJE COMPLETO CS680"/>
        <s v="BOMBA ACEITE CS680 CS8002"/>
        <s v="KIT TORNILLO SIN FIN BOMBA CS-680 CS-6702"/>
        <s v="ENGRANAJE TORNILLO SINFIN CS-680"/>
        <s v="BOMBA DE ACEITE CS1201"/>
        <s v="BOMBA DE ACEITE CS8002"/>
        <s v="CA BOMBA DE ACEITE CS8000"/>
        <s v="MANGUERA COMBUST A SHP-800"/>
        <s v="CONECTOR GIRATORIO"/>
        <s v="4515030 VALVULA DE PASO ES726"/>
        <s v="LANZA MANGO ES726"/>
        <s v="ESLABON GIRATORIO ES726,SHP800"/>
        <s v="4568020 CUERPO DE LA VALVULA ES726"/>
        <s v="ESLABON GIRATORIO C/DESCONEXION"/>
        <s v="MANGO FILTRO 320 PARA ES726,SHP800"/>
        <s v="LANZA 5 BOQUILLAS"/>
        <s v="BOQUILLA ES726"/>
        <s v="VALVULA DE GATILLO ES726"/>
        <s v="4555310 PLACA GOTA FINA ES726"/>
        <s v="LANZA ES726"/>
        <s v="CA BOQUILLA METAL ES726"/>
        <s v="CAJA DE ENGRANAJE ES726"/>
        <s v="BOMBA COMPLETA ES726"/>
        <s v="JUEGO DE EMPAQUES ES726"/>
        <s v="JUEGO DE VALVULAS ES726"/>
        <s v="TAPA DEL DRENAJE ES726"/>
        <s v="TAPA TANQUE ES726"/>
        <s v="HOMBRERA ES726"/>
        <s v="VALVULA COMPLETA ES726"/>
        <s v="MOTOSIERRA 488"/>
        <s v="MOTOSIERRA 488 Con espada de 50&quot;"/>
        <s v="UNIDAD CIERRE SP40BPS_x0009__x0009__x0009_"/>
        <s v="MANGUERA SP40BPS"/>
        <s v="ANILLO KIT SP40BPS"/>
        <s v="VALVULA KIT CARTUCHO SP40BPS"/>
        <s v="PISTON CILINDRO KIT SP40BPS"/>
        <s v="CAMARA DE PRESION SP40BPS"/>
        <s v="MANDRIL EDR-210"/>
        <s v="MANUAL SERVICIO TECNICO"/>
        <s v="61001106230 EJE CENTRAL SRM3605 SRM4605"/>
        <s v="EJE TRANSMISIÓN INFERIOR PPT2400"/>
        <s v="EJE TRANSMISION SUPERIOR PPT240"/>
        <s v="61001125530 EJE CENTRAL SRM270"/>
        <s v="CONECTOR EJE TRANSMISION PPT2400"/>
        <s v="SOPORTE COJINETE COMPLETO PPT2400"/>
        <s v="CUBIERTA DE EMBRAGUE SRM4605"/>
        <s v="TUBO EXTERNO SRM270"/>
        <s v="TUBO EXTERNO SRM4605"/>
        <s v="TUBO EXTERNO SRM3605"/>
        <s v="TUBO SUPERIOR PPT2400"/>
        <s v="TUBO PRINCIPAL PPT2400"/>
        <s v="ARANDELAS DE SEGURIDAD DE CAJA SRM4300"/>
        <s v="ABRAZADERA INFERIOR PPT2400"/>
        <s v="ABRAZADERA SUPERIOR PPT2400"/>
        <s v="ADAPTADOR EJE TRANSMISION PPT2400"/>
        <s v="PIÑON KIT CAJA SRM 3605"/>
        <s v="61031005730 EJE PINON SRM4300"/>
        <s v="EJE DE ENGRANAJE SRM270"/>
        <s v="EJE PIÑON SRM4605 SRM3605  "/>
        <s v="SOPORTE (A) SRM4300"/>
        <s v="61031421231 ESTABILIZADOR CUCHILLA SRM4300"/>
        <s v="SOPORTE (B) SRM270 SRM3605 SRM4605"/>
        <s v="ESPACIADOR DE CAJA DE ENGRANAJES SRM4300"/>
        <s v="TUERCA CUCHILLA SRM4300"/>
        <s v="TUERCA DE CUCHILLA SRM3605 SRM4605"/>
        <s v="SELLO DE ACEITE B530"/>
        <s v="PERNO GRASERO SRM3605-4300-4605-270"/>
        <s v="AMORTIGUADOR UNION SRM4605"/>
        <s v="TAZA PARA MEDIR ACEITE"/>
        <s v="ACEITE ECHO POWER BLEND 2T"/>
        <s v="ACC. DESMALEZADORA M-230 65001"/>
        <s v="ACC. PODARRAMAS M-230 65002"/>
        <s v="ACC. CORTASETOS ARTICULADOS M-230 65003"/>
        <s v="PIÑON LOCO CS680S"/>
        <s v="ESTABILIZADOR CUCHILLA SRM270-3605"/>
        <s v="CONECTOR VARILLA DM6110"/>
        <s v="ORING DE TAPA DE CARTER DE BOMBA SHP800"/>
        <s v="CA TAPON BOMBA SHP800"/>
        <s v="TAMBOR DE EMBRAGUE SHP800"/>
        <s v="RETEN DE CARTER BIELA SHP800"/>
        <s v="BIELA BOMBA SHP-800"/>
        <s v="RETEN DE CUBIERTA DE EMBRAGUE SHP800"/>
        <s v="VASTAGO DE EMBOLO SHP800"/>
        <s v="RESORTE VALVULA SHP-800"/>
        <s v="VALVULA PRESION SHP-800"/>
        <s v="70602034770 CABEZA PISTON SHP800"/>
        <s v="ASIENTO DE VALVULA SHP800"/>
        <s v="EMPAQUE BOMBA SHP 800"/>
        <s v="EMPAQUE DE GRASA SHP800"/>
        <s v="JUEGO DE EMPAQUES BOMBA SHP800"/>
        <s v="ANILLO DE GRASA SHP-800"/>
        <s v="TAPA DE GRASERO SHP800"/>
        <s v="EMPAQUE DE CILINDRO PRESION SHP800"/>
        <s v="CILINDRO DE BOMBA SHP 800"/>
        <s v="O RING B SHP800"/>
        <s v="VALVULA PRESION SHP800"/>
        <s v="VALVULA KIT DE EMBOLO SHP800"/>
        <s v="70602060A22 VALVULA REGULADORA SHP800"/>
        <s v="BOLA DE ACERO BOMBA SHP800"/>
        <s v="RETENEDOR DE RESORTE SHP-800"/>
        <s v="RESORTE VALVULA PRESION SHP800"/>
        <s v="TAPA DE TANQUE SHP-800"/>
        <s v="EMPAQUE TAPA SHP-800"/>
        <s v="MANGUERA PULV SHP800"/>
        <s v="MANIJA DE LANZA SHP800"/>
        <s v="VALVULA DE PASO SHP800"/>
        <s v="CABLE DE ACELERADOR SHP800"/>
        <s v="VISOR ACEITE SHP800"/>
        <s v="CABEZA DE CILINDRO BOMBA SHP 800"/>
        <s v="RETENEDOR RESORTE SHP800"/>
        <s v="MANGUERA COMBUST B SHP-800"/>
        <s v="VARILLA PULVERIZADORA SHP800"/>
        <s v="BOQUILLA COMPLETA SHP800"/>
        <s v="MALLA SHP800"/>
        <s v="TAPA DE LA BOQUILLA SHP800"/>
        <s v="PLACA DE BOQUILLA SHP800"/>
        <s v="ORING DE BOQUILLA SHP800"/>
        <s v="HERRAMIENTA BOMBA SHP800"/>
        <s v="CADENA 16&quot;"/>
        <s v=" 43101230831CADENA 50CM 20&quot; CS600"/>
        <s v="73DP-84X CADENA60CM 24&quot;, 3/8, 058"/>
        <s v="43101530831 CADENA70CM 28&quot; CS8002"/>
        <s v="CADENA 60CM 28&quot; CS8002"/>
        <s v="MOTOSIERRA 757-70 CON BARRA Y CADENA"/>
        <s v="MOTOSIERRA 757 SHINDAIWA"/>
        <s v="CABEZAL DE ALTA CAPACIDAD SPEED FEED"/>
        <s v="O-RING DE LANZA,SELLO ES726"/>
        <s v="TUBO COMPLETO C350"/>
        <s v="TUBO COMPLETO B450"/>
        <s v="EMPAQUE TAPA ES726"/>
        <s v="JUEGO, GUIAS DE RETENEDOR"/>
        <s v="TANQUE COMBUS C270"/>
        <s v="TUBO COMP CON ETIQUETA  C230"/>
        <s v="ZAPATA DEL EMBRAGUE COMPLETA ES726"/>
        <s v="KIT REPARA BOMBA ES726"/>
        <s v="EMPAQUETADURA-DIAF ES726"/>
        <s v="AGUJA KIT KWIK ES726"/>
        <s v="KIT ESPARRAJOS ROSCA IZQUIERDA"/>
        <s v="CA DISCOS DE ALTA EXIGENCIA 8&quot;"/>
        <s v="CA DISCO DE ALTA EXIGENCIA 9&quot;"/>
        <s v="EMPAQUETADURA DIAFR 488-577-757"/>
        <s v="EMPAQUETADURA DIAFR 488-488P"/>
        <s v="ADAPTADOR UN10 C230"/>
        <s v="80677 ADAPTADOR UN10 C270,BP35"/>
        <s v="80678 ADAPTADOR UN10,B450,B530,C350"/>
        <s v="CABEZAL METALICO SIN EMPAQUE"/>
        <s v="CABEZAL DE NYLON METALICO"/>
        <s v="COJINETE DE AGUJAS BIELA C230"/>
        <s v="MANGUERA LANZA ES726"/>
        <s v="82002 COMBNACION CASCO/VISOR Y OREJERAS"/>
        <s v="82003 COMBINACION VISOR/OREJERAS"/>
        <s v="CABEZAL NYLON UN-10 SIN EMPAQUE) 82067A "/>
        <s v="88102 BOQUILLA HV-2"/>
        <s v="TAPA DE BOQUILLA ES726"/>
        <s v="INTERRUPTOR ES726"/>
        <s v="AMORTIGUADOR ES726"/>
        <s v="LLAVE MANDRIL EDR-210"/>
        <s v="MEDIDA DE COMBUSTIBLE"/>
        <s v="PERNO 5x14 "/>
        <s v="PERNO DE SUJECION (COM) SRM4605,SRM4300,SRM3605"/>
        <s v="PERNO DE CARBURADOR CS510"/>
        <s v="PERNO SUJETADOR CARBURADOR SRM3605"/>
        <s v="90024205025 TORNILLO 5X25"/>
        <s v="TORNILLO SRM4605"/>
        <s v="LLAVERO PROBADOR CHISPA"/>
        <s v="TUERCA DE MANUBRIO SRM4605"/>
        <s v="ARANDELA VARIOS MODELOS"/>
        <s v="01600-04101 ARANDELA PRESION C230,P230,C350,B45,B450"/>
        <s v="O RING CAJA ENGRANAJE SRM4605"/>
        <s v="ORING CAJA SRM4605"/>
        <s v="COJINETE 6000 B450 B530"/>
        <s v="02006-06002 COJINETE C350-B450"/>
        <s v="02002-06001 COJINETE B450 B530"/>
        <s v="COJINETE 6202 B450 B530 SRM430"/>
        <s v="CA ARNES 901018 "/>
        <s v="90SG-039X CADENA GUIA 10&quot; P230"/>
        <s v="PERNO TAPA GRASA C230"/>
        <s v="HERRAMIENTA KIT ENGENER"/>
        <s v="MALETIN HERRAMIENTA ECHO"/>
        <s v="CADENA 12&quot; PPT2400"/>
        <s v="CADENA PARA BARRA DE 16&quot; 40CM 3/8&quot; 0.058&quot;"/>
        <s v="02432-22100 SEGURO ZEGER CAJA ENGRANAJE C230"/>
        <s v="02432-26120 ANILLO RETENEDOR C230"/>
        <s v="02432-28120 ANILLO DE RETENCION 22F"/>
        <s v="ANILLO DE RETENCION B450-C35"/>
        <s v="ANILLO SEGER C350-B450-B530"/>
        <s v="02432-40170 ANILLO DE RETENCION B45-488"/>
        <s v="CHAVETA B530"/>
        <s v="ANILLO BOQUILLA LANZA ES726"/>
        <s v="ORINGS ES726"/>
        <s v="ORINGS ES 726"/>
        <s v="AGUJA KIT 757"/>
        <s v="EMPAQUETADURA KIT C230"/>
        <s v="AGUJA KIT C230"/>
        <s v="VALVULA DE CONTROL C230"/>
        <s v="PISTON KIT 22C-22F"/>
        <s v="CARTER S C350"/>
        <s v="CARTER M C350"/>
        <s v="99909-450 PISTON KIT B450"/>
        <s v="EMPAQUETADURA-DIAFRAG B450"/>
        <s v="AGUJA KIT B450"/>
        <s v="ACEITE SHINDAIWA PREMIUM 2-TIEMPOS 100ML"/>
        <s v="KIT REPARACION, MANGUITO, VALVULAS SP40BPS"/>
        <s v="569002 TAPA Y FILTRO DE TANQUE QUIMICO SP40BPS"/>
        <s v="569004 PISTON KIT SP40BPS"/>
        <s v="VALVULA KIT REPARACION CIERRE SP40BPS_x0009__x0009__x0009_"/>
        <s v="569008 LANZA DE FUMIGACION SP40BPS"/>
        <s v="BOQUILLA DE LATON SP40BPS"/>
        <s v="BOQUILLA POIETIL SP40BPS_x0009__x0009__x0009_"/>
        <s v="569012 BOQUILLA TIPO ABANICO SP40BPS"/>
        <s v="569013 BOQUILLAS KIT"/>
        <s v="569014 O-RING KIT SP40BPS"/>
        <s v="CABEZAL SPEED FEED CURVED SHAFT GT-22 SRM22"/>
        <s v="CA BROCA EDR210"/>
        <s v="ACCESORIO PARA HOYADORA 6&quot;"/>
        <s v="ACCESORIO PARA HOYADORA 8&quot;"/>
        <s v="ACCESORIO PARA HOYADORA 10&quot;"/>
        <s v="EXTENSION 122CM-4"/>
        <s v="CIGUEÑAL PPT2400"/>
        <s v="A011000120 CIGUENAL SRM4300"/>
        <s v="A011000250 CIGUEÑAL CS680-S"/>
        <s v="CIGUENAL CS600"/>
        <s v="20016-42002 CIGUENAL C230-P230-ES726"/>
        <s v="20024-42001 CIGUENAL C270"/>
        <s v="CIGUEÑAL B45-B45LA"/>
        <s v="70210-42001 CIGUEÑAL COMPLETO B450"/>
        <s v="CIGUEÑAL B530"/>
        <s v="20010-42002 CIGUENAL COMPLETO C350-BP35"/>
        <s v="22160-42002 CIGUENAL 488"/>
        <s v="22150-42002 CIGUEÑAL COMPLETO 577"/>
        <s v="22169-42000 CIGUENAL 757"/>
        <s v="CARBURADOR BP35"/>
        <s v="CARBURADOR CS510"/>
        <s v="CARBURADOR CS6702"/>
        <s v="CARBURADOR SRM4300"/>
        <s v="CARBURADOR HC-150"/>
        <s v="CARBURADOR DM6110"/>
        <s v="CARBURADOR COMPLETO CS600"/>
        <s v="CARBURADOR CS680"/>
        <s v="CARBURADOR EB 500"/>
        <s v="CARBURADOR 22F-22C"/>
        <s v="CARBURADOR COMPLETO C230"/>
        <s v="CARBURADOR C230"/>
        <s v="CARBURADOR COMPLETO C350"/>
        <s v="70203-81020 CARBURADOR SEMI COMP C350"/>
        <s v="CARBURADOR B45-B45LA"/>
        <s v="CARBURADOR B450 C350"/>
        <s v="CARBURADOR B530"/>
        <s v="CARBURADOR HT230"/>
        <s v="22175-81000 CARBURADOR COMP 577-577P"/>
        <s v="22169-81000 CARBURADOR COMPLETO 757"/>
        <s v="CARBURADOR COMPLETO ES726"/>
        <s v="70871-81100 CARBURADOR SEMI COMP HT230"/>
        <s v="20011-81021 CARBURADOR C35LA"/>
        <s v="CUBIERTA FILTRO DE AIRE B530"/>
        <s v="22175-82320 FILTRO BASE 577"/>
        <s v="70135-15100 SILENCIADOR COMPLETO C230-ES726-P230-M230"/>
        <s v="70103-15100 SILENCIADOR C270"/>
        <s v="70200-15101 SILENCIADOR SEMI COMP. B45 "/>
        <s v="70210-15102 SILENCIADOR COMP. B450"/>
        <s v="62022-15100 SILENCIADOR COMPLETO B450"/>
        <s v="62035-15012 SILENCIADOR COMPLETO B530"/>
        <s v="SILENCIADOR COMPLETO 488"/>
        <s v="72282-15101 SILENCIADOR 577"/>
        <s v="22169-15113 SILENCIADOR 757"/>
        <s v="TAPA COMBUS 22C-22F-ES726"/>
        <s v="22160-33801 TAPA COMBUS 757-577-488"/>
        <s v="70168-85201 TAPA DE COMBUSTIBLE B530,B450,C350,C230"/>
        <s v="62035-85013 TANQUE COMBUSTIBLE  B530"/>
        <s v="20016-85003 TANQUE DE COMBUSTIBLE C230"/>
        <s v="VALVULA DE AIRE, RESPIRADERO COMP B450-B45L"/>
        <s v="72930-14210 INTERRUPTOR B45-B45LA"/>
        <s v="ARRANCADOR COMPLETO B530"/>
        <s v="ARRANCADOR COMP. B45-B450"/>
        <s v="ARRANCADOR COMPLETO SRM4300"/>
        <s v="ARRANCADOR COMPLETO SRM4605"/>
        <s v="ARRANCADOR CS420"/>
        <s v="70162-75100 ARRANCADOR COMPLETO C270"/>
        <s v="72933-75900 ARRANCADOR SIN ETIQUETA C230"/>
        <s v="22169-75101 ARRANCADOR COMPLETO 577"/>
        <s v="ARRANCADOR COMPLETO ES726"/>
        <s v="TAMBOR ARRANCADOR ALUMINIO SRM4300"/>
        <s v="POLEA ARRACADOR SHP800"/>
        <s v="POLEA CON TRINQUETE ARRANCADOR HC-150"/>
        <s v="70131-75200 POLEA COMPLETA B45LA-C350"/>
        <s v="POLEA DE ARRANCADOR B530; SRM4300"/>
        <s v="20035-75200 POLEA COMPLETA ALUMINIO ES726"/>
        <s v="TAMBOR EMBRAGUE C350"/>
        <s v="TAMBOR EMBRAGUE B450-B45"/>
        <s v="TAMBOR EMBRAGUE COMPLETO 488"/>
        <s v="TAMBOR EMBRAGUE B530 (A556000870)"/>
        <s v="EMBRAGUE CS3500"/>
        <s v="EMBRAGUE CS680S"/>
        <s v="EMBRAGUE CS1201"/>
        <s v="EMBRAGUE COMPLETO CS600"/>
        <s v="ZAPATA EMBRAGUE COMP. 22F"/>
        <s v="EMBRAGUE B530-B450-C350"/>
        <s v="70157-51101 EMBRAGUE COMPLETO C230"/>
        <s v="EMBRAGUE 577"/>
        <s v="EMBRAGUE COMPLETO 757"/>
        <s v="CUBIERTA EMBRAGUE SRM4300"/>
        <s v="62035-33010 UNION COMPLETA B530"/>
        <s v="PISTON C270"/>
        <s v="70210-41110  PISTON B450"/>
        <s v="62035-41110 PISTON B530"/>
        <s v="20075-41111 PISTON P230-C230-ES726-HT230"/>
        <s v="22157-41112 PISTON 488"/>
        <s v="ANILLO PISTON SHP-800   EDR-210"/>
        <s v="ANILLO PISTON SRM270"/>
        <s v="ANILLO PISTON HC-150"/>
        <s v="ANILLO PISTON CS680"/>
        <s v="ANILLOS PISTON CS420"/>
        <s v="ANILLO PISTON CS600"/>
        <s v="ANILLO PISTON EB500"/>
        <s v="20142-41210 ANILLO PISTON 22F-22C-F2"/>
        <s v="20024-41210 ANILLO PISTON C270"/>
        <s v="ANILLO PISTON B45-B45LA"/>
        <s v="ANILLOS PISTON B450"/>
        <s v="62035-41120 ANILLO PISTON B530"/>
        <s v="ANILLOS PISTON C350-BP35"/>
        <s v="ANILLOS PISTON C230-HT230"/>
        <s v="22152-41210 ANILLO DEL PISTON 577"/>
        <s v="A130000111 CILINDRO DM6110"/>
        <s v="CILINDRO SRM4300"/>
        <s v="CILINDRO EDR-210"/>
        <s v="A130000601 CILINDRO SRM3605"/>
        <s v="A130000870 CILINDRO SRM4300"/>
        <s v="CILINDRO CS600"/>
        <s v="CILINDRO CS680"/>
        <s v="CILINDRO 6702"/>
        <s v="CILINDRO EB500"/>
        <s v="CILINDRO 22F-22C-F220"/>
        <s v="70198-12110 CILINDRO B45-B45LA"/>
        <s v="CILINDRO B450"/>
        <s v="CA CILINDRO C350-C35LA"/>
        <s v="70196-12110 CILINDRO C350-C35LA"/>
        <s v="CILINDRO 577"/>
        <s v="22169-12111 CILINDRO 757"/>
        <s v="CILINDRO B530"/>
        <s v="CILINDRO 488"/>
        <s v="70210-32111 CUBIERTA CILINDRO B450"/>
        <s v="CUBIERTA CILINDRO B530"/>
        <s v="CUBIERTA DE CILINDRO 757"/>
        <s v="CUBIERTA DE CILINDRO C230-ES726"/>
        <s v="CA CUBIERTA CILINDRO B530"/>
        <s v="CUBIERTA DE VENTILADOR B530"/>
        <s v="CUBIERTA DEL VENTILADOR BP35"/>
        <s v="70103-86130 PROTECT TANQUE C270"/>
        <s v="BASE B45-B45LA-B450-C350"/>
        <s v="PROTECTOR DEL TANQUE B45-B450"/>
        <s v="PROTECTOR DEL TANQUE B530"/>
        <s v="AISLADOR SRM4300"/>
        <s v="20140-12210 AISLADOR CONDENS 22F"/>
        <s v="AISLADOR CONDENSADORES726"/>
        <s v="AISLADOR C270"/>
        <s v="AISLADOR CONDENS B450-C350"/>
        <s v="62035-12210 AISLADOR CONDENS B530"/>
        <s v="PLATO ASIENTO MANGA 577"/>
        <s v="20010-12211 TUBERIA USE"/>
        <s v="AISLADOR CS680"/>
        <s v="AISLADOR CS420"/>
        <s v="MANGA CS600"/>
        <s v="22160-12150 MANGA 488"/>
        <s v="MANGA 757-577"/>
        <s v="BRIDA MANGA CS600"/>
        <s v="A225000400 PORTA FILTRO ES726"/>
        <s v="FILTRO CUERPO AIRE B450-C350"/>
        <s v="20010-81711 PORTA FILTRO B45-BP35"/>
        <s v="22169-82251 BASE DE FLTRO 757"/>
        <s v="CA FILTRO AIRE SRM4300 MODELO ANTIGUO"/>
        <s v="FILTRO AIRE CS680"/>
        <s v="FILTRO AIRE SRM4300"/>
        <s v="FILTRO AIRE  INTERMEDIO SRM4300"/>
        <s v="PRE FILTRO B530"/>
        <s v="FILTRO AIRE  22F-22C"/>
        <s v="38500-82120 FILTRO AIRE ES726"/>
        <s v="20056-81740 FILTRO AIRE C350-B450"/>
        <s v="FILTRO AIRE B530"/>
        <s v="22175-82310 FILTRO DE AIRE 577-757C"/>
        <s v="72330-82320 PRE FILTRO 577P-757"/>
        <s v="FILTRO DE AIRE SRM270"/>
        <s v="REJILLA FILTRO AIRE SRM4300"/>
        <s v="CA CUBIERTA FILTRO DE AIRE SRM4300"/>
        <s v="CUBIERTA FILTRO AIRE ES726"/>
        <s v="62035-82131 CUBIERTA FILTRO AIRE B530"/>
        <s v="70140-81760 CUBIERTA  DE FILTRO T230"/>
        <s v="22175-82510 TAPA DE FILTRO 577"/>
        <s v="A235000220 PERILLA ARRANCADOR C230"/>
        <s v="22175-82520 PERILLA DE CUBIERTA 577"/>
        <s v="PLACA FILTRO B530"/>
        <s v="SILENCIADOR CS680"/>
        <s v="22169-15170 DEFLECTOR 577"/>
        <s v="72282-15310 CUBIERTA SILENCIADOR 577"/>
        <s v="CUBIERTA SILENCIADOR SRM4300"/>
        <s v="CUBIERTA SILENCIADOR B450"/>
        <s v="62035-32331 CUBIERTA, SILENCIADOR B530"/>
        <s v="CUBIERTA DEL SILENCIADOR SRM4605"/>
        <s v="TANQUE COMBUSTIBLE SRM4300"/>
        <s v="RESPIRADERO CS600  EDR210  HC150  WP1000"/>
        <s v="VALVULA DE VENTILADOR B530"/>
        <s v="20000-85511 TAPON DE VENTILACION B45"/>
        <s v="FILTRO COMBUST 22F-C230-HT230-ES726"/>
        <s v="FILTRO COMBUSTIBLE TANQUE 577-757-B450-B530"/>
        <s v="BANDA C350-BP35-B450"/>
        <s v="BASE TANQUE SRM4300"/>
        <s v="20021-86110 ABRAZADERA S B450 C300 B45-B45LA"/>
        <s v="ABRAZADERA (M) B450 C350"/>
        <s v="VOLANTE ES726"/>
        <s v="VOLANTE BP35"/>
        <s v="VOLANTE B450 C350"/>
        <s v="62035-71110 VOLANTE B530"/>
        <s v="20016-71200 VOLANTE  C230-P230"/>
        <s v="22175-71110 VOLANTE 577"/>
        <s v="BOBINA 577-757"/>
        <s v="BOBINA CS510"/>
        <s v="BOBINA SRM4300"/>
        <s v="BOBINA HC 150"/>
        <s v="BOBINA CS420"/>
        <s v="BOBINA CS600"/>
        <s v="BOBINA EB500"/>
        <s v="38500-71020 BOBINA COMPLETA ES726"/>
        <s v="BOBINA B450 C350 C35LA B45LA"/>
        <s v="BOBINA COMPLETA B530"/>
        <s v="BOBINA B45-BP35"/>
        <s v="BOBINA C270"/>
        <s v="RESORTE BUJIA SRM4300"/>
        <s v="RESORTE BUJIA C230-C350-EB500"/>
        <s v="TAPA DE BUJIA SRM4300"/>
        <s v="CAPUCHON DE BUJIA   C350"/>
        <s v="22169-72220 CAPUCHON DE BUJIA 757"/>
        <s v="CUBIERTA BUJIA C230-C350-B45"/>
        <s v="CUBIERTA BUJIA B530"/>
        <s v="70014-74120 SOPORTE INTERUPTOR  B45"/>
        <s v="SWICH 4605"/>
        <s v="70131-75110 TAPA ARRANCADOR B45LA-C350"/>
        <s v="RESORTE ARRANCADOR B450-C350-B45"/>
        <s v="20140-75130 RESORTE ARRANCADOR  22c-c230-9230"/>
        <s v="CA RESORTE ARRANQUE B530"/>
        <s v="CA RESORTE ARRANCADOR B450-B45"/>
        <s v="RESORTE DE ARRANCADOR Y CAJA 577,757"/>
        <s v="TAMBOR ARRANQUE CS420"/>
        <s v="TAMBOR CUERDA CS600"/>
        <s v="TAMBOR ARRANQUE C230"/>
        <s v="20024-75120 TAMBOR CUERDA C270"/>
        <s v="CA TAMBOR ARANQUE B530 (P022002080)"/>
        <s v="TAMBOR ARANQ B450-B45"/>
        <s v=" TAMBOR DE ARRANCADOR 757"/>
        <s v="CUERDA 22F-22C-C230"/>
        <s v="GUIA CUERDA B530"/>
        <s v="MANGO DEL ARRANCADOR HT230"/>
        <s v="22104-75420 PERILLA ARRANCADOR B530"/>
        <s v="22150-75520 PERILLA ARRANCADOR 757-577-4"/>
        <s v="TRINQUETE B45LA-B530-C350-SRM270"/>
        <s v="TRINQUETE B450,BP35,B45"/>
        <s v="22150-71120 TRINQUETE 757-577"/>
        <s v="TRINQUETE C230-P230-M230"/>
        <s v="20000-75150 PLACA FRICCION B450-BP35"/>
        <s v="70064-75310 POLEA DE ARRANCADOR C230"/>
        <s v="POLEA DE ALUMINIO DE ARRANQUE B450,B45,BP35"/>
        <s v="20020-51112 CABEZAL DEL EMBRAGUE C350-B450-B530"/>
        <s v="ZAPATA EMBRAGUE UNIDAD SRM3605"/>
        <s v="EMBRAGUE C230"/>
        <s v="ZAPATA EMBRAGUE C350-B450-B5"/>
        <s v="ZAPATA DEL EMBRAGUE 488"/>
        <s v="TAMBOR EMBRAGUE CS600-CS530"/>
        <s v="TAMBOR EMBRAGUE CS420"/>
        <s v="20016-31212TAMBOR DE EMBRAGUE 22C"/>
        <s v="70030-31120 TAMBOR EMBRAGUE 22F"/>
        <s v="20087-31210 TAMBOR EMBRAGUE C230-P230"/>
        <s v="TAMBOR DE EMBRAGUE C270"/>
        <s v="TAMBOR EMBRAGUE C230-P230"/>
        <s v="22169-51110 TAMBOR DE EMBRAGUE 757"/>
        <s v="TAMBOR DE EMBRAGUE CS420"/>
        <s v="22150-12180 PLACA MANGA 757"/>
        <s v="70102-51220 RESORTE EMBRAGUE C270"/>
        <s v="RESORTE EMBRAGUE B45"/>
        <s v="RESORTE EMBRAGUE C230,HT230"/>
        <s v="RESORTE DEL EMBRAGUE 577-757"/>
        <s v="A566000220 RESORTE EMBRAGUE B450-B530-C"/>
        <s v="PLACA UNION B530"/>
        <s v="UNION C270"/>
        <s v="22020-11110 UNION B450-B45"/>
        <s v="70012-35130 CUBIERTA DE LA UNION B450"/>
        <s v="20011-35141 ABRAZADERA (B) TUBO B450-C350"/>
        <s v="ABRAZADERA (A) TUBO B450-C350"/>
        <s v="62035-33110 UNION B530"/>
        <s v="20021-81560 PALANCA DE BOMBEO B45-B45LA"/>
        <s v="DESMALEZADORA B450 AUS"/>
        <s v="DESMALEZADORA B450"/>
        <s v="DESMALEZADORA B-530"/>
        <s v="DESMALEZADORA BP35"/>
        <s v="63880-62391 TAPA DE ACEITE COMP P230"/>
        <s v="22169-21300 TAPA ACIETE 757"/>
        <s v="BOMBA DE ACEITE CS420"/>
        <s v="C022000120 BOMBA DE ACEITE P230,757"/>
        <s v="22160-55200 BOMBA DE ACEITE 488-577"/>
        <s v="20015-93200 ACELERADOR COMP. ES726"/>
        <s v="22410-14302 PALANCA DEL ACELERADOR C230"/>
        <s v="PALANCA DEL ACELERADOR COMPLETO C270"/>
        <s v="PALANCA ACELERADOR COMP B450,B530"/>
        <s v="TUBO EXTERNO B450"/>
        <s v="22050-12100 TUBO COMP. BP35"/>
        <s v="CARCASA SUPERIOR CAJA ENGRANAJE PPT2400"/>
        <s v="CAJA DE ENGRANAJE C270"/>
        <s v="72017-13013 CAJA DE ENGRANAJE C350-C35LA"/>
        <s v="CAJA DE ENGRANAJES COMP.B45-B45LA-B45"/>
        <s v="63019-63019 CAJA DE ENGRANAJE SEMICOMPLETA B530"/>
        <s v="CAJA DE ENGRANAJE C230"/>
        <s v="CAJA DE ENGRANAJE SEMICOMPLETO B450 "/>
        <s v="EJE FLEXIBLE, KIT COMPLETO BP35"/>
        <s v="ARNES C230 22C"/>
        <s v="ARNES COMPLETO B530  B450  C350"/>
        <s v="22017-12210 COLGADOR C350-B530"/>
        <s v="22169-57360 FILTRO ACEITE 488-577-757"/>
        <s v="DESMALEZADORA C-230"/>
        <s v="DESMALEZADORA C-270"/>
        <s v="22169-53111 TAPA DEL EMBRAGUE 757"/>
        <s v="PLACA GUIA EXTRENO CS680"/>
        <s v="22155-97610 PLACA GUIA A 577"/>
        <s v="22155-97620 PLACA GUIA B 577"/>
        <s v="22169-52460 GUIA PLACA (A) 757"/>
        <s v="22169-53120 GUIA PLACA (B) 757"/>
        <s v="PIN TENSOR CADENA CS680S"/>
        <s v="22150-52440 PIN DEL TENSOR DE CADENA 577-488-757"/>
        <s v="GUIA DE EJE PPT2400"/>
        <s v="MANGO DE FRENO 577"/>
        <s v="BANDA DE FRENO CS420"/>
        <s v="DESMALEZADORA C-350"/>
        <s v="MANUBRIO DERECHO SRM270"/>
        <s v="22044-14120 PLACA MANUBRIO BP35"/>
        <s v="GATILLO ACELERADOR"/>
        <s v="22015-14331 PALANCA GATILLO B45-C35LA-B45LA"/>
        <s v="VARRILLA ACELERADOR CS680"/>
        <s v="CONECTOR ACELERADOR B450-B530-C350"/>
        <s v="22015-12120 BUSHING C350"/>
        <s v="22021-12120 BUSHING B450-B530"/>
        <s v="22070-12410 EJE CENTRAL C230"/>
        <s v="EJE CENTRAL A P230"/>
        <s v="63880-64460 EJE B COMPLETO P230"/>
        <s v="EJE CENTRAL C270"/>
        <s v="EJE CENTRAL C350"/>
        <s v="22021-12400 EJE CENTRAL B45-B45LA"/>
        <s v="EJE CENTRAL B530 B450"/>
        <s v="22050-12411 EJE CENTRAL BP 35"/>
        <s v="EJE FLEXIBLE BP35"/>
        <s v="ACOPLE TUBO PRINCIPAL PPT2400"/>
        <s v="CARCASA (A) SUPERIOR CAJA ENGRANAJE PPT2400"/>
        <s v="CARCASA CAJA DE ENGRANAJES B530-B450-B45LA"/>
        <s v="EJE DE ENGRANAJE B45-B450-C350"/>
        <s v="63019-63130 EJE, ENGRANAJE B530"/>
        <s v="EJE DE ENGRANAJE C230"/>
        <s v=" SOPORTE (A) SRM3605"/>
        <s v="72030-13151 SOPORTE 22F"/>
        <s v="SOPORTE (A) C230"/>
        <s v="SOPORTE (B) C230"/>
        <s v="PROTECTOR DE PERNO C230"/>
        <s v="PROTECTOR DE PERNO (B) C270"/>
        <s v="SOPORTE (A) C270"/>
        <s v="SOPORTE (B) C270"/>
        <s v="C53500850 SOPORTE (B) BP35"/>
        <s v="72447-13240 SOPORTE (A) C350-B450-B530-B"/>
        <s v="PROTECTOR PERNO C350,B450,B530"/>
        <s v="SOPORTE (B) BP35"/>
        <s v="PROTECTOR PERNO BP35"/>
        <s v="63019-63170 SOPORTE (B) B530"/>
        <s v="22000-13241 PLACA A B35"/>
        <s v="PROTECTOR CAJA ENGRANAJE SRM4300"/>
        <s v="62903-66111 PROTECTOR DESPOJO B450-C350-B530"/>
        <s v="64112-66330 TAPA PROTECT DESPOJO 22F"/>
        <s v="72017-16130 PLACA DESPOJ C350-B450-B530"/>
        <s v="22019-11313 ABRAZADERA ALETA B450-B45"/>
        <s v="MOTOSIERRA CS-680S"/>
        <s v="MOTOSIERRA CS-8002EUSTD       "/>
        <s v="MOTOSIERRA CS-1201-90 CON BARRA Y CADENA"/>
        <s v="MOTOSIERRA CS-3000-30"/>
        <s v="MOTOSIERRA CS-3000-30 CON BARRA Y CADEN"/>
        <s v="MOTOSIERRA CS3500"/>
        <s v="MOTOSIERRA CS-3500-35 CON BARRA Y CADENA"/>
        <s v="MOTOSIERRA CS-3500-40 CON BARRA Y CADENA"/>
        <s v="MOTOSIERRA CS-420ES"/>
        <s v="MOTOSIERRA CS-420-45 CON BARRA Y CADENA"/>
        <s v="MOTOSIERRA CS-600-50 CON BARRA Y CADENA"/>
        <s v="MOTOSIERRA CS-600-60 CON BARRA Y CADENA"/>
        <s v="MOTOSIERRA CS-680S-50 CON BARRA Y CADENA"/>
        <s v="MOTOSIERRA CS-680S-60 CON BARRA Y CADENA"/>
        <s v="MOTOSIERRA CS-680-70 CON BARRA Y CADENA"/>
        <s v="MOTOSIERRA CS-8002-70 (28&quot;) CON BARRA,CA"/>
        <s v="MOTOSIERRA CS-8002-80 CON BARRA Y CADENA"/>
        <s v="NEBULIZADORA, PULVERIZADORA 13LITROS"/>
        <s v="NEBULIZADORA, PULVERIZADORA 23LITROS"/>
        <s v="ACC. PARA PULVERIZADOR (SOLIDOS) DMAD4610"/>
        <s v="LANZA CON BOQUILLA AJUSTABLE"/>
        <s v="BOQUILLA AJUSTABLE SHP800"/>
        <s v="72935-63210 TUBERIA PRINCIPAL EB500"/>
        <s v="HOYADORA EA-410"/>
        <s v="SOPLADORA EB500"/>
        <s v="TALADRO DE 21.2CC CON FUNCION EDR-210"/>
        <s v="SOPLADORA ECHO ES-255"/>
        <s v="BOMBA DE FUMIGAR A MOTOR ES726"/>
        <s v="DESMALEZADORA GT-22GES"/>
        <s v="CORTASETOS HC-150 20&quot;"/>
        <s v="PLACA SWITCH 757"/>
        <s v="MAQUINA MULTI USOS M230"/>
        <s v="P003000240 EMPAQUE DIAFRAG CS510"/>
        <s v="AGUJA KIT REPARACION CS510"/>
        <s v="AGUJA DE REGULACION DE BAJA CS8002"/>
        <s v="AGUJA DE REGULACION ALTA CS8002"/>
        <s v="20055-81610 LLAVES DE PASO BP-35"/>
        <s v="20011-81140 RESORTE CABLE ES726-C35LA"/>
        <s v="TAPA CARBURADOR C350-B450"/>
        <s v="TORNILLO (L) B450-B530"/>
        <s v="RESORTE L B450-B530"/>
        <s v="AGUJA BALANCIN B450-C350"/>
        <s v="PALANCA BALANCIN B450-C350"/>
        <s v="20011-81550 VALVULA COMBUST B45-B45LA"/>
        <s v="VALVULA REGULADORA CARBURADOR B530"/>
        <s v="20021-81121 TAPA CARBURADOR B45-B45LA"/>
        <s v="20021-81180 VALVULA PISTON B45-B45LA"/>
        <s v="PALANCA BALANCIN B45LA B45"/>
        <s v="20087-81531 BOMBA COMPLETA C350-B450"/>
        <s v="38500-81321 TAPA SUJETADORA CARBURADOR ES726"/>
        <s v="VALVULA DESLIZANTE DE CARBURADOR B530"/>
        <s v="AGUJA JET B530"/>
        <s v="68501-81360 VALVULA PISTON ES726"/>
        <s v="AGUJA ES726"/>
        <s v="70131-81180 VALVULA PISTON B450-C350"/>
        <s v="70210-81451 PLACA CARB B450"/>
        <s v="RESORTE MARIPOSA CARBURADOR SRM4300"/>
        <s v="BOQUILLA VALVULA RET SRM4300"/>
        <s v="MEMBRANA CARBURADOR SRM4300"/>
        <s v="RESORTE BALANCIN SRM4300"/>
        <s v="EMPAQUETADURA DE DIAFRAGMA SRM4300"/>
        <s v="AGUJA (H)  SRM4300"/>
        <s v="AGUJA (L) SRM4300"/>
        <s v="PISTON KIT SRM270"/>
        <s v="CARTER COMPLETO CS3500"/>
        <s v="P021001101 PISTON KIT EDR-210"/>
        <s v="PISTON  KIT DM6110"/>
        <s v="CARTER COMPLETO SRM4300"/>
        <s v="P021002791 PISTON KIT CS6702"/>
        <s v="AISLADOR DE ADMISION CS680"/>
        <s v="TAPA DEL TUBO PPT2400"/>
        <s v="P021004090 CILINDRO Y CARTER CS510"/>
        <s v="CILINDRO CS8002"/>
        <s v="PISTON KIT CS8002"/>
        <s v="VOLANTE SRM4300"/>
        <s v="PISTON KIT CS510"/>
        <s v="ZAPATAS EMBRAGUE KIT SRM4300"/>
        <s v="CA BASE FILTRO AIRE SRM4300 anterior"/>
        <s v="FRENO CS8002"/>
        <s v="PISTON KIT HC-150"/>
        <s v="SILENCIADOR DM6110"/>
        <s v="AISLADOR DM6110"/>
        <s v="CAJA FILTRO DE AIRE SRM4300"/>
        <s v="P021010574 CILINDRO CS420"/>
        <s v="PISTON KIT CS420"/>
        <s v="MANGO POSTERIOR CS420"/>
        <s v="FRENO COMPLETO CS680S"/>
        <s v="JUEGO DE PIÑONES PPT-2400"/>
        <s v="CAJA ENGRANAJE SRM4605"/>
        <s v="CAJA ENGRANAJE SRM270"/>
        <s v="PROTECTOR DE DESPOJOS SRM3605-4605"/>
        <s v="ABRAZAD CODO SRM4605 3605"/>
        <s v="ABRAZADERA MANUBRIO SRM270"/>
        <s v="ABRAZADERA DE MANGO KIT SRM4300"/>
        <s v="ABRAZADERA COMPLETA DE LA UNION SRM4605"/>
        <s v="P021012830 ABRAZADERA MANUBRIO SRM3605"/>
        <s v="P021012920 CARCASA EMBRAGUE SRM4605"/>
        <s v="P021013620 CIGUENAL CS420"/>
        <s v="PISTON KIT SRM4300"/>
        <s v="CUCHILLA 3 PUNTAS  P021014320"/>
        <s v="PISTON KIT SHP-800"/>
        <s v="CARTER COMPLETO CS600"/>
        <s v="ARRANCADOR COMPLETO CS600"/>
        <s v="PISTON KIT CS600"/>
        <s v="PISTON KIT CS680S"/>
        <s v="13001744330 INSULADOR AISLADOR EDR210"/>
        <s v="PISTON KIT SRM4605"/>
        <s v="PISTON KIT SRM3605"/>
        <s v="MANGO POSTERIOR CS680"/>
        <s v="FILTRO DE AIRE CS600"/>
        <s v="FRENO COMPLETO CS420"/>
        <s v="20016-21100 CARTER COMP. C230-P230"/>
        <s v="20016-21200 CARTER M COMP C230-P230"/>
        <s v="EMBRAGUE COMP. B45"/>
        <s v="MANGUERA DE COMBUSTIBLE CON CEBADOR B45LA B45"/>
        <s v="ABRAZADERA DE TUBO CON MARIPOSA (B) B450"/>
        <s v="22045-14101 ABRAZADERA COMPLETA 22C-C230"/>
        <s v="22152-21501 CARTER C COMPLETO 577"/>
        <s v="TAMBOR EMBRAGUE COMPLETO 577"/>
        <s v="22169-21203 CARTER M COMPLETO 757"/>
        <s v="CARTER C 757"/>
        <s v="22169-33102 HANDLE ASSY 577"/>
        <s v="22169-51100 TAMBOR EMBRAGUE COMPLETO 757"/>
        <s v="22169-84102 FRENO COMPLETO NR 757"/>
        <s v="22169-54103 FRENO COMPLETO NR 757"/>
        <s v="22169-71100 VOLANTE PARA MOTOSIERRA 757"/>
        <s v="22175-21200 CARTER M COMPLETO 577"/>
        <s v="22410-14100 MANGO DELANTERO COMP C230"/>
        <s v="CABLE ACELERADOR C230"/>
        <s v="P021027030 KIT MOTOR RECONSTRUCCION C350"/>
        <s v="KIT MOTOR RECONSTRUCCION B450"/>
        <s v="PISTON KIT B530"/>
        <s v="KIT MOTOR RECONSTRUCCION B530"/>
        <s v="P021027130 KIT MOTOR RECONSTRUCCION C270"/>
        <s v="KIT MOTOR RECONSTRUCCION B45LA"/>
        <s v="62035-21010 CARTER COMPLETO B530"/>
        <s v="62035-21020 CARTER COMP. M B530"/>
        <s v="TUBO EXTERNO B530"/>
        <s v="CAJA ENGRANAJES ACC CORT"/>
        <s v="CAJA DE ENGRANAJE PODADORA DE ALTURA"/>
        <s v="MANGUERA DE ACEITE P230"/>
        <s v="KIT MOTOR RECONTRUCCION 757"/>
        <s v="70244-98040 PISTON KIT C270"/>
        <s v="PISTON KIT C230-ES726-HT230"/>
        <s v="PISTON KIT C350,C35LA,BP35"/>
        <s v="72051-98310 PISTON SEMI COMPL. C35LA-C350"/>
        <s v="PISTON KIT B45 B45LA"/>
        <s v="KIT MOTOR RECONSTRUCCION B45"/>
        <s v="72330-98010 PISTON KIT 757"/>
        <s v="72334-98010 PISTON KIT 577"/>
        <s v="TUBO EXTERIOR C270"/>
        <s v="72514-14100 ABRAZADERA COMPLETA B530-B450"/>
        <s v="72547-91100 HERRAMIENTAS KIT B450"/>
        <s v="72551-12101 TUBO EXTERIOR B450"/>
        <s v="72555-14100 ABRAZADERA MANUBRIO COMP. B450-B530-C350"/>
        <s v="PISTON KIT EB500"/>
        <s v="EMBRAGUE BP35"/>
        <s v="62035-85031 MANGUERA TANQUE B530"/>
        <s v="69011-98310 KIT MOTOR RECONSTRUC 577"/>
        <s v="20140-75100 ARRANCADOR SEMI 22F"/>
        <s v="MANUBRIO B450AUS"/>
        <s v="72481-14200 MANGO SEMI COMPLETO C230"/>
        <s v="MANUBRIO TUBO B450 B530"/>
        <s v="70131-75100 ARRANCADOR COMP B45LA-C350"/>
        <s v="60035-98310 KIT MOTOR RECONSTRUC B530"/>
        <s v="KIT MOTOR RECONSTRUCCION 488"/>
        <s v="70200-85001 TANQUE DE COMBUSTIBLE C350-B45"/>
        <s v="TAMBOR ARRANCADOR SRM4300 B530 (A506000260)"/>
        <s v="RESORTE TRINQUETE SRM4300"/>
        <s v="V583000140 SUJETADOR CUCHILLA B530-C350-B450"/>
        <s v="CUBIERTA EMBRAGUE CARCASA SRM4300"/>
        <s v="SEGURO TAMBOR EMBRRAGUE SRM4300"/>
        <s v="TAMBOR EMBRAGUE SRM4300"/>
        <s v="AMORTIGUADOR CAMPANA SRM4300"/>
        <s v="TUBO COMPLETO SRM4300"/>
        <s v="P022006980 EJE CENTRAL SRM4300"/>
        <s v="COLGADOR SRM4300"/>
        <s v="P022007020 ABRAZADERA MANGO GIRAT. SRM4300"/>
        <s v="ESPACIADOR (A) SRM4300"/>
        <s v="CAJA DE ENGRANAJES SRM4300"/>
        <s v="PERNO DE SUJECION CAJA ENGRANAJE SRM4300"/>
        <s v="PERNO SEGURO CAJA SRM4300"/>
        <s v="ABRAZADERA (A) SRM4300"/>
        <s v="ABRAZADERA (B) SRM4300"/>
        <s v="PERNO DE LA ABRAZADERA SRM4300"/>
        <s v="ESPACIADOR (B) SRM4300"/>
        <s v="MANUBRIO IZQUIERDO SRM4300"/>
        <s v="MANUBRIO DERECHO SRM4300"/>
        <s v="PROTECTOR DESPOJOS SRM4300"/>
        <s v="ARNES SRM4300"/>
        <s v="PALANCA ACELERADOR SRM4300"/>
        <s v="GATILLO ACELERADOR SRM4300"/>
        <s v="TRABA ACELERADOR SRM4300"/>
        <s v="RESORTE GATILLO SRM4300"/>
        <s v="RESORTE MANGO TRABA 4300"/>
        <s v="CABLE ACELERADOR SRM4300"/>
        <s v="CABLE CONDUCTOR SRM 4300"/>
        <s v="PIÑON KIT SRM4300"/>
        <s v="RESORTE DE ARRANCADRO CS420"/>
        <s v="P022007100 ABRAZADERA (C) SRM4300"/>
        <s v="CARCAZA DE EMBRAGUE"/>
        <s v="CABLE COMPLETO B450"/>
        <s v="EMPAQUETADURA Y DIAFRAGMA KIT B530 (60035-98040)"/>
        <s v="PODADORA DE ALTURA P230S"/>
        <s v="PODADORA DE EXTENSION 2400STD"/>
        <s v="BOMBA DE FUMIGACION SHP-800-2"/>
        <s v="BOMBA DE FUMIGACION SHP-800"/>
        <s v="BOMBA MANUAL 7,5 LTS"/>
        <s v="BOMBA MANUAL 11,5 LTS"/>
        <s v="BOMBA MANUAL 15LT"/>
        <s v="BOMBA MANUAL 17LT"/>
        <s v="CABEZAL DE NYLON ECHO  SRAH-205 "/>
        <s v="DESMALEZADORA SRM-22GUES"/>
        <s v="DESMALEZADORA SRM 270"/>
        <s v="DESMALEZADORA SRM 3605"/>
        <s v="DESMALEZADORA SRM 4300F"/>
        <s v="DESMALEZADORA SRM 4300R"/>
        <s v="DESMALEZADORA SRM 4605"/>
        <s v="DESMALEZADORA T230"/>
        <s v="UN-10 CABEZAL NYLON"/>
        <s v="PIÑON CONICO CON VASTAGO P230"/>
        <s v="CABLE DE ACELERADOR C270"/>
        <s v="CABLE COMPLETO C350"/>
        <s v="CABLE (B) ACELERADOR MANUBRIO B530 B450 C350"/>
        <s v="62113-83010 CABLE COMPLETO B45-C35LA"/>
        <s v="CABLE ACELERADOR BP35"/>
        <s v="68501-98010 CABLE DEL ACELERADOR ES726"/>
        <s v="EMPAQUE CILINDRO SRM4300"/>
        <s v="EMPAQUE CILINDRO CS600"/>
        <s v="EMPAQUE CILINDRO C270"/>
        <s v="EMPAQUE CILINDRO B530"/>
        <s v="EMPAQUE CILINDRO B450-C350"/>
        <s v="EMPAQUE CILINDRO 22F-C230-ES726"/>
        <s v="22175-12121 EMPAQUE CILINDRO 577"/>
        <s v="22169-12120 EMPAQUE CILINDRO 757"/>
        <s v="EMPAQUE CARTER SRM4300"/>
        <s v="EMPAQUE CARTER ACEITE CS600"/>
        <s v="EMPAQUE AISLADOR A SRM 4300"/>
        <s v="EMPAQUETADURA DE ADMISION PPT-2400"/>
        <s v="20140-12221 EMPAQUE-AISLADOR 22C-22F"/>
        <s v="EMPAQUE AISLADOR B450-C350"/>
        <s v="EMPQUE CARB. B450-B45-C350"/>
        <s v="62035-12220 EMPAQUE AISLADOR (A) B530"/>
        <s v="EMPAQUE (B) CARBURADOR B530"/>
        <s v="EMPAQUE (A) CARBURADOR B530."/>
        <s v="EMPAQUE CARBURADOR ES726"/>
        <s v="EMPAQUE ESCAPE SRM4300"/>
        <s v="EMPAQUE ESCAPE CS600"/>
        <s v="EMPAQUE ESCAPE CS 680"/>
        <s v="EMPAQUE SILENCIAD B45, B450, C350, BP35"/>
        <s v="62035-15210 EMPAQUE SILENCIADOR B530"/>
        <s v="EMPAQUE SILENCIADOR C230-ES726"/>
        <s v="22169-15212 EMPAQUE ESCAPE 757"/>
        <s v="EMPAQUE DE SILENCIADOR 757"/>
        <s v="OJAL TANQUE COMB B450-C350"/>
        <s v="OJAL DEL TANQUE DE COMBUSTIBL B450"/>
        <s v="PERNO 5 TENSOR CS680S"/>
        <s v="11022-06280 PERNO 6X25CC UNION B530"/>
        <s v="22150-15412 ESPARRAGOS DE CARBURADOR 577"/>
        <s v="PERNO PRISIONERO CARTER CS600"/>
        <s v="PERNO CUCHILLA  BP 35"/>
        <s v="PERNO CUCHILLA B450 C350"/>
        <s v="PERNO CUCHILLA B530"/>
        <s v="PERNO TAPA GRASA B530,B450,C350"/>
        <s v="PERNO CUCHILLA C230"/>
        <s v="V224000030 ESPARRAGO BARRA  CS3000,CS3500"/>
        <s v="72312-21520 ESPARRAGO BARRA 488"/>
        <s v="22169-21520 ESPARRAGO BARRA 757"/>
        <s v="72316-53310 TORNILO TENSOR 757"/>
        <s v="22150-52411 TUERCA 577"/>
        <s v="22169-51170 TUERCA PUNTA CIGUE 757"/>
        <s v="TUERCA MOTOSIERRA757"/>
        <s v="62035-32320 PERILLA DORADA B530"/>
        <s v="PERILLA DE FILTRO B530-HT230"/>
        <s v="20018-31251 PERILLA C230-ES726-P230"/>
        <s v="20010-71650 ARANDELA B450-B530-C350"/>
        <s v="ARANDELA EMBRAGUE SHP 800"/>
        <s v="22000-13410 ANILLO DE GRASERO C230"/>
        <s v="EMPAQUE SEGURO 450-B530-C350"/>
        <s v="ARANDELA 12 DE BOMBA CS680_x0009__x0009_"/>
        <s v="22169-51130 ARANDELA 757"/>
        <s v="AISLADOR DE BOBINA B530-22F"/>
        <s v="AISLADOR DE BOBINA B450-C350"/>
        <s v="AISLADOR BOBINA ES726"/>
        <s v="COLLAR DE EMBRAGUE BOMBA CS420"/>
        <s v="COLLAR C230"/>
        <s v="72432-13230 COLLAR CAJA DE ENGRANAJE C230,T230XR"/>
        <s v="72030-13140 COLLAR B 22F"/>
        <s v="COLLAR B45-B450-B530-C350"/>
        <s v="22169-55130 COLLAR 757"/>
        <s v="COLLAR MANGA CS-600"/>
        <s v="AMORTIGUADOR DERECHO CS680"/>
        <s v="22169-33740 AMORTIGUADOR 577-757"/>
        <s v="AMORTIGUADOR B450-C350"/>
        <s v="22019-17110 PROTECTOR CUERO C350-B450-B45"/>
        <s v="AMORTIGUADOR (A) B530"/>
        <s v="62035-85341 AMORTIGUADOR TANQUE B530"/>
        <s v="AMORTIGUADOR,TANQUE B530"/>
        <s v="AMORTIGUADOR DE CARCAZA C230"/>
        <s v="CABLE ACELERADOR DM6110"/>
        <s v="CABLE (A) CORTO ACELERADOR B450-C350"/>
        <s v="CABLE B B450-B530-C350"/>
        <s v="CABLE ACELERADOR CORTO B530"/>
        <s v="63880-65371 CABLE DEL ACELERADOR M230 P230 P231"/>
        <s v="RESORTE DEL ACELERADOR CS680-CS600"/>
        <s v="RESORTE EMBRAGUE SHP800"/>
        <s v="22160-51230 RESORTE DEL EMBRAGUE 488"/>
        <s v="RESORTE TRINQUETE B530-B45LA"/>
        <s v="RESORTE DE FRICCION B450-B45"/>
        <s v="RESORTE TRIQUETE B450"/>
        <s v="22169-54630 RESORTE ACELERADOR 757"/>
        <s v="22155-71130 RESORTE DEL TRINQUETE 757-57"/>
        <s v="22169-55310 TUBERIA 757"/>
        <s v="70200-85320 TUBO SUCCION C350-B450"/>
        <s v="MANGA C350-B450-B530"/>
        <s v="SUJETADOR CUCHILLA C230-22C"/>
        <s v="20018-31270 SUJETADOR C230-ES726"/>
        <s v="22154-85540 SUJETADOR 757"/>
        <s v="RETEN 22F-C230-ES726"/>
        <s v="22150-21250 RETEN 22F-22C"/>
        <s v="RETEN B450-B530-C350-EB500"/>
        <s v="22155-21630 RETEN 757-577"/>
        <s v="RETEN 22C-C230"/>
        <s v="22169-21630 RETEN 757-577"/>
        <s v="RETEN C350-B450-B530-B45"/>
        <s v="67000-41230 COJINETE 22F"/>
        <s v="20021-41330 COJINETE B45-EB500-B45LA"/>
        <s v="22150-41280 COJINETE DE AGUJAS 577-B530"/>
        <s v="22150-51310 COJINETE 577-757"/>
        <s v="ANILLO DE RETENCION B45-B530-B45LA"/>
        <s v="SEGURO ZEGER B450"/>
        <s v="22169-51140 ANILLO DE RETENCION 757"/>
        <s v="20011-31230 ANILLO DE RETENCION, SEGURO C350-B450"/>
        <s v="COJINETE B450"/>
        <s v="62035-41210 PIN DE PISTON B530"/>
        <s v="SUJETA CUCHILLA B450-B530-C350"/>
        <s v="SEGURO DE CUCHILLA BP35,C270"/>
        <s v="ENGRANAJE PIÑON TENSOR CS680S"/>
        <s v="ENGRANAJE ANGULAR TENSOR CS680S"/>
        <s v="22015-13390 PIÑON CONICO CON VASTAGO C350"/>
        <s v="PIÑON HUECO B45-B450-B530-C350"/>
        <s v="JUEGO DE PIÑON B45-B450-B530"/>
        <s v="22035-13220 PINON HUECO C230-22C"/>
        <s v="22035-13391 PINON BASTAGO C230-22C"/>
        <s v="ENGRANAJE DE BOMBA CS420"/>
        <s v="PIÑON DE LA CAJA DE ENGRANAJE P230"/>
        <s v="ENGRANAJE 488"/>
        <s v="22155-55110 ENGRANAJE SIN FIN 577"/>
        <s v="ENGRANAJE SIN FIN 757"/>
        <s v="BOMBA DE AGUA WP-1000"/>
        <s v="BARRA 36G63 PARA S.A."/>
        <s v="CA CUCHILLA METALICA DE 3 ELEME   X405000001 "/>
        <s v="CUCHILLA METALICA DE 3 ELEME   X405000011  "/>
        <s v="CUCHILLA INFERIOR 40&quot; ACC CORTACETOS"/>
        <s v="28820-07340 BOQUILLA SPEED FEED"/>
        <s v="20000-96411 HERRAM LLAVE VOLANTE"/>
        <s v="X602000140 LLAVE DE BUJIA B530,B450,C350"/>
        <s v="72518-91180 LLAVE DE BUJIA B45-B450-B530-C350"/>
        <s v="LLAVE DE BUJIA C230"/>
        <s v="22155-96521 HERRAMIENTA LLAVE (3)"/>
        <s v="22155-96531 LLAVE T 4mm"/>
        <s v="22155-96540 HERRAMIENTA LLAVE-T (5)"/>
        <s v="09026-03001 LLAVE EXAGONAL 3MM B450 HERRAM"/>
        <s v="09026-04001 LLAVE 4MM B450 HERRAMIENTA"/>
        <s v="22155-91580 HERRAMIENTA LLAVE"/>
        <s v="MOTOCULTOR DF-15L DE 16HP"/>
        <s v="BLINDAX X LT"/>
        <s v="VIRUS STOP X 250 ML"/>
        <s v="BLINDAX X 100 ML"/>
        <s v="CITOQMAX X LT"/>
        <s v="BLINDAX X 20 LT"/>
        <s v="CINNA MIX X LT"/>
        <s v="IMPULMAX X LT"/>
        <s v="UREUM X 20 LT"/>
        <s v="IMPULMAX X 250 ML"/>
        <s v="UREUM X LT"/>
        <s v="UREUM X GL"/>
        <s v="RAIZ FORTE G  X KG"/>
        <s v="FILTRO DE COMBUSTIBLE FLEETGUARD FF5039"/>
        <s v="FILTRO AIRE (I) TL80/90/100 1930825"/>
        <s v="FILTRO HCDO. S-40/TS110 82005016"/>
        <s v="FILTRO ACEITE MOTOR TL60 73403765"/>
        <s v="FILTRO ACEITE MOTOR TL/935/4010/5010/UN"/>
        <s v="VASO CRISTAL COMBUSTIBLE 40572"/>
        <s v="FILTRO HIDRAULICO NEW HOLLAND 1930986 UK"/>
        <s v="FILTRO LH. TL-85-TL-95 73402522"/>
        <s v="FILTRO GASOLIN FP586F"/>
        <s v="FILTRO ACEITE PH 4403"/>
        <s v="DISCOS D35"/>
        <s v="LANZAS DE FUMIGACION"/>
        <s v="MANGUERA FUMIGACION X 100 MTS."/>
        <s v="ALGAENZIMES 20 LT"/>
        <s v="VIRAFIN X LT"/>
        <s v="VIRAFIN X 250 ML"/>
        <s v="ESTAMPIDA ORG X LITRO"/>
        <s v="BIOBAN X GALON"/>
        <s v="BIOBAN X 20 LT"/>
        <s v="EZCOBA OR X LITRO"/>
        <s v="PROLIFIC PLUS X LT"/>
        <s v="PROLIFIC TIPO BIOZYME X LITRO"/>
        <s v="ABUNDANCE PLUS X LITRO"/>
        <s v="BSK 100 X 200 LT"/>
        <s v="BIOBAN X LITRO"/>
        <s v="GENERADOR SUBARU 211  MOD.  9000354"/>
        <s v="TALADRO 1/2 PERCUSION TP-6R"/>
        <s v="PINZA P SEGURO STY EXTER-84271-7X "/>
        <s v="MARTILLO BOLA CABO F/VIDRIO 3LB. JL-809"/>
        <s v="PULIDORA NEUMATICA KMJ-328"/>
        <s v="BROCA ESPIRAL HSS 29PZ 1/16-1/2 ALEMANA&quot;"/>
        <s v="BOMBA FUMIGAR 16LTS LANZA METAL "/>
        <s v="BOMBA FUMIGACION  16LT AZUL LANZA  MET"/>
        <s v="BOMBA DE FUMIGAR 20LTS LANZA METAL "/>
        <s v="BOMBA FUMIGAR 20LT AZUAL LANZA METAL "/>
        <s v="BOMBA FUMIGAR 20LTS LANZA METAL "/>
        <s v="LLAVE MIXTA-10 MM 86-855"/>
        <s v="SANTIAGO 3 PATAS 4&quot;;SANTIAGO 3 PATAS 4&quot;&quot;"/>
        <s v="CORTADORA DE CADENA # 24548 A OREGON"/>
        <s v="REMACHADORA DE CADENA # 24549 A OREGON"/>
        <s v="BANDAS B-58"/>
        <s v="BANDAS B-59"/>
        <s v="BANDA B-61"/>
        <s v="BANDA B-40"/>
        <s v="BANDA B-45"/>
        <s v="BANDAS B-53"/>
        <s v="BANDA B-43"/>
        <s v="MOTOR MONOFASICO 3HP-1800RPM 220V"/>
        <s v="LIMA TRIANGULAR # 10-4083 BELLOTA"/>
        <s v="FILTRO AIRE (E) PRIMARIO 3540051M1 ATLAS"/>
        <s v="FILTRO AIRE (I) SECUND 3540052M1ATLAS 90"/>
        <s v="KIT SURCADOR"/>
        <s v="PIÑONES PARA ROTAVATOR LAVRALE"/>
        <s v="CHUMACERA DE GRASA 182MM X 1 1/4"/>
        <s v="LATAS PARA REPUESTOS DP4"/>
        <s v="TIRO DE TRACTOR LANDINI"/>
        <s v="TIRO AMARILLO PARA CARRETON"/>
        <s v="PIEZAS TRACTOR (TORNILLO TUERCA PASADOR)"/>
        <s v="PASADOR CON BINCHA 15CMX22CM"/>
        <s v="TENSOR DE CADENA"/>
        <s v="SET REPUESTOS (2BASES 1LLAVE 2PIÑON)"/>
        <s v="BASE PLOMA"/>
        <s v="LLAVES DE ARADO"/>
        <s v="LIMPIADORES DE RASTRA"/>
        <s v="CHUMACERA EJE PARA GCMR 16-18-20"/>
        <s v="SEMBRADORA DE HORTALIZAS SPH-110"/>
        <s v="AGROTAFOL COMBI X 200 G"/>
        <s v="RAIZ FORTE X LT"/>
        <s v="RAIZ FORTE X 500 ML"/>
        <s v="SINOTOP X LT"/>
        <s v="AGROTAFOL K PLUS X 500 ML"/>
        <s v="AGROTAFOL ZINC X 500 ML"/>
        <s v="AGROTAFOL BORO X 500 ML"/>
        <s v="AGROTAFOL FOSFITO X 500 ML"/>
        <s v="AGROTAFOL SUPER X KG"/>
        <s v="BUCANER X LT"/>
        <s v="LORFOS X LT"/>
        <s v="BUCANER X 250 ML"/>
        <s v="BUCANER X 500 ML"/>
        <s v="AGROTHANE  X KG"/>
        <s v="BUCANER FORTE X 500 ML"/>
        <s v="BUCANER FORTE X 250 ML"/>
        <s v="BUCANER FORTE X 100 ML"/>
        <s v="BUCANER FORTE X LITRO"/>
        <s v="AGROTAFIX  X 250 ML"/>
        <s v="AGROTAFIX X 500 ML"/>
        <s v="AGROTAFIX  X 100 ML"/>
        <s v="AGROTAFOL FOSFITO X 250 ML"/>
        <s v="FAST X 250 ML"/>
        <s v="SKEKURA WP X KG"/>
        <s v="SKEKURA WP X 100 G"/>
        <s v="SCOBA X 50 ML"/>
        <s v="SCOBA X 100 ML"/>
        <s v="SCOBA X 250 ML"/>
        <s v="SKEKURA  X LT"/>
        <s v="SKEKURA  X 250 ML"/>
        <s v="SCOBA COEX X LT"/>
        <s v="AGROTAFIX X LT"/>
        <s v="AGROTAFOL FOSFITO X LT"/>
        <s v="AGROTAFOL AMINO X LT"/>
        <s v="AGROTAFOL K PLUS X LT"/>
        <s v="SKEKURA  X 500 ML"/>
        <s v="ESTAMPIDA X LT"/>
        <s v="AGROTAFOL BORO X LT"/>
        <s v="AGROTALINA X LT"/>
        <s v="FEGADAZIM X 250 ML"/>
        <s v="FEGADAZIM X 500 ML"/>
        <s v="FEGADAZIM X LITRO"/>
        <s v="FEGADAZIM X 100 ML"/>
        <s v="KEMADOR X GALON"/>
        <s v="AGROTAFOL BORO X 250 ML"/>
        <s v="SUPER VIVERO X KILO"/>
        <s v="THICKER X KILO"/>
        <s v="KEMADOR X 19 LT"/>
        <s v="SKEKURA WP X 500 GRS"/>
        <s v="AGROTAFIX PLUS X 100 ML"/>
        <s v="ORGANIC POWER X 500 ML"/>
        <s v="SKEKURA X 100 ML"/>
        <s v="YOGA X LT"/>
        <s v="YOGA X 100 ML"/>
        <s v="AGROTAZOLE 25% EC  X LT"/>
        <s v="AGROVERDOL X 500 ML"/>
        <s v="AGROVERDOL X LT"/>
        <s v="AGROVERDOL X GL"/>
        <s v="CIROMAZINA X 50 G AGROTA"/>
        <s v="CIROMAZINA FRONTEAGRO X 50 G"/>
        <s v="GREEN GIBB X 10 GRS"/>
        <s v="MYCLOBUTANIL 12,5 % EC SOL  X 100 ML  "/>
        <s v="AGROTAFOL ZINC X LT"/>
        <s v="AGROTAFOL 15-40-15-10 INICIAL X KG"/>
        <s v="AGROTAFOL 30-10-10-20 DESARROLLO X KG"/>
        <s v="AGROTAFOL 10-15-30-5 ENGROSE X KG"/>
        <s v="AGROTAFOL 20-20-1 FLORACION X KG"/>
        <s v="SKEKURA WP X 200 G"/>
        <s v="ZULLY 60 X 15G"/>
        <s v="ORGANIC POWER X 250 ML"/>
        <s v="PARALANCHA BLUE X 250 G"/>
        <s v="PARALANCHA BLUE X 500 G"/>
        <s v="SCOBA  X LT"/>
        <s v="RIDONATE X 100 ML"/>
        <s v="BUCANER X 100 ML"/>
        <s v="ABAMECTIN X LITRO"/>
        <s v="AGROTAFOL 20-20-20-1 FLORACION 500G"/>
        <s v="PROPILAQ X 100 ML"/>
        <s v="RIDONATE X LITRO"/>
        <s v="RIDONATE X 250 ML"/>
        <s v="RIDONATE x 200 ML"/>
        <s v="PROPILAQ X  250 ML"/>
        <s v="RIDONATE X 400 ML"/>
        <s v="AGROTAFOL AC X 250 ML"/>
        <s v="PROPILAQ X LITRO"/>
        <s v="CITOQMAX X 250 ML"/>
        <s v="BIOBAN X 250 ML"/>
        <s v="QUBIK X LT"/>
        <s v="JAQUER 400 X 100 ML"/>
        <s v="KEMADOR X LT"/>
        <s v="PROGIBB X 10  GR"/>
        <s v="IMPULMAX  X 100 ML"/>
        <s v="2011556 MANGUERA DE CORTA DE COLECTOR"/>
        <s v="PALETA DE LA BOMBA BVIN-185-765"/>
        <s v="9401077 CAJA REGULADOR VACIO CON MUELLE"/>
        <s v="2010154 BALON LISA DE GOMA NO. 03/70MM"/>
        <s v="2010452 JUNTA DE LA TAPA OPERATRIZ"/>
        <s v="2011939 TAPA DE PULSACION"/>
        <s v="2011970 SELLADO DE PULSACIÓN"/>
        <s v="9400338 RECEPTOR DE LECHE 350"/>
        <s v="2011026 SELLADO DEL RECOLECTOR DE LECHE"/>
        <s v="2011080 ANILLO INTERNO DE RECOLECTOR 350"/>
        <s v="9402047 VALVULA DE CIERRE AUTOMATICO"/>
        <s v="2011968 TRABA DE VALVULA DE CIERRE AUTOM"/>
        <s v="9400337 TAPA DE RECOLECTOR 350"/>
        <s v="2011082 AMORTIGUADOR PARA RECOLECTOR 350"/>
        <s v="2010642 MEMBRANA PRINCIPAL DEL PULSADOR"/>
        <s v="2010065 ANILLO ORING 2006 6.46X2.90X1.7"/>
        <s v="2012000 VALVULA DE DRENAJE (GOMA)"/>
        <s v="2011662 NIPLE DEL LUBRIFICADOR MECANICO"/>
        <s v="9400388 VISOR DE ACEITE"/>
        <s v="2012776 ANILLO ORING 2005 2,57X6,13X1,7"/>
        <s v="2012777 ANILLO ORING 2114 15,54X20,78X2"/>
        <s v="2010193 MANGUERA GEMELA DE PULSACIÓN"/>
        <s v="9401109 CONJUNTO DE TETERAS PARA CABRA"/>
        <s v="2010643 MEMBRADA DE INVENSION PULSADOR C"/>
        <s v="MARTILLO PARA MOLINO TIN-2"/>
        <s v="CONTRA MARTILLO C.J. PARA TIN-2"/>
        <s v="PUESTO COMPLETO DE ORDEÑADORA"/>
        <s v="2010025 ANILLO ORING"/>
        <s v="2011297 TRABA DEL AJUSTADOR"/>
        <s v="2010046 ANILLO DE GOMA DEL ASIENTO PULSA"/>
        <s v="2013174 MANIPULO DEL COLECTOR"/>
        <s v="2010177 BUJE DE GOMA ADAPTADOR"/>
        <s v="2010640 MEMBRANA DEL LAVADOR"/>
        <s v="2010762 ALETA DE LA BOMBA BVIN 765"/>
        <s v="2010810 KNOB"/>
        <s v="2010886 RETENEDOR"/>
        <s v="2010998 VALVULA DE REPERCUSION"/>
        <s v="2011030 ASIENTO DEL PULSADOR"/>
        <s v="2011554 MANGUERA DE GOMA"/>
        <s v="2011574 RESORTE MENOR DEL LAVADOR"/>
        <s v="2011553 MANGUERA DE DESCARGA DE LAVADOR"/>
        <s v="2011557 RESORTE MAYOR DEL LAVADOR"/>
        <s v="2010972 TOMA DE VACIO"/>
        <s v="2011024 ANILLO DE VEDACION DEL CONTENEDO"/>
        <s v="9401172 PULSADOR PIN"/>
        <s v="9400422 VISOR DEL ACEITE II"/>
        <s v="2010902 BALERO DURO DE ESFERA 6204"/>
        <s v="VACUOMETRO"/>
        <s v="9400024 ANILLO DE ENCOSTO BVIN 745/765"/>
        <s v="9401010 PESAS REGULADORA DE VACIO"/>
        <s v="2011664 NIPLE DE CONECCION 745/765"/>
        <s v="LUBRICADOR II"/>
        <s v="2011570 MANGUERA DE CRISTAL DE LUBRICACI"/>
        <s v="9400326 CUERPO DEL AJUSTADOR DE VACIO"/>
        <s v="9402011T CONJUNTO DE LA VALVULA DE AJUSTE"/>
        <s v="JUEGO DE PALETA BOMBA BVIN-350 2012789"/>
        <s v="JUEGO DE PALETA BOMBA B-VIN 745 2010761"/>
        <s v="TUBO DE ACE, INOX PERFORADO 1CC"/>
        <s v="TUBO DE ACE, INOX PERFORADO 1.9M"/>
        <s v="TUBO DE ACE INOX PERFORADO X 3M"/>
        <s v="9401013 SISTEMA LAVADOR"/>
        <s v="TUBOS DE ESCAPE DE ORDEÑO"/>
        <s v="GRIFO DE VACIO"/>
        <s v="MANGUERA ATOXICA CRISTAL 15.5X26"/>
        <s v="PALETA PARA BOMBA BIN 900 (765)"/>
        <s v="2011384 TETERA LARGA"/>
        <s v="ZARANDA DIAMETRO 5MM TIN-2"/>
        <s v="BARRA C/ 15 CUCHILLAS Y 1 MEDIA CUCHILLA"/>
        <s v="9400339 MANIPULO"/>
        <s v="ADAPTADOR PULSADOR"/>
        <s v="2011016 ANILLO DE FIJACIÓN REG. 415"/>
        <s v="MEZCLADORA INCOMAGRI MIN-300P"/>
        <s v="MEZCLADORA INCOMAGRI MIN-500P"/>
        <s v="ADAPTADOR DE ALUMINIO PARA ORDEÑO"/>
        <s v="PESO DE INOX 350"/>
        <s v="ESPARCIDORA ABONADORA SEMBRA 400P"/>
        <s v="TROMBA X 500 G"/>
        <s v="SINOMITE X LT"/>
        <s v="SINOTYL X 100 G"/>
        <s v="SARGENT X LT"/>
        <s v="TROMBA X 250 G"/>
        <s v="KIT 1 ( BOX JET )"/>
        <s v="KIT 87 ( BOX JET )"/>
        <s v="KIT 125 ( BOMBA M )"/>
        <s v="KIT 146"/>
        <s v="FILTRO LINEA"/>
        <s v="DADO M8X13X5 INOX AISI"/>
        <s v="JARRITA DOSIFICADORA X 250 cc"/>
        <s v="FIL. COMBUSTIBLE JOHN DEERE 5705 RE62419"/>
        <s v="FILTRO PRIMARIO 6405 JOHN DEERE AL78223"/>
        <s v="JUEGO DE PESAS DELANTERAS TRACTOR 5705"/>
        <s v="FILTRO SEC. 5705  AT 171854 JOHN DEERE"/>
        <s v="FILTRO SECUNDARIO AIRE 6405 AL78224"/>
        <s v="CUCHILLA Z A51501"/>
        <s v="BOMBA DIESEL 6.7HP JET - F/400"/>
        <s v="ENSILADORA JF 50 MAXXIUM"/>
        <s v="ENSILADORA JF 40 MAXXIUM"/>
        <s v="02.045001 PERNO DE SEGURIDAD"/>
        <s v="02.046636 TORNILLO DE LA CONTRA CUCHILLA"/>
        <s v="CONTRA PERNO DE LA CORONA"/>
        <s v="02.045379 CONTRA CUCHILLA JF5/H5-F3"/>
        <s v="02.045389 CONTRA CUCHILLA JF10"/>
        <s v="RESORTE DE LA TAPA (PICADORA) 05.001159"/>
        <s v="02.045369 CONTRA CUCHILLA JF2 / JF3"/>
        <s v="05.01194 RESORTE DEL TAMBOR DENTADO MOVI"/>
        <s v="02.070822 JUEGO COMP. MARTILLOS JF 2"/>
        <s v="02.045530 KIT CUCHILLAS COMPLETO JF2/2D/"/>
        <s v="02.046292 CONTRA CUCHILLA JF40S/MAXXIUM"/>
        <s v="02.046303 CONTRA CUCHILLA JF50S/MAXXIUM"/>
        <s v="CONTRA CUCHILLA H20F4 JF60S JF"/>
        <s v="02.045510 KIT CUCHILLAS COMPLETO JF5D"/>
        <s v="02.045520 KIT CUCHILLAS COMPLETO JF10"/>
        <s v="02.070842 JUEGO COMP. MARTILLOS JF 5"/>
        <s v="02.049503 EJE DOBLE POLEA CARDAN"/>
        <s v="02.046555 KIT CUCHILLA COMP. JF40"/>
        <s v="02.070862 JUEGO COMP. MARTILLOS JF10"/>
        <s v="BASE Y PIEDRA AFILADOR JF92Z10"/>
        <s v="02.075377 KIT CUCHILLA DEL RECOGEDOR JF9"/>
        <s v="02.046575 KIT CUCHILLA COMP. JF50"/>
        <s v="02.093647 KIT DE HERRAMIENTAS P/JF92 "/>
        <s v="ENSILADORA JF 40P"/>
        <s v="02.045823 VEDACION INFERIOR JFD 250"/>
        <s v="ZARANDA DIAMETRO 0.8MM TIN-2"/>
        <s v="MOLINO PICADOR JF 5 D"/>
        <s v="MOLINO PICADOR JF 2 D"/>
        <s v="CONTRA CUCHILLA JF 40P"/>
        <s v="ORDEÑADORA BVIN-765 02.400163"/>
        <s v="2012619 KIT DE CUCHILLA COMPLETO JF-40P"/>
        <s v="KIT DE ZARANDAS H5F3/JF5/JF5D"/>
        <s v="KIT DE ZARANDAS JF5"/>
        <s v="KIT DE ZARANDAS JF2/3"/>
        <s v="KIT CUCHILLAS JF 50 MAXXIUM COMPLETO"/>
        <s v="KIT CUCHILLAS  JF40P COMPLETO"/>
        <s v="KIT CUCHILLAS JF2/2D/D250 COMPLETO"/>
        <s v="9401058 TAPA OPERATRIZ"/>
        <s v="ENSILADORA JF-30P"/>
        <s v="02.116560 CUBIERTA DE LA TRANSMISION"/>
        <s v="02.116594 CUBIERTA DE PROTECCION SUPERIOR  "/>
        <s v="02.116555 BRAZO ACCIONADOR COMPLETO"/>
        <s v="02.116629 ENGANCHE DE LA BARRA DE CORTE"/>
        <s v="05.001489 GUIA SUPERIOR (0004-00-W)"/>
        <s v="05.00133 TORNILLOS M10X1.5X0.35 8.8 ZB B"/>
        <s v="05.001544 TORNILLO M10X1.5X0.5 8.8 ZB RI"/>
        <s v="05.000520 ARANDELA LISA M 10 DIN 125 ZB"/>
        <s v="05.000581 TUERCA SEXTAVADA C/ TRABA DE N"/>
        <s v="CUCHILLAS JF-40P UNIDADES"/>
        <s v="02.081277 CONJUNTO DEL SIN FIM ZM10"/>
        <s v="03.056705 ENGRANAGE SUPERIOR"/>
        <s v="02.046460 ENGRANAJE CON LANZADOR DE ACEI"/>
        <s v="03.060444 ENGRANAGE INTERMEDIARIA"/>
        <s v="03.046449 ENGRANAGE DE MANDO"/>
        <s v="03.046499 GUA DEL ENGRANAGE DE MANDO"/>
        <s v="02.055541 JUEGO DE CUCHILLAS"/>
        <s v="02.055600 ENGRANAJE DEL COMANDO"/>
        <s v="02.043906 CONTRA CUCHILLA RECOJEDOR"/>
        <s v="02.081227 CARDAN MANGO MECAN. JFZ10"/>
        <s v="02.066265 CRUCETA P/MANDO MECANICO"/>
        <s v="05.000260 TORNILLO SEXT 7.94X 44.45"/>
        <s v="05.035274 TUERCA SEXT 7.94(5/16)&quot;"/>
        <s v="05.032192 PIN ELASTICO 5 X 30MM"/>
        <s v="05.003018 BANDA 5/ B 152&quot; "/>
        <s v="CONTRA CUCHILLAS JF 30P"/>
        <s v="KIT CUCHILLAS COMPLETO JF30P"/>
        <s v="CABALLETE JF-40P"/>
        <s v="JUEGO DE HERRAM. 10PC HM-1798"/>
        <s v="RETEN 65X90X12"/>
        <s v="RETEN 45X70X12"/>
        <s v="RETEN 45X65X8"/>
        <s v="ANILLOS"/>
        <s v="JUEGO DE FOCOS"/>
        <s v="JUEGO DE ANILLOS"/>
        <s v="ABRASADERA"/>
        <s v="FILTROS"/>
        <s v="EMPAQUES DE LAS PUNTAS"/>
        <s v="EMPAQUES DEL CABESOTE"/>
        <s v="EMPAQUES DEL TUBO DE ESCAPE"/>
        <s v="EMPAQUES DE LA TAPA DE MOTOR"/>
        <s v="EMPAQUE VERDE"/>
        <s v="SENSOR INDUITIVO"/>
        <s v="EJE DE TRANSMICION DELANTERO"/>
        <s v="ACOPLE DE ACEITE"/>
        <s v="RETEN 40X64X8"/>
        <s v="MEDIDOR DE GASOLINA"/>
        <s v="JUEGO DE CHAPA DE BIELA YZ-4100"/>
        <s v="TAPA DE GASOLINA"/>
        <s v="SEGURO DE ARRANQUE"/>
        <s v="RESORTE PEQUEÑO"/>
        <s v="RESORTE GRANDE"/>
        <s v="BOYA PARA NIVEL DE DIESEL"/>
        <s v="VALVULAS DE ADMISION"/>
        <s v="MEDIDOR DE ACEITE"/>
        <s v="FOCOS PARA TRACTOR JINMA"/>
        <s v="JUEGO DE RINGS"/>
        <s v="RETEN 100X130X12"/>
        <s v="BOMBA DE AGUA"/>
        <s v="INYECTORES"/>
        <s v="CAJA DE FUSIBLES"/>
        <s v="FILTRO DE ACEITE(PARA JINMA)"/>
        <s v="ALTERNADOR"/>
        <s v="MANGUERA DE RADIADOR"/>
        <s v="MOTOR DE ARRANQUE"/>
        <s v="PITO"/>
        <s v="RADIADOR"/>
        <s v="REGULADOR"/>
        <s v="RELAY DE PITO"/>
        <s v="SWITCH DE ARRANQUE"/>
        <s v="TAPA DE RADIADOR"/>
        <s v="JUNTA PARA EL CILINDRO DE LA DIRECCION"/>
        <s v="TUERCA DE LA LLANTA"/>
        <s v="PERNO DE LA LLANTA"/>
        <s v="BOLAS PARA LOS FRENOS"/>
        <s v="AMPERIMETRO"/>
        <s v="SWITCH"/>
        <s v="SWITCH DIRECCIONALES"/>
        <s v="MEDIDOR DE TEMPERATURA DEL AGUA"/>
        <s v="PLUG DE PRESION DE ACEITE"/>
        <s v="DISCO DE EMBRAGUE (PTO)"/>
        <s v="MOTOR 10HP DIESEL ARRANQUE ELECTRICO "/>
        <s v="FILT AICEITE GP 24419340"/>
        <s v="TAPA P  DEPURADOR DE TRAC  LAMBORGHINI"/>
        <s v="TV LCD 42&quot;"/>
        <s v="FUNDA PARA VIVERO DE 4X6 10 MILLARES"/>
        <s v="GENERADOR 1.2KM 110 12V LT1200C"/>
        <s v="MOTOR 6.5HP GASOLINA "/>
        <s v="MOTOR 16HP GASOLINA "/>
        <s v="GENERADOR 800W 110V 12V"/>
        <s v="ROLLO 100M  MANGUERA FUM 200BAR 5/16&quot;"/>
        <s v="BOMBA DE PRESION 1.5&quot; 6.5HP GASOLINA "/>
        <s v="BOMBA DE PRESION 2&quot; 5.5HP GASOLINA "/>
        <s v="BOMBA DE CAUDAL TEMCO 3&quot; 6.5HP GASOLINA "/>
        <s v="FUMIGADORA ESTAC GASOLINA 15L/M "/>
        <s v="DISCO PLASTICO C35"/>
        <s v="ARRANQUE COMPLETO DE MS 56"/>
        <s v="MONTACARGA MANUAL MT JPC0307"/>
        <s v="MOTOR HONDA 6.5 HP"/>
        <s v="MOTOR DIESEL 10 HP F400 "/>
        <s v="MOTOR DIESEL 6.7 HP F300"/>
        <s v="MOTOR DIESEL 16HP 2200RPM CHANGFA-1100"/>
        <s v="MOTOR HONDA 5.5 HP 3600 RPM"/>
        <s v="MOTOR DIESEL 8 HP CHANFA"/>
        <s v="MOTOR SUBARU  DE 6 HP "/>
        <s v="MOTOR   SUBARU  9HP "/>
        <s v="MOTOR  SUBARU DE 13.5HP "/>
        <s v="MICROELEMENTOS SOLUBLES + AMINOACIDOS X KILO"/>
        <s v="ORTOFOSFATO 20% + AMINO ACIDOS X LT"/>
        <s v="ETIQUETA AGROTAFOL COMBI DELANTERA"/>
        <s v="ETIQUETA AGROTAFOL COMBI POSTERIOR"/>
        <s v="STICKER PARALANCHA BLUE"/>
        <s v="ETIQUETA AGROTAFOL FOSFITO X 250 ML"/>
        <s v="30 - 10 - 10 - 2 + MICROELEMENTOS X KG"/>
        <s v="10 - 15 - 30 - 5 + MICROELEMENTOS X KG"/>
        <s v="20 - 20 - 20 - 1 + MICROELEMENTOS X KG"/>
        <s v="15 - 40 - 15 - 1 + MICROELEMENTOS X KG"/>
        <s v="BISPIRIBAC SODIO 40%"/>
        <s v="10 - 15 - 30 - 5 + MICROELEMENTOS  500 G"/>
        <s v="15-40-15-1+MICROELEMENTOS 500 G"/>
        <s v="15-40-15-1+MICROELEMENTOS 25 KG"/>
        <s v="35 -  25 - 20 + MICRO + GA3 + AUXINAS + VITAMINAS"/>
        <s v="ETIQUETA SUPER VIVERO X KILO"/>
        <s v="ETIQUETA PROFESIONAL THICKER X KILO"/>
        <s v="FOSFONATO POTASICO 70 % X 20LITROS"/>
        <s v="FOSFONATO POTASICO 70 %"/>
        <s v="OXIDO DE POTASIO 40 % QUELATADO"/>
        <s v="ETIQUETA TOKAL 400 X 100 ML"/>
        <s v="QUELATO DE ZN + AZUFRE + AC. HUMICOS X LT"/>
        <s v="CAJA GREEN GIBB X 15 UNID"/>
        <s v="CALCIO 6 % / BORO 3 %"/>
        <s v="ACEITE MINERAL"/>
        <s v="ACIDOS HUMICOS , FULVICOS + AMINOACIDOS"/>
        <s v="ACIDOS HUMICOS, FULVICOS + AMINOACIDOS X 20 LITROS"/>
        <s v="HEXYTHIAZOX 5 % EC"/>
        <s v="MYCLOBUTANIL 12,5 % EC x 200L"/>
        <s v="BENALAXIL 8% + MANCOZEB 65 % WP 500 GR"/>
        <s v="DIFENOCONAZOLE 25 % EC X 200 LITROS"/>
        <s v="FOSETYL ALUMINIO 80 % WP KILO"/>
        <s v="CLOROTALONIL 72 % SC"/>
        <s v="CARBENDAZIM 50 % SC 200L"/>
        <s v="CARBENDAZIM 50 % WP KILO"/>
        <s v="CARBENDAZIM 50 % WP 100 GR"/>
        <s v="SULFATO DE COBRE 24%"/>
        <s v="SULFATO DE COBRE + AMINOACIDOS X LT"/>
        <s v="PARAQUAT 24 % SC 200 LT"/>
        <s v="PARAQUAT 24 % SC 20 LT"/>
        <s v="PARAQUAT X LITRO"/>
        <s v="TENSOACTIVO HUMECTANTE"/>
        <s v="DELTAMETRINA 2,5 % EC"/>
        <s v="CARTAP 50% WP  100 G"/>
        <s v="CYROMAZINA 75 % WP x 50g"/>
        <s v="IMIDACLOPRID 25 % WP 100 G"/>
        <s v="LAMBDA CYHALOTRINA 2,5 % EC 200L "/>
        <s v="CLOFENTAZINE 50 % SC"/>
        <s v="ETIQUETA AGROTAFOL FLORACION X KILO"/>
        <s v="ETIQUETA AGROTAFOL DESARROLLO X 500 GRS"/>
        <s v="ETIQUETA AGROTAFOL FLORACION X 500 GRS"/>
        <s v="ETIQUETA AGROTAFOL INICIAL X 500 GRS"/>
        <s v="ETIQUETA AGROTAFOL SUPER"/>
        <s v="ETIQUETA AGROTAFOL CALCIO X 500 ML"/>
        <s v="ETIQUETA AGROTAFOL AMINO X 500 ML"/>
        <s v="ETIQUETA AGROTAFOL FOSFITO X LITRO"/>
        <s v="ETIQUETA AGROTAFOL FOSFITO X 500 ML"/>
        <s v="ETIQUETA FEGADAZIM X 500 ML"/>
        <s v="ETIQUETA AGROTAFOL K X LITRO"/>
        <s v="ETIQUETA AGROTAFOL K PLUS X LITRO"/>
        <s v="ETIQUETA AGROTAFOL K PLUS X 500 ML"/>
        <s v="ETIQUETA AGROTAFOL ZINC X LITRO"/>
        <s v="ETIQUETA AGROTAFOL ZINC X 500 ML"/>
        <s v="ETIQUETA AGROTAFOL BORO X LITRO"/>
        <s v="ETIQUETA AGROTAFOL BORO X 500 ML"/>
        <s v="ETIQUETA AGROTAFOL BORO X 250 ML"/>
        <s v="ETIQUETA AGROTAFOL AC X LITRO"/>
        <s v="ETIQUETA ORGANIC POWER X LITRO"/>
        <s v="0-20-50 TIPO K-FOL"/>
        <s v="ETIQUETA ORGANIC POWER X 250 ML"/>
        <s v="ETIQUETA SINOMITE X LITRO"/>
        <s v="ETIQUETA SINOZOX X 500 ML"/>
        <s v="ETIQUETA SINOZOX X 100 ML"/>
        <s v="ETIQUETA LETAL X 500 ML"/>
        <s v="ETIQUETA SKEKURA X 500 GRS DEL"/>
        <s v="TENSOACTIVO PLUS"/>
        <s v="ETIQUETA LETAL X 250 ML"/>
        <s v="ETIQUETA LETAL X 100 ML"/>
        <s v="ETIQUETA PARALANCHA X 500 GRS / DELANTER"/>
        <s v="CA 16-16-12  + B"/>
        <s v="16-16-12+1B X GALON"/>
        <s v="ETIQUETA SARGENT X LITRO"/>
        <s v="ETIQUETA SARGENT X 250 ML"/>
        <s v="ETIQUETA FAST X LITRO"/>
        <s v="ETIQUETA FAST X 250 ML"/>
        <s v="ETIQUETA FAST X 100 ML"/>
        <s v="ETIQUETA SKEKURA X 500 GRS POST"/>
        <s v="ETIQUETA SCOBA X LITRO"/>
        <s v="ETIQUETA SCOBA X 250 ML"/>
        <s v="ETIQUETA SCOBA X 100 ML"/>
        <s v="ETIQUETA SCOBA X 50 ML"/>
        <s v="ETIQUETA BOTRYAZOLE X LITRO"/>
        <s v="ETIQUETA BOTRYAZOLE X 250 ML"/>
        <s v="ETIQUETA SINOTYL X KILO"/>
        <s v="ETIQUETA SINOTYL X 500 GRS - DELANTERA"/>
        <s v="ETIQUETA SITI X 500 GRS"/>
        <s v="ETIQUETA SITI X 250 GRS"/>
        <s v="ETIQUETA SKEKURA X LITRO"/>
        <s v="ETIQUETA SKEKURA X 250 ML"/>
        <s v="ETIQUETA SKEKURA X 100 ML"/>
        <s v="ETIQUETA SKEKURA X KILO"/>
        <s v="ETIQUETA SKEKURA X 250 GRS"/>
        <s v="ETIQUETA SPIN X 500 ML"/>
        <s v="ETIQUETA SPIN X 250 ML"/>
        <s v="ETIQUETA AGROTHANE X 500 GRS"/>
        <s v="ETIQUETA BUCANER X LITRO"/>
        <s v="ETIQUETA BUCANER X 500 ML"/>
        <s v="ETIQUETA BUCANER X 250 ML"/>
        <s v="ETIQUETA GLIFOSATO X LITRO"/>
        <s v="ETIQUETA AGROTAMINA X LITRO"/>
        <s v="ETIQUETA AGROTALINA X LITRO"/>
        <s v="ETIQUETA TOKAL X 250 ML"/>
        <s v="ETIQUETA FIERA X LITRO"/>
        <s v="ETIQUETA KEMADOR X LITRO"/>
        <s v="ETIQUETA KEMADOR X GALON"/>
        <s v="ETIQUETA TANQUE X LITRO"/>
        <s v="ETIQUETA AGROTAFIX X LITRO"/>
        <s v="ETIQUETA AGROTAFIX X 250 ML"/>
        <s v="ETIQUETA AGROTAFOL PH X LITRO"/>
        <s v="ETIQUETA AGROTAFOL PH X 100 ML"/>
        <s v="ETIQUETA ANIQUILADOR X LITRO"/>
        <s v="ETIQUETA ANIQUILADOR X 100 ML"/>
        <s v="ETIQUETA CAPITAN X 500 ML"/>
        <s v="BENALAXYL + MANCOZEB  BLUE X 500 G"/>
        <s v="ETIQUETA RIDONATE X 200 ML"/>
        <s v="ETIQUETA BUCANER FORTE X 250 ML"/>
        <s v="ETIQUETA BUCANER X 100 ML"/>
        <s v="ETIQUETA RIDONATE X 100 ML"/>
        <s v="ETIQUETA RIDONATE X 400 ML"/>
        <s v="ETIQUETA BUCANER FORTE X 500 ML"/>
        <s v="ETIQUETA BUCANER FORTE X 100 ML"/>
        <s v="ETIQUETA GREEN GIBB DELANTERA"/>
        <s v="ACIDO GIBERELICO X KILO"/>
        <s v="ETIQUETA GREEN GIBB POSTERIOR"/>
        <s v="CIROMAZINA 75%WP PREIMPRESA X 50 G"/>
        <s v="ETIQUETA BUCANER FORTE X LITRO"/>
        <s v="ETIQUETA LABOMBA X LITRO"/>
        <s v="ETIQUETA LORFOS X LITRO"/>
        <s v="ETIQUETA LORFOS X 250 ML"/>
        <s v="ETIQUETA ENDOSULFAN X 250 ML"/>
        <s v="ETIQUETA CIPERMETRINA X LITRO"/>
        <s v="FUNDA GREENGIB"/>
        <s v="FUNDA ALUMINIZADA 250/500 GRS "/>
        <s v="FUNDA ALUMINIZADA 300 GRS"/>
        <s v="ETIQUETA DEPREDADOR X 300 GRS"/>
        <s v="ETIQUETA DEPREDADOR X 100 GRS"/>
        <s v="ETIQUETA FULMINANTE  X 50 GRS / DELANTER"/>
        <s v="ETIQUETA SKEMATA X 100 ML"/>
        <s v="ETIQUETA SKEMATA X 250 ML"/>
        <s v="ETIQUETA SKEMATA X 500 ML"/>
        <s v="ETIQUETA SKEMATA X LITRO"/>
        <s v="ENVASE PET LITRO"/>
        <s v="ENVASE PET 500 ML"/>
        <s v="ENVASE PET 250 ML"/>
        <s v="ENVASE AGROGALON"/>
        <s v="ENVASE AGROBALA 1/2 LITRO"/>
        <s v="ENVASE AGROBALA 1/4 LITRO"/>
        <s v="ENVASE FARMACEUTICO 120 ML"/>
        <s v="ENVASE FARMACEUTICO 60 ML"/>
        <s v="ENVASE PARAGUAS PREIMPRESA"/>
        <s v="ENVASE TROMBA 250 G PREIMPRESA"/>
        <s v="ENVASE AGROTHANE KG PREIMPRESA"/>
        <s v="ENVASE ATRAZINA KG PREIMPRESA"/>
        <s v="ETIQUETA ESTAMPIDA X 100 ML"/>
        <s v="ETIQUETA ESTAMPIDA X 250 ML"/>
        <s v="ETIQUETA MOSKAFIN X 100 GMS DELANTERA"/>
        <s v="ETIQUETA SINOPRID X 500 GMS / DELANTERA"/>
        <s v="ETIQUETA ORGANIC POWER X 500 ML"/>
        <s v="ENVASE PREIMPRESO SKEKURA WP X 100 GMS"/>
        <s v="ENVASE AGROBALA VERDE X LITRO"/>
        <s v="ETIQUETA YOGA X LITRO"/>
        <s v="ETIQUETA SINOPRID X 50 GMS"/>
        <s v="ETIQUETA YOGA X 100 ML"/>
        <s v="ABAMECTINA NEGRA 1.8% X 100 ML"/>
        <s v="PROPICONAZOL 25 % EC"/>
        <s v="ETIQUETA FULMINANTE X 50 GMS / TRASERA"/>
        <s v="ETIQUETA FULMINANTE DEL AGRIPAC"/>
        <s v="ETIQUETA FULMINANTE POST AGRIPAC"/>
        <s v="ETIQUETA RAIZ FORTE X LITRO"/>
        <s v="ETIQUETA RAIZ FORTE X 500 ML"/>
        <s v="16-16-12 -1B x 500 ml"/>
        <s v="16-16-12+ B X LT"/>
        <s v="ENVASE SINOPRID X 100 GMS PREIMPRESA"/>
        <s v="CARBENDAZIM 50 % WP 25 KG (Kg)"/>
        <s v="ETIQUETA AGROTAFIX X 100 ML"/>
        <s v="ETIQUETA AGROTAFIX PLUS X 100 ML"/>
        <s v="ETIQUETA AGROCARBOFURAN X LITRO"/>
        <s v="ETIQUETA AGROCARBOFURAN X 250 ML"/>
        <s v="ENVASE AGROBALA X 100 ML"/>
        <s v="ETIQUETA AGROVERDOL X 500 ML"/>
        <s v="ETIQUETA SINOTOP X LITRO"/>
        <s v="ETIQUETA SINOTOP X 100 ML"/>
        <s v="ETIQUETA AGROTASULF X LITRO"/>
        <s v="ETIQUETA SKEKURA X 200 GMS"/>
        <s v="ETIQUETA SKEKURA 200 GRS DELANTERA"/>
        <s v="ETIQUETA SKEKURA X 200 GRS POSTERIOR"/>
        <s v="TENSOACTIVO HUMECTANTE X 500ML"/>
        <s v="ETIQUETA AGROTAFIX X 500 ML"/>
        <s v="ETIQUETA IMPULMAX X 100 ML"/>
        <s v="ETIQUETA CITOQMAX X LITRO"/>
        <s v="ETIQUETA AGROVERDOL X LITRO"/>
        <s v="ETIQUETA CIROMAZINA X 50 GMS DEL  (F. A.)"/>
        <s v="ETIQUETA CIROMAZINA  50 GRS AGROMAC ( DEL)"/>
        <s v="ENVASE COEX 125 g X LITRO"/>
        <s v="ENVASE SINOTYL X 100 GMS PREIMPRESO"/>
        <s v="FOSETIL ALUMINIO 80 %   X 25 KG"/>
        <s v="ENVASE AGROTAFOL DESARROLLO X KILO PREIM"/>
        <s v="ENVASE AGROTAFOL ENGROSE X KILO PREIMPRE"/>
        <s v="ETIQUETA BIOBAN LITRO GALON 5 GL"/>
        <s v="ETIQUETA VIRAFIN X LT"/>
        <s v="ETIQUETA VIRAFIN X 250 ML"/>
        <s v="ETIQUETA ESTAMPIDA ORGANICO X LITRO"/>
        <s v="METSULFURON METYL X 15 GR"/>
        <s v="ETIQUETA ZULLY X 15 GRS DELANTERA"/>
        <s v="ETIQUETA ZULLY X 15 GRS POSTERIOR"/>
        <s v="ENVASE PREIMPRESO PARALANCHA 250/500 G"/>
        <s v="ETIQUETA PARALANCHA 250/500 GRS DELANTERA"/>
        <s v="ETIQUETA PARALANCHA 250/500 GRS POSTERIOR"/>
        <s v="ETIQUETA SKEKURA X 500 ML"/>
        <s v="ETIQUETA BLINDAX X 100 ML"/>
        <s v="ETIQUETA QUITA LATEX GALON - CANECA"/>
        <s v="BENALAXIL + MANCOZEB BLUE X 25 KG"/>
        <s v="LAMBDACIHALOTRINA 2,5% EC X 250 ML"/>
        <s v="LAMBDACIHALOTRINA 2,5% EC X 100 ML"/>
        <s v="DIFENOCONAZOLE 2,5% EC X 100 ML"/>
        <s v="DIFENOCONAZOLE COEX x LT"/>
        <s v="ETIQUETA CIROMAZINA X 50 GMS  DEL (AGROTA)"/>
        <s v="ETIQUETA CIROMAZINA 50 GRS POST (AGROTA)"/>
        <s v="ETIQUETA CIROMAZINA 50 GRS POST (F.A)"/>
        <s v="ETIQUETA IMPULMAX X LITRO"/>
        <s v="ETIQUETA IMPULMAX X 250 ML"/>
        <s v="ETIQUETA UREUM LITRO-GALON-20 L"/>
        <s v="ETIQUETA ANIQUILADOR X 250 ML"/>
        <s v="ETIQUETA ANIQUILADOR X 500 ML"/>
        <s v="ETIQUETA RAIZ FORTE G X KILO"/>
        <s v="HUMICEL 20 LITROS"/>
        <s v="KELAGRO MAGNESIO X 20 LITROS"/>
        <s v="ETIQUETA TOKAL 400 X 500ML"/>
        <s v="ABAMECTINA NEGRA 1.8% X 200L"/>
        <s v="UREFOL X CANECA 20L"/>
        <s v="PROPANIL X GL"/>
        <s v="ENVASE PREIMPRESO AGROTAFOL COMBI X 200"/>
        <s v="CARTAP 50 % PS 25KG"/>
        <s v="IMIDACLOROPRID 25% WP X 25KL"/>
        <s v="ETIQUETA BLINDAX LITRO GALON 20 L"/>
        <s v="PARAQUAT X GALON"/>
        <s v="CAJA COMBO FRESA"/>
        <s v="16-16-12+ 1B X 5 GALO"/>
        <s v="ETIQUETA PROPILAQ POR 100ML"/>
        <s v="ETIQUETA RIDONATE X LITRO"/>
        <s v="ETIQUETA RIDONATE X 500 ML"/>
        <s v="ETIQUETA RIDONATE X 250 ML"/>
        <s v="ETIQUETA PROPILAQ X  250ML"/>
        <s v="ETIQUETA CITOQMAX X 250 ML"/>
        <s v="ETIQUETA PROPILAQ X LITRO"/>
        <s v="TEBUCONAZOL 25% EC x 200 LT"/>
        <s v="ETIQUETA BIOBAN X 250 ML"/>
        <s v="ETIQUETA QUBIK X LITRO"/>
        <s v="ETIQUETA FEGADAZIM X LITRO"/>
        <s v="ETIQUETA FEGADAZIM X 250 ML"/>
        <s v="ETIQUETA JAQUER X 100 ML"/>
        <s v="ENVASE CLON X LITRO"/>
        <s v="ETIQUETA FEGADAZIM X 100 ML"/>
        <s v="ETIQUETA ABAMECTIN  X 100 ML"/>
        <s v="ABAMECTIN X 100 ML"/>
        <s v="ETIQUETA ABAMECTIN X LITRO"/>
        <s v="TENSOACTIVO HUMECTANTE  PLUS  X 100 ML"/>
        <s v="FOSFONATO POTASICO 70% X 500 ML"/>
        <s v="ENVASE COEX 105g X LITRO   "/>
        <s v="ENVASE COEX 60g X 500ML     "/>
        <s v="ENVASE COEX 40g X 250ML    "/>
        <s v="ENVASE COEX 20g X 100ML     "/>
        <s v="ETIQUETA SUPERMATA TODO (RIERA) LT/GL"/>
        <s v="ETIQUETA MOSKAFIN 100G (DR. AGRO)POST."/>
        <s v="ETIQUETA GLIFOSATO 20LT (RIERA)"/>
        <s v="ETIQUETA SINOPRID 50 G / TRASERA"/>
        <s v="ETIQUETA CIROMAZINA  50 GRS AGROMAC (POS"/>
        <s v="BENALAXYL + MANCOZEB CREMA X 25 KILOS"/>
        <s v="ETIQUETA LETAL X LITRO"/>
        <s v="CAJA COMBO MARACUYA FLORACION"/>
        <s v="CILINDRO DEL MOTOR"/>
        <s v="WASA CLUCTH"/>
        <s v="TORNILLO DEL CLUTH"/>
        <s v="PISTON"/>
        <s v="BALIENRA DEL CIGUENAL"/>
        <s v="EMPAQUE SILIENCIADOR"/>
        <s v="BASE DIAFRAGMAS BC 420"/>
        <s v="DIAFRAGMA CARBURADOR  BC420 190405"/>
        <s v="DIAFRAGMA CARBURADOR BC 420 190408"/>
        <s v="ESTABILIZADOR CUCHILLA BC 320H"/>
        <s v="VALVULA DE V.R.P. COMPLETA"/>
        <s v="COLLAR"/>
        <s v="1903-25 PISTON"/>
        <s v="1903-26 ANILLO DEL PISTON"/>
        <s v="1903-27 PIN DEL PISTON"/>
        <s v="CILINDRO 7304-02"/>
        <s v="FILTRO HIDRAULICO 1920986-1"/>
        <s v="FILTRO DE ACETIE 81879134UK"/>
        <s v="FILTRO HDCO 4-5-6-7600 S10 S 30 D8NN-B48"/>
        <s v="RAICES 500"/>
        <s v="AN. ANTIES 6.2X9X1.5"/>
        <s v="DIENTE P/MOTOSIERRA 27R 100B 0.404;DIENTE P/MOTOSIERRA 27R 100B 0.404"/>
        <s v="BARRA GUIA 30 STL 303ATLE099 OREGON"/>
        <s v="DIENTE P/MOTOSIERRA 73D 100B 3/8 OREGON"/>
        <s v="ANILLO PINON PASO 0.404&quot; 7 DIENTES 22270"/>
        <s v="KIT ESPADA Y CADENA 14&quot;"/>
        <s v="DESARMADOR PLANO Y ESTRELLA SHINDAIWA"/>
        <s v="IMPULSOR DM-6110"/>
        <s v="MOTOR 10HP WEG 1800RPM 220/440V"/>
        <s v="02002-06001 COJINETE B450-B530"/>
        <s v="02006-06000 COJINETE B45-B530"/>
        <s v="CORONA DE TRACTOR LAMBORGINI"/>
        <s v="BOMBA PRESION 10HP/F400 DIESEL"/>
        <s v="PINZA SEGURO INTERNO CUVO"/>
        <s v="PLAYO"/>
        <s v="PINZA PATA CONICA"/>
        <s v="PORTA MACHUELOS"/>
        <s v="CORTADORA DE ZUNCHOS SANDUIK"/>
        <s v="QUEMADOR DE GAS-MANGUERA-VALVULA"/>
        <s v="PINZA SACA BOCADOR"/>
        <s v="LINTERNA"/>
        <s v="LLAVE TUBO 24&quot;;LLAVE TUBO 24&quot;&quot;"/>
        <s v="ZS1100-1120 FILTRO DE AIRE"/>
        <s v="ZS1100-CO506A FILTRO DE GASOLINA"/>
        <s v="PRENSA HIDRAULICA 20T"/>
        <s v="BOMBA DE FUMIGAR ANOBI REVERVERI 1 SALIDA"/>
        <s v="BOMBA DE AGUA DIESEL CWD 50XL"/>
        <s v="TECLE HIDRAULICO "/>
        <s v="MOTOR 18HP EJE RECTO "/>
        <s v="MOTOR GASO 16 HP EJE RECTO I/C B&amp;S"/>
        <s v="POLEA A3.5&quot;/1RAN,3/4&quot; GASO"/>
        <s v="MOTOR GASO 10 HP INTEK EJE RECTO"/>
        <s v="MOTOR GASO 6 HP INTEK EJE RECTO  "/>
        <s v="ESPARCIDORA FERTILIZANTE SITREX500 Y CAR"/>
        <s v="ESMERIL DE PEDESTAL "/>
        <s v="BASES PARA TERCER PUNTO(JINMA)"/>
        <s v="VALVULAS CHEQUE 2 DE BRONCE&quot;"/>
        <s v="JUEGO COMPRESOR"/>
        <s v="BOMBA 2&quot; DE CAUDAL WP 2-40 (SIN MOTOR)"/>
        <s v="BOMBA AGUA 6.5HP 3&quot; (SIN MOTOR)"/>
        <s v="ORGANIZADOR DE PASTOS VALLE"/>
        <s v="CAJON DE HERRAMIENTAS # 1"/>
        <s v="CAJON DE HERRAMIENTAS # 2"/>
        <s v="CAJON DE HERRAMIENTAS # 3"/>
        <s v="BOMBA DE AGUA 5.5 2 (SIN MOTOR)&quot;"/>
        <s v="POLEA B3.5 1RAN  28MM. MEZCLADORA"/>
        <s v="VALVULA DE PIE"/>
        <s v="POLEA 4&quot;X 2RANUX28MMM"/>
        <s v="MOTOR DIESEL 13.2 HP JIANG DONG"/>
        <s v="TAPAS ALUMINIO FUNDIDAS ORDEÑADORA"/>
        <s v="GATA HIDRAULICA DE RUEDAS 2.5"/>
        <s v="ACEITE SUPER DIESEL 25W40"/>
        <s v="TECLE TIGER 5T-3M-ACCION C.CADE "/>
        <s v="DESENGRASANTE NEUTRO"/>
        <s v="POLA 4  2RAN 1  GASODISEL PC3 DP2 DP1"/>
        <s v="POLEA B2.5 1RAN 3 4  GASOL TRAPICHE"/>
        <s v="POLEA MIXTA 3.5&quot; Y 4&quot;/DESGRA/GASO"/>
        <s v="POLA 4&quot; 1RA 16MM ELEC 3HPEC-MINI,30P"/>
        <s v="POLEA B2.5&quot;/1RAN,5/8&quot;,ELECTRI/TRAPICHE"/>
        <s v="POLEA A3.5  1RAN,5 8  ELECT"/>
        <s v="MOTOR 2HP EBERLE 1800RPM 110/220V"/>
        <s v="MOTOR 3HP MONOFASICO 3600 RPM"/>
        <s v="PERNO 4X15 MM"/>
        <s v="ACOPLE P  BOMBA DE GASOLINA B&amp;S"/>
        <s v="POLEA 4&quot; 2 RANURAS HUECO 1&quot;"/>
        <s v="POLEA 4&quot; 2 RANURAS HUECO 38MM"/>
        <s v="POLEA 4&quot; 1 RANURA HUECO 16MM"/>
        <s v="MANGUERA 5/16, 10 MTS"/>
        <s v="BUJIA 6A"/>
        <s v="BUJIA 7A"/>
        <s v="TECLE TIGER 1.1/2T-2.5M"/>
        <s v="LLAVE PICO DE LORO 12&quot;;LLAVE PICO DE LORO 12&quot;&quot;"/>
        <s v="POLEA 4&quot; 1 RANURA HUECO 1&quot;"/>
        <s v="65765 TAPA ACEI. MOTOR FORD 6600-7600-S1"/>
        <s v="TANQUE APILABLE 500LTRS"/>
        <s v="DISCO SIERRA 48 DIENTES"/>
        <s v="ORGANIC POWER X LT"/>
        <s v="GRASA SINTETICA AZUL 1LIBRA"/>
        <s v="MOTOR 10HP WEG 3600RPM 220/440V"/>
        <s v="JUEGO DE RINES B&amp;S 9HP"/>
        <s v="KIT DE CARBURADOR B&amp;S 9HP"/>
        <s v="KIT DE EMPAQUES MOTOR B&amp;S 9HP"/>
        <s v="DIENTE CADENA 3/8 OREGON"/>
        <s v="CARRETILLA P/ BODEGA 2 POSTURAS ROJA 16.5 KG"/>
        <s v="BRAZO GUIADOR IZQUIERDO"/>
        <s v="ENGRASADORA"/>
        <s v="BRAZO GUIADOR DERECHO"/>
        <s v="REMACHADORA "/>
        <s v="CABEZAL NYLON UN-10 SIN EMPAQUE 82067A"/>
        <s v="MANGUERA DE SUCCION 3-6MT(1)&quot;"/>
        <s v="POLEA 4&quot; 1 RANURA HUECO 3/4"/>
        <s v="MANGUERA DE AGUA 10&quot; M 1 1/2&quot; VERDE"/>
        <s v="ZAPAPICO KILOS PULIDO"/>
        <s v="CABO P/ZAPAPICO  "/>
        <s v="PALA P/JARDIN"/>
        <s v="CAMISETAS"/>
        <s v="LAVADORA BOSCH "/>
        <s v="ACEITE CELERITY 2T 24/4"/>
        <s v="PINZA SEGURO INTERNO"/>
        <s v="BANDA A-20"/>
        <s v="BANDA A-30"/>
        <s v="BANDA A-36"/>
        <s v="BANDA A-40"/>
        <s v="BANDA A-48"/>
        <s v="BANDA A-54"/>
        <s v="BANDA A-56"/>
        <s v="BANDA A-75"/>
        <s v="AGUILON DE FUMIGACION  "/>
        <s v="BANDA B-48"/>
        <s v="BANDA B-67"/>
        <s v="BANDA B-70"/>
        <s v="BANDA B-71"/>
        <s v="BANDA B-72"/>
        <s v="BANDA B-75"/>
        <s v="BANDA B-79"/>
        <s v="BANDA B-90"/>
        <s v="BANDA B-83"/>
        <s v="BANDA-B95"/>
        <s v="BANDA B-98"/>
        <s v="CARBURADOR PARA MOTOR 16HP I/C"/>
        <s v="FILTROS CARTUCHO MOTOR 8HP"/>
        <s v="MATERIAL PARA CHAVETA"/>
        <s v="MOTOR 4HP WEG 1800RPM 220V  "/>
        <s v="PULSADOR JD-91"/>
        <s v="ADAPTADOR PARA CABEZAL SRAH-205"/>
        <s v="MOTOR GASOLINA VANGUARD EJE RECTO"/>
        <s v="CAJA COMBO PRO"/>
        <s v="CAJA COMBO ARROZ INICIAL"/>
        <s v="CAJA COMBO MONILIA"/>
        <s v="CAJA COMBO CACAO FLORACION"/>
        <s v="CAJA COMBO MARACUYA"/>
        <s v="CAJA COMBO ARROZ ENGROSE"/>
        <s v="CAJA COMBO RAIZ ROSADA"/>
        <s v="CAJA COMBO CACAO INICIO"/>
        <s v="CAJA COMBO MASTER INICIAL"/>
        <s v="CAJA COMBO MASTER ENGROSE"/>
        <s v="CAJA COMBO INSECTICIDA"/>
        <s v="CAJA COMBO ARROZ TOTAL"/>
        <s v="CAJA COMBO ARROZ DESARROLLO"/>
        <s v="ENVASE AGROBALA VERDE X 500 ML"/>
        <s v="CAJA COMBO PAPAYA"/>
        <s v="PERNO SUJETADOR SRM4300"/>
        <s v="PLANCHA  SUBARU   CF2"/>
        <s v="BOMBA CENTRIFUGA 0.5HP 1&quot;X1&quot; "/>
        <s v="BOMBA CENTRIFUGA 1HP 1&quot;X12 "/>
        <s v="MOTOR 2HP WEG 1800 RPM 110/220V"/>
        <s v="MOTOR 7.5HP WEG 3600 RPM 220/440"/>
        <s v="AGROTAFOL AMINO X GL"/>
        <s v="QUITALATEX  X GL"/>
        <s v="QUITALATEX X 5 GL"/>
        <s v="ANIQUILADOR X 250 ML"/>
        <s v="ANIQUILADOR X 500 ML"/>
        <s v="LETAL X 500 ML"/>
        <s v="LETAL X 250 ML"/>
        <s v="FULMINANTE  X 50 G"/>
        <s v="SINOTYL X 500 G"/>
        <s v="SINOTYL X KG"/>
        <s v="SINOPRID X 500 G"/>
        <s v="SINOPRID X 100 G"/>
        <s v="ANIQUILADOR X LT"/>
        <s v="ANIQUILADOR X 100 ML"/>
        <s v="SKEMATA X LT"/>
        <s v="SKEMATA X 500 ML"/>
        <s v="SKEMATA X 250 ML"/>
        <s v="SKEMATA X 100 ML"/>
        <s v="LETAL X 100 ML"/>
        <s v="LETAL X LITRO"/>
        <s v="SINOZOX X 100 ML"/>
        <s v="DEPREDADOR X 100 G"/>
        <s v="DEPREDADOR X 300 G"/>
        <s v="PARALANCHA X 500 G"/>
        <s v="PARALANCHA X 250 GRMS"/>
        <s v="SINOZOX X 500 ML"/>
        <s v="SINOZINE X 100 ML"/>
        <s v="QUARZO CROMA INDURAMA"/>
        <s v="RODAMIENTO 20 D6 629-ZZ"/>
        <s v="RODAMIENTO 20 D6 6002-2RS"/>
        <s v="RODAMIENTO 20D6 6201-2RS"/>
        <s v="RODAMIENTO 20 D6 6202-2RS"/>
        <s v="RODAMIENTO 20 D6 6000-2RS"/>
        <s v="RODAMEINTO 6205 2Z FAG"/>
        <s v="RODAMIENTO  6207 2Z C3 FAG"/>
        <s v="RODAMIENTOS 6207 2Z JAPAN"/>
        <s v="RODAMIENTOS 6900 2RS CMB"/>
        <s v="BANDA B-102"/>
        <s v="BANDAS B-62"/>
        <s v="BANDAS B-65"/>
        <s v="BANDAS A-32"/>
        <s v="BANDA B-44"/>
        <s v="BANDAS B-75"/>
        <s v="SCORE X 100CC"/>
        <s v="CUCHILLA DE TRES PUNTAS 300 MM"/>
        <s v="PULVERIZADOR A MOTOR MD.432"/>
        <s v="BULON DEL PISTON MD.603-70-80-90"/>
        <s v="TACOMETRO"/>
        <s v="MANGUITO VITON MD.425-35.EMPAQUE PARA PI"/>
        <s v="TORNILLO MD.130-34-40-41"/>
        <s v="PISTON MD.425-35-56-57"/>
        <s v="TUERCA RACORD MD.415-20-22-24-25-26-35"/>
        <s v="PODADORA DE ALTURA SOLO(ACCESORIO)"/>
        <s v="BARRA TOBERA 2 SALIDAS"/>
        <s v="TAPA DE FILTRO 20.74.113"/>
        <s v="FILTRO DE AIRE 20.48.121"/>
        <s v="KIT DE JUNTAS MD. 425/435"/>
        <s v="SOPORTE"/>
        <s v="BOMBA DE FUMIGAR MOTOR 20 LT. 432"/>
        <s v="ANILLO RETENCION C350-B450-B"/>
        <s v="EXHIBIDOR MOTOSIERRA"/>
        <s v="EXHIBIDOR DESMALEZADORA"/>
        <s v="108642-24 BARRA 24 LT, 3/8, 0.58"/>
        <s v="108644-30 BARRA 30 .058 D009"/>
        <s v="PERNO PROTECTOR DESPOJOS B530"/>
        <s v="DIAFRAGMA DE LA BOMBA 4605"/>
        <s v="18500-50100 CUCHILLA ACC CORTACETOS"/>
        <s v="CUCHILLA ACC CORTACETOS"/>
        <s v="18500-90002 CUCHILLA SUPERIOR 40 HT230"/>
        <s v="18500-90003 CUCHILLA INFERIOR 40&quot;"/>
        <s v="20000-72230 RESORTE SPARK C230-C350-EB50"/>
        <s v="20000-72241 CUBIERTA BUJIA C230-C350-B45"/>
        <s v="20000-75130 TRINQUETE B450-BP35"/>
        <s v="20000-75160 RESORTE SEGURO ARRANC  B450"/>
        <s v="20000-75220 RESORTE TRIQUETE B450"/>
        <s v="20000-81310 TORNILLO (T) B450-B530-BP35"/>
        <s v="20000-81330 TORNILLO (L) B450-B530"/>
        <s v="CA RESORTE L B450-B530"/>
        <s v="20000-81441 AGUJA BALANCIN B450-C350"/>
        <s v="20000-81740 FILTRO AIRE B45-B45LA"/>
        <s v="20000-85500 VALVULA DE PRESION B450-B45L"/>
        <s v="20000-85579 OJAL TANQUE COMB B450-C350"/>
        <s v="20000-96104 HERRAM EXTACT VOLANTE"/>
        <s v="20010-12121 EMPAQUE CILINDRO B450-C350"/>
        <s v="20010-21211 RETEN B450-B530-C350-EB500"/>
        <s v="ANILLO PISTON C350-BP35"/>
        <s v="CA COJINETE AGUJA C350-BP35"/>
        <s v="20010-72221 CAPUCHON DE BUJIA C350"/>
        <s v="20010-75190 PERILLA ARRANCADOR B450-C350"/>
        <s v="CA FILTRO REJA B45-B45LA"/>
        <s v="20010-86130 AMORTIGUADOR B450-C350"/>
        <s v="CA EMPAQUE AISLADOR B450-C350"/>
        <s v="20011-81451 PALANCA BALANCIN B450-C350"/>
        <s v="CA FILTRO COMBUST B45-B45LA"/>
        <s v="ABRAZADERA (M) B450-C350"/>
        <s v="20016-12112 CILINDRO C230-ES726-M230/1-P"/>
        <s v="20016-12120 EMPAQUE CILINDRO 22F-C230-ES"/>
        <s v="20016-12222 EMPAQUE AISLADOR C230-ES726"/>
        <s v="20016-71601 BOBINA C230-P230"/>
        <s v="20016-81021 CARBURADOR SUB. COMP. C230"/>
        <s v="CA AISLADOR BOBINA ES726"/>
        <s v="20018-81750 FILTRO AIRE C230-P230"/>
        <s v="20019-81440 VALVULA REGULADORA B530"/>
        <s v="20020-75120 TAMBOR B450-B45"/>
        <s v="20020-75180 CUERDA B450-C350-B530-BP35"/>
        <s v="20020-81140 RESORTE CABLE B45-B530-B45LA"/>
        <s v="20020-86140 BANDA C350-BP35-B450"/>
        <s v="ANILLOS PISTON B45-B45L"/>
        <s v="20021-81920 EMPAQUETADURA DIAFR B45-B45L"/>
        <s v="20021-83411 EMPAQUE CARB. B450-B45-C350"/>
        <s v="20021-96420 HERRAMIENTA RETENEDOR X2"/>
        <s v="HERRAM EXTRACTOR PISTON B450"/>
        <s v="20024-75130 RESORTE ARRANC B450-C350-B45"/>
        <s v="20024-75220 TRINQUETE B45LA-B530-C350-SRM270"/>
        <s v="20024-81023 CARBURADO C270"/>
        <s v="KIT DE AGUJA C270"/>
        <s v="20024-83410 EMPAQUE CABURA C270"/>
        <s v="20035-21100 CARTER S 22F-22C"/>
        <s v="20036-81670 BOMBA DEL CEBADOR 22F-C230-E"/>
        <s v="20037-82130 MANGA C350-B450-B530"/>
        <s v="20055-81004 CARBURADOR BP35"/>
        <s v="20060-12210 AISLADOR CONDENS B450-C350"/>
        <s v="TAPA FILTRO C350-B450"/>
        <s v="20060-81781 PERILLA DE FILTRO C350-B450"/>
        <s v="20087-81820 BOMBA CEBADOR  B450-B530-C35"/>
        <s v="20142-12110 CILINDRO 22F-22C-F220"/>
        <s v="CODO CORRUGADO DM6110"/>
        <s v="22000-12413 EJE CENTRAL C270"/>
        <s v="CA PROTECTOR DE PERNO BP35"/>
        <s v="22000-13512 PERNO CUCHILLA  BP 35"/>
        <s v="PASADOR CUCHUILLA C270"/>
        <s v="CA DISCO 8&quot; 30 DIENTES"/>
        <s v="22000-92167 DISCO 9&quot; 30 DIENTES "/>
        <s v="CA CABEZAL METALICO  22000-92812  "/>
        <s v="22015-13220 PINON HUECO B45-B450-B530-C350"/>
        <s v="22015-13230 COLLAR B45-B450-B530-C350"/>
        <s v="22015-13241 SOPORTE (A) B450-C350-B450"/>
        <s v="PERNO CUCHILLA B45-B450-C350"/>
        <s v="22015-13290 SUJETADOR CUCHILLA B450-B530"/>
        <s v="22015-13390 JUEGO DE PINON C350"/>
        <s v="CA PERNO TAPA GRASA B45-B450-B5"/>
        <s v="22015-13420 EMPAQUE SEGURO 450-B530-C350"/>
        <s v="22015-14301 PALANCA ACELERADOR B45-C35LA"/>
        <s v="22015-96500 HERRAM EXTRACTOR COMPLETO"/>
        <s v="22015-96600 HERRAM EXTRACTOR COMPLETO"/>
        <s v="22020-14200 MANGO COMPLETO B45-B45LA-C350"/>
        <s v="CA JUEGO DE PIÑON B45-B450-B530"/>
        <s v="22024-13291 PROTECTOR DE PERNO C270"/>
        <s v="SOPORTE A C270"/>
        <s v="22035-13140 RETEN 22C-C230"/>
        <s v="22035-13242 SOPORTE (A) C230-22C"/>
        <s v="22035-13271 PERNO CUCHILLA C230"/>
        <s v="22035-13290 PROTECTOR PERNO 22C-C230"/>
        <s v="22051-11922 EJE FLEXIBLE BP35"/>
        <s v="22100-41230 ANILLO RETENEDOR B450"/>
        <s v="22100-81230 PALANCA BALANCIN C230"/>
        <s v="22102-72220 BUJIA DE CAPUCHON 22F-C230"/>
        <s v="22150-12152 MANGA 757-577"/>
        <s v="22152-41231 ANILLO DE RETENCION B45-B530"/>
        <s v="22154-52410 TUERCA 757"/>
        <s v="22154-55110 ENGRANAJE 488"/>
        <s v="22155-96531 HERRAMIENTA LLAVE (4)"/>
        <s v="ANILLO PISTON 488"/>
        <s v="22160-33821 EMPAQUE CORCHO 488-577-757"/>
        <s v="CA COJINETE DE BIELA 488"/>
        <s v="EMBRAGUE COMPLETO 488"/>
        <s v="BOBINA 488"/>
        <s v="22160-75100 ARRANCADOR COMPLETO 488"/>
        <s v="22169-21503 CARTER C COMPLETO 757"/>
        <s v="22169-32110 MANGO 757"/>
        <s v="22169-35400 FILTRO GASOLINA 577-757-B450-B30"/>
        <s v="22169-41210 ANILLOS PISTON 757"/>
        <s v="22169-55110 ENGRANAJE 757"/>
        <s v="CA BOMBA DE ACEITE COMP. 757"/>
        <s v="CA BOBINA AZUL PEQUEÑA 757"/>
        <s v="22169-82310 FILTRO AIRE 577-757"/>
        <s v="22169-96580 HERRAM ESTRACTOR"/>
        <s v="22197-55201 BOMBA ACEITE P230,757"/>
        <s v="22410-13251 SOPORTE (B) 22C-C230"/>
        <s v="22410-13530 SUJETADOR CUCHILLA C230-22C"/>
        <s v="EMPAQUE DIFUSOR ES726"/>
        <s v="22901-31000 MANGUERA DE SUCCION GP450"/>
        <s v="SUETADOR DE TANQUE DM6110"/>
        <s v="28820-08000 CABEZAL NYLON SPEED-FEED"/>
        <s v="3014111 FILTRO DE TANQUE ES726"/>
        <s v="37019-63170 SOPORTE (B) BP35"/>
        <s v="38490-18 BARRA 18 PROLITE D 0.816"/>
        <s v="38500-32010 CUBIERTA DE CILINDRO C230-ES726"/>
        <s v="38500-82130 CUBIERTA FILTRO AIRE ES726"/>
        <s v="KIT MOTOR RECONSTRUC B450"/>
        <s v="FILTRO DE AIRE M230-M231"/>
        <s v="JUEGO DE AGUJAS B530"/>
        <s v="62035-12111 CILINDRO B530"/>
        <s v="62035-12120 EMPAQUE CILINDRO B530"/>
        <s v="CA EMPAQUE SILENCIADOR B530"/>
        <s v="62035-31110 CUBIERTA DE VENTILADOR B530"/>
        <s v="CA TAMBOR EMBRAGUE B530"/>
        <s v="62035-31310 PLACA UNION B530"/>
        <s v="62035-32112 CUBIERTA CILINDRO B530"/>
        <s v="ANILLOS PISTON B530"/>
        <s v="CA CIGUENAL B530"/>
        <s v="TAMBOR ARRANCADOR B530"/>
        <s v="62035-81013 CARBURADOR B530"/>
        <s v="62035-81310 EMPAQUE B CARBURADOR B530"/>
        <s v="62035-82121 FILTRO AIRE B530"/>
        <s v="62035-82330 EMPAQUE (A) CARBURADOR B530."/>
        <s v="CA PLACA FILTRO B530"/>
        <s v="CA CABLE B530"/>
        <s v="62035-85360 PROTECTOR DEL TANQUE B530"/>
        <s v="62064-81011 CARBURADOR COMPLETO C230"/>
        <s v="62074-12120 EMPAQUE CILINDRO C270"/>
        <s v="62104-32321 CUBIERTA, SILENCIADOR B45LA-C35LA    "/>
        <s v="62809-12111 CILINDRO C230-HT230"/>
        <s v="CARCASA CAJA DE ENGRANAJES B450 B530 C350"/>
        <s v="63901-63022 CAJA DE ENGRANAJE C230"/>
        <s v="64000-66311 PROTECTOR DESPOJO COMP B450  B530"/>
        <s v="64007-64310 CABLE B530"/>
        <s v="64007-67011 ARNES COMPLETO"/>
        <s v="CIGUEÑAL  22F-22C-ES726"/>
        <s v="CA CARBURADOR 22F-22C"/>
        <s v="67001-62211 EJE FLEXIBLE 22F"/>
        <s v="CA AISLADOR CONDENSADOR ES726"/>
        <s v="68501-81490 AGUJA ES726"/>
        <s v="CUBIERTA VENTILADOR B45-B450"/>
        <s v="70030-71620 AISLADOR DE BOBINA B530-22F"/>
        <s v="EMPAQUETADURA DIAGRAG C270"/>
        <s v="TAMBOR DE EMBRAGUE BP35"/>
        <s v="CA CUERDA 22F-22C-C230"/>
        <s v="RESORTE EMBRAGUE C230-HT230"/>
        <s v="70140-81710 BASE FILTRO P230"/>
        <s v="70200-33112 BASE B45-B45LA-B450-C350"/>
        <s v="70200-71200 VOLANTE B450-C350"/>
        <s v="70200-71610 BOBINA B450-C350-C35LA-B45LA"/>
        <s v="70210-12111 CILINDRO B450"/>
        <s v="70210-15212 EMPAQUE, SILENCIADOR B45-B450-C350-BP35                               "/>
        <s v="CARBURADOR B450-C350"/>
        <s v="70210-83110 CABLE B450-C350"/>
        <s v="EMPAQUETADURA-DIAF C350"/>
        <s v="70870-98020 PISTON KIT C230-ES726-HT230"/>
        <s v="70870-98030 KIT DE VALVULAS HT230"/>
        <s v="713545 ARNES"/>
        <s v="CAJA DE ENGRANAJE BP35"/>
        <s v="BOQUILLA UN-10-UN-32"/>
        <s v="MANUBRIO BP 35"/>
        <s v="72051-98011 PISTON KIT C350-C35LA-BP35"/>
        <s v="CAJA DE ENGRANAJES SEMCOMP B45LA"/>
        <s v="72080-98011 PISTON KIT B45-B45LA"/>
        <s v="72080-98020 EMPAQUETADURA DIAF B45-B45LA"/>
        <s v="CA PROBADOR DE PRESION DE PRESION"/>
        <s v="AMORTIGUADOR 577-757"/>
        <s v="72447-13121 RETENEDOR B530-B450-C350-B45"/>
        <s v="MANUBRIO C270"/>
        <s v="72451-14570 CABLE COMPLETO C350"/>
        <s v="72481-98310 KIT MOTOR RECONSTRUC. C230"/>
        <s v="72550-82120 CONECTOR ACELERADOR B450-B530-C350"/>
        <s v="CA UNIDAD ELECTRONICA BP35-B45"/>
        <s v="72LG0-105X CADENA 32&quot; 3/08 0.5"/>
        <s v="72LG0-84X CADENA 3/8 0.5"/>
        <s v="73DP-98X CADENA, 30 3/8&quot;, 058&quot;"/>
        <s v="CABEZAL SPEED FEED 375 PARA C230, T230"/>
        <s v=" EMPAQUE TAPA ES726"/>
        <s v="CA KIT DE REPARACION BOMBA ES726"/>
        <s v="80256 AGUJA KIT KWIK ES726"/>
        <s v="80360 EXHIBIDOR"/>
        <s v="CA CABEZAL METALICO EMPACADO"/>
        <s v="80424 DISCO MAXI BLADE 9"/>
        <s v="CA DISCO DE ACERO 4 PUNTAS"/>
        <s v="80771 DISCO ACERO 10; 3 DIENTES"/>
        <s v="CA ROLLO HILO NYLON 0.105&quot; 12.2M (2.7MM)"/>
        <s v="ROLLO NYLON AZUL (460MT) 0.130&quot;"/>
        <s v="MANGUERA ES726"/>
        <s v="PISTOLA HZ-20GT 88421 "/>
        <s v="8890802 AMORTIGUADOR ES726"/>
        <s v="CADENA 8&quot; 3/8&quot; 0.43&quot;     90SG-033X "/>
        <s v="CA BARRA 24 050 9214D-24 "/>
        <s v="AISLADOR CONDENS C230"/>
        <s v="ACEITE BARRA CADENA PREMIUM 99909-551"/>
        <s v="ACEITE SHINDAIWA PREMIUM 2TIEMPOS 1LT"/>
        <s v="CORTARAMAS P230EPA"/>
        <s v="CABLE BUJIA"/>
        <s v="HILO NYLON 0.095  09510&quot;"/>
        <s v="HILO NYLON 0.105&quot; 10510"/>
        <s v="HILO NYLON 0.130  13010&quot;"/>
        <s v="DISCO PARA ORILLADORA 7 3/4 80419&quot;"/>
        <s v="DISCO TORNADO 9 12 DIENTES LP12-9&quot;"/>
        <s v="CUCHILLA CORBATIN"/>
        <s v="DISCO TORNADO 9 6 DIENTES LP6-9&quot;"/>
        <s v="DISCOS VIDIA 9&quot;;DISCOS VIDIA 9&quot;&quot;"/>
        <s v="GAFAS SHINDAIWA"/>
        <s v="MASCARILLA LENTES OREJERAS"/>
        <s v="CASCO CON VISERA GRANDE TOMATE"/>
        <s v="CORTASETOS HT230/40"/>
        <s v="PODADORA DE ALTURA  P231"/>
        <s v="ROLLO NYLON AZUL (700MT)0.105&quot;"/>
        <s v="UN-32 CABEZAL PRO-MATIC CON PERNOS "/>
        <s v="SO-00.71.237A RESORTE DE EMBRAGUE MD-117-121-129"/>
        <s v="ARO DEL PISTON MD 135"/>
        <s v="SO-20.48.121 FILTRO DE AIRE MOD.117/121/129"/>
        <s v="SO-20.48.346 ARO DEL PISTON MOD.129/130"/>
        <s v="SO-20.48.377 ARO DEL PISTON MOD.432/433 "/>
        <s v="SO-20.63.372 JUNTA MD. 433/432"/>
        <s v="SO-20.74.113 TAPA DE FILTRO MOD. 117-121.129"/>
        <s v="21171-2157 BOBINA ELECTRONICA MD 135"/>
        <s v="BOBINA MOD. 134/140/141"/>
        <s v="SO-33.00.194 CASQUILLO DE COJINETE MOD. 369/645/"/>
        <s v="BANDA A-35"/>
        <s v="SO-60.63.322 TUBO MOD. 450"/>
        <s v="69.00.653 POLYMATIC MD. 140/142/154"/>
        <s v="MOTOR 3HP TEMCO 1800RPM 110/220V  "/>
        <s v="MOTOR 2HP TEMCO 3600RPM 110/220V "/>
        <s v="BOMBA HIDRONEUMATICA 2 HP"/>
        <s v="MOTOR 7.5HP TEMCO 1800RPM 220V "/>
        <s v="MOTOR 10HP TEMCO 1800RPM 220V "/>
        <s v="SHREDDER BLADE 1756904"/>
        <s v="BELT V 1762636"/>
        <s v="TAMPER 1771392"/>
        <s v="WHEEL 1771495"/>
        <s v="WHEEL-NEW HUB CHIP/VAC 1901748"/>
        <s v="FLAP SAFETY 1902656"/>
        <s v="LOWER HANDLEBAR 1902802001"/>
        <s v="QUADRANT INNER 1903417"/>
        <s v="BELT DRIVE 1908749"/>
        <s v="BELT-V NGMM 1909946"/>
        <s v="SEAL-OIL WHEELSHAFT 9621"/>
        <s v="BELT FLAT 97075"/>
        <s v="BOMBA FRENO S-60/35/TL-TM135"/>
        <s v="GEAR-WORM"/>
        <s v="CA EMPAQUE CARBURADOR B530"/>
        <s v="VIBROAPISONADOR  SUBARU SRU66 1106654"/>
        <s v="LAVADORA WOBBLE"/>
        <s v="MOTOR ELECTRICO MONOFASICO 110/220V 3HP 1750RPM "/>
        <s v="BOMBA ZM 51 MAXXI"/>
        <s v="BOMBA ZM 76 MAXXI"/>
        <s v="JUEGOS O RINGS ZM-44"/>
        <s v="JUEGOS O RINGS ZM 51"/>
        <s v="CILINDROS ZM 44"/>
        <s v="VALVULAS (XEQUE) ZM 51"/>
        <s v="VALVULAS (XEQUE) ZM-44"/>
        <s v="GUIA DE HASTE ZM-44/51"/>
        <s v="APOYO DE LOS CUEROS ZM 51"/>
        <s v="APOYO DE LOS CUEROS ZM-44"/>
        <s v="SEPARADOR DE CUEROS ZM 51"/>
        <s v="SEPARADOR DE CUEROS ZM-44"/>
        <s v="ASTA DE ZM-44"/>
        <s v="CAJA VALVULAS ENTRADAS ZM-51"/>
        <s v="BIELA OVAL ZM-51"/>
        <s v="BIELA OVAL ZM-44"/>
        <s v="ANEL RODAMIENTO BIELA ZM-51"/>
        <s v="ANEL RODAMIENTO BIELA ZM-44"/>
        <s v="PROTECTOR DE PISTON ZM-51"/>
        <s v="PROTECTOR DE PISTON ZM-44"/>
        <s v="CAJA VALVULAS SALIDA ZM-51"/>
        <s v="BOMBA ZM 95 MAXXI"/>
        <s v="RUEDA PARA ZM 51 1.80X0.18 "/>
        <s v="RUEDA PARA ZM 76 2.00X0.35"/>
        <s v="RUEDA PARA ZM 51 1.80X0.25"/>
        <s v="RUEDA PARA ZM 44 1.00X0.15"/>
        <s v="CABALLETE PARA ZM 44"/>
        <s v="LAVADORA HIDROMAXXI 22L"/>
        <s v="CABALLETE PARA ZM 51"/>
        <s v="RUEDA PARA ZM 95 2.00X0.50 CON EJE INDEPENDIENTE "/>
        <s v="CILINDROS ZM 76"/>
        <s v="RUEDA PARA ZM 95 2.00X0.35  "/>
        <s v="CABALLETE PARA ZM 95 "/>
        <s v="VALVULA PARA ZM 76 MAXXI"/>
        <s v="CUERO PARA ZM 76 MAXXI"/>
        <s v="RUEDA PARA ZM 95 2.00X0.50 PARA EJE SUPERIOR"/>
        <s v="JUEGO CILINDROS ZM 95 MAXXI"/>
        <s v="JUEGO DE CUEROS ZM 95 MAXXI"/>
        <s v="JUEGO O RINGS ZM-95 MAXXI"/>
        <s v="JUEGOS O RINGS ZM 76"/>
        <s v="JUEGO DE CUEROS ZM 51 MAXXI"/>
        <s v="SEPARADOR DE CAMISA ZM-44 MAXXI"/>
        <s v="JUEGO DE CUEROS ZM 44 MAXXI"/>
        <s v="JUEGO CILINDROS ZM 76"/>
        <s v="JUEGO CILINDROS ZM 51"/>
        <s v="JUEGO CILINDROS ZM 44"/>
        <s v="JUEGO DE CUEROS ZM 76"/>
        <s v="MANOMETRO DE GLICERINA"/>
        <s v="REDUCTOR  MOTOR A GASOLINA"/>
        <s v="BROCA METAL DORADA"/>
        <s v="CUCHILLA TUPI RC005A"/>
        <m u="1"/>
        <s v="ETIQUETA AGROTAFOL SUPER X KILO" u="1"/>
        <s v="LLAVE MIXTA 13MM 86-858" u="1"/>
        <s v="SARGENT X 250 ML" u="1"/>
        <s v="ANILLO RETENEDOR" u="1"/>
        <s v="JUEGO ANILLO PISTON C350-BP35" u="1"/>
        <s v="TAMBOR EMBRAGUE COMPLETO 757" u="1"/>
        <s v="TUBO ACORDEON DM6110" u="1"/>
        <s v="TAMBOR EMBRAGUE B530" u="1"/>
        <s v="BISPIRIBAC SODIUM 40% SC X 100 ML" u="1"/>
        <s v="CIGUENAL C270" u="1"/>
        <s v="CAJA DE ENGRANAJE" u="1"/>
        <s v="72330-98010 PISTON COMPLETO 757" u="1"/>
        <s v="22169-41210 JUEGO ANILLO DEL PISTON 757" u="1"/>
        <s v="22000-92157 DISCO 8&quot; 30 DIENTES" u="1"/>
        <s v="80187 JUEGO, GUIAS DE RETENEDOR" u="1"/>
        <s v="MICROELEEMENTOS SOLUBLES + AMINOACIDOS" u="1"/>
        <s v="ACEITE LIMPIADOR RED ARMOR FD 2T" u="1"/>
        <s v="CILINDRO 757" u="1"/>
        <s v="METSULFURON METYL 600 GL/LT" u="1"/>
        <s v="88057 DISCO C6" u="1"/>
        <s v="JUEGO TORQUIMETRO" u="1"/>
        <s v="2011682 PALETA DE LA BOMBA BVIN-185" u="1"/>
        <s v="4550460 BOQUILLA ES726" u="1"/>
        <s v="AMOLADORA" u="1"/>
        <s v="4573040 BOMBA COMPLETA ES726" u="1"/>
        <s v="JUEGO DE LLAVEZ MIXTAS CV8-19MM" u="1"/>
        <s v="TENSOACTIVO HUMECTANTE X 100 ML" u="1"/>
        <s v="SULFATO DE COBRE + AMINOACIDOS" u="1"/>
        <s v="80425 DISCO 8&quot; (NO USAR) " u="1"/>
        <s v="CA TAMBOR DE EMBRAQUE B450-B45" u="1"/>
        <s v="KT MOTOR RECONSTRUC B450" u="1"/>
        <s v="22017-12410 EJE CENTRAL C35LA" u="1"/>
        <s v="70012-35130 TAPA DE LA UNION B450" u="1"/>
        <s v="ESPATULA AC. 2 #28-081&quot;" u="1"/>
        <s v="PROPAMAC X GL" u="1"/>
        <s v="05.001159 RESORTE DE LA TAPA (PICADORA)" u="1"/>
        <s v="HERRAMIENTA PROBADOR DE PRESION D" u="1"/>
        <s v="ACC. PARA PULVERIZADOR (SOLIDOS) DMAD461" u="1"/>
        <s v="72550-82120 CONECTADOR B450-B530-C350" u="1"/>
        <s v="62035-82330 EMPAQUE A CARBURADOR B530" u="1"/>
        <s v="ESPARRAGO GUIA BARRA  CS3000" u="1"/>
        <s v="CABEZAL SPEED FEED CURVED SHAFT" u="1"/>
        <s v="3013172 ALMOHADILLA ES726" u="1"/>
        <s v="JUEGO ANILLOS PISTON B450" u="1"/>
        <s v="12415905530 TORNILLO" u="1"/>
        <s v="CILINDRO DE GAS" u="1"/>
        <s v="CILINDRO CS-680" u="1"/>
        <s v="88051 DISCO D3" u="1"/>
        <s v="AGROVERDOL X 5 GAL|" u="1"/>
        <s v="LLAVE MIXTA 8.0MM 86-853" u="1"/>
        <s v="64000-66311 PROTECT DESPOJO COMP B450-C3" u="1"/>
        <s v="JUNTA TORICA" u="1"/>
        <s v="SUJETADOR C230-ES726" u="1"/>
        <s v="POWER PLEX X 5 LT" u="1"/>
        <s v="LETAL  500 ML" u="1"/>
        <s v="22410-13210 EJE DE ENGRANAJE C230" u="1"/>
        <s v="CA AISLADOR  ES726" u="1"/>
        <s v="72441-16003 PROTECTOR DESPOJO C350" u="1"/>
        <s v="88054 DISCO D6" u="1"/>
        <s v="MANUBRIO TUBO B450 B530 C350" u="1"/>
        <s v="JUEGO DE MACHUELO 1/4 20 3 PIEZAS&quot;" u="1"/>
        <s v="60119-98310 KIT MOTOR RECONSTR B45LA" u="1"/>
        <s v="ENSILADORA EC 5000" u="1"/>
        <s v="LLAVES DE PASO BP-35" u="1"/>
        <s v="COJINETE 22F" u="1"/>
        <s v="20870-33120 PERILLA DE FILTRO B530-HT230" u="1"/>
        <s v="PALANCA GATILLO B45-C35LA-B45LA" u="1"/>
        <s v="ZULLY X 60" u="1"/>
        <s v="13031303710 CUBIERTA DEL FILTRO DE AIRE" u="1"/>
        <s v="TOKAL 400 X 500 ML" u="1"/>
        <s v="CICLON PARA DP1 SIN ELEVADOR       " u="1"/>
        <s v="JUEGO LIMA JOYERO 10 PIEZAS" u="1"/>
        <s v="DESTORNILLADOR PARA CALIBRAR CARBURADOR" u="1"/>
        <s v="EMBRAGUE COMPLETO C230" u="1"/>
        <s v="72432-13240 SOPORTE A C230" u="1"/>
        <s v="DADO STY 1/2-1/4 86-384" u="1"/>
        <s v="20024-75220 TRINQUETE B45LA-B530-C350" u="1"/>
        <s v="20040-81680 RESORTE MEMBRANA B450-C350-C" u="1"/>
        <s v="ETIQUETA SKEKURA X250 ML" u="1"/>
        <s v="RESORTE DEL EMBRAGUE 488" u="1"/>
        <s v="80025 TUBO COMP CON ETIQUETA B450" u="1"/>
        <s v="BUTACLOR X LT" u="1"/>
        <s v="FILT COMB. GP 243190601" u="1"/>
        <s v="MANGUERA DE AGUA 10  M, 1 1/2&quot; VERDE" u="1"/>
        <s v="LLAVE MIXTA 14 MM ·#86-859" u="1"/>
        <s v="TANQUE QUIMICA SHP800" u="1"/>
        <s v="PLACA MANGA 757" u="1"/>
        <s v="9701201 ANILLO ES726" u="1"/>
        <s v="BOMBA DE ACEITE CS8000" u="1"/>
        <s v="4502640 LANZA MANGO ES726" u="1"/>
        <s v="16-16-12+ B X 200 LTS" u="1"/>
        <s v="VALVULA PROSION SHP-800" u="1"/>
        <s v="SOPORTE B C270" u="1"/>
        <s v="ARRANCADOR COMPLETO C270" u="1"/>
        <s v="22410-17202 ARNES C230-22C" u="1"/>
        <s v="80728 DISCO DE ACERO 4 PUNTAS" u="1"/>
        <s v="20055-81004 CARBURADOR COMPLETO BP35" u="1"/>
        <s v="TRINQUETE SRM270,C350,B530" u="1"/>
        <s v="9402011T CONJUNTO DE LA VALVULA DE AJUST" u="1"/>
        <s v="9214D-24 BARRA 24 050 D 009" u="1"/>
        <s v="C022000120 BOMBA DE ACEITE P230" u="1"/>
        <s v="TOKAL  400 X 100 ML" u="1"/>
        <s v="22015-13270 PROTECTOR PERNO B45-B450-B53" u="1"/>
        <s v="9401109 CONJUNTO DE TETERAS PARA CABRA &quot;;9401109 CONJUNTO DE TETERAS PARA CABRA &quot;&quot;" u="1"/>
        <s v="MANGURTA ATOXICA CRISTAL 15.5X26" u="1"/>
        <s v="CAUTIN" u="1"/>
        <s v="ETIQUETA AMINO FISH X LITRO" u="1"/>
        <s v="TAPON BOMBA SHP800" u="1"/>
        <s v="CA PISTON JUEGO COMPLETO 488" u="1"/>
        <s v="DIFENOCONAZOLE 25 % EC" u="1"/>
        <s v="JUEGO ANILLO PISTON B45-B45L" u="1"/>
        <s v="22015-13241 SOPORTE A B450-C350-B45-B530" u="1"/>
        <s v="BOBINA COMPLETA C230-P230" u="1"/>
        <s v="ETIQUETA AGROTAFOL INICIAL X KILO" u="1"/>
        <s v="JUEGO ANILLO PISTON C230-HT2" u="1"/>
        <s v="72080-98011 PISTON JUEGO COMP. B45-B45LA" u="1"/>
        <s v="LLAVE MIXTA 8.00MM 86-833" u="1"/>
        <s v="16-16-12  + B X LITRO" u="1"/>
        <s v="AGROTAFOL AC-105 X LT" u="1"/>
        <s v="EMPAQUE AISLADOR (A) B530" u="1"/>
        <s v="LLAVE T 4mm" u="1"/>
        <s v="BOBINA DE ENCENDIDO HC 150" u="1"/>
        <s v="ABRAZADERA" u="1"/>
        <s v="CARBENDAZIM 50 % WP X 200 GMS" u="1"/>
        <s v="SPEED FEED 375 CABEZAL" u="1"/>
        <s v="PISTON B530" u="1"/>
        <s v="TRACTOR CRAFTSMAN LT 1500/17.5HP" u="1"/>
        <s v="ASTA DE ZM 51" u="1"/>
        <s v="ETIQUETA VIRUS STOP X 250 ML" u="1"/>
        <s v="ACEITERO" u="1"/>
        <s v="CUBOS DE RACHET JFO 1/2 25 PCS&quot;" u="1"/>
        <s v="DADO/BUJIA 1/213/16 # 86-581" u="1"/>
        <s v="20055-81120 TAPA CARBURADOR C350-B450" u="1"/>
        <s v="72051-98011 PISTON COMP C350-C35LA-BP35" u="1"/>
        <s v="BARRA CS-420ES" u="1"/>
        <s v="EMPAQUE DE SILENCIADOR B530" u="1"/>
        <s v="ALG - VIRABLOCK X LT" u="1"/>
        <s v="22160-72220 CAPUCHON 488" u="1"/>
        <s v="9216D-32 BARRA 3/8 050 D 009" u="1"/>
        <s v="CABEZAL DEL EMBRAGUE C230-B450-B530" u="1"/>
        <s v="901018 ARNES" u="1"/>
        <s v="4048451 ASIENTO DE VALVULA ES726" u="1"/>
        <s v="CABLE DEL ACELERADOR M230 P230 P231" u="1"/>
        <s v="JUEGO DADOS STANLEY" u="1"/>
        <s v="CA TUBERIA PRINCIPAL EB500" u="1"/>
        <s v="EJE B COMPLETO P230" u="1"/>
        <s v="ENGRANAJE SIN FIN 577" u="1"/>
        <s v="MOTOR GASO 4 HP EJE RECTO" u="1"/>
        <s v="ESPARCIDORA ABONADORA SEMBRA 600P" u="1"/>
        <s v="72441-12100 TUBO EXTERIOR C270" u="1"/>
        <s v="PERNO 6X25CC UNION B530" u="1"/>
        <s v="RIDONATE X 500 ML" u="1"/>
        <s v="LLAVE TORX 8 PIEZAS" u="1"/>
        <s v="ORTOFOSFATO 20% + AMINIO ACIDOS X LITRO" u="1"/>
        <s v="22015-13220 PINON HUECO B45-B450-B530-C3" u="1"/>
        <s v="BANDA B-66" u="1"/>
        <s v="MICROMAR BORO X LT" u="1"/>
        <s v="TUERCA BRIDA CS680" u="1"/>
        <s v="CUBIERTA SILENCIADOR 577" u="1"/>
        <s v="LLAVE EXAG/ALEN 8PZS 69-264" u="1"/>
        <s v="ANILLO DE PISTON HC-150" u="1"/>
        <s v="4044231 FILTRO MALLA ES726" u="1"/>
        <s v="CA TAMBOR EMBRAGUE COMPLETO C350" u="1"/>
        <s v="KIT MOTOR RECONSTRUC C270" u="1"/>
        <s v="PISTON 488" u="1"/>
        <s v="20112-81530 EMPAQUE CARBURADOR ES726" u="1"/>
        <s v="ABRAZADERA COMPLETA 22C-C230" u="1"/>
        <s v="ESMERIL DE BANCO 1/3 HP" u="1"/>
        <s v="JGO. DADOS 25PZA. SAE#86736" u="1"/>
        <s v="BOQUILLA AJUSTABLE" u="1"/>
        <s v="ARANDELA PRESION C230,P230,C350,B45,B450" u="1"/>
        <s v="COJINETE 577-757" u="1"/>
        <s v="62035-41210 PERNO DE PISTON B530" u="1"/>
        <s v="70140-81760 TAPA DE FILTRO T230" u="1"/>
        <s v="COMPRESOR 2HP DONOJONO" u="1"/>
        <s v="ANILLO DE RETENCION B45-488" u="1"/>
        <s v="PRO ALICATE PRESION CURVO 10 95IB84378&quot;" u="1"/>
        <s v="22901-31000 MANGUERA DE SUCCION GP25" u="1"/>
        <s v="72933-75120 TAMBOR C230" u="1"/>
        <s v="P021028790 MONTAJE DE CAJA ENGRANAJE" u="1"/>
        <s v="20140-75130 RESORTE ARRANCADOR 22C-C230-P230" u="1"/>
        <s v="HILO NYLON 0.105&quot;  10510" u="1"/>
        <s v="MOTOSIERRA CS-8002-60 CON BARRA Y CADENA" u="1"/>
        <s v="90SG-033X CADENA 8 3/8&quot;; 0.43&quot;" u="1"/>
        <s v="BACTER STOP X 500 KG" u="1"/>
        <s v="CIGUENAL C230-P230-ES726" u="1"/>
        <s v="ETIQUETA CIROMAZINA X 50 GMS  DEL (AGROT" u="1"/>
        <s v="QUELATO DE ZN + AZUFRE + AC. HUMICOS" u="1"/>
        <s v="ANILLOS PISTON, KIT SHP800  EDR210" u="1"/>
        <s v="63019-63010 CAJA DE ENGRANAJE COMP B530" u="1"/>
        <s v="LLAVE DE BUJIA 19MM" u="1"/>
        <s v="TAMBOR ARRANCADOR SRM4300" u="1"/>
        <s v="70602067820 RETENEDOR DE RESORTE" u="1"/>
        <s v="ROTAVATOR 1,70 M LAVRALE" u="1"/>
        <s v=" ACELERADOR (A) B450,C350" u="1"/>
        <s v="ETIQUETA CIROMAZINA X 50 GMS DEL  (F. A." u="1"/>
        <s v="70870-98020 PISTON COMP C230-ES726-HT230" u="1"/>
        <s v="CAJA COMBO DESARROLLO" u="1"/>
        <s v="TAMBOR B530" u="1"/>
        <s v="COJINETE C350-B450" u="1"/>
        <s v="CUBIERTA, FILTRO DE AIRE" u="1"/>
        <s v="DESTORNILLADOR DOBLE PUNTA" u="1"/>
        <s v="ADAPTADOR UN10,B450,B530,C350" u="1"/>
        <s v="ETIQUETA MOSKAFIN X 100 GMS" u="1"/>
        <s v="DESARMADORES DE GOLPE 7 PZ" u="1"/>
        <s v="LLAVE DE BUJIA B530,B450,C350" u="1"/>
        <s v="CAJA VALVULAS SALIDA ZM-44" u="1"/>
        <s v="JUEGO ANILLO  B530" u="1"/>
        <s v="SOPORTE B SRM 270" u="1"/>
        <s v="20019-83410 EMPAQUETADURA" u="1"/>
        <s v="ARCO DE SIERRA ALUMINIO " u="1"/>
        <s v="SEGURO ZEGER CAJA ENGRANAJE C230" u="1"/>
        <s v="JUEGO DE MACHUELOS 5MM 0.8 3 PIEZAS" u="1"/>
        <s v="DESTORNILLADOR P/RELOJERO 6PZS AL K2219X" u="1"/>
        <s v="4567930 CAJA DE ENGRANAJE ES726" u="1"/>
        <s v="ROLLO HILO NYLON 0.105&quot; 12.2M (2.7MM)" u="1"/>
        <s v="AISLADOR DE ADMICION CS680" u="1"/>
        <s v="CEPILLO ACERO 6PZS. 880204 DORADO" u="1"/>
        <s v="20016-85400 FILTRO COMBUSTIBLE 22F-C230" u="1"/>
        <s v="TAPA DE COMBUSTIBLE B530,B450,C350,C230" u="1"/>
        <s v="CORTACETOS HC-150 20&quot;" u="1"/>
        <s v="62035-81013 CARBURADOR COMP. B530" u="1"/>
        <s v="KRESOBY X 500CC (ML)" u="1"/>
        <s v="05.001491 DEIDO DUPLO (0816-00 - VV)" u="1"/>
        <s v="COLLAR CAJA DE ENGRANAJE C230,T230XR" u="1"/>
        <s v="BOQUILLA COMPLETA DM6110" u="1"/>
        <s v="82067A UN-10 CABEZAL NYLON (SIN EMPAQUE)" u="1"/>
        <s v="CAJA DE ENGRANAJES B450-B45L" u="1"/>
        <s v="4575740 TAPA DEL TANQUE ES726" u="1"/>
        <s v="JUEGO TARRAJA - MACHUELO 25 PIEZAS" u="1"/>
        <s v="BOMBA ZM 44 MAXXI" u="1"/>
        <s v="KIT MOTOR RECONSTRUC B530" u="1"/>
        <s v="ETIQUETA SINOMITE X 100 ML" u="1"/>
        <s v="HUMITREX X LT" u="1"/>
        <s v="CHISPERO" u="1"/>
        <s v="CALIBRADOR" u="1"/>
        <s v="JUEGO DE LIMAS 8 5 PIEZAS&quot;" u="1"/>
        <s v="CAJA DE ENGRANAJES COMP.B450" u="1"/>
        <s v="JUEGO DE MACHUELOS 3/16 24 3 PIEZAS&quot;" u="1"/>
        <s v="72334-98010 PISTON COMPLETO 577" u="1"/>
        <s v="88056 DISCO B7" u="1"/>
        <s v="FILAMENTO 5LB.105&quot; REDONDO NYL" u="1"/>
        <s v="BROCA EDR210" u="1"/>
      </sharedItems>
    </cacheField>
    <cacheField name="GRUPO" numFmtId="0">
      <sharedItems containsBlank="1" count="93">
        <s v="TERMINADO "/>
        <s v="AA (No Aplica)"/>
        <s v="IMPLEMENTOS "/>
        <s v="REPUESTOS DESMALEZADORA"/>
        <s v="ACCESORIOS MOTOCULTORES "/>
        <s v="BOMBAS DE AGUA "/>
        <s v="DESMALEZADORA"/>
        <s v="MAQUINA DE TALLER "/>
        <s v="ACCESORIOS WHEELED TRIMMERS"/>
        <s v="ACCESORIOS CHIPPER/SHEDDERS"/>
        <s v="CHIPPER/SHEDDERS"/>
        <s v="MAQUINARIA"/>
        <s v="MATERIA PRIMA "/>
        <s v="LUV DMAX CAMIONETA"/>
        <s v="MATERIA PRIMA"/>
        <s v="MOTOR ELETRICO"/>
        <s v="MOTORES "/>
        <s v="REPUESTOS MOLINOS PICADORES "/>
        <s v="REPUESTOS COSECHADORAS"/>
        <s v="REPUESTOS ESPARCIDORAS "/>
        <s v="REPUESTOS ENSILADORAS "/>
        <s v="DESGRANADORAS"/>
        <s v="ENSILADORAS"/>
        <s v="MOLINOS PICADORES "/>
        <s v="REPUESTOS TRITURADORES "/>
        <s v="ACCESORIOS PICADORA "/>
        <s v="MOTOR GASOLINA"/>
        <s v="MEZCLADORAS"/>
        <s v="POLEAS"/>
        <s v="ACCESORIOS MOLINOS PICADORES "/>
        <s v="REPUESTOS PICADORA "/>
        <s v="ELECTRODOMESTICOS"/>
        <s v="MUEBLES"/>
        <s v="ACCESORIOS BOMBA DE FUMIGACION"/>
        <s v="ACCESORIOS DESMALEZADORA"/>
        <s v="REPUESTOS MOTOSIERRAS "/>
        <s v="REPUESTOS PODADORAS DE ALTURA "/>
        <s v="REPUESTO BOMBA DE FUMIGACION"/>
        <s v="REPUESTOS NEBULIZADORA. PULVERIZADORA Y ESPOLVEADORA"/>
        <s v="REPUESTOS TALADRO MOTORIZADO"/>
        <s v="ACCESORIOS MOTOSIERRAS"/>
        <s v="ACCESORIOS"/>
        <s v="ACCESORIOS PODADORAS DE ALTURA "/>
        <s v="GRASAS"/>
        <s v="REPUESTOS CORTASETOS "/>
        <s v="HERRAMIENTAS VENTA "/>
        <s v="MOTOSIERRAS"/>
        <s v="PUBLICIDAD"/>
        <s v="ACEITES"/>
        <s v="ACCESORIOS TALADRO MOTORIZADO"/>
        <s v="REPUESTOS SOPLADORAS "/>
        <s v="REPUESTOS MAQ MULTIUSOS"/>
        <s v="NEBULIZADORA. PULVERIZADORA Y ESPOLVEADORA"/>
        <s v="ACCESORIOS NEBULIZADORA. PULVERIZADORA Y ESPOLVEADORA"/>
        <s v="SOPLADORAS"/>
        <s v="TALADRO MOTORIZADO"/>
        <s v="BOMBA DE FUMIGACION"/>
        <s v="CORTASETOS "/>
        <s v="MAQ MULTIUSOS"/>
        <s v="PODADORAS DE ALTURA "/>
        <s v="BOMBAS DE AGUA"/>
        <s v="MOTOCULTORES "/>
        <s v="TERMINADO"/>
        <s v="MAQUINARIA HUESO"/>
        <s v="REPUESTOS MOTOCULTORES "/>
        <s v="GENERADORES"/>
        <s v="ACCESORIOS ENSILADORAS "/>
        <s v="BANDAS"/>
        <s v="ACCESORIOS ORDENOS MECANICOS"/>
        <s v="REPUESTOS ORDENOS MECANICOS "/>
        <s v="ESPARCIDORAS "/>
        <s v="ACCESORIOS COSECHADORAS"/>
        <s v="ACCESORIOS TRITURADORES "/>
        <s v="ORDENOS MECANICOS "/>
        <s v="MOTOR DIESEL"/>
        <s v="AGROQUIMICOS"/>
        <s v="ENVASES"/>
        <s v="ACCESORIOS MEZCLADORAS "/>
        <s v="ACCESORIOS TRAPICHES "/>
        <s v="ACEITES Y GRASA"/>
        <s v="VIBROAPISONADOR"/>
        <s v="REPUESTOS MOTORES "/>
        <s v="BOMBAS ZM"/>
        <s v="REPUESTOS BOMBAS ZM"/>
        <s v="ACCESORIOS BOMBAS ZM"/>
        <s v="ACCESORIOS BOMBAS DE AGUA "/>
        <s v="REPUESTOS BOMBAS DE AGUA"/>
        <s v="REPUESTOS TRACTORES"/>
        <m u="1"/>
        <s v="REPUESTOS BOMBAS DE AGUA " u="1"/>
        <s v="REPUESTO ZM" u="1"/>
        <s v="HERRAMIENTA" u="1"/>
        <s v="TRACTORES " u="1"/>
      </sharedItems>
    </cacheField>
    <cacheField name="LINEA" numFmtId="0">
      <sharedItems containsBlank="1" count="14">
        <s v="FUNGICIDAS"/>
        <s v="OTROS"/>
        <s v="AGROFORESTAL"/>
        <s v="AGROPECUARIA"/>
        <s v="AA (No Aplica)"/>
        <s v="ACTIVO FIJO"/>
        <s v="PRODUCCION"/>
        <s v="NUTRICIONAL"/>
        <s v="INSECTICIDAS"/>
        <s v="CONSTRUCCION"/>
        <s v="FIJADORES"/>
        <s v="HERBICIDAS"/>
        <s v="AGROQUIMICOS"/>
        <m u="1"/>
      </sharedItems>
    </cacheField>
    <cacheField name="COSTO" numFmtId="164">
      <sharedItems containsSemiMixedTypes="0" containsString="0" containsNumber="1" minValue="0" maxValue="20001"/>
    </cacheField>
    <cacheField name="EXISTENCIA" numFmtId="0">
      <sharedItems containsSemiMixedTypes="0" containsString="0" containsNumber="1" minValue="3.0000000000000001E-3" maxValue="14008"/>
    </cacheField>
    <cacheField name="COSTO TOTAL" numFmtId="164">
      <sharedItems containsSemiMixedTypes="0" containsString="0" containsNumber="1" minValue="0" maxValue="59016.42388600000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6">
  <r>
    <x v="0"/>
    <x v="0"/>
    <x v="0"/>
    <x v="0"/>
    <x v="0"/>
    <x v="0"/>
    <n v="1.35"/>
    <n v="2.0499999999999998"/>
    <n v="155"/>
    <n v="235"/>
    <n v="80"/>
    <n v="108"/>
  </r>
  <r>
    <x v="0"/>
    <x v="0"/>
    <x v="1"/>
    <x v="1"/>
    <x v="0"/>
    <x v="0"/>
    <n v="6.87"/>
    <n v="9.56"/>
    <n v="75"/>
    <n v="224"/>
    <n v="149"/>
    <n v="1023.63"/>
  </r>
  <r>
    <x v="0"/>
    <x v="0"/>
    <x v="2"/>
    <x v="2"/>
    <x v="0"/>
    <x v="0"/>
    <n v="6.87"/>
    <n v="9.56"/>
    <n v="95"/>
    <n v="205"/>
    <n v="110"/>
    <n v="755.7"/>
  </r>
  <r>
    <x v="0"/>
    <x v="0"/>
    <x v="3"/>
    <x v="3"/>
    <x v="0"/>
    <x v="0"/>
    <n v="8"/>
    <n v="11.96"/>
    <n v="116"/>
    <n v="143"/>
    <n v="27"/>
    <n v="216"/>
  </r>
  <r>
    <x v="0"/>
    <x v="0"/>
    <x v="4"/>
    <x v="4"/>
    <x v="0"/>
    <x v="0"/>
    <n v="8"/>
    <n v="11.96"/>
    <n v="122"/>
    <n v="126"/>
    <n v="4"/>
    <n v="32"/>
  </r>
  <r>
    <x v="0"/>
    <x v="0"/>
    <x v="5"/>
    <x v="5"/>
    <x v="0"/>
    <x v="0"/>
    <n v="6.87"/>
    <n v="9.56"/>
    <n v="79"/>
    <n v="126"/>
    <n v="47"/>
    <n v="322.89"/>
  </r>
  <r>
    <x v="0"/>
    <x v="0"/>
    <x v="6"/>
    <x v="6"/>
    <x v="0"/>
    <x v="0"/>
    <n v="6.87"/>
    <n v="9.56"/>
    <n v="94"/>
    <n v="118"/>
    <n v="24"/>
    <n v="164.88"/>
  </r>
  <r>
    <x v="0"/>
    <x v="0"/>
    <x v="7"/>
    <x v="7"/>
    <x v="0"/>
    <x v="0"/>
    <n v="6.87"/>
    <n v="9.56"/>
    <n v="43"/>
    <n v="64"/>
    <n v="21"/>
    <n v="144.27000000000001"/>
  </r>
  <r>
    <x v="0"/>
    <x v="0"/>
    <x v="8"/>
    <x v="8"/>
    <x v="0"/>
    <x v="0"/>
    <n v="8.66"/>
    <n v="13.6"/>
    <n v="52"/>
    <n v="101"/>
    <n v="49"/>
    <n v="424.34000000000003"/>
  </r>
  <r>
    <x v="0"/>
    <x v="0"/>
    <x v="9"/>
    <x v="9"/>
    <x v="0"/>
    <x v="0"/>
    <n v="8.66"/>
    <n v="13.6"/>
    <n v="101"/>
    <n v="189"/>
    <n v="88"/>
    <n v="762.08"/>
  </r>
  <r>
    <x v="0"/>
    <x v="0"/>
    <x v="10"/>
    <x v="10"/>
    <x v="0"/>
    <x v="0"/>
    <n v="12.51"/>
    <n v="19.8"/>
    <n v="22"/>
    <n v="60"/>
    <n v="38"/>
    <n v="475.38"/>
  </r>
  <r>
    <x v="0"/>
    <x v="0"/>
    <x v="11"/>
    <x v="11"/>
    <x v="0"/>
    <x v="0"/>
    <n v="12.51"/>
    <n v="19.8"/>
    <n v="33"/>
    <n v="47"/>
    <n v="14"/>
    <n v="175.14"/>
  </r>
  <r>
    <x v="0"/>
    <x v="0"/>
    <x v="12"/>
    <x v="12"/>
    <x v="0"/>
    <x v="0"/>
    <n v="12.51"/>
    <n v="19.8"/>
    <n v="17"/>
    <n v="24"/>
    <n v="7"/>
    <n v="87.57"/>
  </r>
  <r>
    <x v="0"/>
    <x v="0"/>
    <x v="13"/>
    <x v="13"/>
    <x v="0"/>
    <x v="0"/>
    <n v="8.32"/>
    <n v="13.51"/>
    <n v="49"/>
    <n v="105"/>
    <n v="56"/>
    <n v="465.92"/>
  </r>
  <r>
    <x v="0"/>
    <x v="0"/>
    <x v="14"/>
    <x v="14"/>
    <x v="0"/>
    <x v="0"/>
    <n v="10.53"/>
    <n v="15.38"/>
    <n v="11"/>
    <n v="90"/>
    <n v="79"/>
    <n v="831.87"/>
  </r>
  <r>
    <x v="0"/>
    <x v="0"/>
    <x v="15"/>
    <x v="15"/>
    <x v="0"/>
    <x v="0"/>
    <n v="10.53"/>
    <n v="15.38"/>
    <n v="21"/>
    <n v="85"/>
    <n v="64"/>
    <n v="673.92"/>
  </r>
  <r>
    <x v="0"/>
    <x v="0"/>
    <x v="16"/>
    <x v="16"/>
    <x v="0"/>
    <x v="0"/>
    <n v="10.53"/>
    <n v="15.38"/>
    <n v="18"/>
    <n v="83"/>
    <n v="65"/>
    <n v="684.44999999999993"/>
  </r>
  <r>
    <x v="0"/>
    <x v="0"/>
    <x v="17"/>
    <x v="17"/>
    <x v="0"/>
    <x v="0"/>
    <n v="17.07"/>
    <n v="24.94"/>
    <n v="16"/>
    <n v="43"/>
    <n v="27"/>
    <n v="460.89"/>
  </r>
  <r>
    <x v="0"/>
    <x v="0"/>
    <x v="18"/>
    <x v="18"/>
    <x v="0"/>
    <x v="0"/>
    <n v="17.07"/>
    <n v="24.94"/>
    <n v="14"/>
    <n v="39"/>
    <n v="25"/>
    <n v="426.75"/>
  </r>
  <r>
    <x v="0"/>
    <x v="0"/>
    <x v="19"/>
    <x v="19"/>
    <x v="0"/>
    <x v="0"/>
    <n v="17.07"/>
    <n v="24.94"/>
    <n v="9"/>
    <n v="37"/>
    <n v="28"/>
    <n v="477.96000000000004"/>
  </r>
  <r>
    <x v="0"/>
    <x v="0"/>
    <x v="20"/>
    <x v="20"/>
    <x v="0"/>
    <x v="0"/>
    <n v="6.38"/>
    <n v="11.02"/>
    <n v="13"/>
    <n v="73"/>
    <n v="60"/>
    <n v="382.8"/>
  </r>
  <r>
    <x v="0"/>
    <x v="0"/>
    <x v="21"/>
    <x v="21"/>
    <x v="0"/>
    <x v="0"/>
    <n v="6.38"/>
    <n v="11.02"/>
    <n v="19"/>
    <n v="24"/>
    <n v="5"/>
    <n v="31.9"/>
  </r>
  <r>
    <x v="0"/>
    <x v="0"/>
    <x v="22"/>
    <x v="22"/>
    <x v="0"/>
    <x v="0"/>
    <n v="1.05"/>
    <n v="2"/>
    <n v="1203"/>
    <n v="1220"/>
    <n v="17"/>
    <n v="17.850000000000001"/>
  </r>
  <r>
    <x v="0"/>
    <x v="0"/>
    <x v="23"/>
    <x v="23"/>
    <x v="0"/>
    <x v="0"/>
    <n v="4.66"/>
    <n v="7.25"/>
    <n v="357"/>
    <n v="840"/>
    <n v="483"/>
    <n v="2250.7800000000002"/>
  </r>
  <r>
    <x v="0"/>
    <x v="0"/>
    <x v="24"/>
    <x v="24"/>
    <x v="0"/>
    <x v="0"/>
    <n v="7.14"/>
    <n v="11.91"/>
    <n v="26"/>
    <n v="89"/>
    <n v="63"/>
    <n v="449.82"/>
  </r>
  <r>
    <x v="0"/>
    <x v="0"/>
    <x v="25"/>
    <x v="25"/>
    <x v="0"/>
    <x v="0"/>
    <n v="7.14"/>
    <n v="11.91"/>
    <n v="18"/>
    <n v="86"/>
    <n v="68"/>
    <n v="485.52"/>
  </r>
  <r>
    <x v="0"/>
    <x v="0"/>
    <x v="26"/>
    <x v="26"/>
    <x v="0"/>
    <x v="0"/>
    <n v="7.41"/>
    <n v="12.27"/>
    <n v="83"/>
    <n v="309"/>
    <n v="226"/>
    <n v="1674.66"/>
  </r>
  <r>
    <x v="0"/>
    <x v="0"/>
    <x v="27"/>
    <x v="27"/>
    <x v="0"/>
    <x v="0"/>
    <n v="7.41"/>
    <n v="12.27"/>
    <n v="108"/>
    <n v="279"/>
    <n v="171"/>
    <n v="1267.1100000000001"/>
  </r>
  <r>
    <x v="0"/>
    <x v="0"/>
    <x v="28"/>
    <x v="28"/>
    <x v="0"/>
    <x v="0"/>
    <n v="7.41"/>
    <n v="12.27"/>
    <n v="49"/>
    <n v="161"/>
    <n v="112"/>
    <n v="829.92000000000007"/>
  </r>
  <r>
    <x v="0"/>
    <x v="0"/>
    <x v="29"/>
    <x v="29"/>
    <x v="0"/>
    <x v="0"/>
    <n v="7.41"/>
    <n v="12.27"/>
    <n v="74"/>
    <n v="110"/>
    <n v="36"/>
    <n v="266.76"/>
  </r>
  <r>
    <x v="0"/>
    <x v="0"/>
    <x v="30"/>
    <x v="30"/>
    <x v="0"/>
    <x v="0"/>
    <n v="7.41"/>
    <n v="12.27"/>
    <n v="86"/>
    <n v="110"/>
    <n v="24"/>
    <n v="177.84"/>
  </r>
  <r>
    <x v="0"/>
    <x v="0"/>
    <x v="31"/>
    <x v="31"/>
    <x v="0"/>
    <x v="0"/>
    <n v="7.41"/>
    <n v="12.27"/>
    <n v="285"/>
    <n v="306"/>
    <n v="21"/>
    <n v="155.61000000000001"/>
  </r>
  <r>
    <x v="0"/>
    <x v="0"/>
    <x v="32"/>
    <x v="32"/>
    <x v="0"/>
    <x v="0"/>
    <n v="7.41"/>
    <n v="12.27"/>
    <n v="29"/>
    <n v="169"/>
    <n v="140"/>
    <n v="1037.4000000000001"/>
  </r>
  <r>
    <x v="0"/>
    <x v="0"/>
    <x v="33"/>
    <x v="33"/>
    <x v="0"/>
    <x v="0"/>
    <n v="7.41"/>
    <n v="12.27"/>
    <n v="66"/>
    <n v="125"/>
    <n v="59"/>
    <n v="437.19"/>
  </r>
  <r>
    <x v="0"/>
    <x v="0"/>
    <x v="34"/>
    <x v="34"/>
    <x v="0"/>
    <x v="0"/>
    <n v="7.41"/>
    <n v="12.27"/>
    <n v="89"/>
    <n v="115"/>
    <n v="26"/>
    <n v="192.66"/>
  </r>
  <r>
    <x v="0"/>
    <x v="0"/>
    <x v="35"/>
    <x v="35"/>
    <x v="0"/>
    <x v="0"/>
    <n v="7.41"/>
    <n v="12.27"/>
    <n v="222"/>
    <n v="476"/>
    <n v="254"/>
    <n v="1882.14"/>
  </r>
  <r>
    <x v="0"/>
    <x v="0"/>
    <x v="36"/>
    <x v="36"/>
    <x v="0"/>
    <x v="0"/>
    <n v="7.41"/>
    <n v="12.27"/>
    <n v="33"/>
    <n v="143"/>
    <n v="110"/>
    <n v="815.1"/>
  </r>
  <r>
    <x v="0"/>
    <x v="0"/>
    <x v="37"/>
    <x v="37"/>
    <x v="0"/>
    <x v="0"/>
    <n v="8.9"/>
    <n v="11.47"/>
    <n v="42"/>
    <n v="118"/>
    <n v="76"/>
    <n v="676.4"/>
  </r>
  <r>
    <x v="0"/>
    <x v="0"/>
    <x v="38"/>
    <x v="38"/>
    <x v="0"/>
    <x v="0"/>
    <n v="4.93"/>
    <n v="9.14"/>
    <n v="28"/>
    <n v="215"/>
    <n v="187"/>
    <n v="921.91"/>
  </r>
  <r>
    <x v="0"/>
    <x v="0"/>
    <x v="39"/>
    <x v="39"/>
    <x v="0"/>
    <x v="0"/>
    <n v="4.93"/>
    <n v="9.14"/>
    <n v="21"/>
    <n v="216"/>
    <n v="195"/>
    <n v="961.34999999999991"/>
  </r>
  <r>
    <x v="0"/>
    <x v="0"/>
    <x v="40"/>
    <x v="40"/>
    <x v="0"/>
    <x v="0"/>
    <n v="4.96"/>
    <n v="7.21"/>
    <n v="2"/>
    <n v="92"/>
    <n v="90"/>
    <n v="446.4"/>
  </r>
  <r>
    <x v="0"/>
    <x v="0"/>
    <x v="41"/>
    <x v="41"/>
    <x v="0"/>
    <x v="0"/>
    <n v="6.64"/>
    <n v="9.4600000000000009"/>
    <n v="74"/>
    <n v="186"/>
    <n v="112"/>
    <n v="743.68"/>
  </r>
  <r>
    <x v="0"/>
    <x v="0"/>
    <x v="42"/>
    <x v="42"/>
    <x v="0"/>
    <x v="0"/>
    <n v="1.64"/>
    <n v="2.42"/>
    <n v="50"/>
    <n v="58"/>
    <n v="8"/>
    <n v="13.12"/>
  </r>
  <r>
    <x v="0"/>
    <x v="0"/>
    <x v="43"/>
    <x v="43"/>
    <x v="0"/>
    <x v="0"/>
    <n v="3.52"/>
    <n v="5.5"/>
    <n v="87"/>
    <n v="121"/>
    <n v="34"/>
    <n v="119.68"/>
  </r>
  <r>
    <x v="0"/>
    <x v="0"/>
    <x v="44"/>
    <x v="44"/>
    <x v="0"/>
    <x v="0"/>
    <n v="3.87"/>
    <n v="5.5"/>
    <n v="74"/>
    <n v="99"/>
    <n v="25"/>
    <n v="96.75"/>
  </r>
  <r>
    <x v="0"/>
    <x v="0"/>
    <x v="45"/>
    <x v="45"/>
    <x v="0"/>
    <x v="0"/>
    <n v="5.34"/>
    <n v="8.84"/>
    <n v="40"/>
    <n v="68"/>
    <n v="28"/>
    <n v="149.51999999999998"/>
  </r>
  <r>
    <x v="0"/>
    <x v="0"/>
    <x v="46"/>
    <x v="46"/>
    <x v="0"/>
    <x v="0"/>
    <n v="3.41"/>
    <n v="5.53"/>
    <n v="52"/>
    <n v="99"/>
    <n v="47"/>
    <n v="160.27000000000001"/>
  </r>
  <r>
    <x v="0"/>
    <x v="0"/>
    <x v="47"/>
    <x v="47"/>
    <x v="0"/>
    <x v="0"/>
    <n v="3.41"/>
    <n v="5.53"/>
    <n v="134"/>
    <n v="155"/>
    <n v="21"/>
    <n v="71.61"/>
  </r>
  <r>
    <x v="0"/>
    <x v="0"/>
    <x v="48"/>
    <x v="48"/>
    <x v="0"/>
    <x v="0"/>
    <n v="5.44"/>
    <n v="8.84"/>
    <n v="42"/>
    <n v="104"/>
    <n v="62"/>
    <n v="337.28000000000003"/>
  </r>
  <r>
    <x v="0"/>
    <x v="0"/>
    <x v="49"/>
    <x v="49"/>
    <x v="0"/>
    <x v="0"/>
    <n v="5.44"/>
    <n v="8.84"/>
    <n v="86"/>
    <n v="101"/>
    <n v="15"/>
    <n v="81.600000000000009"/>
  </r>
  <r>
    <x v="0"/>
    <x v="0"/>
    <x v="50"/>
    <x v="50"/>
    <x v="0"/>
    <x v="0"/>
    <n v="5.44"/>
    <n v="8.84"/>
    <n v="108"/>
    <n v="174"/>
    <n v="66"/>
    <n v="359.04"/>
  </r>
  <r>
    <x v="0"/>
    <x v="0"/>
    <x v="51"/>
    <x v="51"/>
    <x v="0"/>
    <x v="0"/>
    <n v="9.39"/>
    <n v="13.72"/>
    <n v="20"/>
    <n v="68"/>
    <n v="48"/>
    <n v="450.72"/>
  </r>
  <r>
    <x v="0"/>
    <x v="0"/>
    <x v="52"/>
    <x v="52"/>
    <x v="0"/>
    <x v="0"/>
    <n v="9.39"/>
    <n v="13.72"/>
    <n v="16"/>
    <n v="34"/>
    <n v="18"/>
    <n v="169.02"/>
  </r>
  <r>
    <x v="0"/>
    <x v="0"/>
    <x v="53"/>
    <x v="53"/>
    <x v="0"/>
    <x v="0"/>
    <n v="9.39"/>
    <n v="13.72"/>
    <n v="20"/>
    <n v="32"/>
    <n v="12"/>
    <n v="112.68"/>
  </r>
  <r>
    <x v="0"/>
    <x v="0"/>
    <x v="54"/>
    <x v="54"/>
    <x v="0"/>
    <x v="0"/>
    <n v="5.84"/>
    <n v="10.38"/>
    <n v="20"/>
    <n v="50"/>
    <n v="30"/>
    <n v="175.2"/>
  </r>
  <r>
    <x v="0"/>
    <x v="0"/>
    <x v="55"/>
    <x v="55"/>
    <x v="0"/>
    <x v="0"/>
    <n v="5.84"/>
    <n v="10.38"/>
    <n v="16"/>
    <n v="57"/>
    <n v="41"/>
    <n v="239.44"/>
  </r>
  <r>
    <x v="0"/>
    <x v="0"/>
    <x v="56"/>
    <x v="56"/>
    <x v="0"/>
    <x v="0"/>
    <n v="5.84"/>
    <n v="10.38"/>
    <n v="18"/>
    <n v="46"/>
    <n v="28"/>
    <n v="163.51999999999998"/>
  </r>
  <r>
    <x v="0"/>
    <x v="0"/>
    <x v="57"/>
    <x v="57"/>
    <x v="0"/>
    <x v="0"/>
    <n v="12.96"/>
    <n v="23.33"/>
    <n v="109"/>
    <n v="125"/>
    <n v="16"/>
    <n v="207.36"/>
  </r>
  <r>
    <x v="0"/>
    <x v="0"/>
    <x v="58"/>
    <x v="58"/>
    <x v="0"/>
    <x v="0"/>
    <n v="5.75"/>
    <n v="9.56"/>
    <n v="38"/>
    <n v="116"/>
    <n v="78"/>
    <n v="448.5"/>
  </r>
  <r>
    <x v="0"/>
    <x v="0"/>
    <x v="59"/>
    <x v="59"/>
    <x v="0"/>
    <x v="0"/>
    <n v="5.27"/>
    <n v="8.08"/>
    <n v="48"/>
    <n v="60"/>
    <n v="12"/>
    <n v="63.239999999999995"/>
  </r>
  <r>
    <x v="0"/>
    <x v="0"/>
    <x v="60"/>
    <x v="60"/>
    <x v="0"/>
    <x v="0"/>
    <n v="5.27"/>
    <n v="8.08"/>
    <n v="14"/>
    <n v="19"/>
    <n v="5"/>
    <n v="26.349999999999998"/>
  </r>
  <r>
    <x v="0"/>
    <x v="0"/>
    <x v="61"/>
    <x v="61"/>
    <x v="0"/>
    <x v="0"/>
    <n v="7.3"/>
    <n v="10.8"/>
    <n v="32"/>
    <n v="41"/>
    <n v="9"/>
    <n v="65.7"/>
  </r>
  <r>
    <x v="0"/>
    <x v="0"/>
    <x v="62"/>
    <x v="62"/>
    <x v="0"/>
    <x v="0"/>
    <n v="2.21"/>
    <n v="3.59"/>
    <n v="31"/>
    <n v="158"/>
    <n v="127"/>
    <n v="280.67"/>
  </r>
  <r>
    <x v="0"/>
    <x v="0"/>
    <x v="63"/>
    <x v="63"/>
    <x v="0"/>
    <x v="0"/>
    <n v="9.1300000000000008"/>
    <n v="13.8"/>
    <n v="48"/>
    <n v="267"/>
    <n v="219"/>
    <n v="1999.4700000000003"/>
  </r>
  <r>
    <x v="0"/>
    <x v="0"/>
    <x v="64"/>
    <x v="64"/>
    <x v="0"/>
    <x v="0"/>
    <n v="2.61"/>
    <n v="4.51"/>
    <n v="19"/>
    <n v="43"/>
    <n v="24"/>
    <n v="62.64"/>
  </r>
  <r>
    <x v="0"/>
    <x v="0"/>
    <x v="65"/>
    <x v="65"/>
    <x v="0"/>
    <x v="0"/>
    <n v="2.61"/>
    <n v="4.51"/>
    <n v="16"/>
    <n v="35"/>
    <n v="19"/>
    <n v="49.589999999999996"/>
  </r>
  <r>
    <x v="0"/>
    <x v="0"/>
    <x v="66"/>
    <x v="66"/>
    <x v="0"/>
    <x v="0"/>
    <n v="10.82"/>
    <n v="17.55"/>
    <n v="71"/>
    <n v="129"/>
    <n v="58"/>
    <n v="627.56000000000006"/>
  </r>
  <r>
    <x v="0"/>
    <x v="0"/>
    <x v="67"/>
    <x v="67"/>
    <x v="0"/>
    <x v="0"/>
    <n v="10.82"/>
    <n v="17.55"/>
    <n v="142"/>
    <n v="155"/>
    <n v="13"/>
    <n v="140.66"/>
  </r>
  <r>
    <x v="0"/>
    <x v="0"/>
    <x v="68"/>
    <x v="68"/>
    <x v="0"/>
    <x v="0"/>
    <n v="10.82"/>
    <n v="17.55"/>
    <n v="91"/>
    <n v="100"/>
    <n v="9"/>
    <n v="97.38"/>
  </r>
  <r>
    <x v="0"/>
    <x v="0"/>
    <x v="69"/>
    <x v="69"/>
    <x v="0"/>
    <x v="0"/>
    <n v="4.34"/>
    <n v="6.56"/>
    <n v="90"/>
    <n v="167"/>
    <n v="77"/>
    <n v="334.18"/>
  </r>
  <r>
    <x v="0"/>
    <x v="0"/>
    <x v="70"/>
    <x v="70"/>
    <x v="0"/>
    <x v="0"/>
    <n v="4.34"/>
    <n v="6.56"/>
    <n v="85"/>
    <n v="217"/>
    <n v="132"/>
    <n v="572.88"/>
  </r>
  <r>
    <x v="0"/>
    <x v="0"/>
    <x v="71"/>
    <x v="71"/>
    <x v="0"/>
    <x v="0"/>
    <n v="22.64"/>
    <n v="33.07"/>
    <n v="9"/>
    <n v="45"/>
    <n v="36"/>
    <n v="815.04"/>
  </r>
  <r>
    <x v="0"/>
    <x v="0"/>
    <x v="72"/>
    <x v="72"/>
    <x v="0"/>
    <x v="0"/>
    <n v="22.64"/>
    <n v="33.07"/>
    <n v="12"/>
    <n v="39"/>
    <n v="27"/>
    <n v="611.28"/>
  </r>
  <r>
    <x v="0"/>
    <x v="0"/>
    <x v="73"/>
    <x v="73"/>
    <x v="0"/>
    <x v="0"/>
    <n v="22.64"/>
    <n v="33.07"/>
    <n v="23"/>
    <n v="38"/>
    <n v="15"/>
    <n v="339.6"/>
  </r>
  <r>
    <x v="0"/>
    <x v="0"/>
    <x v="74"/>
    <x v="74"/>
    <x v="0"/>
    <x v="1"/>
    <n v="15.95"/>
    <n v="24.71"/>
    <n v="205"/>
    <n v="324"/>
    <n v="119"/>
    <n v="1898.05"/>
  </r>
  <r>
    <x v="0"/>
    <x v="0"/>
    <x v="75"/>
    <x v="75"/>
    <x v="0"/>
    <x v="1"/>
    <n v="12.22"/>
    <n v="21.56"/>
    <n v="19"/>
    <n v="668"/>
    <n v="649"/>
    <n v="7930.7800000000007"/>
  </r>
  <r>
    <x v="0"/>
    <x v="0"/>
    <x v="76"/>
    <x v="76"/>
    <x v="0"/>
    <x v="1"/>
    <n v="16.989999999999998"/>
    <n v="29.55"/>
    <n v="29"/>
    <n v="193"/>
    <n v="164"/>
    <n v="2786.3599999999997"/>
  </r>
  <r>
    <x v="0"/>
    <x v="0"/>
    <x v="77"/>
    <x v="77"/>
    <x v="0"/>
    <x v="2"/>
    <n v="12.3"/>
    <n v="16.43"/>
    <n v="69"/>
    <n v="75"/>
    <n v="6"/>
    <n v="73.800000000000011"/>
  </r>
  <r>
    <x v="0"/>
    <x v="0"/>
    <x v="78"/>
    <x v="78"/>
    <x v="0"/>
    <x v="2"/>
    <n v="12.3"/>
    <n v="16.43"/>
    <n v="71"/>
    <n v="72"/>
    <n v="1"/>
    <n v="12.3"/>
  </r>
  <r>
    <x v="0"/>
    <x v="0"/>
    <x v="79"/>
    <x v="79"/>
    <x v="0"/>
    <x v="2"/>
    <n v="12.3"/>
    <n v="16.43"/>
    <n v="18"/>
    <n v="23"/>
    <n v="5"/>
    <n v="61.5"/>
  </r>
  <r>
    <x v="0"/>
    <x v="0"/>
    <x v="80"/>
    <x v="80"/>
    <x v="0"/>
    <x v="2"/>
    <n v="20.58"/>
    <n v="27.5"/>
    <n v="14"/>
    <n v="46"/>
    <n v="32"/>
    <n v="658.56"/>
  </r>
  <r>
    <x v="0"/>
    <x v="0"/>
    <x v="81"/>
    <x v="81"/>
    <x v="0"/>
    <x v="2"/>
    <n v="20.58"/>
    <n v="27.5"/>
    <n v="25"/>
    <n v="200"/>
    <n v="175"/>
    <n v="3601.4999999999995"/>
  </r>
  <r>
    <x v="0"/>
    <x v="0"/>
    <x v="82"/>
    <x v="82"/>
    <x v="0"/>
    <x v="2"/>
    <n v="20.58"/>
    <n v="27.5"/>
    <n v="27"/>
    <n v="42"/>
    <n v="15"/>
    <n v="308.7"/>
  </r>
  <r>
    <x v="0"/>
    <x v="0"/>
    <x v="83"/>
    <x v="83"/>
    <x v="0"/>
    <x v="2"/>
    <n v="20.58"/>
    <n v="27.5"/>
    <n v="10"/>
    <n v="37"/>
    <n v="27"/>
    <n v="555.66"/>
  </r>
  <r>
    <x v="0"/>
    <x v="0"/>
    <x v="84"/>
    <x v="84"/>
    <x v="0"/>
    <x v="2"/>
    <n v="20.58"/>
    <n v="27.5"/>
    <n v="14"/>
    <n v="89"/>
    <n v="75"/>
    <n v="1543.4999999999998"/>
  </r>
  <r>
    <x v="0"/>
    <x v="0"/>
    <x v="85"/>
    <x v="85"/>
    <x v="0"/>
    <x v="2"/>
    <n v="20.58"/>
    <n v="27.5"/>
    <n v="2"/>
    <n v="19"/>
    <n v="17"/>
    <n v="349.85999999999996"/>
  </r>
  <r>
    <x v="0"/>
    <x v="0"/>
    <x v="86"/>
    <x v="86"/>
    <x v="0"/>
    <x v="2"/>
    <n v="20.58"/>
    <n v="27.5"/>
    <n v="15"/>
    <n v="149"/>
    <n v="134"/>
    <n v="2757.72"/>
  </r>
  <r>
    <x v="0"/>
    <x v="0"/>
    <x v="87"/>
    <x v="87"/>
    <x v="0"/>
    <x v="2"/>
    <n v="20.58"/>
    <n v="27.5"/>
    <n v="10"/>
    <n v="123"/>
    <n v="113"/>
    <n v="2325.54"/>
  </r>
  <r>
    <x v="0"/>
    <x v="0"/>
    <x v="88"/>
    <x v="88"/>
    <x v="0"/>
    <x v="2"/>
    <n v="20.58"/>
    <n v="27.5"/>
    <n v="17"/>
    <n v="238"/>
    <n v="221"/>
    <n v="4548.1799999999994"/>
  </r>
  <r>
    <x v="0"/>
    <x v="0"/>
    <x v="89"/>
    <x v="89"/>
    <x v="0"/>
    <x v="2"/>
    <n v="20.58"/>
    <n v="27.5"/>
    <n v="11"/>
    <n v="24"/>
    <n v="13"/>
    <n v="267.53999999999996"/>
  </r>
  <r>
    <x v="0"/>
    <x v="0"/>
    <x v="90"/>
    <x v="90"/>
    <x v="0"/>
    <x v="2"/>
    <n v="20.58"/>
    <n v="27.5"/>
    <n v="6"/>
    <n v="68"/>
    <n v="62"/>
    <n v="1275.9599999999998"/>
  </r>
  <r>
    <x v="0"/>
    <x v="0"/>
    <x v="91"/>
    <x v="91"/>
    <x v="0"/>
    <x v="2"/>
    <n v="20.58"/>
    <n v="27.5"/>
    <n v="12"/>
    <n v="86"/>
    <n v="74"/>
    <n v="1522.9199999999998"/>
  </r>
  <r>
    <x v="0"/>
    <x v="0"/>
    <x v="92"/>
    <x v="92"/>
    <x v="0"/>
    <x v="2"/>
    <n v="20.58"/>
    <n v="27.5"/>
    <n v="19"/>
    <n v="44"/>
    <n v="25"/>
    <n v="514.5"/>
  </r>
  <r>
    <x v="0"/>
    <x v="0"/>
    <x v="93"/>
    <x v="93"/>
    <x v="0"/>
    <x v="2"/>
    <n v="20.58"/>
    <n v="27.5"/>
    <n v="22"/>
    <n v="46"/>
    <n v="24"/>
    <n v="493.91999999999996"/>
  </r>
  <r>
    <x v="0"/>
    <x v="0"/>
    <x v="94"/>
    <x v="94"/>
    <x v="0"/>
    <x v="2"/>
    <n v="0.77"/>
    <n v="1.45"/>
    <n v="604"/>
    <n v="1459"/>
    <n v="855"/>
    <n v="658.35"/>
  </r>
  <r>
    <x v="0"/>
    <x v="0"/>
    <x v="95"/>
    <x v="95"/>
    <x v="0"/>
    <x v="2"/>
    <n v="1.38"/>
    <n v="2.2799999999999998"/>
    <n v="100"/>
    <n v="405"/>
    <n v="305"/>
    <n v="420.9"/>
  </r>
  <r>
    <x v="0"/>
    <x v="0"/>
    <x v="96"/>
    <x v="96"/>
    <x v="0"/>
    <x v="2"/>
    <n v="1.38"/>
    <n v="2.2799999999999998"/>
    <n v="167"/>
    <n v="341"/>
    <n v="174"/>
    <n v="240.11999999999998"/>
  </r>
  <r>
    <x v="0"/>
    <x v="0"/>
    <x v="97"/>
    <x v="97"/>
    <x v="0"/>
    <x v="2"/>
    <n v="17.98"/>
    <n v="25.85"/>
    <n v="13"/>
    <n v="28"/>
    <n v="15"/>
    <n v="269.7"/>
  </r>
  <r>
    <x v="0"/>
    <x v="0"/>
    <x v="98"/>
    <x v="98"/>
    <x v="0"/>
    <x v="2"/>
    <n v="17.98"/>
    <n v="25.85"/>
    <n v="3"/>
    <n v="5"/>
    <n v="2"/>
    <n v="35.96"/>
  </r>
  <r>
    <x v="0"/>
    <x v="0"/>
    <x v="99"/>
    <x v="99"/>
    <x v="0"/>
    <x v="2"/>
    <n v="17.98"/>
    <n v="25.85"/>
    <n v="39"/>
    <n v="64"/>
    <n v="25"/>
    <n v="449.5"/>
  </r>
  <r>
    <x v="0"/>
    <x v="0"/>
    <x v="100"/>
    <x v="100"/>
    <x v="0"/>
    <x v="2"/>
    <n v="17.98"/>
    <n v="25.85"/>
    <n v="6"/>
    <n v="9"/>
    <n v="3"/>
    <n v="53.94"/>
  </r>
  <r>
    <x v="0"/>
    <x v="0"/>
    <x v="101"/>
    <x v="101"/>
    <x v="0"/>
    <x v="2"/>
    <n v="15.24"/>
    <n v="25.95"/>
    <n v="59"/>
    <n v="91"/>
    <n v="32"/>
    <n v="487.68"/>
  </r>
  <r>
    <x v="0"/>
    <x v="0"/>
    <x v="102"/>
    <x v="102"/>
    <x v="0"/>
    <x v="2"/>
    <n v="26.4"/>
    <n v="39.5"/>
    <n v="15"/>
    <n v="19"/>
    <n v="4"/>
    <n v="105.6"/>
  </r>
  <r>
    <x v="0"/>
    <x v="0"/>
    <x v="103"/>
    <x v="103"/>
    <x v="0"/>
    <x v="2"/>
    <n v="26.4"/>
    <n v="39.5"/>
    <n v="26"/>
    <n v="39"/>
    <n v="13"/>
    <n v="343.2"/>
  </r>
  <r>
    <x v="0"/>
    <x v="0"/>
    <x v="104"/>
    <x v="104"/>
    <x v="0"/>
    <x v="2"/>
    <n v="19.100000000000001"/>
    <n v="34.86"/>
    <n v="187"/>
    <n v="273"/>
    <n v="86"/>
    <n v="1642.6000000000001"/>
  </r>
  <r>
    <x v="0"/>
    <x v="0"/>
    <x v="105"/>
    <x v="105"/>
    <x v="0"/>
    <x v="2"/>
    <n v="19.100000000000001"/>
    <n v="34.86"/>
    <n v="175"/>
    <n v="299"/>
    <n v="124"/>
    <n v="2368.4"/>
  </r>
  <r>
    <x v="0"/>
    <x v="0"/>
    <x v="106"/>
    <x v="106"/>
    <x v="0"/>
    <x v="2"/>
    <n v="20.56"/>
    <n v="34.86"/>
    <n v="54"/>
    <n v="68"/>
    <n v="14"/>
    <n v="287.83999999999997"/>
  </r>
  <r>
    <x v="0"/>
    <x v="0"/>
    <x v="107"/>
    <x v="107"/>
    <x v="0"/>
    <x v="2"/>
    <n v="20.56"/>
    <n v="34.86"/>
    <n v="51"/>
    <n v="70"/>
    <n v="19"/>
    <n v="390.64"/>
  </r>
  <r>
    <x v="0"/>
    <x v="0"/>
    <x v="108"/>
    <x v="108"/>
    <x v="0"/>
    <x v="3"/>
    <n v="26.39"/>
    <n v="41.2"/>
    <n v="151"/>
    <n v="197"/>
    <n v="46"/>
    <n v="1213.94"/>
  </r>
  <r>
    <x v="0"/>
    <x v="0"/>
    <x v="109"/>
    <x v="109"/>
    <x v="0"/>
    <x v="3"/>
    <n v="78.42"/>
    <n v="127.98"/>
    <n v="13"/>
    <n v="20"/>
    <n v="7"/>
    <n v="548.94000000000005"/>
  </r>
  <r>
    <x v="0"/>
    <x v="0"/>
    <x v="110"/>
    <x v="110"/>
    <x v="0"/>
    <x v="3"/>
    <n v="62.78"/>
    <n v="106.61"/>
    <n v="9"/>
    <n v="34"/>
    <n v="25"/>
    <n v="1569.5"/>
  </r>
  <r>
    <x v="0"/>
    <x v="0"/>
    <x v="111"/>
    <x v="111"/>
    <x v="0"/>
    <x v="3"/>
    <n v="65.239999999999995"/>
    <n v="114.12"/>
    <n v="4"/>
    <n v="16"/>
    <n v="12"/>
    <n v="782.87999999999988"/>
  </r>
  <r>
    <x v="0"/>
    <x v="0"/>
    <x v="112"/>
    <x v="112"/>
    <x v="0"/>
    <x v="3"/>
    <n v="71.94"/>
    <n v="125.78"/>
    <n v="4"/>
    <n v="14"/>
    <n v="10"/>
    <n v="719.4"/>
  </r>
  <r>
    <x v="0"/>
    <x v="0"/>
    <x v="113"/>
    <x v="113"/>
    <x v="0"/>
    <x v="3"/>
    <n v="21.7"/>
    <n v="35.4"/>
    <n v="250"/>
    <n v="736"/>
    <n v="486"/>
    <n v="10546.199999999999"/>
  </r>
  <r>
    <x v="0"/>
    <x v="0"/>
    <x v="114"/>
    <x v="114"/>
    <x v="0"/>
    <x v="3"/>
    <n v="18.12"/>
    <n v="30.38"/>
    <n v="1439"/>
    <n v="1744"/>
    <n v="305"/>
    <n v="5526.6"/>
  </r>
  <r>
    <x v="0"/>
    <x v="0"/>
    <x v="115"/>
    <x v="115"/>
    <x v="0"/>
    <x v="3"/>
    <n v="13.67"/>
    <n v="19.91"/>
    <n v="117"/>
    <n v="271"/>
    <n v="154"/>
    <n v="2105.1799999999998"/>
  </r>
  <r>
    <x v="0"/>
    <x v="0"/>
    <x v="116"/>
    <x v="116"/>
    <x v="0"/>
    <x v="3"/>
    <n v="15.54"/>
    <n v="26.85"/>
    <n v="1110"/>
    <n v="1402"/>
    <n v="292"/>
    <n v="4537.6799999999994"/>
  </r>
  <r>
    <x v="0"/>
    <x v="0"/>
    <x v="117"/>
    <x v="117"/>
    <x v="0"/>
    <x v="3"/>
    <n v="24.81"/>
    <n v="41.64"/>
    <n v="100"/>
    <n v="108"/>
    <n v="8"/>
    <n v="198.48"/>
  </r>
  <r>
    <x v="0"/>
    <x v="0"/>
    <x v="118"/>
    <x v="118"/>
    <x v="0"/>
    <x v="3"/>
    <n v="12.17"/>
    <n v="21.61"/>
    <n v="270"/>
    <n v="414"/>
    <n v="144"/>
    <n v="1752.48"/>
  </r>
  <r>
    <x v="0"/>
    <x v="0"/>
    <x v="119"/>
    <x v="119"/>
    <x v="0"/>
    <x v="3"/>
    <n v="17.09"/>
    <n v="27.14"/>
    <n v="463"/>
    <n v="502"/>
    <n v="39"/>
    <n v="666.51"/>
  </r>
  <r>
    <x v="0"/>
    <x v="0"/>
    <x v="120"/>
    <x v="120"/>
    <x v="0"/>
    <x v="3"/>
    <n v="23.21"/>
    <n v="38.950000000000003"/>
    <n v="77"/>
    <n v="168"/>
    <n v="91"/>
    <n v="2112.11"/>
  </r>
  <r>
    <x v="0"/>
    <x v="0"/>
    <x v="121"/>
    <x v="121"/>
    <x v="0"/>
    <x v="3"/>
    <n v="9.5399999999999991"/>
    <n v="16.89"/>
    <n v="71"/>
    <n v="413"/>
    <n v="342"/>
    <n v="3262.68"/>
  </r>
  <r>
    <x v="0"/>
    <x v="0"/>
    <x v="122"/>
    <x v="122"/>
    <x v="0"/>
    <x v="3"/>
    <n v="12.57"/>
    <n v="22.8"/>
    <n v="72"/>
    <n v="93"/>
    <n v="21"/>
    <n v="263.97000000000003"/>
  </r>
  <r>
    <x v="0"/>
    <x v="0"/>
    <x v="123"/>
    <x v="123"/>
    <x v="0"/>
    <x v="3"/>
    <n v="13.22"/>
    <n v="23.04"/>
    <n v="100"/>
    <n v="852"/>
    <n v="752"/>
    <n v="9941.44"/>
  </r>
  <r>
    <x v="0"/>
    <x v="0"/>
    <x v="124"/>
    <x v="124"/>
    <x v="0"/>
    <x v="3"/>
    <n v="14.93"/>
    <n v="24.31"/>
    <n v="43"/>
    <n v="709"/>
    <n v="666"/>
    <n v="9943.3799999999992"/>
  </r>
  <r>
    <x v="0"/>
    <x v="0"/>
    <x v="125"/>
    <x v="125"/>
    <x v="0"/>
    <x v="3"/>
    <n v="16.52"/>
    <n v="27.3"/>
    <n v="151"/>
    <n v="634"/>
    <n v="483"/>
    <n v="7979.16"/>
  </r>
  <r>
    <x v="0"/>
    <x v="0"/>
    <x v="126"/>
    <x v="126"/>
    <x v="0"/>
    <x v="3"/>
    <n v="23.91"/>
    <n v="40.200000000000003"/>
    <n v="100"/>
    <n v="150"/>
    <n v="50"/>
    <n v="1195.5"/>
  </r>
  <r>
    <x v="0"/>
    <x v="0"/>
    <x v="127"/>
    <x v="127"/>
    <x v="0"/>
    <x v="3"/>
    <n v="22.36"/>
    <n v="34.950000000000003"/>
    <n v="160"/>
    <n v="215"/>
    <n v="55"/>
    <n v="1229.8"/>
  </r>
  <r>
    <x v="0"/>
    <x v="0"/>
    <x v="128"/>
    <x v="128"/>
    <x v="0"/>
    <x v="3"/>
    <n v="46.85"/>
    <n v="69.95"/>
    <n v="60"/>
    <n v="65"/>
    <n v="5"/>
    <n v="234.25"/>
  </r>
  <r>
    <x v="0"/>
    <x v="0"/>
    <x v="129"/>
    <x v="129"/>
    <x v="0"/>
    <x v="3"/>
    <n v="18.100000000000001"/>
    <n v="33.01"/>
    <n v="300"/>
    <n v="330"/>
    <n v="30"/>
    <n v="543"/>
  </r>
  <r>
    <x v="0"/>
    <x v="0"/>
    <x v="130"/>
    <x v="130"/>
    <x v="0"/>
    <x v="3"/>
    <n v="18.739999999999998"/>
    <n v="28.11"/>
    <n v="23"/>
    <n v="28"/>
    <n v="5"/>
    <n v="93.699999999999989"/>
  </r>
  <r>
    <x v="0"/>
    <x v="0"/>
    <x v="131"/>
    <x v="131"/>
    <x v="0"/>
    <x v="3"/>
    <n v="43.17"/>
    <n v="76.47"/>
    <n v="40"/>
    <n v="62"/>
    <n v="22"/>
    <n v="949.74"/>
  </r>
  <r>
    <x v="0"/>
    <x v="0"/>
    <x v="132"/>
    <x v="132"/>
    <x v="0"/>
    <x v="3"/>
    <n v="30.06"/>
    <n v="60.92"/>
    <n v="35"/>
    <n v="44"/>
    <n v="9"/>
    <n v="270.53999999999996"/>
  </r>
  <r>
    <x v="0"/>
    <x v="0"/>
    <x v="133"/>
    <x v="133"/>
    <x v="0"/>
    <x v="3"/>
    <n v="12.62"/>
    <n v="21.2"/>
    <n v="100"/>
    <n v="123"/>
    <n v="23"/>
    <n v="290.26"/>
  </r>
  <r>
    <x v="0"/>
    <x v="0"/>
    <x v="134"/>
    <x v="134"/>
    <x v="0"/>
    <x v="3"/>
    <n v="12.93"/>
    <n v="28"/>
    <n v="200"/>
    <n v="258"/>
    <n v="58"/>
    <n v="749.93999999999994"/>
  </r>
  <r>
    <x v="0"/>
    <x v="0"/>
    <x v="135"/>
    <x v="135"/>
    <x v="0"/>
    <x v="3"/>
    <n v="18.29"/>
    <n v="34.75"/>
    <n v="400"/>
    <n v="402"/>
    <n v="2"/>
    <n v="36.58"/>
  </r>
  <r>
    <x v="0"/>
    <x v="0"/>
    <x v="136"/>
    <x v="136"/>
    <x v="0"/>
    <x v="3"/>
    <n v="14.37"/>
    <n v="24.67"/>
    <n v="150"/>
    <n v="173"/>
    <n v="23"/>
    <n v="330.51"/>
  </r>
  <r>
    <x v="0"/>
    <x v="0"/>
    <x v="137"/>
    <x v="137"/>
    <x v="0"/>
    <x v="3"/>
    <n v="55.63"/>
    <n v="95.98"/>
    <n v="14"/>
    <n v="15"/>
    <n v="1"/>
    <n v="55.63"/>
  </r>
  <r>
    <x v="0"/>
    <x v="0"/>
    <x v="138"/>
    <x v="138"/>
    <x v="0"/>
    <x v="3"/>
    <n v="33.549999999999997"/>
    <n v="54.21"/>
    <n v="56"/>
    <n v="115"/>
    <n v="59"/>
    <n v="1979.4499999999998"/>
  </r>
  <r>
    <x v="0"/>
    <x v="0"/>
    <x v="139"/>
    <x v="139"/>
    <x v="0"/>
    <x v="3"/>
    <n v="20.45"/>
    <n v="33.89"/>
    <n v="329"/>
    <n v="408"/>
    <n v="79"/>
    <n v="1615.55"/>
  </r>
  <r>
    <x v="0"/>
    <x v="0"/>
    <x v="140"/>
    <x v="140"/>
    <x v="0"/>
    <x v="3"/>
    <n v="17.25"/>
    <n v="29.89"/>
    <n v="69"/>
    <n v="77"/>
    <n v="8"/>
    <n v="138"/>
  </r>
  <r>
    <x v="0"/>
    <x v="0"/>
    <x v="141"/>
    <x v="141"/>
    <x v="0"/>
    <x v="3"/>
    <n v="48.32"/>
    <n v="70"/>
    <n v="26"/>
    <n v="41"/>
    <n v="15"/>
    <n v="724.8"/>
  </r>
  <r>
    <x v="0"/>
    <x v="0"/>
    <x v="142"/>
    <x v="142"/>
    <x v="0"/>
    <x v="3"/>
    <n v="41.34"/>
    <n v="79.84"/>
    <n v="6"/>
    <n v="12"/>
    <n v="6"/>
    <n v="248.04000000000002"/>
  </r>
  <r>
    <x v="0"/>
    <x v="0"/>
    <x v="143"/>
    <x v="143"/>
    <x v="0"/>
    <x v="3"/>
    <n v="49.33"/>
    <n v="80.67"/>
    <n v="10"/>
    <n v="46"/>
    <n v="36"/>
    <n v="1775.8799999999999"/>
  </r>
  <r>
    <x v="0"/>
    <x v="0"/>
    <x v="144"/>
    <x v="144"/>
    <x v="0"/>
    <x v="3"/>
    <n v="18.97"/>
    <n v="30.1"/>
    <n v="15"/>
    <n v="52"/>
    <n v="37"/>
    <n v="701.89"/>
  </r>
  <r>
    <x v="0"/>
    <x v="0"/>
    <x v="145"/>
    <x v="145"/>
    <x v="0"/>
    <x v="3"/>
    <n v="103.09"/>
    <n v="139.16999999999999"/>
    <n v="2"/>
    <n v="7"/>
    <n v="5"/>
    <n v="515.45000000000005"/>
  </r>
  <r>
    <x v="0"/>
    <x v="0"/>
    <x v="146"/>
    <x v="146"/>
    <x v="0"/>
    <x v="3"/>
    <n v="118.74"/>
    <n v="155"/>
    <n v="2"/>
    <n v="4"/>
    <n v="2"/>
    <n v="237.48"/>
  </r>
  <r>
    <x v="0"/>
    <x v="0"/>
    <x v="147"/>
    <x v="147"/>
    <x v="0"/>
    <x v="3"/>
    <n v="169.49"/>
    <n v="220"/>
    <n v="2"/>
    <n v="6"/>
    <n v="4"/>
    <n v="677.96"/>
  </r>
  <r>
    <x v="0"/>
    <x v="0"/>
    <x v="148"/>
    <x v="148"/>
    <x v="0"/>
    <x v="3"/>
    <n v="1.25"/>
    <n v="1.97"/>
    <n v="329"/>
    <n v="345"/>
    <n v="16"/>
    <n v="20"/>
  </r>
  <r>
    <x v="0"/>
    <x v="0"/>
    <x v="149"/>
    <x v="149"/>
    <x v="0"/>
    <x v="3"/>
    <n v="3.88"/>
    <n v="6.36"/>
    <n v="500"/>
    <n v="551"/>
    <n v="51"/>
    <n v="197.88"/>
  </r>
  <r>
    <x v="0"/>
    <x v="0"/>
    <x v="150"/>
    <x v="150"/>
    <x v="0"/>
    <x v="3"/>
    <n v="3.1"/>
    <n v="4.47"/>
    <n v="358"/>
    <n v="686"/>
    <n v="328"/>
    <n v="1016.8000000000001"/>
  </r>
  <r>
    <x v="0"/>
    <x v="0"/>
    <x v="151"/>
    <x v="151"/>
    <x v="0"/>
    <x v="3"/>
    <n v="7.46"/>
    <n v="10.84"/>
    <n v="50"/>
    <n v="149"/>
    <n v="99"/>
    <n v="738.54"/>
  </r>
  <r>
    <x v="0"/>
    <x v="0"/>
    <x v="152"/>
    <x v="152"/>
    <x v="0"/>
    <x v="3"/>
    <n v="8.49"/>
    <n v="12.35"/>
    <n v="23"/>
    <n v="174"/>
    <n v="151"/>
    <n v="1281.99"/>
  </r>
  <r>
    <x v="0"/>
    <x v="0"/>
    <x v="153"/>
    <x v="153"/>
    <x v="0"/>
    <x v="3"/>
    <n v="19.79"/>
    <n v="31.99"/>
    <n v="65"/>
    <n v="71"/>
    <n v="6"/>
    <n v="118.74"/>
  </r>
  <r>
    <x v="0"/>
    <x v="0"/>
    <x v="154"/>
    <x v="154"/>
    <x v="0"/>
    <x v="3"/>
    <n v="11.79"/>
    <n v="18.2"/>
    <n v="61"/>
    <n v="114"/>
    <n v="53"/>
    <n v="624.87"/>
  </r>
  <r>
    <x v="0"/>
    <x v="0"/>
    <x v="155"/>
    <x v="155"/>
    <x v="0"/>
    <x v="3"/>
    <n v="13.45"/>
    <n v="20.21"/>
    <n v="124"/>
    <n v="151"/>
    <n v="27"/>
    <n v="363.15"/>
  </r>
  <r>
    <x v="0"/>
    <x v="0"/>
    <x v="156"/>
    <x v="156"/>
    <x v="0"/>
    <x v="3"/>
    <n v="16.02"/>
    <n v="24"/>
    <n v="1346"/>
    <n v="1573"/>
    <n v="227"/>
    <n v="3636.54"/>
  </r>
  <r>
    <x v="0"/>
    <x v="0"/>
    <x v="157"/>
    <x v="157"/>
    <x v="0"/>
    <x v="3"/>
    <n v="20.81"/>
    <n v="31.5"/>
    <n v="517"/>
    <n v="676"/>
    <n v="159"/>
    <n v="3308.79"/>
  </r>
  <r>
    <x v="0"/>
    <x v="0"/>
    <x v="158"/>
    <x v="158"/>
    <x v="0"/>
    <x v="3"/>
    <n v="13.34"/>
    <n v="18.77"/>
    <n v="45"/>
    <n v="134"/>
    <n v="89"/>
    <n v="1187.26"/>
  </r>
  <r>
    <x v="0"/>
    <x v="0"/>
    <x v="159"/>
    <x v="159"/>
    <x v="0"/>
    <x v="3"/>
    <n v="15.69"/>
    <n v="23.55"/>
    <n v="148"/>
    <n v="258"/>
    <n v="110"/>
    <n v="1725.8999999999999"/>
  </r>
  <r>
    <x v="0"/>
    <x v="0"/>
    <x v="160"/>
    <x v="160"/>
    <x v="0"/>
    <x v="3"/>
    <n v="15.05"/>
    <n v="23.65"/>
    <n v="209"/>
    <n v="333"/>
    <n v="124"/>
    <n v="1866.2"/>
  </r>
  <r>
    <x v="0"/>
    <x v="0"/>
    <x v="161"/>
    <x v="161"/>
    <x v="0"/>
    <x v="3"/>
    <n v="14.19"/>
    <n v="21.8"/>
    <n v="314"/>
    <n v="839"/>
    <n v="525"/>
    <n v="7449.75"/>
  </r>
  <r>
    <x v="0"/>
    <x v="0"/>
    <x v="162"/>
    <x v="162"/>
    <x v="0"/>
    <x v="3"/>
    <n v="16.87"/>
    <n v="25.5"/>
    <n v="449"/>
    <n v="528"/>
    <n v="79"/>
    <n v="1332.73"/>
  </r>
  <r>
    <x v="0"/>
    <x v="0"/>
    <x v="163"/>
    <x v="163"/>
    <x v="0"/>
    <x v="3"/>
    <n v="23.57"/>
    <n v="36.26"/>
    <n v="566"/>
    <n v="631"/>
    <n v="65"/>
    <n v="1532.05"/>
  </r>
  <r>
    <x v="0"/>
    <x v="0"/>
    <x v="164"/>
    <x v="164"/>
    <x v="0"/>
    <x v="3"/>
    <n v="17.059999999999999"/>
    <n v="25"/>
    <n v="137"/>
    <n v="210"/>
    <n v="73"/>
    <n v="1245.3799999999999"/>
  </r>
  <r>
    <x v="0"/>
    <x v="0"/>
    <x v="165"/>
    <x v="165"/>
    <x v="0"/>
    <x v="3"/>
    <n v="13.97"/>
    <n v="22.2"/>
    <n v="370"/>
    <n v="514"/>
    <n v="144"/>
    <n v="2011.68"/>
  </r>
  <r>
    <x v="0"/>
    <x v="0"/>
    <x v="166"/>
    <x v="166"/>
    <x v="0"/>
    <x v="3"/>
    <n v="15.89"/>
    <n v="24.5"/>
    <n v="384"/>
    <n v="642"/>
    <n v="258"/>
    <n v="4099.62"/>
  </r>
  <r>
    <x v="0"/>
    <x v="0"/>
    <x v="167"/>
    <x v="167"/>
    <x v="0"/>
    <x v="3"/>
    <n v="14.22"/>
    <n v="21.74"/>
    <n v="93"/>
    <n v="178"/>
    <n v="85"/>
    <n v="1208.7"/>
  </r>
  <r>
    <x v="0"/>
    <x v="0"/>
    <x v="168"/>
    <x v="168"/>
    <x v="0"/>
    <x v="3"/>
    <n v="15.66"/>
    <n v="23.67"/>
    <n v="617"/>
    <n v="662"/>
    <n v="45"/>
    <n v="704.7"/>
  </r>
  <r>
    <x v="0"/>
    <x v="0"/>
    <x v="169"/>
    <x v="169"/>
    <x v="0"/>
    <x v="3"/>
    <n v="31.27"/>
    <n v="45.25"/>
    <n v="69"/>
    <n v="78"/>
    <n v="9"/>
    <n v="281.43"/>
  </r>
  <r>
    <x v="0"/>
    <x v="0"/>
    <x v="170"/>
    <x v="170"/>
    <x v="0"/>
    <x v="3"/>
    <n v="17.46"/>
    <n v="26.6"/>
    <n v="222"/>
    <n v="379"/>
    <n v="157"/>
    <n v="2741.2200000000003"/>
  </r>
  <r>
    <x v="0"/>
    <x v="0"/>
    <x v="171"/>
    <x v="171"/>
    <x v="0"/>
    <x v="3"/>
    <n v="26.46"/>
    <n v="39.79"/>
    <n v="42"/>
    <n v="56"/>
    <n v="14"/>
    <n v="370.44"/>
  </r>
  <r>
    <x v="0"/>
    <x v="0"/>
    <x v="172"/>
    <x v="172"/>
    <x v="0"/>
    <x v="3"/>
    <n v="19.14"/>
    <n v="33.79"/>
    <n v="65"/>
    <n v="78"/>
    <n v="13"/>
    <n v="248.82"/>
  </r>
  <r>
    <x v="0"/>
    <x v="0"/>
    <x v="173"/>
    <x v="173"/>
    <x v="0"/>
    <x v="3"/>
    <n v="15.39"/>
    <n v="25.28"/>
    <n v="14"/>
    <n v="39"/>
    <n v="25"/>
    <n v="384.75"/>
  </r>
  <r>
    <x v="0"/>
    <x v="0"/>
    <x v="174"/>
    <x v="174"/>
    <x v="0"/>
    <x v="3"/>
    <n v="34.840000000000003"/>
    <n v="50.74"/>
    <n v="33"/>
    <n v="100"/>
    <n v="67"/>
    <n v="2334.2800000000002"/>
  </r>
  <r>
    <x v="0"/>
    <x v="0"/>
    <x v="175"/>
    <x v="175"/>
    <x v="0"/>
    <x v="3"/>
    <n v="41.13"/>
    <n v="59.54"/>
    <n v="10"/>
    <n v="80"/>
    <n v="70"/>
    <n v="2879.1000000000004"/>
  </r>
  <r>
    <x v="0"/>
    <x v="0"/>
    <x v="176"/>
    <x v="176"/>
    <x v="0"/>
    <x v="3"/>
    <n v="35.85"/>
    <n v="48.18"/>
    <n v="7"/>
    <n v="169"/>
    <n v="162"/>
    <n v="5807.7"/>
  </r>
  <r>
    <x v="0"/>
    <x v="0"/>
    <x v="177"/>
    <x v="177"/>
    <x v="0"/>
    <x v="3"/>
    <n v="38.17"/>
    <n v="54.73"/>
    <n v="3"/>
    <n v="296"/>
    <n v="293"/>
    <n v="11183.810000000001"/>
  </r>
  <r>
    <x v="0"/>
    <x v="0"/>
    <x v="178"/>
    <x v="178"/>
    <x v="0"/>
    <x v="3"/>
    <n v="15.88"/>
    <n v="24.95"/>
    <n v="185"/>
    <n v="634"/>
    <n v="449"/>
    <n v="7130.1200000000008"/>
  </r>
  <r>
    <x v="0"/>
    <x v="0"/>
    <x v="179"/>
    <x v="179"/>
    <x v="0"/>
    <x v="3"/>
    <n v="23.05"/>
    <n v="37.42"/>
    <n v="202"/>
    <n v="240"/>
    <n v="38"/>
    <n v="875.9"/>
  </r>
  <r>
    <x v="0"/>
    <x v="0"/>
    <x v="180"/>
    <x v="180"/>
    <x v="0"/>
    <x v="3"/>
    <n v="16.32"/>
    <n v="26.85"/>
    <n v="144"/>
    <n v="179"/>
    <n v="35"/>
    <n v="571.20000000000005"/>
  </r>
  <r>
    <x v="0"/>
    <x v="0"/>
    <x v="181"/>
    <x v="181"/>
    <x v="0"/>
    <x v="3"/>
    <n v="17.18"/>
    <n v="25.98"/>
    <n v="108"/>
    <n v="639"/>
    <n v="531"/>
    <n v="9122.58"/>
  </r>
  <r>
    <x v="0"/>
    <x v="0"/>
    <x v="182"/>
    <x v="182"/>
    <x v="0"/>
    <x v="3"/>
    <n v="3.32"/>
    <n v="5.39"/>
    <n v="660"/>
    <n v="1896"/>
    <n v="1236"/>
    <n v="4103.5199999999995"/>
  </r>
  <r>
    <x v="0"/>
    <x v="0"/>
    <x v="183"/>
    <x v="183"/>
    <x v="0"/>
    <x v="3"/>
    <n v="3.91"/>
    <n v="6.87"/>
    <n v="35"/>
    <n v="59"/>
    <n v="24"/>
    <n v="93.84"/>
  </r>
  <r>
    <x v="0"/>
    <x v="0"/>
    <x v="184"/>
    <x v="184"/>
    <x v="0"/>
    <x v="3"/>
    <n v="6.71"/>
    <n v="11.15"/>
    <n v="95"/>
    <n v="129"/>
    <n v="34"/>
    <n v="228.14"/>
  </r>
  <r>
    <x v="0"/>
    <x v="0"/>
    <x v="185"/>
    <x v="185"/>
    <x v="0"/>
    <x v="4"/>
    <n v="6.29"/>
    <n v="8.98"/>
    <n v="116"/>
    <n v="204"/>
    <n v="88"/>
    <n v="553.52"/>
  </r>
  <r>
    <x v="0"/>
    <x v="0"/>
    <x v="186"/>
    <x v="186"/>
    <x v="0"/>
    <x v="4"/>
    <n v="5.12"/>
    <n v="8.25"/>
    <n v="117"/>
    <n v="208"/>
    <n v="91"/>
    <n v="465.92"/>
  </r>
  <r>
    <x v="0"/>
    <x v="0"/>
    <x v="187"/>
    <x v="187"/>
    <x v="0"/>
    <x v="4"/>
    <n v="6.05"/>
    <n v="10.02"/>
    <n v="38"/>
    <n v="72"/>
    <n v="34"/>
    <n v="205.7"/>
  </r>
  <r>
    <x v="0"/>
    <x v="0"/>
    <x v="188"/>
    <x v="188"/>
    <x v="0"/>
    <x v="4"/>
    <n v="6.19"/>
    <n v="9.77"/>
    <n v="69"/>
    <n v="139"/>
    <n v="70"/>
    <n v="433.3"/>
  </r>
  <r>
    <x v="0"/>
    <x v="0"/>
    <x v="189"/>
    <x v="189"/>
    <x v="0"/>
    <x v="4"/>
    <n v="4.5199999999999996"/>
    <n v="7.5"/>
    <n v="48"/>
    <n v="136"/>
    <n v="88"/>
    <n v="397.76"/>
  </r>
  <r>
    <x v="0"/>
    <x v="0"/>
    <x v="190"/>
    <x v="190"/>
    <x v="0"/>
    <x v="4"/>
    <n v="17.600000000000001"/>
    <n v="28.99"/>
    <n v="35"/>
    <n v="49"/>
    <n v="14"/>
    <n v="246.40000000000003"/>
  </r>
  <r>
    <x v="0"/>
    <x v="0"/>
    <x v="191"/>
    <x v="191"/>
    <x v="0"/>
    <x v="4"/>
    <n v="6.89"/>
    <n v="10.55"/>
    <n v="133"/>
    <n v="152"/>
    <n v="19"/>
    <n v="130.91"/>
  </r>
  <r>
    <x v="0"/>
    <x v="0"/>
    <x v="192"/>
    <x v="192"/>
    <x v="0"/>
    <x v="4"/>
    <n v="17.87"/>
    <n v="28.66"/>
    <n v="11"/>
    <n v="40"/>
    <n v="29"/>
    <n v="518.23"/>
  </r>
  <r>
    <x v="0"/>
    <x v="0"/>
    <x v="193"/>
    <x v="193"/>
    <x v="0"/>
    <x v="4"/>
    <n v="20.59"/>
    <n v="31.92"/>
    <n v="16"/>
    <n v="34"/>
    <n v="18"/>
    <n v="370.62"/>
  </r>
  <r>
    <x v="0"/>
    <x v="0"/>
    <x v="194"/>
    <x v="194"/>
    <x v="0"/>
    <x v="4"/>
    <n v="2.59"/>
    <n v="4.16"/>
    <n v="38"/>
    <n v="163"/>
    <n v="125"/>
    <n v="323.75"/>
  </r>
  <r>
    <x v="0"/>
    <x v="0"/>
    <x v="195"/>
    <x v="195"/>
    <x v="0"/>
    <x v="4"/>
    <n v="15.6"/>
    <n v="24.45"/>
    <n v="36"/>
    <n v="84"/>
    <n v="48"/>
    <n v="748.8"/>
  </r>
  <r>
    <x v="0"/>
    <x v="0"/>
    <x v="196"/>
    <x v="196"/>
    <x v="0"/>
    <x v="4"/>
    <n v="17.600000000000001"/>
    <n v="25.9"/>
    <n v="36"/>
    <n v="89"/>
    <n v="53"/>
    <n v="932.80000000000007"/>
  </r>
  <r>
    <x v="0"/>
    <x v="0"/>
    <x v="197"/>
    <x v="197"/>
    <x v="0"/>
    <x v="4"/>
    <n v="29.15"/>
    <n v="44"/>
    <n v="34"/>
    <n v="36"/>
    <n v="2"/>
    <n v="58.3"/>
  </r>
  <r>
    <x v="0"/>
    <x v="0"/>
    <x v="198"/>
    <x v="198"/>
    <x v="0"/>
    <x v="4"/>
    <n v="16.43"/>
    <n v="25"/>
    <n v="413"/>
    <n v="708"/>
    <n v="295"/>
    <n v="4846.8500000000004"/>
  </r>
  <r>
    <x v="0"/>
    <x v="0"/>
    <x v="199"/>
    <x v="199"/>
    <x v="0"/>
    <x v="4"/>
    <n v="18.98"/>
    <n v="29.75"/>
    <n v="50"/>
    <n v="170"/>
    <n v="120"/>
    <n v="2277.6"/>
  </r>
  <r>
    <x v="0"/>
    <x v="0"/>
    <x v="200"/>
    <x v="200"/>
    <x v="0"/>
    <x v="4"/>
    <n v="21.19"/>
    <n v="31.5"/>
    <n v="48"/>
    <n v="68"/>
    <n v="20"/>
    <n v="423.8"/>
  </r>
  <r>
    <x v="0"/>
    <x v="0"/>
    <x v="201"/>
    <x v="201"/>
    <x v="0"/>
    <x v="4"/>
    <n v="2.4500000000000002"/>
    <n v="3.89"/>
    <n v="106"/>
    <n v="171"/>
    <n v="65"/>
    <n v="159.25"/>
  </r>
  <r>
    <x v="0"/>
    <x v="0"/>
    <x v="202"/>
    <x v="202"/>
    <x v="0"/>
    <x v="4"/>
    <n v="6.43"/>
    <n v="11.78"/>
    <n v="25"/>
    <n v="130"/>
    <n v="105"/>
    <n v="675.15"/>
  </r>
  <r>
    <x v="0"/>
    <x v="0"/>
    <x v="203"/>
    <x v="203"/>
    <x v="0"/>
    <x v="4"/>
    <n v="0.73"/>
    <n v="1.28"/>
    <n v="65"/>
    <n v="379"/>
    <n v="314"/>
    <n v="229.22"/>
  </r>
  <r>
    <x v="0"/>
    <x v="0"/>
    <x v="204"/>
    <x v="204"/>
    <x v="0"/>
    <x v="4"/>
    <n v="0.73"/>
    <n v="1.28"/>
    <n v="75"/>
    <n v="388"/>
    <n v="313"/>
    <n v="228.48999999999998"/>
  </r>
  <r>
    <x v="0"/>
    <x v="0"/>
    <x v="205"/>
    <x v="205"/>
    <x v="0"/>
    <x v="4"/>
    <n v="0.73"/>
    <n v="1.32"/>
    <n v="76"/>
    <n v="355"/>
    <n v="279"/>
    <n v="203.67"/>
  </r>
  <r>
    <x v="0"/>
    <x v="0"/>
    <x v="206"/>
    <x v="206"/>
    <x v="0"/>
    <x v="4"/>
    <n v="0.73"/>
    <n v="1.06"/>
    <n v="214"/>
    <n v="303"/>
    <n v="89"/>
    <n v="64.97"/>
  </r>
  <r>
    <x v="0"/>
    <x v="0"/>
    <x v="207"/>
    <x v="207"/>
    <x v="0"/>
    <x v="4"/>
    <n v="1.17"/>
    <n v="1.77"/>
    <n v="521"/>
    <n v="654"/>
    <n v="133"/>
    <n v="155.60999999999999"/>
  </r>
  <r>
    <x v="0"/>
    <x v="0"/>
    <x v="208"/>
    <x v="208"/>
    <x v="0"/>
    <x v="4"/>
    <n v="18.63"/>
    <n v="32"/>
    <n v="17"/>
    <n v="32"/>
    <n v="15"/>
    <n v="279.45"/>
  </r>
  <r>
    <x v="0"/>
    <x v="0"/>
    <x v="209"/>
    <x v="209"/>
    <x v="0"/>
    <x v="4"/>
    <n v="17.100000000000001"/>
    <n v="25.12"/>
    <n v="12"/>
    <n v="37"/>
    <n v="25"/>
    <n v="427.50000000000006"/>
  </r>
  <r>
    <x v="0"/>
    <x v="0"/>
    <x v="210"/>
    <x v="210"/>
    <x v="0"/>
    <x v="4"/>
    <n v="13.23"/>
    <n v="19.5"/>
    <n v="8"/>
    <n v="34"/>
    <n v="26"/>
    <n v="343.98"/>
  </r>
  <r>
    <x v="0"/>
    <x v="0"/>
    <x v="211"/>
    <x v="211"/>
    <x v="0"/>
    <x v="4"/>
    <n v="3.65"/>
    <n v="5.4"/>
    <n v="405"/>
    <n v="428"/>
    <n v="23"/>
    <n v="83.95"/>
  </r>
  <r>
    <x v="0"/>
    <x v="0"/>
    <x v="212"/>
    <x v="212"/>
    <x v="0"/>
    <x v="4"/>
    <n v="8.67"/>
    <n v="13.05"/>
    <n v="93"/>
    <n v="156"/>
    <n v="63"/>
    <n v="546.21"/>
  </r>
  <r>
    <x v="0"/>
    <x v="0"/>
    <x v="213"/>
    <x v="213"/>
    <x v="0"/>
    <x v="4"/>
    <n v="6.13"/>
    <n v="9.5"/>
    <n v="121"/>
    <n v="234"/>
    <n v="113"/>
    <n v="692.68999999999994"/>
  </r>
  <r>
    <x v="0"/>
    <x v="0"/>
    <x v="214"/>
    <x v="214"/>
    <x v="0"/>
    <x v="4"/>
    <n v="9.0500000000000007"/>
    <n v="13.61"/>
    <n v="123"/>
    <n v="224"/>
    <n v="101"/>
    <n v="914.05000000000007"/>
  </r>
  <r>
    <x v="0"/>
    <x v="0"/>
    <x v="215"/>
    <x v="215"/>
    <x v="0"/>
    <x v="4"/>
    <n v="0.53"/>
    <n v="0.8"/>
    <n v="95"/>
    <n v="285"/>
    <n v="190"/>
    <n v="100.7"/>
  </r>
  <r>
    <x v="0"/>
    <x v="0"/>
    <x v="216"/>
    <x v="216"/>
    <x v="0"/>
    <x v="4"/>
    <n v="0.18"/>
    <n v="0.37"/>
    <n v="1523"/>
    <n v="10380"/>
    <n v="8857"/>
    <n v="1594.26"/>
  </r>
  <r>
    <x v="0"/>
    <x v="0"/>
    <x v="217"/>
    <x v="217"/>
    <x v="0"/>
    <x v="4"/>
    <n v="0.34"/>
    <n v="0.59"/>
    <n v="79"/>
    <n v="330"/>
    <n v="251"/>
    <n v="85.34"/>
  </r>
  <r>
    <x v="0"/>
    <x v="0"/>
    <x v="218"/>
    <x v="218"/>
    <x v="0"/>
    <x v="4"/>
    <n v="1.46"/>
    <n v="2.13"/>
    <n v="678"/>
    <n v="1445"/>
    <n v="767"/>
    <n v="1119.82"/>
  </r>
  <r>
    <x v="0"/>
    <x v="0"/>
    <x v="219"/>
    <x v="219"/>
    <x v="0"/>
    <x v="4"/>
    <n v="6.52"/>
    <n v="10.14"/>
    <n v="16"/>
    <n v="61"/>
    <n v="45"/>
    <n v="293.39999999999998"/>
  </r>
  <r>
    <x v="0"/>
    <x v="0"/>
    <x v="220"/>
    <x v="220"/>
    <x v="0"/>
    <x v="4"/>
    <n v="0.37"/>
    <n v="0.62"/>
    <n v="500"/>
    <n v="563"/>
    <n v="63"/>
    <n v="23.31"/>
  </r>
  <r>
    <x v="0"/>
    <x v="0"/>
    <x v="221"/>
    <x v="221"/>
    <x v="0"/>
    <x v="4"/>
    <n v="0.37"/>
    <n v="0.62"/>
    <n v="225"/>
    <n v="835"/>
    <n v="610"/>
    <n v="225.7"/>
  </r>
  <r>
    <x v="0"/>
    <x v="0"/>
    <x v="222"/>
    <x v="222"/>
    <x v="0"/>
    <x v="4"/>
    <n v="0.36"/>
    <n v="0.51"/>
    <n v="235"/>
    <n v="240"/>
    <n v="5"/>
    <n v="1.7999999999999998"/>
  </r>
  <r>
    <x v="0"/>
    <x v="0"/>
    <x v="223"/>
    <x v="223"/>
    <x v="0"/>
    <x v="4"/>
    <n v="0.43"/>
    <n v="0.65"/>
    <n v="319"/>
    <n v="696"/>
    <n v="377"/>
    <n v="162.10999999999999"/>
  </r>
  <r>
    <x v="0"/>
    <x v="0"/>
    <x v="224"/>
    <x v="224"/>
    <x v="0"/>
    <x v="4"/>
    <n v="0.17"/>
    <n v="0.28000000000000003"/>
    <n v="1382"/>
    <n v="3660"/>
    <n v="2278"/>
    <n v="387.26000000000005"/>
  </r>
  <r>
    <x v="0"/>
    <x v="0"/>
    <x v="225"/>
    <x v="225"/>
    <x v="0"/>
    <x v="4"/>
    <n v="19.72"/>
    <n v="28.75"/>
    <n v="59"/>
    <n v="146"/>
    <n v="87"/>
    <n v="1715.6399999999999"/>
  </r>
  <r>
    <x v="0"/>
    <x v="0"/>
    <x v="226"/>
    <x v="226"/>
    <x v="0"/>
    <x v="4"/>
    <n v="11.02"/>
    <n v="21.09"/>
    <n v="37"/>
    <n v="125"/>
    <n v="88"/>
    <n v="969.76"/>
  </r>
  <r>
    <x v="0"/>
    <x v="0"/>
    <x v="227"/>
    <x v="227"/>
    <x v="0"/>
    <x v="4"/>
    <n v="2.95"/>
    <n v="5.2"/>
    <n v="626"/>
    <n v="1315"/>
    <n v="689"/>
    <n v="2032.5500000000002"/>
  </r>
  <r>
    <x v="0"/>
    <x v="0"/>
    <x v="228"/>
    <x v="228"/>
    <x v="0"/>
    <x v="4"/>
    <n v="0.08"/>
    <n v="0.13"/>
    <n v="2993"/>
    <n v="3220"/>
    <n v="227"/>
    <n v="18.16"/>
  </r>
  <r>
    <x v="0"/>
    <x v="0"/>
    <x v="229"/>
    <x v="229"/>
    <x v="0"/>
    <x v="4"/>
    <n v="1.33"/>
    <n v="2.25"/>
    <n v="1025"/>
    <n v="1065"/>
    <n v="40"/>
    <n v="53.2"/>
  </r>
  <r>
    <x v="0"/>
    <x v="0"/>
    <x v="230"/>
    <x v="230"/>
    <x v="0"/>
    <x v="4"/>
    <n v="0.45"/>
    <n v="0.66"/>
    <n v="1439"/>
    <n v="1620"/>
    <n v="181"/>
    <n v="81.45"/>
  </r>
  <r>
    <x v="0"/>
    <x v="0"/>
    <x v="231"/>
    <x v="231"/>
    <x v="0"/>
    <x v="4"/>
    <n v="1.78"/>
    <n v="2.4300000000000002"/>
    <n v="983"/>
    <n v="1098"/>
    <n v="115"/>
    <n v="204.70000000000002"/>
  </r>
  <r>
    <x v="0"/>
    <x v="0"/>
    <x v="232"/>
    <x v="232"/>
    <x v="0"/>
    <x v="4"/>
    <n v="1.93"/>
    <n v="3.11"/>
    <n v="118"/>
    <n v="285"/>
    <n v="167"/>
    <n v="322.31"/>
  </r>
  <r>
    <x v="0"/>
    <x v="0"/>
    <x v="233"/>
    <x v="233"/>
    <x v="0"/>
    <x v="4"/>
    <n v="0.87"/>
    <n v="1.42"/>
    <n v="13"/>
    <n v="833"/>
    <n v="820"/>
    <n v="713.4"/>
  </r>
  <r>
    <x v="0"/>
    <x v="0"/>
    <x v="234"/>
    <x v="234"/>
    <x v="0"/>
    <x v="4"/>
    <n v="0.92"/>
    <n v="1.5"/>
    <n v="312"/>
    <n v="335"/>
    <n v="23"/>
    <n v="21.16"/>
  </r>
  <r>
    <x v="0"/>
    <x v="0"/>
    <x v="235"/>
    <x v="235"/>
    <x v="0"/>
    <x v="4"/>
    <n v="6.45"/>
    <n v="10.55"/>
    <n v="37"/>
    <n v="457"/>
    <n v="420"/>
    <n v="2709"/>
  </r>
  <r>
    <x v="0"/>
    <x v="0"/>
    <x v="236"/>
    <x v="236"/>
    <x v="0"/>
    <x v="4"/>
    <n v="3.14"/>
    <n v="5.15"/>
    <n v="49"/>
    <n v="94"/>
    <n v="45"/>
    <n v="141.30000000000001"/>
  </r>
  <r>
    <x v="0"/>
    <x v="0"/>
    <x v="237"/>
    <x v="237"/>
    <x v="0"/>
    <x v="4"/>
    <n v="2.48"/>
    <n v="2.34"/>
    <n v="1696"/>
    <n v="5623"/>
    <n v="3927"/>
    <n v="9738.9599999999991"/>
  </r>
  <r>
    <x v="0"/>
    <x v="0"/>
    <x v="238"/>
    <x v="238"/>
    <x v="0"/>
    <x v="4"/>
    <n v="2.12"/>
    <n v="4.03"/>
    <n v="216"/>
    <n v="301"/>
    <n v="85"/>
    <n v="180.20000000000002"/>
  </r>
  <r>
    <x v="0"/>
    <x v="0"/>
    <x v="239"/>
    <x v="239"/>
    <x v="0"/>
    <x v="4"/>
    <n v="4.79"/>
    <n v="9.6999999999999993"/>
    <n v="595"/>
    <n v="657"/>
    <n v="62"/>
    <n v="296.98"/>
  </r>
  <r>
    <x v="0"/>
    <x v="0"/>
    <x v="240"/>
    <x v="240"/>
    <x v="0"/>
    <x v="4"/>
    <n v="5.18"/>
    <n v="8"/>
    <n v="138"/>
    <n v="180"/>
    <n v="42"/>
    <n v="217.56"/>
  </r>
  <r>
    <x v="0"/>
    <x v="0"/>
    <x v="241"/>
    <x v="241"/>
    <x v="0"/>
    <x v="4"/>
    <n v="4.91"/>
    <n v="8"/>
    <n v="76"/>
    <n v="116"/>
    <n v="40"/>
    <n v="196.4"/>
  </r>
  <r>
    <x v="0"/>
    <x v="0"/>
    <x v="242"/>
    <x v="242"/>
    <x v="0"/>
    <x v="4"/>
    <n v="2.5499999999999998"/>
    <n v="5.56"/>
    <n v="48"/>
    <n v="111"/>
    <n v="63"/>
    <n v="160.64999999999998"/>
  </r>
  <r>
    <x v="0"/>
    <x v="0"/>
    <x v="243"/>
    <x v="243"/>
    <x v="0"/>
    <x v="4"/>
    <n v="1.08"/>
    <n v="1.63"/>
    <n v="106"/>
    <n v="233"/>
    <n v="127"/>
    <n v="137.16"/>
  </r>
  <r>
    <x v="0"/>
    <x v="0"/>
    <x v="244"/>
    <x v="244"/>
    <x v="0"/>
    <x v="4"/>
    <n v="12.28"/>
    <n v="19.71"/>
    <n v="3"/>
    <n v="20"/>
    <n v="17"/>
    <n v="208.76"/>
  </r>
  <r>
    <x v="0"/>
    <x v="0"/>
    <x v="245"/>
    <x v="245"/>
    <x v="0"/>
    <x v="4"/>
    <n v="0.6"/>
    <n v="3.22"/>
    <n v="96"/>
    <n v="439"/>
    <n v="343"/>
    <n v="205.79999999999998"/>
  </r>
  <r>
    <x v="0"/>
    <x v="0"/>
    <x v="246"/>
    <x v="246"/>
    <x v="0"/>
    <x v="4"/>
    <n v="2.0299999999999998"/>
    <n v="2.92"/>
    <n v="155"/>
    <n v="175"/>
    <n v="20"/>
    <n v="40.599999999999994"/>
  </r>
  <r>
    <x v="0"/>
    <x v="0"/>
    <x v="247"/>
    <x v="247"/>
    <x v="0"/>
    <x v="4"/>
    <n v="8.85"/>
    <n v="16.940000000000001"/>
    <n v="33"/>
    <n v="147"/>
    <n v="114"/>
    <n v="1008.9"/>
  </r>
  <r>
    <x v="0"/>
    <x v="0"/>
    <x v="248"/>
    <x v="248"/>
    <x v="0"/>
    <x v="4"/>
    <n v="1.87"/>
    <n v="2.99"/>
    <n v="142"/>
    <n v="373"/>
    <n v="231"/>
    <n v="431.97"/>
  </r>
  <r>
    <x v="0"/>
    <x v="0"/>
    <x v="249"/>
    <x v="249"/>
    <x v="0"/>
    <x v="4"/>
    <n v="3.09"/>
    <n v="4.8099999999999996"/>
    <n v="167"/>
    <n v="937"/>
    <n v="770"/>
    <n v="2379.2999999999997"/>
  </r>
  <r>
    <x v="0"/>
    <x v="0"/>
    <x v="250"/>
    <x v="250"/>
    <x v="0"/>
    <x v="4"/>
    <n v="3.05"/>
    <n v="5.05"/>
    <n v="146"/>
    <n v="357"/>
    <n v="211"/>
    <n v="643.54999999999995"/>
  </r>
  <r>
    <x v="0"/>
    <x v="0"/>
    <x v="251"/>
    <x v="251"/>
    <x v="0"/>
    <x v="4"/>
    <n v="0.3"/>
    <n v="0.51"/>
    <n v="382"/>
    <n v="1655"/>
    <n v="1273"/>
    <n v="381.9"/>
  </r>
  <r>
    <x v="0"/>
    <x v="0"/>
    <x v="252"/>
    <x v="252"/>
    <x v="0"/>
    <x v="4"/>
    <n v="5.23"/>
    <n v="8.6999999999999993"/>
    <n v="40"/>
    <n v="57"/>
    <n v="17"/>
    <n v="88.910000000000011"/>
  </r>
  <r>
    <x v="0"/>
    <x v="0"/>
    <x v="253"/>
    <x v="253"/>
    <x v="0"/>
    <x v="4"/>
    <n v="1.0900000000000001"/>
    <n v="1.53"/>
    <n v="578"/>
    <n v="814"/>
    <n v="236"/>
    <n v="257.24"/>
  </r>
  <r>
    <x v="0"/>
    <x v="0"/>
    <x v="254"/>
    <x v="254"/>
    <x v="0"/>
    <x v="4"/>
    <n v="0.79"/>
    <n v="1.18"/>
    <n v="833"/>
    <n v="950"/>
    <n v="117"/>
    <n v="92.43"/>
  </r>
  <r>
    <x v="0"/>
    <x v="0"/>
    <x v="255"/>
    <x v="255"/>
    <x v="0"/>
    <x v="4"/>
    <n v="0.99"/>
    <n v="1.39"/>
    <n v="607"/>
    <n v="895"/>
    <n v="288"/>
    <n v="285.12"/>
  </r>
  <r>
    <x v="0"/>
    <x v="0"/>
    <x v="256"/>
    <x v="256"/>
    <x v="0"/>
    <x v="4"/>
    <n v="0.69"/>
    <n v="0.99"/>
    <n v="437"/>
    <n v="535"/>
    <n v="98"/>
    <n v="67.61999999999999"/>
  </r>
  <r>
    <x v="0"/>
    <x v="0"/>
    <x v="257"/>
    <x v="257"/>
    <x v="0"/>
    <x v="4"/>
    <n v="0.84"/>
    <n v="1.4"/>
    <n v="3"/>
    <n v="250"/>
    <n v="247"/>
    <n v="207.48"/>
  </r>
  <r>
    <x v="0"/>
    <x v="0"/>
    <x v="258"/>
    <x v="258"/>
    <x v="0"/>
    <x v="4"/>
    <n v="2.92"/>
    <n v="4.5"/>
    <n v="523"/>
    <n v="1469"/>
    <n v="946"/>
    <n v="2762.3199999999997"/>
  </r>
  <r>
    <x v="0"/>
    <x v="0"/>
    <x v="259"/>
    <x v="259"/>
    <x v="0"/>
    <x v="4"/>
    <n v="3.43"/>
    <n v="4.5999999999999996"/>
    <n v="87"/>
    <n v="111"/>
    <n v="24"/>
    <n v="82.320000000000007"/>
  </r>
  <r>
    <x v="0"/>
    <x v="0"/>
    <x v="260"/>
    <x v="260"/>
    <x v="0"/>
    <x v="4"/>
    <n v="1.3"/>
    <n v="2.25"/>
    <n v="325"/>
    <n v="679"/>
    <n v="354"/>
    <n v="460.2"/>
  </r>
  <r>
    <x v="0"/>
    <x v="0"/>
    <x v="261"/>
    <x v="261"/>
    <x v="0"/>
    <x v="4"/>
    <n v="6.29"/>
    <n v="8.6300000000000008"/>
    <n v="123"/>
    <n v="180"/>
    <n v="57"/>
    <n v="358.53000000000003"/>
  </r>
  <r>
    <x v="0"/>
    <x v="0"/>
    <x v="262"/>
    <x v="262"/>
    <x v="0"/>
    <x v="4"/>
    <n v="1.59"/>
    <n v="2.79"/>
    <n v="66"/>
    <n v="220"/>
    <n v="154"/>
    <n v="244.86"/>
  </r>
  <r>
    <x v="0"/>
    <x v="0"/>
    <x v="263"/>
    <x v="263"/>
    <x v="0"/>
    <x v="4"/>
    <n v="1.57"/>
    <n v="2.63"/>
    <n v="382"/>
    <n v="851"/>
    <n v="469"/>
    <n v="736.33"/>
  </r>
  <r>
    <x v="0"/>
    <x v="0"/>
    <x v="264"/>
    <x v="264"/>
    <x v="0"/>
    <x v="4"/>
    <n v="1.1599999999999999"/>
    <n v="1.77"/>
    <n v="108"/>
    <n v="288"/>
    <n v="180"/>
    <n v="208.79999999999998"/>
  </r>
  <r>
    <x v="0"/>
    <x v="0"/>
    <x v="265"/>
    <x v="265"/>
    <x v="0"/>
    <x v="4"/>
    <n v="2.41"/>
    <n v="2.87"/>
    <n v="122"/>
    <n v="414"/>
    <n v="292"/>
    <n v="703.72"/>
  </r>
  <r>
    <x v="0"/>
    <x v="0"/>
    <x v="266"/>
    <x v="266"/>
    <x v="0"/>
    <x v="4"/>
    <n v="2.0299999999999998"/>
    <n v="2.63"/>
    <n v="158"/>
    <n v="250"/>
    <n v="92"/>
    <n v="186.76"/>
  </r>
  <r>
    <x v="0"/>
    <x v="0"/>
    <x v="267"/>
    <x v="267"/>
    <x v="0"/>
    <x v="4"/>
    <n v="2.41"/>
    <n v="2.82"/>
    <n v="63"/>
    <n v="477"/>
    <n v="414"/>
    <n v="997.74"/>
  </r>
  <r>
    <x v="0"/>
    <x v="0"/>
    <x v="268"/>
    <x v="268"/>
    <x v="0"/>
    <x v="4"/>
    <n v="0.54"/>
    <n v="0.86"/>
    <n v="583"/>
    <n v="2413"/>
    <n v="1830"/>
    <n v="988.2"/>
  </r>
  <r>
    <x v="0"/>
    <x v="0"/>
    <x v="269"/>
    <x v="269"/>
    <x v="0"/>
    <x v="4"/>
    <n v="1.34"/>
    <n v="2.17"/>
    <n v="828"/>
    <n v="1306"/>
    <n v="478"/>
    <n v="640.52"/>
  </r>
  <r>
    <x v="0"/>
    <x v="0"/>
    <x v="270"/>
    <x v="270"/>
    <x v="0"/>
    <x v="4"/>
    <n v="0.28000000000000003"/>
    <n v="0.4"/>
    <n v="312"/>
    <n v="2614"/>
    <n v="2302"/>
    <n v="644.56000000000006"/>
  </r>
  <r>
    <x v="0"/>
    <x v="0"/>
    <x v="271"/>
    <x v="271"/>
    <x v="0"/>
    <x v="4"/>
    <n v="5.56"/>
    <n v="9.48"/>
    <n v="38"/>
    <n v="111"/>
    <n v="73"/>
    <n v="405.88"/>
  </r>
  <r>
    <x v="0"/>
    <x v="0"/>
    <x v="272"/>
    <x v="272"/>
    <x v="0"/>
    <x v="4"/>
    <n v="2.78"/>
    <n v="4.62"/>
    <n v="50"/>
    <n v="102"/>
    <n v="52"/>
    <n v="144.56"/>
  </r>
  <r>
    <x v="0"/>
    <x v="0"/>
    <x v="273"/>
    <x v="273"/>
    <x v="0"/>
    <x v="4"/>
    <n v="1.46"/>
    <n v="2.11"/>
    <n v="50"/>
    <n v="251"/>
    <n v="201"/>
    <n v="293.45999999999998"/>
  </r>
  <r>
    <x v="0"/>
    <x v="0"/>
    <x v="274"/>
    <x v="274"/>
    <x v="0"/>
    <x v="4"/>
    <n v="2.27"/>
    <n v="3.78"/>
    <n v="326"/>
    <n v="822"/>
    <n v="496"/>
    <n v="1125.92"/>
  </r>
  <r>
    <x v="0"/>
    <x v="0"/>
    <x v="275"/>
    <x v="275"/>
    <x v="0"/>
    <x v="4"/>
    <n v="1.19"/>
    <n v="1.91"/>
    <n v="293"/>
    <n v="764"/>
    <n v="471"/>
    <n v="560.49"/>
  </r>
  <r>
    <x v="0"/>
    <x v="0"/>
    <x v="276"/>
    <x v="276"/>
    <x v="0"/>
    <x v="4"/>
    <n v="1.19"/>
    <n v="1.91"/>
    <n v="280"/>
    <n v="753"/>
    <n v="473"/>
    <n v="562.87"/>
  </r>
  <r>
    <x v="0"/>
    <x v="0"/>
    <x v="277"/>
    <x v="277"/>
    <x v="0"/>
    <x v="4"/>
    <n v="1.19"/>
    <n v="2.0699999999999998"/>
    <n v="189"/>
    <n v="342"/>
    <n v="153"/>
    <n v="182.07"/>
  </r>
  <r>
    <x v="0"/>
    <x v="0"/>
    <x v="278"/>
    <x v="278"/>
    <x v="0"/>
    <x v="4"/>
    <n v="0.06"/>
    <n v="0.28000000000000003"/>
    <n v="3361"/>
    <n v="4290"/>
    <n v="929"/>
    <n v="55.739999999999995"/>
  </r>
  <r>
    <x v="0"/>
    <x v="0"/>
    <x v="279"/>
    <x v="279"/>
    <x v="0"/>
    <x v="4"/>
    <n v="0.12"/>
    <n v="0.2"/>
    <n v="960"/>
    <n v="1570"/>
    <n v="610"/>
    <n v="73.2"/>
  </r>
  <r>
    <x v="0"/>
    <x v="0"/>
    <x v="280"/>
    <x v="280"/>
    <x v="0"/>
    <x v="4"/>
    <n v="3.23"/>
    <n v="5.2"/>
    <n v="59"/>
    <n v="83"/>
    <n v="24"/>
    <n v="77.52"/>
  </r>
  <r>
    <x v="0"/>
    <x v="0"/>
    <x v="281"/>
    <x v="281"/>
    <x v="0"/>
    <x v="4"/>
    <n v="1"/>
    <n v="5.56"/>
    <n v="65"/>
    <n v="86"/>
    <n v="21"/>
    <n v="21"/>
  </r>
  <r>
    <x v="0"/>
    <x v="0"/>
    <x v="282"/>
    <x v="282"/>
    <x v="0"/>
    <x v="4"/>
    <n v="9.2899999999999991"/>
    <n v="14.15"/>
    <n v="56"/>
    <n v="121"/>
    <n v="65"/>
    <n v="603.84999999999991"/>
  </r>
  <r>
    <x v="0"/>
    <x v="0"/>
    <x v="283"/>
    <x v="283"/>
    <x v="0"/>
    <x v="4"/>
    <n v="9.14"/>
    <n v="14"/>
    <n v="44"/>
    <n v="132"/>
    <n v="88"/>
    <n v="804.32"/>
  </r>
  <r>
    <x v="0"/>
    <x v="0"/>
    <x v="284"/>
    <x v="284"/>
    <x v="0"/>
    <x v="4"/>
    <n v="1.1399999999999999"/>
    <n v="1.89"/>
    <n v="130"/>
    <n v="199"/>
    <n v="69"/>
    <n v="78.66"/>
  </r>
  <r>
    <x v="0"/>
    <x v="0"/>
    <x v="285"/>
    <x v="285"/>
    <x v="0"/>
    <x v="5"/>
    <n v="18.670000000000002"/>
    <n v="27.06"/>
    <n v="76"/>
    <n v="92"/>
    <n v="16"/>
    <n v="298.72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87">
  <r>
    <x v="0"/>
    <x v="0"/>
    <x v="0"/>
    <x v="0"/>
    <x v="0"/>
    <n v="6.9470000000000001"/>
    <n v="10"/>
    <n v="69.47"/>
  </r>
  <r>
    <x v="1"/>
    <x v="1"/>
    <x v="1"/>
    <x v="1"/>
    <x v="1"/>
    <n v="0.6"/>
    <n v="5"/>
    <n v="3"/>
  </r>
  <r>
    <x v="1"/>
    <x v="2"/>
    <x v="2"/>
    <x v="1"/>
    <x v="1"/>
    <n v="4.92"/>
    <n v="1"/>
    <n v="4.92"/>
  </r>
  <r>
    <x v="1"/>
    <x v="3"/>
    <x v="3"/>
    <x v="1"/>
    <x v="1"/>
    <n v="0.72"/>
    <n v="2"/>
    <n v="1.44"/>
  </r>
  <r>
    <x v="1"/>
    <x v="4"/>
    <x v="4"/>
    <x v="1"/>
    <x v="1"/>
    <n v="0.39"/>
    <n v="4"/>
    <n v="1.56"/>
  </r>
  <r>
    <x v="1"/>
    <x v="5"/>
    <x v="5"/>
    <x v="1"/>
    <x v="1"/>
    <n v="1.65"/>
    <n v="2"/>
    <n v="3.3"/>
  </r>
  <r>
    <x v="1"/>
    <x v="6"/>
    <x v="6"/>
    <x v="1"/>
    <x v="1"/>
    <n v="26.587"/>
    <n v="2"/>
    <n v="53.173999999999999"/>
  </r>
  <r>
    <x v="1"/>
    <x v="7"/>
    <x v="7"/>
    <x v="1"/>
    <x v="1"/>
    <n v="673.23"/>
    <n v="1"/>
    <n v="673.23"/>
  </r>
  <r>
    <x v="1"/>
    <x v="8"/>
    <x v="8"/>
    <x v="1"/>
    <x v="1"/>
    <n v="250"/>
    <n v="1"/>
    <n v="250"/>
  </r>
  <r>
    <x v="1"/>
    <x v="9"/>
    <x v="9"/>
    <x v="1"/>
    <x v="1"/>
    <n v="150"/>
    <n v="1"/>
    <n v="150"/>
  </r>
  <r>
    <x v="1"/>
    <x v="10"/>
    <x v="10"/>
    <x v="1"/>
    <x v="1"/>
    <n v="150"/>
    <n v="1"/>
    <n v="150"/>
  </r>
  <r>
    <x v="1"/>
    <x v="11"/>
    <x v="11"/>
    <x v="1"/>
    <x v="1"/>
    <n v="30"/>
    <n v="1"/>
    <n v="30"/>
  </r>
  <r>
    <x v="2"/>
    <x v="12"/>
    <x v="12"/>
    <x v="2"/>
    <x v="1"/>
    <n v="93.86"/>
    <n v="3"/>
    <n v="281.58"/>
  </r>
  <r>
    <x v="1"/>
    <x v="13"/>
    <x v="13"/>
    <x v="1"/>
    <x v="1"/>
    <n v="0.89"/>
    <n v="11"/>
    <n v="9.7900000000000009"/>
  </r>
  <r>
    <x v="1"/>
    <x v="14"/>
    <x v="14"/>
    <x v="1"/>
    <x v="1"/>
    <n v="1.2090000000000001"/>
    <n v="18"/>
    <n v="21.762"/>
  </r>
  <r>
    <x v="1"/>
    <x v="15"/>
    <x v="15"/>
    <x v="1"/>
    <x v="1"/>
    <n v="0.34"/>
    <n v="28"/>
    <n v="9.5200000000000014"/>
  </r>
  <r>
    <x v="1"/>
    <x v="16"/>
    <x v="16"/>
    <x v="1"/>
    <x v="1"/>
    <n v="0.44600000000000001"/>
    <n v="28"/>
    <n v="12.488"/>
  </r>
  <r>
    <x v="1"/>
    <x v="17"/>
    <x v="17"/>
    <x v="1"/>
    <x v="1"/>
    <n v="1.208"/>
    <n v="22"/>
    <n v="26.576000000000001"/>
  </r>
  <r>
    <x v="1"/>
    <x v="18"/>
    <x v="18"/>
    <x v="1"/>
    <x v="1"/>
    <n v="0.59699999999999998"/>
    <n v="402"/>
    <n v="239.994"/>
  </r>
  <r>
    <x v="1"/>
    <x v="19"/>
    <x v="19"/>
    <x v="1"/>
    <x v="1"/>
    <n v="0.72"/>
    <n v="3"/>
    <n v="2.16"/>
  </r>
  <r>
    <x v="1"/>
    <x v="20"/>
    <x v="20"/>
    <x v="1"/>
    <x v="1"/>
    <n v="0.5"/>
    <n v="2"/>
    <n v="1"/>
  </r>
  <r>
    <x v="1"/>
    <x v="21"/>
    <x v="21"/>
    <x v="1"/>
    <x v="1"/>
    <n v="9.7240000000000002"/>
    <n v="5"/>
    <n v="48.620000000000005"/>
  </r>
  <r>
    <x v="1"/>
    <x v="22"/>
    <x v="22"/>
    <x v="1"/>
    <x v="1"/>
    <n v="51.39"/>
    <n v="1"/>
    <n v="51.39"/>
  </r>
  <r>
    <x v="1"/>
    <x v="23"/>
    <x v="23"/>
    <x v="1"/>
    <x v="1"/>
    <n v="30.7"/>
    <n v="8"/>
    <n v="245.6"/>
  </r>
  <r>
    <x v="1"/>
    <x v="24"/>
    <x v="24"/>
    <x v="1"/>
    <x v="1"/>
    <n v="0.36499999999999999"/>
    <n v="22"/>
    <n v="8.0299999999999994"/>
  </r>
  <r>
    <x v="1"/>
    <x v="25"/>
    <x v="25"/>
    <x v="1"/>
    <x v="1"/>
    <n v="0.75"/>
    <n v="24"/>
    <n v="18"/>
  </r>
  <r>
    <x v="1"/>
    <x v="26"/>
    <x v="26"/>
    <x v="1"/>
    <x v="1"/>
    <n v="0.05"/>
    <n v="6"/>
    <n v="0.30000000000000004"/>
  </r>
  <r>
    <x v="1"/>
    <x v="27"/>
    <x v="27"/>
    <x v="1"/>
    <x v="1"/>
    <n v="2.5000000000000001E-2"/>
    <n v="6"/>
    <n v="0.15000000000000002"/>
  </r>
  <r>
    <x v="1"/>
    <x v="28"/>
    <x v="28"/>
    <x v="3"/>
    <x v="2"/>
    <n v="2.3769999999999998"/>
    <n v="35"/>
    <n v="83.194999999999993"/>
  </r>
  <r>
    <x v="2"/>
    <x v="29"/>
    <x v="29"/>
    <x v="2"/>
    <x v="1"/>
    <n v="146.35"/>
    <n v="2"/>
    <n v="292.7"/>
  </r>
  <r>
    <x v="1"/>
    <x v="30"/>
    <x v="30"/>
    <x v="3"/>
    <x v="2"/>
    <n v="3.5999999999999997E-2"/>
    <n v="9"/>
    <n v="0.32399999999999995"/>
  </r>
  <r>
    <x v="1"/>
    <x v="31"/>
    <x v="31"/>
    <x v="1"/>
    <x v="1"/>
    <n v="2.3E-2"/>
    <n v="46"/>
    <n v="1.0580000000000001"/>
  </r>
  <r>
    <x v="1"/>
    <x v="32"/>
    <x v="32"/>
    <x v="3"/>
    <x v="2"/>
    <n v="5.1999999999999998E-2"/>
    <n v="12"/>
    <n v="0.624"/>
  </r>
  <r>
    <x v="1"/>
    <x v="33"/>
    <x v="33"/>
    <x v="1"/>
    <x v="1"/>
    <n v="3.2000000000000001E-2"/>
    <n v="181"/>
    <n v="5.7919999999999998"/>
  </r>
  <r>
    <x v="1"/>
    <x v="34"/>
    <x v="34"/>
    <x v="1"/>
    <x v="1"/>
    <n v="6.4000000000000001E-2"/>
    <n v="79"/>
    <n v="5.056"/>
  </r>
  <r>
    <x v="2"/>
    <x v="35"/>
    <x v="35"/>
    <x v="4"/>
    <x v="3"/>
    <n v="230"/>
    <n v="1"/>
    <n v="230"/>
  </r>
  <r>
    <x v="2"/>
    <x v="36"/>
    <x v="36"/>
    <x v="5"/>
    <x v="3"/>
    <n v="0"/>
    <n v="1"/>
    <n v="0"/>
  </r>
  <r>
    <x v="1"/>
    <x v="37"/>
    <x v="37"/>
    <x v="6"/>
    <x v="2"/>
    <n v="132.91"/>
    <n v="3"/>
    <n v="398.73"/>
  </r>
  <r>
    <x v="1"/>
    <x v="38"/>
    <x v="38"/>
    <x v="6"/>
    <x v="2"/>
    <n v="132.91"/>
    <n v="1"/>
    <n v="132.91"/>
  </r>
  <r>
    <x v="1"/>
    <x v="39"/>
    <x v="39"/>
    <x v="1"/>
    <x v="1"/>
    <n v="136.5"/>
    <n v="2"/>
    <n v="273"/>
  </r>
  <r>
    <x v="1"/>
    <x v="40"/>
    <x v="40"/>
    <x v="1"/>
    <x v="1"/>
    <n v="373.37"/>
    <n v="1"/>
    <n v="373.37"/>
  </r>
  <r>
    <x v="1"/>
    <x v="41"/>
    <x v="41"/>
    <x v="7"/>
    <x v="1"/>
    <n v="57.79"/>
    <n v="2"/>
    <n v="115.58"/>
  </r>
  <r>
    <x v="1"/>
    <x v="42"/>
    <x v="42"/>
    <x v="8"/>
    <x v="2"/>
    <n v="0"/>
    <n v="1"/>
    <n v="0"/>
  </r>
  <r>
    <x v="1"/>
    <x v="43"/>
    <x v="43"/>
    <x v="9"/>
    <x v="2"/>
    <n v="0"/>
    <n v="4"/>
    <n v="0"/>
  </r>
  <r>
    <x v="1"/>
    <x v="44"/>
    <x v="44"/>
    <x v="9"/>
    <x v="2"/>
    <n v="0"/>
    <n v="6"/>
    <n v="0"/>
  </r>
  <r>
    <x v="1"/>
    <x v="45"/>
    <x v="45"/>
    <x v="9"/>
    <x v="2"/>
    <n v="0"/>
    <n v="4"/>
    <n v="0"/>
  </r>
  <r>
    <x v="1"/>
    <x v="46"/>
    <x v="46"/>
    <x v="9"/>
    <x v="2"/>
    <n v="0"/>
    <n v="1"/>
    <n v="0"/>
  </r>
  <r>
    <x v="1"/>
    <x v="47"/>
    <x v="47"/>
    <x v="8"/>
    <x v="2"/>
    <n v="0"/>
    <n v="1"/>
    <n v="0"/>
  </r>
  <r>
    <x v="1"/>
    <x v="48"/>
    <x v="48"/>
    <x v="3"/>
    <x v="2"/>
    <n v="0"/>
    <n v="1"/>
    <n v="0"/>
  </r>
  <r>
    <x v="1"/>
    <x v="49"/>
    <x v="49"/>
    <x v="3"/>
    <x v="2"/>
    <n v="0"/>
    <n v="1"/>
    <n v="0"/>
  </r>
  <r>
    <x v="1"/>
    <x v="50"/>
    <x v="50"/>
    <x v="3"/>
    <x v="2"/>
    <n v="0"/>
    <n v="1"/>
    <n v="0"/>
  </r>
  <r>
    <x v="1"/>
    <x v="51"/>
    <x v="51"/>
    <x v="1"/>
    <x v="4"/>
    <n v="0"/>
    <n v="1"/>
    <n v="0"/>
  </r>
  <r>
    <x v="1"/>
    <x v="52"/>
    <x v="52"/>
    <x v="9"/>
    <x v="2"/>
    <n v="0"/>
    <n v="1"/>
    <n v="0"/>
  </r>
  <r>
    <x v="1"/>
    <x v="53"/>
    <x v="53"/>
    <x v="9"/>
    <x v="2"/>
    <n v="0"/>
    <n v="5"/>
    <n v="0"/>
  </r>
  <r>
    <x v="1"/>
    <x v="54"/>
    <x v="54"/>
    <x v="9"/>
    <x v="2"/>
    <n v="0"/>
    <n v="1"/>
    <n v="0"/>
  </r>
  <r>
    <x v="1"/>
    <x v="55"/>
    <x v="55"/>
    <x v="9"/>
    <x v="2"/>
    <n v="0"/>
    <n v="1"/>
    <n v="0"/>
  </r>
  <r>
    <x v="1"/>
    <x v="56"/>
    <x v="56"/>
    <x v="9"/>
    <x v="2"/>
    <n v="0"/>
    <n v="1"/>
    <n v="0"/>
  </r>
  <r>
    <x v="1"/>
    <x v="57"/>
    <x v="57"/>
    <x v="10"/>
    <x v="2"/>
    <n v="0"/>
    <n v="1"/>
    <n v="0"/>
  </r>
  <r>
    <x v="1"/>
    <x v="58"/>
    <x v="58"/>
    <x v="10"/>
    <x v="2"/>
    <n v="0"/>
    <n v="3"/>
    <n v="0"/>
  </r>
  <r>
    <x v="2"/>
    <x v="59"/>
    <x v="59"/>
    <x v="10"/>
    <x v="2"/>
    <n v="279.70530000000002"/>
    <n v="7"/>
    <n v="1957.9371000000001"/>
  </r>
  <r>
    <x v="1"/>
    <x v="59"/>
    <x v="59"/>
    <x v="10"/>
    <x v="2"/>
    <n v="279.70530000000002"/>
    <n v="7"/>
    <n v="1957.9371000000001"/>
  </r>
  <r>
    <x v="1"/>
    <x v="60"/>
    <x v="60"/>
    <x v="10"/>
    <x v="2"/>
    <n v="0"/>
    <n v="6"/>
    <n v="0"/>
  </r>
  <r>
    <x v="1"/>
    <x v="61"/>
    <x v="61"/>
    <x v="6"/>
    <x v="2"/>
    <n v="15.853"/>
    <n v="5"/>
    <n v="79.265000000000001"/>
  </r>
  <r>
    <x v="0"/>
    <x v="62"/>
    <x v="62"/>
    <x v="11"/>
    <x v="5"/>
    <n v="3152.5"/>
    <n v="1"/>
    <n v="3152.5"/>
  </r>
  <r>
    <x v="0"/>
    <x v="63"/>
    <x v="63"/>
    <x v="12"/>
    <x v="6"/>
    <n v="0.80869999999999997"/>
    <n v="2425"/>
    <n v="1961.0974999999999"/>
  </r>
  <r>
    <x v="0"/>
    <x v="64"/>
    <x v="64"/>
    <x v="12"/>
    <x v="6"/>
    <n v="0.35"/>
    <n v="733"/>
    <n v="256.55"/>
  </r>
  <r>
    <x v="0"/>
    <x v="65"/>
    <x v="65"/>
    <x v="12"/>
    <x v="6"/>
    <n v="0.81320000000000003"/>
    <n v="862"/>
    <n v="700.97840000000008"/>
  </r>
  <r>
    <x v="0"/>
    <x v="66"/>
    <x v="66"/>
    <x v="12"/>
    <x v="6"/>
    <n v="0.496"/>
    <n v="1392"/>
    <n v="690.43200000000002"/>
  </r>
  <r>
    <x v="1"/>
    <x v="67"/>
    <x v="67"/>
    <x v="13"/>
    <x v="5"/>
    <n v="16870.98"/>
    <n v="1"/>
    <n v="16870.98"/>
  </r>
  <r>
    <x v="2"/>
    <x v="68"/>
    <x v="68"/>
    <x v="14"/>
    <x v="6"/>
    <n v="2.6200000000000001E-2"/>
    <n v="2538"/>
    <n v="66.495599999999996"/>
  </r>
  <r>
    <x v="0"/>
    <x v="68"/>
    <x v="68"/>
    <x v="14"/>
    <x v="6"/>
    <n v="2.6200000000000001E-2"/>
    <n v="2538"/>
    <n v="66.495599999999996"/>
  </r>
  <r>
    <x v="0"/>
    <x v="69"/>
    <x v="69"/>
    <x v="14"/>
    <x v="6"/>
    <n v="4.8899999999999999E-2"/>
    <n v="2934"/>
    <n v="143.4726"/>
  </r>
  <r>
    <x v="0"/>
    <x v="70"/>
    <x v="70"/>
    <x v="14"/>
    <x v="6"/>
    <n v="4.7100000000000003E-2"/>
    <n v="3182"/>
    <n v="149.87220000000002"/>
  </r>
  <r>
    <x v="2"/>
    <x v="71"/>
    <x v="71"/>
    <x v="0"/>
    <x v="0"/>
    <n v="9.69"/>
    <n v="14"/>
    <n v="135.66"/>
  </r>
  <r>
    <x v="2"/>
    <x v="72"/>
    <x v="72"/>
    <x v="0"/>
    <x v="0"/>
    <n v="10.66"/>
    <n v="10"/>
    <n v="106.6"/>
  </r>
  <r>
    <x v="2"/>
    <x v="73"/>
    <x v="73"/>
    <x v="0"/>
    <x v="0"/>
    <n v="11.32"/>
    <n v="9"/>
    <n v="101.88"/>
  </r>
  <r>
    <x v="2"/>
    <x v="74"/>
    <x v="74"/>
    <x v="0"/>
    <x v="0"/>
    <n v="0"/>
    <n v="1"/>
    <n v="0"/>
  </r>
  <r>
    <x v="2"/>
    <x v="75"/>
    <x v="75"/>
    <x v="0"/>
    <x v="0"/>
    <n v="0"/>
    <n v="1"/>
    <n v="0"/>
  </r>
  <r>
    <x v="1"/>
    <x v="76"/>
    <x v="76"/>
    <x v="15"/>
    <x v="3"/>
    <n v="142.62719999999999"/>
    <n v="8"/>
    <n v="1141.0175999999999"/>
  </r>
  <r>
    <x v="2"/>
    <x v="76"/>
    <x v="76"/>
    <x v="15"/>
    <x v="3"/>
    <n v="142.62719999999999"/>
    <n v="8"/>
    <n v="1141.0175999999999"/>
  </r>
  <r>
    <x v="1"/>
    <x v="77"/>
    <x v="77"/>
    <x v="15"/>
    <x v="3"/>
    <n v="56.992400000000004"/>
    <n v="1"/>
    <n v="56.992400000000004"/>
  </r>
  <r>
    <x v="2"/>
    <x v="77"/>
    <x v="77"/>
    <x v="15"/>
    <x v="3"/>
    <n v="56.992400000000004"/>
    <n v="1"/>
    <n v="56.992400000000004"/>
  </r>
  <r>
    <x v="2"/>
    <x v="78"/>
    <x v="78"/>
    <x v="16"/>
    <x v="3"/>
    <n v="198.49889999999999"/>
    <n v="1"/>
    <n v="198.49889999999999"/>
  </r>
  <r>
    <x v="1"/>
    <x v="78"/>
    <x v="78"/>
    <x v="16"/>
    <x v="3"/>
    <n v="198.49889999999999"/>
    <n v="1"/>
    <n v="198.49889999999999"/>
  </r>
  <r>
    <x v="1"/>
    <x v="79"/>
    <x v="79"/>
    <x v="17"/>
    <x v="3"/>
    <n v="12.65"/>
    <n v="1"/>
    <n v="12.65"/>
  </r>
  <r>
    <x v="1"/>
    <x v="80"/>
    <x v="80"/>
    <x v="18"/>
    <x v="3"/>
    <n v="36.46"/>
    <n v="1"/>
    <n v="36.46"/>
  </r>
  <r>
    <x v="2"/>
    <x v="81"/>
    <x v="81"/>
    <x v="17"/>
    <x v="3"/>
    <n v="13.719799999999999"/>
    <n v="8"/>
    <n v="109.75839999999999"/>
  </r>
  <r>
    <x v="1"/>
    <x v="81"/>
    <x v="81"/>
    <x v="17"/>
    <x v="3"/>
    <n v="13.719799999999999"/>
    <n v="8"/>
    <n v="109.75839999999999"/>
  </r>
  <r>
    <x v="1"/>
    <x v="82"/>
    <x v="82"/>
    <x v="17"/>
    <x v="3"/>
    <n v="21.723700000000001"/>
    <n v="1"/>
    <n v="21.723700000000001"/>
  </r>
  <r>
    <x v="2"/>
    <x v="82"/>
    <x v="82"/>
    <x v="17"/>
    <x v="3"/>
    <n v="21.723700000000001"/>
    <n v="1"/>
    <n v="21.723700000000001"/>
  </r>
  <r>
    <x v="1"/>
    <x v="83"/>
    <x v="83"/>
    <x v="17"/>
    <x v="3"/>
    <n v="5.6021000000000001"/>
    <n v="1"/>
    <n v="5.6021000000000001"/>
  </r>
  <r>
    <x v="2"/>
    <x v="83"/>
    <x v="83"/>
    <x v="17"/>
    <x v="3"/>
    <n v="5.6021000000000001"/>
    <n v="1"/>
    <n v="5.6021000000000001"/>
  </r>
  <r>
    <x v="1"/>
    <x v="84"/>
    <x v="84"/>
    <x v="17"/>
    <x v="3"/>
    <n v="5.1239999999999997"/>
    <n v="6"/>
    <n v="30.744"/>
  </r>
  <r>
    <x v="2"/>
    <x v="84"/>
    <x v="84"/>
    <x v="17"/>
    <x v="3"/>
    <n v="5.1239999999999997"/>
    <n v="6"/>
    <n v="30.744"/>
  </r>
  <r>
    <x v="1"/>
    <x v="85"/>
    <x v="85"/>
    <x v="17"/>
    <x v="3"/>
    <n v="20.67"/>
    <n v="4"/>
    <n v="82.68"/>
  </r>
  <r>
    <x v="1"/>
    <x v="86"/>
    <x v="86"/>
    <x v="17"/>
    <x v="3"/>
    <n v="9.6679999999999993"/>
    <n v="4"/>
    <n v="38.671999999999997"/>
  </r>
  <r>
    <x v="1"/>
    <x v="87"/>
    <x v="87"/>
    <x v="17"/>
    <x v="3"/>
    <n v="40.728000000000002"/>
    <n v="1"/>
    <n v="40.728000000000002"/>
  </r>
  <r>
    <x v="1"/>
    <x v="88"/>
    <x v="88"/>
    <x v="18"/>
    <x v="3"/>
    <n v="139.18"/>
    <n v="2"/>
    <n v="278.36"/>
  </r>
  <r>
    <x v="1"/>
    <x v="89"/>
    <x v="89"/>
    <x v="19"/>
    <x v="3"/>
    <n v="321.99"/>
    <n v="1"/>
    <n v="321.99"/>
  </r>
  <r>
    <x v="1"/>
    <x v="90"/>
    <x v="90"/>
    <x v="17"/>
    <x v="3"/>
    <n v="7.44"/>
    <n v="1"/>
    <n v="7.44"/>
  </r>
  <r>
    <x v="1"/>
    <x v="91"/>
    <x v="91"/>
    <x v="20"/>
    <x v="3"/>
    <n v="1.46"/>
    <n v="1"/>
    <n v="1.46"/>
  </r>
  <r>
    <x v="1"/>
    <x v="92"/>
    <x v="92"/>
    <x v="20"/>
    <x v="3"/>
    <n v="38.883699999999997"/>
    <n v="2"/>
    <n v="77.767399999999995"/>
  </r>
  <r>
    <x v="2"/>
    <x v="92"/>
    <x v="92"/>
    <x v="20"/>
    <x v="3"/>
    <n v="38.883699999999997"/>
    <n v="2"/>
    <n v="77.767399999999995"/>
  </r>
  <r>
    <x v="1"/>
    <x v="93"/>
    <x v="93"/>
    <x v="20"/>
    <x v="3"/>
    <n v="53.76"/>
    <n v="1"/>
    <n v="53.76"/>
  </r>
  <r>
    <x v="1"/>
    <x v="94"/>
    <x v="94"/>
    <x v="18"/>
    <x v="3"/>
    <n v="41.18"/>
    <n v="1"/>
    <n v="41.18"/>
  </r>
  <r>
    <x v="1"/>
    <x v="95"/>
    <x v="95"/>
    <x v="21"/>
    <x v="3"/>
    <n v="599.89430000000004"/>
    <n v="1"/>
    <n v="599.89430000000004"/>
  </r>
  <r>
    <x v="2"/>
    <x v="95"/>
    <x v="95"/>
    <x v="21"/>
    <x v="3"/>
    <n v="599.89430000000004"/>
    <n v="1"/>
    <n v="599.89430000000004"/>
  </r>
  <r>
    <x v="1"/>
    <x v="96"/>
    <x v="96"/>
    <x v="20"/>
    <x v="3"/>
    <n v="112.05"/>
    <n v="1"/>
    <n v="112.05"/>
  </r>
  <r>
    <x v="1"/>
    <x v="97"/>
    <x v="97"/>
    <x v="20"/>
    <x v="3"/>
    <n v="102.61"/>
    <n v="1"/>
    <n v="102.61"/>
  </r>
  <r>
    <x v="1"/>
    <x v="98"/>
    <x v="98"/>
    <x v="22"/>
    <x v="3"/>
    <n v="816.45010000000002"/>
    <n v="5"/>
    <n v="4082.2505000000001"/>
  </r>
  <r>
    <x v="2"/>
    <x v="98"/>
    <x v="98"/>
    <x v="22"/>
    <x v="3"/>
    <n v="816.45010000000002"/>
    <n v="5"/>
    <n v="4082.2505000000001"/>
  </r>
  <r>
    <x v="1"/>
    <x v="99"/>
    <x v="99"/>
    <x v="1"/>
    <x v="3"/>
    <n v="159.12530000000001"/>
    <n v="1"/>
    <n v="159.12530000000001"/>
  </r>
  <r>
    <x v="1"/>
    <x v="100"/>
    <x v="100"/>
    <x v="15"/>
    <x v="3"/>
    <n v="352.65730000000002"/>
    <n v="3"/>
    <n v="1057.9719"/>
  </r>
  <r>
    <x v="2"/>
    <x v="100"/>
    <x v="100"/>
    <x v="15"/>
    <x v="3"/>
    <n v="352.65730000000002"/>
    <n v="3"/>
    <n v="1057.9719"/>
  </r>
  <r>
    <x v="2"/>
    <x v="101"/>
    <x v="101"/>
    <x v="23"/>
    <x v="3"/>
    <n v="404.4151"/>
    <n v="3"/>
    <n v="1213.2453"/>
  </r>
  <r>
    <x v="1"/>
    <x v="101"/>
    <x v="101"/>
    <x v="23"/>
    <x v="3"/>
    <n v="404.4151"/>
    <n v="3"/>
    <n v="1213.2453"/>
  </r>
  <r>
    <x v="1"/>
    <x v="102"/>
    <x v="102"/>
    <x v="17"/>
    <x v="3"/>
    <n v="6.92"/>
    <n v="18"/>
    <n v="124.56"/>
  </r>
  <r>
    <x v="1"/>
    <x v="103"/>
    <x v="103"/>
    <x v="17"/>
    <x v="3"/>
    <n v="8.9611000000000001"/>
    <n v="16"/>
    <n v="143.3776"/>
  </r>
  <r>
    <x v="2"/>
    <x v="103"/>
    <x v="103"/>
    <x v="17"/>
    <x v="3"/>
    <n v="8.9611000000000001"/>
    <n v="16"/>
    <n v="143.3776"/>
  </r>
  <r>
    <x v="1"/>
    <x v="104"/>
    <x v="104"/>
    <x v="24"/>
    <x v="3"/>
    <n v="11.96"/>
    <n v="17"/>
    <n v="203.32000000000002"/>
  </r>
  <r>
    <x v="1"/>
    <x v="105"/>
    <x v="105"/>
    <x v="24"/>
    <x v="3"/>
    <n v="12.56"/>
    <n v="1"/>
    <n v="12.56"/>
  </r>
  <r>
    <x v="1"/>
    <x v="106"/>
    <x v="106"/>
    <x v="17"/>
    <x v="3"/>
    <n v="5.9630000000000001"/>
    <n v="6"/>
    <n v="35.777999999999999"/>
  </r>
  <r>
    <x v="1"/>
    <x v="107"/>
    <x v="107"/>
    <x v="17"/>
    <x v="3"/>
    <n v="5.79"/>
    <n v="6"/>
    <n v="34.74"/>
  </r>
  <r>
    <x v="1"/>
    <x v="108"/>
    <x v="108"/>
    <x v="17"/>
    <x v="3"/>
    <n v="5.79"/>
    <n v="4"/>
    <n v="23.16"/>
  </r>
  <r>
    <x v="1"/>
    <x v="109"/>
    <x v="109"/>
    <x v="17"/>
    <x v="3"/>
    <n v="5.79"/>
    <n v="9"/>
    <n v="52.11"/>
  </r>
  <r>
    <x v="1"/>
    <x v="110"/>
    <x v="110"/>
    <x v="17"/>
    <x v="3"/>
    <n v="6.36"/>
    <n v="5"/>
    <n v="31.8"/>
  </r>
  <r>
    <x v="2"/>
    <x v="111"/>
    <x v="111"/>
    <x v="17"/>
    <x v="3"/>
    <n v="8.5138999999999996"/>
    <n v="6"/>
    <n v="51.083399999999997"/>
  </r>
  <r>
    <x v="1"/>
    <x v="111"/>
    <x v="111"/>
    <x v="17"/>
    <x v="3"/>
    <n v="8.5138999999999996"/>
    <n v="6"/>
    <n v="51.083399999999997"/>
  </r>
  <r>
    <x v="1"/>
    <x v="112"/>
    <x v="112"/>
    <x v="17"/>
    <x v="3"/>
    <n v="9.2960999999999991"/>
    <n v="4"/>
    <n v="37.184399999999997"/>
  </r>
  <r>
    <x v="2"/>
    <x v="112"/>
    <x v="112"/>
    <x v="17"/>
    <x v="3"/>
    <n v="9.2960999999999991"/>
    <n v="4"/>
    <n v="37.184399999999997"/>
  </r>
  <r>
    <x v="1"/>
    <x v="113"/>
    <x v="113"/>
    <x v="17"/>
    <x v="3"/>
    <n v="5.2973999999999997"/>
    <n v="8"/>
    <n v="42.379199999999997"/>
  </r>
  <r>
    <x v="2"/>
    <x v="113"/>
    <x v="113"/>
    <x v="17"/>
    <x v="3"/>
    <n v="5.2973999999999997"/>
    <n v="8"/>
    <n v="42.379199999999997"/>
  </r>
  <r>
    <x v="2"/>
    <x v="114"/>
    <x v="114"/>
    <x v="17"/>
    <x v="3"/>
    <n v="15.575699999999999"/>
    <n v="6"/>
    <n v="93.4542"/>
  </r>
  <r>
    <x v="1"/>
    <x v="114"/>
    <x v="114"/>
    <x v="17"/>
    <x v="3"/>
    <n v="15.575699999999999"/>
    <n v="6"/>
    <n v="93.4542"/>
  </r>
  <r>
    <x v="2"/>
    <x v="115"/>
    <x v="115"/>
    <x v="15"/>
    <x v="3"/>
    <n v="54.101100000000002"/>
    <n v="1"/>
    <n v="54.101100000000002"/>
  </r>
  <r>
    <x v="1"/>
    <x v="115"/>
    <x v="115"/>
    <x v="15"/>
    <x v="3"/>
    <n v="54.101100000000002"/>
    <n v="1"/>
    <n v="54.101100000000002"/>
  </r>
  <r>
    <x v="1"/>
    <x v="116"/>
    <x v="116"/>
    <x v="15"/>
    <x v="3"/>
    <n v="77.523200000000003"/>
    <n v="1"/>
    <n v="77.523200000000003"/>
  </r>
  <r>
    <x v="2"/>
    <x v="116"/>
    <x v="116"/>
    <x v="15"/>
    <x v="3"/>
    <n v="77.523200000000003"/>
    <n v="1"/>
    <n v="77.523200000000003"/>
  </r>
  <r>
    <x v="2"/>
    <x v="117"/>
    <x v="117"/>
    <x v="17"/>
    <x v="3"/>
    <n v="2.9241999999999999"/>
    <n v="5"/>
    <n v="14.620999999999999"/>
  </r>
  <r>
    <x v="1"/>
    <x v="117"/>
    <x v="117"/>
    <x v="17"/>
    <x v="3"/>
    <n v="2.9241999999999999"/>
    <n v="5"/>
    <n v="14.620999999999999"/>
  </r>
  <r>
    <x v="1"/>
    <x v="118"/>
    <x v="118"/>
    <x v="17"/>
    <x v="3"/>
    <n v="2.9241999999999999"/>
    <n v="2"/>
    <n v="5.8483999999999998"/>
  </r>
  <r>
    <x v="2"/>
    <x v="118"/>
    <x v="118"/>
    <x v="17"/>
    <x v="3"/>
    <n v="2.9241999999999999"/>
    <n v="2"/>
    <n v="5.8483999999999998"/>
  </r>
  <r>
    <x v="1"/>
    <x v="119"/>
    <x v="119"/>
    <x v="18"/>
    <x v="3"/>
    <n v="9.4"/>
    <n v="1"/>
    <n v="9.4"/>
  </r>
  <r>
    <x v="1"/>
    <x v="120"/>
    <x v="120"/>
    <x v="18"/>
    <x v="3"/>
    <n v="22.774999999999999"/>
    <n v="2"/>
    <n v="45.55"/>
  </r>
  <r>
    <x v="1"/>
    <x v="121"/>
    <x v="121"/>
    <x v="18"/>
    <x v="3"/>
    <n v="9.2870000000000008"/>
    <n v="9"/>
    <n v="83.583000000000013"/>
  </r>
  <r>
    <x v="1"/>
    <x v="122"/>
    <x v="122"/>
    <x v="18"/>
    <x v="3"/>
    <n v="11.57"/>
    <n v="1"/>
    <n v="11.57"/>
  </r>
  <r>
    <x v="1"/>
    <x v="123"/>
    <x v="123"/>
    <x v="18"/>
    <x v="3"/>
    <n v="21.31"/>
    <n v="1"/>
    <n v="21.31"/>
  </r>
  <r>
    <x v="1"/>
    <x v="124"/>
    <x v="124"/>
    <x v="18"/>
    <x v="3"/>
    <n v="18.059999999999999"/>
    <n v="1"/>
    <n v="18.059999999999999"/>
  </r>
  <r>
    <x v="1"/>
    <x v="125"/>
    <x v="125"/>
    <x v="18"/>
    <x v="3"/>
    <n v="255.96700000000001"/>
    <n v="3"/>
    <n v="767.90100000000007"/>
  </r>
  <r>
    <x v="2"/>
    <x v="126"/>
    <x v="126"/>
    <x v="17"/>
    <x v="3"/>
    <n v="2.9241999999999999"/>
    <n v="5"/>
    <n v="14.620999999999999"/>
  </r>
  <r>
    <x v="1"/>
    <x v="126"/>
    <x v="126"/>
    <x v="17"/>
    <x v="3"/>
    <n v="2.9241999999999999"/>
    <n v="5"/>
    <n v="14.620999999999999"/>
  </r>
  <r>
    <x v="1"/>
    <x v="127"/>
    <x v="127"/>
    <x v="18"/>
    <x v="3"/>
    <n v="9.2870000000000008"/>
    <n v="9"/>
    <n v="83.583000000000013"/>
  </r>
  <r>
    <x v="1"/>
    <x v="128"/>
    <x v="128"/>
    <x v="20"/>
    <x v="3"/>
    <n v="10.730399999999999"/>
    <n v="1"/>
    <n v="10.730399999999999"/>
  </r>
  <r>
    <x v="2"/>
    <x v="128"/>
    <x v="128"/>
    <x v="20"/>
    <x v="3"/>
    <n v="10.730399999999999"/>
    <n v="1"/>
    <n v="10.730399999999999"/>
  </r>
  <r>
    <x v="1"/>
    <x v="129"/>
    <x v="129"/>
    <x v="25"/>
    <x v="3"/>
    <n v="70.819000000000003"/>
    <n v="5"/>
    <n v="354.09500000000003"/>
  </r>
  <r>
    <x v="1"/>
    <x v="130"/>
    <x v="130"/>
    <x v="26"/>
    <x v="3"/>
    <n v="124.462"/>
    <n v="8"/>
    <n v="995.69600000000003"/>
  </r>
  <r>
    <x v="2"/>
    <x v="130"/>
    <x v="130"/>
    <x v="26"/>
    <x v="3"/>
    <n v="124.462"/>
    <n v="8"/>
    <n v="995.69600000000003"/>
  </r>
  <r>
    <x v="2"/>
    <x v="131"/>
    <x v="131"/>
    <x v="27"/>
    <x v="3"/>
    <n v="670.42110000000002"/>
    <n v="1"/>
    <n v="670.42110000000002"/>
  </r>
  <r>
    <x v="1"/>
    <x v="131"/>
    <x v="131"/>
    <x v="27"/>
    <x v="3"/>
    <n v="670.42110000000002"/>
    <n v="1"/>
    <n v="670.42110000000002"/>
  </r>
  <r>
    <x v="1"/>
    <x v="132"/>
    <x v="132"/>
    <x v="20"/>
    <x v="3"/>
    <n v="44.420999999999999"/>
    <n v="8"/>
    <n v="355.36799999999999"/>
  </r>
  <r>
    <x v="1"/>
    <x v="133"/>
    <x v="133"/>
    <x v="20"/>
    <x v="3"/>
    <n v="32.228000000000002"/>
    <n v="5"/>
    <n v="161.14000000000001"/>
  </r>
  <r>
    <x v="1"/>
    <x v="134"/>
    <x v="134"/>
    <x v="1"/>
    <x v="3"/>
    <n v="32.228000000000002"/>
    <n v="5"/>
    <n v="161.14000000000001"/>
  </r>
  <r>
    <x v="1"/>
    <x v="135"/>
    <x v="135"/>
    <x v="20"/>
    <x v="3"/>
    <n v="65.608000000000004"/>
    <n v="2"/>
    <n v="131.21600000000001"/>
  </r>
  <r>
    <x v="1"/>
    <x v="136"/>
    <x v="136"/>
    <x v="20"/>
    <x v="3"/>
    <n v="2.1705000000000001"/>
    <n v="15"/>
    <n v="32.557500000000005"/>
  </r>
  <r>
    <x v="2"/>
    <x v="136"/>
    <x v="136"/>
    <x v="20"/>
    <x v="3"/>
    <n v="2.1705000000000001"/>
    <n v="15"/>
    <n v="32.557500000000005"/>
  </r>
  <r>
    <x v="1"/>
    <x v="137"/>
    <x v="137"/>
    <x v="15"/>
    <x v="3"/>
    <n v="129.22739999999999"/>
    <n v="1"/>
    <n v="129.22739999999999"/>
  </r>
  <r>
    <x v="2"/>
    <x v="137"/>
    <x v="137"/>
    <x v="15"/>
    <x v="3"/>
    <n v="129.22739999999999"/>
    <n v="1"/>
    <n v="129.22739999999999"/>
  </r>
  <r>
    <x v="1"/>
    <x v="138"/>
    <x v="138"/>
    <x v="1"/>
    <x v="1"/>
    <n v="19.809999999999999"/>
    <n v="1"/>
    <n v="19.809999999999999"/>
  </r>
  <r>
    <x v="1"/>
    <x v="139"/>
    <x v="139"/>
    <x v="17"/>
    <x v="3"/>
    <n v="5.5359999999999996"/>
    <n v="30"/>
    <n v="166.07999999999998"/>
  </r>
  <r>
    <x v="1"/>
    <x v="140"/>
    <x v="140"/>
    <x v="20"/>
    <x v="3"/>
    <n v="119.12"/>
    <n v="1"/>
    <n v="119.12"/>
  </r>
  <r>
    <x v="1"/>
    <x v="141"/>
    <x v="141"/>
    <x v="20"/>
    <x v="3"/>
    <n v="109.69"/>
    <n v="1"/>
    <n v="109.69"/>
  </r>
  <r>
    <x v="1"/>
    <x v="142"/>
    <x v="142"/>
    <x v="17"/>
    <x v="3"/>
    <n v="25.95"/>
    <n v="1"/>
    <n v="25.95"/>
  </r>
  <r>
    <x v="1"/>
    <x v="143"/>
    <x v="143"/>
    <x v="28"/>
    <x v="3"/>
    <n v="27.610900000000001"/>
    <n v="1"/>
    <n v="27.610900000000001"/>
  </r>
  <r>
    <x v="2"/>
    <x v="143"/>
    <x v="143"/>
    <x v="28"/>
    <x v="3"/>
    <n v="27.610900000000001"/>
    <n v="1"/>
    <n v="27.610900000000001"/>
  </r>
  <r>
    <x v="1"/>
    <x v="144"/>
    <x v="144"/>
    <x v="20"/>
    <x v="3"/>
    <n v="215.84"/>
    <n v="2"/>
    <n v="431.68"/>
  </r>
  <r>
    <x v="1"/>
    <x v="145"/>
    <x v="145"/>
    <x v="18"/>
    <x v="3"/>
    <n v="207.02"/>
    <n v="1"/>
    <n v="207.02"/>
  </r>
  <r>
    <x v="1"/>
    <x v="146"/>
    <x v="146"/>
    <x v="23"/>
    <x v="3"/>
    <n v="653.46839999999997"/>
    <n v="1"/>
    <n v="653.46839999999997"/>
  </r>
  <r>
    <x v="2"/>
    <x v="146"/>
    <x v="146"/>
    <x v="23"/>
    <x v="3"/>
    <n v="653.46839999999997"/>
    <n v="1"/>
    <n v="653.46839999999997"/>
  </r>
  <r>
    <x v="1"/>
    <x v="147"/>
    <x v="147"/>
    <x v="23"/>
    <x v="3"/>
    <n v="905.41890000000001"/>
    <n v="1"/>
    <n v="905.41890000000001"/>
  </r>
  <r>
    <x v="2"/>
    <x v="147"/>
    <x v="147"/>
    <x v="23"/>
    <x v="3"/>
    <n v="905.41890000000001"/>
    <n v="1"/>
    <n v="905.41890000000001"/>
  </r>
  <r>
    <x v="1"/>
    <x v="148"/>
    <x v="148"/>
    <x v="23"/>
    <x v="3"/>
    <n v="435.05419999999998"/>
    <n v="3"/>
    <n v="1305.1625999999999"/>
  </r>
  <r>
    <x v="2"/>
    <x v="148"/>
    <x v="148"/>
    <x v="23"/>
    <x v="3"/>
    <n v="435.05419999999998"/>
    <n v="3"/>
    <n v="1305.1625999999999"/>
  </r>
  <r>
    <x v="1"/>
    <x v="149"/>
    <x v="149"/>
    <x v="23"/>
    <x v="3"/>
    <n v="687.08159999999998"/>
    <n v="3"/>
    <n v="2061.2447999999999"/>
  </r>
  <r>
    <x v="2"/>
    <x v="149"/>
    <x v="149"/>
    <x v="23"/>
    <x v="3"/>
    <n v="687.08159999999998"/>
    <n v="3"/>
    <n v="2061.2447999999999"/>
  </r>
  <r>
    <x v="1"/>
    <x v="150"/>
    <x v="150"/>
    <x v="29"/>
    <x v="3"/>
    <n v="33.512999999999998"/>
    <n v="3"/>
    <n v="100.53899999999999"/>
  </r>
  <r>
    <x v="1"/>
    <x v="151"/>
    <x v="151"/>
    <x v="17"/>
    <x v="3"/>
    <n v="5.0827"/>
    <n v="20"/>
    <n v="101.654"/>
  </r>
  <r>
    <x v="2"/>
    <x v="151"/>
    <x v="151"/>
    <x v="17"/>
    <x v="3"/>
    <n v="5.0827"/>
    <n v="20"/>
    <n v="101.654"/>
  </r>
  <r>
    <x v="1"/>
    <x v="152"/>
    <x v="152"/>
    <x v="20"/>
    <x v="3"/>
    <n v="70.755399999999995"/>
    <n v="1"/>
    <n v="70.755399999999995"/>
  </r>
  <r>
    <x v="2"/>
    <x v="152"/>
    <x v="152"/>
    <x v="20"/>
    <x v="3"/>
    <n v="70.755399999999995"/>
    <n v="1"/>
    <n v="70.755399999999995"/>
  </r>
  <r>
    <x v="1"/>
    <x v="153"/>
    <x v="153"/>
    <x v="17"/>
    <x v="3"/>
    <n v="24.4697"/>
    <n v="1"/>
    <n v="24.4697"/>
  </r>
  <r>
    <x v="2"/>
    <x v="153"/>
    <x v="153"/>
    <x v="17"/>
    <x v="3"/>
    <n v="24.4697"/>
    <n v="1"/>
    <n v="24.4697"/>
  </r>
  <r>
    <x v="1"/>
    <x v="154"/>
    <x v="154"/>
    <x v="25"/>
    <x v="3"/>
    <n v="22.716000000000001"/>
    <n v="5"/>
    <n v="113.58000000000001"/>
  </r>
  <r>
    <x v="1"/>
    <x v="155"/>
    <x v="155"/>
    <x v="25"/>
    <x v="3"/>
    <n v="102.005"/>
    <n v="1"/>
    <n v="102.005"/>
  </r>
  <r>
    <x v="1"/>
    <x v="156"/>
    <x v="156"/>
    <x v="20"/>
    <x v="3"/>
    <n v="43.72"/>
    <n v="1"/>
    <n v="43.72"/>
  </r>
  <r>
    <x v="1"/>
    <x v="157"/>
    <x v="157"/>
    <x v="20"/>
    <x v="3"/>
    <n v="56.466999999999999"/>
    <n v="2"/>
    <n v="112.934"/>
  </r>
  <r>
    <x v="1"/>
    <x v="158"/>
    <x v="158"/>
    <x v="17"/>
    <x v="3"/>
    <n v="20.78"/>
    <n v="6"/>
    <n v="124.68"/>
  </r>
  <r>
    <x v="1"/>
    <x v="159"/>
    <x v="159"/>
    <x v="20"/>
    <x v="3"/>
    <n v="9.2250999999999994"/>
    <n v="5"/>
    <n v="46.125499999999995"/>
  </r>
  <r>
    <x v="2"/>
    <x v="159"/>
    <x v="159"/>
    <x v="20"/>
    <x v="3"/>
    <n v="9.2250999999999994"/>
    <n v="5"/>
    <n v="46.125499999999995"/>
  </r>
  <r>
    <x v="1"/>
    <x v="160"/>
    <x v="160"/>
    <x v="24"/>
    <x v="3"/>
    <n v="103.648"/>
    <n v="1"/>
    <n v="103.648"/>
  </r>
  <r>
    <x v="1"/>
    <x v="161"/>
    <x v="161"/>
    <x v="1"/>
    <x v="3"/>
    <n v="20.587"/>
    <n v="4"/>
    <n v="82.347999999999999"/>
  </r>
  <r>
    <x v="1"/>
    <x v="162"/>
    <x v="162"/>
    <x v="1"/>
    <x v="3"/>
    <n v="4.5951000000000004"/>
    <n v="18"/>
    <n v="82.711800000000011"/>
  </r>
  <r>
    <x v="2"/>
    <x v="162"/>
    <x v="162"/>
    <x v="1"/>
    <x v="3"/>
    <n v="4.5951000000000004"/>
    <n v="18"/>
    <n v="82.711800000000011"/>
  </r>
  <r>
    <x v="1"/>
    <x v="163"/>
    <x v="163"/>
    <x v="30"/>
    <x v="3"/>
    <n v="28.870699999999999"/>
    <n v="6"/>
    <n v="173.2242"/>
  </r>
  <r>
    <x v="2"/>
    <x v="163"/>
    <x v="163"/>
    <x v="30"/>
    <x v="3"/>
    <n v="28.870699999999999"/>
    <n v="6"/>
    <n v="173.2242"/>
  </r>
  <r>
    <x v="2"/>
    <x v="164"/>
    <x v="164"/>
    <x v="30"/>
    <x v="3"/>
    <n v="5.2610999999999999"/>
    <n v="3"/>
    <n v="15.783300000000001"/>
  </r>
  <r>
    <x v="1"/>
    <x v="164"/>
    <x v="164"/>
    <x v="30"/>
    <x v="3"/>
    <n v="5.2610999999999999"/>
    <n v="3"/>
    <n v="15.783300000000001"/>
  </r>
  <r>
    <x v="1"/>
    <x v="165"/>
    <x v="165"/>
    <x v="25"/>
    <x v="3"/>
    <n v="42.837000000000003"/>
    <n v="3"/>
    <n v="128.51100000000002"/>
  </r>
  <r>
    <x v="1"/>
    <x v="166"/>
    <x v="166"/>
    <x v="20"/>
    <x v="3"/>
    <n v="5.1130000000000004"/>
    <n v="1"/>
    <n v="5.1130000000000004"/>
  </r>
  <r>
    <x v="1"/>
    <x v="167"/>
    <x v="167"/>
    <x v="31"/>
    <x v="1"/>
    <n v="770.02"/>
    <n v="1"/>
    <n v="770.02"/>
  </r>
  <r>
    <x v="2"/>
    <x v="168"/>
    <x v="168"/>
    <x v="6"/>
    <x v="2"/>
    <n v="318.25"/>
    <n v="2"/>
    <n v="636.5"/>
  </r>
  <r>
    <x v="2"/>
    <x v="169"/>
    <x v="169"/>
    <x v="6"/>
    <x v="2"/>
    <n v="302.39999999999998"/>
    <n v="2"/>
    <n v="604.79999999999995"/>
  </r>
  <r>
    <x v="2"/>
    <x v="170"/>
    <x v="170"/>
    <x v="6"/>
    <x v="2"/>
    <n v="470.9"/>
    <n v="2"/>
    <n v="941.8"/>
  </r>
  <r>
    <x v="2"/>
    <x v="171"/>
    <x v="171"/>
    <x v="6"/>
    <x v="2"/>
    <n v="588"/>
    <n v="2"/>
    <n v="1176"/>
  </r>
  <r>
    <x v="2"/>
    <x v="172"/>
    <x v="172"/>
    <x v="0"/>
    <x v="0"/>
    <n v="3.34"/>
    <n v="17"/>
    <n v="56.78"/>
  </r>
  <r>
    <x v="0"/>
    <x v="173"/>
    <x v="173"/>
    <x v="32"/>
    <x v="5"/>
    <n v="168.88890000000001"/>
    <n v="2"/>
    <n v="337.77780000000001"/>
  </r>
  <r>
    <x v="1"/>
    <x v="173"/>
    <x v="173"/>
    <x v="32"/>
    <x v="5"/>
    <n v="168.88890000000001"/>
    <n v="2"/>
    <n v="337.77780000000001"/>
  </r>
  <r>
    <x v="2"/>
    <x v="173"/>
    <x v="173"/>
    <x v="32"/>
    <x v="5"/>
    <n v="168.88890000000001"/>
    <n v="2"/>
    <n v="337.77780000000001"/>
  </r>
  <r>
    <x v="0"/>
    <x v="174"/>
    <x v="174"/>
    <x v="32"/>
    <x v="5"/>
    <n v="68.703699999999998"/>
    <n v="1"/>
    <n v="68.703699999999998"/>
  </r>
  <r>
    <x v="1"/>
    <x v="174"/>
    <x v="174"/>
    <x v="32"/>
    <x v="5"/>
    <n v="68.703699999999998"/>
    <n v="1"/>
    <n v="68.703699999999998"/>
  </r>
  <r>
    <x v="2"/>
    <x v="174"/>
    <x v="174"/>
    <x v="32"/>
    <x v="5"/>
    <n v="68.703699999999998"/>
    <n v="1"/>
    <n v="68.703699999999998"/>
  </r>
  <r>
    <x v="2"/>
    <x v="175"/>
    <x v="175"/>
    <x v="33"/>
    <x v="2"/>
    <n v="1.7937000000000001"/>
    <n v="78"/>
    <n v="139.90860000000001"/>
  </r>
  <r>
    <x v="1"/>
    <x v="175"/>
    <x v="175"/>
    <x v="33"/>
    <x v="2"/>
    <n v="1.7937000000000001"/>
    <n v="78"/>
    <n v="139.90860000000001"/>
  </r>
  <r>
    <x v="0"/>
    <x v="175"/>
    <x v="175"/>
    <x v="33"/>
    <x v="2"/>
    <n v="1.7937000000000001"/>
    <n v="78"/>
    <n v="139.90860000000001"/>
  </r>
  <r>
    <x v="1"/>
    <x v="176"/>
    <x v="176"/>
    <x v="34"/>
    <x v="2"/>
    <n v="46.560400000000001"/>
    <n v="14"/>
    <n v="651.84559999999999"/>
  </r>
  <r>
    <x v="2"/>
    <x v="176"/>
    <x v="176"/>
    <x v="34"/>
    <x v="2"/>
    <n v="46.560400000000001"/>
    <n v="14"/>
    <n v="651.84559999999999"/>
  </r>
  <r>
    <x v="1"/>
    <x v="177"/>
    <x v="177"/>
    <x v="35"/>
    <x v="2"/>
    <n v="21.29"/>
    <n v="5"/>
    <n v="106.44999999999999"/>
  </r>
  <r>
    <x v="1"/>
    <x v="178"/>
    <x v="178"/>
    <x v="36"/>
    <x v="2"/>
    <n v="20.83"/>
    <n v="5"/>
    <n v="104.14999999999999"/>
  </r>
  <r>
    <x v="1"/>
    <x v="179"/>
    <x v="179"/>
    <x v="35"/>
    <x v="2"/>
    <n v="39.49"/>
    <n v="3"/>
    <n v="118.47"/>
  </r>
  <r>
    <x v="1"/>
    <x v="180"/>
    <x v="180"/>
    <x v="35"/>
    <x v="2"/>
    <n v="28.908999999999999"/>
    <n v="8"/>
    <n v="231.27199999999999"/>
  </r>
  <r>
    <x v="1"/>
    <x v="181"/>
    <x v="181"/>
    <x v="35"/>
    <x v="2"/>
    <n v="2.7696000000000001"/>
    <n v="21"/>
    <n v="58.1616"/>
  </r>
  <r>
    <x v="2"/>
    <x v="181"/>
    <x v="181"/>
    <x v="35"/>
    <x v="2"/>
    <n v="2.7696000000000001"/>
    <n v="21"/>
    <n v="58.1616"/>
  </r>
  <r>
    <x v="1"/>
    <x v="182"/>
    <x v="182"/>
    <x v="37"/>
    <x v="2"/>
    <n v="3.08"/>
    <n v="2"/>
    <n v="6.16"/>
  </r>
  <r>
    <x v="1"/>
    <x v="183"/>
    <x v="183"/>
    <x v="38"/>
    <x v="2"/>
    <n v="3.2212000000000001"/>
    <n v="21"/>
    <n v="67.645200000000003"/>
  </r>
  <r>
    <x v="1"/>
    <x v="184"/>
    <x v="184"/>
    <x v="3"/>
    <x v="2"/>
    <n v="2.8837000000000002"/>
    <n v="70"/>
    <n v="201.85900000000001"/>
  </r>
  <r>
    <x v="1"/>
    <x v="185"/>
    <x v="185"/>
    <x v="35"/>
    <x v="2"/>
    <n v="3.4"/>
    <n v="10"/>
    <n v="34"/>
  </r>
  <r>
    <x v="1"/>
    <x v="186"/>
    <x v="186"/>
    <x v="36"/>
    <x v="2"/>
    <n v="2.84"/>
    <n v="10"/>
    <n v="28.4"/>
  </r>
  <r>
    <x v="1"/>
    <x v="187"/>
    <x v="187"/>
    <x v="35"/>
    <x v="2"/>
    <n v="3.7431000000000001"/>
    <n v="30"/>
    <n v="112.29300000000001"/>
  </r>
  <r>
    <x v="2"/>
    <x v="187"/>
    <x v="187"/>
    <x v="35"/>
    <x v="2"/>
    <n v="3.7431000000000001"/>
    <n v="30"/>
    <n v="112.29300000000001"/>
  </r>
  <r>
    <x v="1"/>
    <x v="188"/>
    <x v="188"/>
    <x v="35"/>
    <x v="2"/>
    <n v="4.0423999999999998"/>
    <n v="30"/>
    <n v="121.27199999999999"/>
  </r>
  <r>
    <x v="1"/>
    <x v="189"/>
    <x v="189"/>
    <x v="35"/>
    <x v="2"/>
    <n v="3.738"/>
    <n v="5"/>
    <n v="18.690000000000001"/>
  </r>
  <r>
    <x v="1"/>
    <x v="190"/>
    <x v="190"/>
    <x v="3"/>
    <x v="2"/>
    <n v="1.3424"/>
    <n v="61"/>
    <n v="81.886400000000009"/>
  </r>
  <r>
    <x v="1"/>
    <x v="191"/>
    <x v="191"/>
    <x v="3"/>
    <x v="2"/>
    <n v="0.89910000000000001"/>
    <n v="115"/>
    <n v="103.3965"/>
  </r>
  <r>
    <x v="1"/>
    <x v="192"/>
    <x v="192"/>
    <x v="35"/>
    <x v="2"/>
    <n v="4.1820000000000004"/>
    <n v="8"/>
    <n v="33.456000000000003"/>
  </r>
  <r>
    <x v="1"/>
    <x v="193"/>
    <x v="193"/>
    <x v="35"/>
    <x v="2"/>
    <n v="0.1"/>
    <n v="5"/>
    <n v="0.5"/>
  </r>
  <r>
    <x v="1"/>
    <x v="194"/>
    <x v="194"/>
    <x v="38"/>
    <x v="2"/>
    <n v="44.99"/>
    <n v="1"/>
    <n v="44.99"/>
  </r>
  <r>
    <x v="2"/>
    <x v="195"/>
    <x v="195"/>
    <x v="35"/>
    <x v="2"/>
    <n v="64.968199999999996"/>
    <n v="3"/>
    <n v="194.90459999999999"/>
  </r>
  <r>
    <x v="1"/>
    <x v="195"/>
    <x v="195"/>
    <x v="35"/>
    <x v="2"/>
    <n v="64.968199999999996"/>
    <n v="3"/>
    <n v="194.90459999999999"/>
  </r>
  <r>
    <x v="1"/>
    <x v="196"/>
    <x v="196"/>
    <x v="3"/>
    <x v="2"/>
    <n v="64.734999999999999"/>
    <n v="2"/>
    <n v="129.47"/>
  </r>
  <r>
    <x v="1"/>
    <x v="197"/>
    <x v="197"/>
    <x v="3"/>
    <x v="2"/>
    <n v="77.747"/>
    <n v="3"/>
    <n v="233.24099999999999"/>
  </r>
  <r>
    <x v="1"/>
    <x v="198"/>
    <x v="198"/>
    <x v="37"/>
    <x v="2"/>
    <n v="61.25"/>
    <n v="4"/>
    <n v="245"/>
  </r>
  <r>
    <x v="1"/>
    <x v="199"/>
    <x v="199"/>
    <x v="35"/>
    <x v="2"/>
    <n v="72.88"/>
    <n v="1"/>
    <n v="72.88"/>
  </r>
  <r>
    <x v="1"/>
    <x v="200"/>
    <x v="200"/>
    <x v="35"/>
    <x v="2"/>
    <n v="63.685000000000002"/>
    <n v="2"/>
    <n v="127.37"/>
  </r>
  <r>
    <x v="1"/>
    <x v="201"/>
    <x v="201"/>
    <x v="37"/>
    <x v="2"/>
    <n v="61.226700000000001"/>
    <n v="3"/>
    <n v="183.68010000000001"/>
  </r>
  <r>
    <x v="1"/>
    <x v="202"/>
    <x v="202"/>
    <x v="3"/>
    <x v="2"/>
    <n v="0.436"/>
    <n v="9"/>
    <n v="3.9239999999999999"/>
  </r>
  <r>
    <x v="1"/>
    <x v="203"/>
    <x v="203"/>
    <x v="35"/>
    <x v="2"/>
    <n v="157.29"/>
    <n v="1"/>
    <n v="157.29"/>
  </r>
  <r>
    <x v="1"/>
    <x v="204"/>
    <x v="204"/>
    <x v="3"/>
    <x v="2"/>
    <n v="129.80500000000001"/>
    <n v="3"/>
    <n v="389.41500000000002"/>
  </r>
  <r>
    <x v="1"/>
    <x v="205"/>
    <x v="205"/>
    <x v="39"/>
    <x v="2"/>
    <n v="41.71"/>
    <n v="1"/>
    <n v="41.71"/>
  </r>
  <r>
    <x v="1"/>
    <x v="206"/>
    <x v="206"/>
    <x v="3"/>
    <x v="2"/>
    <n v="109.913"/>
    <n v="3"/>
    <n v="329.73899999999998"/>
  </r>
  <r>
    <x v="1"/>
    <x v="207"/>
    <x v="207"/>
    <x v="3"/>
    <x v="2"/>
    <n v="45.77"/>
    <n v="3"/>
    <n v="137.31"/>
  </r>
  <r>
    <x v="1"/>
    <x v="208"/>
    <x v="208"/>
    <x v="40"/>
    <x v="2"/>
    <n v="2.1937000000000002"/>
    <n v="26"/>
    <n v="57.036200000000008"/>
  </r>
  <r>
    <x v="2"/>
    <x v="208"/>
    <x v="208"/>
    <x v="40"/>
    <x v="2"/>
    <n v="2.1937000000000002"/>
    <n v="26"/>
    <n v="57.036200000000008"/>
  </r>
  <r>
    <x v="1"/>
    <x v="209"/>
    <x v="209"/>
    <x v="3"/>
    <x v="2"/>
    <n v="0.59499999999999997"/>
    <n v="21"/>
    <n v="12.494999999999999"/>
  </r>
  <r>
    <x v="1"/>
    <x v="210"/>
    <x v="210"/>
    <x v="35"/>
    <x v="2"/>
    <n v="0"/>
    <n v="20"/>
    <n v="0"/>
  </r>
  <r>
    <x v="1"/>
    <x v="211"/>
    <x v="211"/>
    <x v="3"/>
    <x v="2"/>
    <n v="1.4666999999999999"/>
    <n v="47"/>
    <n v="68.934899999999999"/>
  </r>
  <r>
    <x v="1"/>
    <x v="212"/>
    <x v="209"/>
    <x v="3"/>
    <x v="2"/>
    <n v="0.77500000000000002"/>
    <n v="20"/>
    <n v="15.5"/>
  </r>
  <r>
    <x v="1"/>
    <x v="213"/>
    <x v="212"/>
    <x v="3"/>
    <x v="2"/>
    <n v="1.0972"/>
    <n v="55"/>
    <n v="60.345999999999997"/>
  </r>
  <r>
    <x v="1"/>
    <x v="214"/>
    <x v="213"/>
    <x v="35"/>
    <x v="2"/>
    <n v="3.1204999999999998"/>
    <n v="20"/>
    <n v="62.41"/>
  </r>
  <r>
    <x v="2"/>
    <x v="214"/>
    <x v="213"/>
    <x v="35"/>
    <x v="2"/>
    <n v="3.1204999999999998"/>
    <n v="20"/>
    <n v="62.41"/>
  </r>
  <r>
    <x v="1"/>
    <x v="215"/>
    <x v="214"/>
    <x v="35"/>
    <x v="2"/>
    <n v="2.1674000000000002"/>
    <n v="9"/>
    <n v="19.506600000000002"/>
  </r>
  <r>
    <x v="2"/>
    <x v="215"/>
    <x v="214"/>
    <x v="35"/>
    <x v="2"/>
    <n v="2.1674000000000002"/>
    <n v="9"/>
    <n v="19.506600000000002"/>
  </r>
  <r>
    <x v="1"/>
    <x v="216"/>
    <x v="215"/>
    <x v="35"/>
    <x v="2"/>
    <n v="1.67"/>
    <n v="5"/>
    <n v="8.35"/>
  </r>
  <r>
    <x v="1"/>
    <x v="217"/>
    <x v="216"/>
    <x v="36"/>
    <x v="2"/>
    <n v="0.38"/>
    <n v="5"/>
    <n v="1.9"/>
  </r>
  <r>
    <x v="1"/>
    <x v="218"/>
    <x v="217"/>
    <x v="3"/>
    <x v="2"/>
    <n v="0.436"/>
    <n v="15"/>
    <n v="6.54"/>
  </r>
  <r>
    <x v="1"/>
    <x v="219"/>
    <x v="218"/>
    <x v="3"/>
    <x v="2"/>
    <n v="1.196"/>
    <n v="12"/>
    <n v="14.352"/>
  </r>
  <r>
    <x v="1"/>
    <x v="220"/>
    <x v="219"/>
    <x v="35"/>
    <x v="2"/>
    <n v="3.35"/>
    <n v="10"/>
    <n v="33.5"/>
  </r>
  <r>
    <x v="1"/>
    <x v="221"/>
    <x v="220"/>
    <x v="35"/>
    <x v="2"/>
    <n v="2.95"/>
    <n v="6"/>
    <n v="17.700000000000003"/>
  </r>
  <r>
    <x v="1"/>
    <x v="222"/>
    <x v="221"/>
    <x v="35"/>
    <x v="2"/>
    <n v="1.23"/>
    <n v="10"/>
    <n v="12.3"/>
  </r>
  <r>
    <x v="1"/>
    <x v="223"/>
    <x v="222"/>
    <x v="35"/>
    <x v="2"/>
    <n v="1.01"/>
    <n v="10"/>
    <n v="10.1"/>
  </r>
  <r>
    <x v="1"/>
    <x v="224"/>
    <x v="223"/>
    <x v="35"/>
    <x v="2"/>
    <n v="4.21"/>
    <n v="4"/>
    <n v="16.84"/>
  </r>
  <r>
    <x v="1"/>
    <x v="225"/>
    <x v="224"/>
    <x v="35"/>
    <x v="2"/>
    <n v="6.53"/>
    <n v="3"/>
    <n v="19.59"/>
  </r>
  <r>
    <x v="1"/>
    <x v="226"/>
    <x v="225"/>
    <x v="35"/>
    <x v="2"/>
    <n v="5.2539999999999996"/>
    <n v="10"/>
    <n v="52.539999999999992"/>
  </r>
  <r>
    <x v="1"/>
    <x v="227"/>
    <x v="226"/>
    <x v="35"/>
    <x v="2"/>
    <n v="2.95"/>
    <n v="3"/>
    <n v="8.8500000000000014"/>
  </r>
  <r>
    <x v="1"/>
    <x v="228"/>
    <x v="227"/>
    <x v="38"/>
    <x v="2"/>
    <n v="0.55600000000000005"/>
    <n v="20"/>
    <n v="11.120000000000001"/>
  </r>
  <r>
    <x v="1"/>
    <x v="229"/>
    <x v="228"/>
    <x v="35"/>
    <x v="2"/>
    <n v="1.65"/>
    <n v="6"/>
    <n v="9.8999999999999986"/>
  </r>
  <r>
    <x v="1"/>
    <x v="230"/>
    <x v="229"/>
    <x v="35"/>
    <x v="2"/>
    <n v="0.71319999999999995"/>
    <n v="25"/>
    <n v="17.829999999999998"/>
  </r>
  <r>
    <x v="1"/>
    <x v="231"/>
    <x v="230"/>
    <x v="35"/>
    <x v="2"/>
    <n v="0.66390000000000005"/>
    <n v="25"/>
    <n v="16.5975"/>
  </r>
  <r>
    <x v="1"/>
    <x v="232"/>
    <x v="231"/>
    <x v="3"/>
    <x v="2"/>
    <n v="0.25850000000000001"/>
    <n v="69"/>
    <n v="17.836500000000001"/>
  </r>
  <r>
    <x v="1"/>
    <x v="233"/>
    <x v="232"/>
    <x v="36"/>
    <x v="2"/>
    <n v="0.81"/>
    <n v="20"/>
    <n v="16.200000000000003"/>
  </r>
  <r>
    <x v="1"/>
    <x v="234"/>
    <x v="233"/>
    <x v="3"/>
    <x v="2"/>
    <n v="0.83889999999999998"/>
    <n v="18"/>
    <n v="15.100199999999999"/>
  </r>
  <r>
    <x v="1"/>
    <x v="235"/>
    <x v="234"/>
    <x v="3"/>
    <x v="2"/>
    <n v="1.34"/>
    <n v="10"/>
    <n v="13.4"/>
  </r>
  <r>
    <x v="1"/>
    <x v="236"/>
    <x v="235"/>
    <x v="3"/>
    <x v="2"/>
    <n v="1.2270000000000001"/>
    <n v="20"/>
    <n v="24.540000000000003"/>
  </r>
  <r>
    <x v="1"/>
    <x v="237"/>
    <x v="236"/>
    <x v="36"/>
    <x v="2"/>
    <n v="32.9"/>
    <n v="4"/>
    <n v="131.6"/>
  </r>
  <r>
    <x v="1"/>
    <x v="238"/>
    <x v="237"/>
    <x v="3"/>
    <x v="2"/>
    <n v="28.9602"/>
    <n v="6"/>
    <n v="173.7612"/>
  </r>
  <r>
    <x v="1"/>
    <x v="239"/>
    <x v="238"/>
    <x v="35"/>
    <x v="2"/>
    <n v="119.48"/>
    <n v="1"/>
    <n v="119.48"/>
  </r>
  <r>
    <x v="1"/>
    <x v="240"/>
    <x v="239"/>
    <x v="37"/>
    <x v="2"/>
    <n v="44.93"/>
    <n v="4"/>
    <n v="179.72"/>
  </r>
  <r>
    <x v="1"/>
    <x v="241"/>
    <x v="240"/>
    <x v="3"/>
    <x v="2"/>
    <n v="46.802999999999997"/>
    <n v="4"/>
    <n v="187.21199999999999"/>
  </r>
  <r>
    <x v="2"/>
    <x v="242"/>
    <x v="241"/>
    <x v="41"/>
    <x v="2"/>
    <n v="2.1415000000000002"/>
    <n v="63"/>
    <n v="134.9145"/>
  </r>
  <r>
    <x v="1"/>
    <x v="242"/>
    <x v="241"/>
    <x v="41"/>
    <x v="2"/>
    <n v="2.1415000000000002"/>
    <n v="63"/>
    <n v="134.9145"/>
  </r>
  <r>
    <x v="1"/>
    <x v="243"/>
    <x v="242"/>
    <x v="36"/>
    <x v="2"/>
    <n v="2.14"/>
    <n v="2"/>
    <n v="4.28"/>
  </r>
  <r>
    <x v="1"/>
    <x v="244"/>
    <x v="243"/>
    <x v="34"/>
    <x v="2"/>
    <n v="16.968900000000001"/>
    <n v="21"/>
    <n v="356.34690000000001"/>
  </r>
  <r>
    <x v="2"/>
    <x v="244"/>
    <x v="243"/>
    <x v="34"/>
    <x v="2"/>
    <n v="16.968900000000001"/>
    <n v="21"/>
    <n v="356.34690000000001"/>
  </r>
  <r>
    <x v="1"/>
    <x v="245"/>
    <x v="244"/>
    <x v="34"/>
    <x v="2"/>
    <n v="26.801100000000002"/>
    <n v="24"/>
    <n v="643.22640000000001"/>
  </r>
  <r>
    <x v="2"/>
    <x v="245"/>
    <x v="244"/>
    <x v="34"/>
    <x v="2"/>
    <n v="26.801100000000002"/>
    <n v="24"/>
    <n v="643.22640000000001"/>
  </r>
  <r>
    <x v="0"/>
    <x v="246"/>
    <x v="245"/>
    <x v="34"/>
    <x v="2"/>
    <n v="53.326900000000002"/>
    <n v="4"/>
    <n v="213.30760000000001"/>
  </r>
  <r>
    <x v="1"/>
    <x v="246"/>
    <x v="245"/>
    <x v="34"/>
    <x v="2"/>
    <n v="53.326900000000002"/>
    <n v="4"/>
    <n v="213.30760000000001"/>
  </r>
  <r>
    <x v="2"/>
    <x v="246"/>
    <x v="245"/>
    <x v="34"/>
    <x v="2"/>
    <n v="53.326900000000002"/>
    <n v="4"/>
    <n v="213.30760000000001"/>
  </r>
  <r>
    <x v="1"/>
    <x v="247"/>
    <x v="246"/>
    <x v="35"/>
    <x v="2"/>
    <n v="111.27"/>
    <n v="2"/>
    <n v="222.54"/>
  </r>
  <r>
    <x v="1"/>
    <x v="248"/>
    <x v="247"/>
    <x v="35"/>
    <x v="2"/>
    <n v="2.52"/>
    <n v="5"/>
    <n v="12.6"/>
  </r>
  <r>
    <x v="1"/>
    <x v="249"/>
    <x v="248"/>
    <x v="35"/>
    <x v="2"/>
    <n v="1.1200000000000001"/>
    <n v="5"/>
    <n v="5.6000000000000005"/>
  </r>
  <r>
    <x v="1"/>
    <x v="250"/>
    <x v="249"/>
    <x v="35"/>
    <x v="2"/>
    <n v="1.28"/>
    <n v="5"/>
    <n v="6.4"/>
  </r>
  <r>
    <x v="1"/>
    <x v="251"/>
    <x v="250"/>
    <x v="35"/>
    <x v="2"/>
    <n v="6.48"/>
    <n v="5"/>
    <n v="32.400000000000006"/>
  </r>
  <r>
    <x v="1"/>
    <x v="252"/>
    <x v="251"/>
    <x v="35"/>
    <x v="2"/>
    <n v="1.1200000000000001"/>
    <n v="5"/>
    <n v="5.6000000000000005"/>
  </r>
  <r>
    <x v="1"/>
    <x v="253"/>
    <x v="252"/>
    <x v="35"/>
    <x v="2"/>
    <n v="9.52"/>
    <n v="5"/>
    <n v="47.599999999999994"/>
  </r>
  <r>
    <x v="1"/>
    <x v="254"/>
    <x v="253"/>
    <x v="35"/>
    <x v="2"/>
    <n v="53.430199999999999"/>
    <n v="4"/>
    <n v="213.7208"/>
  </r>
  <r>
    <x v="1"/>
    <x v="255"/>
    <x v="254"/>
    <x v="3"/>
    <x v="2"/>
    <n v="32.294899999999998"/>
    <n v="9"/>
    <n v="290.65409999999997"/>
  </r>
  <r>
    <x v="2"/>
    <x v="255"/>
    <x v="254"/>
    <x v="3"/>
    <x v="2"/>
    <n v="32.294899999999998"/>
    <n v="9"/>
    <n v="290.65409999999997"/>
  </r>
  <r>
    <x v="1"/>
    <x v="256"/>
    <x v="255"/>
    <x v="36"/>
    <x v="2"/>
    <n v="26.18"/>
    <n v="2"/>
    <n v="52.36"/>
  </r>
  <r>
    <x v="1"/>
    <x v="257"/>
    <x v="256"/>
    <x v="3"/>
    <x v="2"/>
    <n v="29.754999999999999"/>
    <n v="8"/>
    <n v="238.04"/>
  </r>
  <r>
    <x v="1"/>
    <x v="258"/>
    <x v="257"/>
    <x v="3"/>
    <x v="2"/>
    <n v="29.276"/>
    <n v="7"/>
    <n v="204.93199999999999"/>
  </r>
  <r>
    <x v="1"/>
    <x v="259"/>
    <x v="258"/>
    <x v="35"/>
    <x v="2"/>
    <n v="32.01"/>
    <n v="3"/>
    <n v="96.03"/>
  </r>
  <r>
    <x v="1"/>
    <x v="260"/>
    <x v="259"/>
    <x v="35"/>
    <x v="2"/>
    <n v="49.57"/>
    <n v="4"/>
    <n v="198.28"/>
  </r>
  <r>
    <x v="1"/>
    <x v="261"/>
    <x v="260"/>
    <x v="36"/>
    <x v="2"/>
    <n v="9.5399999999999991"/>
    <n v="3"/>
    <n v="28.619999999999997"/>
  </r>
  <r>
    <x v="1"/>
    <x v="262"/>
    <x v="261"/>
    <x v="35"/>
    <x v="2"/>
    <n v="2.7408000000000001"/>
    <n v="23"/>
    <n v="63.038400000000003"/>
  </r>
  <r>
    <x v="2"/>
    <x v="262"/>
    <x v="261"/>
    <x v="35"/>
    <x v="2"/>
    <n v="2.7408000000000001"/>
    <n v="23"/>
    <n v="63.038400000000003"/>
  </r>
  <r>
    <x v="1"/>
    <x v="263"/>
    <x v="262"/>
    <x v="36"/>
    <x v="2"/>
    <n v="9.3970000000000002"/>
    <n v="2"/>
    <n v="18.794"/>
  </r>
  <r>
    <x v="1"/>
    <x v="264"/>
    <x v="263"/>
    <x v="3"/>
    <x v="2"/>
    <n v="1.4630000000000001"/>
    <n v="10"/>
    <n v="14.63"/>
  </r>
  <r>
    <x v="1"/>
    <x v="265"/>
    <x v="264"/>
    <x v="3"/>
    <x v="2"/>
    <n v="1.5409999999999999"/>
    <n v="11"/>
    <n v="16.951000000000001"/>
  </r>
  <r>
    <x v="1"/>
    <x v="266"/>
    <x v="265"/>
    <x v="37"/>
    <x v="2"/>
    <n v="2.3525999999999998"/>
    <n v="2"/>
    <n v="4.7051999999999996"/>
  </r>
  <r>
    <x v="2"/>
    <x v="266"/>
    <x v="265"/>
    <x v="37"/>
    <x v="2"/>
    <n v="2.3525999999999998"/>
    <n v="2"/>
    <n v="4.7051999999999996"/>
  </r>
  <r>
    <x v="1"/>
    <x v="267"/>
    <x v="266"/>
    <x v="3"/>
    <x v="2"/>
    <n v="0.49299999999999999"/>
    <n v="28"/>
    <n v="13.804"/>
  </r>
  <r>
    <x v="1"/>
    <x v="268"/>
    <x v="267"/>
    <x v="35"/>
    <x v="2"/>
    <n v="1.0169999999999999"/>
    <n v="10"/>
    <n v="10.169999999999998"/>
  </r>
  <r>
    <x v="1"/>
    <x v="269"/>
    <x v="268"/>
    <x v="35"/>
    <x v="2"/>
    <n v="1.6226"/>
    <n v="22"/>
    <n v="35.697200000000002"/>
  </r>
  <r>
    <x v="2"/>
    <x v="270"/>
    <x v="269"/>
    <x v="3"/>
    <x v="2"/>
    <n v="2.4287999999999998"/>
    <n v="33"/>
    <n v="80.150399999999991"/>
  </r>
  <r>
    <x v="1"/>
    <x v="270"/>
    <x v="269"/>
    <x v="3"/>
    <x v="2"/>
    <n v="2.4287999999999998"/>
    <n v="33"/>
    <n v="80.150399999999991"/>
  </r>
  <r>
    <x v="1"/>
    <x v="271"/>
    <x v="270"/>
    <x v="3"/>
    <x v="2"/>
    <n v="1.1448"/>
    <n v="24"/>
    <n v="27.475200000000001"/>
  </r>
  <r>
    <x v="1"/>
    <x v="272"/>
    <x v="271"/>
    <x v="35"/>
    <x v="2"/>
    <n v="1.2087000000000001"/>
    <n v="22"/>
    <n v="26.591400000000004"/>
  </r>
  <r>
    <x v="2"/>
    <x v="272"/>
    <x v="271"/>
    <x v="35"/>
    <x v="2"/>
    <n v="1.2087000000000001"/>
    <n v="22"/>
    <n v="26.591400000000004"/>
  </r>
  <r>
    <x v="1"/>
    <x v="273"/>
    <x v="272"/>
    <x v="3"/>
    <x v="2"/>
    <n v="1.462"/>
    <n v="15"/>
    <n v="21.93"/>
  </r>
  <r>
    <x v="1"/>
    <x v="274"/>
    <x v="273"/>
    <x v="38"/>
    <x v="2"/>
    <n v="1.7024999999999999"/>
    <n v="1"/>
    <n v="1.7024999999999999"/>
  </r>
  <r>
    <x v="2"/>
    <x v="274"/>
    <x v="273"/>
    <x v="38"/>
    <x v="2"/>
    <n v="1.7024999999999999"/>
    <n v="1"/>
    <n v="1.7024999999999999"/>
  </r>
  <r>
    <x v="1"/>
    <x v="275"/>
    <x v="274"/>
    <x v="1"/>
    <x v="4"/>
    <n v="0"/>
    <n v="10"/>
    <n v="0"/>
  </r>
  <r>
    <x v="1"/>
    <x v="276"/>
    <x v="275"/>
    <x v="35"/>
    <x v="2"/>
    <n v="0.93"/>
    <n v="4"/>
    <n v="3.72"/>
  </r>
  <r>
    <x v="1"/>
    <x v="277"/>
    <x v="276"/>
    <x v="35"/>
    <x v="2"/>
    <n v="0.68"/>
    <n v="10"/>
    <n v="6.8000000000000007"/>
  </r>
  <r>
    <x v="1"/>
    <x v="278"/>
    <x v="277"/>
    <x v="3"/>
    <x v="2"/>
    <n v="4.7637"/>
    <n v="12"/>
    <n v="57.164400000000001"/>
  </r>
  <r>
    <x v="1"/>
    <x v="279"/>
    <x v="278"/>
    <x v="35"/>
    <x v="2"/>
    <n v="5.3045"/>
    <n v="21"/>
    <n v="111.39449999999999"/>
  </r>
  <r>
    <x v="1"/>
    <x v="280"/>
    <x v="279"/>
    <x v="35"/>
    <x v="2"/>
    <n v="2.536"/>
    <n v="11"/>
    <n v="27.896000000000001"/>
  </r>
  <r>
    <x v="1"/>
    <x v="281"/>
    <x v="280"/>
    <x v="37"/>
    <x v="2"/>
    <n v="1.8859999999999999"/>
    <n v="26"/>
    <n v="49.035999999999994"/>
  </r>
  <r>
    <x v="1"/>
    <x v="282"/>
    <x v="281"/>
    <x v="37"/>
    <x v="2"/>
    <n v="5.4509999999999996"/>
    <n v="14"/>
    <n v="76.313999999999993"/>
  </r>
  <r>
    <x v="1"/>
    <x v="283"/>
    <x v="282"/>
    <x v="37"/>
    <x v="2"/>
    <n v="0.47799999999999998"/>
    <n v="22"/>
    <n v="10.516"/>
  </r>
  <r>
    <x v="1"/>
    <x v="284"/>
    <x v="283"/>
    <x v="3"/>
    <x v="2"/>
    <n v="0.57940000000000003"/>
    <n v="14"/>
    <n v="8.111600000000001"/>
  </r>
  <r>
    <x v="1"/>
    <x v="285"/>
    <x v="284"/>
    <x v="37"/>
    <x v="2"/>
    <n v="0.41789999999999999"/>
    <n v="10"/>
    <n v="4.1790000000000003"/>
  </r>
  <r>
    <x v="1"/>
    <x v="286"/>
    <x v="285"/>
    <x v="3"/>
    <x v="2"/>
    <n v="0.47"/>
    <n v="20"/>
    <n v="9.3999999999999986"/>
  </r>
  <r>
    <x v="1"/>
    <x v="287"/>
    <x v="286"/>
    <x v="37"/>
    <x v="2"/>
    <n v="0.20100000000000001"/>
    <n v="12"/>
    <n v="2.4119999999999999"/>
  </r>
  <r>
    <x v="1"/>
    <x v="288"/>
    <x v="287"/>
    <x v="37"/>
    <x v="2"/>
    <n v="2.3719999999999999"/>
    <n v="10"/>
    <n v="23.72"/>
  </r>
  <r>
    <x v="1"/>
    <x v="289"/>
    <x v="288"/>
    <x v="3"/>
    <x v="2"/>
    <n v="0.61160000000000003"/>
    <n v="18"/>
    <n v="11.008800000000001"/>
  </r>
  <r>
    <x v="1"/>
    <x v="290"/>
    <x v="289"/>
    <x v="3"/>
    <x v="2"/>
    <n v="0.62"/>
    <n v="10"/>
    <n v="6.2"/>
  </r>
  <r>
    <x v="1"/>
    <x v="291"/>
    <x v="290"/>
    <x v="37"/>
    <x v="2"/>
    <n v="45.685000000000002"/>
    <n v="6"/>
    <n v="274.11"/>
  </r>
  <r>
    <x v="1"/>
    <x v="292"/>
    <x v="291"/>
    <x v="37"/>
    <x v="2"/>
    <n v="2.4439000000000002"/>
    <n v="18"/>
    <n v="43.990200000000002"/>
  </r>
  <r>
    <x v="1"/>
    <x v="293"/>
    <x v="292"/>
    <x v="3"/>
    <x v="2"/>
    <n v="0.626"/>
    <n v="22"/>
    <n v="13.772"/>
  </r>
  <r>
    <x v="2"/>
    <x v="293"/>
    <x v="292"/>
    <x v="3"/>
    <x v="2"/>
    <n v="0.626"/>
    <n v="22"/>
    <n v="13.772"/>
  </r>
  <r>
    <x v="1"/>
    <x v="294"/>
    <x v="293"/>
    <x v="3"/>
    <x v="2"/>
    <n v="5.6051000000000002"/>
    <n v="22"/>
    <n v="123.3122"/>
  </r>
  <r>
    <x v="2"/>
    <x v="294"/>
    <x v="293"/>
    <x v="3"/>
    <x v="2"/>
    <n v="5.6051000000000002"/>
    <n v="22"/>
    <n v="123.3122"/>
  </r>
  <r>
    <x v="1"/>
    <x v="295"/>
    <x v="294"/>
    <x v="3"/>
    <x v="2"/>
    <n v="0.51700000000000002"/>
    <n v="21"/>
    <n v="10.857000000000001"/>
  </r>
  <r>
    <x v="1"/>
    <x v="296"/>
    <x v="295"/>
    <x v="37"/>
    <x v="2"/>
    <n v="0.47899999999999998"/>
    <n v="1"/>
    <n v="0.47899999999999998"/>
  </r>
  <r>
    <x v="1"/>
    <x v="297"/>
    <x v="296"/>
    <x v="37"/>
    <x v="2"/>
    <n v="1"/>
    <n v="13"/>
    <n v="13"/>
  </r>
  <r>
    <x v="1"/>
    <x v="298"/>
    <x v="297"/>
    <x v="37"/>
    <x v="2"/>
    <n v="5.0350000000000001"/>
    <n v="13"/>
    <n v="65.454999999999998"/>
  </r>
  <r>
    <x v="1"/>
    <x v="299"/>
    <x v="298"/>
    <x v="37"/>
    <x v="2"/>
    <n v="1.8520000000000001"/>
    <n v="18"/>
    <n v="33.335999999999999"/>
  </r>
  <r>
    <x v="1"/>
    <x v="300"/>
    <x v="299"/>
    <x v="37"/>
    <x v="2"/>
    <n v="4.2300000000000004"/>
    <n v="13"/>
    <n v="54.990000000000009"/>
  </r>
  <r>
    <x v="1"/>
    <x v="301"/>
    <x v="300"/>
    <x v="3"/>
    <x v="2"/>
    <n v="0.48199999999999998"/>
    <n v="28"/>
    <n v="13.495999999999999"/>
  </r>
  <r>
    <x v="1"/>
    <x v="302"/>
    <x v="301"/>
    <x v="3"/>
    <x v="2"/>
    <n v="0.6"/>
    <n v="13"/>
    <n v="7.8"/>
  </r>
  <r>
    <x v="1"/>
    <x v="303"/>
    <x v="302"/>
    <x v="3"/>
    <x v="2"/>
    <n v="5.1136999999999997"/>
    <n v="27"/>
    <n v="138.06989999999999"/>
  </r>
  <r>
    <x v="2"/>
    <x v="303"/>
    <x v="302"/>
    <x v="3"/>
    <x v="2"/>
    <n v="5.1136999999999997"/>
    <n v="27"/>
    <n v="138.06989999999999"/>
  </r>
  <r>
    <x v="1"/>
    <x v="304"/>
    <x v="303"/>
    <x v="3"/>
    <x v="2"/>
    <n v="2.1086999999999998"/>
    <n v="19"/>
    <n v="40.065299999999993"/>
  </r>
  <r>
    <x v="1"/>
    <x v="305"/>
    <x v="304"/>
    <x v="37"/>
    <x v="2"/>
    <n v="2.6419999999999999"/>
    <n v="64"/>
    <n v="169.08799999999999"/>
  </r>
  <r>
    <x v="1"/>
    <x v="306"/>
    <x v="305"/>
    <x v="3"/>
    <x v="2"/>
    <n v="1.6497999999999999"/>
    <n v="17"/>
    <n v="28.046599999999998"/>
  </r>
  <r>
    <x v="1"/>
    <x v="307"/>
    <x v="306"/>
    <x v="3"/>
    <x v="2"/>
    <n v="0.9536"/>
    <n v="7"/>
    <n v="6.6752000000000002"/>
  </r>
  <r>
    <x v="2"/>
    <x v="308"/>
    <x v="307"/>
    <x v="3"/>
    <x v="2"/>
    <n v="5.5382999999999996"/>
    <n v="8"/>
    <n v="44.306399999999996"/>
  </r>
  <r>
    <x v="1"/>
    <x v="308"/>
    <x v="307"/>
    <x v="3"/>
    <x v="2"/>
    <n v="5.5382999999999996"/>
    <n v="8"/>
    <n v="44.306399999999996"/>
  </r>
  <r>
    <x v="1"/>
    <x v="309"/>
    <x v="308"/>
    <x v="3"/>
    <x v="2"/>
    <n v="5.2450000000000001"/>
    <n v="15"/>
    <n v="78.674999999999997"/>
  </r>
  <r>
    <x v="1"/>
    <x v="310"/>
    <x v="309"/>
    <x v="3"/>
    <x v="2"/>
    <n v="1.49"/>
    <n v="18"/>
    <n v="26.82"/>
  </r>
  <r>
    <x v="1"/>
    <x v="311"/>
    <x v="310"/>
    <x v="3"/>
    <x v="2"/>
    <n v="2.4319999999999999"/>
    <n v="17"/>
    <n v="41.344000000000001"/>
  </r>
  <r>
    <x v="2"/>
    <x v="312"/>
    <x v="311"/>
    <x v="42"/>
    <x v="2"/>
    <n v="15.6289"/>
    <n v="30"/>
    <n v="468.86700000000002"/>
  </r>
  <r>
    <x v="1"/>
    <x v="312"/>
    <x v="311"/>
    <x v="42"/>
    <x v="2"/>
    <n v="15.6289"/>
    <n v="30"/>
    <n v="468.86700000000002"/>
  </r>
  <r>
    <x v="1"/>
    <x v="313"/>
    <x v="312"/>
    <x v="35"/>
    <x v="2"/>
    <n v="6.5129999999999999"/>
    <n v="4"/>
    <n v="26.052"/>
  </r>
  <r>
    <x v="1"/>
    <x v="314"/>
    <x v="313"/>
    <x v="35"/>
    <x v="2"/>
    <n v="4.5250000000000004"/>
    <n v="2"/>
    <n v="9.0500000000000007"/>
  </r>
  <r>
    <x v="1"/>
    <x v="315"/>
    <x v="314"/>
    <x v="35"/>
    <x v="2"/>
    <n v="3.36"/>
    <n v="8"/>
    <n v="26.88"/>
  </r>
  <r>
    <x v="1"/>
    <x v="316"/>
    <x v="315"/>
    <x v="36"/>
    <x v="2"/>
    <n v="0.47"/>
    <n v="2"/>
    <n v="0.94"/>
  </r>
  <r>
    <x v="1"/>
    <x v="317"/>
    <x v="316"/>
    <x v="35"/>
    <x v="2"/>
    <n v="0.432"/>
    <n v="5"/>
    <n v="2.16"/>
  </r>
  <r>
    <x v="1"/>
    <x v="318"/>
    <x v="317"/>
    <x v="35"/>
    <x v="2"/>
    <n v="3.66"/>
    <n v="2"/>
    <n v="7.32"/>
  </r>
  <r>
    <x v="1"/>
    <x v="319"/>
    <x v="318"/>
    <x v="3"/>
    <x v="2"/>
    <n v="0.22"/>
    <n v="13"/>
    <n v="2.86"/>
  </r>
  <r>
    <x v="1"/>
    <x v="320"/>
    <x v="319"/>
    <x v="37"/>
    <x v="2"/>
    <n v="0.3"/>
    <n v="21"/>
    <n v="6.3"/>
  </r>
  <r>
    <x v="1"/>
    <x v="321"/>
    <x v="320"/>
    <x v="36"/>
    <x v="2"/>
    <n v="2.79"/>
    <n v="2"/>
    <n v="5.58"/>
  </r>
  <r>
    <x v="1"/>
    <x v="322"/>
    <x v="321"/>
    <x v="3"/>
    <x v="2"/>
    <n v="1.651"/>
    <n v="5"/>
    <n v="8.2550000000000008"/>
  </r>
  <r>
    <x v="1"/>
    <x v="323"/>
    <x v="322"/>
    <x v="3"/>
    <x v="2"/>
    <n v="4.5780000000000003"/>
    <n v="7"/>
    <n v="32.045999999999999"/>
  </r>
  <r>
    <x v="1"/>
    <x v="324"/>
    <x v="323"/>
    <x v="3"/>
    <x v="2"/>
    <n v="3.9969999999999999"/>
    <n v="8"/>
    <n v="31.975999999999999"/>
  </r>
  <r>
    <x v="1"/>
    <x v="325"/>
    <x v="324"/>
    <x v="3"/>
    <x v="2"/>
    <n v="4.9889999999999999"/>
    <n v="7"/>
    <n v="34.923000000000002"/>
  </r>
  <r>
    <x v="2"/>
    <x v="326"/>
    <x v="325"/>
    <x v="34"/>
    <x v="2"/>
    <n v="52.164200000000001"/>
    <n v="33"/>
    <n v="1721.4186"/>
  </r>
  <r>
    <x v="0"/>
    <x v="326"/>
    <x v="325"/>
    <x v="34"/>
    <x v="2"/>
    <n v="52.164200000000001"/>
    <n v="33"/>
    <n v="1721.4186"/>
  </r>
  <r>
    <x v="1"/>
    <x v="326"/>
    <x v="325"/>
    <x v="34"/>
    <x v="2"/>
    <n v="52.164200000000001"/>
    <n v="33"/>
    <n v="1721.4186"/>
  </r>
  <r>
    <x v="1"/>
    <x v="327"/>
    <x v="326"/>
    <x v="37"/>
    <x v="2"/>
    <n v="7.984"/>
    <n v="11"/>
    <n v="87.823999999999998"/>
  </r>
  <r>
    <x v="1"/>
    <x v="328"/>
    <x v="327"/>
    <x v="35"/>
    <x v="2"/>
    <n v="7.2279999999999998"/>
    <n v="16"/>
    <n v="115.648"/>
  </r>
  <r>
    <x v="1"/>
    <x v="329"/>
    <x v="328"/>
    <x v="3"/>
    <x v="2"/>
    <n v="4.5030000000000001"/>
    <n v="4"/>
    <n v="18.012"/>
  </r>
  <r>
    <x v="1"/>
    <x v="330"/>
    <x v="329"/>
    <x v="35"/>
    <x v="2"/>
    <n v="8.08"/>
    <n v="5"/>
    <n v="40.4"/>
  </r>
  <r>
    <x v="1"/>
    <x v="331"/>
    <x v="330"/>
    <x v="35"/>
    <x v="2"/>
    <n v="6.44"/>
    <n v="5"/>
    <n v="32.200000000000003"/>
  </r>
  <r>
    <x v="1"/>
    <x v="332"/>
    <x v="331"/>
    <x v="3"/>
    <x v="2"/>
    <n v="8.2468000000000004"/>
    <n v="5"/>
    <n v="41.234000000000002"/>
  </r>
  <r>
    <x v="1"/>
    <x v="333"/>
    <x v="332"/>
    <x v="38"/>
    <x v="2"/>
    <n v="1.752"/>
    <n v="37"/>
    <n v="64.823999999999998"/>
  </r>
  <r>
    <x v="2"/>
    <x v="333"/>
    <x v="332"/>
    <x v="38"/>
    <x v="2"/>
    <n v="1.752"/>
    <n v="37"/>
    <n v="64.823999999999998"/>
  </r>
  <r>
    <x v="1"/>
    <x v="334"/>
    <x v="333"/>
    <x v="37"/>
    <x v="2"/>
    <n v="1.4430000000000001"/>
    <n v="10"/>
    <n v="14.43"/>
  </r>
  <r>
    <x v="1"/>
    <x v="335"/>
    <x v="334"/>
    <x v="3"/>
    <x v="2"/>
    <n v="1.0944"/>
    <n v="18"/>
    <n v="19.699200000000001"/>
  </r>
  <r>
    <x v="1"/>
    <x v="336"/>
    <x v="335"/>
    <x v="3"/>
    <x v="2"/>
    <n v="2.63"/>
    <n v="10"/>
    <n v="26.299999999999997"/>
  </r>
  <r>
    <x v="1"/>
    <x v="337"/>
    <x v="336"/>
    <x v="3"/>
    <x v="2"/>
    <n v="1.8009999999999999"/>
    <n v="6"/>
    <n v="10.805999999999999"/>
  </r>
  <r>
    <x v="1"/>
    <x v="338"/>
    <x v="337"/>
    <x v="3"/>
    <x v="2"/>
    <n v="1.0980000000000001"/>
    <n v="5"/>
    <n v="5.49"/>
  </r>
  <r>
    <x v="1"/>
    <x v="339"/>
    <x v="338"/>
    <x v="3"/>
    <x v="2"/>
    <n v="2.9820000000000002"/>
    <n v="5"/>
    <n v="14.91"/>
  </r>
  <r>
    <x v="1"/>
    <x v="340"/>
    <x v="339"/>
    <x v="3"/>
    <x v="2"/>
    <n v="4.0401999999999996"/>
    <n v="3"/>
    <n v="12.1206"/>
  </r>
  <r>
    <x v="1"/>
    <x v="341"/>
    <x v="340"/>
    <x v="3"/>
    <x v="2"/>
    <n v="1.6639999999999999"/>
    <n v="7"/>
    <n v="11.648"/>
  </r>
  <r>
    <x v="1"/>
    <x v="342"/>
    <x v="341"/>
    <x v="35"/>
    <x v="2"/>
    <n v="6.89"/>
    <n v="3"/>
    <n v="20.669999999999998"/>
  </r>
  <r>
    <x v="1"/>
    <x v="343"/>
    <x v="342"/>
    <x v="37"/>
    <x v="2"/>
    <n v="3.0148999999999999"/>
    <n v="12"/>
    <n v="36.178799999999995"/>
  </r>
  <r>
    <x v="1"/>
    <x v="344"/>
    <x v="343"/>
    <x v="35"/>
    <x v="2"/>
    <n v="7.9809999999999999"/>
    <n v="8"/>
    <n v="63.847999999999999"/>
  </r>
  <r>
    <x v="1"/>
    <x v="345"/>
    <x v="344"/>
    <x v="35"/>
    <x v="2"/>
    <n v="3.96"/>
    <n v="2"/>
    <n v="7.92"/>
  </r>
  <r>
    <x v="1"/>
    <x v="346"/>
    <x v="345"/>
    <x v="35"/>
    <x v="2"/>
    <n v="0.53"/>
    <n v="5"/>
    <n v="2.6500000000000004"/>
  </r>
  <r>
    <x v="1"/>
    <x v="347"/>
    <x v="346"/>
    <x v="3"/>
    <x v="2"/>
    <n v="1.6365000000000001"/>
    <n v="5"/>
    <n v="8.182500000000001"/>
  </r>
  <r>
    <x v="1"/>
    <x v="348"/>
    <x v="347"/>
    <x v="36"/>
    <x v="2"/>
    <n v="4.51"/>
    <n v="1"/>
    <n v="4.51"/>
  </r>
  <r>
    <x v="1"/>
    <x v="349"/>
    <x v="348"/>
    <x v="3"/>
    <x v="2"/>
    <n v="11.42"/>
    <n v="3"/>
    <n v="34.26"/>
  </r>
  <r>
    <x v="2"/>
    <x v="350"/>
    <x v="349"/>
    <x v="36"/>
    <x v="2"/>
    <n v="1.9737"/>
    <n v="14"/>
    <n v="27.631799999999998"/>
  </r>
  <r>
    <x v="1"/>
    <x v="350"/>
    <x v="349"/>
    <x v="36"/>
    <x v="2"/>
    <n v="1.9737"/>
    <n v="14"/>
    <n v="27.631799999999998"/>
  </r>
  <r>
    <x v="1"/>
    <x v="351"/>
    <x v="350"/>
    <x v="3"/>
    <x v="2"/>
    <n v="1.4359"/>
    <n v="12"/>
    <n v="17.230799999999999"/>
  </r>
  <r>
    <x v="1"/>
    <x v="352"/>
    <x v="351"/>
    <x v="3"/>
    <x v="2"/>
    <n v="2.94"/>
    <n v="5"/>
    <n v="14.7"/>
  </r>
  <r>
    <x v="1"/>
    <x v="353"/>
    <x v="352"/>
    <x v="3"/>
    <x v="2"/>
    <n v="0.83599999999999997"/>
    <n v="41"/>
    <n v="34.275999999999996"/>
  </r>
  <r>
    <x v="1"/>
    <x v="354"/>
    <x v="353"/>
    <x v="3"/>
    <x v="2"/>
    <n v="0.38"/>
    <n v="20"/>
    <n v="7.6"/>
  </r>
  <r>
    <x v="1"/>
    <x v="355"/>
    <x v="354"/>
    <x v="3"/>
    <x v="2"/>
    <n v="1.17"/>
    <n v="5"/>
    <n v="5.85"/>
  </r>
  <r>
    <x v="1"/>
    <x v="356"/>
    <x v="355"/>
    <x v="3"/>
    <x v="2"/>
    <n v="2.4"/>
    <n v="7"/>
    <n v="16.8"/>
  </r>
  <r>
    <x v="1"/>
    <x v="357"/>
    <x v="356"/>
    <x v="3"/>
    <x v="2"/>
    <n v="2.68"/>
    <n v="4"/>
    <n v="10.72"/>
  </r>
  <r>
    <x v="1"/>
    <x v="358"/>
    <x v="357"/>
    <x v="35"/>
    <x v="2"/>
    <n v="1.05"/>
    <n v="6"/>
    <n v="6.3000000000000007"/>
  </r>
  <r>
    <x v="1"/>
    <x v="359"/>
    <x v="358"/>
    <x v="37"/>
    <x v="2"/>
    <n v="0.46"/>
    <n v="5"/>
    <n v="2.3000000000000003"/>
  </r>
  <r>
    <x v="1"/>
    <x v="360"/>
    <x v="359"/>
    <x v="3"/>
    <x v="2"/>
    <n v="0.67600000000000005"/>
    <n v="6"/>
    <n v="4.056"/>
  </r>
  <r>
    <x v="2"/>
    <x v="361"/>
    <x v="360"/>
    <x v="43"/>
    <x v="2"/>
    <n v="5.2460000000000004"/>
    <n v="126"/>
    <n v="660.99600000000009"/>
  </r>
  <r>
    <x v="1"/>
    <x v="361"/>
    <x v="360"/>
    <x v="43"/>
    <x v="2"/>
    <n v="5.2460000000000004"/>
    <n v="126"/>
    <n v="660.99600000000009"/>
  </r>
  <r>
    <x v="1"/>
    <x v="362"/>
    <x v="361"/>
    <x v="37"/>
    <x v="2"/>
    <n v="0.84"/>
    <n v="4"/>
    <n v="3.36"/>
  </r>
  <r>
    <x v="1"/>
    <x v="363"/>
    <x v="362"/>
    <x v="35"/>
    <x v="2"/>
    <n v="0.81"/>
    <n v="5"/>
    <n v="4.0500000000000007"/>
  </r>
  <r>
    <x v="1"/>
    <x v="364"/>
    <x v="363"/>
    <x v="37"/>
    <x v="2"/>
    <n v="3.6669999999999998"/>
    <n v="7"/>
    <n v="25.668999999999997"/>
  </r>
  <r>
    <x v="1"/>
    <x v="365"/>
    <x v="364"/>
    <x v="37"/>
    <x v="2"/>
    <n v="1.86"/>
    <n v="5"/>
    <n v="9.3000000000000007"/>
  </r>
  <r>
    <x v="1"/>
    <x v="366"/>
    <x v="365"/>
    <x v="35"/>
    <x v="2"/>
    <n v="1.44"/>
    <n v="4"/>
    <n v="5.76"/>
  </r>
  <r>
    <x v="1"/>
    <x v="367"/>
    <x v="366"/>
    <x v="3"/>
    <x v="2"/>
    <n v="45.029000000000003"/>
    <n v="7"/>
    <n v="315.20300000000003"/>
  </r>
  <r>
    <x v="1"/>
    <x v="368"/>
    <x v="367"/>
    <x v="37"/>
    <x v="2"/>
    <n v="26.635999999999999"/>
    <n v="6"/>
    <n v="159.816"/>
  </r>
  <r>
    <x v="1"/>
    <x v="369"/>
    <x v="368"/>
    <x v="3"/>
    <x v="2"/>
    <n v="32.438000000000002"/>
    <n v="5"/>
    <n v="162.19"/>
  </r>
  <r>
    <x v="1"/>
    <x v="370"/>
    <x v="369"/>
    <x v="35"/>
    <x v="2"/>
    <n v="30.4"/>
    <n v="2"/>
    <n v="60.8"/>
  </r>
  <r>
    <x v="1"/>
    <x v="371"/>
    <x v="370"/>
    <x v="38"/>
    <x v="2"/>
    <n v="48.274999999999999"/>
    <n v="4"/>
    <n v="193.1"/>
  </r>
  <r>
    <x v="1"/>
    <x v="372"/>
    <x v="371"/>
    <x v="3"/>
    <x v="2"/>
    <n v="23.2075"/>
    <n v="4"/>
    <n v="92.83"/>
  </r>
  <r>
    <x v="1"/>
    <x v="373"/>
    <x v="372"/>
    <x v="35"/>
    <x v="2"/>
    <n v="41.911099999999998"/>
    <n v="2"/>
    <n v="83.822199999999995"/>
  </r>
  <r>
    <x v="2"/>
    <x v="373"/>
    <x v="372"/>
    <x v="35"/>
    <x v="2"/>
    <n v="41.911099999999998"/>
    <n v="2"/>
    <n v="83.822199999999995"/>
  </r>
  <r>
    <x v="1"/>
    <x v="374"/>
    <x v="373"/>
    <x v="35"/>
    <x v="2"/>
    <n v="31.977399999999999"/>
    <n v="5"/>
    <n v="159.887"/>
  </r>
  <r>
    <x v="1"/>
    <x v="375"/>
    <x v="374"/>
    <x v="35"/>
    <x v="2"/>
    <n v="28.54"/>
    <n v="4"/>
    <n v="114.16"/>
  </r>
  <r>
    <x v="1"/>
    <x v="376"/>
    <x v="375"/>
    <x v="36"/>
    <x v="2"/>
    <n v="30.78"/>
    <n v="2"/>
    <n v="61.56"/>
  </r>
  <r>
    <x v="1"/>
    <x v="377"/>
    <x v="376"/>
    <x v="35"/>
    <x v="2"/>
    <n v="27.847999999999999"/>
    <n v="6"/>
    <n v="167.08799999999999"/>
  </r>
  <r>
    <x v="1"/>
    <x v="378"/>
    <x v="377"/>
    <x v="3"/>
    <x v="2"/>
    <n v="28.984999999999999"/>
    <n v="2"/>
    <n v="57.97"/>
  </r>
  <r>
    <x v="1"/>
    <x v="379"/>
    <x v="378"/>
    <x v="3"/>
    <x v="2"/>
    <n v="0.37"/>
    <n v="20"/>
    <n v="7.4"/>
  </r>
  <r>
    <x v="1"/>
    <x v="380"/>
    <x v="379"/>
    <x v="35"/>
    <x v="2"/>
    <n v="3.54"/>
    <n v="4"/>
    <n v="14.16"/>
  </r>
  <r>
    <x v="1"/>
    <x v="381"/>
    <x v="380"/>
    <x v="35"/>
    <x v="2"/>
    <n v="34.761200000000002"/>
    <n v="2"/>
    <n v="69.522400000000005"/>
  </r>
  <r>
    <x v="1"/>
    <x v="382"/>
    <x v="381"/>
    <x v="36"/>
    <x v="2"/>
    <n v="7.4420000000000002"/>
    <n v="4"/>
    <n v="29.768000000000001"/>
  </r>
  <r>
    <x v="1"/>
    <x v="383"/>
    <x v="382"/>
    <x v="35"/>
    <x v="2"/>
    <n v="8.5869999999999997"/>
    <n v="6"/>
    <n v="51.521999999999998"/>
  </r>
  <r>
    <x v="1"/>
    <x v="384"/>
    <x v="383"/>
    <x v="36"/>
    <x v="2"/>
    <n v="12.46"/>
    <n v="3"/>
    <n v="37.380000000000003"/>
  </r>
  <r>
    <x v="1"/>
    <x v="385"/>
    <x v="384"/>
    <x v="3"/>
    <x v="2"/>
    <n v="11.226699999999999"/>
    <n v="31"/>
    <n v="348.02769999999998"/>
  </r>
  <r>
    <x v="1"/>
    <x v="386"/>
    <x v="385"/>
    <x v="3"/>
    <x v="2"/>
    <n v="13.66"/>
    <n v="2"/>
    <n v="27.32"/>
  </r>
  <r>
    <x v="1"/>
    <x v="387"/>
    <x v="386"/>
    <x v="3"/>
    <x v="2"/>
    <n v="15.912000000000001"/>
    <n v="29"/>
    <n v="461.44800000000004"/>
  </r>
  <r>
    <x v="1"/>
    <x v="388"/>
    <x v="387"/>
    <x v="3"/>
    <x v="2"/>
    <n v="15.795999999999999"/>
    <n v="17"/>
    <n v="268.53199999999998"/>
  </r>
  <r>
    <x v="1"/>
    <x v="389"/>
    <x v="388"/>
    <x v="35"/>
    <x v="2"/>
    <n v="43.43"/>
    <n v="1"/>
    <n v="43.43"/>
  </r>
  <r>
    <x v="1"/>
    <x v="390"/>
    <x v="389"/>
    <x v="44"/>
    <x v="2"/>
    <n v="5.63"/>
    <n v="2"/>
    <n v="11.26"/>
  </r>
  <r>
    <x v="1"/>
    <x v="391"/>
    <x v="390"/>
    <x v="3"/>
    <x v="2"/>
    <n v="4.0529000000000002"/>
    <n v="17"/>
    <n v="68.899299999999997"/>
  </r>
  <r>
    <x v="1"/>
    <x v="392"/>
    <x v="391"/>
    <x v="3"/>
    <x v="2"/>
    <n v="6.0575000000000001"/>
    <n v="21"/>
    <n v="127.2075"/>
  </r>
  <r>
    <x v="1"/>
    <x v="393"/>
    <x v="392"/>
    <x v="3"/>
    <x v="2"/>
    <n v="4.6900000000000004"/>
    <n v="15"/>
    <n v="70.350000000000009"/>
  </r>
  <r>
    <x v="1"/>
    <x v="394"/>
    <x v="393"/>
    <x v="3"/>
    <x v="2"/>
    <n v="4.62"/>
    <n v="5"/>
    <n v="23.1"/>
  </r>
  <r>
    <x v="1"/>
    <x v="395"/>
    <x v="394"/>
    <x v="3"/>
    <x v="2"/>
    <n v="0.59399999999999997"/>
    <n v="12"/>
    <n v="7.1280000000000001"/>
  </r>
  <r>
    <x v="1"/>
    <x v="396"/>
    <x v="395"/>
    <x v="35"/>
    <x v="2"/>
    <n v="0"/>
    <n v="5"/>
    <n v="0"/>
  </r>
  <r>
    <x v="1"/>
    <x v="397"/>
    <x v="396"/>
    <x v="3"/>
    <x v="2"/>
    <n v="0.63270000000000004"/>
    <n v="143"/>
    <n v="90.476100000000002"/>
  </r>
  <r>
    <x v="1"/>
    <x v="398"/>
    <x v="397"/>
    <x v="3"/>
    <x v="2"/>
    <n v="0.98599999999999999"/>
    <n v="22"/>
    <n v="21.692"/>
  </r>
  <r>
    <x v="2"/>
    <x v="399"/>
    <x v="398"/>
    <x v="35"/>
    <x v="2"/>
    <n v="6.2965999999999998"/>
    <n v="3"/>
    <n v="18.889800000000001"/>
  </r>
  <r>
    <x v="1"/>
    <x v="399"/>
    <x v="398"/>
    <x v="35"/>
    <x v="2"/>
    <n v="6.2965999999999998"/>
    <n v="3"/>
    <n v="18.889800000000001"/>
  </r>
  <r>
    <x v="1"/>
    <x v="400"/>
    <x v="399"/>
    <x v="3"/>
    <x v="2"/>
    <n v="3.0179999999999998"/>
    <n v="19"/>
    <n v="57.341999999999999"/>
  </r>
  <r>
    <x v="1"/>
    <x v="401"/>
    <x v="400"/>
    <x v="3"/>
    <x v="2"/>
    <n v="0.91200000000000003"/>
    <n v="12"/>
    <n v="10.944000000000001"/>
  </r>
  <r>
    <x v="1"/>
    <x v="402"/>
    <x v="401"/>
    <x v="37"/>
    <x v="2"/>
    <n v="1.431"/>
    <n v="12"/>
    <n v="17.172000000000001"/>
  </r>
  <r>
    <x v="1"/>
    <x v="403"/>
    <x v="402"/>
    <x v="3"/>
    <x v="2"/>
    <n v="0.42430000000000001"/>
    <n v="15"/>
    <n v="6.3645000000000005"/>
  </r>
  <r>
    <x v="1"/>
    <x v="404"/>
    <x v="403"/>
    <x v="3"/>
    <x v="2"/>
    <n v="0.50800000000000001"/>
    <n v="13"/>
    <n v="6.6040000000000001"/>
  </r>
  <r>
    <x v="1"/>
    <x v="405"/>
    <x v="404"/>
    <x v="3"/>
    <x v="2"/>
    <n v="0.46500000000000002"/>
    <n v="20"/>
    <n v="9.3000000000000007"/>
  </r>
  <r>
    <x v="2"/>
    <x v="406"/>
    <x v="405"/>
    <x v="35"/>
    <x v="2"/>
    <n v="14.206099999999999"/>
    <n v="10"/>
    <n v="142.06099999999998"/>
  </r>
  <r>
    <x v="1"/>
    <x v="406"/>
    <x v="405"/>
    <x v="35"/>
    <x v="2"/>
    <n v="14.206099999999999"/>
    <n v="10"/>
    <n v="142.06099999999998"/>
  </r>
  <r>
    <x v="1"/>
    <x v="407"/>
    <x v="406"/>
    <x v="35"/>
    <x v="2"/>
    <n v="12.6945"/>
    <n v="9"/>
    <n v="114.2505"/>
  </r>
  <r>
    <x v="1"/>
    <x v="408"/>
    <x v="407"/>
    <x v="3"/>
    <x v="2"/>
    <n v="0.54"/>
    <n v="3"/>
    <n v="1.62"/>
  </r>
  <r>
    <x v="1"/>
    <x v="409"/>
    <x v="408"/>
    <x v="38"/>
    <x v="2"/>
    <n v="27.007999999999999"/>
    <n v="4"/>
    <n v="108.032"/>
  </r>
  <r>
    <x v="1"/>
    <x v="410"/>
    <x v="409"/>
    <x v="35"/>
    <x v="2"/>
    <n v="57.62"/>
    <n v="1"/>
    <n v="57.62"/>
  </r>
  <r>
    <x v="1"/>
    <x v="411"/>
    <x v="410"/>
    <x v="35"/>
    <x v="2"/>
    <n v="43.23"/>
    <n v="1"/>
    <n v="43.23"/>
  </r>
  <r>
    <x v="1"/>
    <x v="412"/>
    <x v="411"/>
    <x v="36"/>
    <x v="2"/>
    <n v="16.52"/>
    <n v="2"/>
    <n v="33.04"/>
  </r>
  <r>
    <x v="1"/>
    <x v="413"/>
    <x v="412"/>
    <x v="3"/>
    <x v="2"/>
    <n v="29.588999999999999"/>
    <n v="8"/>
    <n v="236.71199999999999"/>
  </r>
  <r>
    <x v="1"/>
    <x v="414"/>
    <x v="413"/>
    <x v="3"/>
    <x v="2"/>
    <n v="12.37"/>
    <n v="8"/>
    <n v="98.96"/>
  </r>
  <r>
    <x v="1"/>
    <x v="415"/>
    <x v="414"/>
    <x v="38"/>
    <x v="2"/>
    <n v="4.18"/>
    <n v="2"/>
    <n v="8.36"/>
  </r>
  <r>
    <x v="1"/>
    <x v="416"/>
    <x v="415"/>
    <x v="36"/>
    <x v="2"/>
    <n v="4.93"/>
    <n v="2"/>
    <n v="9.86"/>
  </r>
  <r>
    <x v="1"/>
    <x v="417"/>
    <x v="416"/>
    <x v="3"/>
    <x v="2"/>
    <n v="2.8068"/>
    <n v="13"/>
    <n v="36.488399999999999"/>
  </r>
  <r>
    <x v="1"/>
    <x v="418"/>
    <x v="417"/>
    <x v="35"/>
    <x v="2"/>
    <n v="6.7720000000000002"/>
    <n v="7"/>
    <n v="47.404000000000003"/>
  </r>
  <r>
    <x v="2"/>
    <x v="418"/>
    <x v="417"/>
    <x v="35"/>
    <x v="2"/>
    <n v="6.7720000000000002"/>
    <n v="7"/>
    <n v="47.404000000000003"/>
  </r>
  <r>
    <x v="1"/>
    <x v="419"/>
    <x v="418"/>
    <x v="35"/>
    <x v="2"/>
    <n v="7.46"/>
    <n v="4"/>
    <n v="29.84"/>
  </r>
  <r>
    <x v="1"/>
    <x v="420"/>
    <x v="419"/>
    <x v="35"/>
    <x v="2"/>
    <n v="5.42"/>
    <n v="3"/>
    <n v="16.259999999999998"/>
  </r>
  <r>
    <x v="1"/>
    <x v="421"/>
    <x v="420"/>
    <x v="35"/>
    <x v="2"/>
    <n v="3.2513000000000001"/>
    <n v="13"/>
    <n v="42.2669"/>
  </r>
  <r>
    <x v="1"/>
    <x v="422"/>
    <x v="421"/>
    <x v="35"/>
    <x v="2"/>
    <n v="2.1579999999999999"/>
    <n v="5"/>
    <n v="10.79"/>
  </r>
  <r>
    <x v="1"/>
    <x v="423"/>
    <x v="422"/>
    <x v="38"/>
    <x v="2"/>
    <n v="2.7602000000000002"/>
    <n v="3"/>
    <n v="8.2805999999999997"/>
  </r>
  <r>
    <x v="1"/>
    <x v="424"/>
    <x v="423"/>
    <x v="37"/>
    <x v="2"/>
    <n v="3.3264"/>
    <n v="13"/>
    <n v="43.243200000000002"/>
  </r>
  <r>
    <x v="1"/>
    <x v="425"/>
    <x v="424"/>
    <x v="3"/>
    <x v="2"/>
    <n v="3.6831"/>
    <n v="63"/>
    <n v="232.03530000000001"/>
  </r>
  <r>
    <x v="2"/>
    <x v="425"/>
    <x v="424"/>
    <x v="3"/>
    <x v="2"/>
    <n v="3.6831"/>
    <n v="63"/>
    <n v="232.03530000000001"/>
  </r>
  <r>
    <x v="1"/>
    <x v="426"/>
    <x v="425"/>
    <x v="44"/>
    <x v="2"/>
    <n v="2.1011000000000002"/>
    <n v="10"/>
    <n v="21.011000000000003"/>
  </r>
  <r>
    <x v="2"/>
    <x v="426"/>
    <x v="425"/>
    <x v="44"/>
    <x v="2"/>
    <n v="2.1011000000000002"/>
    <n v="10"/>
    <n v="21.011000000000003"/>
  </r>
  <r>
    <x v="1"/>
    <x v="427"/>
    <x v="426"/>
    <x v="35"/>
    <x v="2"/>
    <n v="4.133"/>
    <n v="7"/>
    <n v="28.931000000000001"/>
  </r>
  <r>
    <x v="1"/>
    <x v="428"/>
    <x v="427"/>
    <x v="35"/>
    <x v="2"/>
    <n v="1.746"/>
    <n v="8"/>
    <n v="13.968"/>
  </r>
  <r>
    <x v="2"/>
    <x v="428"/>
    <x v="427"/>
    <x v="35"/>
    <x v="2"/>
    <n v="1.746"/>
    <n v="8"/>
    <n v="13.968"/>
  </r>
  <r>
    <x v="1"/>
    <x v="429"/>
    <x v="428"/>
    <x v="35"/>
    <x v="2"/>
    <n v="1.5"/>
    <n v="6"/>
    <n v="9"/>
  </r>
  <r>
    <x v="1"/>
    <x v="430"/>
    <x v="429"/>
    <x v="36"/>
    <x v="2"/>
    <n v="0.63"/>
    <n v="5"/>
    <n v="3.15"/>
  </r>
  <r>
    <x v="1"/>
    <x v="431"/>
    <x v="430"/>
    <x v="35"/>
    <x v="2"/>
    <n v="6.7492000000000001"/>
    <n v="18"/>
    <n v="121.48560000000001"/>
  </r>
  <r>
    <x v="2"/>
    <x v="431"/>
    <x v="430"/>
    <x v="35"/>
    <x v="2"/>
    <n v="6.7492000000000001"/>
    <n v="18"/>
    <n v="121.48560000000001"/>
  </r>
  <r>
    <x v="1"/>
    <x v="432"/>
    <x v="431"/>
    <x v="3"/>
    <x v="2"/>
    <n v="4.1496000000000004"/>
    <n v="66"/>
    <n v="273.87360000000001"/>
  </r>
  <r>
    <x v="1"/>
    <x v="433"/>
    <x v="432"/>
    <x v="35"/>
    <x v="2"/>
    <n v="4.5999999999999996"/>
    <n v="3"/>
    <n v="13.799999999999999"/>
  </r>
  <r>
    <x v="1"/>
    <x v="434"/>
    <x v="433"/>
    <x v="35"/>
    <x v="2"/>
    <n v="2.5299999999999998"/>
    <n v="2"/>
    <n v="5.0599999999999996"/>
  </r>
  <r>
    <x v="2"/>
    <x v="435"/>
    <x v="434"/>
    <x v="37"/>
    <x v="2"/>
    <n v="3.8134000000000001"/>
    <n v="138"/>
    <n v="526.24919999999997"/>
  </r>
  <r>
    <x v="1"/>
    <x v="435"/>
    <x v="434"/>
    <x v="37"/>
    <x v="2"/>
    <n v="3.8134000000000001"/>
    <n v="138"/>
    <n v="526.24919999999997"/>
  </r>
  <r>
    <x v="1"/>
    <x v="436"/>
    <x v="435"/>
    <x v="35"/>
    <x v="2"/>
    <n v="3.1"/>
    <n v="2"/>
    <n v="6.2"/>
  </r>
  <r>
    <x v="1"/>
    <x v="437"/>
    <x v="436"/>
    <x v="35"/>
    <x v="2"/>
    <n v="0.98299999999999998"/>
    <n v="3"/>
    <n v="2.9489999999999998"/>
  </r>
  <r>
    <x v="1"/>
    <x v="438"/>
    <x v="437"/>
    <x v="35"/>
    <x v="2"/>
    <n v="0.88300000000000001"/>
    <n v="3"/>
    <n v="2.649"/>
  </r>
  <r>
    <x v="1"/>
    <x v="439"/>
    <x v="438"/>
    <x v="35"/>
    <x v="2"/>
    <n v="1.56"/>
    <n v="31"/>
    <n v="48.36"/>
  </r>
  <r>
    <x v="1"/>
    <x v="440"/>
    <x v="439"/>
    <x v="44"/>
    <x v="2"/>
    <n v="2.0289999999999999"/>
    <n v="20"/>
    <n v="40.58"/>
  </r>
  <r>
    <x v="1"/>
    <x v="441"/>
    <x v="440"/>
    <x v="3"/>
    <x v="2"/>
    <n v="1.9359999999999999"/>
    <n v="10"/>
    <n v="19.36"/>
  </r>
  <r>
    <x v="1"/>
    <x v="442"/>
    <x v="441"/>
    <x v="37"/>
    <x v="2"/>
    <n v="1.4126000000000001"/>
    <n v="9"/>
    <n v="12.7134"/>
  </r>
  <r>
    <x v="2"/>
    <x v="442"/>
    <x v="441"/>
    <x v="37"/>
    <x v="2"/>
    <n v="1.4126000000000001"/>
    <n v="9"/>
    <n v="12.7134"/>
  </r>
  <r>
    <x v="1"/>
    <x v="443"/>
    <x v="442"/>
    <x v="35"/>
    <x v="2"/>
    <n v="0.89"/>
    <n v="6"/>
    <n v="5.34"/>
  </r>
  <r>
    <x v="1"/>
    <x v="444"/>
    <x v="443"/>
    <x v="35"/>
    <x v="2"/>
    <n v="0.56999999999999995"/>
    <n v="6"/>
    <n v="3.42"/>
  </r>
  <r>
    <x v="1"/>
    <x v="445"/>
    <x v="444"/>
    <x v="3"/>
    <x v="2"/>
    <n v="0.58960000000000001"/>
    <n v="14"/>
    <n v="8.2544000000000004"/>
  </r>
  <r>
    <x v="1"/>
    <x v="446"/>
    <x v="445"/>
    <x v="35"/>
    <x v="2"/>
    <n v="1.7"/>
    <n v="3"/>
    <n v="5.0999999999999996"/>
  </r>
  <r>
    <x v="1"/>
    <x v="447"/>
    <x v="446"/>
    <x v="35"/>
    <x v="2"/>
    <n v="2.0299999999999998"/>
    <n v="4"/>
    <n v="8.1199999999999992"/>
  </r>
  <r>
    <x v="1"/>
    <x v="448"/>
    <x v="447"/>
    <x v="3"/>
    <x v="2"/>
    <n v="3.1991000000000001"/>
    <n v="41"/>
    <n v="131.16310000000001"/>
  </r>
  <r>
    <x v="1"/>
    <x v="449"/>
    <x v="448"/>
    <x v="35"/>
    <x v="2"/>
    <n v="2.7795000000000001"/>
    <n v="8"/>
    <n v="22.236000000000001"/>
  </r>
  <r>
    <x v="1"/>
    <x v="450"/>
    <x v="449"/>
    <x v="36"/>
    <x v="2"/>
    <n v="5.1100000000000003"/>
    <n v="4"/>
    <n v="20.440000000000001"/>
  </r>
  <r>
    <x v="1"/>
    <x v="451"/>
    <x v="450"/>
    <x v="3"/>
    <x v="2"/>
    <n v="3.0960000000000001"/>
    <n v="9"/>
    <n v="27.864000000000001"/>
  </r>
  <r>
    <x v="1"/>
    <x v="452"/>
    <x v="451"/>
    <x v="3"/>
    <x v="2"/>
    <n v="1.38"/>
    <n v="10"/>
    <n v="13.799999999999999"/>
  </r>
  <r>
    <x v="1"/>
    <x v="453"/>
    <x v="452"/>
    <x v="36"/>
    <x v="2"/>
    <n v="1.03"/>
    <n v="2"/>
    <n v="2.06"/>
  </r>
  <r>
    <x v="1"/>
    <x v="454"/>
    <x v="453"/>
    <x v="3"/>
    <x v="2"/>
    <n v="1.44"/>
    <n v="10"/>
    <n v="14.399999999999999"/>
  </r>
  <r>
    <x v="1"/>
    <x v="455"/>
    <x v="454"/>
    <x v="3"/>
    <x v="2"/>
    <n v="0.56999999999999995"/>
    <n v="10"/>
    <n v="5.6999999999999993"/>
  </r>
  <r>
    <x v="1"/>
    <x v="456"/>
    <x v="455"/>
    <x v="36"/>
    <x v="2"/>
    <n v="1.4"/>
    <n v="2"/>
    <n v="2.8"/>
  </r>
  <r>
    <x v="1"/>
    <x v="457"/>
    <x v="456"/>
    <x v="35"/>
    <x v="2"/>
    <n v="1.4"/>
    <n v="5"/>
    <n v="7"/>
  </r>
  <r>
    <x v="1"/>
    <x v="458"/>
    <x v="457"/>
    <x v="3"/>
    <x v="2"/>
    <n v="1.413"/>
    <n v="11"/>
    <n v="15.543000000000001"/>
  </r>
  <r>
    <x v="1"/>
    <x v="459"/>
    <x v="458"/>
    <x v="40"/>
    <x v="2"/>
    <n v="26.824999999999999"/>
    <n v="2"/>
    <n v="53.65"/>
  </r>
  <r>
    <x v="1"/>
    <x v="460"/>
    <x v="459"/>
    <x v="3"/>
    <x v="2"/>
    <n v="0.3"/>
    <n v="10"/>
    <n v="3"/>
  </r>
  <r>
    <x v="1"/>
    <x v="461"/>
    <x v="460"/>
    <x v="40"/>
    <x v="2"/>
    <n v="32.6"/>
    <n v="3"/>
    <n v="97.800000000000011"/>
  </r>
  <r>
    <x v="1"/>
    <x v="462"/>
    <x v="461"/>
    <x v="38"/>
    <x v="2"/>
    <n v="9.39"/>
    <n v="4"/>
    <n v="37.56"/>
  </r>
  <r>
    <x v="1"/>
    <x v="463"/>
    <x v="462"/>
    <x v="1"/>
    <x v="4"/>
    <n v="0"/>
    <n v="1"/>
    <n v="0"/>
  </r>
  <r>
    <x v="1"/>
    <x v="464"/>
    <x v="463"/>
    <x v="34"/>
    <x v="2"/>
    <n v="0"/>
    <n v="12"/>
    <n v="0"/>
  </r>
  <r>
    <x v="1"/>
    <x v="465"/>
    <x v="464"/>
    <x v="45"/>
    <x v="2"/>
    <n v="38.07"/>
    <n v="2"/>
    <n v="76.14"/>
  </r>
  <r>
    <x v="1"/>
    <x v="466"/>
    <x v="465"/>
    <x v="37"/>
    <x v="2"/>
    <n v="0.56999999999999995"/>
    <n v="9"/>
    <n v="5.13"/>
  </r>
  <r>
    <x v="1"/>
    <x v="467"/>
    <x v="466"/>
    <x v="40"/>
    <x v="2"/>
    <n v="37.119999999999997"/>
    <n v="4"/>
    <n v="148.47999999999999"/>
  </r>
  <r>
    <x v="1"/>
    <x v="468"/>
    <x v="467"/>
    <x v="38"/>
    <x v="2"/>
    <n v="3.21"/>
    <n v="3"/>
    <n v="9.629999999999999"/>
  </r>
  <r>
    <x v="1"/>
    <x v="469"/>
    <x v="468"/>
    <x v="38"/>
    <x v="2"/>
    <n v="49.6"/>
    <n v="2"/>
    <n v="99.2"/>
  </r>
  <r>
    <x v="1"/>
    <x v="470"/>
    <x v="469"/>
    <x v="37"/>
    <x v="2"/>
    <n v="0.92100000000000004"/>
    <n v="5"/>
    <n v="4.6050000000000004"/>
  </r>
  <r>
    <x v="1"/>
    <x v="471"/>
    <x v="470"/>
    <x v="40"/>
    <x v="2"/>
    <n v="48.115299999999998"/>
    <n v="5"/>
    <n v="240.57649999999998"/>
  </r>
  <r>
    <x v="2"/>
    <x v="471"/>
    <x v="470"/>
    <x v="40"/>
    <x v="2"/>
    <n v="48.115299999999998"/>
    <n v="5"/>
    <n v="240.57649999999998"/>
  </r>
  <r>
    <x v="1"/>
    <x v="472"/>
    <x v="471"/>
    <x v="3"/>
    <x v="2"/>
    <n v="50.678800000000003"/>
    <n v="5"/>
    <n v="253.39400000000001"/>
  </r>
  <r>
    <x v="0"/>
    <x v="472"/>
    <x v="471"/>
    <x v="3"/>
    <x v="2"/>
    <n v="50.678800000000003"/>
    <n v="5"/>
    <n v="253.39400000000001"/>
  </r>
  <r>
    <x v="1"/>
    <x v="473"/>
    <x v="472"/>
    <x v="36"/>
    <x v="2"/>
    <n v="3.74"/>
    <n v="3"/>
    <n v="11.22"/>
  </r>
  <r>
    <x v="1"/>
    <x v="474"/>
    <x v="473"/>
    <x v="3"/>
    <x v="2"/>
    <n v="9.4290000000000003"/>
    <n v="7"/>
    <n v="66.003"/>
  </r>
  <r>
    <x v="1"/>
    <x v="475"/>
    <x v="474"/>
    <x v="34"/>
    <x v="2"/>
    <n v="16.2666"/>
    <n v="23"/>
    <n v="374.1318"/>
  </r>
  <r>
    <x v="2"/>
    <x v="475"/>
    <x v="474"/>
    <x v="34"/>
    <x v="2"/>
    <n v="16.2666"/>
    <n v="23"/>
    <n v="374.1318"/>
  </r>
  <r>
    <x v="2"/>
    <x v="476"/>
    <x v="475"/>
    <x v="34"/>
    <x v="2"/>
    <n v="26.092600000000001"/>
    <n v="32"/>
    <n v="834.96320000000003"/>
  </r>
  <r>
    <x v="1"/>
    <x v="476"/>
    <x v="475"/>
    <x v="34"/>
    <x v="2"/>
    <n v="26.092600000000001"/>
    <n v="32"/>
    <n v="834.96320000000003"/>
  </r>
  <r>
    <x v="1"/>
    <x v="477"/>
    <x v="476"/>
    <x v="40"/>
    <x v="2"/>
    <n v="47.47"/>
    <n v="3"/>
    <n v="142.41"/>
  </r>
  <r>
    <x v="1"/>
    <x v="478"/>
    <x v="477"/>
    <x v="40"/>
    <x v="2"/>
    <n v="9.8818999999999999"/>
    <n v="30"/>
    <n v="296.45699999999999"/>
  </r>
  <r>
    <x v="2"/>
    <x v="478"/>
    <x v="477"/>
    <x v="40"/>
    <x v="2"/>
    <n v="9.8818999999999999"/>
    <n v="30"/>
    <n v="296.45699999999999"/>
  </r>
  <r>
    <x v="1"/>
    <x v="479"/>
    <x v="478"/>
    <x v="3"/>
    <x v="2"/>
    <n v="14.2921"/>
    <n v="6"/>
    <n v="85.752600000000001"/>
  </r>
  <r>
    <x v="1"/>
    <x v="480"/>
    <x v="479"/>
    <x v="36"/>
    <x v="2"/>
    <n v="13.88"/>
    <n v="2"/>
    <n v="27.76"/>
  </r>
  <r>
    <x v="1"/>
    <x v="481"/>
    <x v="480"/>
    <x v="3"/>
    <x v="2"/>
    <n v="9.6037999999999997"/>
    <n v="15"/>
    <n v="144.05699999999999"/>
  </r>
  <r>
    <x v="1"/>
    <x v="482"/>
    <x v="481"/>
    <x v="3"/>
    <x v="2"/>
    <n v="1.583"/>
    <n v="5"/>
    <n v="7.915"/>
  </r>
  <r>
    <x v="1"/>
    <x v="483"/>
    <x v="482"/>
    <x v="38"/>
    <x v="2"/>
    <n v="0.5"/>
    <n v="5"/>
    <n v="2.5"/>
  </r>
  <r>
    <x v="1"/>
    <x v="484"/>
    <x v="483"/>
    <x v="38"/>
    <x v="2"/>
    <n v="3.28"/>
    <n v="5"/>
    <n v="16.399999999999999"/>
  </r>
  <r>
    <x v="1"/>
    <x v="485"/>
    <x v="484"/>
    <x v="37"/>
    <x v="2"/>
    <n v="0.51439999999999997"/>
    <n v="66"/>
    <n v="33.950399999999995"/>
  </r>
  <r>
    <x v="1"/>
    <x v="486"/>
    <x v="485"/>
    <x v="37"/>
    <x v="2"/>
    <n v="19.0273"/>
    <n v="7"/>
    <n v="133.19110000000001"/>
  </r>
  <r>
    <x v="2"/>
    <x v="486"/>
    <x v="485"/>
    <x v="37"/>
    <x v="2"/>
    <n v="19.0273"/>
    <n v="7"/>
    <n v="133.19110000000001"/>
  </r>
  <r>
    <x v="1"/>
    <x v="487"/>
    <x v="486"/>
    <x v="37"/>
    <x v="2"/>
    <n v="14.2"/>
    <n v="2"/>
    <n v="28.4"/>
  </r>
  <r>
    <x v="1"/>
    <x v="488"/>
    <x v="487"/>
    <x v="3"/>
    <x v="2"/>
    <n v="9.3955000000000002"/>
    <n v="5"/>
    <n v="46.977499999999999"/>
  </r>
  <r>
    <x v="2"/>
    <x v="488"/>
    <x v="487"/>
    <x v="3"/>
    <x v="2"/>
    <n v="9.3955000000000002"/>
    <n v="5"/>
    <n v="46.977499999999999"/>
  </r>
  <r>
    <x v="1"/>
    <x v="489"/>
    <x v="487"/>
    <x v="37"/>
    <x v="2"/>
    <n v="10.196"/>
    <n v="8"/>
    <n v="81.567999999999998"/>
  </r>
  <r>
    <x v="2"/>
    <x v="490"/>
    <x v="488"/>
    <x v="37"/>
    <x v="2"/>
    <n v="1.4433"/>
    <n v="12"/>
    <n v="17.319600000000001"/>
  </r>
  <r>
    <x v="1"/>
    <x v="490"/>
    <x v="488"/>
    <x v="37"/>
    <x v="2"/>
    <n v="1.4433"/>
    <n v="12"/>
    <n v="17.319600000000001"/>
  </r>
  <r>
    <x v="1"/>
    <x v="491"/>
    <x v="489"/>
    <x v="40"/>
    <x v="2"/>
    <n v="20.987400000000001"/>
    <n v="13"/>
    <n v="272.83620000000002"/>
  </r>
  <r>
    <x v="2"/>
    <x v="491"/>
    <x v="489"/>
    <x v="40"/>
    <x v="2"/>
    <n v="20.987400000000001"/>
    <n v="13"/>
    <n v="272.83620000000002"/>
  </r>
  <r>
    <x v="1"/>
    <x v="492"/>
    <x v="490"/>
    <x v="40"/>
    <x v="2"/>
    <n v="40.005499999999998"/>
    <n v="33"/>
    <n v="1320.1814999999999"/>
  </r>
  <r>
    <x v="2"/>
    <x v="492"/>
    <x v="490"/>
    <x v="40"/>
    <x v="2"/>
    <n v="40.005499999999998"/>
    <n v="33"/>
    <n v="1320.1814999999999"/>
  </r>
  <r>
    <x v="1"/>
    <x v="493"/>
    <x v="491"/>
    <x v="40"/>
    <x v="2"/>
    <n v="84.997900000000001"/>
    <n v="3"/>
    <n v="254.99369999999999"/>
  </r>
  <r>
    <x v="2"/>
    <x v="493"/>
    <x v="491"/>
    <x v="40"/>
    <x v="2"/>
    <n v="84.997900000000001"/>
    <n v="3"/>
    <n v="254.99369999999999"/>
  </r>
  <r>
    <x v="2"/>
    <x v="494"/>
    <x v="492"/>
    <x v="40"/>
    <x v="2"/>
    <n v="79.515900000000002"/>
    <n v="3"/>
    <n v="238.54770000000002"/>
  </r>
  <r>
    <x v="1"/>
    <x v="494"/>
    <x v="492"/>
    <x v="40"/>
    <x v="2"/>
    <n v="79.515900000000002"/>
    <n v="3"/>
    <n v="238.54770000000002"/>
  </r>
  <r>
    <x v="2"/>
    <x v="495"/>
    <x v="493"/>
    <x v="40"/>
    <x v="2"/>
    <n v="0"/>
    <n v="1"/>
    <n v="0"/>
  </r>
  <r>
    <x v="1"/>
    <x v="496"/>
    <x v="494"/>
    <x v="40"/>
    <x v="2"/>
    <n v="0"/>
    <n v="5"/>
    <n v="0"/>
  </r>
  <r>
    <x v="2"/>
    <x v="496"/>
    <x v="494"/>
    <x v="40"/>
    <x v="2"/>
    <n v="0"/>
    <n v="5"/>
    <n v="0"/>
  </r>
  <r>
    <x v="1"/>
    <x v="497"/>
    <x v="495"/>
    <x v="40"/>
    <x v="2"/>
    <n v="34.529499999999999"/>
    <n v="15"/>
    <n v="517.9425"/>
  </r>
  <r>
    <x v="2"/>
    <x v="497"/>
    <x v="495"/>
    <x v="40"/>
    <x v="2"/>
    <n v="34.529499999999999"/>
    <n v="15"/>
    <n v="517.9425"/>
  </r>
  <r>
    <x v="1"/>
    <x v="498"/>
    <x v="496"/>
    <x v="40"/>
    <x v="2"/>
    <n v="17.704599999999999"/>
    <n v="18"/>
    <n v="318.68279999999999"/>
  </r>
  <r>
    <x v="2"/>
    <x v="498"/>
    <x v="496"/>
    <x v="40"/>
    <x v="2"/>
    <n v="17.704599999999999"/>
    <n v="18"/>
    <n v="318.68279999999999"/>
  </r>
  <r>
    <x v="1"/>
    <x v="499"/>
    <x v="497"/>
    <x v="40"/>
    <x v="2"/>
    <n v="36.409999999999997"/>
    <n v="4"/>
    <n v="145.63999999999999"/>
  </r>
  <r>
    <x v="1"/>
    <x v="500"/>
    <x v="498"/>
    <x v="40"/>
    <x v="2"/>
    <n v="18.4908"/>
    <n v="8"/>
    <n v="147.9264"/>
  </r>
  <r>
    <x v="2"/>
    <x v="500"/>
    <x v="498"/>
    <x v="40"/>
    <x v="2"/>
    <n v="18.4908"/>
    <n v="8"/>
    <n v="147.9264"/>
  </r>
  <r>
    <x v="1"/>
    <x v="501"/>
    <x v="499"/>
    <x v="35"/>
    <x v="2"/>
    <n v="0.76"/>
    <n v="10"/>
    <n v="7.6"/>
  </r>
  <r>
    <x v="1"/>
    <x v="502"/>
    <x v="500"/>
    <x v="35"/>
    <x v="2"/>
    <n v="0.76900000000000002"/>
    <n v="32"/>
    <n v="24.608000000000001"/>
  </r>
  <r>
    <x v="1"/>
    <x v="503"/>
    <x v="501"/>
    <x v="35"/>
    <x v="2"/>
    <n v="2.6"/>
    <n v="5"/>
    <n v="13"/>
  </r>
  <r>
    <x v="1"/>
    <x v="504"/>
    <x v="502"/>
    <x v="35"/>
    <x v="2"/>
    <n v="0"/>
    <n v="10"/>
    <n v="0"/>
  </r>
  <r>
    <x v="1"/>
    <x v="505"/>
    <x v="503"/>
    <x v="35"/>
    <x v="2"/>
    <n v="2.74"/>
    <n v="5"/>
    <n v="13.700000000000001"/>
  </r>
  <r>
    <x v="1"/>
    <x v="506"/>
    <x v="504"/>
    <x v="35"/>
    <x v="2"/>
    <n v="0"/>
    <n v="10"/>
    <n v="0"/>
  </r>
  <r>
    <x v="1"/>
    <x v="507"/>
    <x v="505"/>
    <x v="35"/>
    <x v="2"/>
    <n v="2.1"/>
    <n v="5"/>
    <n v="10.5"/>
  </r>
  <r>
    <x v="1"/>
    <x v="508"/>
    <x v="506"/>
    <x v="35"/>
    <x v="2"/>
    <n v="0.30199999999999999"/>
    <n v="4"/>
    <n v="1.208"/>
  </r>
  <r>
    <x v="1"/>
    <x v="509"/>
    <x v="507"/>
    <x v="35"/>
    <x v="2"/>
    <n v="0.64"/>
    <n v="10"/>
    <n v="6.4"/>
  </r>
  <r>
    <x v="1"/>
    <x v="510"/>
    <x v="508"/>
    <x v="35"/>
    <x v="2"/>
    <n v="0.3584"/>
    <n v="49"/>
    <n v="17.561599999999999"/>
  </r>
  <r>
    <x v="1"/>
    <x v="511"/>
    <x v="509"/>
    <x v="35"/>
    <x v="2"/>
    <n v="21.28"/>
    <n v="1"/>
    <n v="21.28"/>
  </r>
  <r>
    <x v="1"/>
    <x v="512"/>
    <x v="510"/>
    <x v="35"/>
    <x v="2"/>
    <n v="0"/>
    <n v="10"/>
    <n v="0"/>
  </r>
  <r>
    <x v="1"/>
    <x v="513"/>
    <x v="511"/>
    <x v="35"/>
    <x v="2"/>
    <n v="0.1"/>
    <n v="2"/>
    <n v="0.2"/>
  </r>
  <r>
    <x v="1"/>
    <x v="514"/>
    <x v="512"/>
    <x v="35"/>
    <x v="2"/>
    <n v="14.083299999999999"/>
    <n v="5"/>
    <n v="70.416499999999999"/>
  </r>
  <r>
    <x v="1"/>
    <x v="515"/>
    <x v="513"/>
    <x v="3"/>
    <x v="2"/>
    <n v="7.45"/>
    <n v="2"/>
    <n v="14.9"/>
  </r>
  <r>
    <x v="1"/>
    <x v="516"/>
    <x v="514"/>
    <x v="3"/>
    <x v="2"/>
    <n v="4.6614000000000004"/>
    <n v="7"/>
    <n v="32.629800000000003"/>
  </r>
  <r>
    <x v="1"/>
    <x v="517"/>
    <x v="515"/>
    <x v="35"/>
    <x v="2"/>
    <n v="15.56"/>
    <n v="1"/>
    <n v="15.56"/>
  </r>
  <r>
    <x v="1"/>
    <x v="518"/>
    <x v="516"/>
    <x v="35"/>
    <x v="2"/>
    <n v="7.3541999999999996"/>
    <n v="3"/>
    <n v="22.0626"/>
  </r>
  <r>
    <x v="2"/>
    <x v="518"/>
    <x v="516"/>
    <x v="35"/>
    <x v="2"/>
    <n v="7.3541999999999996"/>
    <n v="3"/>
    <n v="22.0626"/>
  </r>
  <r>
    <x v="1"/>
    <x v="519"/>
    <x v="517"/>
    <x v="35"/>
    <x v="2"/>
    <n v="7.84"/>
    <n v="1"/>
    <n v="7.84"/>
  </r>
  <r>
    <x v="1"/>
    <x v="520"/>
    <x v="518"/>
    <x v="37"/>
    <x v="2"/>
    <n v="0.7"/>
    <n v="10"/>
    <n v="7"/>
  </r>
  <r>
    <x v="1"/>
    <x v="521"/>
    <x v="519"/>
    <x v="37"/>
    <x v="2"/>
    <n v="3.26"/>
    <n v="4"/>
    <n v="13.04"/>
  </r>
  <r>
    <x v="2"/>
    <x v="522"/>
    <x v="520"/>
    <x v="37"/>
    <x v="2"/>
    <n v="9.7028999999999996"/>
    <n v="13"/>
    <n v="126.1377"/>
  </r>
  <r>
    <x v="1"/>
    <x v="522"/>
    <x v="520"/>
    <x v="37"/>
    <x v="2"/>
    <n v="9.7028999999999996"/>
    <n v="13"/>
    <n v="126.1377"/>
  </r>
  <r>
    <x v="1"/>
    <x v="523"/>
    <x v="521"/>
    <x v="37"/>
    <x v="2"/>
    <n v="8.5120000000000005"/>
    <n v="15"/>
    <n v="127.68"/>
  </r>
  <r>
    <x v="1"/>
    <x v="524"/>
    <x v="522"/>
    <x v="3"/>
    <x v="2"/>
    <n v="6.1418999999999997"/>
    <n v="4"/>
    <n v="24.567599999999999"/>
  </r>
  <r>
    <x v="2"/>
    <x v="524"/>
    <x v="522"/>
    <x v="3"/>
    <x v="2"/>
    <n v="6.1418999999999997"/>
    <n v="4"/>
    <n v="24.567599999999999"/>
  </r>
  <r>
    <x v="1"/>
    <x v="525"/>
    <x v="523"/>
    <x v="37"/>
    <x v="2"/>
    <n v="38.993299999999998"/>
    <n v="2"/>
    <n v="77.986599999999996"/>
  </r>
  <r>
    <x v="1"/>
    <x v="526"/>
    <x v="524"/>
    <x v="33"/>
    <x v="2"/>
    <n v="12.2471"/>
    <n v="8"/>
    <n v="97.976799999999997"/>
  </r>
  <r>
    <x v="2"/>
    <x v="526"/>
    <x v="524"/>
    <x v="33"/>
    <x v="2"/>
    <n v="12.2471"/>
    <n v="8"/>
    <n v="97.976799999999997"/>
  </r>
  <r>
    <x v="1"/>
    <x v="527"/>
    <x v="525"/>
    <x v="33"/>
    <x v="2"/>
    <n v="13.3588"/>
    <n v="6"/>
    <n v="80.152799999999999"/>
  </r>
  <r>
    <x v="2"/>
    <x v="527"/>
    <x v="525"/>
    <x v="33"/>
    <x v="2"/>
    <n v="13.3588"/>
    <n v="6"/>
    <n v="80.152799999999999"/>
  </r>
  <r>
    <x v="1"/>
    <x v="528"/>
    <x v="526"/>
    <x v="33"/>
    <x v="2"/>
    <n v="20.116"/>
    <n v="2"/>
    <n v="40.231999999999999"/>
  </r>
  <r>
    <x v="1"/>
    <x v="529"/>
    <x v="527"/>
    <x v="37"/>
    <x v="2"/>
    <n v="6.6505000000000001"/>
    <n v="8"/>
    <n v="53.204000000000001"/>
  </r>
  <r>
    <x v="2"/>
    <x v="529"/>
    <x v="527"/>
    <x v="37"/>
    <x v="2"/>
    <n v="6.6505000000000001"/>
    <n v="8"/>
    <n v="53.204000000000001"/>
  </r>
  <r>
    <x v="1"/>
    <x v="530"/>
    <x v="528"/>
    <x v="37"/>
    <x v="2"/>
    <n v="11.0951"/>
    <n v="13"/>
    <n v="144.2363"/>
  </r>
  <r>
    <x v="2"/>
    <x v="530"/>
    <x v="528"/>
    <x v="37"/>
    <x v="2"/>
    <n v="11.0951"/>
    <n v="13"/>
    <n v="144.2363"/>
  </r>
  <r>
    <x v="2"/>
    <x v="531"/>
    <x v="529"/>
    <x v="37"/>
    <x v="2"/>
    <n v="4.4017999999999997"/>
    <n v="39"/>
    <n v="171.67019999999999"/>
  </r>
  <r>
    <x v="1"/>
    <x v="531"/>
    <x v="529"/>
    <x v="37"/>
    <x v="2"/>
    <n v="4.4017999999999997"/>
    <n v="39"/>
    <n v="171.67019999999999"/>
  </r>
  <r>
    <x v="1"/>
    <x v="532"/>
    <x v="530"/>
    <x v="37"/>
    <x v="2"/>
    <n v="7.6612999999999998"/>
    <n v="5"/>
    <n v="38.3065"/>
  </r>
  <r>
    <x v="2"/>
    <x v="532"/>
    <x v="530"/>
    <x v="37"/>
    <x v="2"/>
    <n v="7.6612999999999998"/>
    <n v="5"/>
    <n v="38.3065"/>
  </r>
  <r>
    <x v="1"/>
    <x v="533"/>
    <x v="531"/>
    <x v="37"/>
    <x v="2"/>
    <n v="17.9816"/>
    <n v="2"/>
    <n v="35.963200000000001"/>
  </r>
  <r>
    <x v="2"/>
    <x v="533"/>
    <x v="531"/>
    <x v="37"/>
    <x v="2"/>
    <n v="17.9816"/>
    <n v="2"/>
    <n v="35.963200000000001"/>
  </r>
  <r>
    <x v="1"/>
    <x v="534"/>
    <x v="532"/>
    <x v="37"/>
    <x v="2"/>
    <n v="0"/>
    <n v="1"/>
    <n v="0"/>
  </r>
  <r>
    <x v="1"/>
    <x v="535"/>
    <x v="533"/>
    <x v="37"/>
    <x v="2"/>
    <n v="0"/>
    <n v="1"/>
    <n v="0"/>
  </r>
  <r>
    <x v="1"/>
    <x v="536"/>
    <x v="534"/>
    <x v="37"/>
    <x v="2"/>
    <n v="30.545999999999999"/>
    <n v="7"/>
    <n v="213.822"/>
  </r>
  <r>
    <x v="2"/>
    <x v="537"/>
    <x v="487"/>
    <x v="37"/>
    <x v="2"/>
    <n v="9.9381000000000004"/>
    <n v="14"/>
    <n v="139.13339999999999"/>
  </r>
  <r>
    <x v="1"/>
    <x v="537"/>
    <x v="487"/>
    <x v="37"/>
    <x v="2"/>
    <n v="9.9381000000000004"/>
    <n v="14"/>
    <n v="139.13339999999999"/>
  </r>
  <r>
    <x v="1"/>
    <x v="538"/>
    <x v="535"/>
    <x v="37"/>
    <x v="2"/>
    <n v="5.6044999999999998"/>
    <n v="11"/>
    <n v="61.649499999999996"/>
  </r>
  <r>
    <x v="2"/>
    <x v="538"/>
    <x v="535"/>
    <x v="37"/>
    <x v="2"/>
    <n v="5.6044999999999998"/>
    <n v="11"/>
    <n v="61.649499999999996"/>
  </r>
  <r>
    <x v="1"/>
    <x v="539"/>
    <x v="535"/>
    <x v="37"/>
    <x v="2"/>
    <n v="8.2509999999999994"/>
    <n v="5"/>
    <n v="41.254999999999995"/>
  </r>
  <r>
    <x v="1"/>
    <x v="540"/>
    <x v="536"/>
    <x v="37"/>
    <x v="2"/>
    <n v="1.6306"/>
    <n v="4"/>
    <n v="6.5224000000000002"/>
  </r>
  <r>
    <x v="1"/>
    <x v="541"/>
    <x v="537"/>
    <x v="37"/>
    <x v="2"/>
    <n v="7.718"/>
    <n v="5"/>
    <n v="38.590000000000003"/>
  </r>
  <r>
    <x v="1"/>
    <x v="542"/>
    <x v="538"/>
    <x v="37"/>
    <x v="2"/>
    <n v="13.555"/>
    <n v="2"/>
    <n v="27.11"/>
  </r>
  <r>
    <x v="1"/>
    <x v="543"/>
    <x v="539"/>
    <x v="37"/>
    <x v="2"/>
    <n v="50.094999999999999"/>
    <n v="3"/>
    <n v="150.285"/>
  </r>
  <r>
    <x v="1"/>
    <x v="544"/>
    <x v="540"/>
    <x v="46"/>
    <x v="2"/>
    <n v="291.92309999999998"/>
    <n v="7"/>
    <n v="2043.4616999999998"/>
  </r>
  <r>
    <x v="2"/>
    <x v="544"/>
    <x v="540"/>
    <x v="46"/>
    <x v="2"/>
    <n v="291.92309999999998"/>
    <n v="7"/>
    <n v="2043.4616999999998"/>
  </r>
  <r>
    <x v="1"/>
    <x v="545"/>
    <x v="541"/>
    <x v="46"/>
    <x v="2"/>
    <n v="253.95689999999999"/>
    <n v="3"/>
    <n v="761.87069999999994"/>
  </r>
  <r>
    <x v="2"/>
    <x v="545"/>
    <x v="541"/>
    <x v="46"/>
    <x v="2"/>
    <n v="253.95689999999999"/>
    <n v="3"/>
    <n v="761.87069999999994"/>
  </r>
  <r>
    <x v="1"/>
    <x v="546"/>
    <x v="542"/>
    <x v="37"/>
    <x v="2"/>
    <n v="5.96"/>
    <n v="5"/>
    <n v="29.8"/>
  </r>
  <r>
    <x v="1"/>
    <x v="547"/>
    <x v="543"/>
    <x v="37"/>
    <x v="2"/>
    <n v="5.83"/>
    <n v="5"/>
    <n v="29.15"/>
  </r>
  <r>
    <x v="1"/>
    <x v="548"/>
    <x v="544"/>
    <x v="37"/>
    <x v="2"/>
    <n v="2.98"/>
    <n v="5"/>
    <n v="14.9"/>
  </r>
  <r>
    <x v="1"/>
    <x v="549"/>
    <x v="545"/>
    <x v="37"/>
    <x v="2"/>
    <n v="6.1"/>
    <n v="4"/>
    <n v="24.4"/>
  </r>
  <r>
    <x v="1"/>
    <x v="550"/>
    <x v="546"/>
    <x v="37"/>
    <x v="2"/>
    <n v="8.1"/>
    <n v="2"/>
    <n v="16.2"/>
  </r>
  <r>
    <x v="1"/>
    <x v="551"/>
    <x v="547"/>
    <x v="37"/>
    <x v="2"/>
    <n v="14.06"/>
    <n v="2"/>
    <n v="28.12"/>
  </r>
  <r>
    <x v="1"/>
    <x v="552"/>
    <x v="548"/>
    <x v="39"/>
    <x v="2"/>
    <n v="40.54"/>
    <n v="4"/>
    <n v="162.16"/>
  </r>
  <r>
    <x v="1"/>
    <x v="553"/>
    <x v="549"/>
    <x v="47"/>
    <x v="1"/>
    <n v="9.8140000000000001"/>
    <n v="8"/>
    <n v="78.512"/>
  </r>
  <r>
    <x v="1"/>
    <x v="554"/>
    <x v="550"/>
    <x v="3"/>
    <x v="2"/>
    <n v="7.3685999999999998"/>
    <n v="23"/>
    <n v="169.4778"/>
  </r>
  <r>
    <x v="1"/>
    <x v="555"/>
    <x v="551"/>
    <x v="36"/>
    <x v="2"/>
    <n v="13.66"/>
    <n v="2"/>
    <n v="27.32"/>
  </r>
  <r>
    <x v="1"/>
    <x v="556"/>
    <x v="552"/>
    <x v="36"/>
    <x v="2"/>
    <n v="28.41"/>
    <n v="2"/>
    <n v="56.82"/>
  </r>
  <r>
    <x v="1"/>
    <x v="557"/>
    <x v="553"/>
    <x v="3"/>
    <x v="2"/>
    <n v="12.879"/>
    <n v="9"/>
    <n v="115.911"/>
  </r>
  <r>
    <x v="1"/>
    <x v="558"/>
    <x v="554"/>
    <x v="36"/>
    <x v="2"/>
    <n v="8.81"/>
    <n v="1"/>
    <n v="8.81"/>
  </r>
  <r>
    <x v="1"/>
    <x v="559"/>
    <x v="555"/>
    <x v="36"/>
    <x v="2"/>
    <n v="10.4"/>
    <n v="2"/>
    <n v="20.8"/>
  </r>
  <r>
    <x v="1"/>
    <x v="560"/>
    <x v="556"/>
    <x v="3"/>
    <x v="2"/>
    <n v="11.47"/>
    <n v="9"/>
    <n v="103.23"/>
  </r>
  <r>
    <x v="1"/>
    <x v="561"/>
    <x v="557"/>
    <x v="3"/>
    <x v="2"/>
    <n v="37.082999999999998"/>
    <n v="6"/>
    <n v="222.49799999999999"/>
  </r>
  <r>
    <x v="1"/>
    <x v="562"/>
    <x v="558"/>
    <x v="3"/>
    <x v="2"/>
    <n v="29.117000000000001"/>
    <n v="4"/>
    <n v="116.468"/>
  </r>
  <r>
    <x v="1"/>
    <x v="563"/>
    <x v="559"/>
    <x v="3"/>
    <x v="2"/>
    <n v="62.703000000000003"/>
    <n v="4"/>
    <n v="250.81200000000001"/>
  </r>
  <r>
    <x v="1"/>
    <x v="564"/>
    <x v="560"/>
    <x v="36"/>
    <x v="2"/>
    <n v="25.04"/>
    <n v="2"/>
    <n v="50.08"/>
  </r>
  <r>
    <x v="1"/>
    <x v="565"/>
    <x v="561"/>
    <x v="36"/>
    <x v="2"/>
    <n v="34.71"/>
    <n v="2"/>
    <n v="69.42"/>
  </r>
  <r>
    <x v="1"/>
    <x v="566"/>
    <x v="562"/>
    <x v="3"/>
    <x v="2"/>
    <n v="0.22"/>
    <n v="50"/>
    <n v="11"/>
  </r>
  <r>
    <x v="1"/>
    <x v="567"/>
    <x v="563"/>
    <x v="36"/>
    <x v="2"/>
    <n v="3.07"/>
    <n v="2"/>
    <n v="6.14"/>
  </r>
  <r>
    <x v="1"/>
    <x v="568"/>
    <x v="564"/>
    <x v="36"/>
    <x v="2"/>
    <n v="4.91"/>
    <n v="2"/>
    <n v="9.82"/>
  </r>
  <r>
    <x v="1"/>
    <x v="569"/>
    <x v="565"/>
    <x v="36"/>
    <x v="2"/>
    <n v="1.2"/>
    <n v="10"/>
    <n v="12"/>
  </r>
  <r>
    <x v="1"/>
    <x v="570"/>
    <x v="566"/>
    <x v="3"/>
    <x v="2"/>
    <n v="16.667000000000002"/>
    <n v="4"/>
    <n v="66.668000000000006"/>
  </r>
  <r>
    <x v="1"/>
    <x v="571"/>
    <x v="567"/>
    <x v="3"/>
    <x v="2"/>
    <n v="10.521800000000001"/>
    <n v="10"/>
    <n v="105.218"/>
  </r>
  <r>
    <x v="2"/>
    <x v="572"/>
    <x v="568"/>
    <x v="3"/>
    <x v="2"/>
    <n v="6.8849999999999998"/>
    <n v="5"/>
    <n v="34.424999999999997"/>
  </r>
  <r>
    <x v="1"/>
    <x v="572"/>
    <x v="568"/>
    <x v="3"/>
    <x v="2"/>
    <n v="6.8849999999999998"/>
    <n v="5"/>
    <n v="34.424999999999997"/>
  </r>
  <r>
    <x v="1"/>
    <x v="573"/>
    <x v="569"/>
    <x v="3"/>
    <x v="2"/>
    <n v="18.7254"/>
    <n v="18"/>
    <n v="337.05720000000002"/>
  </r>
  <r>
    <x v="1"/>
    <x v="574"/>
    <x v="570"/>
    <x v="3"/>
    <x v="2"/>
    <n v="5.5354999999999999"/>
    <n v="19"/>
    <n v="105.17449999999999"/>
  </r>
  <r>
    <x v="1"/>
    <x v="575"/>
    <x v="571"/>
    <x v="3"/>
    <x v="2"/>
    <n v="3.8340999999999998"/>
    <n v="39"/>
    <n v="149.5299"/>
  </r>
  <r>
    <x v="1"/>
    <x v="576"/>
    <x v="572"/>
    <x v="3"/>
    <x v="2"/>
    <n v="4.3357000000000001"/>
    <n v="9"/>
    <n v="39.021300000000004"/>
  </r>
  <r>
    <x v="1"/>
    <x v="577"/>
    <x v="573"/>
    <x v="3"/>
    <x v="2"/>
    <n v="0.93"/>
    <n v="12"/>
    <n v="11.16"/>
  </r>
  <r>
    <x v="1"/>
    <x v="578"/>
    <x v="574"/>
    <x v="3"/>
    <x v="2"/>
    <n v="0.56289999999999996"/>
    <n v="194"/>
    <n v="109.20259999999999"/>
  </r>
  <r>
    <x v="2"/>
    <x v="578"/>
    <x v="574"/>
    <x v="3"/>
    <x v="2"/>
    <n v="0.56289999999999996"/>
    <n v="194"/>
    <n v="109.20259999999999"/>
  </r>
  <r>
    <x v="1"/>
    <x v="579"/>
    <x v="575"/>
    <x v="3"/>
    <x v="2"/>
    <n v="0.28160000000000002"/>
    <n v="106"/>
    <n v="29.849600000000002"/>
  </r>
  <r>
    <x v="1"/>
    <x v="580"/>
    <x v="576"/>
    <x v="3"/>
    <x v="2"/>
    <n v="1.4636"/>
    <n v="35"/>
    <n v="51.225999999999999"/>
  </r>
  <r>
    <x v="1"/>
    <x v="581"/>
    <x v="577"/>
    <x v="3"/>
    <x v="2"/>
    <n v="0.29449999999999998"/>
    <n v="244"/>
    <n v="71.85799999999999"/>
  </r>
  <r>
    <x v="1"/>
    <x v="582"/>
    <x v="578"/>
    <x v="3"/>
    <x v="2"/>
    <n v="1.2172000000000001"/>
    <n v="46"/>
    <n v="55.991200000000006"/>
  </r>
  <r>
    <x v="1"/>
    <x v="583"/>
    <x v="579"/>
    <x v="34"/>
    <x v="2"/>
    <n v="0.7"/>
    <n v="24"/>
    <n v="16.799999999999997"/>
  </r>
  <r>
    <x v="2"/>
    <x v="584"/>
    <x v="580"/>
    <x v="48"/>
    <x v="2"/>
    <n v="4.0030000000000001"/>
    <n v="94"/>
    <n v="376.28200000000004"/>
  </r>
  <r>
    <x v="1"/>
    <x v="584"/>
    <x v="580"/>
    <x v="48"/>
    <x v="2"/>
    <n v="4.0030000000000001"/>
    <n v="94"/>
    <n v="376.28200000000004"/>
  </r>
  <r>
    <x v="1"/>
    <x v="585"/>
    <x v="581"/>
    <x v="34"/>
    <x v="2"/>
    <n v="36.978700000000003"/>
    <n v="5"/>
    <n v="184.89350000000002"/>
  </r>
  <r>
    <x v="2"/>
    <x v="585"/>
    <x v="581"/>
    <x v="34"/>
    <x v="2"/>
    <n v="36.978700000000003"/>
    <n v="5"/>
    <n v="184.89350000000002"/>
  </r>
  <r>
    <x v="1"/>
    <x v="586"/>
    <x v="582"/>
    <x v="34"/>
    <x v="2"/>
    <n v="139.29669999999999"/>
    <n v="4"/>
    <n v="557.18679999999995"/>
  </r>
  <r>
    <x v="1"/>
    <x v="587"/>
    <x v="583"/>
    <x v="34"/>
    <x v="2"/>
    <n v="179.3486"/>
    <n v="2"/>
    <n v="358.69720000000001"/>
  </r>
  <r>
    <x v="1"/>
    <x v="588"/>
    <x v="584"/>
    <x v="35"/>
    <x v="2"/>
    <n v="4.37"/>
    <n v="6"/>
    <n v="26.22"/>
  </r>
  <r>
    <x v="1"/>
    <x v="589"/>
    <x v="585"/>
    <x v="3"/>
    <x v="2"/>
    <n v="4.1748000000000003"/>
    <n v="14"/>
    <n v="58.447200000000002"/>
  </r>
  <r>
    <x v="2"/>
    <x v="589"/>
    <x v="585"/>
    <x v="3"/>
    <x v="2"/>
    <n v="4.1748000000000003"/>
    <n v="14"/>
    <n v="58.447200000000002"/>
  </r>
  <r>
    <x v="1"/>
    <x v="590"/>
    <x v="586"/>
    <x v="38"/>
    <x v="2"/>
    <n v="1.044"/>
    <n v="5"/>
    <n v="5.2200000000000006"/>
  </r>
  <r>
    <x v="1"/>
    <x v="591"/>
    <x v="587"/>
    <x v="37"/>
    <x v="2"/>
    <n v="1.05"/>
    <n v="5"/>
    <n v="5.25"/>
  </r>
  <r>
    <x v="1"/>
    <x v="592"/>
    <x v="588"/>
    <x v="37"/>
    <x v="2"/>
    <n v="0.79"/>
    <n v="3"/>
    <n v="2.37"/>
  </r>
  <r>
    <x v="1"/>
    <x v="593"/>
    <x v="589"/>
    <x v="37"/>
    <x v="2"/>
    <n v="9.2799999999999994"/>
    <n v="15"/>
    <n v="139.19999999999999"/>
  </r>
  <r>
    <x v="1"/>
    <x v="594"/>
    <x v="590"/>
    <x v="37"/>
    <x v="2"/>
    <n v="2.1760999999999999"/>
    <n v="7"/>
    <n v="15.232699999999999"/>
  </r>
  <r>
    <x v="2"/>
    <x v="594"/>
    <x v="590"/>
    <x v="37"/>
    <x v="2"/>
    <n v="2.1760999999999999"/>
    <n v="7"/>
    <n v="15.232699999999999"/>
  </r>
  <r>
    <x v="1"/>
    <x v="595"/>
    <x v="591"/>
    <x v="37"/>
    <x v="2"/>
    <n v="6.1205999999999996"/>
    <n v="10"/>
    <n v="61.205999999999996"/>
  </r>
  <r>
    <x v="1"/>
    <x v="596"/>
    <x v="592"/>
    <x v="37"/>
    <x v="2"/>
    <n v="2.0099999999999998"/>
    <n v="5"/>
    <n v="10.049999999999999"/>
  </r>
  <r>
    <x v="1"/>
    <x v="597"/>
    <x v="593"/>
    <x v="37"/>
    <x v="2"/>
    <n v="16.02"/>
    <n v="3"/>
    <n v="48.06"/>
  </r>
  <r>
    <x v="1"/>
    <x v="598"/>
    <x v="594"/>
    <x v="37"/>
    <x v="2"/>
    <n v="1.0179"/>
    <n v="14"/>
    <n v="14.2506"/>
  </r>
  <r>
    <x v="1"/>
    <x v="599"/>
    <x v="595"/>
    <x v="37"/>
    <x v="2"/>
    <n v="2.0375999999999999"/>
    <n v="14"/>
    <n v="28.526399999999999"/>
  </r>
  <r>
    <x v="2"/>
    <x v="599"/>
    <x v="595"/>
    <x v="37"/>
    <x v="2"/>
    <n v="2.0375999999999999"/>
    <n v="14"/>
    <n v="28.526399999999999"/>
  </r>
  <r>
    <x v="2"/>
    <x v="600"/>
    <x v="596"/>
    <x v="37"/>
    <x v="2"/>
    <n v="5.7895000000000003"/>
    <n v="2"/>
    <n v="11.579000000000001"/>
  </r>
  <r>
    <x v="1"/>
    <x v="600"/>
    <x v="596"/>
    <x v="37"/>
    <x v="2"/>
    <n v="5.7895000000000003"/>
    <n v="2"/>
    <n v="11.579000000000001"/>
  </r>
  <r>
    <x v="1"/>
    <x v="601"/>
    <x v="597"/>
    <x v="37"/>
    <x v="2"/>
    <n v="8.5626999999999995"/>
    <n v="7"/>
    <n v="59.938899999999997"/>
  </r>
  <r>
    <x v="1"/>
    <x v="602"/>
    <x v="598"/>
    <x v="37"/>
    <x v="2"/>
    <n v="0.94"/>
    <n v="3"/>
    <n v="2.82"/>
  </r>
  <r>
    <x v="1"/>
    <x v="603"/>
    <x v="599"/>
    <x v="37"/>
    <x v="2"/>
    <n v="0"/>
    <n v="5"/>
    <n v="0"/>
  </r>
  <r>
    <x v="1"/>
    <x v="604"/>
    <x v="600"/>
    <x v="37"/>
    <x v="2"/>
    <n v="6.3253000000000004"/>
    <n v="12"/>
    <n v="75.903600000000012"/>
  </r>
  <r>
    <x v="2"/>
    <x v="604"/>
    <x v="600"/>
    <x v="37"/>
    <x v="2"/>
    <n v="6.3253000000000004"/>
    <n v="12"/>
    <n v="75.903600000000012"/>
  </r>
  <r>
    <x v="1"/>
    <x v="605"/>
    <x v="601"/>
    <x v="37"/>
    <x v="2"/>
    <n v="0"/>
    <n v="5"/>
    <n v="0"/>
  </r>
  <r>
    <x v="1"/>
    <x v="606"/>
    <x v="602"/>
    <x v="37"/>
    <x v="2"/>
    <n v="2.7669999999999999"/>
    <n v="10"/>
    <n v="27.669999999999998"/>
  </r>
  <r>
    <x v="1"/>
    <x v="607"/>
    <x v="603"/>
    <x v="37"/>
    <x v="2"/>
    <n v="1.363"/>
    <n v="10"/>
    <n v="13.629999999999999"/>
  </r>
  <r>
    <x v="1"/>
    <x v="608"/>
    <x v="604"/>
    <x v="37"/>
    <x v="2"/>
    <n v="23.974699999999999"/>
    <n v="10"/>
    <n v="239.74699999999999"/>
  </r>
  <r>
    <x v="2"/>
    <x v="608"/>
    <x v="604"/>
    <x v="37"/>
    <x v="2"/>
    <n v="23.974699999999999"/>
    <n v="10"/>
    <n v="239.74699999999999"/>
  </r>
  <r>
    <x v="1"/>
    <x v="609"/>
    <x v="605"/>
    <x v="37"/>
    <x v="2"/>
    <n v="0.35799999999999998"/>
    <n v="10"/>
    <n v="3.58"/>
  </r>
  <r>
    <x v="1"/>
    <x v="610"/>
    <x v="606"/>
    <x v="37"/>
    <x v="2"/>
    <n v="6.7830000000000004"/>
    <n v="3"/>
    <n v="20.349"/>
  </r>
  <r>
    <x v="2"/>
    <x v="611"/>
    <x v="607"/>
    <x v="37"/>
    <x v="2"/>
    <n v="5.7126000000000001"/>
    <n v="4"/>
    <n v="22.8504"/>
  </r>
  <r>
    <x v="1"/>
    <x v="611"/>
    <x v="607"/>
    <x v="37"/>
    <x v="2"/>
    <n v="5.7126000000000001"/>
    <n v="4"/>
    <n v="22.8504"/>
  </r>
  <r>
    <x v="1"/>
    <x v="612"/>
    <x v="608"/>
    <x v="37"/>
    <x v="2"/>
    <n v="14.241199999999999"/>
    <n v="4"/>
    <n v="56.964799999999997"/>
  </r>
  <r>
    <x v="2"/>
    <x v="613"/>
    <x v="609"/>
    <x v="37"/>
    <x v="2"/>
    <n v="4.5282"/>
    <n v="7"/>
    <n v="31.697400000000002"/>
  </r>
  <r>
    <x v="1"/>
    <x v="613"/>
    <x v="609"/>
    <x v="37"/>
    <x v="2"/>
    <n v="4.5282"/>
    <n v="7"/>
    <n v="31.697400000000002"/>
  </r>
  <r>
    <x v="1"/>
    <x v="614"/>
    <x v="610"/>
    <x v="3"/>
    <x v="2"/>
    <n v="3.8853"/>
    <n v="7"/>
    <n v="27.197099999999999"/>
  </r>
  <r>
    <x v="2"/>
    <x v="614"/>
    <x v="610"/>
    <x v="3"/>
    <x v="2"/>
    <n v="3.8853"/>
    <n v="7"/>
    <n v="27.197099999999999"/>
  </r>
  <r>
    <x v="1"/>
    <x v="615"/>
    <x v="611"/>
    <x v="37"/>
    <x v="2"/>
    <n v="1.8842000000000001"/>
    <n v="8"/>
    <n v="15.073600000000001"/>
  </r>
  <r>
    <x v="2"/>
    <x v="615"/>
    <x v="611"/>
    <x v="37"/>
    <x v="2"/>
    <n v="1.8842000000000001"/>
    <n v="8"/>
    <n v="15.073600000000001"/>
  </r>
  <r>
    <x v="1"/>
    <x v="616"/>
    <x v="612"/>
    <x v="37"/>
    <x v="2"/>
    <n v="5.1749999999999998"/>
    <n v="5"/>
    <n v="25.875"/>
  </r>
  <r>
    <x v="1"/>
    <x v="617"/>
    <x v="613"/>
    <x v="37"/>
    <x v="2"/>
    <n v="4.3360000000000003"/>
    <n v="10"/>
    <n v="43.36"/>
  </r>
  <r>
    <x v="2"/>
    <x v="618"/>
    <x v="614"/>
    <x v="37"/>
    <x v="2"/>
    <n v="9.9243000000000006"/>
    <n v="6"/>
    <n v="59.5458"/>
  </r>
  <r>
    <x v="1"/>
    <x v="618"/>
    <x v="614"/>
    <x v="37"/>
    <x v="2"/>
    <n v="9.9243000000000006"/>
    <n v="6"/>
    <n v="59.5458"/>
  </r>
  <r>
    <x v="1"/>
    <x v="619"/>
    <x v="615"/>
    <x v="37"/>
    <x v="2"/>
    <n v="4.05"/>
    <n v="5"/>
    <n v="20.25"/>
  </r>
  <r>
    <x v="1"/>
    <x v="620"/>
    <x v="616"/>
    <x v="37"/>
    <x v="2"/>
    <n v="4.6950000000000003"/>
    <n v="15"/>
    <n v="70.425000000000011"/>
  </r>
  <r>
    <x v="1"/>
    <x v="621"/>
    <x v="617"/>
    <x v="37"/>
    <x v="2"/>
    <n v="3.28"/>
    <n v="6"/>
    <n v="19.68"/>
  </r>
  <r>
    <x v="1"/>
    <x v="622"/>
    <x v="618"/>
    <x v="37"/>
    <x v="2"/>
    <n v="2.02"/>
    <n v="3"/>
    <n v="6.0600000000000005"/>
  </r>
  <r>
    <x v="1"/>
    <x v="623"/>
    <x v="619"/>
    <x v="37"/>
    <x v="2"/>
    <n v="15.083"/>
    <n v="4"/>
    <n v="60.332000000000001"/>
  </r>
  <r>
    <x v="1"/>
    <x v="624"/>
    <x v="620"/>
    <x v="37"/>
    <x v="2"/>
    <n v="1.52"/>
    <n v="10"/>
    <n v="15.2"/>
  </r>
  <r>
    <x v="1"/>
    <x v="625"/>
    <x v="621"/>
    <x v="37"/>
    <x v="2"/>
    <n v="4.6429999999999998"/>
    <n v="14"/>
    <n v="65.001999999999995"/>
  </r>
  <r>
    <x v="1"/>
    <x v="626"/>
    <x v="622"/>
    <x v="37"/>
    <x v="2"/>
    <n v="6.3170999999999999"/>
    <n v="5"/>
    <n v="31.5855"/>
  </r>
  <r>
    <x v="2"/>
    <x v="626"/>
    <x v="622"/>
    <x v="37"/>
    <x v="2"/>
    <n v="6.3170999999999999"/>
    <n v="5"/>
    <n v="31.5855"/>
  </r>
  <r>
    <x v="1"/>
    <x v="627"/>
    <x v="623"/>
    <x v="37"/>
    <x v="2"/>
    <n v="7.3390000000000004"/>
    <n v="10"/>
    <n v="73.39"/>
  </r>
  <r>
    <x v="1"/>
    <x v="628"/>
    <x v="624"/>
    <x v="37"/>
    <x v="2"/>
    <n v="0.57999999999999996"/>
    <n v="16"/>
    <n v="9.2799999999999994"/>
  </r>
  <r>
    <x v="1"/>
    <x v="629"/>
    <x v="625"/>
    <x v="37"/>
    <x v="2"/>
    <n v="2.19"/>
    <n v="17"/>
    <n v="37.229999999999997"/>
  </r>
  <r>
    <x v="1"/>
    <x v="630"/>
    <x v="626"/>
    <x v="37"/>
    <x v="2"/>
    <n v="2.1844000000000001"/>
    <n v="32"/>
    <n v="69.900800000000004"/>
  </r>
  <r>
    <x v="1"/>
    <x v="631"/>
    <x v="627"/>
    <x v="37"/>
    <x v="2"/>
    <n v="0.4"/>
    <n v="17"/>
    <n v="6.8000000000000007"/>
  </r>
  <r>
    <x v="1"/>
    <x v="632"/>
    <x v="628"/>
    <x v="37"/>
    <x v="2"/>
    <n v="8.2469999999999999"/>
    <n v="1"/>
    <n v="8.2469999999999999"/>
  </r>
  <r>
    <x v="1"/>
    <x v="633"/>
    <x v="629"/>
    <x v="40"/>
    <x v="2"/>
    <n v="9.32"/>
    <n v="15"/>
    <n v="139.80000000000001"/>
  </r>
  <r>
    <x v="1"/>
    <x v="634"/>
    <x v="630"/>
    <x v="40"/>
    <x v="2"/>
    <n v="19.450900000000001"/>
    <n v="33"/>
    <n v="641.87970000000007"/>
  </r>
  <r>
    <x v="2"/>
    <x v="634"/>
    <x v="630"/>
    <x v="40"/>
    <x v="2"/>
    <n v="19.450900000000001"/>
    <n v="33"/>
    <n v="641.87970000000007"/>
  </r>
  <r>
    <x v="1"/>
    <x v="635"/>
    <x v="631"/>
    <x v="40"/>
    <x v="2"/>
    <n v="14.844200000000001"/>
    <n v="44"/>
    <n v="653.14480000000003"/>
  </r>
  <r>
    <x v="2"/>
    <x v="635"/>
    <x v="631"/>
    <x v="40"/>
    <x v="2"/>
    <n v="14.844200000000001"/>
    <n v="44"/>
    <n v="653.14480000000003"/>
  </r>
  <r>
    <x v="1"/>
    <x v="636"/>
    <x v="632"/>
    <x v="40"/>
    <x v="2"/>
    <n v="22.330500000000001"/>
    <n v="30"/>
    <n v="669.91499999999996"/>
  </r>
  <r>
    <x v="2"/>
    <x v="636"/>
    <x v="632"/>
    <x v="40"/>
    <x v="2"/>
    <n v="22.330500000000001"/>
    <n v="30"/>
    <n v="669.91499999999996"/>
  </r>
  <r>
    <x v="2"/>
    <x v="637"/>
    <x v="633"/>
    <x v="40"/>
    <x v="2"/>
    <n v="0"/>
    <n v="1"/>
    <n v="0"/>
  </r>
  <r>
    <x v="1"/>
    <x v="638"/>
    <x v="634"/>
    <x v="46"/>
    <x v="2"/>
    <n v="394.28"/>
    <n v="1"/>
    <n v="394.28"/>
  </r>
  <r>
    <x v="1"/>
    <x v="639"/>
    <x v="635"/>
    <x v="46"/>
    <x v="2"/>
    <n v="412.47329999999999"/>
    <n v="37"/>
    <n v="15261.5121"/>
  </r>
  <r>
    <x v="2"/>
    <x v="639"/>
    <x v="635"/>
    <x v="46"/>
    <x v="2"/>
    <n v="412.47329999999999"/>
    <n v="37"/>
    <n v="15261.5121"/>
  </r>
  <r>
    <x v="0"/>
    <x v="639"/>
    <x v="635"/>
    <x v="46"/>
    <x v="2"/>
    <n v="412.47329999999999"/>
    <n v="37"/>
    <n v="15261.5121"/>
  </r>
  <r>
    <x v="1"/>
    <x v="640"/>
    <x v="636"/>
    <x v="34"/>
    <x v="2"/>
    <n v="15.92"/>
    <n v="6"/>
    <n v="95.52"/>
  </r>
  <r>
    <x v="1"/>
    <x v="641"/>
    <x v="637"/>
    <x v="37"/>
    <x v="2"/>
    <n v="0.17699999999999999"/>
    <n v="10"/>
    <n v="1.77"/>
  </r>
  <r>
    <x v="1"/>
    <x v="642"/>
    <x v="638"/>
    <x v="3"/>
    <x v="2"/>
    <n v="29.542000000000002"/>
    <n v="14"/>
    <n v="413.58800000000002"/>
  </r>
  <r>
    <x v="1"/>
    <x v="643"/>
    <x v="639"/>
    <x v="3"/>
    <x v="2"/>
    <n v="38.293999999999997"/>
    <n v="4"/>
    <n v="153.17599999999999"/>
  </r>
  <r>
    <x v="1"/>
    <x v="644"/>
    <x v="640"/>
    <x v="37"/>
    <x v="2"/>
    <n v="4.3156999999999996"/>
    <n v="12"/>
    <n v="51.788399999999996"/>
  </r>
  <r>
    <x v="2"/>
    <x v="644"/>
    <x v="640"/>
    <x v="37"/>
    <x v="2"/>
    <n v="4.3156999999999996"/>
    <n v="12"/>
    <n v="51.788399999999996"/>
  </r>
  <r>
    <x v="1"/>
    <x v="645"/>
    <x v="641"/>
    <x v="3"/>
    <x v="2"/>
    <n v="32.561999999999998"/>
    <n v="10"/>
    <n v="325.62"/>
  </r>
  <r>
    <x v="1"/>
    <x v="646"/>
    <x v="642"/>
    <x v="3"/>
    <x v="2"/>
    <n v="21.626000000000001"/>
    <n v="10"/>
    <n v="216.26000000000002"/>
  </r>
  <r>
    <x v="1"/>
    <x v="647"/>
    <x v="643"/>
    <x v="3"/>
    <x v="2"/>
    <n v="23.706"/>
    <n v="6"/>
    <n v="142.23599999999999"/>
  </r>
  <r>
    <x v="2"/>
    <x v="648"/>
    <x v="644"/>
    <x v="37"/>
    <x v="2"/>
    <n v="11.648999999999999"/>
    <n v="9"/>
    <n v="104.84099999999999"/>
  </r>
  <r>
    <x v="1"/>
    <x v="648"/>
    <x v="644"/>
    <x v="37"/>
    <x v="2"/>
    <n v="11.648999999999999"/>
    <n v="9"/>
    <n v="104.84099999999999"/>
  </r>
  <r>
    <x v="1"/>
    <x v="649"/>
    <x v="645"/>
    <x v="37"/>
    <x v="2"/>
    <n v="35.698500000000003"/>
    <n v="15"/>
    <n v="535.47750000000008"/>
  </r>
  <r>
    <x v="1"/>
    <x v="650"/>
    <x v="646"/>
    <x v="37"/>
    <x v="2"/>
    <n v="14.8428"/>
    <n v="17"/>
    <n v="252.32760000000002"/>
  </r>
  <r>
    <x v="2"/>
    <x v="650"/>
    <x v="646"/>
    <x v="37"/>
    <x v="2"/>
    <n v="14.8428"/>
    <n v="17"/>
    <n v="252.32760000000002"/>
  </r>
  <r>
    <x v="1"/>
    <x v="651"/>
    <x v="647"/>
    <x v="37"/>
    <x v="2"/>
    <n v="6.1059999999999999"/>
    <n v="10"/>
    <n v="61.06"/>
  </r>
  <r>
    <x v="1"/>
    <x v="652"/>
    <x v="648"/>
    <x v="3"/>
    <x v="2"/>
    <n v="4.298"/>
    <n v="4"/>
    <n v="17.192"/>
  </r>
  <r>
    <x v="1"/>
    <x v="653"/>
    <x v="649"/>
    <x v="34"/>
    <x v="2"/>
    <n v="10.994"/>
    <n v="1"/>
    <n v="10.994"/>
  </r>
  <r>
    <x v="1"/>
    <x v="654"/>
    <x v="650"/>
    <x v="34"/>
    <x v="2"/>
    <n v="12.493499999999999"/>
    <n v="14"/>
    <n v="174.90899999999999"/>
  </r>
  <r>
    <x v="2"/>
    <x v="654"/>
    <x v="650"/>
    <x v="34"/>
    <x v="2"/>
    <n v="12.493499999999999"/>
    <n v="14"/>
    <n v="174.90899999999999"/>
  </r>
  <r>
    <x v="2"/>
    <x v="655"/>
    <x v="651"/>
    <x v="35"/>
    <x v="2"/>
    <n v="7.6614000000000004"/>
    <n v="12"/>
    <n v="91.936800000000005"/>
  </r>
  <r>
    <x v="1"/>
    <x v="655"/>
    <x v="651"/>
    <x v="35"/>
    <x v="2"/>
    <n v="7.6614000000000004"/>
    <n v="12"/>
    <n v="91.936800000000005"/>
  </r>
  <r>
    <x v="1"/>
    <x v="656"/>
    <x v="652"/>
    <x v="35"/>
    <x v="2"/>
    <n v="15.923"/>
    <n v="3"/>
    <n v="47.768999999999998"/>
  </r>
  <r>
    <x v="1"/>
    <x v="657"/>
    <x v="653"/>
    <x v="3"/>
    <x v="2"/>
    <n v="0.30580000000000002"/>
    <n v="157"/>
    <n v="48.010600000000004"/>
  </r>
  <r>
    <x v="2"/>
    <x v="657"/>
    <x v="653"/>
    <x v="3"/>
    <x v="2"/>
    <n v="0.30580000000000002"/>
    <n v="157"/>
    <n v="48.010600000000004"/>
  </r>
  <r>
    <x v="0"/>
    <x v="657"/>
    <x v="653"/>
    <x v="3"/>
    <x v="2"/>
    <n v="0.30580000000000002"/>
    <n v="157"/>
    <n v="48.010600000000004"/>
  </r>
  <r>
    <x v="2"/>
    <x v="658"/>
    <x v="654"/>
    <x v="3"/>
    <x v="2"/>
    <n v="0.79859999999999998"/>
    <n v="42"/>
    <n v="33.541199999999996"/>
  </r>
  <r>
    <x v="1"/>
    <x v="658"/>
    <x v="654"/>
    <x v="3"/>
    <x v="2"/>
    <n v="0.79859999999999998"/>
    <n v="42"/>
    <n v="33.541199999999996"/>
  </r>
  <r>
    <x v="2"/>
    <x v="659"/>
    <x v="655"/>
    <x v="34"/>
    <x v="2"/>
    <n v="0.41149999999999998"/>
    <n v="615"/>
    <n v="253.07249999999999"/>
  </r>
  <r>
    <x v="0"/>
    <x v="659"/>
    <x v="655"/>
    <x v="34"/>
    <x v="2"/>
    <n v="0.41149999999999998"/>
    <n v="615"/>
    <n v="253.07249999999999"/>
  </r>
  <r>
    <x v="1"/>
    <x v="659"/>
    <x v="655"/>
    <x v="34"/>
    <x v="2"/>
    <n v="0.41149999999999998"/>
    <n v="615"/>
    <n v="253.07249999999999"/>
  </r>
  <r>
    <x v="2"/>
    <x v="660"/>
    <x v="656"/>
    <x v="34"/>
    <x v="2"/>
    <n v="5.6538000000000004"/>
    <n v="320"/>
    <n v="1809.2160000000001"/>
  </r>
  <r>
    <x v="0"/>
    <x v="660"/>
    <x v="656"/>
    <x v="34"/>
    <x v="2"/>
    <n v="5.6538000000000004"/>
    <n v="320"/>
    <n v="1809.2160000000001"/>
  </r>
  <r>
    <x v="1"/>
    <x v="660"/>
    <x v="656"/>
    <x v="34"/>
    <x v="2"/>
    <n v="5.6538000000000004"/>
    <n v="320"/>
    <n v="1809.2160000000001"/>
  </r>
  <r>
    <x v="0"/>
    <x v="661"/>
    <x v="657"/>
    <x v="34"/>
    <x v="2"/>
    <n v="6.5758000000000001"/>
    <n v="74"/>
    <n v="486.60919999999999"/>
  </r>
  <r>
    <x v="2"/>
    <x v="661"/>
    <x v="657"/>
    <x v="34"/>
    <x v="2"/>
    <n v="6.5758000000000001"/>
    <n v="74"/>
    <n v="486.60919999999999"/>
  </r>
  <r>
    <x v="1"/>
    <x v="661"/>
    <x v="657"/>
    <x v="34"/>
    <x v="2"/>
    <n v="6.5758000000000001"/>
    <n v="74"/>
    <n v="486.60919999999999"/>
  </r>
  <r>
    <x v="1"/>
    <x v="662"/>
    <x v="658"/>
    <x v="3"/>
    <x v="2"/>
    <n v="2.5670000000000002"/>
    <n v="7"/>
    <n v="17.969000000000001"/>
  </r>
  <r>
    <x v="1"/>
    <x v="663"/>
    <x v="659"/>
    <x v="37"/>
    <x v="2"/>
    <n v="26.9739"/>
    <n v="6"/>
    <n v="161.8434"/>
  </r>
  <r>
    <x v="1"/>
    <x v="664"/>
    <x v="660"/>
    <x v="34"/>
    <x v="2"/>
    <n v="9.5456000000000003"/>
    <n v="273"/>
    <n v="2605.9488000000001"/>
  </r>
  <r>
    <x v="2"/>
    <x v="664"/>
    <x v="660"/>
    <x v="34"/>
    <x v="2"/>
    <n v="9.5456000000000003"/>
    <n v="273"/>
    <n v="2605.9488000000001"/>
  </r>
  <r>
    <x v="1"/>
    <x v="665"/>
    <x v="661"/>
    <x v="34"/>
    <x v="2"/>
    <n v="8.5182000000000002"/>
    <n v="30"/>
    <n v="255.54599999999999"/>
  </r>
  <r>
    <x v="2"/>
    <x v="665"/>
    <x v="661"/>
    <x v="34"/>
    <x v="2"/>
    <n v="8.5182000000000002"/>
    <n v="30"/>
    <n v="255.54599999999999"/>
  </r>
  <r>
    <x v="0"/>
    <x v="666"/>
    <x v="662"/>
    <x v="34"/>
    <x v="2"/>
    <n v="3.8702000000000001"/>
    <n v="229"/>
    <n v="886.2758"/>
  </r>
  <r>
    <x v="1"/>
    <x v="666"/>
    <x v="662"/>
    <x v="34"/>
    <x v="2"/>
    <n v="3.8702000000000001"/>
    <n v="229"/>
    <n v="886.2758"/>
  </r>
  <r>
    <x v="2"/>
    <x v="666"/>
    <x v="662"/>
    <x v="34"/>
    <x v="2"/>
    <n v="3.8702000000000001"/>
    <n v="229"/>
    <n v="886.2758"/>
  </r>
  <r>
    <x v="2"/>
    <x v="667"/>
    <x v="663"/>
    <x v="33"/>
    <x v="2"/>
    <n v="11.591900000000001"/>
    <n v="21"/>
    <n v="243.4299"/>
  </r>
  <r>
    <x v="1"/>
    <x v="667"/>
    <x v="663"/>
    <x v="33"/>
    <x v="2"/>
    <n v="11.591900000000001"/>
    <n v="21"/>
    <n v="243.4299"/>
  </r>
  <r>
    <x v="1"/>
    <x v="668"/>
    <x v="664"/>
    <x v="37"/>
    <x v="2"/>
    <n v="3.6190000000000002"/>
    <n v="32"/>
    <n v="115.80800000000001"/>
  </r>
  <r>
    <x v="2"/>
    <x v="668"/>
    <x v="664"/>
    <x v="37"/>
    <x v="2"/>
    <n v="3.6190000000000002"/>
    <n v="32"/>
    <n v="115.80800000000001"/>
  </r>
  <r>
    <x v="1"/>
    <x v="669"/>
    <x v="665"/>
    <x v="37"/>
    <x v="2"/>
    <n v="5.5639000000000003"/>
    <n v="10"/>
    <n v="55.639000000000003"/>
  </r>
  <r>
    <x v="1"/>
    <x v="670"/>
    <x v="666"/>
    <x v="37"/>
    <x v="2"/>
    <n v="5.4370000000000003"/>
    <n v="5"/>
    <n v="27.185000000000002"/>
  </r>
  <r>
    <x v="1"/>
    <x v="671"/>
    <x v="667"/>
    <x v="39"/>
    <x v="2"/>
    <n v="6.9"/>
    <n v="2"/>
    <n v="13.8"/>
  </r>
  <r>
    <x v="1"/>
    <x v="672"/>
    <x v="464"/>
    <x v="45"/>
    <x v="2"/>
    <n v="19.09"/>
    <n v="4"/>
    <n v="76.36"/>
  </r>
  <r>
    <x v="1"/>
    <x v="673"/>
    <x v="668"/>
    <x v="3"/>
    <x v="2"/>
    <n v="1.7562"/>
    <n v="53"/>
    <n v="93.078599999999994"/>
  </r>
  <r>
    <x v="2"/>
    <x v="673"/>
    <x v="668"/>
    <x v="3"/>
    <x v="2"/>
    <n v="1.7562"/>
    <n v="53"/>
    <n v="93.078599999999994"/>
  </r>
  <r>
    <x v="1"/>
    <x v="674"/>
    <x v="669"/>
    <x v="35"/>
    <x v="2"/>
    <n v="0.34"/>
    <n v="10"/>
    <n v="3.4000000000000004"/>
  </r>
  <r>
    <x v="1"/>
    <x v="675"/>
    <x v="670"/>
    <x v="3"/>
    <x v="2"/>
    <n v="0.14000000000000001"/>
    <n v="30"/>
    <n v="4.2"/>
  </r>
  <r>
    <x v="1"/>
    <x v="676"/>
    <x v="671"/>
    <x v="35"/>
    <x v="2"/>
    <n v="0.60599999999999998"/>
    <n v="10"/>
    <n v="6.06"/>
  </r>
  <r>
    <x v="1"/>
    <x v="677"/>
    <x v="672"/>
    <x v="3"/>
    <x v="2"/>
    <n v="0.5"/>
    <n v="7"/>
    <n v="3.5"/>
  </r>
  <r>
    <x v="1"/>
    <x v="678"/>
    <x v="673"/>
    <x v="3"/>
    <x v="2"/>
    <n v="0.14000000000000001"/>
    <n v="1"/>
    <n v="0.14000000000000001"/>
  </r>
  <r>
    <x v="1"/>
    <x v="679"/>
    <x v="674"/>
    <x v="3"/>
    <x v="2"/>
    <n v="0.22"/>
    <n v="30"/>
    <n v="6.6"/>
  </r>
  <r>
    <x v="1"/>
    <x v="680"/>
    <x v="675"/>
    <x v="45"/>
    <x v="2"/>
    <n v="11.657"/>
    <n v="2"/>
    <n v="23.314"/>
  </r>
  <r>
    <x v="1"/>
    <x v="681"/>
    <x v="676"/>
    <x v="3"/>
    <x v="2"/>
    <n v="0.14000000000000001"/>
    <n v="30"/>
    <n v="4.2"/>
  </r>
  <r>
    <x v="1"/>
    <x v="682"/>
    <x v="677"/>
    <x v="3"/>
    <x v="2"/>
    <n v="0.16"/>
    <n v="10"/>
    <n v="1.6"/>
  </r>
  <r>
    <x v="1"/>
    <x v="683"/>
    <x v="678"/>
    <x v="3"/>
    <x v="2"/>
    <n v="0.09"/>
    <n v="2"/>
    <n v="0.18"/>
  </r>
  <r>
    <x v="1"/>
    <x v="684"/>
    <x v="679"/>
    <x v="3"/>
    <x v="2"/>
    <n v="0.38"/>
    <n v="50"/>
    <n v="19"/>
  </r>
  <r>
    <x v="1"/>
    <x v="685"/>
    <x v="680"/>
    <x v="3"/>
    <x v="2"/>
    <n v="0.378"/>
    <n v="5"/>
    <n v="1.8900000000000001"/>
  </r>
  <r>
    <x v="1"/>
    <x v="686"/>
    <x v="681"/>
    <x v="3"/>
    <x v="2"/>
    <n v="2.2799999999999998"/>
    <n v="2"/>
    <n v="4.5599999999999996"/>
  </r>
  <r>
    <x v="2"/>
    <x v="686"/>
    <x v="681"/>
    <x v="3"/>
    <x v="2"/>
    <n v="2.2799999999999998"/>
    <n v="2"/>
    <n v="4.5599999999999996"/>
  </r>
  <r>
    <x v="1"/>
    <x v="687"/>
    <x v="682"/>
    <x v="3"/>
    <x v="2"/>
    <n v="3.6139999999999999"/>
    <n v="1"/>
    <n v="3.6139999999999999"/>
  </r>
  <r>
    <x v="2"/>
    <x v="688"/>
    <x v="683"/>
    <x v="3"/>
    <x v="2"/>
    <n v="3.9695"/>
    <n v="25"/>
    <n v="99.237499999999997"/>
  </r>
  <r>
    <x v="1"/>
    <x v="688"/>
    <x v="683"/>
    <x v="3"/>
    <x v="2"/>
    <n v="3.9695"/>
    <n v="25"/>
    <n v="99.237499999999997"/>
  </r>
  <r>
    <x v="1"/>
    <x v="689"/>
    <x v="684"/>
    <x v="3"/>
    <x v="2"/>
    <n v="2.57"/>
    <n v="46"/>
    <n v="118.22"/>
  </r>
  <r>
    <x v="1"/>
    <x v="690"/>
    <x v="685"/>
    <x v="34"/>
    <x v="2"/>
    <n v="2.14"/>
    <n v="17"/>
    <n v="36.380000000000003"/>
  </r>
  <r>
    <x v="2"/>
    <x v="691"/>
    <x v="686"/>
    <x v="42"/>
    <x v="2"/>
    <n v="5.798"/>
    <n v="13"/>
    <n v="75.373999999999995"/>
  </r>
  <r>
    <x v="1"/>
    <x v="691"/>
    <x v="686"/>
    <x v="42"/>
    <x v="2"/>
    <n v="5.798"/>
    <n v="13"/>
    <n v="75.373999999999995"/>
  </r>
  <r>
    <x v="1"/>
    <x v="692"/>
    <x v="687"/>
    <x v="3"/>
    <x v="2"/>
    <n v="0.30669999999999997"/>
    <n v="29"/>
    <n v="8.8942999999999994"/>
  </r>
  <r>
    <x v="2"/>
    <x v="692"/>
    <x v="687"/>
    <x v="3"/>
    <x v="2"/>
    <n v="0.30669999999999997"/>
    <n v="29"/>
    <n v="8.8942999999999994"/>
  </r>
  <r>
    <x v="1"/>
    <x v="693"/>
    <x v="688"/>
    <x v="45"/>
    <x v="2"/>
    <n v="71.703299999999999"/>
    <n v="3"/>
    <n v="215.10989999999998"/>
  </r>
  <r>
    <x v="1"/>
    <x v="694"/>
    <x v="689"/>
    <x v="45"/>
    <x v="2"/>
    <n v="332.82119999999998"/>
    <n v="2"/>
    <n v="665.64239999999995"/>
  </r>
  <r>
    <x v="1"/>
    <x v="695"/>
    <x v="690"/>
    <x v="42"/>
    <x v="2"/>
    <n v="9.1295999999999999"/>
    <n v="94"/>
    <n v="858.18240000000003"/>
  </r>
  <r>
    <x v="2"/>
    <x v="695"/>
    <x v="690"/>
    <x v="42"/>
    <x v="2"/>
    <n v="9.1295999999999999"/>
    <n v="94"/>
    <n v="858.18240000000003"/>
  </r>
  <r>
    <x v="2"/>
    <x v="696"/>
    <x v="691"/>
    <x v="40"/>
    <x v="2"/>
    <n v="8.8125999999999998"/>
    <n v="12"/>
    <n v="105.7512"/>
  </r>
  <r>
    <x v="1"/>
    <x v="696"/>
    <x v="691"/>
    <x v="40"/>
    <x v="2"/>
    <n v="8.8125999999999998"/>
    <n v="12"/>
    <n v="105.7512"/>
  </r>
  <r>
    <x v="1"/>
    <x v="697"/>
    <x v="692"/>
    <x v="3"/>
    <x v="2"/>
    <n v="0.30299999999999999"/>
    <n v="10"/>
    <n v="3.03"/>
  </r>
  <r>
    <x v="1"/>
    <x v="698"/>
    <x v="693"/>
    <x v="3"/>
    <x v="2"/>
    <n v="0.30299999999999999"/>
    <n v="7"/>
    <n v="2.121"/>
  </r>
  <r>
    <x v="1"/>
    <x v="699"/>
    <x v="694"/>
    <x v="3"/>
    <x v="2"/>
    <n v="0.30199999999999999"/>
    <n v="4"/>
    <n v="1.208"/>
  </r>
  <r>
    <x v="1"/>
    <x v="700"/>
    <x v="695"/>
    <x v="3"/>
    <x v="2"/>
    <n v="0.24"/>
    <n v="10"/>
    <n v="2.4"/>
  </r>
  <r>
    <x v="1"/>
    <x v="701"/>
    <x v="696"/>
    <x v="3"/>
    <x v="2"/>
    <n v="0.44"/>
    <n v="10"/>
    <n v="4.4000000000000004"/>
  </r>
  <r>
    <x v="1"/>
    <x v="702"/>
    <x v="697"/>
    <x v="35"/>
    <x v="2"/>
    <n v="0.27"/>
    <n v="2"/>
    <n v="0.54"/>
  </r>
  <r>
    <x v="1"/>
    <x v="703"/>
    <x v="698"/>
    <x v="3"/>
    <x v="2"/>
    <n v="0.28000000000000003"/>
    <n v="10"/>
    <n v="2.8000000000000003"/>
  </r>
  <r>
    <x v="1"/>
    <x v="704"/>
    <x v="699"/>
    <x v="37"/>
    <x v="2"/>
    <n v="0.28000000000000003"/>
    <n v="4"/>
    <n v="1.1200000000000001"/>
  </r>
  <r>
    <x v="1"/>
    <x v="705"/>
    <x v="700"/>
    <x v="3"/>
    <x v="2"/>
    <n v="0.505"/>
    <n v="7"/>
    <n v="3.5350000000000001"/>
  </r>
  <r>
    <x v="1"/>
    <x v="706"/>
    <x v="701"/>
    <x v="37"/>
    <x v="2"/>
    <n v="1.0089999999999999"/>
    <n v="10"/>
    <n v="10.09"/>
  </r>
  <r>
    <x v="1"/>
    <x v="707"/>
    <x v="701"/>
    <x v="37"/>
    <x v="2"/>
    <n v="0.80700000000000005"/>
    <n v="10"/>
    <n v="8.07"/>
  </r>
  <r>
    <x v="1"/>
    <x v="708"/>
    <x v="702"/>
    <x v="35"/>
    <x v="2"/>
    <n v="2.3159999999999998"/>
    <n v="8"/>
    <n v="18.527999999999999"/>
  </r>
  <r>
    <x v="2"/>
    <x v="709"/>
    <x v="703"/>
    <x v="3"/>
    <x v="2"/>
    <n v="5.9996"/>
    <n v="11"/>
    <n v="65.995599999999996"/>
  </r>
  <r>
    <x v="1"/>
    <x v="709"/>
    <x v="703"/>
    <x v="3"/>
    <x v="2"/>
    <n v="5.9996"/>
    <n v="11"/>
    <n v="65.995599999999996"/>
  </r>
  <r>
    <x v="1"/>
    <x v="710"/>
    <x v="704"/>
    <x v="3"/>
    <x v="2"/>
    <n v="2.2829999999999999"/>
    <n v="5"/>
    <n v="11.414999999999999"/>
  </r>
  <r>
    <x v="1"/>
    <x v="711"/>
    <x v="705"/>
    <x v="3"/>
    <x v="2"/>
    <n v="1.22"/>
    <n v="2"/>
    <n v="2.44"/>
  </r>
  <r>
    <x v="1"/>
    <x v="712"/>
    <x v="706"/>
    <x v="3"/>
    <x v="2"/>
    <n v="14.2796"/>
    <n v="4"/>
    <n v="57.118400000000001"/>
  </r>
  <r>
    <x v="1"/>
    <x v="713"/>
    <x v="707"/>
    <x v="3"/>
    <x v="2"/>
    <n v="10.016"/>
    <n v="5"/>
    <n v="50.08"/>
  </r>
  <r>
    <x v="1"/>
    <x v="714"/>
    <x v="708"/>
    <x v="3"/>
    <x v="2"/>
    <n v="12.548999999999999"/>
    <n v="5"/>
    <n v="62.744999999999997"/>
  </r>
  <r>
    <x v="1"/>
    <x v="715"/>
    <x v="709"/>
    <x v="3"/>
    <x v="2"/>
    <n v="21.949400000000001"/>
    <n v="74"/>
    <n v="1624.2556"/>
  </r>
  <r>
    <x v="2"/>
    <x v="715"/>
    <x v="709"/>
    <x v="3"/>
    <x v="2"/>
    <n v="21.949400000000001"/>
    <n v="74"/>
    <n v="1624.2556"/>
  </r>
  <r>
    <x v="1"/>
    <x v="716"/>
    <x v="710"/>
    <x v="3"/>
    <x v="2"/>
    <n v="19.596399999999999"/>
    <n v="76"/>
    <n v="1489.3263999999999"/>
  </r>
  <r>
    <x v="2"/>
    <x v="716"/>
    <x v="710"/>
    <x v="3"/>
    <x v="2"/>
    <n v="19.596399999999999"/>
    <n v="76"/>
    <n v="1489.3263999999999"/>
  </r>
  <r>
    <x v="1"/>
    <x v="717"/>
    <x v="711"/>
    <x v="3"/>
    <x v="2"/>
    <n v="8.1122999999999994"/>
    <n v="18"/>
    <n v="146.0214"/>
  </r>
  <r>
    <x v="1"/>
    <x v="718"/>
    <x v="712"/>
    <x v="48"/>
    <x v="2"/>
    <n v="0.76339999999999997"/>
    <n v="485"/>
    <n v="370.24899999999997"/>
  </r>
  <r>
    <x v="2"/>
    <x v="718"/>
    <x v="712"/>
    <x v="48"/>
    <x v="2"/>
    <n v="0.76339999999999997"/>
    <n v="485"/>
    <n v="370.24899999999997"/>
  </r>
  <r>
    <x v="1"/>
    <x v="719"/>
    <x v="713"/>
    <x v="37"/>
    <x v="2"/>
    <n v="8.5299999999999994"/>
    <n v="10"/>
    <n v="85.3"/>
  </r>
  <r>
    <x v="1"/>
    <x v="720"/>
    <x v="714"/>
    <x v="37"/>
    <x v="2"/>
    <n v="5.22"/>
    <n v="3"/>
    <n v="15.66"/>
  </r>
  <r>
    <x v="1"/>
    <x v="721"/>
    <x v="715"/>
    <x v="37"/>
    <x v="2"/>
    <n v="13.13"/>
    <n v="3"/>
    <n v="39.39"/>
  </r>
  <r>
    <x v="1"/>
    <x v="722"/>
    <x v="716"/>
    <x v="37"/>
    <x v="2"/>
    <n v="3.52"/>
    <n v="5"/>
    <n v="17.600000000000001"/>
  </r>
  <r>
    <x v="1"/>
    <x v="723"/>
    <x v="717"/>
    <x v="37"/>
    <x v="2"/>
    <n v="10.26"/>
    <n v="4"/>
    <n v="41.04"/>
  </r>
  <r>
    <x v="1"/>
    <x v="724"/>
    <x v="718"/>
    <x v="37"/>
    <x v="2"/>
    <n v="3.76"/>
    <n v="5"/>
    <n v="18.799999999999997"/>
  </r>
  <r>
    <x v="1"/>
    <x v="725"/>
    <x v="719"/>
    <x v="37"/>
    <x v="2"/>
    <n v="4.54"/>
    <n v="5"/>
    <n v="22.7"/>
  </r>
  <r>
    <x v="1"/>
    <x v="726"/>
    <x v="720"/>
    <x v="37"/>
    <x v="2"/>
    <n v="2.71"/>
    <n v="5"/>
    <n v="13.55"/>
  </r>
  <r>
    <x v="1"/>
    <x v="727"/>
    <x v="721"/>
    <x v="37"/>
    <x v="2"/>
    <n v="5.39"/>
    <n v="5"/>
    <n v="26.95"/>
  </r>
  <r>
    <x v="1"/>
    <x v="728"/>
    <x v="722"/>
    <x v="37"/>
    <x v="2"/>
    <n v="2.08"/>
    <n v="5"/>
    <n v="10.4"/>
  </r>
  <r>
    <x v="1"/>
    <x v="729"/>
    <x v="723"/>
    <x v="34"/>
    <x v="2"/>
    <n v="13.67"/>
    <n v="6"/>
    <n v="82.02"/>
  </r>
  <r>
    <x v="1"/>
    <x v="730"/>
    <x v="724"/>
    <x v="49"/>
    <x v="2"/>
    <n v="45.9084"/>
    <n v="3"/>
    <n v="137.7252"/>
  </r>
  <r>
    <x v="2"/>
    <x v="730"/>
    <x v="724"/>
    <x v="49"/>
    <x v="2"/>
    <n v="45.9084"/>
    <n v="3"/>
    <n v="137.7252"/>
  </r>
  <r>
    <x v="1"/>
    <x v="731"/>
    <x v="725"/>
    <x v="1"/>
    <x v="4"/>
    <n v="0"/>
    <n v="1"/>
    <n v="0"/>
  </r>
  <r>
    <x v="1"/>
    <x v="732"/>
    <x v="726"/>
    <x v="1"/>
    <x v="4"/>
    <n v="0"/>
    <n v="1"/>
    <n v="0"/>
  </r>
  <r>
    <x v="1"/>
    <x v="733"/>
    <x v="727"/>
    <x v="1"/>
    <x v="4"/>
    <n v="0"/>
    <n v="1"/>
    <n v="0"/>
  </r>
  <r>
    <x v="1"/>
    <x v="734"/>
    <x v="728"/>
    <x v="42"/>
    <x v="2"/>
    <n v="66.650000000000006"/>
    <n v="1"/>
    <n v="66.650000000000006"/>
  </r>
  <r>
    <x v="1"/>
    <x v="735"/>
    <x v="729"/>
    <x v="36"/>
    <x v="2"/>
    <n v="45.94"/>
    <n v="1"/>
    <n v="45.94"/>
  </r>
  <r>
    <x v="1"/>
    <x v="736"/>
    <x v="730"/>
    <x v="3"/>
    <x v="2"/>
    <n v="66.817999999999998"/>
    <n v="5"/>
    <n v="334.09"/>
  </r>
  <r>
    <x v="1"/>
    <x v="737"/>
    <x v="731"/>
    <x v="35"/>
    <x v="2"/>
    <n v="57.145000000000003"/>
    <n v="3"/>
    <n v="171.435"/>
  </r>
  <r>
    <x v="1"/>
    <x v="738"/>
    <x v="732"/>
    <x v="35"/>
    <x v="2"/>
    <n v="94.52"/>
    <n v="1"/>
    <n v="94.52"/>
  </r>
  <r>
    <x v="1"/>
    <x v="739"/>
    <x v="733"/>
    <x v="3"/>
    <x v="2"/>
    <n v="27.945"/>
    <n v="3"/>
    <n v="83.835000000000008"/>
  </r>
  <r>
    <x v="1"/>
    <x v="740"/>
    <x v="734"/>
    <x v="3"/>
    <x v="2"/>
    <n v="24.36"/>
    <n v="1"/>
    <n v="24.36"/>
  </r>
  <r>
    <x v="1"/>
    <x v="741"/>
    <x v="735"/>
    <x v="3"/>
    <x v="2"/>
    <n v="25.766999999999999"/>
    <n v="3"/>
    <n v="77.301000000000002"/>
  </r>
  <r>
    <x v="1"/>
    <x v="742"/>
    <x v="736"/>
    <x v="3"/>
    <x v="2"/>
    <n v="31.9741"/>
    <n v="5"/>
    <n v="159.87049999999999"/>
  </r>
  <r>
    <x v="1"/>
    <x v="743"/>
    <x v="737"/>
    <x v="3"/>
    <x v="2"/>
    <n v="48.805999999999997"/>
    <n v="4"/>
    <n v="195.22399999999999"/>
  </r>
  <r>
    <x v="1"/>
    <x v="744"/>
    <x v="738"/>
    <x v="3"/>
    <x v="2"/>
    <n v="31.655799999999999"/>
    <n v="5"/>
    <n v="158.279"/>
  </r>
  <r>
    <x v="1"/>
    <x v="745"/>
    <x v="739"/>
    <x v="35"/>
    <x v="2"/>
    <n v="27.93"/>
    <n v="1"/>
    <n v="27.93"/>
  </r>
  <r>
    <x v="1"/>
    <x v="746"/>
    <x v="740"/>
    <x v="35"/>
    <x v="2"/>
    <n v="33.28"/>
    <n v="1"/>
    <n v="33.28"/>
  </r>
  <r>
    <x v="1"/>
    <x v="747"/>
    <x v="741"/>
    <x v="35"/>
    <x v="2"/>
    <n v="63.686500000000002"/>
    <n v="3"/>
    <n v="191.05950000000001"/>
  </r>
  <r>
    <x v="1"/>
    <x v="748"/>
    <x v="742"/>
    <x v="3"/>
    <x v="2"/>
    <n v="30.1096"/>
    <n v="2"/>
    <n v="60.219200000000001"/>
  </r>
  <r>
    <x v="1"/>
    <x v="749"/>
    <x v="743"/>
    <x v="35"/>
    <x v="2"/>
    <n v="36.65"/>
    <n v="2"/>
    <n v="73.3"/>
  </r>
  <r>
    <x v="1"/>
    <x v="750"/>
    <x v="744"/>
    <x v="35"/>
    <x v="2"/>
    <n v="36.65"/>
    <n v="1"/>
    <n v="36.65"/>
  </r>
  <r>
    <x v="2"/>
    <x v="751"/>
    <x v="745"/>
    <x v="3"/>
    <x v="2"/>
    <n v="24.2593"/>
    <n v="22"/>
    <n v="533.70460000000003"/>
  </r>
  <r>
    <x v="1"/>
    <x v="751"/>
    <x v="745"/>
    <x v="3"/>
    <x v="2"/>
    <n v="24.2593"/>
    <n v="22"/>
    <n v="533.70460000000003"/>
  </r>
  <r>
    <x v="1"/>
    <x v="752"/>
    <x v="746"/>
    <x v="44"/>
    <x v="2"/>
    <n v="31.45"/>
    <n v="1"/>
    <n v="31.45"/>
  </r>
  <r>
    <x v="1"/>
    <x v="753"/>
    <x v="747"/>
    <x v="38"/>
    <x v="2"/>
    <n v="39.168999999999997"/>
    <n v="3"/>
    <n v="117.50699999999999"/>
  </r>
  <r>
    <x v="1"/>
    <x v="754"/>
    <x v="748"/>
    <x v="35"/>
    <x v="2"/>
    <n v="71.180000000000007"/>
    <n v="2"/>
    <n v="142.36000000000001"/>
  </r>
  <r>
    <x v="1"/>
    <x v="755"/>
    <x v="749"/>
    <x v="35"/>
    <x v="2"/>
    <n v="55.424700000000001"/>
    <n v="8"/>
    <n v="443.39760000000001"/>
  </r>
  <r>
    <x v="2"/>
    <x v="755"/>
    <x v="749"/>
    <x v="35"/>
    <x v="2"/>
    <n v="55.424700000000001"/>
    <n v="8"/>
    <n v="443.39760000000001"/>
  </r>
  <r>
    <x v="1"/>
    <x v="756"/>
    <x v="750"/>
    <x v="50"/>
    <x v="2"/>
    <n v="31.32"/>
    <n v="4"/>
    <n v="125.28"/>
  </r>
  <r>
    <x v="1"/>
    <x v="757"/>
    <x v="751"/>
    <x v="3"/>
    <x v="2"/>
    <n v="21.36"/>
    <n v="2"/>
    <n v="42.72"/>
  </r>
  <r>
    <x v="1"/>
    <x v="758"/>
    <x v="752"/>
    <x v="3"/>
    <x v="2"/>
    <n v="23.087"/>
    <n v="2"/>
    <n v="46.173999999999999"/>
  </r>
  <r>
    <x v="1"/>
    <x v="759"/>
    <x v="753"/>
    <x v="3"/>
    <x v="2"/>
    <n v="22.64"/>
    <n v="7"/>
    <n v="158.48000000000002"/>
  </r>
  <r>
    <x v="1"/>
    <x v="760"/>
    <x v="754"/>
    <x v="3"/>
    <x v="2"/>
    <n v="30.537600000000001"/>
    <n v="28"/>
    <n v="855.05280000000005"/>
  </r>
  <r>
    <x v="1"/>
    <x v="761"/>
    <x v="755"/>
    <x v="3"/>
    <x v="2"/>
    <n v="39.603000000000002"/>
    <n v="1"/>
    <n v="39.603000000000002"/>
  </r>
  <r>
    <x v="1"/>
    <x v="762"/>
    <x v="756"/>
    <x v="3"/>
    <x v="2"/>
    <n v="35.170999999999999"/>
    <n v="13"/>
    <n v="457.22300000000001"/>
  </r>
  <r>
    <x v="1"/>
    <x v="763"/>
    <x v="757"/>
    <x v="3"/>
    <x v="2"/>
    <n v="31.209700000000002"/>
    <n v="36"/>
    <n v="1123.5492000000002"/>
  </r>
  <r>
    <x v="2"/>
    <x v="763"/>
    <x v="757"/>
    <x v="3"/>
    <x v="2"/>
    <n v="31.209700000000002"/>
    <n v="36"/>
    <n v="1123.5492000000002"/>
  </r>
  <r>
    <x v="1"/>
    <x v="764"/>
    <x v="758"/>
    <x v="3"/>
    <x v="2"/>
    <n v="34.409999999999997"/>
    <n v="4"/>
    <n v="137.63999999999999"/>
  </r>
  <r>
    <x v="1"/>
    <x v="765"/>
    <x v="759"/>
    <x v="44"/>
    <x v="2"/>
    <n v="26.795000000000002"/>
    <n v="2"/>
    <n v="53.59"/>
  </r>
  <r>
    <x v="1"/>
    <x v="766"/>
    <x v="760"/>
    <x v="35"/>
    <x v="2"/>
    <n v="27.78"/>
    <n v="1"/>
    <n v="27.78"/>
  </r>
  <r>
    <x v="1"/>
    <x v="767"/>
    <x v="761"/>
    <x v="35"/>
    <x v="2"/>
    <n v="34.744700000000002"/>
    <n v="4"/>
    <n v="138.97880000000001"/>
  </r>
  <r>
    <x v="2"/>
    <x v="767"/>
    <x v="761"/>
    <x v="35"/>
    <x v="2"/>
    <n v="34.744700000000002"/>
    <n v="4"/>
    <n v="138.97880000000001"/>
  </r>
  <r>
    <x v="2"/>
    <x v="768"/>
    <x v="762"/>
    <x v="37"/>
    <x v="2"/>
    <n v="28.204499999999999"/>
    <n v="7"/>
    <n v="197.4315"/>
  </r>
  <r>
    <x v="1"/>
    <x v="768"/>
    <x v="762"/>
    <x v="37"/>
    <x v="2"/>
    <n v="28.204499999999999"/>
    <n v="7"/>
    <n v="197.4315"/>
  </r>
  <r>
    <x v="1"/>
    <x v="769"/>
    <x v="763"/>
    <x v="44"/>
    <x v="2"/>
    <n v="35.31"/>
    <n v="1"/>
    <n v="35.31"/>
  </r>
  <r>
    <x v="1"/>
    <x v="770"/>
    <x v="764"/>
    <x v="3"/>
    <x v="2"/>
    <n v="32.725000000000001"/>
    <n v="1"/>
    <n v="32.725000000000001"/>
  </r>
  <r>
    <x v="1"/>
    <x v="771"/>
    <x v="765"/>
    <x v="3"/>
    <x v="2"/>
    <n v="0"/>
    <n v="1"/>
    <n v="0"/>
  </r>
  <r>
    <x v="1"/>
    <x v="772"/>
    <x v="766"/>
    <x v="35"/>
    <x v="2"/>
    <n v="2.46"/>
    <n v="1"/>
    <n v="2.46"/>
  </r>
  <r>
    <x v="1"/>
    <x v="773"/>
    <x v="767"/>
    <x v="3"/>
    <x v="2"/>
    <n v="10.574999999999999"/>
    <n v="3"/>
    <n v="31.724999999999998"/>
  </r>
  <r>
    <x v="1"/>
    <x v="774"/>
    <x v="768"/>
    <x v="3"/>
    <x v="2"/>
    <n v="11.17"/>
    <n v="2"/>
    <n v="22.34"/>
  </r>
  <r>
    <x v="1"/>
    <x v="775"/>
    <x v="769"/>
    <x v="3"/>
    <x v="2"/>
    <n v="20.46"/>
    <n v="1"/>
    <n v="20.46"/>
  </r>
  <r>
    <x v="1"/>
    <x v="776"/>
    <x v="770"/>
    <x v="3"/>
    <x v="2"/>
    <n v="18.05"/>
    <n v="5"/>
    <n v="90.25"/>
  </r>
  <r>
    <x v="1"/>
    <x v="777"/>
    <x v="771"/>
    <x v="3"/>
    <x v="2"/>
    <n v="24.349"/>
    <n v="5"/>
    <n v="121.745"/>
  </r>
  <r>
    <x v="1"/>
    <x v="778"/>
    <x v="772"/>
    <x v="3"/>
    <x v="2"/>
    <n v="0"/>
    <n v="4"/>
    <n v="0"/>
  </r>
  <r>
    <x v="1"/>
    <x v="779"/>
    <x v="773"/>
    <x v="35"/>
    <x v="2"/>
    <n v="16.420000000000002"/>
    <n v="4"/>
    <n v="65.680000000000007"/>
  </r>
  <r>
    <x v="1"/>
    <x v="780"/>
    <x v="774"/>
    <x v="35"/>
    <x v="2"/>
    <n v="25.42"/>
    <n v="1"/>
    <n v="25.42"/>
  </r>
  <r>
    <x v="1"/>
    <x v="781"/>
    <x v="775"/>
    <x v="35"/>
    <x v="2"/>
    <n v="23.472999999999999"/>
    <n v="1"/>
    <n v="23.472999999999999"/>
  </r>
  <r>
    <x v="1"/>
    <x v="782"/>
    <x v="776"/>
    <x v="3"/>
    <x v="2"/>
    <n v="1.3029999999999999"/>
    <n v="8"/>
    <n v="10.423999999999999"/>
  </r>
  <r>
    <x v="1"/>
    <x v="783"/>
    <x v="777"/>
    <x v="35"/>
    <x v="2"/>
    <n v="3.0467"/>
    <n v="3"/>
    <n v="9.1401000000000003"/>
  </r>
  <r>
    <x v="1"/>
    <x v="784"/>
    <x v="778"/>
    <x v="3"/>
    <x v="2"/>
    <n v="2.3450000000000002"/>
    <n v="9"/>
    <n v="21.105"/>
  </r>
  <r>
    <x v="1"/>
    <x v="785"/>
    <x v="779"/>
    <x v="3"/>
    <x v="2"/>
    <n v="15.734"/>
    <n v="5"/>
    <n v="78.67"/>
  </r>
  <r>
    <x v="1"/>
    <x v="786"/>
    <x v="780"/>
    <x v="3"/>
    <x v="2"/>
    <n v="14.36"/>
    <n v="2"/>
    <n v="28.72"/>
  </r>
  <r>
    <x v="1"/>
    <x v="787"/>
    <x v="781"/>
    <x v="3"/>
    <x v="2"/>
    <n v="2.36"/>
    <n v="4"/>
    <n v="9.44"/>
  </r>
  <r>
    <x v="1"/>
    <x v="788"/>
    <x v="782"/>
    <x v="3"/>
    <x v="2"/>
    <n v="3.8580000000000001"/>
    <n v="2"/>
    <n v="7.7160000000000002"/>
  </r>
  <r>
    <x v="1"/>
    <x v="789"/>
    <x v="783"/>
    <x v="3"/>
    <x v="2"/>
    <n v="19.163900000000002"/>
    <n v="7"/>
    <n v="134.1473"/>
  </r>
  <r>
    <x v="2"/>
    <x v="789"/>
    <x v="783"/>
    <x v="3"/>
    <x v="2"/>
    <n v="19.163900000000002"/>
    <n v="7"/>
    <n v="134.1473"/>
  </r>
  <r>
    <x v="2"/>
    <x v="790"/>
    <x v="784"/>
    <x v="3"/>
    <x v="2"/>
    <n v="17.081299999999999"/>
    <n v="20"/>
    <n v="341.62599999999998"/>
  </r>
  <r>
    <x v="1"/>
    <x v="790"/>
    <x v="784"/>
    <x v="3"/>
    <x v="2"/>
    <n v="17.081299999999999"/>
    <n v="20"/>
    <n v="341.62599999999998"/>
  </r>
  <r>
    <x v="1"/>
    <x v="791"/>
    <x v="785"/>
    <x v="3"/>
    <x v="2"/>
    <n v="22.0945"/>
    <n v="10"/>
    <n v="220.94499999999999"/>
  </r>
  <r>
    <x v="1"/>
    <x v="792"/>
    <x v="786"/>
    <x v="3"/>
    <x v="2"/>
    <n v="16.604900000000001"/>
    <n v="14"/>
    <n v="232.46860000000001"/>
  </r>
  <r>
    <x v="1"/>
    <x v="793"/>
    <x v="787"/>
    <x v="35"/>
    <x v="2"/>
    <n v="0"/>
    <n v="1"/>
    <n v="0"/>
  </r>
  <r>
    <x v="1"/>
    <x v="794"/>
    <x v="788"/>
    <x v="3"/>
    <x v="2"/>
    <n v="15.154999999999999"/>
    <n v="2"/>
    <n v="30.31"/>
  </r>
  <r>
    <x v="1"/>
    <x v="795"/>
    <x v="789"/>
    <x v="3"/>
    <x v="2"/>
    <n v="8.8427000000000007"/>
    <n v="36"/>
    <n v="318.33720000000005"/>
  </r>
  <r>
    <x v="1"/>
    <x v="796"/>
    <x v="790"/>
    <x v="35"/>
    <x v="2"/>
    <n v="27.88"/>
    <n v="1"/>
    <n v="27.88"/>
  </r>
  <r>
    <x v="1"/>
    <x v="797"/>
    <x v="791"/>
    <x v="37"/>
    <x v="2"/>
    <n v="20.732800000000001"/>
    <n v="34"/>
    <n v="704.91520000000003"/>
  </r>
  <r>
    <x v="1"/>
    <x v="798"/>
    <x v="792"/>
    <x v="3"/>
    <x v="2"/>
    <n v="3.58"/>
    <n v="6"/>
    <n v="21.48"/>
  </r>
  <r>
    <x v="1"/>
    <x v="799"/>
    <x v="793"/>
    <x v="37"/>
    <x v="2"/>
    <n v="3.5950000000000002"/>
    <n v="10"/>
    <n v="35.950000000000003"/>
  </r>
  <r>
    <x v="1"/>
    <x v="800"/>
    <x v="794"/>
    <x v="44"/>
    <x v="2"/>
    <n v="2.52"/>
    <n v="2"/>
    <n v="5.04"/>
  </r>
  <r>
    <x v="1"/>
    <x v="801"/>
    <x v="795"/>
    <x v="3"/>
    <x v="2"/>
    <n v="2.9487000000000001"/>
    <n v="16"/>
    <n v="47.179200000000002"/>
  </r>
  <r>
    <x v="2"/>
    <x v="801"/>
    <x v="795"/>
    <x v="3"/>
    <x v="2"/>
    <n v="2.9487000000000001"/>
    <n v="16"/>
    <n v="47.179200000000002"/>
  </r>
  <r>
    <x v="1"/>
    <x v="802"/>
    <x v="796"/>
    <x v="3"/>
    <x v="2"/>
    <n v="2.6516999999999999"/>
    <n v="18"/>
    <n v="47.730599999999995"/>
  </r>
  <r>
    <x v="1"/>
    <x v="803"/>
    <x v="797"/>
    <x v="37"/>
    <x v="2"/>
    <n v="0"/>
    <n v="6"/>
    <n v="0"/>
  </r>
  <r>
    <x v="1"/>
    <x v="804"/>
    <x v="798"/>
    <x v="3"/>
    <x v="2"/>
    <n v="15.7896"/>
    <n v="67"/>
    <n v="1057.9032"/>
  </r>
  <r>
    <x v="2"/>
    <x v="804"/>
    <x v="798"/>
    <x v="3"/>
    <x v="2"/>
    <n v="15.7896"/>
    <n v="67"/>
    <n v="1057.9032"/>
  </r>
  <r>
    <x v="2"/>
    <x v="805"/>
    <x v="799"/>
    <x v="3"/>
    <x v="2"/>
    <n v="18.299900000000001"/>
    <n v="111"/>
    <n v="2031.2889"/>
  </r>
  <r>
    <x v="1"/>
    <x v="805"/>
    <x v="799"/>
    <x v="3"/>
    <x v="2"/>
    <n v="18.299900000000001"/>
    <n v="111"/>
    <n v="2031.2889"/>
  </r>
  <r>
    <x v="1"/>
    <x v="806"/>
    <x v="800"/>
    <x v="35"/>
    <x v="2"/>
    <n v="14.839"/>
    <n v="3"/>
    <n v="44.517000000000003"/>
  </r>
  <r>
    <x v="1"/>
    <x v="807"/>
    <x v="801"/>
    <x v="3"/>
    <x v="2"/>
    <n v="16.806899999999999"/>
    <n v="49"/>
    <n v="823.53809999999999"/>
  </r>
  <r>
    <x v="2"/>
    <x v="807"/>
    <x v="801"/>
    <x v="3"/>
    <x v="2"/>
    <n v="16.806899999999999"/>
    <n v="49"/>
    <n v="823.53809999999999"/>
  </r>
  <r>
    <x v="1"/>
    <x v="808"/>
    <x v="802"/>
    <x v="35"/>
    <x v="2"/>
    <n v="17.742000000000001"/>
    <n v="5"/>
    <n v="88.710000000000008"/>
  </r>
  <r>
    <x v="1"/>
    <x v="809"/>
    <x v="803"/>
    <x v="35"/>
    <x v="2"/>
    <n v="23.122399999999999"/>
    <n v="9"/>
    <n v="208.10159999999999"/>
  </r>
  <r>
    <x v="1"/>
    <x v="810"/>
    <x v="804"/>
    <x v="35"/>
    <x v="2"/>
    <n v="22.33"/>
    <n v="1"/>
    <n v="22.33"/>
  </r>
  <r>
    <x v="1"/>
    <x v="811"/>
    <x v="805"/>
    <x v="35"/>
    <x v="2"/>
    <n v="19.18"/>
    <n v="2"/>
    <n v="38.36"/>
  </r>
  <r>
    <x v="1"/>
    <x v="812"/>
    <x v="806"/>
    <x v="36"/>
    <x v="2"/>
    <n v="8.57"/>
    <n v="6"/>
    <n v="51.42"/>
  </r>
  <r>
    <x v="2"/>
    <x v="813"/>
    <x v="807"/>
    <x v="3"/>
    <x v="2"/>
    <n v="20.160900000000002"/>
    <n v="77"/>
    <n v="1552.3893"/>
  </r>
  <r>
    <x v="1"/>
    <x v="813"/>
    <x v="807"/>
    <x v="3"/>
    <x v="2"/>
    <n v="20.160900000000002"/>
    <n v="77"/>
    <n v="1552.3893"/>
  </r>
  <r>
    <x v="1"/>
    <x v="814"/>
    <x v="808"/>
    <x v="3"/>
    <x v="2"/>
    <n v="9.3251000000000008"/>
    <n v="25"/>
    <n v="233.12750000000003"/>
  </r>
  <r>
    <x v="1"/>
    <x v="815"/>
    <x v="809"/>
    <x v="35"/>
    <x v="2"/>
    <n v="26.38"/>
    <n v="2"/>
    <n v="52.76"/>
  </r>
  <r>
    <x v="1"/>
    <x v="816"/>
    <x v="810"/>
    <x v="35"/>
    <x v="2"/>
    <n v="12.0326"/>
    <n v="26"/>
    <n v="312.8476"/>
  </r>
  <r>
    <x v="2"/>
    <x v="816"/>
    <x v="810"/>
    <x v="35"/>
    <x v="2"/>
    <n v="12.0326"/>
    <n v="26"/>
    <n v="312.8476"/>
  </r>
  <r>
    <x v="1"/>
    <x v="817"/>
    <x v="811"/>
    <x v="3"/>
    <x v="2"/>
    <n v="41.234000000000002"/>
    <n v="4"/>
    <n v="164.93600000000001"/>
  </r>
  <r>
    <x v="1"/>
    <x v="818"/>
    <x v="812"/>
    <x v="3"/>
    <x v="2"/>
    <n v="11.780200000000001"/>
    <n v="58"/>
    <n v="683.25160000000005"/>
  </r>
  <r>
    <x v="1"/>
    <x v="819"/>
    <x v="813"/>
    <x v="35"/>
    <x v="2"/>
    <n v="0"/>
    <n v="5"/>
    <n v="0"/>
  </r>
  <r>
    <x v="1"/>
    <x v="820"/>
    <x v="814"/>
    <x v="3"/>
    <x v="2"/>
    <n v="10.042999999999999"/>
    <n v="7"/>
    <n v="70.300999999999988"/>
  </r>
  <r>
    <x v="1"/>
    <x v="821"/>
    <x v="815"/>
    <x v="3"/>
    <x v="2"/>
    <n v="10.427300000000001"/>
    <n v="12"/>
    <n v="125.1276"/>
  </r>
  <r>
    <x v="2"/>
    <x v="821"/>
    <x v="815"/>
    <x v="3"/>
    <x v="2"/>
    <n v="10.427300000000001"/>
    <n v="12"/>
    <n v="125.1276"/>
  </r>
  <r>
    <x v="1"/>
    <x v="822"/>
    <x v="816"/>
    <x v="3"/>
    <x v="2"/>
    <n v="8.8160000000000007"/>
    <n v="9"/>
    <n v="79.344000000000008"/>
  </r>
  <r>
    <x v="1"/>
    <x v="823"/>
    <x v="817"/>
    <x v="35"/>
    <x v="2"/>
    <n v="14.253"/>
    <n v="3"/>
    <n v="42.759"/>
  </r>
  <r>
    <x v="1"/>
    <x v="824"/>
    <x v="818"/>
    <x v="37"/>
    <x v="2"/>
    <n v="3.4567000000000001"/>
    <n v="74"/>
    <n v="255.79580000000001"/>
  </r>
  <r>
    <x v="2"/>
    <x v="824"/>
    <x v="818"/>
    <x v="37"/>
    <x v="2"/>
    <n v="3.4567000000000001"/>
    <n v="74"/>
    <n v="255.79580000000001"/>
  </r>
  <r>
    <x v="1"/>
    <x v="825"/>
    <x v="819"/>
    <x v="3"/>
    <x v="2"/>
    <n v="2.4841000000000002"/>
    <n v="16"/>
    <n v="39.745600000000003"/>
  </r>
  <r>
    <x v="1"/>
    <x v="826"/>
    <x v="820"/>
    <x v="44"/>
    <x v="2"/>
    <n v="2.21"/>
    <n v="5"/>
    <n v="11.05"/>
  </r>
  <r>
    <x v="1"/>
    <x v="827"/>
    <x v="821"/>
    <x v="35"/>
    <x v="2"/>
    <n v="3.3679999999999999"/>
    <n v="25"/>
    <n v="84.2"/>
  </r>
  <r>
    <x v="1"/>
    <x v="828"/>
    <x v="822"/>
    <x v="35"/>
    <x v="2"/>
    <n v="3.577"/>
    <n v="10"/>
    <n v="35.769999999999996"/>
  </r>
  <r>
    <x v="1"/>
    <x v="829"/>
    <x v="823"/>
    <x v="35"/>
    <x v="2"/>
    <n v="2.4500000000000002"/>
    <n v="8"/>
    <n v="19.600000000000001"/>
  </r>
  <r>
    <x v="1"/>
    <x v="830"/>
    <x v="824"/>
    <x v="50"/>
    <x v="2"/>
    <n v="1.6711"/>
    <n v="22"/>
    <n v="36.764200000000002"/>
  </r>
  <r>
    <x v="2"/>
    <x v="830"/>
    <x v="824"/>
    <x v="50"/>
    <x v="2"/>
    <n v="1.6711"/>
    <n v="22"/>
    <n v="36.764200000000002"/>
  </r>
  <r>
    <x v="2"/>
    <x v="831"/>
    <x v="825"/>
    <x v="3"/>
    <x v="2"/>
    <n v="2.8115000000000001"/>
    <n v="13"/>
    <n v="36.549500000000002"/>
  </r>
  <r>
    <x v="1"/>
    <x v="831"/>
    <x v="825"/>
    <x v="3"/>
    <x v="2"/>
    <n v="2.8115000000000001"/>
    <n v="13"/>
    <n v="36.549500000000002"/>
  </r>
  <r>
    <x v="1"/>
    <x v="832"/>
    <x v="826"/>
    <x v="3"/>
    <x v="2"/>
    <n v="3.0482999999999998"/>
    <n v="60"/>
    <n v="182.898"/>
  </r>
  <r>
    <x v="2"/>
    <x v="832"/>
    <x v="826"/>
    <x v="3"/>
    <x v="2"/>
    <n v="3.0482999999999998"/>
    <n v="60"/>
    <n v="182.898"/>
  </r>
  <r>
    <x v="1"/>
    <x v="833"/>
    <x v="827"/>
    <x v="3"/>
    <x v="2"/>
    <n v="1.9330000000000001"/>
    <n v="10"/>
    <n v="19.330000000000002"/>
  </r>
  <r>
    <x v="2"/>
    <x v="834"/>
    <x v="828"/>
    <x v="3"/>
    <x v="2"/>
    <n v="4.7122999999999999"/>
    <n v="178"/>
    <n v="838.7894"/>
  </r>
  <r>
    <x v="1"/>
    <x v="834"/>
    <x v="828"/>
    <x v="3"/>
    <x v="2"/>
    <n v="4.7122999999999999"/>
    <n v="178"/>
    <n v="838.7894"/>
  </r>
  <r>
    <x v="1"/>
    <x v="835"/>
    <x v="829"/>
    <x v="3"/>
    <x v="2"/>
    <n v="3.1772"/>
    <n v="51"/>
    <n v="162.03720000000001"/>
  </r>
  <r>
    <x v="2"/>
    <x v="835"/>
    <x v="829"/>
    <x v="3"/>
    <x v="2"/>
    <n v="3.1772"/>
    <n v="51"/>
    <n v="162.03720000000001"/>
  </r>
  <r>
    <x v="1"/>
    <x v="836"/>
    <x v="830"/>
    <x v="3"/>
    <x v="2"/>
    <n v="3.8353999999999999"/>
    <n v="64"/>
    <n v="245.46559999999999"/>
  </r>
  <r>
    <x v="2"/>
    <x v="836"/>
    <x v="830"/>
    <x v="3"/>
    <x v="2"/>
    <n v="3.8353999999999999"/>
    <n v="64"/>
    <n v="245.46559999999999"/>
  </r>
  <r>
    <x v="1"/>
    <x v="837"/>
    <x v="831"/>
    <x v="3"/>
    <x v="2"/>
    <n v="1.8177000000000001"/>
    <n v="73"/>
    <n v="132.69210000000001"/>
  </r>
  <r>
    <x v="2"/>
    <x v="837"/>
    <x v="831"/>
    <x v="3"/>
    <x v="2"/>
    <n v="1.8177000000000001"/>
    <n v="73"/>
    <n v="132.69210000000001"/>
  </r>
  <r>
    <x v="1"/>
    <x v="838"/>
    <x v="832"/>
    <x v="35"/>
    <x v="2"/>
    <n v="3.8058000000000001"/>
    <n v="36"/>
    <n v="137.00880000000001"/>
  </r>
  <r>
    <x v="2"/>
    <x v="838"/>
    <x v="832"/>
    <x v="35"/>
    <x v="2"/>
    <n v="3.8058000000000001"/>
    <n v="36"/>
    <n v="137.00880000000001"/>
  </r>
  <r>
    <x v="1"/>
    <x v="839"/>
    <x v="833"/>
    <x v="38"/>
    <x v="2"/>
    <n v="65.822999999999993"/>
    <n v="2"/>
    <n v="131.64599999999999"/>
  </r>
  <r>
    <x v="1"/>
    <x v="840"/>
    <x v="834"/>
    <x v="3"/>
    <x v="2"/>
    <n v="34.627099999999999"/>
    <n v="8"/>
    <n v="277.01679999999999"/>
  </r>
  <r>
    <x v="1"/>
    <x v="841"/>
    <x v="835"/>
    <x v="39"/>
    <x v="2"/>
    <n v="0.1"/>
    <n v="2"/>
    <n v="0.2"/>
  </r>
  <r>
    <x v="1"/>
    <x v="842"/>
    <x v="836"/>
    <x v="3"/>
    <x v="2"/>
    <n v="37.878"/>
    <n v="5"/>
    <n v="189.39"/>
  </r>
  <r>
    <x v="1"/>
    <x v="843"/>
    <x v="837"/>
    <x v="3"/>
    <x v="2"/>
    <n v="40.931199999999997"/>
    <n v="2"/>
    <n v="81.862399999999994"/>
  </r>
  <r>
    <x v="1"/>
    <x v="844"/>
    <x v="838"/>
    <x v="35"/>
    <x v="2"/>
    <n v="65.52"/>
    <n v="2"/>
    <n v="131.04"/>
  </r>
  <r>
    <x v="1"/>
    <x v="845"/>
    <x v="839"/>
    <x v="35"/>
    <x v="2"/>
    <n v="30.379799999999999"/>
    <n v="13"/>
    <n v="394.93739999999997"/>
  </r>
  <r>
    <x v="1"/>
    <x v="846"/>
    <x v="840"/>
    <x v="35"/>
    <x v="2"/>
    <n v="45.08"/>
    <n v="1"/>
    <n v="45.08"/>
  </r>
  <r>
    <x v="1"/>
    <x v="847"/>
    <x v="841"/>
    <x v="50"/>
    <x v="2"/>
    <n v="41.63"/>
    <n v="2"/>
    <n v="83.26"/>
  </r>
  <r>
    <x v="1"/>
    <x v="848"/>
    <x v="842"/>
    <x v="3"/>
    <x v="2"/>
    <n v="28.8371"/>
    <n v="2"/>
    <n v="57.674199999999999"/>
  </r>
  <r>
    <x v="2"/>
    <x v="848"/>
    <x v="842"/>
    <x v="3"/>
    <x v="2"/>
    <n v="28.8371"/>
    <n v="2"/>
    <n v="57.674199999999999"/>
  </r>
  <r>
    <x v="1"/>
    <x v="849"/>
    <x v="843"/>
    <x v="3"/>
    <x v="2"/>
    <n v="21.777999999999999"/>
    <n v="8"/>
    <n v="174.22399999999999"/>
  </r>
  <r>
    <x v="2"/>
    <x v="850"/>
    <x v="844"/>
    <x v="3"/>
    <x v="2"/>
    <n v="35.266100000000002"/>
    <n v="8"/>
    <n v="282.12880000000001"/>
  </r>
  <r>
    <x v="1"/>
    <x v="850"/>
    <x v="844"/>
    <x v="3"/>
    <x v="2"/>
    <n v="35.266100000000002"/>
    <n v="8"/>
    <n v="282.12880000000001"/>
  </r>
  <r>
    <x v="1"/>
    <x v="851"/>
    <x v="845"/>
    <x v="3"/>
    <x v="2"/>
    <n v="42.89"/>
    <n v="2"/>
    <n v="85.78"/>
  </r>
  <r>
    <x v="1"/>
    <x v="852"/>
    <x v="846"/>
    <x v="3"/>
    <x v="2"/>
    <n v="26.114899999999999"/>
    <n v="6"/>
    <n v="156.68939999999998"/>
  </r>
  <r>
    <x v="1"/>
    <x v="853"/>
    <x v="847"/>
    <x v="35"/>
    <x v="2"/>
    <n v="54.784999999999997"/>
    <n v="1"/>
    <n v="54.784999999999997"/>
  </r>
  <r>
    <x v="1"/>
    <x v="854"/>
    <x v="848"/>
    <x v="35"/>
    <x v="2"/>
    <n v="78.111999999999995"/>
    <n v="1"/>
    <n v="78.111999999999995"/>
  </r>
  <r>
    <x v="1"/>
    <x v="855"/>
    <x v="847"/>
    <x v="35"/>
    <x v="2"/>
    <n v="88.003299999999996"/>
    <n v="2"/>
    <n v="176.00659999999999"/>
  </r>
  <r>
    <x v="1"/>
    <x v="856"/>
    <x v="849"/>
    <x v="3"/>
    <x v="2"/>
    <n v="57.16"/>
    <n v="4"/>
    <n v="228.64"/>
  </r>
  <r>
    <x v="1"/>
    <x v="857"/>
    <x v="850"/>
    <x v="35"/>
    <x v="2"/>
    <n v="42.213299999999997"/>
    <n v="2"/>
    <n v="84.426599999999993"/>
  </r>
  <r>
    <x v="1"/>
    <x v="858"/>
    <x v="851"/>
    <x v="3"/>
    <x v="2"/>
    <n v="14.273"/>
    <n v="19"/>
    <n v="271.18700000000001"/>
  </r>
  <r>
    <x v="1"/>
    <x v="859"/>
    <x v="852"/>
    <x v="3"/>
    <x v="2"/>
    <n v="6.8"/>
    <n v="2"/>
    <n v="13.6"/>
  </r>
  <r>
    <x v="1"/>
    <x v="860"/>
    <x v="853"/>
    <x v="35"/>
    <x v="2"/>
    <n v="9.7899999999999991"/>
    <n v="1"/>
    <n v="9.7899999999999991"/>
  </r>
  <r>
    <x v="1"/>
    <x v="861"/>
    <x v="854"/>
    <x v="3"/>
    <x v="2"/>
    <n v="10.28"/>
    <n v="1"/>
    <n v="10.28"/>
  </r>
  <r>
    <x v="1"/>
    <x v="862"/>
    <x v="855"/>
    <x v="3"/>
    <x v="2"/>
    <n v="6.98"/>
    <n v="1"/>
    <n v="6.98"/>
  </r>
  <r>
    <x v="1"/>
    <x v="863"/>
    <x v="856"/>
    <x v="3"/>
    <x v="2"/>
    <n v="0"/>
    <n v="1"/>
    <n v="0"/>
  </r>
  <r>
    <x v="1"/>
    <x v="864"/>
    <x v="857"/>
    <x v="3"/>
    <x v="2"/>
    <n v="14.105"/>
    <n v="1"/>
    <n v="14.105"/>
  </r>
  <r>
    <x v="1"/>
    <x v="865"/>
    <x v="858"/>
    <x v="3"/>
    <x v="2"/>
    <n v="4.2549999999999999"/>
    <n v="2"/>
    <n v="8.51"/>
  </r>
  <r>
    <x v="1"/>
    <x v="866"/>
    <x v="859"/>
    <x v="3"/>
    <x v="2"/>
    <n v="4.5747"/>
    <n v="7"/>
    <n v="32.0229"/>
  </r>
  <r>
    <x v="2"/>
    <x v="866"/>
    <x v="859"/>
    <x v="3"/>
    <x v="2"/>
    <n v="4.5747"/>
    <n v="7"/>
    <n v="32.0229"/>
  </r>
  <r>
    <x v="1"/>
    <x v="867"/>
    <x v="860"/>
    <x v="3"/>
    <x v="2"/>
    <n v="4.8019999999999996"/>
    <n v="14"/>
    <n v="67.227999999999994"/>
  </r>
  <r>
    <x v="1"/>
    <x v="868"/>
    <x v="861"/>
    <x v="3"/>
    <x v="2"/>
    <n v="15.22"/>
    <n v="2"/>
    <n v="30.44"/>
  </r>
  <r>
    <x v="1"/>
    <x v="869"/>
    <x v="862"/>
    <x v="3"/>
    <x v="2"/>
    <n v="4.1898999999999997"/>
    <n v="7"/>
    <n v="29.329299999999996"/>
  </r>
  <r>
    <x v="1"/>
    <x v="870"/>
    <x v="863"/>
    <x v="3"/>
    <x v="2"/>
    <n v="2.306"/>
    <n v="23"/>
    <n v="53.038000000000004"/>
  </r>
  <r>
    <x v="1"/>
    <x v="871"/>
    <x v="864"/>
    <x v="37"/>
    <x v="2"/>
    <n v="2.61"/>
    <n v="8"/>
    <n v="20.88"/>
  </r>
  <r>
    <x v="1"/>
    <x v="872"/>
    <x v="865"/>
    <x v="3"/>
    <x v="2"/>
    <n v="4.2880000000000003"/>
    <n v="4"/>
    <n v="17.152000000000001"/>
  </r>
  <r>
    <x v="1"/>
    <x v="873"/>
    <x v="866"/>
    <x v="3"/>
    <x v="2"/>
    <n v="4.2803000000000004"/>
    <n v="34"/>
    <n v="145.53020000000001"/>
  </r>
  <r>
    <x v="1"/>
    <x v="874"/>
    <x v="867"/>
    <x v="3"/>
    <x v="2"/>
    <n v="5.4518000000000004"/>
    <n v="18"/>
    <n v="98.132400000000004"/>
  </r>
  <r>
    <x v="2"/>
    <x v="874"/>
    <x v="867"/>
    <x v="3"/>
    <x v="2"/>
    <n v="5.4518000000000004"/>
    <n v="18"/>
    <n v="98.132400000000004"/>
  </r>
  <r>
    <x v="1"/>
    <x v="875"/>
    <x v="868"/>
    <x v="35"/>
    <x v="2"/>
    <n v="3.32"/>
    <n v="2"/>
    <n v="6.64"/>
  </r>
  <r>
    <x v="1"/>
    <x v="876"/>
    <x v="869"/>
    <x v="3"/>
    <x v="2"/>
    <n v="1.093"/>
    <n v="10"/>
    <n v="10.93"/>
  </r>
  <r>
    <x v="1"/>
    <x v="877"/>
    <x v="870"/>
    <x v="35"/>
    <x v="2"/>
    <n v="6.6391999999999998"/>
    <n v="12"/>
    <n v="79.670400000000001"/>
  </r>
  <r>
    <x v="1"/>
    <x v="878"/>
    <x v="871"/>
    <x v="35"/>
    <x v="2"/>
    <n v="6.06"/>
    <n v="4"/>
    <n v="24.24"/>
  </r>
  <r>
    <x v="1"/>
    <x v="879"/>
    <x v="872"/>
    <x v="35"/>
    <x v="2"/>
    <n v="6.83"/>
    <n v="4"/>
    <n v="27.32"/>
  </r>
  <r>
    <x v="1"/>
    <x v="880"/>
    <x v="873"/>
    <x v="35"/>
    <x v="2"/>
    <n v="4.0330000000000004"/>
    <n v="3"/>
    <n v="12.099"/>
  </r>
  <r>
    <x v="1"/>
    <x v="881"/>
    <x v="874"/>
    <x v="3"/>
    <x v="2"/>
    <n v="4.9513999999999996"/>
    <n v="19"/>
    <n v="94.076599999999985"/>
  </r>
  <r>
    <x v="2"/>
    <x v="881"/>
    <x v="874"/>
    <x v="3"/>
    <x v="2"/>
    <n v="4.9513999999999996"/>
    <n v="19"/>
    <n v="94.076599999999985"/>
  </r>
  <r>
    <x v="1"/>
    <x v="882"/>
    <x v="875"/>
    <x v="35"/>
    <x v="2"/>
    <n v="2.4500000000000002"/>
    <n v="3"/>
    <n v="7.3500000000000005"/>
  </r>
  <r>
    <x v="1"/>
    <x v="883"/>
    <x v="876"/>
    <x v="37"/>
    <x v="2"/>
    <n v="5.1369999999999996"/>
    <n v="6"/>
    <n v="30.821999999999996"/>
  </r>
  <r>
    <x v="2"/>
    <x v="884"/>
    <x v="877"/>
    <x v="3"/>
    <x v="2"/>
    <n v="2.4777999999999998"/>
    <n v="9"/>
    <n v="22.300199999999997"/>
  </r>
  <r>
    <x v="1"/>
    <x v="884"/>
    <x v="877"/>
    <x v="3"/>
    <x v="2"/>
    <n v="2.4777999999999998"/>
    <n v="9"/>
    <n v="22.300199999999997"/>
  </r>
  <r>
    <x v="2"/>
    <x v="885"/>
    <x v="878"/>
    <x v="3"/>
    <x v="2"/>
    <n v="2.1463000000000001"/>
    <n v="9"/>
    <n v="19.316700000000001"/>
  </r>
  <r>
    <x v="1"/>
    <x v="885"/>
    <x v="878"/>
    <x v="3"/>
    <x v="2"/>
    <n v="2.1463000000000001"/>
    <n v="9"/>
    <n v="19.316700000000001"/>
  </r>
  <r>
    <x v="1"/>
    <x v="886"/>
    <x v="879"/>
    <x v="35"/>
    <x v="2"/>
    <n v="6.867"/>
    <n v="3"/>
    <n v="20.600999999999999"/>
  </r>
  <r>
    <x v="1"/>
    <x v="887"/>
    <x v="880"/>
    <x v="3"/>
    <x v="2"/>
    <n v="1.246"/>
    <n v="15"/>
    <n v="18.690000000000001"/>
  </r>
  <r>
    <x v="1"/>
    <x v="888"/>
    <x v="881"/>
    <x v="35"/>
    <x v="2"/>
    <n v="7.79"/>
    <n v="8"/>
    <n v="62.32"/>
  </r>
  <r>
    <x v="1"/>
    <x v="889"/>
    <x v="882"/>
    <x v="3"/>
    <x v="2"/>
    <n v="6.3719999999999999"/>
    <n v="26"/>
    <n v="165.672"/>
  </r>
  <r>
    <x v="1"/>
    <x v="890"/>
    <x v="883"/>
    <x v="3"/>
    <x v="2"/>
    <n v="5.3650000000000002"/>
    <n v="29"/>
    <n v="155.58500000000001"/>
  </r>
  <r>
    <x v="1"/>
    <x v="891"/>
    <x v="884"/>
    <x v="3"/>
    <x v="2"/>
    <n v="0.85899999999999999"/>
    <n v="5"/>
    <n v="4.2949999999999999"/>
  </r>
  <r>
    <x v="1"/>
    <x v="892"/>
    <x v="885"/>
    <x v="3"/>
    <x v="2"/>
    <n v="0.55000000000000004"/>
    <n v="10"/>
    <n v="5.5"/>
  </r>
  <r>
    <x v="1"/>
    <x v="893"/>
    <x v="886"/>
    <x v="37"/>
    <x v="2"/>
    <n v="0.55000000000000004"/>
    <n v="3"/>
    <n v="1.6500000000000001"/>
  </r>
  <r>
    <x v="1"/>
    <x v="894"/>
    <x v="887"/>
    <x v="3"/>
    <x v="2"/>
    <n v="0.54479999999999995"/>
    <n v="73"/>
    <n v="39.770399999999995"/>
  </r>
  <r>
    <x v="1"/>
    <x v="895"/>
    <x v="888"/>
    <x v="3"/>
    <x v="2"/>
    <n v="15.8125"/>
    <n v="66"/>
    <n v="1043.625"/>
  </r>
  <r>
    <x v="2"/>
    <x v="895"/>
    <x v="888"/>
    <x v="3"/>
    <x v="2"/>
    <n v="15.8125"/>
    <n v="66"/>
    <n v="1043.625"/>
  </r>
  <r>
    <x v="1"/>
    <x v="896"/>
    <x v="889"/>
    <x v="35"/>
    <x v="2"/>
    <n v="12.49"/>
    <n v="12"/>
    <n v="149.88"/>
  </r>
  <r>
    <x v="1"/>
    <x v="897"/>
    <x v="890"/>
    <x v="35"/>
    <x v="2"/>
    <n v="1.1177999999999999"/>
    <n v="20"/>
    <n v="22.355999999999998"/>
  </r>
  <r>
    <x v="2"/>
    <x v="897"/>
    <x v="890"/>
    <x v="35"/>
    <x v="2"/>
    <n v="1.1177999999999999"/>
    <n v="20"/>
    <n v="22.355999999999998"/>
  </r>
  <r>
    <x v="1"/>
    <x v="898"/>
    <x v="891"/>
    <x v="3"/>
    <x v="2"/>
    <n v="2.06"/>
    <n v="3"/>
    <n v="6.18"/>
  </r>
  <r>
    <x v="1"/>
    <x v="899"/>
    <x v="892"/>
    <x v="3"/>
    <x v="2"/>
    <n v="1.353"/>
    <n v="1"/>
    <n v="1.353"/>
  </r>
  <r>
    <x v="1"/>
    <x v="900"/>
    <x v="893"/>
    <x v="3"/>
    <x v="2"/>
    <n v="4.4943999999999997"/>
    <n v="16"/>
    <n v="71.910399999999996"/>
  </r>
  <r>
    <x v="1"/>
    <x v="901"/>
    <x v="894"/>
    <x v="37"/>
    <x v="2"/>
    <n v="1.81"/>
    <n v="5"/>
    <n v="9.0500000000000007"/>
  </r>
  <r>
    <x v="1"/>
    <x v="902"/>
    <x v="895"/>
    <x v="3"/>
    <x v="2"/>
    <n v="3.9188999999999998"/>
    <n v="12"/>
    <n v="47.026799999999994"/>
  </r>
  <r>
    <x v="1"/>
    <x v="903"/>
    <x v="896"/>
    <x v="36"/>
    <x v="2"/>
    <n v="1.5009999999999999"/>
    <n v="8"/>
    <n v="12.007999999999999"/>
  </r>
  <r>
    <x v="1"/>
    <x v="904"/>
    <x v="897"/>
    <x v="35"/>
    <x v="2"/>
    <n v="5.69"/>
    <n v="1"/>
    <n v="5.69"/>
  </r>
  <r>
    <x v="1"/>
    <x v="905"/>
    <x v="898"/>
    <x v="3"/>
    <x v="2"/>
    <n v="1.3220000000000001"/>
    <n v="38"/>
    <n v="50.236000000000004"/>
  </r>
  <r>
    <x v="1"/>
    <x v="906"/>
    <x v="899"/>
    <x v="3"/>
    <x v="2"/>
    <n v="1.83"/>
    <n v="21"/>
    <n v="38.43"/>
  </r>
  <r>
    <x v="2"/>
    <x v="906"/>
    <x v="899"/>
    <x v="3"/>
    <x v="2"/>
    <n v="1.83"/>
    <n v="21"/>
    <n v="38.43"/>
  </r>
  <r>
    <x v="2"/>
    <x v="907"/>
    <x v="900"/>
    <x v="3"/>
    <x v="2"/>
    <n v="1.0099"/>
    <n v="35"/>
    <n v="35.346499999999999"/>
  </r>
  <r>
    <x v="1"/>
    <x v="907"/>
    <x v="900"/>
    <x v="3"/>
    <x v="2"/>
    <n v="1.0099"/>
    <n v="35"/>
    <n v="35.346499999999999"/>
  </r>
  <r>
    <x v="1"/>
    <x v="908"/>
    <x v="901"/>
    <x v="35"/>
    <x v="2"/>
    <n v="23.64"/>
    <n v="1"/>
    <n v="23.64"/>
  </r>
  <r>
    <x v="1"/>
    <x v="909"/>
    <x v="902"/>
    <x v="35"/>
    <x v="2"/>
    <n v="1.84"/>
    <n v="4"/>
    <n v="7.36"/>
  </r>
  <r>
    <x v="1"/>
    <x v="910"/>
    <x v="903"/>
    <x v="35"/>
    <x v="2"/>
    <n v="5.13"/>
    <n v="1"/>
    <n v="5.13"/>
  </r>
  <r>
    <x v="1"/>
    <x v="911"/>
    <x v="904"/>
    <x v="3"/>
    <x v="2"/>
    <n v="3.7482000000000002"/>
    <n v="4"/>
    <n v="14.992800000000001"/>
  </r>
  <r>
    <x v="1"/>
    <x v="912"/>
    <x v="905"/>
    <x v="3"/>
    <x v="2"/>
    <n v="11.98"/>
    <n v="4"/>
    <n v="47.92"/>
  </r>
  <r>
    <x v="1"/>
    <x v="913"/>
    <x v="906"/>
    <x v="3"/>
    <x v="2"/>
    <n v="5.5034999999999998"/>
    <n v="12"/>
    <n v="66.042000000000002"/>
  </r>
  <r>
    <x v="2"/>
    <x v="913"/>
    <x v="906"/>
    <x v="3"/>
    <x v="2"/>
    <n v="5.5034999999999998"/>
    <n v="12"/>
    <n v="66.042000000000002"/>
  </r>
  <r>
    <x v="1"/>
    <x v="914"/>
    <x v="907"/>
    <x v="3"/>
    <x v="2"/>
    <n v="7.97"/>
    <n v="5"/>
    <n v="39.85"/>
  </r>
  <r>
    <x v="1"/>
    <x v="915"/>
    <x v="908"/>
    <x v="3"/>
    <x v="2"/>
    <n v="13"/>
    <n v="7"/>
    <n v="91"/>
  </r>
  <r>
    <x v="1"/>
    <x v="916"/>
    <x v="909"/>
    <x v="3"/>
    <x v="2"/>
    <n v="1.59"/>
    <n v="2"/>
    <n v="3.18"/>
  </r>
  <r>
    <x v="1"/>
    <x v="917"/>
    <x v="910"/>
    <x v="3"/>
    <x v="2"/>
    <n v="2.9761000000000002"/>
    <n v="25"/>
    <n v="74.402500000000003"/>
  </r>
  <r>
    <x v="2"/>
    <x v="917"/>
    <x v="910"/>
    <x v="3"/>
    <x v="2"/>
    <n v="2.9761000000000002"/>
    <n v="25"/>
    <n v="74.402500000000003"/>
  </r>
  <r>
    <x v="1"/>
    <x v="918"/>
    <x v="911"/>
    <x v="3"/>
    <x v="2"/>
    <n v="0.48"/>
    <n v="1"/>
    <n v="0.48"/>
  </r>
  <r>
    <x v="1"/>
    <x v="919"/>
    <x v="912"/>
    <x v="3"/>
    <x v="2"/>
    <n v="2.6360999999999999"/>
    <n v="24"/>
    <n v="63.266399999999997"/>
  </r>
  <r>
    <x v="2"/>
    <x v="919"/>
    <x v="912"/>
    <x v="3"/>
    <x v="2"/>
    <n v="2.6360999999999999"/>
    <n v="24"/>
    <n v="63.266399999999997"/>
  </r>
  <r>
    <x v="1"/>
    <x v="920"/>
    <x v="913"/>
    <x v="35"/>
    <x v="2"/>
    <n v="5.1127000000000002"/>
    <n v="78"/>
    <n v="398.79060000000004"/>
  </r>
  <r>
    <x v="2"/>
    <x v="920"/>
    <x v="913"/>
    <x v="35"/>
    <x v="2"/>
    <n v="5.1127000000000002"/>
    <n v="78"/>
    <n v="398.79060000000004"/>
  </r>
  <r>
    <x v="1"/>
    <x v="921"/>
    <x v="914"/>
    <x v="3"/>
    <x v="2"/>
    <n v="1.2990999999999999"/>
    <n v="46"/>
    <n v="59.758599999999994"/>
  </r>
  <r>
    <x v="1"/>
    <x v="922"/>
    <x v="915"/>
    <x v="3"/>
    <x v="2"/>
    <n v="7.3819999999999997"/>
    <n v="5"/>
    <n v="36.909999999999997"/>
  </r>
  <r>
    <x v="2"/>
    <x v="923"/>
    <x v="916"/>
    <x v="3"/>
    <x v="2"/>
    <n v="1.1026"/>
    <n v="26"/>
    <n v="28.6676"/>
  </r>
  <r>
    <x v="1"/>
    <x v="923"/>
    <x v="916"/>
    <x v="3"/>
    <x v="2"/>
    <n v="1.1026"/>
    <n v="26"/>
    <n v="28.6676"/>
  </r>
  <r>
    <x v="1"/>
    <x v="924"/>
    <x v="917"/>
    <x v="3"/>
    <x v="2"/>
    <n v="0.61109999999999998"/>
    <n v="17"/>
    <n v="10.3887"/>
  </r>
  <r>
    <x v="1"/>
    <x v="925"/>
    <x v="918"/>
    <x v="37"/>
    <x v="2"/>
    <n v="10.568"/>
    <n v="5"/>
    <n v="52.839999999999996"/>
  </r>
  <r>
    <x v="1"/>
    <x v="926"/>
    <x v="919"/>
    <x v="3"/>
    <x v="2"/>
    <n v="22.26"/>
    <n v="1"/>
    <n v="22.26"/>
  </r>
  <r>
    <x v="1"/>
    <x v="927"/>
    <x v="920"/>
    <x v="3"/>
    <x v="2"/>
    <n v="12.12"/>
    <n v="2"/>
    <n v="24.24"/>
  </r>
  <r>
    <x v="1"/>
    <x v="928"/>
    <x v="921"/>
    <x v="3"/>
    <x v="2"/>
    <n v="11.856"/>
    <n v="3"/>
    <n v="35.567999999999998"/>
  </r>
  <r>
    <x v="1"/>
    <x v="929"/>
    <x v="922"/>
    <x v="3"/>
    <x v="2"/>
    <n v="8.33"/>
    <n v="2"/>
    <n v="16.66"/>
  </r>
  <r>
    <x v="1"/>
    <x v="930"/>
    <x v="923"/>
    <x v="35"/>
    <x v="2"/>
    <n v="29.7"/>
    <n v="1"/>
    <n v="29.7"/>
  </r>
  <r>
    <x v="1"/>
    <x v="931"/>
    <x v="924"/>
    <x v="3"/>
    <x v="2"/>
    <n v="38.478999999999999"/>
    <n v="8"/>
    <n v="307.83199999999999"/>
  </r>
  <r>
    <x v="1"/>
    <x v="932"/>
    <x v="925"/>
    <x v="35"/>
    <x v="2"/>
    <n v="28.998000000000001"/>
    <n v="5"/>
    <n v="144.99"/>
  </r>
  <r>
    <x v="1"/>
    <x v="933"/>
    <x v="926"/>
    <x v="3"/>
    <x v="2"/>
    <n v="29.034300000000002"/>
    <n v="12"/>
    <n v="348.41160000000002"/>
  </r>
  <r>
    <x v="2"/>
    <x v="933"/>
    <x v="926"/>
    <x v="3"/>
    <x v="2"/>
    <n v="29.034300000000002"/>
    <n v="12"/>
    <n v="348.41160000000002"/>
  </r>
  <r>
    <x v="1"/>
    <x v="934"/>
    <x v="927"/>
    <x v="44"/>
    <x v="2"/>
    <n v="13.52"/>
    <n v="2"/>
    <n v="27.04"/>
  </r>
  <r>
    <x v="1"/>
    <x v="935"/>
    <x v="928"/>
    <x v="35"/>
    <x v="2"/>
    <n v="28.893999999999998"/>
    <n v="5"/>
    <n v="144.47"/>
  </r>
  <r>
    <x v="1"/>
    <x v="936"/>
    <x v="929"/>
    <x v="35"/>
    <x v="2"/>
    <n v="33.950000000000003"/>
    <n v="3"/>
    <n v="101.85000000000001"/>
  </r>
  <r>
    <x v="1"/>
    <x v="937"/>
    <x v="930"/>
    <x v="50"/>
    <x v="2"/>
    <n v="24.36"/>
    <n v="1"/>
    <n v="24.36"/>
  </r>
  <r>
    <x v="1"/>
    <x v="938"/>
    <x v="931"/>
    <x v="37"/>
    <x v="2"/>
    <n v="16.963000000000001"/>
    <n v="6"/>
    <n v="101.77800000000001"/>
  </r>
  <r>
    <x v="1"/>
    <x v="939"/>
    <x v="932"/>
    <x v="3"/>
    <x v="2"/>
    <n v="23.822099999999999"/>
    <n v="22"/>
    <n v="524.08619999999996"/>
  </r>
  <r>
    <x v="2"/>
    <x v="939"/>
    <x v="932"/>
    <x v="3"/>
    <x v="2"/>
    <n v="23.822099999999999"/>
    <n v="22"/>
    <n v="524.08619999999996"/>
  </r>
  <r>
    <x v="1"/>
    <x v="940"/>
    <x v="933"/>
    <x v="3"/>
    <x v="2"/>
    <n v="18.856999999999999"/>
    <n v="1"/>
    <n v="18.856999999999999"/>
  </r>
  <r>
    <x v="1"/>
    <x v="941"/>
    <x v="934"/>
    <x v="3"/>
    <x v="2"/>
    <n v="19.170100000000001"/>
    <n v="11"/>
    <n v="210.87110000000001"/>
  </r>
  <r>
    <x v="1"/>
    <x v="942"/>
    <x v="935"/>
    <x v="3"/>
    <x v="2"/>
    <n v="17.72"/>
    <n v="1"/>
    <n v="17.72"/>
  </r>
  <r>
    <x v="1"/>
    <x v="943"/>
    <x v="936"/>
    <x v="3"/>
    <x v="2"/>
    <n v="0.377"/>
    <n v="9"/>
    <n v="3.3929999999999998"/>
  </r>
  <r>
    <x v="2"/>
    <x v="944"/>
    <x v="937"/>
    <x v="3"/>
    <x v="2"/>
    <n v="0.3211"/>
    <n v="40"/>
    <n v="12.843999999999999"/>
  </r>
  <r>
    <x v="1"/>
    <x v="944"/>
    <x v="937"/>
    <x v="3"/>
    <x v="2"/>
    <n v="0.3211"/>
    <n v="40"/>
    <n v="12.843999999999999"/>
  </r>
  <r>
    <x v="1"/>
    <x v="945"/>
    <x v="938"/>
    <x v="3"/>
    <x v="2"/>
    <n v="2.06"/>
    <n v="10"/>
    <n v="20.6"/>
  </r>
  <r>
    <x v="2"/>
    <x v="946"/>
    <x v="939"/>
    <x v="3"/>
    <x v="2"/>
    <n v="2.2347000000000001"/>
    <n v="22"/>
    <n v="49.163400000000003"/>
  </r>
  <r>
    <x v="1"/>
    <x v="946"/>
    <x v="939"/>
    <x v="3"/>
    <x v="2"/>
    <n v="2.2347000000000001"/>
    <n v="22"/>
    <n v="49.163400000000003"/>
  </r>
  <r>
    <x v="2"/>
    <x v="947"/>
    <x v="940"/>
    <x v="35"/>
    <x v="2"/>
    <n v="4.3569000000000004"/>
    <n v="5"/>
    <n v="21.784500000000001"/>
  </r>
  <r>
    <x v="1"/>
    <x v="947"/>
    <x v="940"/>
    <x v="35"/>
    <x v="2"/>
    <n v="4.3569000000000004"/>
    <n v="5"/>
    <n v="21.784500000000001"/>
  </r>
  <r>
    <x v="1"/>
    <x v="948"/>
    <x v="941"/>
    <x v="3"/>
    <x v="2"/>
    <n v="0.44"/>
    <n v="10"/>
    <n v="4.4000000000000004"/>
  </r>
  <r>
    <x v="1"/>
    <x v="949"/>
    <x v="942"/>
    <x v="3"/>
    <x v="2"/>
    <n v="1.8132999999999999"/>
    <n v="9"/>
    <n v="16.319699999999997"/>
  </r>
  <r>
    <x v="1"/>
    <x v="950"/>
    <x v="943"/>
    <x v="3"/>
    <x v="2"/>
    <n v="0.68500000000000005"/>
    <n v="4"/>
    <n v="2.74"/>
  </r>
  <r>
    <x v="1"/>
    <x v="951"/>
    <x v="944"/>
    <x v="3"/>
    <x v="2"/>
    <n v="2.75"/>
    <n v="5"/>
    <n v="13.75"/>
  </r>
  <r>
    <x v="1"/>
    <x v="952"/>
    <x v="945"/>
    <x v="3"/>
    <x v="2"/>
    <n v="8.0934000000000008"/>
    <n v="8"/>
    <n v="64.747200000000007"/>
  </r>
  <r>
    <x v="2"/>
    <x v="952"/>
    <x v="945"/>
    <x v="3"/>
    <x v="2"/>
    <n v="8.0934000000000008"/>
    <n v="8"/>
    <n v="64.747200000000007"/>
  </r>
  <r>
    <x v="1"/>
    <x v="953"/>
    <x v="946"/>
    <x v="3"/>
    <x v="2"/>
    <n v="3.7286000000000001"/>
    <n v="46"/>
    <n v="171.51560000000001"/>
  </r>
  <r>
    <x v="1"/>
    <x v="954"/>
    <x v="947"/>
    <x v="3"/>
    <x v="2"/>
    <n v="2.9830999999999999"/>
    <n v="42"/>
    <n v="125.2902"/>
  </r>
  <r>
    <x v="2"/>
    <x v="954"/>
    <x v="947"/>
    <x v="3"/>
    <x v="2"/>
    <n v="2.9830999999999999"/>
    <n v="42"/>
    <n v="125.2902"/>
  </r>
  <r>
    <x v="2"/>
    <x v="955"/>
    <x v="948"/>
    <x v="3"/>
    <x v="2"/>
    <n v="3.4091999999999998"/>
    <n v="11"/>
    <n v="37.501199999999997"/>
  </r>
  <r>
    <x v="1"/>
    <x v="955"/>
    <x v="948"/>
    <x v="3"/>
    <x v="2"/>
    <n v="3.4091999999999998"/>
    <n v="11"/>
    <n v="37.501199999999997"/>
  </r>
  <r>
    <x v="1"/>
    <x v="956"/>
    <x v="949"/>
    <x v="3"/>
    <x v="2"/>
    <n v="5.4551999999999996"/>
    <n v="26"/>
    <n v="141.83519999999999"/>
  </r>
  <r>
    <x v="2"/>
    <x v="956"/>
    <x v="949"/>
    <x v="3"/>
    <x v="2"/>
    <n v="5.4551999999999996"/>
    <n v="26"/>
    <n v="141.83519999999999"/>
  </r>
  <r>
    <x v="1"/>
    <x v="957"/>
    <x v="950"/>
    <x v="35"/>
    <x v="2"/>
    <n v="5.4470999999999998"/>
    <n v="15"/>
    <n v="81.706499999999991"/>
  </r>
  <r>
    <x v="2"/>
    <x v="957"/>
    <x v="950"/>
    <x v="35"/>
    <x v="2"/>
    <n v="5.4470999999999998"/>
    <n v="15"/>
    <n v="81.706499999999991"/>
  </r>
  <r>
    <x v="1"/>
    <x v="958"/>
    <x v="951"/>
    <x v="35"/>
    <x v="2"/>
    <n v="4.22"/>
    <n v="8"/>
    <n v="33.76"/>
  </r>
  <r>
    <x v="1"/>
    <x v="959"/>
    <x v="952"/>
    <x v="35"/>
    <x v="2"/>
    <n v="3.68"/>
    <n v="2"/>
    <n v="7.36"/>
  </r>
  <r>
    <x v="1"/>
    <x v="960"/>
    <x v="953"/>
    <x v="3"/>
    <x v="2"/>
    <n v="1.9249000000000001"/>
    <n v="5"/>
    <n v="9.6245000000000012"/>
  </r>
  <r>
    <x v="2"/>
    <x v="960"/>
    <x v="953"/>
    <x v="3"/>
    <x v="2"/>
    <n v="1.9249000000000001"/>
    <n v="5"/>
    <n v="9.6245000000000012"/>
  </r>
  <r>
    <x v="1"/>
    <x v="961"/>
    <x v="954"/>
    <x v="3"/>
    <x v="2"/>
    <n v="3.2879999999999998"/>
    <n v="3"/>
    <n v="9.863999999999999"/>
  </r>
  <r>
    <x v="1"/>
    <x v="962"/>
    <x v="955"/>
    <x v="3"/>
    <x v="2"/>
    <n v="3.4702000000000002"/>
    <n v="43"/>
    <n v="149.21860000000001"/>
  </r>
  <r>
    <x v="2"/>
    <x v="962"/>
    <x v="955"/>
    <x v="3"/>
    <x v="2"/>
    <n v="3.4702000000000002"/>
    <n v="43"/>
    <n v="149.21860000000001"/>
  </r>
  <r>
    <x v="1"/>
    <x v="963"/>
    <x v="956"/>
    <x v="3"/>
    <x v="2"/>
    <n v="4.4074"/>
    <n v="72"/>
    <n v="317.33280000000002"/>
  </r>
  <r>
    <x v="2"/>
    <x v="963"/>
    <x v="956"/>
    <x v="3"/>
    <x v="2"/>
    <n v="4.4074"/>
    <n v="72"/>
    <n v="317.33280000000002"/>
  </r>
  <r>
    <x v="1"/>
    <x v="964"/>
    <x v="957"/>
    <x v="35"/>
    <x v="2"/>
    <n v="6.31"/>
    <n v="1"/>
    <n v="6.31"/>
  </r>
  <r>
    <x v="2"/>
    <x v="965"/>
    <x v="958"/>
    <x v="3"/>
    <x v="2"/>
    <n v="1.2049000000000001"/>
    <n v="17"/>
    <n v="20.4833"/>
  </r>
  <r>
    <x v="1"/>
    <x v="965"/>
    <x v="958"/>
    <x v="3"/>
    <x v="2"/>
    <n v="1.2049000000000001"/>
    <n v="17"/>
    <n v="20.4833"/>
  </r>
  <r>
    <x v="1"/>
    <x v="966"/>
    <x v="959"/>
    <x v="3"/>
    <x v="2"/>
    <n v="0.81799999999999995"/>
    <n v="29"/>
    <n v="23.721999999999998"/>
  </r>
  <r>
    <x v="1"/>
    <x v="967"/>
    <x v="960"/>
    <x v="3"/>
    <x v="2"/>
    <n v="1.2846"/>
    <n v="13"/>
    <n v="16.6998"/>
  </r>
  <r>
    <x v="1"/>
    <x v="968"/>
    <x v="961"/>
    <x v="3"/>
    <x v="2"/>
    <n v="2.5558999999999998"/>
    <n v="8"/>
    <n v="20.447199999999999"/>
  </r>
  <r>
    <x v="2"/>
    <x v="968"/>
    <x v="961"/>
    <x v="3"/>
    <x v="2"/>
    <n v="2.5558999999999998"/>
    <n v="8"/>
    <n v="20.447199999999999"/>
  </r>
  <r>
    <x v="1"/>
    <x v="969"/>
    <x v="962"/>
    <x v="35"/>
    <x v="2"/>
    <n v="2.2519999999999998"/>
    <n v="4"/>
    <n v="9.0079999999999991"/>
  </r>
  <r>
    <x v="1"/>
    <x v="970"/>
    <x v="963"/>
    <x v="3"/>
    <x v="2"/>
    <n v="0.48849999999999999"/>
    <n v="12"/>
    <n v="5.8620000000000001"/>
  </r>
  <r>
    <x v="2"/>
    <x v="970"/>
    <x v="963"/>
    <x v="3"/>
    <x v="2"/>
    <n v="0.48849999999999999"/>
    <n v="12"/>
    <n v="5.8620000000000001"/>
  </r>
  <r>
    <x v="2"/>
    <x v="971"/>
    <x v="964"/>
    <x v="3"/>
    <x v="2"/>
    <n v="1.0936999999999999"/>
    <n v="8"/>
    <n v="8.7495999999999992"/>
  </r>
  <r>
    <x v="1"/>
    <x v="971"/>
    <x v="964"/>
    <x v="3"/>
    <x v="2"/>
    <n v="1.0936999999999999"/>
    <n v="8"/>
    <n v="8.7495999999999992"/>
  </r>
  <r>
    <x v="1"/>
    <x v="972"/>
    <x v="965"/>
    <x v="35"/>
    <x v="2"/>
    <n v="0.53800000000000003"/>
    <n v="10"/>
    <n v="5.3800000000000008"/>
  </r>
  <r>
    <x v="2"/>
    <x v="973"/>
    <x v="966"/>
    <x v="3"/>
    <x v="2"/>
    <n v="1.4016"/>
    <n v="20"/>
    <n v="28.032"/>
  </r>
  <r>
    <x v="1"/>
    <x v="973"/>
    <x v="966"/>
    <x v="3"/>
    <x v="2"/>
    <n v="1.4016"/>
    <n v="20"/>
    <n v="28.032"/>
  </r>
  <r>
    <x v="1"/>
    <x v="974"/>
    <x v="967"/>
    <x v="3"/>
    <x v="2"/>
    <n v="2.1457999999999999"/>
    <n v="4"/>
    <n v="8.5831999999999997"/>
  </r>
  <r>
    <x v="2"/>
    <x v="974"/>
    <x v="967"/>
    <x v="3"/>
    <x v="2"/>
    <n v="2.1457999999999999"/>
    <n v="4"/>
    <n v="8.5831999999999997"/>
  </r>
  <r>
    <x v="1"/>
    <x v="975"/>
    <x v="968"/>
    <x v="3"/>
    <x v="2"/>
    <n v="1.0145"/>
    <n v="10"/>
    <n v="10.145"/>
  </r>
  <r>
    <x v="1"/>
    <x v="976"/>
    <x v="969"/>
    <x v="3"/>
    <x v="2"/>
    <n v="1.5476000000000001"/>
    <n v="15"/>
    <n v="23.214000000000002"/>
  </r>
  <r>
    <x v="1"/>
    <x v="977"/>
    <x v="970"/>
    <x v="3"/>
    <x v="2"/>
    <n v="4.1260000000000003"/>
    <n v="4"/>
    <n v="16.504000000000001"/>
  </r>
  <r>
    <x v="1"/>
    <x v="978"/>
    <x v="971"/>
    <x v="3"/>
    <x v="2"/>
    <n v="7.62"/>
    <n v="10"/>
    <n v="76.2"/>
  </r>
  <r>
    <x v="1"/>
    <x v="979"/>
    <x v="972"/>
    <x v="3"/>
    <x v="2"/>
    <n v="4.74"/>
    <n v="9"/>
    <n v="42.660000000000004"/>
  </r>
  <r>
    <x v="1"/>
    <x v="980"/>
    <x v="973"/>
    <x v="3"/>
    <x v="2"/>
    <n v="1.6969000000000001"/>
    <n v="24"/>
    <n v="40.7256"/>
  </r>
  <r>
    <x v="2"/>
    <x v="980"/>
    <x v="973"/>
    <x v="3"/>
    <x v="2"/>
    <n v="1.6969000000000001"/>
    <n v="24"/>
    <n v="40.7256"/>
  </r>
  <r>
    <x v="1"/>
    <x v="981"/>
    <x v="974"/>
    <x v="35"/>
    <x v="2"/>
    <n v="2.7570000000000001"/>
    <n v="9"/>
    <n v="24.813000000000002"/>
  </r>
  <r>
    <x v="1"/>
    <x v="982"/>
    <x v="975"/>
    <x v="35"/>
    <x v="2"/>
    <n v="11.188000000000001"/>
    <n v="5"/>
    <n v="55.940000000000005"/>
  </r>
  <r>
    <x v="1"/>
    <x v="983"/>
    <x v="384"/>
    <x v="3"/>
    <x v="2"/>
    <n v="15.8644"/>
    <n v="5"/>
    <n v="79.322000000000003"/>
  </r>
  <r>
    <x v="1"/>
    <x v="984"/>
    <x v="976"/>
    <x v="35"/>
    <x v="2"/>
    <n v="11.327999999999999"/>
    <n v="1"/>
    <n v="11.327999999999999"/>
  </r>
  <r>
    <x v="1"/>
    <x v="985"/>
    <x v="977"/>
    <x v="3"/>
    <x v="2"/>
    <n v="5.4240000000000004"/>
    <n v="7"/>
    <n v="37.968000000000004"/>
  </r>
  <r>
    <x v="1"/>
    <x v="986"/>
    <x v="978"/>
    <x v="3"/>
    <x v="2"/>
    <n v="6.258"/>
    <n v="4"/>
    <n v="25.032"/>
  </r>
  <r>
    <x v="1"/>
    <x v="987"/>
    <x v="979"/>
    <x v="3"/>
    <x v="2"/>
    <n v="3.9359999999999999"/>
    <n v="1"/>
    <n v="3.9359999999999999"/>
  </r>
  <r>
    <x v="1"/>
    <x v="988"/>
    <x v="980"/>
    <x v="3"/>
    <x v="2"/>
    <n v="6.47"/>
    <n v="9"/>
    <n v="58.23"/>
  </r>
  <r>
    <x v="1"/>
    <x v="989"/>
    <x v="981"/>
    <x v="3"/>
    <x v="2"/>
    <n v="11.5953"/>
    <n v="18"/>
    <n v="208.71539999999999"/>
  </r>
  <r>
    <x v="2"/>
    <x v="990"/>
    <x v="982"/>
    <x v="35"/>
    <x v="2"/>
    <n v="13.9466"/>
    <n v="5"/>
    <n v="69.733000000000004"/>
  </r>
  <r>
    <x v="1"/>
    <x v="990"/>
    <x v="982"/>
    <x v="35"/>
    <x v="2"/>
    <n v="13.9466"/>
    <n v="5"/>
    <n v="69.733000000000004"/>
  </r>
  <r>
    <x v="1"/>
    <x v="991"/>
    <x v="983"/>
    <x v="35"/>
    <x v="2"/>
    <n v="0"/>
    <n v="2"/>
    <n v="0"/>
  </r>
  <r>
    <x v="1"/>
    <x v="992"/>
    <x v="984"/>
    <x v="35"/>
    <x v="2"/>
    <n v="1.173"/>
    <n v="3"/>
    <n v="3.5190000000000001"/>
  </r>
  <r>
    <x v="1"/>
    <x v="993"/>
    <x v="985"/>
    <x v="3"/>
    <x v="2"/>
    <n v="1.34"/>
    <n v="10"/>
    <n v="13.4"/>
  </r>
  <r>
    <x v="1"/>
    <x v="994"/>
    <x v="986"/>
    <x v="3"/>
    <x v="2"/>
    <n v="0.71299999999999997"/>
    <n v="37"/>
    <n v="26.381"/>
  </r>
  <r>
    <x v="1"/>
    <x v="995"/>
    <x v="987"/>
    <x v="3"/>
    <x v="2"/>
    <n v="0.79869999999999997"/>
    <n v="67"/>
    <n v="53.512899999999995"/>
  </r>
  <r>
    <x v="2"/>
    <x v="995"/>
    <x v="987"/>
    <x v="3"/>
    <x v="2"/>
    <n v="0.79869999999999997"/>
    <n v="67"/>
    <n v="53.512899999999995"/>
  </r>
  <r>
    <x v="1"/>
    <x v="996"/>
    <x v="988"/>
    <x v="35"/>
    <x v="2"/>
    <n v="0.60399999999999998"/>
    <n v="5"/>
    <n v="3.02"/>
  </r>
  <r>
    <x v="1"/>
    <x v="997"/>
    <x v="989"/>
    <x v="3"/>
    <x v="2"/>
    <n v="0.64339999999999997"/>
    <n v="37"/>
    <n v="23.805799999999998"/>
  </r>
  <r>
    <x v="2"/>
    <x v="997"/>
    <x v="989"/>
    <x v="3"/>
    <x v="2"/>
    <n v="0.64339999999999997"/>
    <n v="37"/>
    <n v="23.805799999999998"/>
  </r>
  <r>
    <x v="1"/>
    <x v="998"/>
    <x v="990"/>
    <x v="3"/>
    <x v="2"/>
    <n v="5.1159999999999997"/>
    <n v="8"/>
    <n v="40.927999999999997"/>
  </r>
  <r>
    <x v="1"/>
    <x v="999"/>
    <x v="991"/>
    <x v="3"/>
    <x v="2"/>
    <n v="6.2"/>
    <n v="3"/>
    <n v="18.600000000000001"/>
  </r>
  <r>
    <x v="1"/>
    <x v="1000"/>
    <x v="992"/>
    <x v="3"/>
    <x v="2"/>
    <n v="15.164999999999999"/>
    <n v="6"/>
    <n v="90.99"/>
  </r>
  <r>
    <x v="1"/>
    <x v="1001"/>
    <x v="993"/>
    <x v="3"/>
    <x v="2"/>
    <n v="5.4527000000000001"/>
    <n v="30"/>
    <n v="163.58100000000002"/>
  </r>
  <r>
    <x v="2"/>
    <x v="1001"/>
    <x v="993"/>
    <x v="3"/>
    <x v="2"/>
    <n v="5.4527000000000001"/>
    <n v="30"/>
    <n v="163.58100000000002"/>
  </r>
  <r>
    <x v="1"/>
    <x v="1002"/>
    <x v="994"/>
    <x v="3"/>
    <x v="2"/>
    <n v="1.4810000000000001"/>
    <n v="8"/>
    <n v="11.848000000000001"/>
  </r>
  <r>
    <x v="1"/>
    <x v="1003"/>
    <x v="995"/>
    <x v="3"/>
    <x v="2"/>
    <n v="1.272"/>
    <n v="11"/>
    <n v="13.992000000000001"/>
  </r>
  <r>
    <x v="1"/>
    <x v="1004"/>
    <x v="996"/>
    <x v="3"/>
    <x v="2"/>
    <n v="6.1828000000000003"/>
    <n v="4"/>
    <n v="24.731200000000001"/>
  </r>
  <r>
    <x v="2"/>
    <x v="1004"/>
    <x v="996"/>
    <x v="3"/>
    <x v="2"/>
    <n v="6.1828000000000003"/>
    <n v="4"/>
    <n v="24.731200000000001"/>
  </r>
  <r>
    <x v="1"/>
    <x v="1005"/>
    <x v="997"/>
    <x v="3"/>
    <x v="2"/>
    <n v="3.0339999999999998"/>
    <n v="8"/>
    <n v="24.271999999999998"/>
  </r>
  <r>
    <x v="1"/>
    <x v="1006"/>
    <x v="998"/>
    <x v="6"/>
    <x v="2"/>
    <n v="379.18669999999997"/>
    <n v="16"/>
    <n v="6066.9871999999996"/>
  </r>
  <r>
    <x v="2"/>
    <x v="1006"/>
    <x v="998"/>
    <x v="6"/>
    <x v="2"/>
    <n v="379.18669999999997"/>
    <n v="16"/>
    <n v="6066.9871999999996"/>
  </r>
  <r>
    <x v="0"/>
    <x v="1006"/>
    <x v="998"/>
    <x v="6"/>
    <x v="2"/>
    <n v="379.18669999999997"/>
    <n v="16"/>
    <n v="6066.9871999999996"/>
  </r>
  <r>
    <x v="1"/>
    <x v="1007"/>
    <x v="999"/>
    <x v="6"/>
    <x v="2"/>
    <n v="394.18639999999999"/>
    <n v="33"/>
    <n v="13008.1512"/>
  </r>
  <r>
    <x v="2"/>
    <x v="1007"/>
    <x v="999"/>
    <x v="6"/>
    <x v="2"/>
    <n v="394.18639999999999"/>
    <n v="33"/>
    <n v="13008.1512"/>
  </r>
  <r>
    <x v="0"/>
    <x v="1007"/>
    <x v="999"/>
    <x v="6"/>
    <x v="2"/>
    <n v="394.18639999999999"/>
    <n v="33"/>
    <n v="13008.1512"/>
  </r>
  <r>
    <x v="2"/>
    <x v="1008"/>
    <x v="1000"/>
    <x v="6"/>
    <x v="2"/>
    <n v="443.34890000000001"/>
    <n v="20"/>
    <n v="8866.978000000001"/>
  </r>
  <r>
    <x v="0"/>
    <x v="1008"/>
    <x v="1000"/>
    <x v="6"/>
    <x v="2"/>
    <n v="443.34890000000001"/>
    <n v="20"/>
    <n v="8866.978000000001"/>
  </r>
  <r>
    <x v="1"/>
    <x v="1008"/>
    <x v="1000"/>
    <x v="6"/>
    <x v="2"/>
    <n v="443.34890000000001"/>
    <n v="20"/>
    <n v="8866.978000000001"/>
  </r>
  <r>
    <x v="2"/>
    <x v="1009"/>
    <x v="1001"/>
    <x v="6"/>
    <x v="2"/>
    <n v="345.06849999999997"/>
    <n v="6"/>
    <n v="2070.4110000000001"/>
  </r>
  <r>
    <x v="1"/>
    <x v="1009"/>
    <x v="1001"/>
    <x v="6"/>
    <x v="2"/>
    <n v="345.06849999999997"/>
    <n v="6"/>
    <n v="2070.4110000000001"/>
  </r>
  <r>
    <x v="1"/>
    <x v="1010"/>
    <x v="1002"/>
    <x v="51"/>
    <x v="2"/>
    <n v="1.59"/>
    <n v="2"/>
    <n v="3.18"/>
  </r>
  <r>
    <x v="1"/>
    <x v="1011"/>
    <x v="1003"/>
    <x v="35"/>
    <x v="2"/>
    <n v="3.343"/>
    <n v="3"/>
    <n v="10.029"/>
  </r>
  <r>
    <x v="1"/>
    <x v="1012"/>
    <x v="1004"/>
    <x v="35"/>
    <x v="2"/>
    <n v="12.46"/>
    <n v="4"/>
    <n v="49.84"/>
  </r>
  <r>
    <x v="1"/>
    <x v="1013"/>
    <x v="1005"/>
    <x v="36"/>
    <x v="2"/>
    <n v="20.97"/>
    <n v="3"/>
    <n v="62.91"/>
  </r>
  <r>
    <x v="1"/>
    <x v="1014"/>
    <x v="1006"/>
    <x v="35"/>
    <x v="2"/>
    <n v="20.768000000000001"/>
    <n v="4"/>
    <n v="83.072000000000003"/>
  </r>
  <r>
    <x v="1"/>
    <x v="1015"/>
    <x v="1007"/>
    <x v="37"/>
    <x v="2"/>
    <n v="4.2750000000000004"/>
    <n v="5"/>
    <n v="21.375"/>
  </r>
  <r>
    <x v="1"/>
    <x v="1016"/>
    <x v="1008"/>
    <x v="3"/>
    <x v="2"/>
    <n v="9.1319999999999997"/>
    <n v="1"/>
    <n v="9.1319999999999997"/>
  </r>
  <r>
    <x v="1"/>
    <x v="1017"/>
    <x v="1009"/>
    <x v="3"/>
    <x v="2"/>
    <n v="0.1"/>
    <n v="4"/>
    <n v="0.4"/>
  </r>
  <r>
    <x v="2"/>
    <x v="1018"/>
    <x v="1010"/>
    <x v="3"/>
    <x v="2"/>
    <n v="19.183299999999999"/>
    <n v="41"/>
    <n v="786.51529999999991"/>
  </r>
  <r>
    <x v="1"/>
    <x v="1018"/>
    <x v="1010"/>
    <x v="3"/>
    <x v="2"/>
    <n v="19.183299999999999"/>
    <n v="41"/>
    <n v="786.51529999999991"/>
  </r>
  <r>
    <x v="1"/>
    <x v="1019"/>
    <x v="1011"/>
    <x v="3"/>
    <x v="2"/>
    <n v="33.095199999999998"/>
    <n v="5"/>
    <n v="165.476"/>
  </r>
  <r>
    <x v="1"/>
    <x v="1020"/>
    <x v="1012"/>
    <x v="3"/>
    <x v="2"/>
    <n v="22.535"/>
    <n v="4"/>
    <n v="90.14"/>
  </r>
  <r>
    <x v="1"/>
    <x v="1021"/>
    <x v="1013"/>
    <x v="36"/>
    <x v="2"/>
    <n v="22.3"/>
    <n v="2"/>
    <n v="44.6"/>
  </r>
  <r>
    <x v="1"/>
    <x v="1022"/>
    <x v="1014"/>
    <x v="3"/>
    <x v="2"/>
    <n v="34.340000000000003"/>
    <n v="2"/>
    <n v="68.680000000000007"/>
  </r>
  <r>
    <x v="1"/>
    <x v="1023"/>
    <x v="1015"/>
    <x v="3"/>
    <x v="2"/>
    <n v="56.814799999999998"/>
    <n v="11"/>
    <n v="624.96280000000002"/>
  </r>
  <r>
    <x v="2"/>
    <x v="1023"/>
    <x v="1015"/>
    <x v="3"/>
    <x v="2"/>
    <n v="56.814799999999998"/>
    <n v="11"/>
    <n v="624.96280000000002"/>
  </r>
  <r>
    <x v="2"/>
    <x v="1024"/>
    <x v="1016"/>
    <x v="3"/>
    <x v="2"/>
    <n v="58.227200000000003"/>
    <n v="22"/>
    <n v="1280.9984000000002"/>
  </r>
  <r>
    <x v="1"/>
    <x v="1024"/>
    <x v="1016"/>
    <x v="3"/>
    <x v="2"/>
    <n v="58.227200000000003"/>
    <n v="22"/>
    <n v="1280.9984000000002"/>
  </r>
  <r>
    <x v="1"/>
    <x v="1025"/>
    <x v="1017"/>
    <x v="3"/>
    <x v="2"/>
    <n v="57.980400000000003"/>
    <n v="21"/>
    <n v="1217.5884000000001"/>
  </r>
  <r>
    <x v="2"/>
    <x v="1025"/>
    <x v="1017"/>
    <x v="3"/>
    <x v="2"/>
    <n v="57.980400000000003"/>
    <n v="21"/>
    <n v="1217.5884000000001"/>
  </r>
  <r>
    <x v="1"/>
    <x v="1026"/>
    <x v="1018"/>
    <x v="3"/>
    <x v="2"/>
    <n v="25.12"/>
    <n v="9"/>
    <n v="226.08"/>
  </r>
  <r>
    <x v="1"/>
    <x v="1027"/>
    <x v="1019"/>
    <x v="3"/>
    <x v="2"/>
    <n v="41.67"/>
    <n v="2"/>
    <n v="83.34"/>
  </r>
  <r>
    <x v="1"/>
    <x v="1028"/>
    <x v="1020"/>
    <x v="3"/>
    <x v="2"/>
    <n v="55.043999999999997"/>
    <n v="1"/>
    <n v="55.043999999999997"/>
  </r>
  <r>
    <x v="1"/>
    <x v="1029"/>
    <x v="1021"/>
    <x v="34"/>
    <x v="2"/>
    <n v="3.2696000000000001"/>
    <n v="2"/>
    <n v="6.5392000000000001"/>
  </r>
  <r>
    <x v="2"/>
    <x v="1029"/>
    <x v="1021"/>
    <x v="34"/>
    <x v="2"/>
    <n v="3.2696000000000001"/>
    <n v="2"/>
    <n v="6.5392000000000001"/>
  </r>
  <r>
    <x v="1"/>
    <x v="1030"/>
    <x v="1022"/>
    <x v="34"/>
    <x v="2"/>
    <n v="29.722300000000001"/>
    <n v="46"/>
    <n v="1367.2257999999999"/>
  </r>
  <r>
    <x v="2"/>
    <x v="1030"/>
    <x v="1022"/>
    <x v="34"/>
    <x v="2"/>
    <n v="29.722300000000001"/>
    <n v="46"/>
    <n v="1367.2257999999999"/>
  </r>
  <r>
    <x v="1"/>
    <x v="1031"/>
    <x v="1023"/>
    <x v="3"/>
    <x v="2"/>
    <n v="2.7850999999999999"/>
    <n v="13"/>
    <n v="36.206299999999999"/>
  </r>
  <r>
    <x v="2"/>
    <x v="1031"/>
    <x v="1023"/>
    <x v="3"/>
    <x v="2"/>
    <n v="2.7850999999999999"/>
    <n v="13"/>
    <n v="36.206299999999999"/>
  </r>
  <r>
    <x v="1"/>
    <x v="1032"/>
    <x v="1024"/>
    <x v="35"/>
    <x v="2"/>
    <n v="2.7109999999999999"/>
    <n v="8"/>
    <n v="21.687999999999999"/>
  </r>
  <r>
    <x v="0"/>
    <x v="1033"/>
    <x v="1025"/>
    <x v="6"/>
    <x v="2"/>
    <n v="245.10079999999999"/>
    <n v="9"/>
    <n v="2205.9072000000001"/>
  </r>
  <r>
    <x v="2"/>
    <x v="1033"/>
    <x v="1025"/>
    <x v="6"/>
    <x v="2"/>
    <n v="245.10079999999999"/>
    <n v="9"/>
    <n v="2205.9072000000001"/>
  </r>
  <r>
    <x v="1"/>
    <x v="1033"/>
    <x v="1025"/>
    <x v="6"/>
    <x v="2"/>
    <n v="245.10079999999999"/>
    <n v="9"/>
    <n v="2205.9072000000001"/>
  </r>
  <r>
    <x v="2"/>
    <x v="1034"/>
    <x v="1026"/>
    <x v="6"/>
    <x v="2"/>
    <n v="273.07479999999998"/>
    <n v="4"/>
    <n v="1092.2991999999999"/>
  </r>
  <r>
    <x v="1"/>
    <x v="1034"/>
    <x v="1026"/>
    <x v="6"/>
    <x v="2"/>
    <n v="273.07479999999998"/>
    <n v="4"/>
    <n v="1092.2991999999999"/>
  </r>
  <r>
    <x v="1"/>
    <x v="1035"/>
    <x v="1027"/>
    <x v="35"/>
    <x v="2"/>
    <n v="12.981"/>
    <n v="4"/>
    <n v="51.923999999999999"/>
  </r>
  <r>
    <x v="1"/>
    <x v="1036"/>
    <x v="1028"/>
    <x v="35"/>
    <x v="2"/>
    <n v="2.5499999999999998"/>
    <n v="5"/>
    <n v="12.75"/>
  </r>
  <r>
    <x v="1"/>
    <x v="1037"/>
    <x v="1029"/>
    <x v="35"/>
    <x v="2"/>
    <n v="1.34"/>
    <n v="1"/>
    <n v="1.34"/>
  </r>
  <r>
    <x v="1"/>
    <x v="1038"/>
    <x v="1030"/>
    <x v="35"/>
    <x v="2"/>
    <n v="0"/>
    <n v="1"/>
    <n v="0"/>
  </r>
  <r>
    <x v="1"/>
    <x v="1039"/>
    <x v="1031"/>
    <x v="35"/>
    <x v="2"/>
    <n v="2.4940000000000002"/>
    <n v="5"/>
    <n v="12.47"/>
  </r>
  <r>
    <x v="1"/>
    <x v="1040"/>
    <x v="1032"/>
    <x v="35"/>
    <x v="2"/>
    <n v="2.173"/>
    <n v="4"/>
    <n v="8.6920000000000002"/>
  </r>
  <r>
    <x v="1"/>
    <x v="1041"/>
    <x v="1033"/>
    <x v="35"/>
    <x v="2"/>
    <n v="1.29"/>
    <n v="10"/>
    <n v="12.9"/>
  </r>
  <r>
    <x v="1"/>
    <x v="1042"/>
    <x v="1034"/>
    <x v="35"/>
    <x v="2"/>
    <n v="1.0054000000000001"/>
    <n v="9"/>
    <n v="9.0486000000000004"/>
  </r>
  <r>
    <x v="2"/>
    <x v="1042"/>
    <x v="1034"/>
    <x v="35"/>
    <x v="2"/>
    <n v="1.0054000000000001"/>
    <n v="9"/>
    <n v="9.0486000000000004"/>
  </r>
  <r>
    <x v="1"/>
    <x v="1043"/>
    <x v="1035"/>
    <x v="36"/>
    <x v="2"/>
    <n v="3.01"/>
    <n v="2"/>
    <n v="6.02"/>
  </r>
  <r>
    <x v="1"/>
    <x v="1044"/>
    <x v="1036"/>
    <x v="35"/>
    <x v="2"/>
    <n v="12.13"/>
    <n v="1"/>
    <n v="12.13"/>
  </r>
  <r>
    <x v="1"/>
    <x v="1045"/>
    <x v="1037"/>
    <x v="35"/>
    <x v="2"/>
    <n v="0"/>
    <n v="2"/>
    <n v="0"/>
  </r>
  <r>
    <x v="1"/>
    <x v="1046"/>
    <x v="1038"/>
    <x v="6"/>
    <x v="2"/>
    <n v="366.8587"/>
    <n v="49"/>
    <n v="17976.076300000001"/>
  </r>
  <r>
    <x v="2"/>
    <x v="1046"/>
    <x v="1038"/>
    <x v="6"/>
    <x v="2"/>
    <n v="366.8587"/>
    <n v="49"/>
    <n v="17976.076300000001"/>
  </r>
  <r>
    <x v="0"/>
    <x v="1046"/>
    <x v="1038"/>
    <x v="6"/>
    <x v="2"/>
    <n v="366.8587"/>
    <n v="49"/>
    <n v="17976.076300000001"/>
  </r>
  <r>
    <x v="1"/>
    <x v="1047"/>
    <x v="1039"/>
    <x v="3"/>
    <x v="2"/>
    <n v="14.85"/>
    <n v="2"/>
    <n v="29.7"/>
  </r>
  <r>
    <x v="1"/>
    <x v="1048"/>
    <x v="1040"/>
    <x v="3"/>
    <x v="2"/>
    <n v="1.484"/>
    <n v="4"/>
    <n v="5.9359999999999999"/>
  </r>
  <r>
    <x v="1"/>
    <x v="1049"/>
    <x v="1041"/>
    <x v="35"/>
    <x v="2"/>
    <n v="1.98"/>
    <n v="4"/>
    <n v="7.92"/>
  </r>
  <r>
    <x v="1"/>
    <x v="1050"/>
    <x v="1042"/>
    <x v="3"/>
    <x v="2"/>
    <n v="1.97"/>
    <n v="2"/>
    <n v="3.94"/>
  </r>
  <r>
    <x v="1"/>
    <x v="1051"/>
    <x v="1043"/>
    <x v="35"/>
    <x v="2"/>
    <n v="1.07"/>
    <n v="5"/>
    <n v="5.3500000000000005"/>
  </r>
  <r>
    <x v="1"/>
    <x v="1052"/>
    <x v="1044"/>
    <x v="3"/>
    <x v="2"/>
    <n v="2.0175999999999998"/>
    <n v="57"/>
    <n v="115.00319999999999"/>
  </r>
  <r>
    <x v="1"/>
    <x v="1053"/>
    <x v="1045"/>
    <x v="3"/>
    <x v="2"/>
    <n v="1.3513999999999999"/>
    <n v="30"/>
    <n v="40.542000000000002"/>
  </r>
  <r>
    <x v="2"/>
    <x v="1054"/>
    <x v="1046"/>
    <x v="3"/>
    <x v="2"/>
    <n v="1.0827"/>
    <n v="123"/>
    <n v="133.1721"/>
  </r>
  <r>
    <x v="1"/>
    <x v="1054"/>
    <x v="1046"/>
    <x v="3"/>
    <x v="2"/>
    <n v="1.0827"/>
    <n v="123"/>
    <n v="133.1721"/>
  </r>
  <r>
    <x v="1"/>
    <x v="1055"/>
    <x v="1047"/>
    <x v="3"/>
    <x v="2"/>
    <n v="6.2001999999999997"/>
    <n v="4"/>
    <n v="24.800799999999999"/>
  </r>
  <r>
    <x v="1"/>
    <x v="1056"/>
    <x v="1048"/>
    <x v="3"/>
    <x v="2"/>
    <n v="4.82"/>
    <n v="1"/>
    <n v="4.82"/>
  </r>
  <r>
    <x v="1"/>
    <x v="1057"/>
    <x v="1049"/>
    <x v="36"/>
    <x v="2"/>
    <n v="11.05"/>
    <n v="2"/>
    <n v="22.1"/>
  </r>
  <r>
    <x v="1"/>
    <x v="1058"/>
    <x v="1050"/>
    <x v="3"/>
    <x v="2"/>
    <n v="8.4359999999999999"/>
    <n v="1"/>
    <n v="8.4359999999999999"/>
  </r>
  <r>
    <x v="1"/>
    <x v="1059"/>
    <x v="1051"/>
    <x v="3"/>
    <x v="2"/>
    <n v="16.321899999999999"/>
    <n v="9"/>
    <n v="146.89709999999999"/>
  </r>
  <r>
    <x v="1"/>
    <x v="1060"/>
    <x v="1052"/>
    <x v="3"/>
    <x v="2"/>
    <n v="31.428000000000001"/>
    <n v="5"/>
    <n v="157.14000000000001"/>
  </r>
  <r>
    <x v="1"/>
    <x v="1061"/>
    <x v="1053"/>
    <x v="3"/>
    <x v="2"/>
    <n v="17.916899999999998"/>
    <n v="17"/>
    <n v="304.58729999999997"/>
  </r>
  <r>
    <x v="1"/>
    <x v="1062"/>
    <x v="1054"/>
    <x v="3"/>
    <x v="2"/>
    <n v="17.639199999999999"/>
    <n v="5"/>
    <n v="88.195999999999998"/>
  </r>
  <r>
    <x v="1"/>
    <x v="1063"/>
    <x v="1055"/>
    <x v="3"/>
    <x v="2"/>
    <n v="13.2796"/>
    <n v="33"/>
    <n v="438.22680000000003"/>
  </r>
  <r>
    <x v="1"/>
    <x v="1064"/>
    <x v="1056"/>
    <x v="36"/>
    <x v="2"/>
    <n v="7.56"/>
    <n v="2"/>
    <n v="15.12"/>
  </r>
  <r>
    <x v="1"/>
    <x v="1065"/>
    <x v="1057"/>
    <x v="36"/>
    <x v="2"/>
    <n v="27.21"/>
    <n v="1"/>
    <n v="27.21"/>
  </r>
  <r>
    <x v="1"/>
    <x v="1066"/>
    <x v="1058"/>
    <x v="3"/>
    <x v="2"/>
    <n v="12.278600000000001"/>
    <n v="34"/>
    <n v="417.47240000000005"/>
  </r>
  <r>
    <x v="2"/>
    <x v="1066"/>
    <x v="1058"/>
    <x v="3"/>
    <x v="2"/>
    <n v="12.278600000000001"/>
    <n v="34"/>
    <n v="417.47240000000005"/>
  </r>
  <r>
    <x v="1"/>
    <x v="1067"/>
    <x v="1059"/>
    <x v="3"/>
    <x v="2"/>
    <n v="9.6856000000000009"/>
    <n v="6"/>
    <n v="58.113600000000005"/>
  </r>
  <r>
    <x v="1"/>
    <x v="1068"/>
    <x v="1060"/>
    <x v="3"/>
    <x v="2"/>
    <n v="7.1102999999999996"/>
    <n v="9"/>
    <n v="63.992699999999999"/>
  </r>
  <r>
    <x v="1"/>
    <x v="1069"/>
    <x v="1061"/>
    <x v="3"/>
    <x v="2"/>
    <n v="5.1746999999999996"/>
    <n v="5"/>
    <n v="25.8735"/>
  </r>
  <r>
    <x v="1"/>
    <x v="1070"/>
    <x v="1062"/>
    <x v="35"/>
    <x v="2"/>
    <n v="7.6947000000000001"/>
    <n v="8"/>
    <n v="61.557600000000001"/>
  </r>
  <r>
    <x v="1"/>
    <x v="1071"/>
    <x v="1063"/>
    <x v="3"/>
    <x v="2"/>
    <n v="0.73399999999999999"/>
    <n v="6"/>
    <n v="4.4039999999999999"/>
  </r>
  <r>
    <x v="1"/>
    <x v="1072"/>
    <x v="1064"/>
    <x v="3"/>
    <x v="2"/>
    <n v="6.6"/>
    <n v="1"/>
    <n v="6.6"/>
  </r>
  <r>
    <x v="2"/>
    <x v="1073"/>
    <x v="1065"/>
    <x v="3"/>
    <x v="2"/>
    <n v="3.9306000000000001"/>
    <n v="7"/>
    <n v="27.514200000000002"/>
  </r>
  <r>
    <x v="1"/>
    <x v="1073"/>
    <x v="1065"/>
    <x v="3"/>
    <x v="2"/>
    <n v="3.9306000000000001"/>
    <n v="7"/>
    <n v="27.514200000000002"/>
  </r>
  <r>
    <x v="2"/>
    <x v="1074"/>
    <x v="1066"/>
    <x v="3"/>
    <x v="2"/>
    <n v="1.2068000000000001"/>
    <n v="19"/>
    <n v="22.929200000000002"/>
  </r>
  <r>
    <x v="1"/>
    <x v="1074"/>
    <x v="1066"/>
    <x v="3"/>
    <x v="2"/>
    <n v="1.2068000000000001"/>
    <n v="19"/>
    <n v="22.929200000000002"/>
  </r>
  <r>
    <x v="1"/>
    <x v="1075"/>
    <x v="1067"/>
    <x v="3"/>
    <x v="2"/>
    <n v="1.58"/>
    <n v="1"/>
    <n v="1.58"/>
  </r>
  <r>
    <x v="1"/>
    <x v="1076"/>
    <x v="1068"/>
    <x v="3"/>
    <x v="2"/>
    <n v="7.4886999999999997"/>
    <n v="8"/>
    <n v="59.909599999999998"/>
  </r>
  <r>
    <x v="1"/>
    <x v="1077"/>
    <x v="1069"/>
    <x v="3"/>
    <x v="2"/>
    <n v="5.7613000000000003"/>
    <n v="8"/>
    <n v="46.090400000000002"/>
  </r>
  <r>
    <x v="1"/>
    <x v="1078"/>
    <x v="1070"/>
    <x v="3"/>
    <x v="2"/>
    <n v="0"/>
    <n v="5"/>
    <n v="0"/>
  </r>
  <r>
    <x v="1"/>
    <x v="1079"/>
    <x v="1071"/>
    <x v="3"/>
    <x v="2"/>
    <n v="10.1843"/>
    <n v="32"/>
    <n v="325.89760000000001"/>
  </r>
  <r>
    <x v="2"/>
    <x v="1079"/>
    <x v="1071"/>
    <x v="3"/>
    <x v="2"/>
    <n v="10.1843"/>
    <n v="32"/>
    <n v="325.89760000000001"/>
  </r>
  <r>
    <x v="1"/>
    <x v="1080"/>
    <x v="1072"/>
    <x v="3"/>
    <x v="2"/>
    <n v="1.6912"/>
    <n v="167"/>
    <n v="282.43040000000002"/>
  </r>
  <r>
    <x v="2"/>
    <x v="1080"/>
    <x v="1072"/>
    <x v="3"/>
    <x v="2"/>
    <n v="1.6912"/>
    <n v="167"/>
    <n v="282.43040000000002"/>
  </r>
  <r>
    <x v="1"/>
    <x v="1081"/>
    <x v="1073"/>
    <x v="3"/>
    <x v="2"/>
    <n v="4.194"/>
    <n v="5"/>
    <n v="20.97"/>
  </r>
  <r>
    <x v="1"/>
    <x v="1082"/>
    <x v="1074"/>
    <x v="3"/>
    <x v="2"/>
    <n v="0.6996"/>
    <n v="17"/>
    <n v="11.8932"/>
  </r>
  <r>
    <x v="1"/>
    <x v="1083"/>
    <x v="1075"/>
    <x v="3"/>
    <x v="2"/>
    <n v="11.37"/>
    <n v="26"/>
    <n v="295.62"/>
  </r>
  <r>
    <x v="1"/>
    <x v="1084"/>
    <x v="1076"/>
    <x v="3"/>
    <x v="2"/>
    <n v="4.1159999999999997"/>
    <n v="12"/>
    <n v="49.391999999999996"/>
  </r>
  <r>
    <x v="1"/>
    <x v="1085"/>
    <x v="1077"/>
    <x v="3"/>
    <x v="2"/>
    <n v="3.1497000000000002"/>
    <n v="11"/>
    <n v="34.646700000000003"/>
  </r>
  <r>
    <x v="1"/>
    <x v="1086"/>
    <x v="1078"/>
    <x v="3"/>
    <x v="2"/>
    <n v="11.0989"/>
    <n v="14"/>
    <n v="155.38460000000001"/>
  </r>
  <r>
    <x v="2"/>
    <x v="1086"/>
    <x v="1078"/>
    <x v="3"/>
    <x v="2"/>
    <n v="11.0989"/>
    <n v="14"/>
    <n v="155.38460000000001"/>
  </r>
  <r>
    <x v="1"/>
    <x v="1087"/>
    <x v="1079"/>
    <x v="3"/>
    <x v="2"/>
    <n v="0.505"/>
    <n v="7"/>
    <n v="3.5350000000000001"/>
  </r>
  <r>
    <x v="1"/>
    <x v="1088"/>
    <x v="1080"/>
    <x v="3"/>
    <x v="2"/>
    <n v="1.4487000000000001"/>
    <n v="67"/>
    <n v="97.062900000000013"/>
  </r>
  <r>
    <x v="2"/>
    <x v="1088"/>
    <x v="1080"/>
    <x v="3"/>
    <x v="2"/>
    <n v="1.4487000000000001"/>
    <n v="67"/>
    <n v="97.062900000000013"/>
  </r>
  <r>
    <x v="1"/>
    <x v="1089"/>
    <x v="1081"/>
    <x v="3"/>
    <x v="2"/>
    <n v="2.9321000000000002"/>
    <n v="2"/>
    <n v="5.8642000000000003"/>
  </r>
  <r>
    <x v="1"/>
    <x v="1090"/>
    <x v="1082"/>
    <x v="46"/>
    <x v="2"/>
    <n v="356.21089999999998"/>
    <n v="1"/>
    <n v="356.21089999999998"/>
  </r>
  <r>
    <x v="1"/>
    <x v="1091"/>
    <x v="1083"/>
    <x v="46"/>
    <x v="2"/>
    <n v="351.37259999999998"/>
    <n v="2"/>
    <n v="702.74519999999995"/>
  </r>
  <r>
    <x v="2"/>
    <x v="1091"/>
    <x v="1083"/>
    <x v="46"/>
    <x v="2"/>
    <n v="351.37259999999998"/>
    <n v="2"/>
    <n v="702.74519999999995"/>
  </r>
  <r>
    <x v="2"/>
    <x v="1092"/>
    <x v="1084"/>
    <x v="46"/>
    <x v="2"/>
    <n v="781.79070000000002"/>
    <n v="7"/>
    <n v="5472.5349000000006"/>
  </r>
  <r>
    <x v="1"/>
    <x v="1092"/>
    <x v="1084"/>
    <x v="46"/>
    <x v="2"/>
    <n v="781.79070000000002"/>
    <n v="7"/>
    <n v="5472.5349000000006"/>
  </r>
  <r>
    <x v="1"/>
    <x v="1093"/>
    <x v="1085"/>
    <x v="46"/>
    <x v="2"/>
    <n v="189.58"/>
    <n v="2"/>
    <n v="379.16"/>
  </r>
  <r>
    <x v="2"/>
    <x v="1094"/>
    <x v="1086"/>
    <x v="46"/>
    <x v="2"/>
    <n v="161.04740000000001"/>
    <n v="6"/>
    <n v="966.28440000000001"/>
  </r>
  <r>
    <x v="1"/>
    <x v="1094"/>
    <x v="1086"/>
    <x v="46"/>
    <x v="2"/>
    <n v="161.04740000000001"/>
    <n v="6"/>
    <n v="966.28440000000001"/>
  </r>
  <r>
    <x v="1"/>
    <x v="1095"/>
    <x v="1087"/>
    <x v="46"/>
    <x v="2"/>
    <n v="0.79759999999999998"/>
    <n v="4"/>
    <n v="3.1903999999999999"/>
  </r>
  <r>
    <x v="2"/>
    <x v="1095"/>
    <x v="1087"/>
    <x v="46"/>
    <x v="2"/>
    <n v="0.79759999999999998"/>
    <n v="4"/>
    <n v="3.1903999999999999"/>
  </r>
  <r>
    <x v="1"/>
    <x v="1096"/>
    <x v="1088"/>
    <x v="46"/>
    <x v="2"/>
    <n v="204.5658"/>
    <n v="15"/>
    <n v="3068.4870000000001"/>
  </r>
  <r>
    <x v="2"/>
    <x v="1096"/>
    <x v="1088"/>
    <x v="46"/>
    <x v="2"/>
    <n v="204.5658"/>
    <n v="15"/>
    <n v="3068.4870000000001"/>
  </r>
  <r>
    <x v="2"/>
    <x v="1097"/>
    <x v="1089"/>
    <x v="46"/>
    <x v="2"/>
    <n v="209.8432"/>
    <n v="3"/>
    <n v="629.52959999999996"/>
  </r>
  <r>
    <x v="1"/>
    <x v="1097"/>
    <x v="1089"/>
    <x v="46"/>
    <x v="2"/>
    <n v="209.8432"/>
    <n v="3"/>
    <n v="629.52959999999996"/>
  </r>
  <r>
    <x v="1"/>
    <x v="1098"/>
    <x v="1090"/>
    <x v="46"/>
    <x v="2"/>
    <n v="257.1574"/>
    <n v="1"/>
    <n v="257.1574"/>
  </r>
  <r>
    <x v="1"/>
    <x v="1099"/>
    <x v="1091"/>
    <x v="46"/>
    <x v="2"/>
    <n v="246.29740000000001"/>
    <n v="7"/>
    <n v="1724.0818000000002"/>
  </r>
  <r>
    <x v="2"/>
    <x v="1099"/>
    <x v="1091"/>
    <x v="46"/>
    <x v="2"/>
    <n v="246.29740000000001"/>
    <n v="7"/>
    <n v="1724.0818000000002"/>
  </r>
  <r>
    <x v="1"/>
    <x v="1100"/>
    <x v="1092"/>
    <x v="46"/>
    <x v="2"/>
    <n v="394.80829999999997"/>
    <n v="7"/>
    <n v="2763.6580999999996"/>
  </r>
  <r>
    <x v="2"/>
    <x v="1100"/>
    <x v="1092"/>
    <x v="46"/>
    <x v="2"/>
    <n v="394.80829999999997"/>
    <n v="7"/>
    <n v="2763.6580999999996"/>
  </r>
  <r>
    <x v="2"/>
    <x v="1101"/>
    <x v="1093"/>
    <x v="46"/>
    <x v="2"/>
    <n v="179.9"/>
    <n v="9"/>
    <n v="1619.1000000000001"/>
  </r>
  <r>
    <x v="1"/>
    <x v="1101"/>
    <x v="1093"/>
    <x v="46"/>
    <x v="2"/>
    <n v="179.9"/>
    <n v="9"/>
    <n v="1619.1000000000001"/>
  </r>
  <r>
    <x v="1"/>
    <x v="1102"/>
    <x v="1094"/>
    <x v="46"/>
    <x v="2"/>
    <n v="437.28469999999999"/>
    <n v="14"/>
    <n v="6121.9857999999995"/>
  </r>
  <r>
    <x v="2"/>
    <x v="1102"/>
    <x v="1094"/>
    <x v="46"/>
    <x v="2"/>
    <n v="437.28469999999999"/>
    <n v="14"/>
    <n v="6121.9857999999995"/>
  </r>
  <r>
    <x v="1"/>
    <x v="1103"/>
    <x v="1095"/>
    <x v="46"/>
    <x v="2"/>
    <n v="387.8218"/>
    <n v="1"/>
    <n v="387.8218"/>
  </r>
  <r>
    <x v="2"/>
    <x v="1103"/>
    <x v="1095"/>
    <x v="46"/>
    <x v="2"/>
    <n v="387.8218"/>
    <n v="1"/>
    <n v="387.8218"/>
  </r>
  <r>
    <x v="2"/>
    <x v="1104"/>
    <x v="1096"/>
    <x v="46"/>
    <x v="2"/>
    <n v="436.6943"/>
    <n v="8"/>
    <n v="3493.5544"/>
  </r>
  <r>
    <x v="1"/>
    <x v="1104"/>
    <x v="1096"/>
    <x v="46"/>
    <x v="2"/>
    <n v="436.6943"/>
    <n v="8"/>
    <n v="3493.5544"/>
  </r>
  <r>
    <x v="1"/>
    <x v="1105"/>
    <x v="1097"/>
    <x v="46"/>
    <x v="2"/>
    <n v="588.94849999999997"/>
    <n v="3"/>
    <n v="1766.8454999999999"/>
  </r>
  <r>
    <x v="2"/>
    <x v="1105"/>
    <x v="1097"/>
    <x v="46"/>
    <x v="2"/>
    <n v="588.94849999999997"/>
    <n v="3"/>
    <n v="1766.8454999999999"/>
  </r>
  <r>
    <x v="2"/>
    <x v="1106"/>
    <x v="1098"/>
    <x v="46"/>
    <x v="2"/>
    <n v="601.69579999999996"/>
    <n v="9"/>
    <n v="5415.2621999999992"/>
  </r>
  <r>
    <x v="1"/>
    <x v="1106"/>
    <x v="1098"/>
    <x v="46"/>
    <x v="2"/>
    <n v="601.69579999999996"/>
    <n v="9"/>
    <n v="5415.2621999999992"/>
  </r>
  <r>
    <x v="1"/>
    <x v="1107"/>
    <x v="1099"/>
    <x v="52"/>
    <x v="2"/>
    <n v="363.35149999999999"/>
    <n v="8"/>
    <n v="2906.8119999999999"/>
  </r>
  <r>
    <x v="2"/>
    <x v="1107"/>
    <x v="1099"/>
    <x v="52"/>
    <x v="2"/>
    <n v="363.35149999999999"/>
    <n v="8"/>
    <n v="2906.8119999999999"/>
  </r>
  <r>
    <x v="0"/>
    <x v="1107"/>
    <x v="1099"/>
    <x v="52"/>
    <x v="2"/>
    <n v="363.35149999999999"/>
    <n v="8"/>
    <n v="2906.8119999999999"/>
  </r>
  <r>
    <x v="0"/>
    <x v="1108"/>
    <x v="1100"/>
    <x v="52"/>
    <x v="2"/>
    <n v="391.8784"/>
    <n v="14"/>
    <n v="5486.2975999999999"/>
  </r>
  <r>
    <x v="1"/>
    <x v="1108"/>
    <x v="1100"/>
    <x v="52"/>
    <x v="2"/>
    <n v="391.8784"/>
    <n v="14"/>
    <n v="5486.2975999999999"/>
  </r>
  <r>
    <x v="2"/>
    <x v="1108"/>
    <x v="1100"/>
    <x v="52"/>
    <x v="2"/>
    <n v="391.8784"/>
    <n v="14"/>
    <n v="5486.2975999999999"/>
  </r>
  <r>
    <x v="1"/>
    <x v="1109"/>
    <x v="1101"/>
    <x v="53"/>
    <x v="2"/>
    <n v="35.85"/>
    <n v="3"/>
    <n v="107.55000000000001"/>
  </r>
  <r>
    <x v="2"/>
    <x v="1110"/>
    <x v="1102"/>
    <x v="33"/>
    <x v="2"/>
    <n v="21.08"/>
    <n v="8"/>
    <n v="168.64"/>
  </r>
  <r>
    <x v="1"/>
    <x v="1110"/>
    <x v="1102"/>
    <x v="33"/>
    <x v="2"/>
    <n v="21.08"/>
    <n v="8"/>
    <n v="168.64"/>
  </r>
  <r>
    <x v="1"/>
    <x v="1111"/>
    <x v="1103"/>
    <x v="37"/>
    <x v="2"/>
    <n v="7.7942"/>
    <n v="21"/>
    <n v="163.6782"/>
  </r>
  <r>
    <x v="2"/>
    <x v="1111"/>
    <x v="1103"/>
    <x v="37"/>
    <x v="2"/>
    <n v="7.7942"/>
    <n v="21"/>
    <n v="163.6782"/>
  </r>
  <r>
    <x v="1"/>
    <x v="1112"/>
    <x v="1104"/>
    <x v="50"/>
    <x v="2"/>
    <n v="5.67"/>
    <n v="1"/>
    <n v="5.67"/>
  </r>
  <r>
    <x v="1"/>
    <x v="1113"/>
    <x v="1105"/>
    <x v="1"/>
    <x v="4"/>
    <n v="0"/>
    <n v="1"/>
    <n v="0"/>
  </r>
  <r>
    <x v="1"/>
    <x v="1114"/>
    <x v="1106"/>
    <x v="54"/>
    <x v="2"/>
    <n v="158.92509999999999"/>
    <n v="3"/>
    <n v="476.77529999999996"/>
  </r>
  <r>
    <x v="2"/>
    <x v="1114"/>
    <x v="1106"/>
    <x v="54"/>
    <x v="2"/>
    <n v="158.92509999999999"/>
    <n v="3"/>
    <n v="476.77529999999996"/>
  </r>
  <r>
    <x v="1"/>
    <x v="1115"/>
    <x v="1107"/>
    <x v="55"/>
    <x v="2"/>
    <n v="263.6327"/>
    <n v="4"/>
    <n v="1054.5308"/>
  </r>
  <r>
    <x v="2"/>
    <x v="1115"/>
    <x v="1107"/>
    <x v="55"/>
    <x v="2"/>
    <n v="263.6327"/>
    <n v="4"/>
    <n v="1054.5308"/>
  </r>
  <r>
    <x v="2"/>
    <x v="1116"/>
    <x v="1108"/>
    <x v="54"/>
    <x v="2"/>
    <n v="253.22239999999999"/>
    <n v="2"/>
    <n v="506.44479999999999"/>
  </r>
  <r>
    <x v="1"/>
    <x v="1116"/>
    <x v="1108"/>
    <x v="54"/>
    <x v="2"/>
    <n v="253.22239999999999"/>
    <n v="2"/>
    <n v="506.44479999999999"/>
  </r>
  <r>
    <x v="2"/>
    <x v="1117"/>
    <x v="1109"/>
    <x v="56"/>
    <x v="2"/>
    <n v="405.30770000000001"/>
    <n v="32"/>
    <n v="12969.8464"/>
  </r>
  <r>
    <x v="1"/>
    <x v="1117"/>
    <x v="1109"/>
    <x v="56"/>
    <x v="2"/>
    <n v="405.30770000000001"/>
    <n v="32"/>
    <n v="12969.8464"/>
  </r>
  <r>
    <x v="0"/>
    <x v="1117"/>
    <x v="1109"/>
    <x v="56"/>
    <x v="2"/>
    <n v="405.30770000000001"/>
    <n v="32"/>
    <n v="12969.8464"/>
  </r>
  <r>
    <x v="2"/>
    <x v="1118"/>
    <x v="1110"/>
    <x v="6"/>
    <x v="2"/>
    <n v="146.2319"/>
    <n v="3"/>
    <n v="438.69569999999999"/>
  </r>
  <r>
    <x v="1"/>
    <x v="1118"/>
    <x v="1110"/>
    <x v="6"/>
    <x v="2"/>
    <n v="146.2319"/>
    <n v="3"/>
    <n v="438.69569999999999"/>
  </r>
  <r>
    <x v="1"/>
    <x v="1119"/>
    <x v="1111"/>
    <x v="57"/>
    <x v="2"/>
    <n v="212.64920000000001"/>
    <n v="11"/>
    <n v="2339.1412"/>
  </r>
  <r>
    <x v="2"/>
    <x v="1119"/>
    <x v="1111"/>
    <x v="57"/>
    <x v="2"/>
    <n v="212.64920000000001"/>
    <n v="11"/>
    <n v="2339.1412"/>
  </r>
  <r>
    <x v="1"/>
    <x v="1120"/>
    <x v="1112"/>
    <x v="35"/>
    <x v="2"/>
    <n v="0"/>
    <n v="3"/>
    <n v="0"/>
  </r>
  <r>
    <x v="1"/>
    <x v="1121"/>
    <x v="1113"/>
    <x v="58"/>
    <x v="2"/>
    <n v="205.28030000000001"/>
    <n v="7"/>
    <n v="1436.9621000000002"/>
  </r>
  <r>
    <x v="2"/>
    <x v="1121"/>
    <x v="1113"/>
    <x v="58"/>
    <x v="2"/>
    <n v="205.28030000000001"/>
    <n v="7"/>
    <n v="1436.9621000000002"/>
  </r>
  <r>
    <x v="1"/>
    <x v="1122"/>
    <x v="1114"/>
    <x v="35"/>
    <x v="2"/>
    <n v="2.3050000000000002"/>
    <n v="7"/>
    <n v="16.135000000000002"/>
  </r>
  <r>
    <x v="1"/>
    <x v="1123"/>
    <x v="1115"/>
    <x v="35"/>
    <x v="2"/>
    <n v="4.4420000000000002"/>
    <n v="5"/>
    <n v="22.21"/>
  </r>
  <r>
    <x v="1"/>
    <x v="1124"/>
    <x v="1116"/>
    <x v="35"/>
    <x v="2"/>
    <n v="0"/>
    <n v="1"/>
    <n v="0"/>
  </r>
  <r>
    <x v="1"/>
    <x v="1125"/>
    <x v="1117"/>
    <x v="1"/>
    <x v="4"/>
    <n v="0"/>
    <n v="1"/>
    <n v="0"/>
  </r>
  <r>
    <x v="1"/>
    <x v="1126"/>
    <x v="1118"/>
    <x v="3"/>
    <x v="2"/>
    <n v="8.19"/>
    <n v="2"/>
    <n v="16.38"/>
  </r>
  <r>
    <x v="1"/>
    <x v="1127"/>
    <x v="1119"/>
    <x v="37"/>
    <x v="2"/>
    <n v="0.499"/>
    <n v="6"/>
    <n v="2.9939999999999998"/>
  </r>
  <r>
    <x v="1"/>
    <x v="1128"/>
    <x v="1120"/>
    <x v="3"/>
    <x v="2"/>
    <n v="3.2242000000000002"/>
    <n v="23"/>
    <n v="74.156599999999997"/>
  </r>
  <r>
    <x v="2"/>
    <x v="1128"/>
    <x v="1120"/>
    <x v="3"/>
    <x v="2"/>
    <n v="3.2242000000000002"/>
    <n v="23"/>
    <n v="74.156599999999997"/>
  </r>
  <r>
    <x v="1"/>
    <x v="1129"/>
    <x v="1121"/>
    <x v="3"/>
    <x v="2"/>
    <n v="0.69899999999999995"/>
    <n v="15"/>
    <n v="10.484999999999999"/>
  </r>
  <r>
    <x v="1"/>
    <x v="1130"/>
    <x v="1122"/>
    <x v="3"/>
    <x v="2"/>
    <n v="0.23899999999999999"/>
    <n v="10"/>
    <n v="2.3899999999999997"/>
  </r>
  <r>
    <x v="1"/>
    <x v="1131"/>
    <x v="1123"/>
    <x v="3"/>
    <x v="2"/>
    <n v="2.82"/>
    <n v="15"/>
    <n v="42.3"/>
  </r>
  <r>
    <x v="1"/>
    <x v="1132"/>
    <x v="1124"/>
    <x v="3"/>
    <x v="2"/>
    <n v="1.819"/>
    <n v="28"/>
    <n v="50.932000000000002"/>
  </r>
  <r>
    <x v="2"/>
    <x v="1132"/>
    <x v="1124"/>
    <x v="3"/>
    <x v="2"/>
    <n v="1.819"/>
    <n v="28"/>
    <n v="50.932000000000002"/>
  </r>
  <r>
    <x v="1"/>
    <x v="1133"/>
    <x v="1125"/>
    <x v="3"/>
    <x v="2"/>
    <n v="3.302"/>
    <n v="3"/>
    <n v="9.9060000000000006"/>
  </r>
  <r>
    <x v="2"/>
    <x v="1134"/>
    <x v="1126"/>
    <x v="3"/>
    <x v="2"/>
    <n v="3.6166"/>
    <n v="17"/>
    <n v="61.482199999999999"/>
  </r>
  <r>
    <x v="1"/>
    <x v="1134"/>
    <x v="1126"/>
    <x v="3"/>
    <x v="2"/>
    <n v="3.6166"/>
    <n v="17"/>
    <n v="61.482199999999999"/>
  </r>
  <r>
    <x v="1"/>
    <x v="1135"/>
    <x v="1127"/>
    <x v="3"/>
    <x v="2"/>
    <n v="4.1688000000000001"/>
    <n v="8"/>
    <n v="33.3504"/>
  </r>
  <r>
    <x v="2"/>
    <x v="1135"/>
    <x v="1127"/>
    <x v="3"/>
    <x v="2"/>
    <n v="4.1688000000000001"/>
    <n v="8"/>
    <n v="33.3504"/>
  </r>
  <r>
    <x v="1"/>
    <x v="1136"/>
    <x v="1128"/>
    <x v="3"/>
    <x v="2"/>
    <n v="4.8499999999999996"/>
    <n v="1"/>
    <n v="4.8499999999999996"/>
  </r>
  <r>
    <x v="1"/>
    <x v="1137"/>
    <x v="1129"/>
    <x v="3"/>
    <x v="2"/>
    <n v="1.6294999999999999"/>
    <n v="4"/>
    <n v="6.5179999999999998"/>
  </r>
  <r>
    <x v="2"/>
    <x v="1137"/>
    <x v="1129"/>
    <x v="3"/>
    <x v="2"/>
    <n v="1.6294999999999999"/>
    <n v="4"/>
    <n v="6.5179999999999998"/>
  </r>
  <r>
    <x v="1"/>
    <x v="1138"/>
    <x v="1130"/>
    <x v="3"/>
    <x v="2"/>
    <n v="11.27"/>
    <n v="3"/>
    <n v="33.81"/>
  </r>
  <r>
    <x v="1"/>
    <x v="1139"/>
    <x v="1131"/>
    <x v="37"/>
    <x v="2"/>
    <n v="14.96"/>
    <n v="5"/>
    <n v="74.800000000000011"/>
  </r>
  <r>
    <x v="1"/>
    <x v="1140"/>
    <x v="1132"/>
    <x v="3"/>
    <x v="2"/>
    <n v="13.401199999999999"/>
    <n v="15"/>
    <n v="201.018"/>
  </r>
  <r>
    <x v="1"/>
    <x v="1141"/>
    <x v="1133"/>
    <x v="3"/>
    <x v="2"/>
    <n v="6.94"/>
    <n v="4"/>
    <n v="27.76"/>
  </r>
  <r>
    <x v="1"/>
    <x v="1142"/>
    <x v="1134"/>
    <x v="37"/>
    <x v="2"/>
    <n v="14.74"/>
    <n v="1"/>
    <n v="14.74"/>
  </r>
  <r>
    <x v="1"/>
    <x v="1143"/>
    <x v="1135"/>
    <x v="37"/>
    <x v="2"/>
    <n v="2.14"/>
    <n v="14"/>
    <n v="29.96"/>
  </r>
  <r>
    <x v="1"/>
    <x v="1144"/>
    <x v="1136"/>
    <x v="3"/>
    <x v="2"/>
    <n v="4.54"/>
    <n v="2"/>
    <n v="9.08"/>
  </r>
  <r>
    <x v="1"/>
    <x v="1145"/>
    <x v="1137"/>
    <x v="3"/>
    <x v="2"/>
    <n v="4.2460000000000004"/>
    <n v="3"/>
    <n v="12.738000000000001"/>
  </r>
  <r>
    <x v="1"/>
    <x v="1146"/>
    <x v="1138"/>
    <x v="3"/>
    <x v="2"/>
    <n v="1.498"/>
    <n v="20"/>
    <n v="29.96"/>
  </r>
  <r>
    <x v="1"/>
    <x v="1147"/>
    <x v="1139"/>
    <x v="3"/>
    <x v="2"/>
    <n v="2.1619999999999999"/>
    <n v="15"/>
    <n v="32.43"/>
  </r>
  <r>
    <x v="1"/>
    <x v="1148"/>
    <x v="1140"/>
    <x v="3"/>
    <x v="2"/>
    <n v="1.6971000000000001"/>
    <n v="18"/>
    <n v="30.547800000000002"/>
  </r>
  <r>
    <x v="1"/>
    <x v="1149"/>
    <x v="1141"/>
    <x v="3"/>
    <x v="2"/>
    <n v="0.28000000000000003"/>
    <n v="45"/>
    <n v="12.600000000000001"/>
  </r>
  <r>
    <x v="1"/>
    <x v="1150"/>
    <x v="1142"/>
    <x v="1"/>
    <x v="4"/>
    <n v="0"/>
    <n v="10"/>
    <n v="0"/>
  </r>
  <r>
    <x v="1"/>
    <x v="1151"/>
    <x v="1143"/>
    <x v="3"/>
    <x v="2"/>
    <n v="1.629"/>
    <n v="7"/>
    <n v="11.403"/>
  </r>
  <r>
    <x v="1"/>
    <x v="1152"/>
    <x v="1144"/>
    <x v="3"/>
    <x v="2"/>
    <n v="1.629"/>
    <n v="13"/>
    <n v="21.177"/>
  </r>
  <r>
    <x v="1"/>
    <x v="1153"/>
    <x v="1145"/>
    <x v="3"/>
    <x v="2"/>
    <n v="18.88"/>
    <n v="8"/>
    <n v="151.04"/>
  </r>
  <r>
    <x v="1"/>
    <x v="1154"/>
    <x v="1146"/>
    <x v="35"/>
    <x v="2"/>
    <n v="61.627000000000002"/>
    <n v="3"/>
    <n v="184.881"/>
  </r>
  <r>
    <x v="1"/>
    <x v="1155"/>
    <x v="1147"/>
    <x v="49"/>
    <x v="2"/>
    <n v="0"/>
    <n v="1"/>
    <n v="0"/>
  </r>
  <r>
    <x v="1"/>
    <x v="1156"/>
    <x v="1148"/>
    <x v="38"/>
    <x v="2"/>
    <n v="25.435199999999998"/>
    <n v="9"/>
    <n v="228.91679999999999"/>
  </r>
  <r>
    <x v="1"/>
    <x v="1157"/>
    <x v="1149"/>
    <x v="3"/>
    <x v="2"/>
    <n v="64.69"/>
    <n v="5"/>
    <n v="323.45"/>
  </r>
  <r>
    <x v="1"/>
    <x v="1158"/>
    <x v="1150"/>
    <x v="35"/>
    <x v="2"/>
    <n v="11.452"/>
    <n v="4"/>
    <n v="45.808"/>
  </r>
  <r>
    <x v="1"/>
    <x v="1159"/>
    <x v="1151"/>
    <x v="35"/>
    <x v="2"/>
    <n v="4.46"/>
    <n v="3"/>
    <n v="13.379999999999999"/>
  </r>
  <r>
    <x v="1"/>
    <x v="1160"/>
    <x v="1152"/>
    <x v="36"/>
    <x v="2"/>
    <n v="3.48"/>
    <n v="2"/>
    <n v="6.96"/>
  </r>
  <r>
    <x v="1"/>
    <x v="1161"/>
    <x v="1153"/>
    <x v="35"/>
    <x v="2"/>
    <n v="60.39"/>
    <n v="2"/>
    <n v="120.78"/>
  </r>
  <r>
    <x v="1"/>
    <x v="1162"/>
    <x v="1154"/>
    <x v="35"/>
    <x v="2"/>
    <n v="68.198499999999996"/>
    <n v="1"/>
    <n v="68.198499999999996"/>
  </r>
  <r>
    <x v="2"/>
    <x v="1163"/>
    <x v="1155"/>
    <x v="35"/>
    <x v="2"/>
    <n v="31.967300000000002"/>
    <n v="6"/>
    <n v="191.80380000000002"/>
  </r>
  <r>
    <x v="1"/>
    <x v="1163"/>
    <x v="1155"/>
    <x v="35"/>
    <x v="2"/>
    <n v="31.967300000000002"/>
    <n v="6"/>
    <n v="191.80380000000002"/>
  </r>
  <r>
    <x v="1"/>
    <x v="1164"/>
    <x v="802"/>
    <x v="35"/>
    <x v="2"/>
    <n v="11.74"/>
    <n v="7"/>
    <n v="82.18"/>
  </r>
  <r>
    <x v="1"/>
    <x v="1165"/>
    <x v="1156"/>
    <x v="3"/>
    <x v="2"/>
    <n v="38.466999999999999"/>
    <n v="3"/>
    <n v="115.401"/>
  </r>
  <r>
    <x v="1"/>
    <x v="1166"/>
    <x v="1157"/>
    <x v="35"/>
    <x v="2"/>
    <n v="20.399799999999999"/>
    <n v="5"/>
    <n v="101.999"/>
  </r>
  <r>
    <x v="1"/>
    <x v="1167"/>
    <x v="1158"/>
    <x v="3"/>
    <x v="2"/>
    <n v="8.8910999999999998"/>
    <n v="22"/>
    <n v="195.60419999999999"/>
  </r>
  <r>
    <x v="1"/>
    <x v="1168"/>
    <x v="1159"/>
    <x v="3"/>
    <x v="2"/>
    <n v="7.8070000000000004"/>
    <n v="3"/>
    <n v="23.420999999999999"/>
  </r>
  <r>
    <x v="1"/>
    <x v="1169"/>
    <x v="1160"/>
    <x v="35"/>
    <x v="2"/>
    <n v="0"/>
    <n v="2"/>
    <n v="0"/>
  </r>
  <r>
    <x v="1"/>
    <x v="1170"/>
    <x v="1161"/>
    <x v="44"/>
    <x v="2"/>
    <n v="13.61"/>
    <n v="3"/>
    <n v="40.83"/>
  </r>
  <r>
    <x v="1"/>
    <x v="1171"/>
    <x v="1162"/>
    <x v="37"/>
    <x v="2"/>
    <n v="11.97"/>
    <n v="4"/>
    <n v="47.88"/>
  </r>
  <r>
    <x v="1"/>
    <x v="1172"/>
    <x v="1163"/>
    <x v="38"/>
    <x v="2"/>
    <n v="3.952"/>
    <n v="6"/>
    <n v="23.712"/>
  </r>
  <r>
    <x v="1"/>
    <x v="1173"/>
    <x v="1164"/>
    <x v="3"/>
    <x v="2"/>
    <n v="7.6148999999999996"/>
    <n v="19"/>
    <n v="144.6831"/>
  </r>
  <r>
    <x v="1"/>
    <x v="1174"/>
    <x v="1165"/>
    <x v="35"/>
    <x v="2"/>
    <n v="43.29"/>
    <n v="3"/>
    <n v="129.87"/>
  </r>
  <r>
    <x v="1"/>
    <x v="1175"/>
    <x v="1166"/>
    <x v="35"/>
    <x v="2"/>
    <n v="18.59"/>
    <n v="3"/>
    <n v="55.769999999999996"/>
  </r>
  <r>
    <x v="1"/>
    <x v="1176"/>
    <x v="1166"/>
    <x v="35"/>
    <x v="2"/>
    <n v="15.0548"/>
    <n v="10"/>
    <n v="150.548"/>
  </r>
  <r>
    <x v="1"/>
    <x v="1177"/>
    <x v="1167"/>
    <x v="35"/>
    <x v="2"/>
    <n v="15.91"/>
    <n v="2"/>
    <n v="31.82"/>
  </r>
  <r>
    <x v="1"/>
    <x v="1178"/>
    <x v="1168"/>
    <x v="35"/>
    <x v="2"/>
    <n v="28.08"/>
    <n v="2"/>
    <n v="56.16"/>
  </r>
  <r>
    <x v="1"/>
    <x v="1179"/>
    <x v="1169"/>
    <x v="36"/>
    <x v="2"/>
    <n v="20.41"/>
    <n v="2"/>
    <n v="40.82"/>
  </r>
  <r>
    <x v="1"/>
    <x v="1180"/>
    <x v="1170"/>
    <x v="3"/>
    <x v="2"/>
    <n v="51.908999999999999"/>
    <n v="14"/>
    <n v="726.726"/>
  </r>
  <r>
    <x v="1"/>
    <x v="1181"/>
    <x v="1171"/>
    <x v="3"/>
    <x v="2"/>
    <n v="74.254000000000005"/>
    <n v="3"/>
    <n v="222.762"/>
  </r>
  <r>
    <x v="1"/>
    <x v="1182"/>
    <x v="1172"/>
    <x v="3"/>
    <x v="2"/>
    <n v="28.102"/>
    <n v="7"/>
    <n v="196.714"/>
  </r>
  <r>
    <x v="1"/>
    <x v="1183"/>
    <x v="1173"/>
    <x v="3"/>
    <x v="2"/>
    <n v="11.72"/>
    <n v="2"/>
    <n v="23.44"/>
  </r>
  <r>
    <x v="1"/>
    <x v="1184"/>
    <x v="1173"/>
    <x v="3"/>
    <x v="2"/>
    <n v="9.5299999999999994"/>
    <n v="7"/>
    <n v="66.709999999999994"/>
  </r>
  <r>
    <x v="1"/>
    <x v="1185"/>
    <x v="1174"/>
    <x v="3"/>
    <x v="2"/>
    <n v="29.53"/>
    <n v="2"/>
    <n v="59.06"/>
  </r>
  <r>
    <x v="1"/>
    <x v="1186"/>
    <x v="1175"/>
    <x v="3"/>
    <x v="2"/>
    <n v="23.35"/>
    <n v="1"/>
    <n v="23.35"/>
  </r>
  <r>
    <x v="1"/>
    <x v="1187"/>
    <x v="1176"/>
    <x v="3"/>
    <x v="2"/>
    <n v="4.9000000000000004"/>
    <n v="4"/>
    <n v="19.600000000000001"/>
  </r>
  <r>
    <x v="1"/>
    <x v="1188"/>
    <x v="1177"/>
    <x v="3"/>
    <x v="2"/>
    <n v="25.773599999999998"/>
    <n v="9"/>
    <n v="231.96239999999997"/>
  </r>
  <r>
    <x v="1"/>
    <x v="1189"/>
    <x v="1178"/>
    <x v="35"/>
    <x v="2"/>
    <n v="28.93"/>
    <n v="2"/>
    <n v="57.86"/>
  </r>
  <r>
    <x v="1"/>
    <x v="1190"/>
    <x v="1179"/>
    <x v="35"/>
    <x v="2"/>
    <n v="44.96"/>
    <n v="1"/>
    <n v="44.96"/>
  </r>
  <r>
    <x v="1"/>
    <x v="1191"/>
    <x v="1180"/>
    <x v="3"/>
    <x v="2"/>
    <n v="18.503599999999999"/>
    <n v="31"/>
    <n v="573.61159999999995"/>
  </r>
  <r>
    <x v="1"/>
    <x v="1192"/>
    <x v="1181"/>
    <x v="34"/>
    <x v="2"/>
    <n v="13.095599999999999"/>
    <n v="73"/>
    <n v="955.97879999999998"/>
  </r>
  <r>
    <x v="2"/>
    <x v="1192"/>
    <x v="1181"/>
    <x v="34"/>
    <x v="2"/>
    <n v="13.095599999999999"/>
    <n v="73"/>
    <n v="955.97879999999998"/>
  </r>
  <r>
    <x v="1"/>
    <x v="1193"/>
    <x v="1182"/>
    <x v="37"/>
    <x v="2"/>
    <n v="25.855699999999999"/>
    <n v="4"/>
    <n v="103.4228"/>
  </r>
  <r>
    <x v="1"/>
    <x v="1194"/>
    <x v="1183"/>
    <x v="35"/>
    <x v="2"/>
    <n v="66.91"/>
    <n v="1"/>
    <n v="66.91"/>
  </r>
  <r>
    <x v="1"/>
    <x v="1195"/>
    <x v="1184"/>
    <x v="35"/>
    <x v="2"/>
    <n v="37.78"/>
    <n v="1"/>
    <n v="37.78"/>
  </r>
  <r>
    <x v="1"/>
    <x v="1196"/>
    <x v="1185"/>
    <x v="35"/>
    <x v="2"/>
    <n v="23.78"/>
    <n v="8"/>
    <n v="190.24"/>
  </r>
  <r>
    <x v="1"/>
    <x v="1197"/>
    <x v="1186"/>
    <x v="35"/>
    <x v="2"/>
    <n v="20.269400000000001"/>
    <n v="16"/>
    <n v="324.31040000000002"/>
  </r>
  <r>
    <x v="1"/>
    <x v="1198"/>
    <x v="1187"/>
    <x v="39"/>
    <x v="2"/>
    <n v="1.07"/>
    <n v="2"/>
    <n v="2.14"/>
  </r>
  <r>
    <x v="1"/>
    <x v="1199"/>
    <x v="1188"/>
    <x v="3"/>
    <x v="2"/>
    <n v="11.297000000000001"/>
    <n v="36"/>
    <n v="406.69200000000001"/>
  </r>
  <r>
    <x v="1"/>
    <x v="1200"/>
    <x v="1189"/>
    <x v="3"/>
    <x v="2"/>
    <n v="17.702999999999999"/>
    <n v="15"/>
    <n v="265.54500000000002"/>
  </r>
  <r>
    <x v="1"/>
    <x v="1201"/>
    <x v="1190"/>
    <x v="35"/>
    <x v="2"/>
    <n v="51.35"/>
    <n v="1"/>
    <n v="51.35"/>
  </r>
  <r>
    <x v="1"/>
    <x v="1202"/>
    <x v="1191"/>
    <x v="35"/>
    <x v="2"/>
    <n v="13.38"/>
    <n v="3"/>
    <n v="40.14"/>
  </r>
  <r>
    <x v="1"/>
    <x v="1203"/>
    <x v="1192"/>
    <x v="35"/>
    <x v="2"/>
    <n v="0.1"/>
    <n v="1"/>
    <n v="0.1"/>
  </r>
  <r>
    <x v="1"/>
    <x v="1204"/>
    <x v="1193"/>
    <x v="3"/>
    <x v="2"/>
    <n v="9.827"/>
    <n v="3"/>
    <n v="29.481000000000002"/>
  </r>
  <r>
    <x v="1"/>
    <x v="1205"/>
    <x v="1194"/>
    <x v="3"/>
    <x v="2"/>
    <n v="11.02"/>
    <n v="3"/>
    <n v="33.06"/>
  </r>
  <r>
    <x v="1"/>
    <x v="1206"/>
    <x v="1195"/>
    <x v="3"/>
    <x v="2"/>
    <n v="16.587"/>
    <n v="6"/>
    <n v="99.521999999999991"/>
  </r>
  <r>
    <x v="1"/>
    <x v="1207"/>
    <x v="1196"/>
    <x v="3"/>
    <x v="2"/>
    <n v="2.9980000000000002"/>
    <n v="8"/>
    <n v="23.984000000000002"/>
  </r>
  <r>
    <x v="1"/>
    <x v="1208"/>
    <x v="1197"/>
    <x v="3"/>
    <x v="2"/>
    <n v="1.514"/>
    <n v="7"/>
    <n v="10.598000000000001"/>
  </r>
  <r>
    <x v="1"/>
    <x v="1209"/>
    <x v="1198"/>
    <x v="3"/>
    <x v="2"/>
    <n v="8.8239999999999998"/>
    <n v="9"/>
    <n v="79.415999999999997"/>
  </r>
  <r>
    <x v="2"/>
    <x v="1210"/>
    <x v="1199"/>
    <x v="35"/>
    <x v="2"/>
    <n v="17.237100000000002"/>
    <n v="1"/>
    <n v="17.237100000000002"/>
  </r>
  <r>
    <x v="1"/>
    <x v="1210"/>
    <x v="1199"/>
    <x v="35"/>
    <x v="2"/>
    <n v="17.237100000000002"/>
    <n v="1"/>
    <n v="17.237100000000002"/>
  </r>
  <r>
    <x v="1"/>
    <x v="1211"/>
    <x v="1200"/>
    <x v="35"/>
    <x v="2"/>
    <n v="24.151"/>
    <n v="10"/>
    <n v="241.51"/>
  </r>
  <r>
    <x v="1"/>
    <x v="1212"/>
    <x v="1201"/>
    <x v="35"/>
    <x v="2"/>
    <n v="35.552999999999997"/>
    <n v="2"/>
    <n v="71.105999999999995"/>
  </r>
  <r>
    <x v="1"/>
    <x v="1213"/>
    <x v="1202"/>
    <x v="35"/>
    <x v="2"/>
    <n v="51.108400000000003"/>
    <n v="2"/>
    <n v="102.21680000000001"/>
  </r>
  <r>
    <x v="2"/>
    <x v="1213"/>
    <x v="1202"/>
    <x v="35"/>
    <x v="2"/>
    <n v="51.108400000000003"/>
    <n v="2"/>
    <n v="102.21680000000001"/>
  </r>
  <r>
    <x v="1"/>
    <x v="1214"/>
    <x v="1203"/>
    <x v="35"/>
    <x v="2"/>
    <n v="65.394999999999996"/>
    <n v="4"/>
    <n v="261.58"/>
  </r>
  <r>
    <x v="1"/>
    <x v="1215"/>
    <x v="1204"/>
    <x v="35"/>
    <x v="2"/>
    <n v="22.43"/>
    <n v="2"/>
    <n v="44.86"/>
  </r>
  <r>
    <x v="1"/>
    <x v="1216"/>
    <x v="1205"/>
    <x v="35"/>
    <x v="2"/>
    <n v="61.49"/>
    <n v="1"/>
    <n v="61.49"/>
  </r>
  <r>
    <x v="1"/>
    <x v="1217"/>
    <x v="1206"/>
    <x v="35"/>
    <x v="2"/>
    <n v="45.64"/>
    <n v="1"/>
    <n v="45.64"/>
  </r>
  <r>
    <x v="1"/>
    <x v="1218"/>
    <x v="1207"/>
    <x v="35"/>
    <x v="2"/>
    <n v="22.42"/>
    <n v="1"/>
    <n v="22.42"/>
  </r>
  <r>
    <x v="1"/>
    <x v="1219"/>
    <x v="1208"/>
    <x v="35"/>
    <x v="2"/>
    <n v="27.934999999999999"/>
    <n v="2"/>
    <n v="55.87"/>
  </r>
  <r>
    <x v="1"/>
    <x v="1220"/>
    <x v="1209"/>
    <x v="3"/>
    <x v="2"/>
    <n v="11.757"/>
    <n v="3"/>
    <n v="35.271000000000001"/>
  </r>
  <r>
    <x v="1"/>
    <x v="1221"/>
    <x v="1210"/>
    <x v="3"/>
    <x v="2"/>
    <n v="4.7380000000000004"/>
    <n v="45"/>
    <n v="213.21"/>
  </r>
  <r>
    <x v="2"/>
    <x v="1221"/>
    <x v="1210"/>
    <x v="3"/>
    <x v="2"/>
    <n v="4.7380000000000004"/>
    <n v="45"/>
    <n v="213.21"/>
  </r>
  <r>
    <x v="1"/>
    <x v="1222"/>
    <x v="1211"/>
    <x v="3"/>
    <x v="2"/>
    <n v="51.176099999999998"/>
    <n v="10"/>
    <n v="511.76099999999997"/>
  </r>
  <r>
    <x v="2"/>
    <x v="1222"/>
    <x v="1211"/>
    <x v="3"/>
    <x v="2"/>
    <n v="51.176099999999998"/>
    <n v="10"/>
    <n v="511.76099999999997"/>
  </r>
  <r>
    <x v="1"/>
    <x v="1223"/>
    <x v="1212"/>
    <x v="3"/>
    <x v="2"/>
    <n v="35.410200000000003"/>
    <n v="1"/>
    <n v="35.410200000000003"/>
  </r>
  <r>
    <x v="1"/>
    <x v="1224"/>
    <x v="1213"/>
    <x v="3"/>
    <x v="2"/>
    <n v="25.8081"/>
    <n v="30"/>
    <n v="774.24299999999994"/>
  </r>
  <r>
    <x v="2"/>
    <x v="1224"/>
    <x v="1213"/>
    <x v="3"/>
    <x v="2"/>
    <n v="25.8081"/>
    <n v="30"/>
    <n v="774.24299999999994"/>
  </r>
  <r>
    <x v="2"/>
    <x v="1225"/>
    <x v="1214"/>
    <x v="3"/>
    <x v="2"/>
    <n v="55.989699999999999"/>
    <n v="12"/>
    <n v="671.87639999999999"/>
  </r>
  <r>
    <x v="1"/>
    <x v="1225"/>
    <x v="1214"/>
    <x v="3"/>
    <x v="2"/>
    <n v="55.989699999999999"/>
    <n v="12"/>
    <n v="671.87639999999999"/>
  </r>
  <r>
    <x v="1"/>
    <x v="1226"/>
    <x v="1215"/>
    <x v="3"/>
    <x v="2"/>
    <n v="47.43"/>
    <n v="4"/>
    <n v="189.72"/>
  </r>
  <r>
    <x v="1"/>
    <x v="1227"/>
    <x v="1216"/>
    <x v="3"/>
    <x v="2"/>
    <n v="34.543300000000002"/>
    <n v="3"/>
    <n v="103.62990000000001"/>
  </r>
  <r>
    <x v="1"/>
    <x v="1228"/>
    <x v="1217"/>
    <x v="3"/>
    <x v="2"/>
    <n v="18.248000000000001"/>
    <n v="5"/>
    <n v="91.240000000000009"/>
  </r>
  <r>
    <x v="1"/>
    <x v="1229"/>
    <x v="1218"/>
    <x v="3"/>
    <x v="2"/>
    <n v="21.516999999999999"/>
    <n v="5"/>
    <n v="107.58499999999999"/>
  </r>
  <r>
    <x v="1"/>
    <x v="1230"/>
    <x v="1219"/>
    <x v="3"/>
    <x v="2"/>
    <n v="19.38"/>
    <n v="2"/>
    <n v="38.76"/>
  </r>
  <r>
    <x v="2"/>
    <x v="1230"/>
    <x v="1219"/>
    <x v="3"/>
    <x v="2"/>
    <n v="19.38"/>
    <n v="2"/>
    <n v="38.76"/>
  </r>
  <r>
    <x v="1"/>
    <x v="1231"/>
    <x v="1220"/>
    <x v="51"/>
    <x v="2"/>
    <n v="25.733000000000001"/>
    <n v="1"/>
    <n v="25.733000000000001"/>
  </r>
  <r>
    <x v="1"/>
    <x v="1232"/>
    <x v="1221"/>
    <x v="36"/>
    <x v="2"/>
    <n v="0.1"/>
    <n v="2"/>
    <n v="0.2"/>
  </r>
  <r>
    <x v="1"/>
    <x v="1233"/>
    <x v="1222"/>
    <x v="3"/>
    <x v="2"/>
    <n v="0"/>
    <n v="3"/>
    <n v="0"/>
  </r>
  <r>
    <x v="2"/>
    <x v="1234"/>
    <x v="1223"/>
    <x v="35"/>
    <x v="2"/>
    <n v="107.9485"/>
    <n v="3"/>
    <n v="323.84550000000002"/>
  </r>
  <r>
    <x v="1"/>
    <x v="1234"/>
    <x v="1223"/>
    <x v="35"/>
    <x v="2"/>
    <n v="107.9485"/>
    <n v="3"/>
    <n v="323.84550000000002"/>
  </r>
  <r>
    <x v="1"/>
    <x v="1235"/>
    <x v="854"/>
    <x v="3"/>
    <x v="2"/>
    <n v="7.64"/>
    <n v="1"/>
    <n v="7.64"/>
  </r>
  <r>
    <x v="1"/>
    <x v="1236"/>
    <x v="1224"/>
    <x v="36"/>
    <x v="2"/>
    <n v="16.703299999999999"/>
    <n v="11"/>
    <n v="183.73629999999997"/>
  </r>
  <r>
    <x v="1"/>
    <x v="1237"/>
    <x v="1225"/>
    <x v="3"/>
    <x v="2"/>
    <n v="14.47"/>
    <n v="6"/>
    <n v="86.820000000000007"/>
  </r>
  <r>
    <x v="1"/>
    <x v="1238"/>
    <x v="1226"/>
    <x v="3"/>
    <x v="2"/>
    <n v="21.328199999999999"/>
    <n v="15"/>
    <n v="319.923"/>
  </r>
  <r>
    <x v="2"/>
    <x v="1238"/>
    <x v="1226"/>
    <x v="3"/>
    <x v="2"/>
    <n v="21.328199999999999"/>
    <n v="15"/>
    <n v="319.923"/>
  </r>
  <r>
    <x v="1"/>
    <x v="1239"/>
    <x v="1227"/>
    <x v="3"/>
    <x v="2"/>
    <n v="13.313000000000001"/>
    <n v="6"/>
    <n v="79.878"/>
  </r>
  <r>
    <x v="1"/>
    <x v="1240"/>
    <x v="1228"/>
    <x v="3"/>
    <x v="2"/>
    <n v="19.068999999999999"/>
    <n v="4"/>
    <n v="76.275999999999996"/>
  </r>
  <r>
    <x v="1"/>
    <x v="1241"/>
    <x v="1229"/>
    <x v="3"/>
    <x v="2"/>
    <n v="38.0047"/>
    <n v="9"/>
    <n v="342.04230000000001"/>
  </r>
  <r>
    <x v="2"/>
    <x v="1241"/>
    <x v="1229"/>
    <x v="3"/>
    <x v="2"/>
    <n v="38.0047"/>
    <n v="9"/>
    <n v="342.04230000000001"/>
  </r>
  <r>
    <x v="1"/>
    <x v="1242"/>
    <x v="1230"/>
    <x v="35"/>
    <x v="2"/>
    <n v="26.086600000000001"/>
    <n v="23"/>
    <n v="599.99180000000001"/>
  </r>
  <r>
    <x v="2"/>
    <x v="1242"/>
    <x v="1230"/>
    <x v="35"/>
    <x v="2"/>
    <n v="26.086600000000001"/>
    <n v="23"/>
    <n v="599.99180000000001"/>
  </r>
  <r>
    <x v="2"/>
    <x v="1243"/>
    <x v="1231"/>
    <x v="35"/>
    <x v="2"/>
    <n v="31.233699999999999"/>
    <n v="11"/>
    <n v="343.57069999999999"/>
  </r>
  <r>
    <x v="1"/>
    <x v="1243"/>
    <x v="1231"/>
    <x v="35"/>
    <x v="2"/>
    <n v="31.233699999999999"/>
    <n v="11"/>
    <n v="343.57069999999999"/>
  </r>
  <r>
    <x v="1"/>
    <x v="1244"/>
    <x v="1232"/>
    <x v="3"/>
    <x v="2"/>
    <n v="32.06"/>
    <n v="3"/>
    <n v="96.18"/>
  </r>
  <r>
    <x v="1"/>
    <x v="1245"/>
    <x v="1233"/>
    <x v="3"/>
    <x v="2"/>
    <n v="19.840299999999999"/>
    <n v="27"/>
    <n v="535.68809999999996"/>
  </r>
  <r>
    <x v="2"/>
    <x v="1245"/>
    <x v="1233"/>
    <x v="3"/>
    <x v="2"/>
    <n v="19.840299999999999"/>
    <n v="27"/>
    <n v="535.68809999999996"/>
  </r>
  <r>
    <x v="1"/>
    <x v="1246"/>
    <x v="1234"/>
    <x v="45"/>
    <x v="2"/>
    <n v="2.6042999999999998"/>
    <n v="57"/>
    <n v="148.4451"/>
  </r>
  <r>
    <x v="1"/>
    <x v="1247"/>
    <x v="1235"/>
    <x v="3"/>
    <x v="2"/>
    <n v="33.423999999999999"/>
    <n v="4"/>
    <n v="133.696"/>
  </r>
  <r>
    <x v="1"/>
    <x v="1248"/>
    <x v="1236"/>
    <x v="3"/>
    <x v="2"/>
    <n v="17.062999999999999"/>
    <n v="14"/>
    <n v="238.88199999999998"/>
  </r>
  <r>
    <x v="1"/>
    <x v="1249"/>
    <x v="1237"/>
    <x v="50"/>
    <x v="2"/>
    <n v="20.824999999999999"/>
    <n v="1"/>
    <n v="20.824999999999999"/>
  </r>
  <r>
    <x v="1"/>
    <x v="1250"/>
    <x v="1238"/>
    <x v="3"/>
    <x v="2"/>
    <n v="27.55"/>
    <n v="3"/>
    <n v="82.65"/>
  </r>
  <r>
    <x v="1"/>
    <x v="1251"/>
    <x v="1239"/>
    <x v="3"/>
    <x v="2"/>
    <n v="2.2395999999999998"/>
    <n v="23"/>
    <n v="51.510799999999996"/>
  </r>
  <r>
    <x v="2"/>
    <x v="1251"/>
    <x v="1239"/>
    <x v="3"/>
    <x v="2"/>
    <n v="2.2395999999999998"/>
    <n v="23"/>
    <n v="51.510799999999996"/>
  </r>
  <r>
    <x v="1"/>
    <x v="1252"/>
    <x v="1240"/>
    <x v="35"/>
    <x v="2"/>
    <n v="60.452500000000001"/>
    <n v="3"/>
    <n v="181.35750000000002"/>
  </r>
  <r>
    <x v="2"/>
    <x v="1252"/>
    <x v="1240"/>
    <x v="35"/>
    <x v="2"/>
    <n v="60.452500000000001"/>
    <n v="3"/>
    <n v="181.35750000000002"/>
  </r>
  <r>
    <x v="2"/>
    <x v="1253"/>
    <x v="1241"/>
    <x v="3"/>
    <x v="2"/>
    <n v="9.6579999999999995"/>
    <n v="2"/>
    <n v="19.315999999999999"/>
  </r>
  <r>
    <x v="1"/>
    <x v="1253"/>
    <x v="1241"/>
    <x v="3"/>
    <x v="2"/>
    <n v="9.6579999999999995"/>
    <n v="2"/>
    <n v="19.315999999999999"/>
  </r>
  <r>
    <x v="1"/>
    <x v="1254"/>
    <x v="1242"/>
    <x v="3"/>
    <x v="2"/>
    <n v="19.350000000000001"/>
    <n v="5"/>
    <n v="96.75"/>
  </r>
  <r>
    <x v="1"/>
    <x v="1255"/>
    <x v="1243"/>
    <x v="3"/>
    <x v="2"/>
    <n v="34.347999999999999"/>
    <n v="2"/>
    <n v="68.695999999999998"/>
  </r>
  <r>
    <x v="1"/>
    <x v="1256"/>
    <x v="1244"/>
    <x v="3"/>
    <x v="2"/>
    <n v="30.3"/>
    <n v="6"/>
    <n v="181.8"/>
  </r>
  <r>
    <x v="1"/>
    <x v="1257"/>
    <x v="1245"/>
    <x v="3"/>
    <x v="2"/>
    <n v="11.5708"/>
    <n v="15"/>
    <n v="173.56200000000001"/>
  </r>
  <r>
    <x v="1"/>
    <x v="1258"/>
    <x v="1246"/>
    <x v="3"/>
    <x v="2"/>
    <n v="52.808100000000003"/>
    <n v="3"/>
    <n v="158.42430000000002"/>
  </r>
  <r>
    <x v="2"/>
    <x v="1258"/>
    <x v="1246"/>
    <x v="3"/>
    <x v="2"/>
    <n v="52.808100000000003"/>
    <n v="3"/>
    <n v="158.42430000000002"/>
  </r>
  <r>
    <x v="1"/>
    <x v="1259"/>
    <x v="1247"/>
    <x v="35"/>
    <x v="2"/>
    <n v="92.31"/>
    <n v="4"/>
    <n v="369.24"/>
  </r>
  <r>
    <x v="1"/>
    <x v="1260"/>
    <x v="1248"/>
    <x v="3"/>
    <x v="2"/>
    <n v="22.67"/>
    <n v="5"/>
    <n v="113.35000000000001"/>
  </r>
  <r>
    <x v="1"/>
    <x v="1261"/>
    <x v="1249"/>
    <x v="3"/>
    <x v="2"/>
    <n v="2.6059000000000001"/>
    <n v="22"/>
    <n v="57.329800000000006"/>
  </r>
  <r>
    <x v="1"/>
    <x v="1262"/>
    <x v="1250"/>
    <x v="3"/>
    <x v="2"/>
    <n v="0.84299999999999997"/>
    <n v="28"/>
    <n v="23.603999999999999"/>
  </r>
  <r>
    <x v="2"/>
    <x v="1263"/>
    <x v="1251"/>
    <x v="3"/>
    <x v="2"/>
    <n v="0.26910000000000001"/>
    <n v="64"/>
    <n v="17.2224"/>
  </r>
  <r>
    <x v="1"/>
    <x v="1263"/>
    <x v="1251"/>
    <x v="3"/>
    <x v="2"/>
    <n v="0.26910000000000001"/>
    <n v="64"/>
    <n v="17.2224"/>
  </r>
  <r>
    <x v="1"/>
    <x v="1264"/>
    <x v="1252"/>
    <x v="3"/>
    <x v="2"/>
    <n v="12.313000000000001"/>
    <n v="8"/>
    <n v="98.504000000000005"/>
  </r>
  <r>
    <x v="1"/>
    <x v="1265"/>
    <x v="1253"/>
    <x v="3"/>
    <x v="2"/>
    <n v="0.46700000000000003"/>
    <n v="24"/>
    <n v="11.208"/>
  </r>
  <r>
    <x v="1"/>
    <x v="1266"/>
    <x v="1254"/>
    <x v="3"/>
    <x v="2"/>
    <n v="11.5687"/>
    <n v="60"/>
    <n v="694.12199999999996"/>
  </r>
  <r>
    <x v="1"/>
    <x v="1267"/>
    <x v="1255"/>
    <x v="3"/>
    <x v="2"/>
    <n v="2.4495"/>
    <n v="8"/>
    <n v="19.596"/>
  </r>
  <r>
    <x v="1"/>
    <x v="1268"/>
    <x v="1256"/>
    <x v="3"/>
    <x v="2"/>
    <n v="31.728000000000002"/>
    <n v="3"/>
    <n v="95.183999999999997"/>
  </r>
  <r>
    <x v="1"/>
    <x v="1269"/>
    <x v="1257"/>
    <x v="3"/>
    <x v="2"/>
    <n v="7.9572000000000003"/>
    <n v="36"/>
    <n v="286.45920000000001"/>
  </r>
  <r>
    <x v="1"/>
    <x v="1270"/>
    <x v="1258"/>
    <x v="3"/>
    <x v="2"/>
    <n v="7.468"/>
    <n v="4"/>
    <n v="29.872"/>
  </r>
  <r>
    <x v="1"/>
    <x v="1271"/>
    <x v="1259"/>
    <x v="3"/>
    <x v="2"/>
    <n v="2.9769999999999999"/>
    <n v="173"/>
    <n v="515.02099999999996"/>
  </r>
  <r>
    <x v="1"/>
    <x v="1272"/>
    <x v="1260"/>
    <x v="3"/>
    <x v="2"/>
    <n v="1.1299999999999999"/>
    <n v="26"/>
    <n v="29.379999999999995"/>
  </r>
  <r>
    <x v="0"/>
    <x v="1273"/>
    <x v="1261"/>
    <x v="3"/>
    <x v="2"/>
    <n v="88.183099999999996"/>
    <n v="7"/>
    <n v="617.2817"/>
  </r>
  <r>
    <x v="1"/>
    <x v="1273"/>
    <x v="1261"/>
    <x v="3"/>
    <x v="2"/>
    <n v="88.183099999999996"/>
    <n v="7"/>
    <n v="617.2817"/>
  </r>
  <r>
    <x v="1"/>
    <x v="1274"/>
    <x v="1262"/>
    <x v="3"/>
    <x v="2"/>
    <n v="0.24"/>
    <n v="50"/>
    <n v="12"/>
  </r>
  <r>
    <x v="1"/>
    <x v="1275"/>
    <x v="1263"/>
    <x v="3"/>
    <x v="2"/>
    <n v="0.22"/>
    <n v="25"/>
    <n v="5.5"/>
  </r>
  <r>
    <x v="1"/>
    <x v="1276"/>
    <x v="1264"/>
    <x v="3"/>
    <x v="2"/>
    <n v="2.4"/>
    <n v="25"/>
    <n v="60"/>
  </r>
  <r>
    <x v="1"/>
    <x v="1277"/>
    <x v="1265"/>
    <x v="3"/>
    <x v="2"/>
    <n v="2.54"/>
    <n v="28"/>
    <n v="71.12"/>
  </r>
  <r>
    <x v="1"/>
    <x v="1278"/>
    <x v="1266"/>
    <x v="3"/>
    <x v="2"/>
    <n v="0.22"/>
    <n v="60"/>
    <n v="13.2"/>
  </r>
  <r>
    <x v="1"/>
    <x v="1279"/>
    <x v="1267"/>
    <x v="3"/>
    <x v="2"/>
    <n v="1.2728999999999999"/>
    <n v="26"/>
    <n v="33.095399999999998"/>
  </r>
  <r>
    <x v="1"/>
    <x v="1280"/>
    <x v="1268"/>
    <x v="3"/>
    <x v="2"/>
    <n v="6.66"/>
    <n v="8"/>
    <n v="53.28"/>
  </r>
  <r>
    <x v="1"/>
    <x v="1281"/>
    <x v="1269"/>
    <x v="3"/>
    <x v="2"/>
    <n v="5.27"/>
    <n v="6"/>
    <n v="31.619999999999997"/>
  </r>
  <r>
    <x v="1"/>
    <x v="1282"/>
    <x v="1270"/>
    <x v="3"/>
    <x v="2"/>
    <n v="6.1"/>
    <n v="63"/>
    <n v="384.29999999999995"/>
  </r>
  <r>
    <x v="1"/>
    <x v="1283"/>
    <x v="1271"/>
    <x v="3"/>
    <x v="2"/>
    <n v="16.48"/>
    <n v="10"/>
    <n v="164.8"/>
  </r>
  <r>
    <x v="1"/>
    <x v="1284"/>
    <x v="1272"/>
    <x v="3"/>
    <x v="2"/>
    <n v="21.177800000000001"/>
    <n v="10"/>
    <n v="211.77800000000002"/>
  </r>
  <r>
    <x v="1"/>
    <x v="1285"/>
    <x v="1273"/>
    <x v="3"/>
    <x v="2"/>
    <n v="2.8773"/>
    <n v="7"/>
    <n v="20.141100000000002"/>
  </r>
  <r>
    <x v="1"/>
    <x v="1286"/>
    <x v="1274"/>
    <x v="3"/>
    <x v="2"/>
    <n v="1.2629999999999999"/>
    <n v="8"/>
    <n v="10.103999999999999"/>
  </r>
  <r>
    <x v="1"/>
    <x v="1287"/>
    <x v="1275"/>
    <x v="3"/>
    <x v="2"/>
    <n v="0.50629999999999997"/>
    <n v="138"/>
    <n v="69.869399999999999"/>
  </r>
  <r>
    <x v="1"/>
    <x v="1288"/>
    <x v="1276"/>
    <x v="3"/>
    <x v="2"/>
    <n v="0.50800000000000001"/>
    <n v="9"/>
    <n v="4.5720000000000001"/>
  </r>
  <r>
    <x v="1"/>
    <x v="1289"/>
    <x v="1277"/>
    <x v="3"/>
    <x v="2"/>
    <n v="2.3736999999999999"/>
    <n v="88"/>
    <n v="208.88559999999998"/>
  </r>
  <r>
    <x v="1"/>
    <x v="1290"/>
    <x v="1278"/>
    <x v="3"/>
    <x v="2"/>
    <n v="3.36"/>
    <n v="10"/>
    <n v="33.6"/>
  </r>
  <r>
    <x v="1"/>
    <x v="1291"/>
    <x v="1279"/>
    <x v="3"/>
    <x v="2"/>
    <n v="16.2074"/>
    <n v="9"/>
    <n v="145.86660000000001"/>
  </r>
  <r>
    <x v="1"/>
    <x v="1292"/>
    <x v="1280"/>
    <x v="35"/>
    <x v="2"/>
    <n v="3.6259999999999999"/>
    <n v="8"/>
    <n v="29.007999999999999"/>
  </r>
  <r>
    <x v="1"/>
    <x v="1293"/>
    <x v="1281"/>
    <x v="3"/>
    <x v="2"/>
    <n v="3.0213999999999999"/>
    <n v="19"/>
    <n v="57.406599999999997"/>
  </r>
  <r>
    <x v="1"/>
    <x v="1294"/>
    <x v="1282"/>
    <x v="1"/>
    <x v="4"/>
    <n v="0"/>
    <n v="2"/>
    <n v="0"/>
  </r>
  <r>
    <x v="1"/>
    <x v="1295"/>
    <x v="1283"/>
    <x v="3"/>
    <x v="2"/>
    <n v="13.5601"/>
    <n v="35"/>
    <n v="474.6035"/>
  </r>
  <r>
    <x v="2"/>
    <x v="1296"/>
    <x v="1284"/>
    <x v="3"/>
    <x v="2"/>
    <n v="17.9481"/>
    <n v="26"/>
    <n v="466.6506"/>
  </r>
  <r>
    <x v="1"/>
    <x v="1296"/>
    <x v="1284"/>
    <x v="3"/>
    <x v="2"/>
    <n v="17.9481"/>
    <n v="26"/>
    <n v="466.6506"/>
  </r>
  <r>
    <x v="2"/>
    <x v="1297"/>
    <x v="1285"/>
    <x v="59"/>
    <x v="2"/>
    <n v="185.8237"/>
    <n v="1"/>
    <n v="185.8237"/>
  </r>
  <r>
    <x v="1"/>
    <x v="1297"/>
    <x v="1285"/>
    <x v="59"/>
    <x v="2"/>
    <n v="185.8237"/>
    <n v="1"/>
    <n v="185.8237"/>
  </r>
  <r>
    <x v="1"/>
    <x v="1298"/>
    <x v="1286"/>
    <x v="59"/>
    <x v="2"/>
    <n v="344.40109999999999"/>
    <n v="12"/>
    <n v="4132.8131999999996"/>
  </r>
  <r>
    <x v="2"/>
    <x v="1298"/>
    <x v="1286"/>
    <x v="59"/>
    <x v="2"/>
    <n v="344.40109999999999"/>
    <n v="12"/>
    <n v="4132.8131999999996"/>
  </r>
  <r>
    <x v="0"/>
    <x v="1298"/>
    <x v="1286"/>
    <x v="59"/>
    <x v="2"/>
    <n v="344.40109999999999"/>
    <n v="12"/>
    <n v="4132.8131999999996"/>
  </r>
  <r>
    <x v="1"/>
    <x v="1299"/>
    <x v="1287"/>
    <x v="56"/>
    <x v="2"/>
    <n v="289.15390000000002"/>
    <n v="5"/>
    <n v="1445.7695000000001"/>
  </r>
  <r>
    <x v="2"/>
    <x v="1299"/>
    <x v="1287"/>
    <x v="56"/>
    <x v="2"/>
    <n v="289.15390000000002"/>
    <n v="5"/>
    <n v="1445.7695000000001"/>
  </r>
  <r>
    <x v="2"/>
    <x v="1300"/>
    <x v="1288"/>
    <x v="56"/>
    <x v="2"/>
    <n v="313.9468"/>
    <n v="105"/>
    <n v="32964.413999999997"/>
  </r>
  <r>
    <x v="0"/>
    <x v="1300"/>
    <x v="1288"/>
    <x v="56"/>
    <x v="2"/>
    <n v="313.9468"/>
    <n v="105"/>
    <n v="32964.413999999997"/>
  </r>
  <r>
    <x v="1"/>
    <x v="1300"/>
    <x v="1288"/>
    <x v="56"/>
    <x v="2"/>
    <n v="313.9468"/>
    <n v="105"/>
    <n v="32964.413999999997"/>
  </r>
  <r>
    <x v="1"/>
    <x v="1301"/>
    <x v="1289"/>
    <x v="56"/>
    <x v="2"/>
    <n v="23.636700000000001"/>
    <n v="2"/>
    <n v="47.273400000000002"/>
  </r>
  <r>
    <x v="2"/>
    <x v="1301"/>
    <x v="1289"/>
    <x v="56"/>
    <x v="2"/>
    <n v="23.636700000000001"/>
    <n v="2"/>
    <n v="47.273400000000002"/>
  </r>
  <r>
    <x v="2"/>
    <x v="1302"/>
    <x v="1290"/>
    <x v="56"/>
    <x v="2"/>
    <n v="37.781599999999997"/>
    <n v="1"/>
    <n v="37.781599999999997"/>
  </r>
  <r>
    <x v="1"/>
    <x v="1302"/>
    <x v="1290"/>
    <x v="56"/>
    <x v="2"/>
    <n v="37.781599999999997"/>
    <n v="1"/>
    <n v="37.781599999999997"/>
  </r>
  <r>
    <x v="0"/>
    <x v="1303"/>
    <x v="1291"/>
    <x v="56"/>
    <x v="2"/>
    <n v="52.2682"/>
    <n v="53"/>
    <n v="2770.2145999999998"/>
  </r>
  <r>
    <x v="1"/>
    <x v="1303"/>
    <x v="1291"/>
    <x v="56"/>
    <x v="2"/>
    <n v="52.2682"/>
    <n v="53"/>
    <n v="2770.2145999999998"/>
  </r>
  <r>
    <x v="2"/>
    <x v="1303"/>
    <x v="1291"/>
    <x v="56"/>
    <x v="2"/>
    <n v="52.2682"/>
    <n v="53"/>
    <n v="2770.2145999999998"/>
  </r>
  <r>
    <x v="1"/>
    <x v="1304"/>
    <x v="1292"/>
    <x v="56"/>
    <x v="2"/>
    <n v="47.030700000000003"/>
    <n v="74"/>
    <n v="3480.2718000000004"/>
  </r>
  <r>
    <x v="2"/>
    <x v="1304"/>
    <x v="1292"/>
    <x v="56"/>
    <x v="2"/>
    <n v="47.030700000000003"/>
    <n v="74"/>
    <n v="3480.2718000000004"/>
  </r>
  <r>
    <x v="1"/>
    <x v="1305"/>
    <x v="1293"/>
    <x v="34"/>
    <x v="2"/>
    <n v="10.086399999999999"/>
    <n v="259"/>
    <n v="2612.3775999999998"/>
  </r>
  <r>
    <x v="2"/>
    <x v="1305"/>
    <x v="1293"/>
    <x v="34"/>
    <x v="2"/>
    <n v="10.086399999999999"/>
    <n v="259"/>
    <n v="2612.3775999999998"/>
  </r>
  <r>
    <x v="0"/>
    <x v="1305"/>
    <x v="1293"/>
    <x v="34"/>
    <x v="2"/>
    <n v="10.086399999999999"/>
    <n v="259"/>
    <n v="2612.3775999999998"/>
  </r>
  <r>
    <x v="1"/>
    <x v="1306"/>
    <x v="1294"/>
    <x v="6"/>
    <x v="2"/>
    <n v="184.56559999999999"/>
    <n v="5"/>
    <n v="922.82799999999997"/>
  </r>
  <r>
    <x v="2"/>
    <x v="1306"/>
    <x v="1294"/>
    <x v="6"/>
    <x v="2"/>
    <n v="184.56559999999999"/>
    <n v="5"/>
    <n v="922.82799999999997"/>
  </r>
  <r>
    <x v="1"/>
    <x v="1307"/>
    <x v="1295"/>
    <x v="6"/>
    <x v="2"/>
    <n v="174.60749999999999"/>
    <n v="9"/>
    <n v="1571.4675"/>
  </r>
  <r>
    <x v="2"/>
    <x v="1307"/>
    <x v="1295"/>
    <x v="6"/>
    <x v="2"/>
    <n v="174.60749999999999"/>
    <n v="9"/>
    <n v="1571.4675"/>
  </r>
  <r>
    <x v="1"/>
    <x v="1308"/>
    <x v="1296"/>
    <x v="6"/>
    <x v="2"/>
    <n v="301.04570000000001"/>
    <n v="32"/>
    <n v="9633.4624000000003"/>
  </r>
  <r>
    <x v="2"/>
    <x v="1308"/>
    <x v="1296"/>
    <x v="6"/>
    <x v="2"/>
    <n v="301.04570000000001"/>
    <n v="32"/>
    <n v="9633.4624000000003"/>
  </r>
  <r>
    <x v="0"/>
    <x v="1308"/>
    <x v="1296"/>
    <x v="6"/>
    <x v="2"/>
    <n v="301.04570000000001"/>
    <n v="32"/>
    <n v="9633.4624000000003"/>
  </r>
  <r>
    <x v="1"/>
    <x v="1309"/>
    <x v="1297"/>
    <x v="6"/>
    <x v="2"/>
    <n v="288.39100000000002"/>
    <n v="3"/>
    <n v="865.173"/>
  </r>
  <r>
    <x v="2"/>
    <x v="1309"/>
    <x v="1297"/>
    <x v="6"/>
    <x v="2"/>
    <n v="288.39100000000002"/>
    <n v="3"/>
    <n v="865.173"/>
  </r>
  <r>
    <x v="1"/>
    <x v="1310"/>
    <x v="1298"/>
    <x v="6"/>
    <x v="2"/>
    <n v="297.05549999999999"/>
    <n v="27"/>
    <n v="8020.4984999999997"/>
  </r>
  <r>
    <x v="2"/>
    <x v="1310"/>
    <x v="1298"/>
    <x v="6"/>
    <x v="2"/>
    <n v="297.05549999999999"/>
    <n v="27"/>
    <n v="8020.4984999999997"/>
  </r>
  <r>
    <x v="0"/>
    <x v="1311"/>
    <x v="1299"/>
    <x v="6"/>
    <x v="2"/>
    <n v="329.65910000000002"/>
    <n v="45"/>
    <n v="14834.659500000002"/>
  </r>
  <r>
    <x v="1"/>
    <x v="1311"/>
    <x v="1299"/>
    <x v="6"/>
    <x v="2"/>
    <n v="329.65910000000002"/>
    <n v="45"/>
    <n v="14834.659500000002"/>
  </r>
  <r>
    <x v="2"/>
    <x v="1311"/>
    <x v="1299"/>
    <x v="6"/>
    <x v="2"/>
    <n v="329.65910000000002"/>
    <n v="45"/>
    <n v="14834.659500000002"/>
  </r>
  <r>
    <x v="2"/>
    <x v="1312"/>
    <x v="1300"/>
    <x v="6"/>
    <x v="2"/>
    <n v="211.75659999999999"/>
    <n v="5"/>
    <n v="1058.7829999999999"/>
  </r>
  <r>
    <x v="1"/>
    <x v="1312"/>
    <x v="1300"/>
    <x v="6"/>
    <x v="2"/>
    <n v="211.75659999999999"/>
    <n v="5"/>
    <n v="1058.7829999999999"/>
  </r>
  <r>
    <x v="1"/>
    <x v="1313"/>
    <x v="1301"/>
    <x v="34"/>
    <x v="2"/>
    <n v="7.0627000000000004"/>
    <n v="40"/>
    <n v="282.50800000000004"/>
  </r>
  <r>
    <x v="2"/>
    <x v="1313"/>
    <x v="1301"/>
    <x v="34"/>
    <x v="2"/>
    <n v="7.0627000000000004"/>
    <n v="40"/>
    <n v="282.50800000000004"/>
  </r>
  <r>
    <x v="0"/>
    <x v="1313"/>
    <x v="1301"/>
    <x v="34"/>
    <x v="2"/>
    <n v="7.0627000000000004"/>
    <n v="40"/>
    <n v="282.50800000000004"/>
  </r>
  <r>
    <x v="1"/>
    <x v="1314"/>
    <x v="1302"/>
    <x v="36"/>
    <x v="2"/>
    <n v="0.1"/>
    <n v="2"/>
    <n v="0.2"/>
  </r>
  <r>
    <x v="1"/>
    <x v="1315"/>
    <x v="1303"/>
    <x v="3"/>
    <x v="2"/>
    <n v="0"/>
    <n v="6"/>
    <n v="0"/>
  </r>
  <r>
    <x v="1"/>
    <x v="1316"/>
    <x v="1304"/>
    <x v="3"/>
    <x v="2"/>
    <n v="13.765000000000001"/>
    <n v="47"/>
    <n v="646.95500000000004"/>
  </r>
  <r>
    <x v="1"/>
    <x v="1317"/>
    <x v="1305"/>
    <x v="3"/>
    <x v="2"/>
    <n v="21.828900000000001"/>
    <n v="6"/>
    <n v="130.9734"/>
  </r>
  <r>
    <x v="2"/>
    <x v="1317"/>
    <x v="1305"/>
    <x v="3"/>
    <x v="2"/>
    <n v="21.828900000000001"/>
    <n v="6"/>
    <n v="130.9734"/>
  </r>
  <r>
    <x v="2"/>
    <x v="1318"/>
    <x v="1306"/>
    <x v="3"/>
    <x v="2"/>
    <n v="4.2861000000000002"/>
    <n v="19"/>
    <n v="81.435900000000004"/>
  </r>
  <r>
    <x v="1"/>
    <x v="1318"/>
    <x v="1306"/>
    <x v="3"/>
    <x v="2"/>
    <n v="4.2861000000000002"/>
    <n v="19"/>
    <n v="81.435900000000004"/>
  </r>
  <r>
    <x v="1"/>
    <x v="1319"/>
    <x v="1307"/>
    <x v="3"/>
    <x v="2"/>
    <n v="9.0759000000000007"/>
    <n v="11"/>
    <n v="99.834900000000005"/>
  </r>
  <r>
    <x v="2"/>
    <x v="1319"/>
    <x v="1307"/>
    <x v="3"/>
    <x v="2"/>
    <n v="9.0759000000000007"/>
    <n v="11"/>
    <n v="99.834900000000005"/>
  </r>
  <r>
    <x v="1"/>
    <x v="1320"/>
    <x v="1308"/>
    <x v="37"/>
    <x v="2"/>
    <n v="1.8479000000000001"/>
    <n v="14"/>
    <n v="25.870600000000003"/>
  </r>
  <r>
    <x v="1"/>
    <x v="1321"/>
    <x v="1309"/>
    <x v="3"/>
    <x v="2"/>
    <n v="0.60629999999999995"/>
    <n v="76"/>
    <n v="46.078799999999994"/>
  </r>
  <r>
    <x v="1"/>
    <x v="1322"/>
    <x v="1310"/>
    <x v="35"/>
    <x v="2"/>
    <n v="0.98"/>
    <n v="10"/>
    <n v="9.8000000000000007"/>
  </r>
  <r>
    <x v="1"/>
    <x v="1323"/>
    <x v="1311"/>
    <x v="3"/>
    <x v="2"/>
    <n v="0.64"/>
    <n v="15"/>
    <n v="9.6"/>
  </r>
  <r>
    <x v="1"/>
    <x v="1324"/>
    <x v="1312"/>
    <x v="3"/>
    <x v="2"/>
    <n v="0.81789999999999996"/>
    <n v="82"/>
    <n v="67.067799999999991"/>
  </r>
  <r>
    <x v="2"/>
    <x v="1324"/>
    <x v="1312"/>
    <x v="3"/>
    <x v="2"/>
    <n v="0.81789999999999996"/>
    <n v="82"/>
    <n v="67.067799999999991"/>
  </r>
  <r>
    <x v="1"/>
    <x v="1325"/>
    <x v="1313"/>
    <x v="3"/>
    <x v="2"/>
    <n v="0.67359999999999998"/>
    <n v="121"/>
    <n v="81.505600000000001"/>
  </r>
  <r>
    <x v="2"/>
    <x v="1325"/>
    <x v="1313"/>
    <x v="3"/>
    <x v="2"/>
    <n v="0.67359999999999998"/>
    <n v="121"/>
    <n v="81.505600000000001"/>
  </r>
  <r>
    <x v="1"/>
    <x v="1326"/>
    <x v="1314"/>
    <x v="3"/>
    <x v="2"/>
    <n v="0.76439999999999997"/>
    <n v="45"/>
    <n v="34.397999999999996"/>
  </r>
  <r>
    <x v="2"/>
    <x v="1326"/>
    <x v="1314"/>
    <x v="3"/>
    <x v="2"/>
    <n v="0.76439999999999997"/>
    <n v="45"/>
    <n v="34.397999999999996"/>
  </r>
  <r>
    <x v="1"/>
    <x v="1327"/>
    <x v="1315"/>
    <x v="35"/>
    <x v="2"/>
    <n v="0.54"/>
    <n v="3"/>
    <n v="1.62"/>
  </r>
  <r>
    <x v="2"/>
    <x v="1328"/>
    <x v="1316"/>
    <x v="35"/>
    <x v="2"/>
    <n v="0.75039999999999996"/>
    <n v="12"/>
    <n v="9.0047999999999995"/>
  </r>
  <r>
    <x v="1"/>
    <x v="1328"/>
    <x v="1316"/>
    <x v="35"/>
    <x v="2"/>
    <n v="0.75039999999999996"/>
    <n v="12"/>
    <n v="9.0047999999999995"/>
  </r>
  <r>
    <x v="1"/>
    <x v="1329"/>
    <x v="1317"/>
    <x v="3"/>
    <x v="2"/>
    <n v="0.46750000000000003"/>
    <n v="40"/>
    <n v="18.700000000000003"/>
  </r>
  <r>
    <x v="1"/>
    <x v="1330"/>
    <x v="1318"/>
    <x v="35"/>
    <x v="2"/>
    <n v="1.48"/>
    <n v="5"/>
    <n v="7.4"/>
  </r>
  <r>
    <x v="1"/>
    <x v="1331"/>
    <x v="1319"/>
    <x v="3"/>
    <x v="2"/>
    <n v="0.34"/>
    <n v="41"/>
    <n v="13.940000000000001"/>
  </r>
  <r>
    <x v="1"/>
    <x v="1332"/>
    <x v="1320"/>
    <x v="36"/>
    <x v="2"/>
    <n v="0.64"/>
    <n v="3"/>
    <n v="1.92"/>
  </r>
  <r>
    <x v="1"/>
    <x v="1333"/>
    <x v="1321"/>
    <x v="3"/>
    <x v="2"/>
    <n v="0.52800000000000002"/>
    <n v="17"/>
    <n v="8.9760000000000009"/>
  </r>
  <r>
    <x v="1"/>
    <x v="1334"/>
    <x v="1322"/>
    <x v="3"/>
    <x v="2"/>
    <n v="0.29139999999999999"/>
    <n v="30"/>
    <n v="8.7419999999999991"/>
  </r>
  <r>
    <x v="1"/>
    <x v="1335"/>
    <x v="1323"/>
    <x v="3"/>
    <x v="2"/>
    <n v="1.9413"/>
    <n v="85"/>
    <n v="165.01050000000001"/>
  </r>
  <r>
    <x v="2"/>
    <x v="1335"/>
    <x v="1323"/>
    <x v="3"/>
    <x v="2"/>
    <n v="1.9413"/>
    <n v="85"/>
    <n v="165.01050000000001"/>
  </r>
  <r>
    <x v="1"/>
    <x v="1336"/>
    <x v="1324"/>
    <x v="3"/>
    <x v="2"/>
    <n v="0.32290000000000002"/>
    <n v="40"/>
    <n v="12.916"/>
  </r>
  <r>
    <x v="2"/>
    <x v="1336"/>
    <x v="1324"/>
    <x v="3"/>
    <x v="2"/>
    <n v="0.32290000000000002"/>
    <n v="40"/>
    <n v="12.916"/>
  </r>
  <r>
    <x v="1"/>
    <x v="1337"/>
    <x v="1325"/>
    <x v="3"/>
    <x v="2"/>
    <n v="0.23699999999999999"/>
    <n v="15"/>
    <n v="3.5549999999999997"/>
  </r>
  <r>
    <x v="1"/>
    <x v="1338"/>
    <x v="1326"/>
    <x v="3"/>
    <x v="2"/>
    <n v="0.2382"/>
    <n v="40"/>
    <n v="9.5280000000000005"/>
  </r>
  <r>
    <x v="1"/>
    <x v="1339"/>
    <x v="1327"/>
    <x v="37"/>
    <x v="2"/>
    <n v="1.9"/>
    <n v="5"/>
    <n v="9.5"/>
  </r>
  <r>
    <x v="1"/>
    <x v="1340"/>
    <x v="1328"/>
    <x v="3"/>
    <x v="2"/>
    <n v="3.3159999999999998"/>
    <n v="19"/>
    <n v="63.003999999999998"/>
  </r>
  <r>
    <x v="1"/>
    <x v="1341"/>
    <x v="1329"/>
    <x v="35"/>
    <x v="2"/>
    <n v="2.95"/>
    <n v="2"/>
    <n v="5.9"/>
  </r>
  <r>
    <x v="1"/>
    <x v="1342"/>
    <x v="1330"/>
    <x v="35"/>
    <x v="2"/>
    <n v="1.54"/>
    <n v="3"/>
    <n v="4.62"/>
  </r>
  <r>
    <x v="1"/>
    <x v="1343"/>
    <x v="1331"/>
    <x v="3"/>
    <x v="2"/>
    <n v="3.0036"/>
    <n v="80"/>
    <n v="240.28800000000001"/>
  </r>
  <r>
    <x v="2"/>
    <x v="1343"/>
    <x v="1331"/>
    <x v="3"/>
    <x v="2"/>
    <n v="3.0036"/>
    <n v="80"/>
    <n v="240.28800000000001"/>
  </r>
  <r>
    <x v="1"/>
    <x v="1344"/>
    <x v="1332"/>
    <x v="3"/>
    <x v="2"/>
    <n v="2.5981000000000001"/>
    <n v="30"/>
    <n v="77.942999999999998"/>
  </r>
  <r>
    <x v="2"/>
    <x v="1344"/>
    <x v="1332"/>
    <x v="3"/>
    <x v="2"/>
    <n v="2.5981000000000001"/>
    <n v="30"/>
    <n v="77.942999999999998"/>
  </r>
  <r>
    <x v="2"/>
    <x v="1345"/>
    <x v="1333"/>
    <x v="3"/>
    <x v="2"/>
    <n v="2.6812"/>
    <n v="11"/>
    <n v="29.493200000000002"/>
  </r>
  <r>
    <x v="1"/>
    <x v="1345"/>
    <x v="1333"/>
    <x v="3"/>
    <x v="2"/>
    <n v="2.6812"/>
    <n v="11"/>
    <n v="29.493200000000002"/>
  </r>
  <r>
    <x v="1"/>
    <x v="1346"/>
    <x v="1334"/>
    <x v="35"/>
    <x v="2"/>
    <n v="0.90790000000000004"/>
    <n v="31"/>
    <n v="28.1449"/>
  </r>
  <r>
    <x v="2"/>
    <x v="1346"/>
    <x v="1334"/>
    <x v="35"/>
    <x v="2"/>
    <n v="0.90790000000000004"/>
    <n v="31"/>
    <n v="28.1449"/>
  </r>
  <r>
    <x v="1"/>
    <x v="1347"/>
    <x v="1335"/>
    <x v="35"/>
    <x v="2"/>
    <n v="0.77969999999999995"/>
    <n v="14"/>
    <n v="10.915799999999999"/>
  </r>
  <r>
    <x v="2"/>
    <x v="1347"/>
    <x v="1335"/>
    <x v="35"/>
    <x v="2"/>
    <n v="0.77969999999999995"/>
    <n v="14"/>
    <n v="10.915799999999999"/>
  </r>
  <r>
    <x v="1"/>
    <x v="1348"/>
    <x v="1336"/>
    <x v="3"/>
    <x v="2"/>
    <n v="0"/>
    <n v="4"/>
    <n v="0"/>
  </r>
  <r>
    <x v="1"/>
    <x v="1349"/>
    <x v="1337"/>
    <x v="3"/>
    <x v="2"/>
    <n v="0.755"/>
    <n v="2"/>
    <n v="1.51"/>
  </r>
  <r>
    <x v="1"/>
    <x v="1350"/>
    <x v="1338"/>
    <x v="35"/>
    <x v="2"/>
    <n v="1.65"/>
    <n v="6"/>
    <n v="9.8999999999999986"/>
  </r>
  <r>
    <x v="1"/>
    <x v="1351"/>
    <x v="1339"/>
    <x v="3"/>
    <x v="2"/>
    <n v="0.20599999999999999"/>
    <n v="30"/>
    <n v="6.18"/>
  </r>
  <r>
    <x v="1"/>
    <x v="1352"/>
    <x v="1340"/>
    <x v="35"/>
    <x v="2"/>
    <n v="0"/>
    <n v="12"/>
    <n v="0"/>
  </r>
  <r>
    <x v="1"/>
    <x v="1353"/>
    <x v="1341"/>
    <x v="35"/>
    <x v="2"/>
    <n v="0.92579999999999996"/>
    <n v="6"/>
    <n v="5.5548000000000002"/>
  </r>
  <r>
    <x v="2"/>
    <x v="1353"/>
    <x v="1341"/>
    <x v="35"/>
    <x v="2"/>
    <n v="0.92579999999999996"/>
    <n v="6"/>
    <n v="5.5548000000000002"/>
  </r>
  <r>
    <x v="1"/>
    <x v="1354"/>
    <x v="1342"/>
    <x v="3"/>
    <x v="2"/>
    <n v="0.66439999999999999"/>
    <n v="23"/>
    <n v="15.2812"/>
  </r>
  <r>
    <x v="2"/>
    <x v="1355"/>
    <x v="1343"/>
    <x v="3"/>
    <x v="2"/>
    <n v="1.1608000000000001"/>
    <n v="242"/>
    <n v="280.91360000000003"/>
  </r>
  <r>
    <x v="1"/>
    <x v="1355"/>
    <x v="1343"/>
    <x v="3"/>
    <x v="2"/>
    <n v="1.1608000000000001"/>
    <n v="242"/>
    <n v="280.91360000000003"/>
  </r>
  <r>
    <x v="1"/>
    <x v="1356"/>
    <x v="1344"/>
    <x v="3"/>
    <x v="2"/>
    <n v="0.79169999999999996"/>
    <n v="95"/>
    <n v="75.211500000000001"/>
  </r>
  <r>
    <x v="2"/>
    <x v="1356"/>
    <x v="1344"/>
    <x v="3"/>
    <x v="2"/>
    <n v="0.79169999999999996"/>
    <n v="95"/>
    <n v="75.211500000000001"/>
  </r>
  <r>
    <x v="1"/>
    <x v="1357"/>
    <x v="1345"/>
    <x v="3"/>
    <x v="2"/>
    <n v="0.39419999999999999"/>
    <n v="175"/>
    <n v="68.984999999999999"/>
  </r>
  <r>
    <x v="2"/>
    <x v="1357"/>
    <x v="1345"/>
    <x v="3"/>
    <x v="2"/>
    <n v="0.39419999999999999"/>
    <n v="175"/>
    <n v="68.984999999999999"/>
  </r>
  <r>
    <x v="2"/>
    <x v="1358"/>
    <x v="1346"/>
    <x v="3"/>
    <x v="2"/>
    <n v="1.4907999999999999"/>
    <n v="97"/>
    <n v="144.60759999999999"/>
  </r>
  <r>
    <x v="1"/>
    <x v="1358"/>
    <x v="1346"/>
    <x v="3"/>
    <x v="2"/>
    <n v="1.4907999999999999"/>
    <n v="97"/>
    <n v="144.60759999999999"/>
  </r>
  <r>
    <x v="1"/>
    <x v="1359"/>
    <x v="1347"/>
    <x v="35"/>
    <x v="2"/>
    <n v="0.51349999999999996"/>
    <n v="12"/>
    <n v="6.161999999999999"/>
  </r>
  <r>
    <x v="2"/>
    <x v="1359"/>
    <x v="1347"/>
    <x v="35"/>
    <x v="2"/>
    <n v="0.51349999999999996"/>
    <n v="12"/>
    <n v="6.161999999999999"/>
  </r>
  <r>
    <x v="1"/>
    <x v="1360"/>
    <x v="1348"/>
    <x v="35"/>
    <x v="2"/>
    <n v="1.1519999999999999"/>
    <n v="18"/>
    <n v="20.735999999999997"/>
  </r>
  <r>
    <x v="1"/>
    <x v="1361"/>
    <x v="1349"/>
    <x v="35"/>
    <x v="2"/>
    <n v="1.2011000000000001"/>
    <n v="26"/>
    <n v="31.2286"/>
  </r>
  <r>
    <x v="2"/>
    <x v="1361"/>
    <x v="1349"/>
    <x v="35"/>
    <x v="2"/>
    <n v="1.2011000000000001"/>
    <n v="26"/>
    <n v="31.2286"/>
  </r>
  <r>
    <x v="2"/>
    <x v="1362"/>
    <x v="1350"/>
    <x v="35"/>
    <x v="2"/>
    <n v="0.72270000000000001"/>
    <n v="23"/>
    <n v="16.6221"/>
  </r>
  <r>
    <x v="1"/>
    <x v="1362"/>
    <x v="1350"/>
    <x v="35"/>
    <x v="2"/>
    <n v="0.72270000000000001"/>
    <n v="23"/>
    <n v="16.6221"/>
  </r>
  <r>
    <x v="1"/>
    <x v="1363"/>
    <x v="1351"/>
    <x v="35"/>
    <x v="2"/>
    <n v="0.95609999999999995"/>
    <n v="5"/>
    <n v="4.7805"/>
  </r>
  <r>
    <x v="2"/>
    <x v="1363"/>
    <x v="1351"/>
    <x v="35"/>
    <x v="2"/>
    <n v="0.95609999999999995"/>
    <n v="5"/>
    <n v="4.7805"/>
  </r>
  <r>
    <x v="1"/>
    <x v="1364"/>
    <x v="1352"/>
    <x v="35"/>
    <x v="2"/>
    <n v="1.5129999999999999"/>
    <n v="10"/>
    <n v="15.129999999999999"/>
  </r>
  <r>
    <x v="1"/>
    <x v="1365"/>
    <x v="1353"/>
    <x v="35"/>
    <x v="2"/>
    <n v="0.35310000000000002"/>
    <n v="37"/>
    <n v="13.0647"/>
  </r>
  <r>
    <x v="2"/>
    <x v="1365"/>
    <x v="1353"/>
    <x v="35"/>
    <x v="2"/>
    <n v="0.35310000000000002"/>
    <n v="37"/>
    <n v="13.0647"/>
  </r>
  <r>
    <x v="1"/>
    <x v="1366"/>
    <x v="1354"/>
    <x v="35"/>
    <x v="2"/>
    <n v="2.8214999999999999"/>
    <n v="19"/>
    <n v="53.608499999999999"/>
  </r>
  <r>
    <x v="2"/>
    <x v="1366"/>
    <x v="1354"/>
    <x v="35"/>
    <x v="2"/>
    <n v="2.8214999999999999"/>
    <n v="19"/>
    <n v="53.608499999999999"/>
  </r>
  <r>
    <x v="1"/>
    <x v="1367"/>
    <x v="1355"/>
    <x v="3"/>
    <x v="2"/>
    <n v="1.4448000000000001"/>
    <n v="12"/>
    <n v="17.337600000000002"/>
  </r>
  <r>
    <x v="2"/>
    <x v="1367"/>
    <x v="1355"/>
    <x v="3"/>
    <x v="2"/>
    <n v="1.4448000000000001"/>
    <n v="12"/>
    <n v="17.337600000000002"/>
  </r>
  <r>
    <x v="1"/>
    <x v="1368"/>
    <x v="1356"/>
    <x v="3"/>
    <x v="2"/>
    <n v="0"/>
    <n v="21"/>
    <n v="0"/>
  </r>
  <r>
    <x v="1"/>
    <x v="1369"/>
    <x v="1357"/>
    <x v="3"/>
    <x v="2"/>
    <n v="0.09"/>
    <n v="2"/>
    <n v="0.18"/>
  </r>
  <r>
    <x v="1"/>
    <x v="1370"/>
    <x v="1358"/>
    <x v="37"/>
    <x v="2"/>
    <n v="0.81599999999999995"/>
    <n v="10"/>
    <n v="8.16"/>
  </r>
  <r>
    <x v="1"/>
    <x v="1371"/>
    <x v="1359"/>
    <x v="3"/>
    <x v="2"/>
    <n v="0.2392"/>
    <n v="35"/>
    <n v="8.3719999999999999"/>
  </r>
  <r>
    <x v="1"/>
    <x v="1372"/>
    <x v="1360"/>
    <x v="3"/>
    <x v="2"/>
    <n v="0.39560000000000001"/>
    <n v="89"/>
    <n v="35.208399999999997"/>
  </r>
  <r>
    <x v="2"/>
    <x v="1372"/>
    <x v="1360"/>
    <x v="3"/>
    <x v="2"/>
    <n v="0.39560000000000001"/>
    <n v="89"/>
    <n v="35.208399999999997"/>
  </r>
  <r>
    <x v="1"/>
    <x v="1373"/>
    <x v="1361"/>
    <x v="3"/>
    <x v="2"/>
    <n v="3.43"/>
    <n v="4"/>
    <n v="13.72"/>
  </r>
  <r>
    <x v="1"/>
    <x v="1374"/>
    <x v="1362"/>
    <x v="35"/>
    <x v="2"/>
    <n v="1.034"/>
    <n v="9"/>
    <n v="9.3060000000000009"/>
  </r>
  <r>
    <x v="2"/>
    <x v="1374"/>
    <x v="1362"/>
    <x v="35"/>
    <x v="2"/>
    <n v="1.034"/>
    <n v="9"/>
    <n v="9.3060000000000009"/>
  </r>
  <r>
    <x v="1"/>
    <x v="1375"/>
    <x v="1363"/>
    <x v="3"/>
    <x v="2"/>
    <n v="0"/>
    <n v="10"/>
    <n v="0"/>
  </r>
  <r>
    <x v="1"/>
    <x v="1376"/>
    <x v="1364"/>
    <x v="3"/>
    <x v="2"/>
    <n v="0.55500000000000005"/>
    <n v="28"/>
    <n v="15.540000000000001"/>
  </r>
  <r>
    <x v="1"/>
    <x v="1377"/>
    <x v="1365"/>
    <x v="37"/>
    <x v="2"/>
    <n v="0.438"/>
    <n v="4"/>
    <n v="1.752"/>
  </r>
  <r>
    <x v="1"/>
    <x v="1378"/>
    <x v="1366"/>
    <x v="3"/>
    <x v="2"/>
    <n v="0.7"/>
    <n v="3"/>
    <n v="2.0999999999999996"/>
  </r>
  <r>
    <x v="1"/>
    <x v="1379"/>
    <x v="1367"/>
    <x v="3"/>
    <x v="2"/>
    <n v="0.68"/>
    <n v="10"/>
    <n v="6.8000000000000007"/>
  </r>
  <r>
    <x v="1"/>
    <x v="1380"/>
    <x v="1368"/>
    <x v="3"/>
    <x v="2"/>
    <n v="0.87629999999999997"/>
    <n v="9"/>
    <n v="7.8866999999999994"/>
  </r>
  <r>
    <x v="1"/>
    <x v="1381"/>
    <x v="1369"/>
    <x v="3"/>
    <x v="2"/>
    <n v="0.56100000000000005"/>
    <n v="7"/>
    <n v="3.9270000000000005"/>
  </r>
  <r>
    <x v="1"/>
    <x v="1382"/>
    <x v="1370"/>
    <x v="3"/>
    <x v="2"/>
    <n v="1.2473000000000001"/>
    <n v="12"/>
    <n v="14.967600000000001"/>
  </r>
  <r>
    <x v="1"/>
    <x v="1383"/>
    <x v="1371"/>
    <x v="35"/>
    <x v="2"/>
    <n v="2.5992000000000002"/>
    <n v="8"/>
    <n v="20.793600000000001"/>
  </r>
  <r>
    <x v="2"/>
    <x v="1383"/>
    <x v="1371"/>
    <x v="35"/>
    <x v="2"/>
    <n v="2.5992000000000002"/>
    <n v="8"/>
    <n v="20.793600000000001"/>
  </r>
  <r>
    <x v="1"/>
    <x v="1384"/>
    <x v="1372"/>
    <x v="35"/>
    <x v="2"/>
    <n v="1.1826000000000001"/>
    <n v="4"/>
    <n v="4.7304000000000004"/>
  </r>
  <r>
    <x v="2"/>
    <x v="1384"/>
    <x v="1372"/>
    <x v="35"/>
    <x v="2"/>
    <n v="1.1826000000000001"/>
    <n v="4"/>
    <n v="4.7304000000000004"/>
  </r>
  <r>
    <x v="1"/>
    <x v="1385"/>
    <x v="1373"/>
    <x v="35"/>
    <x v="2"/>
    <n v="0"/>
    <n v="5"/>
    <n v="0"/>
  </r>
  <r>
    <x v="1"/>
    <x v="1386"/>
    <x v="1374"/>
    <x v="35"/>
    <x v="2"/>
    <n v="2.8940000000000001"/>
    <n v="6"/>
    <n v="17.364000000000001"/>
  </r>
  <r>
    <x v="1"/>
    <x v="1387"/>
    <x v="1375"/>
    <x v="3"/>
    <x v="2"/>
    <n v="0.29620000000000002"/>
    <n v="118"/>
    <n v="34.951599999999999"/>
  </r>
  <r>
    <x v="1"/>
    <x v="1388"/>
    <x v="1376"/>
    <x v="3"/>
    <x v="2"/>
    <n v="6.0185000000000004"/>
    <n v="21"/>
    <n v="126.38850000000001"/>
  </r>
  <r>
    <x v="2"/>
    <x v="1388"/>
    <x v="1376"/>
    <x v="3"/>
    <x v="2"/>
    <n v="6.0185000000000004"/>
    <n v="21"/>
    <n v="126.38850000000001"/>
  </r>
  <r>
    <x v="1"/>
    <x v="1389"/>
    <x v="1377"/>
    <x v="3"/>
    <x v="2"/>
    <n v="1.669"/>
    <n v="24"/>
    <n v="40.055999999999997"/>
  </r>
  <r>
    <x v="1"/>
    <x v="1390"/>
    <x v="1378"/>
    <x v="3"/>
    <x v="2"/>
    <n v="0.62"/>
    <n v="19"/>
    <n v="11.78"/>
  </r>
  <r>
    <x v="2"/>
    <x v="1390"/>
    <x v="1378"/>
    <x v="3"/>
    <x v="2"/>
    <n v="0.62"/>
    <n v="19"/>
    <n v="11.78"/>
  </r>
  <r>
    <x v="1"/>
    <x v="1391"/>
    <x v="1379"/>
    <x v="3"/>
    <x v="2"/>
    <n v="0.64970000000000006"/>
    <n v="15"/>
    <n v="9.7455000000000016"/>
  </r>
  <r>
    <x v="2"/>
    <x v="1391"/>
    <x v="1379"/>
    <x v="3"/>
    <x v="2"/>
    <n v="0.64970000000000006"/>
    <n v="15"/>
    <n v="9.7455000000000016"/>
  </r>
  <r>
    <x v="1"/>
    <x v="1392"/>
    <x v="1380"/>
    <x v="3"/>
    <x v="2"/>
    <n v="0.48"/>
    <n v="5"/>
    <n v="2.4"/>
  </r>
  <r>
    <x v="1"/>
    <x v="1393"/>
    <x v="1381"/>
    <x v="38"/>
    <x v="2"/>
    <n v="4.383"/>
    <n v="7"/>
    <n v="30.681000000000001"/>
  </r>
  <r>
    <x v="1"/>
    <x v="1394"/>
    <x v="1382"/>
    <x v="3"/>
    <x v="2"/>
    <n v="2.1543000000000001"/>
    <n v="38"/>
    <n v="81.863399999999999"/>
  </r>
  <r>
    <x v="1"/>
    <x v="1395"/>
    <x v="1383"/>
    <x v="3"/>
    <x v="2"/>
    <n v="7.7618999999999998"/>
    <n v="41"/>
    <n v="318.23789999999997"/>
  </r>
  <r>
    <x v="2"/>
    <x v="1395"/>
    <x v="1383"/>
    <x v="3"/>
    <x v="2"/>
    <n v="7.7618999999999998"/>
    <n v="41"/>
    <n v="318.23789999999997"/>
  </r>
  <r>
    <x v="1"/>
    <x v="1396"/>
    <x v="1384"/>
    <x v="3"/>
    <x v="2"/>
    <n v="2.0897999999999999"/>
    <n v="41"/>
    <n v="85.681799999999996"/>
  </r>
  <r>
    <x v="1"/>
    <x v="1397"/>
    <x v="1385"/>
    <x v="51"/>
    <x v="2"/>
    <n v="8.4720999999999993"/>
    <n v="4"/>
    <n v="33.888399999999997"/>
  </r>
  <r>
    <x v="2"/>
    <x v="1397"/>
    <x v="1385"/>
    <x v="51"/>
    <x v="2"/>
    <n v="8.4720999999999993"/>
    <n v="4"/>
    <n v="33.888399999999997"/>
  </r>
  <r>
    <x v="1"/>
    <x v="1398"/>
    <x v="1386"/>
    <x v="35"/>
    <x v="2"/>
    <n v="2.4474999999999998"/>
    <n v="15"/>
    <n v="36.712499999999999"/>
  </r>
  <r>
    <x v="1"/>
    <x v="1399"/>
    <x v="1387"/>
    <x v="37"/>
    <x v="2"/>
    <n v="1.363"/>
    <n v="8"/>
    <n v="10.904"/>
  </r>
  <r>
    <x v="1"/>
    <x v="1400"/>
    <x v="1388"/>
    <x v="35"/>
    <x v="2"/>
    <n v="0.60399999999999998"/>
    <n v="9"/>
    <n v="5.4359999999999999"/>
  </r>
  <r>
    <x v="1"/>
    <x v="1401"/>
    <x v="1389"/>
    <x v="3"/>
    <x v="2"/>
    <n v="0.59530000000000005"/>
    <n v="27"/>
    <n v="16.0731"/>
  </r>
  <r>
    <x v="2"/>
    <x v="1401"/>
    <x v="1389"/>
    <x v="3"/>
    <x v="2"/>
    <n v="0.59530000000000005"/>
    <n v="27"/>
    <n v="16.0731"/>
  </r>
  <r>
    <x v="1"/>
    <x v="1402"/>
    <x v="1390"/>
    <x v="3"/>
    <x v="2"/>
    <n v="1.018"/>
    <n v="4"/>
    <n v="4.0720000000000001"/>
  </r>
  <r>
    <x v="1"/>
    <x v="1403"/>
    <x v="1391"/>
    <x v="3"/>
    <x v="2"/>
    <n v="0.439"/>
    <n v="10"/>
    <n v="4.3899999999999997"/>
  </r>
  <r>
    <x v="1"/>
    <x v="1404"/>
    <x v="1392"/>
    <x v="35"/>
    <x v="2"/>
    <n v="0.55900000000000005"/>
    <n v="7"/>
    <n v="3.9130000000000003"/>
  </r>
  <r>
    <x v="1"/>
    <x v="1405"/>
    <x v="1393"/>
    <x v="35"/>
    <x v="2"/>
    <n v="0.24299999999999999"/>
    <n v="5"/>
    <n v="1.2149999999999999"/>
  </r>
  <r>
    <x v="1"/>
    <x v="1406"/>
    <x v="1394"/>
    <x v="35"/>
    <x v="2"/>
    <n v="1.1759999999999999"/>
    <n v="7"/>
    <n v="8.2319999999999993"/>
  </r>
  <r>
    <x v="1"/>
    <x v="1407"/>
    <x v="1395"/>
    <x v="3"/>
    <x v="2"/>
    <n v="0.45569999999999999"/>
    <n v="12"/>
    <n v="5.4683999999999999"/>
  </r>
  <r>
    <x v="1"/>
    <x v="1408"/>
    <x v="1396"/>
    <x v="3"/>
    <x v="2"/>
    <n v="0.29389999999999999"/>
    <n v="37"/>
    <n v="10.8743"/>
  </r>
  <r>
    <x v="1"/>
    <x v="1409"/>
    <x v="1397"/>
    <x v="3"/>
    <x v="2"/>
    <n v="0.4924"/>
    <n v="12"/>
    <n v="5.9088000000000003"/>
  </r>
  <r>
    <x v="1"/>
    <x v="1410"/>
    <x v="1398"/>
    <x v="3"/>
    <x v="2"/>
    <n v="0.3"/>
    <n v="1"/>
    <n v="0.3"/>
  </r>
  <r>
    <x v="1"/>
    <x v="1411"/>
    <x v="1399"/>
    <x v="35"/>
    <x v="2"/>
    <n v="0.158"/>
    <n v="3"/>
    <n v="0.47399999999999998"/>
  </r>
  <r>
    <x v="1"/>
    <x v="1412"/>
    <x v="1400"/>
    <x v="3"/>
    <x v="2"/>
    <n v="0.98519999999999996"/>
    <n v="45"/>
    <n v="44.333999999999996"/>
  </r>
  <r>
    <x v="2"/>
    <x v="1412"/>
    <x v="1400"/>
    <x v="3"/>
    <x v="2"/>
    <n v="0.98519999999999996"/>
    <n v="45"/>
    <n v="44.333999999999996"/>
  </r>
  <r>
    <x v="1"/>
    <x v="1413"/>
    <x v="1401"/>
    <x v="3"/>
    <x v="2"/>
    <n v="1.1579999999999999"/>
    <n v="33"/>
    <n v="38.213999999999999"/>
  </r>
  <r>
    <x v="2"/>
    <x v="1413"/>
    <x v="1401"/>
    <x v="3"/>
    <x v="2"/>
    <n v="1.1579999999999999"/>
    <n v="33"/>
    <n v="38.213999999999999"/>
  </r>
  <r>
    <x v="1"/>
    <x v="1414"/>
    <x v="1402"/>
    <x v="3"/>
    <x v="2"/>
    <n v="2.4609000000000001"/>
    <n v="90"/>
    <n v="221.48099999999999"/>
  </r>
  <r>
    <x v="2"/>
    <x v="1414"/>
    <x v="1402"/>
    <x v="3"/>
    <x v="2"/>
    <n v="2.4609000000000001"/>
    <n v="90"/>
    <n v="221.48099999999999"/>
  </r>
  <r>
    <x v="2"/>
    <x v="1415"/>
    <x v="1403"/>
    <x v="35"/>
    <x v="2"/>
    <n v="3.3391000000000002"/>
    <n v="47"/>
    <n v="156.93770000000001"/>
  </r>
  <r>
    <x v="1"/>
    <x v="1415"/>
    <x v="1403"/>
    <x v="35"/>
    <x v="2"/>
    <n v="3.3391000000000002"/>
    <n v="47"/>
    <n v="156.93770000000001"/>
  </r>
  <r>
    <x v="1"/>
    <x v="1416"/>
    <x v="1404"/>
    <x v="3"/>
    <x v="2"/>
    <n v="0.99"/>
    <n v="10"/>
    <n v="9.9"/>
  </r>
  <r>
    <x v="1"/>
    <x v="1417"/>
    <x v="1405"/>
    <x v="35"/>
    <x v="2"/>
    <n v="3.9190999999999998"/>
    <n v="41"/>
    <n v="160.6831"/>
  </r>
  <r>
    <x v="2"/>
    <x v="1417"/>
    <x v="1405"/>
    <x v="35"/>
    <x v="2"/>
    <n v="3.9190999999999998"/>
    <n v="41"/>
    <n v="160.6831"/>
  </r>
  <r>
    <x v="1"/>
    <x v="1418"/>
    <x v="1406"/>
    <x v="3"/>
    <x v="2"/>
    <n v="1.8103"/>
    <n v="37"/>
    <n v="66.981099999999998"/>
  </r>
  <r>
    <x v="2"/>
    <x v="1418"/>
    <x v="1406"/>
    <x v="3"/>
    <x v="2"/>
    <n v="1.8103"/>
    <n v="37"/>
    <n v="66.981099999999998"/>
  </r>
  <r>
    <x v="1"/>
    <x v="1419"/>
    <x v="1407"/>
    <x v="3"/>
    <x v="2"/>
    <n v="2.9950000000000001"/>
    <n v="2"/>
    <n v="5.99"/>
  </r>
  <r>
    <x v="1"/>
    <x v="1420"/>
    <x v="1408"/>
    <x v="3"/>
    <x v="2"/>
    <n v="4.367"/>
    <n v="1"/>
    <n v="4.367"/>
  </r>
  <r>
    <x v="1"/>
    <x v="1421"/>
    <x v="1409"/>
    <x v="3"/>
    <x v="2"/>
    <n v="2.8889999999999998"/>
    <n v="5"/>
    <n v="14.444999999999999"/>
  </r>
  <r>
    <x v="1"/>
    <x v="1422"/>
    <x v="1410"/>
    <x v="35"/>
    <x v="2"/>
    <n v="2.2029000000000001"/>
    <n v="10"/>
    <n v="22.029"/>
  </r>
  <r>
    <x v="2"/>
    <x v="1422"/>
    <x v="1410"/>
    <x v="35"/>
    <x v="2"/>
    <n v="2.2029000000000001"/>
    <n v="10"/>
    <n v="22.029"/>
  </r>
  <r>
    <x v="1"/>
    <x v="1423"/>
    <x v="1411"/>
    <x v="3"/>
    <x v="2"/>
    <n v="0.3"/>
    <n v="19"/>
    <n v="5.7"/>
  </r>
  <r>
    <x v="1"/>
    <x v="1424"/>
    <x v="1412"/>
    <x v="3"/>
    <x v="2"/>
    <n v="0.28000000000000003"/>
    <n v="10"/>
    <n v="2.8000000000000003"/>
  </r>
  <r>
    <x v="1"/>
    <x v="1425"/>
    <x v="1413"/>
    <x v="35"/>
    <x v="2"/>
    <n v="0.29220000000000002"/>
    <n v="9"/>
    <n v="2.6298000000000004"/>
  </r>
  <r>
    <x v="1"/>
    <x v="1426"/>
    <x v="1414"/>
    <x v="3"/>
    <x v="2"/>
    <n v="0.12"/>
    <n v="10"/>
    <n v="1.2"/>
  </r>
  <r>
    <x v="1"/>
    <x v="1427"/>
    <x v="1415"/>
    <x v="3"/>
    <x v="2"/>
    <n v="2.9918999999999998"/>
    <n v="6"/>
    <n v="17.9514"/>
  </r>
  <r>
    <x v="2"/>
    <x v="1427"/>
    <x v="1415"/>
    <x v="3"/>
    <x v="2"/>
    <n v="2.9918999999999998"/>
    <n v="6"/>
    <n v="17.9514"/>
  </r>
  <r>
    <x v="1"/>
    <x v="1428"/>
    <x v="1416"/>
    <x v="3"/>
    <x v="2"/>
    <n v="1.5760000000000001"/>
    <n v="4"/>
    <n v="6.3040000000000003"/>
  </r>
  <r>
    <x v="1"/>
    <x v="1429"/>
    <x v="1417"/>
    <x v="3"/>
    <x v="2"/>
    <n v="0.66830000000000001"/>
    <n v="68"/>
    <n v="45.444400000000002"/>
  </r>
  <r>
    <x v="1"/>
    <x v="1430"/>
    <x v="1418"/>
    <x v="3"/>
    <x v="2"/>
    <n v="0.64300000000000002"/>
    <n v="4"/>
    <n v="2.5720000000000001"/>
  </r>
  <r>
    <x v="1"/>
    <x v="1431"/>
    <x v="1419"/>
    <x v="35"/>
    <x v="2"/>
    <n v="1.83"/>
    <n v="5"/>
    <n v="9.15"/>
  </r>
  <r>
    <x v="1"/>
    <x v="1432"/>
    <x v="1420"/>
    <x v="35"/>
    <x v="2"/>
    <n v="1.83"/>
    <n v="5"/>
    <n v="9.15"/>
  </r>
  <r>
    <x v="1"/>
    <x v="1433"/>
    <x v="1421"/>
    <x v="3"/>
    <x v="2"/>
    <n v="7.05"/>
    <n v="1"/>
    <n v="7.05"/>
  </r>
  <r>
    <x v="1"/>
    <x v="1434"/>
    <x v="1422"/>
    <x v="3"/>
    <x v="2"/>
    <n v="10.7065"/>
    <n v="15"/>
    <n v="160.5975"/>
  </r>
  <r>
    <x v="2"/>
    <x v="1434"/>
    <x v="1422"/>
    <x v="3"/>
    <x v="2"/>
    <n v="10.7065"/>
    <n v="15"/>
    <n v="160.5975"/>
  </r>
  <r>
    <x v="1"/>
    <x v="1435"/>
    <x v="1423"/>
    <x v="3"/>
    <x v="2"/>
    <n v="9.4278999999999993"/>
    <n v="20"/>
    <n v="188.55799999999999"/>
  </r>
  <r>
    <x v="2"/>
    <x v="1435"/>
    <x v="1423"/>
    <x v="3"/>
    <x v="2"/>
    <n v="9.4278999999999993"/>
    <n v="20"/>
    <n v="188.55799999999999"/>
  </r>
  <r>
    <x v="2"/>
    <x v="1436"/>
    <x v="1424"/>
    <x v="3"/>
    <x v="2"/>
    <n v="5.5468999999999999"/>
    <n v="11"/>
    <n v="61.015900000000002"/>
  </r>
  <r>
    <x v="1"/>
    <x v="1436"/>
    <x v="1424"/>
    <x v="3"/>
    <x v="2"/>
    <n v="5.5468999999999999"/>
    <n v="11"/>
    <n v="61.015900000000002"/>
  </r>
  <r>
    <x v="1"/>
    <x v="1437"/>
    <x v="1425"/>
    <x v="3"/>
    <x v="2"/>
    <n v="9.1638999999999999"/>
    <n v="4"/>
    <n v="36.6556"/>
  </r>
  <r>
    <x v="2"/>
    <x v="1437"/>
    <x v="1425"/>
    <x v="3"/>
    <x v="2"/>
    <n v="9.1638999999999999"/>
    <n v="4"/>
    <n v="36.6556"/>
  </r>
  <r>
    <x v="1"/>
    <x v="1438"/>
    <x v="1426"/>
    <x v="3"/>
    <x v="2"/>
    <n v="2.82"/>
    <n v="5"/>
    <n v="14.1"/>
  </r>
  <r>
    <x v="1"/>
    <x v="1439"/>
    <x v="1427"/>
    <x v="36"/>
    <x v="2"/>
    <n v="0.68"/>
    <n v="1"/>
    <n v="0.68"/>
  </r>
  <r>
    <x v="1"/>
    <x v="1440"/>
    <x v="1428"/>
    <x v="35"/>
    <x v="2"/>
    <n v="0.435"/>
    <n v="10"/>
    <n v="4.3499999999999996"/>
  </r>
  <r>
    <x v="1"/>
    <x v="1441"/>
    <x v="1429"/>
    <x v="35"/>
    <x v="2"/>
    <n v="0.34620000000000001"/>
    <n v="12"/>
    <n v="4.1543999999999999"/>
  </r>
  <r>
    <x v="2"/>
    <x v="1441"/>
    <x v="1429"/>
    <x v="35"/>
    <x v="2"/>
    <n v="0.34620000000000001"/>
    <n v="12"/>
    <n v="4.1543999999999999"/>
  </r>
  <r>
    <x v="2"/>
    <x v="1442"/>
    <x v="1430"/>
    <x v="35"/>
    <x v="2"/>
    <n v="4.7058999999999997"/>
    <n v="18"/>
    <n v="84.706199999999995"/>
  </r>
  <r>
    <x v="1"/>
    <x v="1442"/>
    <x v="1430"/>
    <x v="35"/>
    <x v="2"/>
    <n v="4.7058999999999997"/>
    <n v="18"/>
    <n v="84.706199999999995"/>
  </r>
  <r>
    <x v="1"/>
    <x v="1443"/>
    <x v="1431"/>
    <x v="60"/>
    <x v="2"/>
    <n v="240.26429999999999"/>
    <n v="7"/>
    <n v="1681.8500999999999"/>
  </r>
  <r>
    <x v="2"/>
    <x v="1443"/>
    <x v="1431"/>
    <x v="60"/>
    <x v="2"/>
    <n v="240.26429999999999"/>
    <n v="7"/>
    <n v="1681.8500999999999"/>
  </r>
  <r>
    <x v="1"/>
    <x v="1444"/>
    <x v="1432"/>
    <x v="40"/>
    <x v="2"/>
    <n v="76.514300000000006"/>
    <n v="7"/>
    <n v="535.6001"/>
  </r>
  <r>
    <x v="1"/>
    <x v="1445"/>
    <x v="1433"/>
    <x v="34"/>
    <x v="2"/>
    <n v="10.377700000000001"/>
    <n v="45"/>
    <n v="466.99650000000003"/>
  </r>
  <r>
    <x v="2"/>
    <x v="1445"/>
    <x v="1433"/>
    <x v="34"/>
    <x v="2"/>
    <n v="10.377700000000001"/>
    <n v="45"/>
    <n v="466.99650000000003"/>
  </r>
  <r>
    <x v="1"/>
    <x v="1446"/>
    <x v="1434"/>
    <x v="34"/>
    <x v="2"/>
    <n v="8.6082000000000001"/>
    <n v="105"/>
    <n v="903.86099999999999"/>
  </r>
  <r>
    <x v="2"/>
    <x v="1446"/>
    <x v="1434"/>
    <x v="34"/>
    <x v="2"/>
    <n v="8.6082000000000001"/>
    <n v="105"/>
    <n v="903.86099999999999"/>
  </r>
  <r>
    <x v="1"/>
    <x v="1447"/>
    <x v="1435"/>
    <x v="3"/>
    <x v="2"/>
    <n v="41.81"/>
    <n v="2"/>
    <n v="83.62"/>
  </r>
  <r>
    <x v="1"/>
    <x v="1448"/>
    <x v="1436"/>
    <x v="3"/>
    <x v="2"/>
    <n v="0.75460000000000005"/>
    <n v="24"/>
    <n v="18.110400000000002"/>
  </r>
  <r>
    <x v="2"/>
    <x v="1448"/>
    <x v="1436"/>
    <x v="3"/>
    <x v="2"/>
    <n v="0.75460000000000005"/>
    <n v="24"/>
    <n v="18.110400000000002"/>
  </r>
  <r>
    <x v="1"/>
    <x v="1449"/>
    <x v="1437"/>
    <x v="34"/>
    <x v="2"/>
    <n v="3.5510000000000002"/>
    <n v="11"/>
    <n v="39.061"/>
  </r>
  <r>
    <x v="1"/>
    <x v="1450"/>
    <x v="1438"/>
    <x v="3"/>
    <x v="2"/>
    <n v="1.6019000000000001"/>
    <n v="344.9"/>
    <n v="552.49531000000002"/>
  </r>
  <r>
    <x v="2"/>
    <x v="1450"/>
    <x v="1438"/>
    <x v="3"/>
    <x v="2"/>
    <n v="1.6019000000000001"/>
    <n v="344.9"/>
    <n v="552.49531000000002"/>
  </r>
  <r>
    <x v="2"/>
    <x v="1451"/>
    <x v="1439"/>
    <x v="45"/>
    <x v="2"/>
    <n v="1.3017000000000001"/>
    <n v="3"/>
    <n v="3.9051"/>
  </r>
  <r>
    <x v="1"/>
    <x v="1451"/>
    <x v="1439"/>
    <x v="45"/>
    <x v="2"/>
    <n v="1.3017000000000001"/>
    <n v="3"/>
    <n v="3.9051"/>
  </r>
  <r>
    <x v="1"/>
    <x v="1452"/>
    <x v="1440"/>
    <x v="34"/>
    <x v="2"/>
    <n v="1.5130999999999999"/>
    <n v="78"/>
    <n v="118.02179999999998"/>
  </r>
  <r>
    <x v="1"/>
    <x v="1453"/>
    <x v="1441"/>
    <x v="35"/>
    <x v="2"/>
    <n v="5.8289"/>
    <n v="10"/>
    <n v="58.289000000000001"/>
  </r>
  <r>
    <x v="2"/>
    <x v="1453"/>
    <x v="1441"/>
    <x v="35"/>
    <x v="2"/>
    <n v="5.8289"/>
    <n v="10"/>
    <n v="58.289000000000001"/>
  </r>
  <r>
    <x v="1"/>
    <x v="1454"/>
    <x v="1442"/>
    <x v="3"/>
    <x v="2"/>
    <n v="5.5711000000000004"/>
    <n v="8"/>
    <n v="44.568800000000003"/>
  </r>
  <r>
    <x v="2"/>
    <x v="1455"/>
    <x v="1443"/>
    <x v="35"/>
    <x v="2"/>
    <n v="3.4573"/>
    <n v="14"/>
    <n v="48.402200000000001"/>
  </r>
  <r>
    <x v="1"/>
    <x v="1455"/>
    <x v="1443"/>
    <x v="35"/>
    <x v="2"/>
    <n v="3.4573"/>
    <n v="14"/>
    <n v="48.402200000000001"/>
  </r>
  <r>
    <x v="1"/>
    <x v="1456"/>
    <x v="1444"/>
    <x v="41"/>
    <x v="2"/>
    <n v="0.31900000000000001"/>
    <n v="94"/>
    <n v="29.986000000000001"/>
  </r>
  <r>
    <x v="1"/>
    <x v="1457"/>
    <x v="1445"/>
    <x v="3"/>
    <x v="2"/>
    <n v="0.32600000000000001"/>
    <n v="59"/>
    <n v="19.234000000000002"/>
  </r>
  <r>
    <x v="2"/>
    <x v="1458"/>
    <x v="1446"/>
    <x v="35"/>
    <x v="2"/>
    <n v="16.238299999999999"/>
    <n v="6"/>
    <n v="97.4298"/>
  </r>
  <r>
    <x v="1"/>
    <x v="1458"/>
    <x v="1446"/>
    <x v="35"/>
    <x v="2"/>
    <n v="16.238299999999999"/>
    <n v="6"/>
    <n v="97.4298"/>
  </r>
  <r>
    <x v="1"/>
    <x v="1459"/>
    <x v="1447"/>
    <x v="61"/>
    <x v="3"/>
    <n v="1318.4211"/>
    <n v="1"/>
    <n v="1318.4211"/>
  </r>
  <r>
    <x v="2"/>
    <x v="1459"/>
    <x v="1447"/>
    <x v="61"/>
    <x v="3"/>
    <n v="1318.4211"/>
    <n v="1"/>
    <n v="1318.4211"/>
  </r>
  <r>
    <x v="0"/>
    <x v="1460"/>
    <x v="1448"/>
    <x v="0"/>
    <x v="0"/>
    <n v="27.699000000000002"/>
    <n v="4"/>
    <n v="110.79600000000001"/>
  </r>
  <r>
    <x v="0"/>
    <x v="1461"/>
    <x v="1449"/>
    <x v="14"/>
    <x v="1"/>
    <n v="16.013999999999999"/>
    <n v="10"/>
    <n v="160.13999999999999"/>
  </r>
  <r>
    <x v="0"/>
    <x v="1462"/>
    <x v="1450"/>
    <x v="0"/>
    <x v="0"/>
    <n v="2.9529999999999998"/>
    <n v="4"/>
    <n v="11.811999999999999"/>
  </r>
  <r>
    <x v="0"/>
    <x v="1463"/>
    <x v="1451"/>
    <x v="62"/>
    <x v="7"/>
    <n v="37.918999999999997"/>
    <n v="53"/>
    <n v="2009.7069999999999"/>
  </r>
  <r>
    <x v="0"/>
    <x v="1464"/>
    <x v="1452"/>
    <x v="0"/>
    <x v="0"/>
    <n v="511.09399999999999"/>
    <n v="0.36"/>
    <n v="183.99383999999998"/>
  </r>
  <r>
    <x v="0"/>
    <x v="1465"/>
    <x v="1453"/>
    <x v="1"/>
    <x v="4"/>
    <n v="39.78"/>
    <n v="4"/>
    <n v="159.12"/>
  </r>
  <r>
    <x v="0"/>
    <x v="1466"/>
    <x v="1454"/>
    <x v="62"/>
    <x v="7"/>
    <n v="10.722099999999999"/>
    <n v="32"/>
    <n v="343.10719999999998"/>
  </r>
  <r>
    <x v="0"/>
    <x v="1467"/>
    <x v="1455"/>
    <x v="62"/>
    <x v="7"/>
    <n v="121.78400000000001"/>
    <n v="1"/>
    <n v="121.78400000000001"/>
  </r>
  <r>
    <x v="0"/>
    <x v="1468"/>
    <x v="1456"/>
    <x v="62"/>
    <x v="7"/>
    <n v="3.2545999999999999"/>
    <n v="556"/>
    <n v="1809.5575999999999"/>
  </r>
  <r>
    <x v="2"/>
    <x v="1468"/>
    <x v="1456"/>
    <x v="62"/>
    <x v="7"/>
    <n v="3.2545999999999999"/>
    <n v="556"/>
    <n v="1809.5575999999999"/>
  </r>
  <r>
    <x v="0"/>
    <x v="1469"/>
    <x v="1457"/>
    <x v="62"/>
    <x v="7"/>
    <n v="6.5549999999999997"/>
    <n v="82"/>
    <n v="537.51"/>
  </r>
  <r>
    <x v="0"/>
    <x v="1470"/>
    <x v="1458"/>
    <x v="62"/>
    <x v="7"/>
    <n v="24.733000000000001"/>
    <n v="8"/>
    <n v="197.864"/>
  </r>
  <r>
    <x v="0"/>
    <x v="1471"/>
    <x v="1459"/>
    <x v="62"/>
    <x v="7"/>
    <n v="2.6122000000000001"/>
    <n v="65"/>
    <n v="169.79300000000001"/>
  </r>
  <r>
    <x v="1"/>
    <x v="1472"/>
    <x v="1460"/>
    <x v="1"/>
    <x v="1"/>
    <n v="36"/>
    <n v="8"/>
    <n v="288"/>
  </r>
  <r>
    <x v="1"/>
    <x v="1473"/>
    <x v="1461"/>
    <x v="63"/>
    <x v="1"/>
    <n v="57"/>
    <n v="1"/>
    <n v="57"/>
  </r>
  <r>
    <x v="1"/>
    <x v="1474"/>
    <x v="1462"/>
    <x v="1"/>
    <x v="1"/>
    <n v="252.56"/>
    <n v="1"/>
    <n v="252.56"/>
  </r>
  <r>
    <x v="1"/>
    <x v="1475"/>
    <x v="1463"/>
    <x v="1"/>
    <x v="1"/>
    <n v="34.5"/>
    <n v="4"/>
    <n v="138"/>
  </r>
  <r>
    <x v="1"/>
    <x v="1476"/>
    <x v="1464"/>
    <x v="1"/>
    <x v="1"/>
    <n v="19.2"/>
    <n v="2"/>
    <n v="38.4"/>
  </r>
  <r>
    <x v="1"/>
    <x v="1477"/>
    <x v="1465"/>
    <x v="64"/>
    <x v="3"/>
    <n v="14.6816"/>
    <n v="1"/>
    <n v="14.6816"/>
  </r>
  <r>
    <x v="2"/>
    <x v="1477"/>
    <x v="1465"/>
    <x v="64"/>
    <x v="3"/>
    <n v="14.6816"/>
    <n v="1"/>
    <n v="14.6816"/>
  </r>
  <r>
    <x v="1"/>
    <x v="1478"/>
    <x v="1466"/>
    <x v="1"/>
    <x v="1"/>
    <n v="195"/>
    <n v="3"/>
    <n v="585"/>
  </r>
  <r>
    <x v="1"/>
    <x v="1479"/>
    <x v="1467"/>
    <x v="1"/>
    <x v="1"/>
    <n v="108"/>
    <n v="1"/>
    <n v="108"/>
  </r>
  <r>
    <x v="1"/>
    <x v="1480"/>
    <x v="1468"/>
    <x v="1"/>
    <x v="1"/>
    <n v="30"/>
    <n v="1"/>
    <n v="30"/>
  </r>
  <r>
    <x v="1"/>
    <x v="1481"/>
    <x v="1469"/>
    <x v="1"/>
    <x v="1"/>
    <n v="16"/>
    <n v="1"/>
    <n v="16"/>
  </r>
  <r>
    <x v="1"/>
    <x v="1482"/>
    <x v="1470"/>
    <x v="37"/>
    <x v="2"/>
    <n v="4.7649999999999997"/>
    <n v="14"/>
    <n v="66.709999999999994"/>
  </r>
  <r>
    <x v="1"/>
    <x v="1483"/>
    <x v="1471"/>
    <x v="1"/>
    <x v="1"/>
    <n v="26.086300000000001"/>
    <n v="3"/>
    <n v="78.258900000000011"/>
  </r>
  <r>
    <x v="2"/>
    <x v="1483"/>
    <x v="1471"/>
    <x v="1"/>
    <x v="1"/>
    <n v="26.086300000000001"/>
    <n v="3"/>
    <n v="78.258900000000011"/>
  </r>
  <r>
    <x v="1"/>
    <x v="1484"/>
    <x v="1472"/>
    <x v="33"/>
    <x v="2"/>
    <n v="3.28"/>
    <n v="99.73"/>
    <n v="327.11439999999999"/>
  </r>
  <r>
    <x v="0"/>
    <x v="1485"/>
    <x v="1473"/>
    <x v="1"/>
    <x v="4"/>
    <n v="267"/>
    <n v="3"/>
    <n v="801"/>
  </r>
  <r>
    <x v="0"/>
    <x v="1486"/>
    <x v="1474"/>
    <x v="0"/>
    <x v="8"/>
    <n v="63.359000000000002"/>
    <n v="8"/>
    <n v="506.87200000000001"/>
  </r>
  <r>
    <x v="2"/>
    <x v="1487"/>
    <x v="1475"/>
    <x v="62"/>
    <x v="8"/>
    <n v="18.316099999999999"/>
    <n v="38"/>
    <n v="696.01179999999999"/>
  </r>
  <r>
    <x v="0"/>
    <x v="1487"/>
    <x v="1475"/>
    <x v="62"/>
    <x v="8"/>
    <n v="18.316099999999999"/>
    <n v="38"/>
    <n v="696.01179999999999"/>
  </r>
  <r>
    <x v="0"/>
    <x v="1488"/>
    <x v="1476"/>
    <x v="0"/>
    <x v="8"/>
    <n v="40.319000000000003"/>
    <n v="87"/>
    <n v="3507.7530000000002"/>
  </r>
  <r>
    <x v="0"/>
    <x v="1489"/>
    <x v="1477"/>
    <x v="0"/>
    <x v="0"/>
    <n v="98.302000000000007"/>
    <n v="12"/>
    <n v="1179.624"/>
  </r>
  <r>
    <x v="0"/>
    <x v="1490"/>
    <x v="1478"/>
    <x v="0"/>
    <x v="0"/>
    <n v="519.351"/>
    <n v="8"/>
    <n v="4154.808"/>
  </r>
  <r>
    <x v="0"/>
    <x v="1491"/>
    <x v="1479"/>
    <x v="0"/>
    <x v="8"/>
    <n v="39.78"/>
    <n v="52"/>
    <n v="2068.56"/>
  </r>
  <r>
    <x v="0"/>
    <x v="1492"/>
    <x v="1480"/>
    <x v="12"/>
    <x v="7"/>
    <n v="14.293200000000001"/>
    <n v="63.25"/>
    <n v="904.04489999999998"/>
  </r>
  <r>
    <x v="0"/>
    <x v="1493"/>
    <x v="1481"/>
    <x v="12"/>
    <x v="7"/>
    <n v="5.93"/>
    <n v="770.9"/>
    <n v="4571.4369999999999"/>
  </r>
  <r>
    <x v="0"/>
    <x v="1494"/>
    <x v="1482"/>
    <x v="12"/>
    <x v="7"/>
    <n v="37.57"/>
    <n v="30"/>
    <n v="1127.0999999999999"/>
  </r>
  <r>
    <x v="0"/>
    <x v="1495"/>
    <x v="1483"/>
    <x v="12"/>
    <x v="7"/>
    <n v="5100"/>
    <n v="1.49"/>
    <n v="7599"/>
  </r>
  <r>
    <x v="0"/>
    <x v="1496"/>
    <x v="1484"/>
    <x v="0"/>
    <x v="0"/>
    <n v="26.518000000000001"/>
    <n v="163"/>
    <n v="4322.4340000000002"/>
  </r>
  <r>
    <x v="2"/>
    <x v="1497"/>
    <x v="1485"/>
    <x v="65"/>
    <x v="9"/>
    <n v="0"/>
    <n v="1"/>
    <n v="0"/>
  </r>
  <r>
    <x v="1"/>
    <x v="1498"/>
    <x v="1486"/>
    <x v="1"/>
    <x v="1"/>
    <n v="76.61"/>
    <n v="1"/>
    <n v="76.61"/>
  </r>
  <r>
    <x v="1"/>
    <x v="1499"/>
    <x v="1487"/>
    <x v="1"/>
    <x v="1"/>
    <n v="7.4610000000000003"/>
    <n v="1"/>
    <n v="7.4610000000000003"/>
  </r>
  <r>
    <x v="1"/>
    <x v="1500"/>
    <x v="1488"/>
    <x v="1"/>
    <x v="1"/>
    <n v="2.6179999999999999"/>
    <n v="1"/>
    <n v="2.6179999999999999"/>
  </r>
  <r>
    <x v="1"/>
    <x v="1501"/>
    <x v="1489"/>
    <x v="1"/>
    <x v="1"/>
    <n v="10.923999999999999"/>
    <n v="1"/>
    <n v="10.923999999999999"/>
  </r>
  <r>
    <x v="1"/>
    <x v="1502"/>
    <x v="1490"/>
    <x v="1"/>
    <x v="1"/>
    <n v="43.209000000000003"/>
    <n v="1"/>
    <n v="43.209000000000003"/>
  </r>
  <r>
    <x v="2"/>
    <x v="1503"/>
    <x v="1491"/>
    <x v="2"/>
    <x v="1"/>
    <n v="28.92"/>
    <n v="2"/>
    <n v="57.84"/>
  </r>
  <r>
    <x v="2"/>
    <x v="1504"/>
    <x v="1492"/>
    <x v="2"/>
    <x v="1"/>
    <n v="28.92"/>
    <n v="2"/>
    <n v="57.84"/>
  </r>
  <r>
    <x v="2"/>
    <x v="1505"/>
    <x v="1493"/>
    <x v="2"/>
    <x v="1"/>
    <n v="30.34"/>
    <n v="1"/>
    <n v="30.34"/>
  </r>
  <r>
    <x v="2"/>
    <x v="1506"/>
    <x v="1494"/>
    <x v="2"/>
    <x v="1"/>
    <n v="26.8"/>
    <n v="2"/>
    <n v="53.6"/>
  </r>
  <r>
    <x v="2"/>
    <x v="1507"/>
    <x v="1495"/>
    <x v="2"/>
    <x v="1"/>
    <n v="66.540000000000006"/>
    <n v="3"/>
    <n v="199.62"/>
  </r>
  <r>
    <x v="1"/>
    <x v="1508"/>
    <x v="1496"/>
    <x v="1"/>
    <x v="1"/>
    <n v="1.3"/>
    <n v="1"/>
    <n v="1.3"/>
  </r>
  <r>
    <x v="1"/>
    <x v="1509"/>
    <x v="1497"/>
    <x v="1"/>
    <x v="1"/>
    <n v="4.1100000000000003"/>
    <n v="1"/>
    <n v="4.1100000000000003"/>
  </r>
  <r>
    <x v="1"/>
    <x v="1510"/>
    <x v="1498"/>
    <x v="1"/>
    <x v="1"/>
    <n v="43.931600000000003"/>
    <n v="2"/>
    <n v="87.863200000000006"/>
  </r>
  <r>
    <x v="2"/>
    <x v="1510"/>
    <x v="1498"/>
    <x v="1"/>
    <x v="1"/>
    <n v="43.931600000000003"/>
    <n v="2"/>
    <n v="87.863200000000006"/>
  </r>
  <r>
    <x v="1"/>
    <x v="1511"/>
    <x v="1499"/>
    <x v="1"/>
    <x v="1"/>
    <n v="75.575800000000001"/>
    <n v="3"/>
    <n v="226.72739999999999"/>
  </r>
  <r>
    <x v="2"/>
    <x v="1511"/>
    <x v="1499"/>
    <x v="1"/>
    <x v="1"/>
    <n v="75.575800000000001"/>
    <n v="3"/>
    <n v="226.72739999999999"/>
  </r>
  <r>
    <x v="2"/>
    <x v="1512"/>
    <x v="1500"/>
    <x v="66"/>
    <x v="3"/>
    <n v="6.7789000000000001"/>
    <n v="6"/>
    <n v="40.673400000000001"/>
  </r>
  <r>
    <x v="1"/>
    <x v="1512"/>
    <x v="1500"/>
    <x v="66"/>
    <x v="3"/>
    <n v="6.7789000000000001"/>
    <n v="6"/>
    <n v="40.673400000000001"/>
  </r>
  <r>
    <x v="1"/>
    <x v="1513"/>
    <x v="1501"/>
    <x v="66"/>
    <x v="3"/>
    <n v="7"/>
    <n v="1"/>
    <n v="7"/>
  </r>
  <r>
    <x v="1"/>
    <x v="1514"/>
    <x v="1502"/>
    <x v="66"/>
    <x v="3"/>
    <n v="7"/>
    <n v="1"/>
    <n v="7"/>
  </r>
  <r>
    <x v="1"/>
    <x v="1515"/>
    <x v="1503"/>
    <x v="66"/>
    <x v="3"/>
    <n v="7"/>
    <n v="1"/>
    <n v="7"/>
  </r>
  <r>
    <x v="1"/>
    <x v="1516"/>
    <x v="1504"/>
    <x v="67"/>
    <x v="3"/>
    <n v="2.2254999999999998"/>
    <n v="149"/>
    <n v="331.59949999999998"/>
  </r>
  <r>
    <x v="2"/>
    <x v="1516"/>
    <x v="1504"/>
    <x v="67"/>
    <x v="3"/>
    <n v="2.2254999999999998"/>
    <n v="149"/>
    <n v="331.59949999999998"/>
  </r>
  <r>
    <x v="1"/>
    <x v="1517"/>
    <x v="1505"/>
    <x v="67"/>
    <x v="3"/>
    <n v="4.4211"/>
    <n v="2"/>
    <n v="8.8422000000000001"/>
  </r>
  <r>
    <x v="2"/>
    <x v="1517"/>
    <x v="1505"/>
    <x v="67"/>
    <x v="3"/>
    <n v="4.4211"/>
    <n v="2"/>
    <n v="8.8422000000000001"/>
  </r>
  <r>
    <x v="1"/>
    <x v="1518"/>
    <x v="1506"/>
    <x v="66"/>
    <x v="3"/>
    <n v="4.1052999999999997"/>
    <n v="3"/>
    <n v="12.315899999999999"/>
  </r>
  <r>
    <x v="2"/>
    <x v="1518"/>
    <x v="1506"/>
    <x v="66"/>
    <x v="3"/>
    <n v="4.1052999999999997"/>
    <n v="3"/>
    <n v="12.315899999999999"/>
  </r>
  <r>
    <x v="1"/>
    <x v="1519"/>
    <x v="1507"/>
    <x v="66"/>
    <x v="3"/>
    <n v="374.63369999999998"/>
    <n v="2"/>
    <n v="749.26739999999995"/>
  </r>
  <r>
    <x v="2"/>
    <x v="1519"/>
    <x v="1507"/>
    <x v="66"/>
    <x v="3"/>
    <n v="374.63369999999998"/>
    <n v="2"/>
    <n v="749.26739999999995"/>
  </r>
  <r>
    <x v="1"/>
    <x v="1520"/>
    <x v="1508"/>
    <x v="1"/>
    <x v="1"/>
    <n v="1.7370000000000001"/>
    <n v="2"/>
    <n v="3.4740000000000002"/>
  </r>
  <r>
    <x v="1"/>
    <x v="1521"/>
    <x v="1509"/>
    <x v="1"/>
    <x v="1"/>
    <n v="151.47"/>
    <n v="1"/>
    <n v="151.47"/>
  </r>
  <r>
    <x v="1"/>
    <x v="1522"/>
    <x v="1510"/>
    <x v="1"/>
    <x v="1"/>
    <n v="104.7"/>
    <n v="3"/>
    <n v="314.10000000000002"/>
  </r>
  <r>
    <x v="1"/>
    <x v="1523"/>
    <x v="1511"/>
    <x v="2"/>
    <x v="1"/>
    <n v="443.61630000000002"/>
    <n v="1"/>
    <n v="443.61630000000002"/>
  </r>
  <r>
    <x v="2"/>
    <x v="1523"/>
    <x v="1511"/>
    <x v="2"/>
    <x v="1"/>
    <n v="443.61630000000002"/>
    <n v="1"/>
    <n v="443.61630000000002"/>
  </r>
  <r>
    <x v="1"/>
    <x v="1524"/>
    <x v="1512"/>
    <x v="1"/>
    <x v="1"/>
    <n v="60"/>
    <n v="2"/>
    <n v="120"/>
  </r>
  <r>
    <x v="1"/>
    <x v="1525"/>
    <x v="1513"/>
    <x v="1"/>
    <x v="1"/>
    <n v="33.761000000000003"/>
    <n v="1"/>
    <n v="33.761000000000003"/>
  </r>
  <r>
    <x v="1"/>
    <x v="1526"/>
    <x v="1514"/>
    <x v="17"/>
    <x v="3"/>
    <n v="15"/>
    <n v="3"/>
    <n v="45"/>
  </r>
  <r>
    <x v="1"/>
    <x v="1527"/>
    <x v="1515"/>
    <x v="1"/>
    <x v="1"/>
    <n v="219.15790000000001"/>
    <n v="2"/>
    <n v="438.31580000000002"/>
  </r>
  <r>
    <x v="2"/>
    <x v="1527"/>
    <x v="1515"/>
    <x v="1"/>
    <x v="1"/>
    <n v="219.15790000000001"/>
    <n v="2"/>
    <n v="438.31580000000002"/>
  </r>
  <r>
    <x v="2"/>
    <x v="1528"/>
    <x v="1516"/>
    <x v="18"/>
    <x v="3"/>
    <n v="38.352600000000002"/>
    <n v="1"/>
    <n v="38.352600000000002"/>
  </r>
  <r>
    <x v="1"/>
    <x v="1528"/>
    <x v="1516"/>
    <x v="18"/>
    <x v="3"/>
    <n v="38.352600000000002"/>
    <n v="1"/>
    <n v="38.352600000000002"/>
  </r>
  <r>
    <x v="1"/>
    <x v="1529"/>
    <x v="1517"/>
    <x v="2"/>
    <x v="1"/>
    <n v="23.589500000000001"/>
    <n v="2"/>
    <n v="47.179000000000002"/>
  </r>
  <r>
    <x v="2"/>
    <x v="1529"/>
    <x v="1517"/>
    <x v="2"/>
    <x v="1"/>
    <n v="23.589500000000001"/>
    <n v="2"/>
    <n v="47.179000000000002"/>
  </r>
  <r>
    <x v="1"/>
    <x v="1530"/>
    <x v="1518"/>
    <x v="1"/>
    <x v="1"/>
    <n v="15"/>
    <n v="2"/>
    <n v="30"/>
  </r>
  <r>
    <x v="1"/>
    <x v="1531"/>
    <x v="1519"/>
    <x v="1"/>
    <x v="1"/>
    <n v="105"/>
    <n v="1"/>
    <n v="105"/>
  </r>
  <r>
    <x v="1"/>
    <x v="1532"/>
    <x v="1520"/>
    <x v="1"/>
    <x v="1"/>
    <n v="150"/>
    <n v="1"/>
    <n v="150"/>
  </r>
  <r>
    <x v="1"/>
    <x v="1533"/>
    <x v="1521"/>
    <x v="66"/>
    <x v="3"/>
    <n v="51.989600000000003"/>
    <n v="7"/>
    <n v="363.92720000000003"/>
  </r>
  <r>
    <x v="2"/>
    <x v="1533"/>
    <x v="1521"/>
    <x v="66"/>
    <x v="3"/>
    <n v="51.989600000000003"/>
    <n v="7"/>
    <n v="363.92720000000003"/>
  </r>
  <r>
    <x v="0"/>
    <x v="1533"/>
    <x v="1521"/>
    <x v="66"/>
    <x v="3"/>
    <n v="51.989600000000003"/>
    <n v="7"/>
    <n v="363.92720000000003"/>
  </r>
  <r>
    <x v="1"/>
    <x v="1534"/>
    <x v="1522"/>
    <x v="1"/>
    <x v="1"/>
    <n v="15.458299999999999"/>
    <n v="5"/>
    <n v="77.291499999999999"/>
  </r>
  <r>
    <x v="2"/>
    <x v="1534"/>
    <x v="1522"/>
    <x v="1"/>
    <x v="1"/>
    <n v="15.458299999999999"/>
    <n v="5"/>
    <n v="77.291499999999999"/>
  </r>
  <r>
    <x v="1"/>
    <x v="1535"/>
    <x v="1523"/>
    <x v="1"/>
    <x v="1"/>
    <n v="17.916599999999999"/>
    <n v="12"/>
    <n v="214.99919999999997"/>
  </r>
  <r>
    <x v="2"/>
    <x v="1535"/>
    <x v="1523"/>
    <x v="1"/>
    <x v="1"/>
    <n v="17.916599999999999"/>
    <n v="12"/>
    <n v="214.99919999999997"/>
  </r>
  <r>
    <x v="1"/>
    <x v="1536"/>
    <x v="1524"/>
    <x v="63"/>
    <x v="1"/>
    <n v="93.796800000000005"/>
    <n v="3"/>
    <n v="281.3904"/>
  </r>
  <r>
    <x v="2"/>
    <x v="1536"/>
    <x v="1524"/>
    <x v="63"/>
    <x v="1"/>
    <n v="93.796800000000005"/>
    <n v="3"/>
    <n v="281.3904"/>
  </r>
  <r>
    <x v="1"/>
    <x v="1537"/>
    <x v="1525"/>
    <x v="2"/>
    <x v="1"/>
    <n v="1534.2275999999999"/>
    <n v="3"/>
    <n v="4602.6827999999996"/>
  </r>
  <r>
    <x v="2"/>
    <x v="1537"/>
    <x v="1525"/>
    <x v="2"/>
    <x v="1"/>
    <n v="1534.2275999999999"/>
    <n v="3"/>
    <n v="4602.6827999999996"/>
  </r>
  <r>
    <x v="0"/>
    <x v="1538"/>
    <x v="1526"/>
    <x v="62"/>
    <x v="7"/>
    <n v="0.87090000000000001"/>
    <n v="1145"/>
    <n v="997.18050000000005"/>
  </r>
  <r>
    <x v="2"/>
    <x v="1538"/>
    <x v="1526"/>
    <x v="62"/>
    <x v="7"/>
    <n v="0.87090000000000001"/>
    <n v="1145"/>
    <n v="997.18050000000005"/>
  </r>
  <r>
    <x v="0"/>
    <x v="1539"/>
    <x v="1527"/>
    <x v="62"/>
    <x v="7"/>
    <n v="2.7258"/>
    <n v="255"/>
    <n v="695.07899999999995"/>
  </r>
  <r>
    <x v="2"/>
    <x v="1540"/>
    <x v="1528"/>
    <x v="62"/>
    <x v="7"/>
    <n v="1.7613000000000001"/>
    <n v="306"/>
    <n v="538.95780000000002"/>
  </r>
  <r>
    <x v="0"/>
    <x v="1540"/>
    <x v="1528"/>
    <x v="62"/>
    <x v="7"/>
    <n v="1.7613000000000001"/>
    <n v="306"/>
    <n v="538.95780000000002"/>
  </r>
  <r>
    <x v="0"/>
    <x v="1541"/>
    <x v="1529"/>
    <x v="0"/>
    <x v="0"/>
    <n v="16.905999999999999"/>
    <n v="5"/>
    <n v="84.53"/>
  </r>
  <r>
    <x v="0"/>
    <x v="1542"/>
    <x v="1530"/>
    <x v="62"/>
    <x v="7"/>
    <n v="1.9557"/>
    <n v="140"/>
    <n v="273.798"/>
  </r>
  <r>
    <x v="2"/>
    <x v="1542"/>
    <x v="1530"/>
    <x v="62"/>
    <x v="7"/>
    <n v="1.9557"/>
    <n v="140"/>
    <n v="273.798"/>
  </r>
  <r>
    <x v="0"/>
    <x v="1543"/>
    <x v="1531"/>
    <x v="62"/>
    <x v="7"/>
    <n v="0.4032"/>
    <n v="1"/>
    <n v="0.4032"/>
  </r>
  <r>
    <x v="2"/>
    <x v="1544"/>
    <x v="1532"/>
    <x v="62"/>
    <x v="7"/>
    <n v="1.8749"/>
    <n v="264"/>
    <n v="494.97359999999998"/>
  </r>
  <r>
    <x v="0"/>
    <x v="1544"/>
    <x v="1532"/>
    <x v="62"/>
    <x v="7"/>
    <n v="1.8749"/>
    <n v="264"/>
    <n v="494.97359999999998"/>
  </r>
  <r>
    <x v="0"/>
    <x v="1545"/>
    <x v="1533"/>
    <x v="62"/>
    <x v="7"/>
    <n v="2.9035000000000002"/>
    <n v="210"/>
    <n v="609.73500000000001"/>
  </r>
  <r>
    <x v="2"/>
    <x v="1545"/>
    <x v="1533"/>
    <x v="62"/>
    <x v="7"/>
    <n v="2.9035000000000002"/>
    <n v="210"/>
    <n v="609.73500000000001"/>
  </r>
  <r>
    <x v="2"/>
    <x v="1546"/>
    <x v="1534"/>
    <x v="62"/>
    <x v="7"/>
    <n v="2.1314000000000002"/>
    <n v="376"/>
    <n v="801.40640000000008"/>
  </r>
  <r>
    <x v="0"/>
    <x v="1546"/>
    <x v="1534"/>
    <x v="62"/>
    <x v="7"/>
    <n v="2.1314000000000002"/>
    <n v="376"/>
    <n v="801.40640000000008"/>
  </r>
  <r>
    <x v="0"/>
    <x v="1547"/>
    <x v="1535"/>
    <x v="0"/>
    <x v="0"/>
    <n v="4.9225000000000003"/>
    <n v="107"/>
    <n v="526.70749999999998"/>
  </r>
  <r>
    <x v="0"/>
    <x v="1548"/>
    <x v="1536"/>
    <x v="62"/>
    <x v="8"/>
    <n v="0"/>
    <n v="1"/>
    <n v="0"/>
  </r>
  <r>
    <x v="2"/>
    <x v="1549"/>
    <x v="1537"/>
    <x v="0"/>
    <x v="0"/>
    <n v="2.1326999999999998"/>
    <n v="656"/>
    <n v="1399.0511999999999"/>
  </r>
  <r>
    <x v="0"/>
    <x v="1549"/>
    <x v="1537"/>
    <x v="0"/>
    <x v="0"/>
    <n v="2.1326999999999998"/>
    <n v="656"/>
    <n v="1399.0511999999999"/>
  </r>
  <r>
    <x v="2"/>
    <x v="1550"/>
    <x v="1538"/>
    <x v="0"/>
    <x v="0"/>
    <n v="3.9781"/>
    <n v="91"/>
    <n v="362.00709999999998"/>
  </r>
  <r>
    <x v="0"/>
    <x v="1550"/>
    <x v="1538"/>
    <x v="0"/>
    <x v="0"/>
    <n v="3.9781"/>
    <n v="91"/>
    <n v="362.00709999999998"/>
  </r>
  <r>
    <x v="0"/>
    <x v="1551"/>
    <x v="1539"/>
    <x v="0"/>
    <x v="0"/>
    <n v="5.75"/>
    <n v="5"/>
    <n v="28.75"/>
  </r>
  <r>
    <x v="2"/>
    <x v="1552"/>
    <x v="1540"/>
    <x v="0"/>
    <x v="0"/>
    <n v="4.7916999999999996"/>
    <n v="75"/>
    <n v="359.3775"/>
  </r>
  <r>
    <x v="0"/>
    <x v="1552"/>
    <x v="1540"/>
    <x v="0"/>
    <x v="0"/>
    <n v="4.7916999999999996"/>
    <n v="75"/>
    <n v="359.3775"/>
  </r>
  <r>
    <x v="2"/>
    <x v="1553"/>
    <x v="1541"/>
    <x v="0"/>
    <x v="0"/>
    <n v="2.6358999999999999"/>
    <n v="100"/>
    <n v="263.58999999999997"/>
  </r>
  <r>
    <x v="0"/>
    <x v="1553"/>
    <x v="1541"/>
    <x v="0"/>
    <x v="0"/>
    <n v="2.6358999999999999"/>
    <n v="100"/>
    <n v="263.58999999999997"/>
  </r>
  <r>
    <x v="2"/>
    <x v="1554"/>
    <x v="1542"/>
    <x v="0"/>
    <x v="0"/>
    <n v="1.2442"/>
    <n v="85"/>
    <n v="105.75699999999999"/>
  </r>
  <r>
    <x v="0"/>
    <x v="1554"/>
    <x v="1542"/>
    <x v="0"/>
    <x v="0"/>
    <n v="1.2442"/>
    <n v="85"/>
    <n v="105.75699999999999"/>
  </r>
  <r>
    <x v="2"/>
    <x v="1555"/>
    <x v="1543"/>
    <x v="0"/>
    <x v="0"/>
    <n v="9.0198"/>
    <n v="102"/>
    <n v="920.01959999999997"/>
  </r>
  <r>
    <x v="0"/>
    <x v="1555"/>
    <x v="1543"/>
    <x v="0"/>
    <x v="0"/>
    <n v="9.0198"/>
    <n v="102"/>
    <n v="920.01959999999997"/>
  </r>
  <r>
    <x v="0"/>
    <x v="1556"/>
    <x v="1544"/>
    <x v="62"/>
    <x v="10"/>
    <n v="0.68149999999999999"/>
    <n v="203"/>
    <n v="138.34450000000001"/>
  </r>
  <r>
    <x v="0"/>
    <x v="1557"/>
    <x v="1545"/>
    <x v="62"/>
    <x v="10"/>
    <n v="1.1618999999999999"/>
    <n v="234"/>
    <n v="271.88459999999998"/>
  </r>
  <r>
    <x v="2"/>
    <x v="1558"/>
    <x v="1546"/>
    <x v="62"/>
    <x v="10"/>
    <n v="0.55120000000000002"/>
    <n v="112"/>
    <n v="61.734400000000001"/>
  </r>
  <r>
    <x v="0"/>
    <x v="1558"/>
    <x v="1546"/>
    <x v="62"/>
    <x v="10"/>
    <n v="0.55120000000000002"/>
    <n v="112"/>
    <n v="61.734400000000001"/>
  </r>
  <r>
    <x v="0"/>
    <x v="1559"/>
    <x v="1547"/>
    <x v="62"/>
    <x v="7"/>
    <n v="1.5785"/>
    <n v="159"/>
    <n v="250.98150000000001"/>
  </r>
  <r>
    <x v="2"/>
    <x v="1559"/>
    <x v="1547"/>
    <x v="62"/>
    <x v="7"/>
    <n v="1.5785"/>
    <n v="159"/>
    <n v="250.98150000000001"/>
  </r>
  <r>
    <x v="0"/>
    <x v="1560"/>
    <x v="1548"/>
    <x v="0"/>
    <x v="0"/>
    <n v="8.4269999999999996"/>
    <n v="2"/>
    <n v="16.853999999999999"/>
  </r>
  <r>
    <x v="2"/>
    <x v="1561"/>
    <x v="1549"/>
    <x v="0"/>
    <x v="0"/>
    <n v="6.6551"/>
    <n v="192"/>
    <n v="1277.7791999999999"/>
  </r>
  <r>
    <x v="0"/>
    <x v="1561"/>
    <x v="1549"/>
    <x v="0"/>
    <x v="0"/>
    <n v="6.6551"/>
    <n v="192"/>
    <n v="1277.7791999999999"/>
  </r>
  <r>
    <x v="2"/>
    <x v="1562"/>
    <x v="1550"/>
    <x v="0"/>
    <x v="0"/>
    <n v="0.86970000000000003"/>
    <n v="54"/>
    <n v="46.963799999999999"/>
  </r>
  <r>
    <x v="0"/>
    <x v="1562"/>
    <x v="1550"/>
    <x v="0"/>
    <x v="0"/>
    <n v="0.86970000000000003"/>
    <n v="54"/>
    <n v="46.963799999999999"/>
  </r>
  <r>
    <x v="2"/>
    <x v="1563"/>
    <x v="1551"/>
    <x v="0"/>
    <x v="0"/>
    <n v="1.4067000000000001"/>
    <n v="97"/>
    <n v="136.44990000000001"/>
  </r>
  <r>
    <x v="0"/>
    <x v="1563"/>
    <x v="1551"/>
    <x v="0"/>
    <x v="0"/>
    <n v="1.4067000000000001"/>
    <n v="97"/>
    <n v="136.44990000000001"/>
  </r>
  <r>
    <x v="2"/>
    <x v="1564"/>
    <x v="1552"/>
    <x v="0"/>
    <x v="0"/>
    <n v="2.1341000000000001"/>
    <n v="296"/>
    <n v="631.69360000000006"/>
  </r>
  <r>
    <x v="0"/>
    <x v="1564"/>
    <x v="1552"/>
    <x v="0"/>
    <x v="0"/>
    <n v="2.1341000000000001"/>
    <n v="296"/>
    <n v="631.69360000000006"/>
  </r>
  <r>
    <x v="2"/>
    <x v="1565"/>
    <x v="1553"/>
    <x v="0"/>
    <x v="0"/>
    <n v="4.7957000000000001"/>
    <n v="376"/>
    <n v="1803.1831999999999"/>
  </r>
  <r>
    <x v="0"/>
    <x v="1565"/>
    <x v="1553"/>
    <x v="0"/>
    <x v="0"/>
    <n v="4.7957000000000001"/>
    <n v="376"/>
    <n v="1803.1831999999999"/>
  </r>
  <r>
    <x v="0"/>
    <x v="1566"/>
    <x v="1554"/>
    <x v="0"/>
    <x v="0"/>
    <n v="8.6260999999999992"/>
    <n v="131"/>
    <n v="1130.0191"/>
  </r>
  <r>
    <x v="2"/>
    <x v="1566"/>
    <x v="1554"/>
    <x v="0"/>
    <x v="0"/>
    <n v="8.6260999999999992"/>
    <n v="131"/>
    <n v="1130.0191"/>
  </r>
  <r>
    <x v="0"/>
    <x v="1567"/>
    <x v="1555"/>
    <x v="0"/>
    <x v="0"/>
    <n v="2.1745999999999999"/>
    <n v="23"/>
    <n v="50.015799999999999"/>
  </r>
  <r>
    <x v="2"/>
    <x v="1568"/>
    <x v="1556"/>
    <x v="0"/>
    <x v="0"/>
    <n v="23.4467"/>
    <n v="539"/>
    <n v="12637.7713"/>
  </r>
  <r>
    <x v="0"/>
    <x v="1568"/>
    <x v="1556"/>
    <x v="0"/>
    <x v="0"/>
    <n v="23.4467"/>
    <n v="539"/>
    <n v="12637.7713"/>
  </r>
  <r>
    <x v="0"/>
    <x v="1569"/>
    <x v="1557"/>
    <x v="62"/>
    <x v="10"/>
    <n v="2.0674999999999999"/>
    <n v="144"/>
    <n v="297.71999999999997"/>
  </r>
  <r>
    <x v="2"/>
    <x v="1570"/>
    <x v="1558"/>
    <x v="62"/>
    <x v="7"/>
    <n v="5.2549000000000001"/>
    <n v="248"/>
    <n v="1303.2152000000001"/>
  </r>
  <r>
    <x v="0"/>
    <x v="1570"/>
    <x v="1558"/>
    <x v="62"/>
    <x v="7"/>
    <n v="5.2549000000000001"/>
    <n v="248"/>
    <n v="1303.2152000000001"/>
  </r>
  <r>
    <x v="0"/>
    <x v="1571"/>
    <x v="1559"/>
    <x v="62"/>
    <x v="7"/>
    <n v="7.3280000000000003"/>
    <n v="40"/>
    <n v="293.12"/>
  </r>
  <r>
    <x v="0"/>
    <x v="1572"/>
    <x v="1560"/>
    <x v="62"/>
    <x v="7"/>
    <n v="3.2938000000000001"/>
    <n v="95"/>
    <n v="312.911"/>
  </r>
  <r>
    <x v="0"/>
    <x v="1573"/>
    <x v="1561"/>
    <x v="0"/>
    <x v="0"/>
    <n v="4.5045999999999999"/>
    <n v="80"/>
    <n v="360.36799999999999"/>
  </r>
  <r>
    <x v="2"/>
    <x v="1573"/>
    <x v="1561"/>
    <x v="0"/>
    <x v="0"/>
    <n v="4.5045999999999999"/>
    <n v="80"/>
    <n v="360.36799999999999"/>
  </r>
  <r>
    <x v="2"/>
    <x v="1574"/>
    <x v="1562"/>
    <x v="62"/>
    <x v="8"/>
    <n v="0.82599999999999996"/>
    <n v="89"/>
    <n v="73.513999999999996"/>
  </r>
  <r>
    <x v="0"/>
    <x v="1574"/>
    <x v="1562"/>
    <x v="62"/>
    <x v="8"/>
    <n v="0.82599999999999996"/>
    <n v="89"/>
    <n v="73.513999999999996"/>
  </r>
  <r>
    <x v="0"/>
    <x v="1575"/>
    <x v="1563"/>
    <x v="62"/>
    <x v="7"/>
    <n v="2.9962"/>
    <n v="222"/>
    <n v="665.15639999999996"/>
  </r>
  <r>
    <x v="0"/>
    <x v="1576"/>
    <x v="1564"/>
    <x v="0"/>
    <x v="11"/>
    <n v="9.2040000000000006"/>
    <n v="3"/>
    <n v="27.612000000000002"/>
  </r>
  <r>
    <x v="2"/>
    <x v="1577"/>
    <x v="1565"/>
    <x v="0"/>
    <x v="0"/>
    <n v="2.5413000000000001"/>
    <n v="177"/>
    <n v="449.81010000000003"/>
  </r>
  <r>
    <x v="0"/>
    <x v="1577"/>
    <x v="1565"/>
    <x v="0"/>
    <x v="0"/>
    <n v="2.5413000000000001"/>
    <n v="177"/>
    <n v="449.81010000000003"/>
  </r>
  <r>
    <x v="0"/>
    <x v="1578"/>
    <x v="1566"/>
    <x v="0"/>
    <x v="0"/>
    <n v="4.4741"/>
    <n v="66"/>
    <n v="295.29059999999998"/>
  </r>
  <r>
    <x v="2"/>
    <x v="1578"/>
    <x v="1566"/>
    <x v="0"/>
    <x v="0"/>
    <n v="4.4741"/>
    <n v="66"/>
    <n v="295.29059999999998"/>
  </r>
  <r>
    <x v="0"/>
    <x v="1579"/>
    <x v="1567"/>
    <x v="0"/>
    <x v="0"/>
    <n v="6.5823999999999998"/>
    <n v="264"/>
    <n v="1737.7536"/>
  </r>
  <r>
    <x v="2"/>
    <x v="1580"/>
    <x v="1568"/>
    <x v="0"/>
    <x v="0"/>
    <n v="1.1251"/>
    <n v="75"/>
    <n v="84.382499999999993"/>
  </r>
  <r>
    <x v="0"/>
    <x v="1580"/>
    <x v="1568"/>
    <x v="0"/>
    <x v="0"/>
    <n v="1.1251"/>
    <n v="75"/>
    <n v="84.382499999999993"/>
  </r>
  <r>
    <x v="2"/>
    <x v="1581"/>
    <x v="1569"/>
    <x v="0"/>
    <x v="11"/>
    <n v="12.354200000000001"/>
    <n v="42"/>
    <n v="518.87639999999999"/>
  </r>
  <r>
    <x v="0"/>
    <x v="1581"/>
    <x v="1569"/>
    <x v="0"/>
    <x v="11"/>
    <n v="12.354200000000001"/>
    <n v="42"/>
    <n v="518.87639999999999"/>
  </r>
  <r>
    <x v="0"/>
    <x v="1582"/>
    <x v="1570"/>
    <x v="62"/>
    <x v="7"/>
    <n v="1.0994999999999999"/>
    <n v="775"/>
    <n v="852.11249999999995"/>
  </r>
  <r>
    <x v="2"/>
    <x v="1582"/>
    <x v="1570"/>
    <x v="62"/>
    <x v="7"/>
    <n v="1.0994999999999999"/>
    <n v="775"/>
    <n v="852.11249999999995"/>
  </r>
  <r>
    <x v="2"/>
    <x v="1583"/>
    <x v="1571"/>
    <x v="62"/>
    <x v="7"/>
    <n v="3.4923000000000002"/>
    <n v="70"/>
    <n v="244.46100000000001"/>
  </r>
  <r>
    <x v="0"/>
    <x v="1583"/>
    <x v="1571"/>
    <x v="62"/>
    <x v="7"/>
    <n v="3.4923000000000002"/>
    <n v="70"/>
    <n v="244.46100000000001"/>
  </r>
  <r>
    <x v="2"/>
    <x v="1584"/>
    <x v="1572"/>
    <x v="62"/>
    <x v="7"/>
    <n v="2.8771"/>
    <n v="208"/>
    <n v="598.43679999999995"/>
  </r>
  <r>
    <x v="0"/>
    <x v="1584"/>
    <x v="1572"/>
    <x v="62"/>
    <x v="7"/>
    <n v="2.8771"/>
    <n v="208"/>
    <n v="598.43679999999995"/>
  </r>
  <r>
    <x v="0"/>
    <x v="1585"/>
    <x v="1573"/>
    <x v="0"/>
    <x v="11"/>
    <n v="59.833100000000002"/>
    <n v="6"/>
    <n v="358.99860000000001"/>
  </r>
  <r>
    <x v="2"/>
    <x v="1586"/>
    <x v="1574"/>
    <x v="0"/>
    <x v="0"/>
    <n v="3.7187000000000001"/>
    <n v="1015"/>
    <n v="3774.4805000000001"/>
  </r>
  <r>
    <x v="0"/>
    <x v="1586"/>
    <x v="1574"/>
    <x v="0"/>
    <x v="0"/>
    <n v="3.7187000000000001"/>
    <n v="1015"/>
    <n v="3774.4805000000001"/>
  </r>
  <r>
    <x v="0"/>
    <x v="1587"/>
    <x v="1575"/>
    <x v="62"/>
    <x v="7"/>
    <n v="0.76670000000000005"/>
    <n v="1156"/>
    <n v="886.30520000000001"/>
  </r>
  <r>
    <x v="2"/>
    <x v="1588"/>
    <x v="1576"/>
    <x v="62"/>
    <x v="7"/>
    <n v="2.3353999999999999"/>
    <n v="313"/>
    <n v="730.98019999999997"/>
  </r>
  <r>
    <x v="0"/>
    <x v="1588"/>
    <x v="1576"/>
    <x v="62"/>
    <x v="7"/>
    <n v="2.3353999999999999"/>
    <n v="313"/>
    <n v="730.98019999999997"/>
  </r>
  <r>
    <x v="0"/>
    <x v="1589"/>
    <x v="1577"/>
    <x v="0"/>
    <x v="0"/>
    <n v="0.9234"/>
    <n v="11"/>
    <n v="10.157399999999999"/>
  </r>
  <r>
    <x v="0"/>
    <x v="1590"/>
    <x v="1578"/>
    <x v="62"/>
    <x v="8"/>
    <n v="15.127800000000001"/>
    <n v="13"/>
    <n v="196.66140000000001"/>
  </r>
  <r>
    <x v="0"/>
    <x v="1591"/>
    <x v="1579"/>
    <x v="62"/>
    <x v="8"/>
    <n v="0.97709999999999997"/>
    <n v="130"/>
    <n v="127.023"/>
  </r>
  <r>
    <x v="0"/>
    <x v="1592"/>
    <x v="1580"/>
    <x v="0"/>
    <x v="0"/>
    <n v="13.419"/>
    <n v="5"/>
    <n v="67.094999999999999"/>
  </r>
  <r>
    <x v="2"/>
    <x v="1593"/>
    <x v="1581"/>
    <x v="62"/>
    <x v="7"/>
    <n v="2.1558000000000002"/>
    <n v="632"/>
    <n v="1362.4656"/>
  </r>
  <r>
    <x v="0"/>
    <x v="1593"/>
    <x v="1581"/>
    <x v="62"/>
    <x v="7"/>
    <n v="2.1558000000000002"/>
    <n v="632"/>
    <n v="1362.4656"/>
  </r>
  <r>
    <x v="2"/>
    <x v="1594"/>
    <x v="1582"/>
    <x v="62"/>
    <x v="7"/>
    <n v="3.9603999999999999"/>
    <n v="563"/>
    <n v="2229.7051999999999"/>
  </r>
  <r>
    <x v="0"/>
    <x v="1594"/>
    <x v="1582"/>
    <x v="62"/>
    <x v="7"/>
    <n v="3.9603999999999999"/>
    <n v="563"/>
    <n v="2229.7051999999999"/>
  </r>
  <r>
    <x v="0"/>
    <x v="1595"/>
    <x v="1583"/>
    <x v="62"/>
    <x v="7"/>
    <n v="12.454000000000001"/>
    <n v="20.002300000000002"/>
    <n v="249.10864420000004"/>
  </r>
  <r>
    <x v="0"/>
    <x v="1596"/>
    <x v="1584"/>
    <x v="62"/>
    <x v="8"/>
    <n v="2.4020999999999999"/>
    <n v="577"/>
    <n v="1386.0117"/>
  </r>
  <r>
    <x v="0"/>
    <x v="1597"/>
    <x v="1585"/>
    <x v="62"/>
    <x v="8"/>
    <n v="2.5693999999999999"/>
    <n v="23"/>
    <n v="59.096199999999996"/>
  </r>
  <r>
    <x v="2"/>
    <x v="1598"/>
    <x v="1586"/>
    <x v="62"/>
    <x v="7"/>
    <n v="1.0135000000000001"/>
    <n v="347"/>
    <n v="351.68450000000001"/>
  </r>
  <r>
    <x v="0"/>
    <x v="1598"/>
    <x v="1586"/>
    <x v="62"/>
    <x v="7"/>
    <n v="1.0135000000000001"/>
    <n v="347"/>
    <n v="351.68450000000001"/>
  </r>
  <r>
    <x v="0"/>
    <x v="1599"/>
    <x v="1587"/>
    <x v="0"/>
    <x v="0"/>
    <n v="1.2682"/>
    <n v="200"/>
    <n v="253.64"/>
  </r>
  <r>
    <x v="0"/>
    <x v="1600"/>
    <x v="1588"/>
    <x v="62"/>
    <x v="7"/>
    <n v="6.4301000000000004"/>
    <n v="300"/>
    <n v="1929.0300000000002"/>
  </r>
  <r>
    <x v="0"/>
    <x v="1601"/>
    <x v="1589"/>
    <x v="62"/>
    <x v="7"/>
    <n v="2.0306999999999999"/>
    <n v="243"/>
    <n v="493.46010000000001"/>
  </r>
  <r>
    <x v="2"/>
    <x v="1601"/>
    <x v="1589"/>
    <x v="62"/>
    <x v="7"/>
    <n v="2.0306999999999999"/>
    <n v="243"/>
    <n v="493.46010000000001"/>
  </r>
  <r>
    <x v="2"/>
    <x v="1602"/>
    <x v="1590"/>
    <x v="62"/>
    <x v="7"/>
    <n v="1.8198000000000001"/>
    <n v="632"/>
    <n v="1150.1136000000001"/>
  </r>
  <r>
    <x v="0"/>
    <x v="1602"/>
    <x v="1590"/>
    <x v="62"/>
    <x v="7"/>
    <n v="1.8198000000000001"/>
    <n v="632"/>
    <n v="1150.1136000000001"/>
  </r>
  <r>
    <x v="2"/>
    <x v="1603"/>
    <x v="1591"/>
    <x v="62"/>
    <x v="7"/>
    <n v="1.7966"/>
    <n v="265"/>
    <n v="476.09899999999999"/>
  </r>
  <r>
    <x v="0"/>
    <x v="1603"/>
    <x v="1591"/>
    <x v="62"/>
    <x v="7"/>
    <n v="1.7966"/>
    <n v="265"/>
    <n v="476.09899999999999"/>
  </r>
  <r>
    <x v="0"/>
    <x v="1604"/>
    <x v="1592"/>
    <x v="62"/>
    <x v="7"/>
    <n v="2.0013000000000001"/>
    <n v="206"/>
    <n v="412.26780000000002"/>
  </r>
  <r>
    <x v="2"/>
    <x v="1604"/>
    <x v="1592"/>
    <x v="62"/>
    <x v="7"/>
    <n v="2.0013000000000001"/>
    <n v="206"/>
    <n v="412.26780000000002"/>
  </r>
  <r>
    <x v="0"/>
    <x v="1605"/>
    <x v="1593"/>
    <x v="0"/>
    <x v="0"/>
    <n v="1.4827999999999999"/>
    <n v="550"/>
    <n v="815.54"/>
  </r>
  <r>
    <x v="2"/>
    <x v="1605"/>
    <x v="1593"/>
    <x v="0"/>
    <x v="0"/>
    <n v="1.4827999999999999"/>
    <n v="550"/>
    <n v="815.54"/>
  </r>
  <r>
    <x v="2"/>
    <x v="1606"/>
    <x v="1594"/>
    <x v="62"/>
    <x v="7"/>
    <n v="2.5670000000000002"/>
    <n v="1604"/>
    <n v="4117.4679999999998"/>
  </r>
  <r>
    <x v="0"/>
    <x v="1606"/>
    <x v="1594"/>
    <x v="62"/>
    <x v="7"/>
    <n v="2.5670000000000002"/>
    <n v="1604"/>
    <n v="4117.4679999999998"/>
  </r>
  <r>
    <x v="2"/>
    <x v="1607"/>
    <x v="1595"/>
    <x v="62"/>
    <x v="7"/>
    <n v="1.3392999999999999"/>
    <n v="140"/>
    <n v="187.50199999999998"/>
  </r>
  <r>
    <x v="0"/>
    <x v="1607"/>
    <x v="1595"/>
    <x v="62"/>
    <x v="7"/>
    <n v="1.3392999999999999"/>
    <n v="140"/>
    <n v="187.50199999999998"/>
  </r>
  <r>
    <x v="2"/>
    <x v="1608"/>
    <x v="1596"/>
    <x v="0"/>
    <x v="0"/>
    <n v="2.8277000000000001"/>
    <n v="564"/>
    <n v="1594.8228000000001"/>
  </r>
  <r>
    <x v="0"/>
    <x v="1608"/>
    <x v="1596"/>
    <x v="0"/>
    <x v="0"/>
    <n v="2.8277000000000001"/>
    <n v="564"/>
    <n v="1594.8228000000001"/>
  </r>
  <r>
    <x v="2"/>
    <x v="1609"/>
    <x v="1597"/>
    <x v="0"/>
    <x v="0"/>
    <n v="5.3960999999999997"/>
    <n v="557"/>
    <n v="3005.6277"/>
  </r>
  <r>
    <x v="0"/>
    <x v="1609"/>
    <x v="1597"/>
    <x v="0"/>
    <x v="0"/>
    <n v="5.3960999999999997"/>
    <n v="557"/>
    <n v="3005.6277"/>
  </r>
  <r>
    <x v="0"/>
    <x v="1610"/>
    <x v="1598"/>
    <x v="0"/>
    <x v="0"/>
    <n v="20.721"/>
    <n v="5"/>
    <n v="103.605"/>
  </r>
  <r>
    <x v="0"/>
    <x v="1611"/>
    <x v="1599"/>
    <x v="0"/>
    <x v="0"/>
    <n v="0.98529999999999995"/>
    <n v="136"/>
    <n v="134.0008"/>
  </r>
  <r>
    <x v="2"/>
    <x v="1611"/>
    <x v="1599"/>
    <x v="0"/>
    <x v="0"/>
    <n v="0.98529999999999995"/>
    <n v="136"/>
    <n v="134.0008"/>
  </r>
  <r>
    <x v="2"/>
    <x v="1612"/>
    <x v="1600"/>
    <x v="0"/>
    <x v="0"/>
    <n v="0.90910000000000002"/>
    <n v="152"/>
    <n v="138.1832"/>
  </r>
  <r>
    <x v="0"/>
    <x v="1612"/>
    <x v="1600"/>
    <x v="0"/>
    <x v="0"/>
    <n v="0.90910000000000002"/>
    <n v="152"/>
    <n v="138.1832"/>
  </r>
  <r>
    <x v="0"/>
    <x v="1613"/>
    <x v="1601"/>
    <x v="62"/>
    <x v="8"/>
    <n v="15.289400000000001"/>
    <n v="108"/>
    <n v="1651.2552000000001"/>
  </r>
  <r>
    <x v="0"/>
    <x v="1614"/>
    <x v="1602"/>
    <x v="62"/>
    <x v="7"/>
    <n v="0.99"/>
    <n v="4"/>
    <n v="3.96"/>
  </r>
  <r>
    <x v="0"/>
    <x v="1615"/>
    <x v="1603"/>
    <x v="12"/>
    <x v="0"/>
    <n v="1.5687"/>
    <n v="70"/>
    <n v="109.809"/>
  </r>
  <r>
    <x v="0"/>
    <x v="1616"/>
    <x v="1604"/>
    <x v="0"/>
    <x v="0"/>
    <n v="7.0606"/>
    <n v="13"/>
    <n v="91.787800000000004"/>
  </r>
  <r>
    <x v="2"/>
    <x v="1616"/>
    <x v="1604"/>
    <x v="0"/>
    <x v="0"/>
    <n v="7.0606"/>
    <n v="13"/>
    <n v="91.787800000000004"/>
  </r>
  <r>
    <x v="0"/>
    <x v="1617"/>
    <x v="1605"/>
    <x v="0"/>
    <x v="0"/>
    <n v="1.8667"/>
    <n v="3"/>
    <n v="5.6001000000000003"/>
  </r>
  <r>
    <x v="2"/>
    <x v="1618"/>
    <x v="1606"/>
    <x v="0"/>
    <x v="0"/>
    <n v="1.8015000000000001"/>
    <n v="174"/>
    <n v="313.46100000000001"/>
  </r>
  <r>
    <x v="0"/>
    <x v="1618"/>
    <x v="1606"/>
    <x v="0"/>
    <x v="0"/>
    <n v="1.8015000000000001"/>
    <n v="174"/>
    <n v="313.46100000000001"/>
  </r>
  <r>
    <x v="0"/>
    <x v="1619"/>
    <x v="1607"/>
    <x v="0"/>
    <x v="0"/>
    <n v="3.7450000000000001"/>
    <n v="271"/>
    <n v="1014.895"/>
  </r>
  <r>
    <x v="2"/>
    <x v="1619"/>
    <x v="1607"/>
    <x v="0"/>
    <x v="0"/>
    <n v="3.7450000000000001"/>
    <n v="271"/>
    <n v="1014.895"/>
  </r>
  <r>
    <x v="0"/>
    <x v="1620"/>
    <x v="1608"/>
    <x v="0"/>
    <x v="0"/>
    <n v="3.1945000000000001"/>
    <n v="105"/>
    <n v="335.42250000000001"/>
  </r>
  <r>
    <x v="2"/>
    <x v="1620"/>
    <x v="1608"/>
    <x v="0"/>
    <x v="0"/>
    <n v="3.1945000000000001"/>
    <n v="105"/>
    <n v="335.42250000000001"/>
  </r>
  <r>
    <x v="0"/>
    <x v="1621"/>
    <x v="1609"/>
    <x v="62"/>
    <x v="7"/>
    <n v="0.66500000000000004"/>
    <n v="2"/>
    <n v="1.33"/>
  </r>
  <r>
    <x v="0"/>
    <x v="1622"/>
    <x v="1610"/>
    <x v="0"/>
    <x v="0"/>
    <n v="13.135400000000001"/>
    <n v="171"/>
    <n v="2246.1534000000001"/>
  </r>
  <r>
    <x v="0"/>
    <x v="1623"/>
    <x v="1611"/>
    <x v="62"/>
    <x v="7"/>
    <n v="9.8119999999999994"/>
    <n v="31"/>
    <n v="304.17199999999997"/>
  </r>
  <r>
    <x v="2"/>
    <x v="1624"/>
    <x v="1612"/>
    <x v="0"/>
    <x v="0"/>
    <n v="7.8913000000000002"/>
    <n v="20"/>
    <n v="157.82599999999999"/>
  </r>
  <r>
    <x v="0"/>
    <x v="1624"/>
    <x v="1612"/>
    <x v="0"/>
    <x v="0"/>
    <n v="7.8913000000000002"/>
    <n v="20"/>
    <n v="157.82599999999999"/>
  </r>
  <r>
    <x v="0"/>
    <x v="1625"/>
    <x v="1613"/>
    <x v="0"/>
    <x v="0"/>
    <n v="11.4969"/>
    <n v="70"/>
    <n v="804.78300000000002"/>
  </r>
  <r>
    <x v="0"/>
    <x v="1626"/>
    <x v="1614"/>
    <x v="0"/>
    <x v="11"/>
    <n v="11.200699999999999"/>
    <n v="526"/>
    <n v="5891.5681999999997"/>
  </r>
  <r>
    <x v="2"/>
    <x v="1627"/>
    <x v="1615"/>
    <x v="0"/>
    <x v="11"/>
    <n v="3.5931999999999999"/>
    <n v="217"/>
    <n v="779.72439999999995"/>
  </r>
  <r>
    <x v="0"/>
    <x v="1627"/>
    <x v="1615"/>
    <x v="0"/>
    <x v="11"/>
    <n v="3.5931999999999999"/>
    <n v="217"/>
    <n v="779.72439999999995"/>
  </r>
  <r>
    <x v="0"/>
    <x v="1628"/>
    <x v="1616"/>
    <x v="62"/>
    <x v="7"/>
    <n v="1.3"/>
    <n v="3"/>
    <n v="3.9000000000000004"/>
  </r>
  <r>
    <x v="0"/>
    <x v="1629"/>
    <x v="1617"/>
    <x v="62"/>
    <x v="7"/>
    <n v="0.19600000000000001"/>
    <n v="200"/>
    <n v="39.200000000000003"/>
  </r>
  <r>
    <x v="2"/>
    <x v="1630"/>
    <x v="1618"/>
    <x v="68"/>
    <x v="3"/>
    <n v="0.94640000000000002"/>
    <n v="118"/>
    <n v="111.6752"/>
  </r>
  <r>
    <x v="1"/>
    <x v="1630"/>
    <x v="1618"/>
    <x v="68"/>
    <x v="3"/>
    <n v="0.94640000000000002"/>
    <n v="118"/>
    <n v="111.6752"/>
  </r>
  <r>
    <x v="1"/>
    <x v="1631"/>
    <x v="1619"/>
    <x v="37"/>
    <x v="2"/>
    <n v="7.8971"/>
    <n v="10"/>
    <n v="78.971000000000004"/>
  </r>
  <r>
    <x v="2"/>
    <x v="1631"/>
    <x v="1619"/>
    <x v="37"/>
    <x v="2"/>
    <n v="7.8971"/>
    <n v="10"/>
    <n v="78.971000000000004"/>
  </r>
  <r>
    <x v="1"/>
    <x v="1632"/>
    <x v="1620"/>
    <x v="69"/>
    <x v="3"/>
    <n v="24.355"/>
    <n v="3"/>
    <n v="73.064999999999998"/>
  </r>
  <r>
    <x v="1"/>
    <x v="1633"/>
    <x v="1621"/>
    <x v="1"/>
    <x v="3"/>
    <n v="1.7350000000000001"/>
    <n v="4"/>
    <n v="6.94"/>
  </r>
  <r>
    <x v="1"/>
    <x v="1634"/>
    <x v="1622"/>
    <x v="68"/>
    <x v="3"/>
    <n v="7.0629999999999997"/>
    <n v="8"/>
    <n v="56.503999999999998"/>
  </r>
  <r>
    <x v="2"/>
    <x v="1634"/>
    <x v="1622"/>
    <x v="68"/>
    <x v="3"/>
    <n v="7.0629999999999997"/>
    <n v="8"/>
    <n v="56.503999999999998"/>
  </r>
  <r>
    <x v="1"/>
    <x v="1635"/>
    <x v="1623"/>
    <x v="1"/>
    <x v="3"/>
    <n v="1.6080000000000001"/>
    <n v="13"/>
    <n v="20.904"/>
  </r>
  <r>
    <x v="1"/>
    <x v="1636"/>
    <x v="1624"/>
    <x v="1"/>
    <x v="3"/>
    <n v="0.93899999999999995"/>
    <n v="14"/>
    <n v="13.145999999999999"/>
  </r>
  <r>
    <x v="2"/>
    <x v="1637"/>
    <x v="1625"/>
    <x v="69"/>
    <x v="3"/>
    <n v="3.9085000000000001"/>
    <n v="8"/>
    <n v="31.268000000000001"/>
  </r>
  <r>
    <x v="1"/>
    <x v="1637"/>
    <x v="1625"/>
    <x v="69"/>
    <x v="3"/>
    <n v="3.9085000000000001"/>
    <n v="8"/>
    <n v="31.268000000000001"/>
  </r>
  <r>
    <x v="2"/>
    <x v="1638"/>
    <x v="1626"/>
    <x v="68"/>
    <x v="3"/>
    <n v="2.3935"/>
    <n v="27"/>
    <n v="64.624499999999998"/>
  </r>
  <r>
    <x v="1"/>
    <x v="1638"/>
    <x v="1626"/>
    <x v="68"/>
    <x v="3"/>
    <n v="2.3935"/>
    <n v="27"/>
    <n v="64.624499999999998"/>
  </r>
  <r>
    <x v="1"/>
    <x v="1639"/>
    <x v="1627"/>
    <x v="1"/>
    <x v="3"/>
    <n v="0.32"/>
    <n v="32"/>
    <n v="10.24"/>
  </r>
  <r>
    <x v="1"/>
    <x v="1640"/>
    <x v="1628"/>
    <x v="69"/>
    <x v="3"/>
    <n v="2.7919999999999998"/>
    <n v="23"/>
    <n v="64.215999999999994"/>
  </r>
  <r>
    <x v="1"/>
    <x v="1641"/>
    <x v="1629"/>
    <x v="69"/>
    <x v="3"/>
    <n v="0.95599999999999996"/>
    <n v="26"/>
    <n v="24.855999999999998"/>
  </r>
  <r>
    <x v="2"/>
    <x v="1642"/>
    <x v="1630"/>
    <x v="69"/>
    <x v="3"/>
    <n v="11.347300000000001"/>
    <n v="4"/>
    <n v="45.389200000000002"/>
  </r>
  <r>
    <x v="1"/>
    <x v="1642"/>
    <x v="1630"/>
    <x v="69"/>
    <x v="3"/>
    <n v="11.347300000000001"/>
    <n v="4"/>
    <n v="45.389200000000002"/>
  </r>
  <r>
    <x v="1"/>
    <x v="1643"/>
    <x v="1631"/>
    <x v="69"/>
    <x v="3"/>
    <n v="4.0400999999999998"/>
    <n v="7"/>
    <n v="28.2807"/>
  </r>
  <r>
    <x v="2"/>
    <x v="1643"/>
    <x v="1631"/>
    <x v="69"/>
    <x v="3"/>
    <n v="4.0400999999999998"/>
    <n v="7"/>
    <n v="28.2807"/>
  </r>
  <r>
    <x v="1"/>
    <x v="1644"/>
    <x v="1632"/>
    <x v="1"/>
    <x v="3"/>
    <n v="3.55"/>
    <n v="3"/>
    <n v="10.649999999999999"/>
  </r>
  <r>
    <x v="1"/>
    <x v="1645"/>
    <x v="1633"/>
    <x v="37"/>
    <x v="2"/>
    <n v="0.34599999999999997"/>
    <n v="37"/>
    <n v="12.802"/>
  </r>
  <r>
    <x v="1"/>
    <x v="1646"/>
    <x v="1634"/>
    <x v="69"/>
    <x v="3"/>
    <n v="1.371"/>
    <n v="12"/>
    <n v="16.451999999999998"/>
  </r>
  <r>
    <x v="1"/>
    <x v="1647"/>
    <x v="1635"/>
    <x v="68"/>
    <x v="3"/>
    <n v="1.135"/>
    <n v="11"/>
    <n v="12.484999999999999"/>
  </r>
  <r>
    <x v="2"/>
    <x v="1647"/>
    <x v="1635"/>
    <x v="68"/>
    <x v="3"/>
    <n v="1.135"/>
    <n v="11"/>
    <n v="12.484999999999999"/>
  </r>
  <r>
    <x v="1"/>
    <x v="1648"/>
    <x v="1636"/>
    <x v="1"/>
    <x v="3"/>
    <n v="3.734"/>
    <n v="4"/>
    <n v="14.936"/>
  </r>
  <r>
    <x v="1"/>
    <x v="1649"/>
    <x v="1637"/>
    <x v="37"/>
    <x v="2"/>
    <n v="0.40400000000000003"/>
    <n v="10"/>
    <n v="4.04"/>
  </r>
  <r>
    <x v="1"/>
    <x v="1650"/>
    <x v="1638"/>
    <x v="37"/>
    <x v="2"/>
    <n v="0.40400000000000003"/>
    <n v="10"/>
    <n v="4.04"/>
  </r>
  <r>
    <x v="1"/>
    <x v="1651"/>
    <x v="1639"/>
    <x v="1"/>
    <x v="3"/>
    <n v="4.5860000000000003"/>
    <n v="41"/>
    <n v="188.02600000000001"/>
  </r>
  <r>
    <x v="1"/>
    <x v="1652"/>
    <x v="1640"/>
    <x v="69"/>
    <x v="3"/>
    <n v="347.19900000000001"/>
    <n v="1"/>
    <n v="347.19900000000001"/>
  </r>
  <r>
    <x v="1"/>
    <x v="1653"/>
    <x v="1641"/>
    <x v="1"/>
    <x v="3"/>
    <n v="2.629"/>
    <n v="18"/>
    <n v="47.322000000000003"/>
  </r>
  <r>
    <x v="1"/>
    <x v="1654"/>
    <x v="1642"/>
    <x v="24"/>
    <x v="3"/>
    <n v="0.72509999999999997"/>
    <n v="45"/>
    <n v="32.6295"/>
  </r>
  <r>
    <x v="2"/>
    <x v="1654"/>
    <x v="1642"/>
    <x v="24"/>
    <x v="3"/>
    <n v="0.72509999999999997"/>
    <n v="45"/>
    <n v="32.6295"/>
  </r>
  <r>
    <x v="1"/>
    <x v="1655"/>
    <x v="1643"/>
    <x v="1"/>
    <x v="3"/>
    <n v="9.76"/>
    <n v="1"/>
    <n v="9.76"/>
  </r>
  <r>
    <x v="1"/>
    <x v="1656"/>
    <x v="1644"/>
    <x v="69"/>
    <x v="3"/>
    <n v="259.13900000000001"/>
    <n v="18"/>
    <n v="4664.5020000000004"/>
  </r>
  <r>
    <x v="1"/>
    <x v="1657"/>
    <x v="1645"/>
    <x v="1"/>
    <x v="3"/>
    <n v="0.79400000000000004"/>
    <n v="10"/>
    <n v="7.94"/>
  </r>
  <r>
    <x v="1"/>
    <x v="1658"/>
    <x v="1646"/>
    <x v="1"/>
    <x v="3"/>
    <n v="1.262"/>
    <n v="5"/>
    <n v="6.3100000000000005"/>
  </r>
  <r>
    <x v="1"/>
    <x v="1659"/>
    <x v="1647"/>
    <x v="1"/>
    <x v="3"/>
    <n v="2.5230000000000001"/>
    <n v="10"/>
    <n v="25.23"/>
  </r>
  <r>
    <x v="1"/>
    <x v="1660"/>
    <x v="1648"/>
    <x v="68"/>
    <x v="3"/>
    <n v="1.3073999999999999"/>
    <n v="14"/>
    <n v="18.303599999999999"/>
  </r>
  <r>
    <x v="2"/>
    <x v="1660"/>
    <x v="1648"/>
    <x v="68"/>
    <x v="3"/>
    <n v="1.3073999999999999"/>
    <n v="14"/>
    <n v="18.303599999999999"/>
  </r>
  <r>
    <x v="1"/>
    <x v="1661"/>
    <x v="1649"/>
    <x v="1"/>
    <x v="3"/>
    <n v="0.59299999999999997"/>
    <n v="10"/>
    <n v="5.93"/>
  </r>
  <r>
    <x v="1"/>
    <x v="1662"/>
    <x v="1650"/>
    <x v="1"/>
    <x v="3"/>
    <n v="4.6790000000000003"/>
    <n v="5"/>
    <n v="23.395000000000003"/>
  </r>
  <r>
    <x v="1"/>
    <x v="1663"/>
    <x v="1651"/>
    <x v="69"/>
    <x v="3"/>
    <n v="7.1769999999999996"/>
    <n v="2"/>
    <n v="14.353999999999999"/>
  </r>
  <r>
    <x v="1"/>
    <x v="1664"/>
    <x v="1652"/>
    <x v="1"/>
    <x v="3"/>
    <n v="1.337"/>
    <n v="7"/>
    <n v="9.359"/>
  </r>
  <r>
    <x v="1"/>
    <x v="1665"/>
    <x v="1653"/>
    <x v="1"/>
    <x v="3"/>
    <n v="3.1549999999999998"/>
    <n v="3"/>
    <n v="9.4649999999999999"/>
  </r>
  <r>
    <x v="1"/>
    <x v="1666"/>
    <x v="1654"/>
    <x v="1"/>
    <x v="3"/>
    <n v="0.74299999999999999"/>
    <n v="10"/>
    <n v="7.43"/>
  </r>
  <r>
    <x v="1"/>
    <x v="1667"/>
    <x v="1655"/>
    <x v="1"/>
    <x v="3"/>
    <n v="1.5740000000000001"/>
    <n v="3"/>
    <n v="4.7220000000000004"/>
  </r>
  <r>
    <x v="1"/>
    <x v="1668"/>
    <x v="1656"/>
    <x v="1"/>
    <x v="3"/>
    <n v="3.948"/>
    <n v="14"/>
    <n v="55.271999999999998"/>
  </r>
  <r>
    <x v="1"/>
    <x v="1669"/>
    <x v="1657"/>
    <x v="1"/>
    <x v="3"/>
    <n v="0.872"/>
    <n v="5"/>
    <n v="4.3600000000000003"/>
  </r>
  <r>
    <x v="1"/>
    <x v="1670"/>
    <x v="1658"/>
    <x v="1"/>
    <x v="3"/>
    <n v="13.007999999999999"/>
    <n v="4"/>
    <n v="52.031999999999996"/>
  </r>
  <r>
    <x v="1"/>
    <x v="1671"/>
    <x v="1659"/>
    <x v="1"/>
    <x v="3"/>
    <n v="1.778"/>
    <n v="5"/>
    <n v="8.89"/>
  </r>
  <r>
    <x v="1"/>
    <x v="1672"/>
    <x v="1660"/>
    <x v="1"/>
    <x v="3"/>
    <n v="0.87"/>
    <n v="19"/>
    <n v="16.53"/>
  </r>
  <r>
    <x v="1"/>
    <x v="1673"/>
    <x v="1661"/>
    <x v="1"/>
    <x v="3"/>
    <n v="3.67"/>
    <n v="3"/>
    <n v="11.01"/>
  </r>
  <r>
    <x v="1"/>
    <x v="1674"/>
    <x v="1662"/>
    <x v="69"/>
    <x v="3"/>
    <n v="177.2"/>
    <n v="7"/>
    <n v="1240.3999999999999"/>
  </r>
  <r>
    <x v="2"/>
    <x v="1674"/>
    <x v="1662"/>
    <x v="69"/>
    <x v="3"/>
    <n v="177.2"/>
    <n v="7"/>
    <n v="1240.3999999999999"/>
  </r>
  <r>
    <x v="1"/>
    <x v="1675"/>
    <x v="1663"/>
    <x v="1"/>
    <x v="3"/>
    <n v="4.97"/>
    <n v="10"/>
    <n v="49.699999999999996"/>
  </r>
  <r>
    <x v="1"/>
    <x v="1676"/>
    <x v="1664"/>
    <x v="1"/>
    <x v="3"/>
    <n v="5.008"/>
    <n v="6"/>
    <n v="30.048000000000002"/>
  </r>
  <r>
    <x v="1"/>
    <x v="1677"/>
    <x v="1665"/>
    <x v="69"/>
    <x v="3"/>
    <n v="24.738900000000001"/>
    <n v="3"/>
    <n v="74.216700000000003"/>
  </r>
  <r>
    <x v="2"/>
    <x v="1677"/>
    <x v="1665"/>
    <x v="69"/>
    <x v="3"/>
    <n v="24.738900000000001"/>
    <n v="3"/>
    <n v="74.216700000000003"/>
  </r>
  <r>
    <x v="1"/>
    <x v="1678"/>
    <x v="1666"/>
    <x v="1"/>
    <x v="3"/>
    <n v="2.7629999999999999"/>
    <n v="4"/>
    <n v="11.052"/>
  </r>
  <r>
    <x v="1"/>
    <x v="1679"/>
    <x v="1667"/>
    <x v="69"/>
    <x v="3"/>
    <n v="0"/>
    <n v="2"/>
    <n v="0"/>
  </r>
  <r>
    <x v="1"/>
    <x v="1680"/>
    <x v="1668"/>
    <x v="1"/>
    <x v="3"/>
    <n v="3.597"/>
    <n v="11"/>
    <n v="39.567"/>
  </r>
  <r>
    <x v="1"/>
    <x v="1681"/>
    <x v="1669"/>
    <x v="69"/>
    <x v="3"/>
    <n v="20.7864"/>
    <n v="4"/>
    <n v="83.145600000000002"/>
  </r>
  <r>
    <x v="2"/>
    <x v="1681"/>
    <x v="1669"/>
    <x v="69"/>
    <x v="3"/>
    <n v="20.7864"/>
    <n v="4"/>
    <n v="83.145600000000002"/>
  </r>
  <r>
    <x v="1"/>
    <x v="1682"/>
    <x v="1670"/>
    <x v="1"/>
    <x v="3"/>
    <n v="0.55000000000000004"/>
    <n v="2"/>
    <n v="1.1000000000000001"/>
  </r>
  <r>
    <x v="1"/>
    <x v="1683"/>
    <x v="1671"/>
    <x v="1"/>
    <x v="3"/>
    <n v="2.056"/>
    <n v="5"/>
    <n v="10.280000000000001"/>
  </r>
  <r>
    <x v="1"/>
    <x v="1684"/>
    <x v="1672"/>
    <x v="69"/>
    <x v="3"/>
    <n v="6.31"/>
    <n v="3"/>
    <n v="18.93"/>
  </r>
  <r>
    <x v="1"/>
    <x v="1685"/>
    <x v="1673"/>
    <x v="69"/>
    <x v="3"/>
    <n v="8.0836000000000006"/>
    <n v="10"/>
    <n v="80.836000000000013"/>
  </r>
  <r>
    <x v="1"/>
    <x v="1686"/>
    <x v="1674"/>
    <x v="69"/>
    <x v="3"/>
    <n v="12.2554"/>
    <n v="8"/>
    <n v="98.043199999999999"/>
  </r>
  <r>
    <x v="2"/>
    <x v="1686"/>
    <x v="1674"/>
    <x v="69"/>
    <x v="3"/>
    <n v="12.2554"/>
    <n v="8"/>
    <n v="98.043199999999999"/>
  </r>
  <r>
    <x v="1"/>
    <x v="1687"/>
    <x v="1675"/>
    <x v="69"/>
    <x v="3"/>
    <n v="0"/>
    <n v="4"/>
    <n v="0"/>
  </r>
  <r>
    <x v="1"/>
    <x v="1688"/>
    <x v="1676"/>
    <x v="69"/>
    <x v="3"/>
    <n v="0"/>
    <n v="2"/>
    <n v="0"/>
  </r>
  <r>
    <x v="1"/>
    <x v="1689"/>
    <x v="1677"/>
    <x v="69"/>
    <x v="3"/>
    <n v="0"/>
    <n v="3"/>
    <n v="0"/>
  </r>
  <r>
    <x v="1"/>
    <x v="1690"/>
    <x v="1678"/>
    <x v="69"/>
    <x v="3"/>
    <n v="0"/>
    <n v="1"/>
    <n v="0"/>
  </r>
  <r>
    <x v="1"/>
    <x v="1691"/>
    <x v="1679"/>
    <x v="69"/>
    <x v="3"/>
    <n v="0"/>
    <n v="2"/>
    <n v="0"/>
  </r>
  <r>
    <x v="1"/>
    <x v="1692"/>
    <x v="1680"/>
    <x v="69"/>
    <x v="3"/>
    <n v="13.508699999999999"/>
    <n v="8"/>
    <n v="108.06959999999999"/>
  </r>
  <r>
    <x v="2"/>
    <x v="1692"/>
    <x v="1680"/>
    <x v="69"/>
    <x v="3"/>
    <n v="13.508699999999999"/>
    <n v="8"/>
    <n v="108.06959999999999"/>
  </r>
  <r>
    <x v="1"/>
    <x v="1693"/>
    <x v="1681"/>
    <x v="69"/>
    <x v="3"/>
    <n v="8.7316000000000003"/>
    <n v="47.5"/>
    <n v="414.75100000000003"/>
  </r>
  <r>
    <x v="2"/>
    <x v="1693"/>
    <x v="1681"/>
    <x v="69"/>
    <x v="3"/>
    <n v="8.7316000000000003"/>
    <n v="47.5"/>
    <n v="414.75100000000003"/>
  </r>
  <r>
    <x v="1"/>
    <x v="1694"/>
    <x v="1682"/>
    <x v="69"/>
    <x v="3"/>
    <n v="9.3000000000000007"/>
    <n v="8"/>
    <n v="74.400000000000006"/>
  </r>
  <r>
    <x v="1"/>
    <x v="1695"/>
    <x v="1683"/>
    <x v="68"/>
    <x v="3"/>
    <n v="7.8547000000000002"/>
    <n v="58"/>
    <n v="455.57260000000002"/>
  </r>
  <r>
    <x v="2"/>
    <x v="1695"/>
    <x v="1683"/>
    <x v="68"/>
    <x v="3"/>
    <n v="7.8547000000000002"/>
    <n v="58"/>
    <n v="455.57260000000002"/>
  </r>
  <r>
    <x v="1"/>
    <x v="1696"/>
    <x v="1684"/>
    <x v="17"/>
    <x v="3"/>
    <n v="14.375"/>
    <n v="2"/>
    <n v="28.75"/>
  </r>
  <r>
    <x v="1"/>
    <x v="1697"/>
    <x v="1685"/>
    <x v="18"/>
    <x v="3"/>
    <n v="231.40799999999999"/>
    <n v="1"/>
    <n v="231.40799999999999"/>
  </r>
  <r>
    <x v="1"/>
    <x v="1698"/>
    <x v="1686"/>
    <x v="69"/>
    <x v="3"/>
    <n v="10"/>
    <n v="6"/>
    <n v="60"/>
  </r>
  <r>
    <x v="1"/>
    <x v="1699"/>
    <x v="1687"/>
    <x v="69"/>
    <x v="3"/>
    <n v="3.4836999999999998"/>
    <n v="8"/>
    <n v="27.869599999999998"/>
  </r>
  <r>
    <x v="1"/>
    <x v="1700"/>
    <x v="1688"/>
    <x v="69"/>
    <x v="3"/>
    <n v="1.6879999999999999"/>
    <n v="5"/>
    <n v="8.44"/>
  </r>
  <r>
    <x v="1"/>
    <x v="1701"/>
    <x v="1689"/>
    <x v="27"/>
    <x v="3"/>
    <n v="824.58"/>
    <n v="1"/>
    <n v="824.58"/>
  </r>
  <r>
    <x v="1"/>
    <x v="1702"/>
    <x v="1690"/>
    <x v="27"/>
    <x v="3"/>
    <n v="913.7"/>
    <n v="1"/>
    <n v="913.7"/>
  </r>
  <r>
    <x v="1"/>
    <x v="1703"/>
    <x v="1691"/>
    <x v="69"/>
    <x v="3"/>
    <n v="8.59"/>
    <n v="4"/>
    <n v="34.36"/>
  </r>
  <r>
    <x v="1"/>
    <x v="1704"/>
    <x v="1692"/>
    <x v="69"/>
    <x v="3"/>
    <n v="12.65"/>
    <n v="4"/>
    <n v="50.6"/>
  </r>
  <r>
    <x v="1"/>
    <x v="1705"/>
    <x v="1693"/>
    <x v="70"/>
    <x v="3"/>
    <n v="950.07"/>
    <n v="1"/>
    <n v="950.07"/>
  </r>
  <r>
    <x v="0"/>
    <x v="1706"/>
    <x v="1694"/>
    <x v="0"/>
    <x v="0"/>
    <n v="3.4851999999999999"/>
    <n v="10"/>
    <n v="34.851999999999997"/>
  </r>
  <r>
    <x v="0"/>
    <x v="1707"/>
    <x v="1695"/>
    <x v="62"/>
    <x v="8"/>
    <n v="22.457000000000001"/>
    <n v="15"/>
    <n v="336.85500000000002"/>
  </r>
  <r>
    <x v="2"/>
    <x v="1708"/>
    <x v="1696"/>
    <x v="0"/>
    <x v="0"/>
    <n v="1.0048999999999999"/>
    <n v="242"/>
    <n v="243.18579999999997"/>
  </r>
  <r>
    <x v="0"/>
    <x v="1708"/>
    <x v="1696"/>
    <x v="0"/>
    <x v="0"/>
    <n v="1.0048999999999999"/>
    <n v="242"/>
    <n v="243.18579999999997"/>
  </r>
  <r>
    <x v="0"/>
    <x v="1709"/>
    <x v="1697"/>
    <x v="0"/>
    <x v="0"/>
    <n v="11.621"/>
    <n v="9"/>
    <n v="104.589"/>
  </r>
  <r>
    <x v="0"/>
    <x v="1710"/>
    <x v="1698"/>
    <x v="0"/>
    <x v="0"/>
    <n v="0.90300000000000002"/>
    <n v="2"/>
    <n v="1.806"/>
  </r>
  <r>
    <x v="1"/>
    <x v="1711"/>
    <x v="1699"/>
    <x v="1"/>
    <x v="1"/>
    <n v="0.3"/>
    <n v="19"/>
    <n v="5.7"/>
  </r>
  <r>
    <x v="1"/>
    <x v="1712"/>
    <x v="1700"/>
    <x v="1"/>
    <x v="1"/>
    <n v="0.75"/>
    <n v="1"/>
    <n v="0.75"/>
  </r>
  <r>
    <x v="1"/>
    <x v="1713"/>
    <x v="1701"/>
    <x v="1"/>
    <x v="1"/>
    <n v="0.89"/>
    <n v="9"/>
    <n v="8.01"/>
  </r>
  <r>
    <x v="1"/>
    <x v="1714"/>
    <x v="1702"/>
    <x v="1"/>
    <x v="1"/>
    <n v="0.75"/>
    <n v="26"/>
    <n v="19.5"/>
  </r>
  <r>
    <x v="1"/>
    <x v="1715"/>
    <x v="1703"/>
    <x v="1"/>
    <x v="1"/>
    <n v="2.5000000000000001E-2"/>
    <n v="104"/>
    <n v="2.6"/>
  </r>
  <r>
    <x v="1"/>
    <x v="1716"/>
    <x v="1704"/>
    <x v="1"/>
    <x v="1"/>
    <n v="2.7E-2"/>
    <n v="6"/>
    <n v="0.16200000000000001"/>
  </r>
  <r>
    <x v="1"/>
    <x v="1717"/>
    <x v="1705"/>
    <x v="14"/>
    <x v="1"/>
    <n v="0.373"/>
    <n v="4542"/>
    <n v="1694.1659999999999"/>
  </r>
  <r>
    <x v="2"/>
    <x v="1717"/>
    <x v="1705"/>
    <x v="14"/>
    <x v="1"/>
    <n v="0.373"/>
    <n v="4542"/>
    <n v="1694.1659999999999"/>
  </r>
  <r>
    <x v="0"/>
    <x v="1717"/>
    <x v="1705"/>
    <x v="14"/>
    <x v="1"/>
    <n v="0.373"/>
    <n v="4542"/>
    <n v="1694.1659999999999"/>
  </r>
  <r>
    <x v="1"/>
    <x v="1718"/>
    <x v="1706"/>
    <x v="1"/>
    <x v="1"/>
    <n v="48.34"/>
    <n v="2"/>
    <n v="96.68"/>
  </r>
  <r>
    <x v="1"/>
    <x v="1719"/>
    <x v="1707"/>
    <x v="1"/>
    <x v="1"/>
    <n v="158.27000000000001"/>
    <n v="4"/>
    <n v="633.08000000000004"/>
  </r>
  <r>
    <x v="1"/>
    <x v="1720"/>
    <x v="1708"/>
    <x v="1"/>
    <x v="1"/>
    <n v="210"/>
    <n v="2"/>
    <n v="420"/>
  </r>
  <r>
    <x v="1"/>
    <x v="1721"/>
    <x v="1709"/>
    <x v="1"/>
    <x v="1"/>
    <n v="58.68"/>
    <n v="5"/>
    <n v="293.39999999999998"/>
  </r>
  <r>
    <x v="1"/>
    <x v="1722"/>
    <x v="1710"/>
    <x v="1"/>
    <x v="1"/>
    <n v="103.76"/>
    <n v="3"/>
    <n v="311.28000000000003"/>
  </r>
  <r>
    <x v="1"/>
    <x v="1723"/>
    <x v="1711"/>
    <x v="1"/>
    <x v="1"/>
    <n v="107.17740000000001"/>
    <n v="2"/>
    <n v="214.35480000000001"/>
  </r>
  <r>
    <x v="2"/>
    <x v="1723"/>
    <x v="1711"/>
    <x v="1"/>
    <x v="1"/>
    <n v="107.17740000000001"/>
    <n v="2"/>
    <n v="214.35480000000001"/>
  </r>
  <r>
    <x v="1"/>
    <x v="1724"/>
    <x v="1712"/>
    <x v="5"/>
    <x v="3"/>
    <n v="398.19349999999997"/>
    <n v="7"/>
    <n v="2787.3544999999999"/>
  </r>
  <r>
    <x v="2"/>
    <x v="1724"/>
    <x v="1712"/>
    <x v="5"/>
    <x v="3"/>
    <n v="398.19349999999997"/>
    <n v="7"/>
    <n v="2787.3544999999999"/>
  </r>
  <r>
    <x v="1"/>
    <x v="1725"/>
    <x v="1713"/>
    <x v="22"/>
    <x v="3"/>
    <n v="1415.3098"/>
    <n v="23"/>
    <n v="32552.125400000001"/>
  </r>
  <r>
    <x v="2"/>
    <x v="1725"/>
    <x v="1713"/>
    <x v="22"/>
    <x v="3"/>
    <n v="1415.3098"/>
    <n v="23"/>
    <n v="32552.125400000001"/>
  </r>
  <r>
    <x v="1"/>
    <x v="1726"/>
    <x v="1714"/>
    <x v="22"/>
    <x v="3"/>
    <n v="675.10109999999997"/>
    <n v="9"/>
    <n v="6075.9098999999997"/>
  </r>
  <r>
    <x v="2"/>
    <x v="1726"/>
    <x v="1714"/>
    <x v="22"/>
    <x v="3"/>
    <n v="675.10109999999997"/>
    <n v="9"/>
    <n v="6075.9098999999997"/>
  </r>
  <r>
    <x v="1"/>
    <x v="1727"/>
    <x v="1715"/>
    <x v="20"/>
    <x v="3"/>
    <n v="0.73799999999999999"/>
    <n v="70"/>
    <n v="51.66"/>
  </r>
  <r>
    <x v="1"/>
    <x v="1728"/>
    <x v="1716"/>
    <x v="20"/>
    <x v="3"/>
    <n v="1.5880000000000001"/>
    <n v="6"/>
    <n v="9.5280000000000005"/>
  </r>
  <r>
    <x v="1"/>
    <x v="1729"/>
    <x v="1717"/>
    <x v="17"/>
    <x v="3"/>
    <n v="3.6589999999999998"/>
    <n v="9"/>
    <n v="32.930999999999997"/>
  </r>
  <r>
    <x v="1"/>
    <x v="1730"/>
    <x v="1718"/>
    <x v="17"/>
    <x v="3"/>
    <n v="4.41"/>
    <n v="3"/>
    <n v="13.23"/>
  </r>
  <r>
    <x v="1"/>
    <x v="1731"/>
    <x v="1719"/>
    <x v="17"/>
    <x v="3"/>
    <n v="4.57"/>
    <n v="3"/>
    <n v="13.71"/>
  </r>
  <r>
    <x v="1"/>
    <x v="1732"/>
    <x v="1720"/>
    <x v="30"/>
    <x v="3"/>
    <n v="4.6890000000000001"/>
    <n v="10"/>
    <n v="46.89"/>
  </r>
  <r>
    <x v="1"/>
    <x v="1733"/>
    <x v="1721"/>
    <x v="17"/>
    <x v="3"/>
    <n v="5.556"/>
    <n v="4"/>
    <n v="22.224"/>
  </r>
  <r>
    <x v="1"/>
    <x v="1734"/>
    <x v="1722"/>
    <x v="20"/>
    <x v="3"/>
    <n v="6.625"/>
    <n v="2"/>
    <n v="13.25"/>
  </r>
  <r>
    <x v="1"/>
    <x v="1735"/>
    <x v="1723"/>
    <x v="17"/>
    <x v="3"/>
    <n v="15.803800000000001"/>
    <n v="9"/>
    <n v="142.23420000000002"/>
  </r>
  <r>
    <x v="2"/>
    <x v="1736"/>
    <x v="1724"/>
    <x v="17"/>
    <x v="3"/>
    <n v="18.8079"/>
    <n v="13"/>
    <n v="244.5027"/>
  </r>
  <r>
    <x v="1"/>
    <x v="1736"/>
    <x v="1724"/>
    <x v="17"/>
    <x v="3"/>
    <n v="18.8079"/>
    <n v="13"/>
    <n v="244.5027"/>
  </r>
  <r>
    <x v="1"/>
    <x v="1737"/>
    <x v="1725"/>
    <x v="17"/>
    <x v="3"/>
    <n v="19.172999999999998"/>
    <n v="3"/>
    <n v="57.518999999999991"/>
  </r>
  <r>
    <x v="1"/>
    <x v="1738"/>
    <x v="1726"/>
    <x v="66"/>
    <x v="3"/>
    <n v="8.25"/>
    <n v="2"/>
    <n v="16.5"/>
  </r>
  <r>
    <x v="1"/>
    <x v="1739"/>
    <x v="1727"/>
    <x v="17"/>
    <x v="3"/>
    <n v="18.062999999999999"/>
    <n v="6"/>
    <n v="108.37799999999999"/>
  </r>
  <r>
    <x v="1"/>
    <x v="1740"/>
    <x v="1728"/>
    <x v="17"/>
    <x v="3"/>
    <n v="26.295000000000002"/>
    <n v="2"/>
    <n v="52.59"/>
  </r>
  <r>
    <x v="1"/>
    <x v="1741"/>
    <x v="1729"/>
    <x v="17"/>
    <x v="3"/>
    <n v="42.392000000000003"/>
    <n v="5"/>
    <n v="211.96"/>
  </r>
  <r>
    <x v="1"/>
    <x v="1742"/>
    <x v="1730"/>
    <x v="17"/>
    <x v="3"/>
    <n v="46.344999999999999"/>
    <n v="3"/>
    <n v="139.035"/>
  </r>
  <r>
    <x v="1"/>
    <x v="1743"/>
    <x v="1731"/>
    <x v="18"/>
    <x v="3"/>
    <n v="73.19"/>
    <n v="1"/>
    <n v="73.19"/>
  </r>
  <r>
    <x v="1"/>
    <x v="1744"/>
    <x v="1732"/>
    <x v="17"/>
    <x v="3"/>
    <n v="66.37"/>
    <n v="5"/>
    <n v="331.85"/>
  </r>
  <r>
    <x v="1"/>
    <x v="1745"/>
    <x v="1733"/>
    <x v="17"/>
    <x v="3"/>
    <n v="75.878600000000006"/>
    <n v="7"/>
    <n v="531.15020000000004"/>
  </r>
  <r>
    <x v="1"/>
    <x v="1746"/>
    <x v="1734"/>
    <x v="18"/>
    <x v="3"/>
    <n v="81.481999999999999"/>
    <n v="2"/>
    <n v="162.964"/>
  </r>
  <r>
    <x v="1"/>
    <x v="1747"/>
    <x v="1735"/>
    <x v="17"/>
    <x v="3"/>
    <n v="70.521000000000001"/>
    <n v="5"/>
    <n v="352.60500000000002"/>
  </r>
  <r>
    <x v="1"/>
    <x v="1748"/>
    <x v="1736"/>
    <x v="17"/>
    <x v="3"/>
    <n v="94.597999999999999"/>
    <n v="4"/>
    <n v="378.392"/>
  </r>
  <r>
    <x v="1"/>
    <x v="1749"/>
    <x v="1737"/>
    <x v="71"/>
    <x v="3"/>
    <n v="554.66999999999996"/>
    <n v="1"/>
    <n v="554.66999999999996"/>
  </r>
  <r>
    <x v="2"/>
    <x v="1750"/>
    <x v="1738"/>
    <x v="22"/>
    <x v="3"/>
    <n v="760.41610000000003"/>
    <n v="15"/>
    <n v="11406.2415"/>
  </r>
  <r>
    <x v="1"/>
    <x v="1750"/>
    <x v="1738"/>
    <x v="22"/>
    <x v="3"/>
    <n v="760.41610000000003"/>
    <n v="15"/>
    <n v="11406.2415"/>
  </r>
  <r>
    <x v="1"/>
    <x v="1751"/>
    <x v="1739"/>
    <x v="17"/>
    <x v="3"/>
    <n v="0.01"/>
    <n v="1"/>
    <n v="0.01"/>
  </r>
  <r>
    <x v="1"/>
    <x v="1752"/>
    <x v="1740"/>
    <x v="72"/>
    <x v="3"/>
    <n v="40.42"/>
    <n v="2"/>
    <n v="80.84"/>
  </r>
  <r>
    <x v="1"/>
    <x v="1753"/>
    <x v="1741"/>
    <x v="23"/>
    <x v="3"/>
    <n v="638.21699999999998"/>
    <n v="2"/>
    <n v="1276.434"/>
  </r>
  <r>
    <x v="2"/>
    <x v="1753"/>
    <x v="1741"/>
    <x v="23"/>
    <x v="3"/>
    <n v="638.21699999999998"/>
    <n v="2"/>
    <n v="1276.434"/>
  </r>
  <r>
    <x v="1"/>
    <x v="1754"/>
    <x v="1742"/>
    <x v="23"/>
    <x v="3"/>
    <n v="526.55809999999997"/>
    <n v="17"/>
    <n v="8951.4876999999997"/>
  </r>
  <r>
    <x v="2"/>
    <x v="1754"/>
    <x v="1742"/>
    <x v="23"/>
    <x v="3"/>
    <n v="526.55809999999997"/>
    <n v="17"/>
    <n v="8951.4876999999997"/>
  </r>
  <r>
    <x v="0"/>
    <x v="1754"/>
    <x v="1742"/>
    <x v="23"/>
    <x v="3"/>
    <n v="526.55809999999997"/>
    <n v="17"/>
    <n v="8951.4876999999997"/>
  </r>
  <r>
    <x v="1"/>
    <x v="1755"/>
    <x v="1743"/>
    <x v="20"/>
    <x v="3"/>
    <n v="6.5670000000000002"/>
    <n v="2"/>
    <n v="13.134"/>
  </r>
  <r>
    <x v="1"/>
    <x v="1756"/>
    <x v="1744"/>
    <x v="73"/>
    <x v="3"/>
    <n v="1282.4639999999999"/>
    <n v="1"/>
    <n v="1282.4639999999999"/>
  </r>
  <r>
    <x v="1"/>
    <x v="1757"/>
    <x v="1745"/>
    <x v="20"/>
    <x v="3"/>
    <n v="23.935500000000001"/>
    <n v="7"/>
    <n v="167.54850000000002"/>
  </r>
  <r>
    <x v="2"/>
    <x v="1757"/>
    <x v="1745"/>
    <x v="20"/>
    <x v="3"/>
    <n v="23.935500000000001"/>
    <n v="7"/>
    <n v="167.54850000000002"/>
  </r>
  <r>
    <x v="1"/>
    <x v="1758"/>
    <x v="1746"/>
    <x v="17"/>
    <x v="3"/>
    <n v="34.737000000000002"/>
    <n v="3"/>
    <n v="104.21100000000001"/>
  </r>
  <r>
    <x v="1"/>
    <x v="1759"/>
    <x v="1747"/>
    <x v="17"/>
    <x v="3"/>
    <n v="61.042999999999999"/>
    <n v="2"/>
    <n v="122.086"/>
  </r>
  <r>
    <x v="1"/>
    <x v="1760"/>
    <x v="1748"/>
    <x v="17"/>
    <x v="3"/>
    <n v="38.515999999999998"/>
    <n v="4"/>
    <n v="154.06399999999999"/>
  </r>
  <r>
    <x v="1"/>
    <x v="1761"/>
    <x v="1749"/>
    <x v="20"/>
    <x v="3"/>
    <n v="75.461699999999993"/>
    <n v="2"/>
    <n v="150.92339999999999"/>
  </r>
  <r>
    <x v="2"/>
    <x v="1761"/>
    <x v="1749"/>
    <x v="20"/>
    <x v="3"/>
    <n v="75.461699999999993"/>
    <n v="2"/>
    <n v="150.92339999999999"/>
  </r>
  <r>
    <x v="1"/>
    <x v="1762"/>
    <x v="1750"/>
    <x v="20"/>
    <x v="3"/>
    <n v="63.317999999999998"/>
    <n v="4"/>
    <n v="253.27199999999999"/>
  </r>
  <r>
    <x v="1"/>
    <x v="1763"/>
    <x v="1751"/>
    <x v="17"/>
    <x v="3"/>
    <n v="386.4"/>
    <n v="1"/>
    <n v="386.4"/>
  </r>
  <r>
    <x v="1"/>
    <x v="1764"/>
    <x v="1752"/>
    <x v="20"/>
    <x v="3"/>
    <n v="26.7666"/>
    <n v="3"/>
    <n v="80.299800000000005"/>
  </r>
  <r>
    <x v="2"/>
    <x v="1764"/>
    <x v="1752"/>
    <x v="20"/>
    <x v="3"/>
    <n v="26.7666"/>
    <n v="3"/>
    <n v="80.299800000000005"/>
  </r>
  <r>
    <x v="2"/>
    <x v="1765"/>
    <x v="1753"/>
    <x v="22"/>
    <x v="3"/>
    <n v="328.3947"/>
    <n v="6"/>
    <n v="1970.3681999999999"/>
  </r>
  <r>
    <x v="1"/>
    <x v="1765"/>
    <x v="1753"/>
    <x v="22"/>
    <x v="3"/>
    <n v="328.3947"/>
    <n v="6"/>
    <n v="1970.3681999999999"/>
  </r>
  <r>
    <x v="1"/>
    <x v="1766"/>
    <x v="1754"/>
    <x v="20"/>
    <x v="3"/>
    <n v="47.92"/>
    <n v="1"/>
    <n v="47.92"/>
  </r>
  <r>
    <x v="1"/>
    <x v="1767"/>
    <x v="1755"/>
    <x v="20"/>
    <x v="3"/>
    <n v="61.295000000000002"/>
    <n v="1"/>
    <n v="61.295000000000002"/>
  </r>
  <r>
    <x v="1"/>
    <x v="1768"/>
    <x v="1756"/>
    <x v="18"/>
    <x v="3"/>
    <n v="83.674999999999997"/>
    <n v="1"/>
    <n v="83.674999999999997"/>
  </r>
  <r>
    <x v="1"/>
    <x v="1769"/>
    <x v="1757"/>
    <x v="17"/>
    <x v="3"/>
    <n v="2.9950000000000001"/>
    <n v="1"/>
    <n v="2.9950000000000001"/>
  </r>
  <r>
    <x v="1"/>
    <x v="1770"/>
    <x v="1758"/>
    <x v="18"/>
    <x v="3"/>
    <n v="2.2639999999999998"/>
    <n v="6"/>
    <n v="13.584"/>
  </r>
  <r>
    <x v="1"/>
    <x v="1771"/>
    <x v="1759"/>
    <x v="18"/>
    <x v="3"/>
    <n v="0.39900000000000002"/>
    <n v="14"/>
    <n v="5.5860000000000003"/>
  </r>
  <r>
    <x v="1"/>
    <x v="1772"/>
    <x v="1760"/>
    <x v="18"/>
    <x v="3"/>
    <n v="0.373"/>
    <n v="11"/>
    <n v="4.1029999999999998"/>
  </r>
  <r>
    <x v="1"/>
    <x v="1773"/>
    <x v="1761"/>
    <x v="18"/>
    <x v="3"/>
    <n v="0.28299999999999997"/>
    <n v="11"/>
    <n v="3.1129999999999995"/>
  </r>
  <r>
    <x v="1"/>
    <x v="1774"/>
    <x v="1762"/>
    <x v="18"/>
    <x v="3"/>
    <n v="0.11799999999999999"/>
    <n v="11"/>
    <n v="1.298"/>
  </r>
  <r>
    <x v="1"/>
    <x v="1775"/>
    <x v="1763"/>
    <x v="20"/>
    <x v="3"/>
    <n v="8.1850000000000005"/>
    <n v="2"/>
    <n v="16.37"/>
  </r>
  <r>
    <x v="1"/>
    <x v="1776"/>
    <x v="1764"/>
    <x v="19"/>
    <x v="3"/>
    <n v="222.88"/>
    <n v="1"/>
    <n v="222.88"/>
  </r>
  <r>
    <x v="1"/>
    <x v="1777"/>
    <x v="1765"/>
    <x v="18"/>
    <x v="3"/>
    <n v="47.947000000000003"/>
    <n v="2"/>
    <n v="95.894000000000005"/>
  </r>
  <r>
    <x v="1"/>
    <x v="1778"/>
    <x v="1766"/>
    <x v="20"/>
    <x v="3"/>
    <n v="48.683"/>
    <n v="2"/>
    <n v="97.366"/>
  </r>
  <r>
    <x v="1"/>
    <x v="1779"/>
    <x v="1767"/>
    <x v="18"/>
    <x v="3"/>
    <n v="36.616999999999997"/>
    <n v="2"/>
    <n v="73.233999999999995"/>
  </r>
  <r>
    <x v="1"/>
    <x v="1780"/>
    <x v="1768"/>
    <x v="18"/>
    <x v="3"/>
    <n v="10.127000000000001"/>
    <n v="2"/>
    <n v="20.254000000000001"/>
  </r>
  <r>
    <x v="1"/>
    <x v="1781"/>
    <x v="1769"/>
    <x v="18"/>
    <x v="3"/>
    <n v="16.542999999999999"/>
    <n v="3"/>
    <n v="49.628999999999998"/>
  </r>
  <r>
    <x v="1"/>
    <x v="1782"/>
    <x v="1770"/>
    <x v="17"/>
    <x v="3"/>
    <n v="355.71499999999997"/>
    <n v="3"/>
    <n v="1067.145"/>
  </r>
  <r>
    <x v="1"/>
    <x v="1783"/>
    <x v="1771"/>
    <x v="17"/>
    <x v="3"/>
    <n v="24.367000000000001"/>
    <n v="3"/>
    <n v="73.100999999999999"/>
  </r>
  <r>
    <x v="1"/>
    <x v="1784"/>
    <x v="1772"/>
    <x v="18"/>
    <x v="3"/>
    <n v="17.908000000000001"/>
    <n v="4"/>
    <n v="71.632000000000005"/>
  </r>
  <r>
    <x v="1"/>
    <x v="1785"/>
    <x v="1773"/>
    <x v="20"/>
    <x v="3"/>
    <n v="19.16"/>
    <n v="2"/>
    <n v="38.32"/>
  </r>
  <r>
    <x v="1"/>
    <x v="1786"/>
    <x v="1774"/>
    <x v="18"/>
    <x v="3"/>
    <n v="5.3449999999999998"/>
    <n v="2"/>
    <n v="10.69"/>
  </r>
  <r>
    <x v="1"/>
    <x v="1787"/>
    <x v="1775"/>
    <x v="18"/>
    <x v="3"/>
    <n v="0.22"/>
    <n v="2"/>
    <n v="0.44"/>
  </r>
  <r>
    <x v="1"/>
    <x v="1788"/>
    <x v="1776"/>
    <x v="18"/>
    <x v="3"/>
    <n v="7.0000000000000007E-2"/>
    <n v="4"/>
    <n v="0.28000000000000003"/>
  </r>
  <r>
    <x v="1"/>
    <x v="1789"/>
    <x v="1777"/>
    <x v="18"/>
    <x v="3"/>
    <n v="0.11"/>
    <n v="2"/>
    <n v="0.22"/>
  </r>
  <r>
    <x v="1"/>
    <x v="1790"/>
    <x v="1778"/>
    <x v="18"/>
    <x v="3"/>
    <n v="136.97999999999999"/>
    <n v="1"/>
    <n v="136.97999999999999"/>
  </r>
  <r>
    <x v="1"/>
    <x v="1791"/>
    <x v="1779"/>
    <x v="17"/>
    <x v="3"/>
    <n v="4.335"/>
    <n v="2"/>
    <n v="8.67"/>
  </r>
  <r>
    <x v="2"/>
    <x v="1792"/>
    <x v="1780"/>
    <x v="30"/>
    <x v="3"/>
    <n v="23.364000000000001"/>
    <n v="6"/>
    <n v="140.184"/>
  </r>
  <r>
    <x v="1"/>
    <x v="1792"/>
    <x v="1780"/>
    <x v="30"/>
    <x v="3"/>
    <n v="23.364000000000001"/>
    <n v="6"/>
    <n v="140.184"/>
  </r>
  <r>
    <x v="1"/>
    <x v="1793"/>
    <x v="1781"/>
    <x v="66"/>
    <x v="3"/>
    <n v="44.65"/>
    <n v="1"/>
    <n v="44.65"/>
  </r>
  <r>
    <x v="1"/>
    <x v="1794"/>
    <x v="1782"/>
    <x v="1"/>
    <x v="1"/>
    <n v="13"/>
    <n v="1"/>
    <n v="13"/>
  </r>
  <r>
    <x v="1"/>
    <x v="1795"/>
    <x v="1783"/>
    <x v="1"/>
    <x v="1"/>
    <n v="12"/>
    <n v="2"/>
    <n v="24"/>
  </r>
  <r>
    <x v="1"/>
    <x v="1796"/>
    <x v="1784"/>
    <x v="1"/>
    <x v="1"/>
    <n v="6.72"/>
    <n v="5"/>
    <n v="33.6"/>
  </r>
  <r>
    <x v="1"/>
    <x v="1797"/>
    <x v="1785"/>
    <x v="1"/>
    <x v="1"/>
    <n v="5.76"/>
    <n v="8"/>
    <n v="46.08"/>
  </r>
  <r>
    <x v="1"/>
    <x v="1798"/>
    <x v="1786"/>
    <x v="1"/>
    <x v="1"/>
    <n v="7.2"/>
    <n v="18"/>
    <n v="129.6"/>
  </r>
  <r>
    <x v="1"/>
    <x v="1799"/>
    <x v="1787"/>
    <x v="1"/>
    <x v="1"/>
    <n v="3.6"/>
    <n v="3"/>
    <n v="10.8"/>
  </r>
  <r>
    <x v="1"/>
    <x v="1800"/>
    <x v="1788"/>
    <x v="1"/>
    <x v="1"/>
    <n v="19.5"/>
    <n v="1"/>
    <n v="19.5"/>
  </r>
  <r>
    <x v="1"/>
    <x v="1801"/>
    <x v="1789"/>
    <x v="1"/>
    <x v="1"/>
    <n v="1.8"/>
    <n v="3"/>
    <n v="5.4"/>
  </r>
  <r>
    <x v="1"/>
    <x v="1802"/>
    <x v="1790"/>
    <x v="1"/>
    <x v="1"/>
    <n v="16.8"/>
    <n v="2"/>
    <n v="33.6"/>
  </r>
  <r>
    <x v="1"/>
    <x v="1803"/>
    <x v="1791"/>
    <x v="1"/>
    <x v="1"/>
    <n v="2.4"/>
    <n v="6"/>
    <n v="14.399999999999999"/>
  </r>
  <r>
    <x v="1"/>
    <x v="1804"/>
    <x v="1792"/>
    <x v="1"/>
    <x v="1"/>
    <n v="24"/>
    <n v="6"/>
    <n v="144"/>
  </r>
  <r>
    <x v="1"/>
    <x v="1805"/>
    <x v="1793"/>
    <x v="1"/>
    <x v="1"/>
    <n v="7.2"/>
    <n v="4"/>
    <n v="28.8"/>
  </r>
  <r>
    <x v="1"/>
    <x v="1806"/>
    <x v="1794"/>
    <x v="1"/>
    <x v="1"/>
    <n v="24"/>
    <n v="2"/>
    <n v="48"/>
  </r>
  <r>
    <x v="1"/>
    <x v="1807"/>
    <x v="1795"/>
    <x v="1"/>
    <x v="1"/>
    <n v="7.2"/>
    <n v="7"/>
    <n v="50.4"/>
  </r>
  <r>
    <x v="1"/>
    <x v="1808"/>
    <x v="1796"/>
    <x v="1"/>
    <x v="1"/>
    <n v="60"/>
    <n v="1"/>
    <n v="60"/>
  </r>
  <r>
    <x v="1"/>
    <x v="1809"/>
    <x v="1797"/>
    <x v="1"/>
    <x v="1"/>
    <n v="192"/>
    <n v="1"/>
    <n v="192"/>
  </r>
  <r>
    <x v="1"/>
    <x v="1810"/>
    <x v="1798"/>
    <x v="1"/>
    <x v="1"/>
    <n v="0.9"/>
    <n v="2"/>
    <n v="1.8"/>
  </r>
  <r>
    <x v="1"/>
    <x v="1811"/>
    <x v="1799"/>
    <x v="1"/>
    <x v="1"/>
    <n v="5.52"/>
    <n v="18"/>
    <n v="99.359999999999985"/>
  </r>
  <r>
    <x v="1"/>
    <x v="1812"/>
    <x v="1800"/>
    <x v="1"/>
    <x v="1"/>
    <n v="21.78"/>
    <n v="2"/>
    <n v="43.56"/>
  </r>
  <r>
    <x v="1"/>
    <x v="1813"/>
    <x v="1801"/>
    <x v="1"/>
    <x v="1"/>
    <n v="22.5"/>
    <n v="1"/>
    <n v="22.5"/>
  </r>
  <r>
    <x v="1"/>
    <x v="1814"/>
    <x v="1802"/>
    <x v="1"/>
    <x v="1"/>
    <n v="22.5"/>
    <n v="1"/>
    <n v="22.5"/>
  </r>
  <r>
    <x v="1"/>
    <x v="1815"/>
    <x v="1803"/>
    <x v="1"/>
    <x v="1"/>
    <n v="22.5"/>
    <n v="3"/>
    <n v="67.5"/>
  </r>
  <r>
    <x v="1"/>
    <x v="1816"/>
    <x v="1804"/>
    <x v="1"/>
    <x v="1"/>
    <n v="15"/>
    <n v="13"/>
    <n v="195"/>
  </r>
  <r>
    <x v="1"/>
    <x v="1817"/>
    <x v="1805"/>
    <x v="1"/>
    <x v="1"/>
    <n v="21"/>
    <n v="13"/>
    <n v="273"/>
  </r>
  <r>
    <x v="1"/>
    <x v="1818"/>
    <x v="1806"/>
    <x v="1"/>
    <x v="1"/>
    <n v="45"/>
    <n v="1"/>
    <n v="45"/>
  </r>
  <r>
    <x v="1"/>
    <x v="1819"/>
    <x v="1807"/>
    <x v="1"/>
    <x v="1"/>
    <n v="15"/>
    <n v="14"/>
    <n v="210"/>
  </r>
  <r>
    <x v="1"/>
    <x v="1820"/>
    <x v="1808"/>
    <x v="1"/>
    <x v="1"/>
    <n v="15"/>
    <n v="2"/>
    <n v="30"/>
  </r>
  <r>
    <x v="1"/>
    <x v="1821"/>
    <x v="1809"/>
    <x v="1"/>
    <x v="1"/>
    <n v="1.5"/>
    <n v="10"/>
    <n v="15"/>
  </r>
  <r>
    <x v="1"/>
    <x v="1822"/>
    <x v="1810"/>
    <x v="1"/>
    <x v="1"/>
    <n v="30"/>
    <n v="6"/>
    <n v="180"/>
  </r>
  <r>
    <x v="1"/>
    <x v="1823"/>
    <x v="1811"/>
    <x v="1"/>
    <x v="1"/>
    <n v="15"/>
    <n v="6"/>
    <n v="90"/>
  </r>
  <r>
    <x v="1"/>
    <x v="1824"/>
    <x v="1812"/>
    <x v="1"/>
    <x v="1"/>
    <n v="109.26"/>
    <n v="1"/>
    <n v="109.26"/>
  </r>
  <r>
    <x v="1"/>
    <x v="1825"/>
    <x v="1813"/>
    <x v="1"/>
    <x v="1"/>
    <n v="49.98"/>
    <n v="2"/>
    <n v="99.96"/>
  </r>
  <r>
    <x v="1"/>
    <x v="1826"/>
    <x v="1814"/>
    <x v="1"/>
    <x v="1"/>
    <n v="9"/>
    <n v="2"/>
    <n v="18"/>
  </r>
  <r>
    <x v="1"/>
    <x v="1827"/>
    <x v="1815"/>
    <x v="1"/>
    <x v="1"/>
    <n v="15.99"/>
    <n v="2"/>
    <n v="31.98"/>
  </r>
  <r>
    <x v="1"/>
    <x v="1828"/>
    <x v="1816"/>
    <x v="1"/>
    <x v="1"/>
    <n v="171.75"/>
    <n v="1"/>
    <n v="171.75"/>
  </r>
  <r>
    <x v="1"/>
    <x v="1829"/>
    <x v="1817"/>
    <x v="1"/>
    <x v="1"/>
    <n v="6.27"/>
    <n v="1"/>
    <n v="6.27"/>
  </r>
  <r>
    <x v="2"/>
    <x v="1830"/>
    <x v="1818"/>
    <x v="1"/>
    <x v="1"/>
    <n v="174.61109999999999"/>
    <n v="3"/>
    <n v="523.83330000000001"/>
  </r>
  <r>
    <x v="1"/>
    <x v="1830"/>
    <x v="1818"/>
    <x v="1"/>
    <x v="1"/>
    <n v="174.61109999999999"/>
    <n v="3"/>
    <n v="523.83330000000001"/>
  </r>
  <r>
    <x v="1"/>
    <x v="1831"/>
    <x v="1819"/>
    <x v="1"/>
    <x v="1"/>
    <n v="9.4499999999999993"/>
    <n v="1"/>
    <n v="9.4499999999999993"/>
  </r>
  <r>
    <x v="1"/>
    <x v="1832"/>
    <x v="1820"/>
    <x v="1"/>
    <x v="1"/>
    <n v="206.6189"/>
    <n v="2"/>
    <n v="413.23779999999999"/>
  </r>
  <r>
    <x v="2"/>
    <x v="1832"/>
    <x v="1820"/>
    <x v="1"/>
    <x v="1"/>
    <n v="206.6189"/>
    <n v="2"/>
    <n v="413.23779999999999"/>
  </r>
  <r>
    <x v="1"/>
    <x v="1833"/>
    <x v="1821"/>
    <x v="1"/>
    <x v="1"/>
    <n v="14.97"/>
    <n v="2"/>
    <n v="29.94"/>
  </r>
  <r>
    <x v="1"/>
    <x v="1834"/>
    <x v="1822"/>
    <x v="1"/>
    <x v="1"/>
    <n v="7.29"/>
    <n v="2"/>
    <n v="14.58"/>
  </r>
  <r>
    <x v="1"/>
    <x v="1835"/>
    <x v="1823"/>
    <x v="1"/>
    <x v="1"/>
    <n v="15.06"/>
    <n v="1"/>
    <n v="15.06"/>
  </r>
  <r>
    <x v="1"/>
    <x v="1836"/>
    <x v="1824"/>
    <x v="1"/>
    <x v="1"/>
    <n v="18"/>
    <n v="1"/>
    <n v="18"/>
  </r>
  <r>
    <x v="1"/>
    <x v="1837"/>
    <x v="1825"/>
    <x v="1"/>
    <x v="1"/>
    <n v="21.78"/>
    <n v="1"/>
    <n v="21.78"/>
  </r>
  <r>
    <x v="1"/>
    <x v="1838"/>
    <x v="1826"/>
    <x v="1"/>
    <x v="1"/>
    <n v="0.18"/>
    <n v="6"/>
    <n v="1.08"/>
  </r>
  <r>
    <x v="1"/>
    <x v="1839"/>
    <x v="1827"/>
    <x v="1"/>
    <x v="1"/>
    <n v="0.78"/>
    <n v="6"/>
    <n v="4.68"/>
  </r>
  <r>
    <x v="1"/>
    <x v="1840"/>
    <x v="1828"/>
    <x v="1"/>
    <x v="1"/>
    <n v="0.87"/>
    <n v="1"/>
    <n v="0.87"/>
  </r>
  <r>
    <x v="1"/>
    <x v="1841"/>
    <x v="1829"/>
    <x v="1"/>
    <x v="1"/>
    <n v="9.24"/>
    <n v="3"/>
    <n v="27.72"/>
  </r>
  <r>
    <x v="1"/>
    <x v="1842"/>
    <x v="1830"/>
    <x v="1"/>
    <x v="1"/>
    <n v="2.1059999999999999"/>
    <n v="6"/>
    <n v="12.635999999999999"/>
  </r>
  <r>
    <x v="1"/>
    <x v="1843"/>
    <x v="1831"/>
    <x v="1"/>
    <x v="1"/>
    <n v="2.79"/>
    <n v="2"/>
    <n v="5.58"/>
  </r>
  <r>
    <x v="1"/>
    <x v="1844"/>
    <x v="1832"/>
    <x v="1"/>
    <x v="1"/>
    <n v="16.32"/>
    <n v="1"/>
    <n v="16.32"/>
  </r>
  <r>
    <x v="1"/>
    <x v="1845"/>
    <x v="1833"/>
    <x v="1"/>
    <x v="1"/>
    <n v="12.66"/>
    <n v="1"/>
    <n v="12.66"/>
  </r>
  <r>
    <x v="1"/>
    <x v="1846"/>
    <x v="1834"/>
    <x v="1"/>
    <x v="1"/>
    <n v="37.020000000000003"/>
    <n v="1"/>
    <n v="37.020000000000003"/>
  </r>
  <r>
    <x v="2"/>
    <x v="1847"/>
    <x v="1835"/>
    <x v="2"/>
    <x v="1"/>
    <n v="659.29"/>
    <n v="3"/>
    <n v="1977.87"/>
  </r>
  <r>
    <x v="1"/>
    <x v="1848"/>
    <x v="1836"/>
    <x v="1"/>
    <x v="1"/>
    <n v="74.885999999999996"/>
    <n v="1"/>
    <n v="74.885999999999996"/>
  </r>
  <r>
    <x v="1"/>
    <x v="1849"/>
    <x v="1837"/>
    <x v="1"/>
    <x v="1"/>
    <n v="359.55"/>
    <n v="1"/>
    <n v="359.55"/>
  </r>
  <r>
    <x v="1"/>
    <x v="1850"/>
    <x v="1838"/>
    <x v="31"/>
    <x v="1"/>
    <n v="771.6"/>
    <n v="1"/>
    <n v="771.6"/>
  </r>
  <r>
    <x v="1"/>
    <x v="1851"/>
    <x v="1839"/>
    <x v="1"/>
    <x v="1"/>
    <n v="0"/>
    <n v="10"/>
    <n v="0"/>
  </r>
  <r>
    <x v="2"/>
    <x v="1852"/>
    <x v="1840"/>
    <x v="2"/>
    <x v="1"/>
    <n v="272.64"/>
    <n v="3"/>
    <n v="817.92"/>
  </r>
  <r>
    <x v="2"/>
    <x v="1853"/>
    <x v="1841"/>
    <x v="2"/>
    <x v="1"/>
    <n v="174.42500000000001"/>
    <n v="1"/>
    <n v="174.42500000000001"/>
  </r>
  <r>
    <x v="2"/>
    <x v="1854"/>
    <x v="1842"/>
    <x v="2"/>
    <x v="1"/>
    <n v="410.66"/>
    <n v="3"/>
    <n v="1231.98"/>
  </r>
  <r>
    <x v="2"/>
    <x v="1855"/>
    <x v="1843"/>
    <x v="2"/>
    <x v="1"/>
    <n v="160.93"/>
    <n v="1"/>
    <n v="160.93"/>
  </r>
  <r>
    <x v="2"/>
    <x v="1856"/>
    <x v="1844"/>
    <x v="2"/>
    <x v="1"/>
    <n v="117.26"/>
    <n v="3"/>
    <n v="351.78000000000003"/>
  </r>
  <r>
    <x v="2"/>
    <x v="1857"/>
    <x v="1845"/>
    <x v="2"/>
    <x v="1"/>
    <n v="340.64659999999998"/>
    <n v="2"/>
    <n v="681.29319999999996"/>
  </r>
  <r>
    <x v="2"/>
    <x v="1858"/>
    <x v="1846"/>
    <x v="2"/>
    <x v="1"/>
    <n v="250.15"/>
    <n v="3"/>
    <n v="750.45"/>
  </r>
  <r>
    <x v="2"/>
    <x v="1859"/>
    <x v="1847"/>
    <x v="2"/>
    <x v="1"/>
    <n v="269.33999999999997"/>
    <n v="3"/>
    <n v="808.02"/>
  </r>
  <r>
    <x v="2"/>
    <x v="1860"/>
    <x v="1848"/>
    <x v="2"/>
    <x v="1"/>
    <n v="433.34"/>
    <n v="3"/>
    <n v="1300.02"/>
  </r>
  <r>
    <x v="1"/>
    <x v="1861"/>
    <x v="1849"/>
    <x v="3"/>
    <x v="2"/>
    <n v="4.6551"/>
    <n v="12"/>
    <n v="55.861199999999997"/>
  </r>
  <r>
    <x v="2"/>
    <x v="1861"/>
    <x v="1849"/>
    <x v="3"/>
    <x v="2"/>
    <n v="4.6551"/>
    <n v="12"/>
    <n v="55.861199999999997"/>
  </r>
  <r>
    <x v="1"/>
    <x v="1862"/>
    <x v="1850"/>
    <x v="3"/>
    <x v="2"/>
    <n v="15.07"/>
    <n v="1"/>
    <n v="15.07"/>
  </r>
  <r>
    <x v="2"/>
    <x v="1863"/>
    <x v="1851"/>
    <x v="2"/>
    <x v="1"/>
    <n v="260.57"/>
    <n v="1"/>
    <n v="260.57"/>
  </r>
  <r>
    <x v="1"/>
    <x v="1864"/>
    <x v="1852"/>
    <x v="26"/>
    <x v="3"/>
    <n v="101.50109999999999"/>
    <n v="1"/>
    <n v="101.50109999999999"/>
  </r>
  <r>
    <x v="2"/>
    <x v="1864"/>
    <x v="1852"/>
    <x v="26"/>
    <x v="3"/>
    <n v="101.50109999999999"/>
    <n v="1"/>
    <n v="101.50109999999999"/>
  </r>
  <r>
    <x v="1"/>
    <x v="1865"/>
    <x v="1853"/>
    <x v="74"/>
    <x v="3"/>
    <n v="355.87380000000002"/>
    <n v="6"/>
    <n v="2135.2428"/>
  </r>
  <r>
    <x v="2"/>
    <x v="1865"/>
    <x v="1853"/>
    <x v="74"/>
    <x v="3"/>
    <n v="355.87380000000002"/>
    <n v="6"/>
    <n v="2135.2428"/>
  </r>
  <r>
    <x v="1"/>
    <x v="1866"/>
    <x v="1854"/>
    <x v="16"/>
    <x v="3"/>
    <n v="204.03219999999999"/>
    <n v="4"/>
    <n v="816.12879999999996"/>
  </r>
  <r>
    <x v="2"/>
    <x v="1866"/>
    <x v="1854"/>
    <x v="16"/>
    <x v="3"/>
    <n v="204.03219999999999"/>
    <n v="4"/>
    <n v="816.12879999999996"/>
  </r>
  <r>
    <x v="1"/>
    <x v="1867"/>
    <x v="1855"/>
    <x v="74"/>
    <x v="3"/>
    <n v="539.01049999999998"/>
    <n v="2"/>
    <n v="1078.021"/>
  </r>
  <r>
    <x v="2"/>
    <x v="1867"/>
    <x v="1855"/>
    <x v="74"/>
    <x v="3"/>
    <n v="539.01049999999998"/>
    <n v="2"/>
    <n v="1078.021"/>
  </r>
  <r>
    <x v="1"/>
    <x v="1868"/>
    <x v="1856"/>
    <x v="26"/>
    <x v="3"/>
    <n v="145.80950000000001"/>
    <n v="2"/>
    <n v="291.61900000000003"/>
  </r>
  <r>
    <x v="2"/>
    <x v="1868"/>
    <x v="1856"/>
    <x v="26"/>
    <x v="3"/>
    <n v="145.80950000000001"/>
    <n v="2"/>
    <n v="291.61900000000003"/>
  </r>
  <r>
    <x v="1"/>
    <x v="1869"/>
    <x v="1857"/>
    <x v="74"/>
    <x v="3"/>
    <n v="214.2884"/>
    <n v="1"/>
    <n v="214.2884"/>
  </r>
  <r>
    <x v="2"/>
    <x v="1869"/>
    <x v="1857"/>
    <x v="74"/>
    <x v="3"/>
    <n v="214.2884"/>
    <n v="1"/>
    <n v="214.2884"/>
  </r>
  <r>
    <x v="2"/>
    <x v="1870"/>
    <x v="1858"/>
    <x v="16"/>
    <x v="3"/>
    <n v="0"/>
    <n v="5"/>
    <n v="0"/>
  </r>
  <r>
    <x v="2"/>
    <x v="1871"/>
    <x v="1859"/>
    <x v="16"/>
    <x v="3"/>
    <n v="0"/>
    <n v="5"/>
    <n v="0"/>
  </r>
  <r>
    <x v="2"/>
    <x v="1872"/>
    <x v="1860"/>
    <x v="16"/>
    <x v="3"/>
    <n v="0"/>
    <n v="4"/>
    <n v="0"/>
  </r>
  <r>
    <x v="0"/>
    <x v="1873"/>
    <x v="1861"/>
    <x v="62"/>
    <x v="7"/>
    <n v="1.76"/>
    <n v="300.39999999999998"/>
    <n v="528.70399999999995"/>
  </r>
  <r>
    <x v="0"/>
    <x v="1874"/>
    <x v="1862"/>
    <x v="12"/>
    <x v="7"/>
    <n v="2.0438000000000001"/>
    <n v="474.99"/>
    <n v="970.78456200000005"/>
  </r>
  <r>
    <x v="0"/>
    <x v="1875"/>
    <x v="1863"/>
    <x v="14"/>
    <x v="6"/>
    <n v="0.11600000000000001"/>
    <n v="1126"/>
    <n v="130.61600000000001"/>
  </r>
  <r>
    <x v="0"/>
    <x v="1876"/>
    <x v="1864"/>
    <x v="14"/>
    <x v="6"/>
    <n v="0.11799999999999999"/>
    <n v="1116"/>
    <n v="131.68799999999999"/>
  </r>
  <r>
    <x v="0"/>
    <x v="1877"/>
    <x v="1865"/>
    <x v="14"/>
    <x v="6"/>
    <n v="0.04"/>
    <n v="3242"/>
    <n v="129.68"/>
  </r>
  <r>
    <x v="0"/>
    <x v="1878"/>
    <x v="1866"/>
    <x v="14"/>
    <x v="6"/>
    <n v="8.0600000000000005E-2"/>
    <n v="351"/>
    <n v="28.290600000000001"/>
  </r>
  <r>
    <x v="0"/>
    <x v="1879"/>
    <x v="1867"/>
    <x v="12"/>
    <x v="7"/>
    <n v="1.3"/>
    <n v="1"/>
    <n v="1.3"/>
  </r>
  <r>
    <x v="0"/>
    <x v="1880"/>
    <x v="1868"/>
    <x v="12"/>
    <x v="7"/>
    <n v="1.3"/>
    <n v="25"/>
    <n v="32.5"/>
  </r>
  <r>
    <x v="0"/>
    <x v="1881"/>
    <x v="1869"/>
    <x v="12"/>
    <x v="7"/>
    <n v="1.56"/>
    <n v="976"/>
    <n v="1522.56"/>
  </r>
  <r>
    <x v="0"/>
    <x v="1882"/>
    <x v="1870"/>
    <x v="12"/>
    <x v="7"/>
    <n v="1.5599000000000001"/>
    <n v="914"/>
    <n v="1425.7486000000001"/>
  </r>
  <r>
    <x v="0"/>
    <x v="1883"/>
    <x v="1871"/>
    <x v="12"/>
    <x v="11"/>
    <n v="20001"/>
    <n v="9.9500000000000005E-2"/>
    <n v="1990.0995"/>
  </r>
  <r>
    <x v="0"/>
    <x v="1884"/>
    <x v="1872"/>
    <x v="12"/>
    <x v="7"/>
    <n v="1.5720000000000001"/>
    <n v="1"/>
    <n v="1.5720000000000001"/>
  </r>
  <r>
    <x v="0"/>
    <x v="1885"/>
    <x v="1873"/>
    <x v="12"/>
    <x v="7"/>
    <n v="1.6359999999999999"/>
    <n v="1"/>
    <n v="1.6359999999999999"/>
  </r>
  <r>
    <x v="0"/>
    <x v="1886"/>
    <x v="1874"/>
    <x v="12"/>
    <x v="7"/>
    <n v="37"/>
    <n v="0.04"/>
    <n v="1.48"/>
  </r>
  <r>
    <x v="0"/>
    <x v="1887"/>
    <x v="1875"/>
    <x v="12"/>
    <x v="7"/>
    <n v="1.56"/>
    <n v="231"/>
    <n v="360.36"/>
  </r>
  <r>
    <x v="0"/>
    <x v="1888"/>
    <x v="1876"/>
    <x v="12"/>
    <x v="6"/>
    <n v="0.20649999999999999"/>
    <n v="1165"/>
    <n v="240.57249999999999"/>
  </r>
  <r>
    <x v="0"/>
    <x v="1889"/>
    <x v="1877"/>
    <x v="14"/>
    <x v="6"/>
    <n v="0.2185"/>
    <n v="289"/>
    <n v="63.146500000000003"/>
  </r>
  <r>
    <x v="0"/>
    <x v="1890"/>
    <x v="1878"/>
    <x v="12"/>
    <x v="7"/>
    <n v="86.56"/>
    <n v="5"/>
    <n v="432.8"/>
  </r>
  <r>
    <x v="0"/>
    <x v="1891"/>
    <x v="1879"/>
    <x v="12"/>
    <x v="7"/>
    <n v="773.87030000000004"/>
    <n v="1.8306"/>
    <n v="1416.64697118"/>
  </r>
  <r>
    <x v="0"/>
    <x v="1892"/>
    <x v="1880"/>
    <x v="12"/>
    <x v="7"/>
    <n v="539.34249999999997"/>
    <n v="0.79659999999999997"/>
    <n v="429.64023549999996"/>
  </r>
  <r>
    <x v="0"/>
    <x v="1893"/>
    <x v="1881"/>
    <x v="14"/>
    <x v="6"/>
    <n v="8.7300000000000003E-2"/>
    <n v="1319"/>
    <n v="115.14870000000001"/>
  </r>
  <r>
    <x v="0"/>
    <x v="1894"/>
    <x v="1882"/>
    <x v="12"/>
    <x v="7"/>
    <n v="8.2921999999999993"/>
    <n v="400.10250000000002"/>
    <n v="3317.7299505000001"/>
  </r>
  <r>
    <x v="0"/>
    <x v="1895"/>
    <x v="1883"/>
    <x v="12"/>
    <x v="6"/>
    <n v="0.57779999999999998"/>
    <n v="317"/>
    <n v="183.1626"/>
  </r>
  <r>
    <x v="0"/>
    <x v="1896"/>
    <x v="1884"/>
    <x v="12"/>
    <x v="7"/>
    <n v="459.6121"/>
    <n v="0.81610000000000005"/>
    <n v="375.08943481"/>
  </r>
  <r>
    <x v="0"/>
    <x v="1897"/>
    <x v="1885"/>
    <x v="12"/>
    <x v="7"/>
    <n v="250.28800000000001"/>
    <n v="1.01E-2"/>
    <n v="2.5279088000000001"/>
  </r>
  <r>
    <x v="0"/>
    <x v="1898"/>
    <x v="1886"/>
    <x v="12"/>
    <x v="7"/>
    <n v="2.4220999999999999"/>
    <n v="442.286"/>
    <n v="1071.2609206"/>
  </r>
  <r>
    <x v="0"/>
    <x v="1899"/>
    <x v="1887"/>
    <x v="12"/>
    <x v="7"/>
    <n v="48"/>
    <n v="5"/>
    <n v="240"/>
  </r>
  <r>
    <x v="0"/>
    <x v="1900"/>
    <x v="1888"/>
    <x v="75"/>
    <x v="12"/>
    <n v="4511.0968000000003"/>
    <n v="13.0825"/>
    <n v="59016.423886000004"/>
  </r>
  <r>
    <x v="1"/>
    <x v="1900"/>
    <x v="1888"/>
    <x v="75"/>
    <x v="12"/>
    <n v="4511.0968000000003"/>
    <n v="13.0825"/>
    <n v="59016.423886000004"/>
  </r>
  <r>
    <x v="1"/>
    <x v="1901"/>
    <x v="1889"/>
    <x v="75"/>
    <x v="12"/>
    <n v="2559.5675000000001"/>
    <n v="4.1566000000000001"/>
    <n v="10639.098270500001"/>
  </r>
  <r>
    <x v="0"/>
    <x v="1901"/>
    <x v="1889"/>
    <x v="75"/>
    <x v="12"/>
    <n v="2559.5675000000001"/>
    <n v="4.1566000000000001"/>
    <n v="10639.098270500001"/>
  </r>
  <r>
    <x v="0"/>
    <x v="1902"/>
    <x v="1890"/>
    <x v="12"/>
    <x v="0"/>
    <n v="4.6479999999999997"/>
    <n v="1802"/>
    <n v="8375.6959999999999"/>
  </r>
  <r>
    <x v="1"/>
    <x v="1903"/>
    <x v="1891"/>
    <x v="75"/>
    <x v="12"/>
    <n v="3588.1633000000002"/>
    <n v="0.33150000000000002"/>
    <n v="1189.4761339500001"/>
  </r>
  <r>
    <x v="0"/>
    <x v="1903"/>
    <x v="1891"/>
    <x v="75"/>
    <x v="12"/>
    <n v="3588.1633000000002"/>
    <n v="0.33150000000000002"/>
    <n v="1189.4761339500001"/>
  </r>
  <r>
    <x v="0"/>
    <x v="1904"/>
    <x v="1892"/>
    <x v="12"/>
    <x v="0"/>
    <n v="5.7009999999999996"/>
    <n v="75"/>
    <n v="427.57499999999999"/>
  </r>
  <r>
    <x v="0"/>
    <x v="1905"/>
    <x v="1893"/>
    <x v="12"/>
    <x v="0"/>
    <n v="1200.9903999999999"/>
    <n v="1.1468"/>
    <n v="1377.29579072"/>
  </r>
  <r>
    <x v="1"/>
    <x v="1906"/>
    <x v="1894"/>
    <x v="12"/>
    <x v="0"/>
    <n v="604.36860000000001"/>
    <n v="10.321300000000001"/>
    <n v="6237.8696311800004"/>
  </r>
  <r>
    <x v="0"/>
    <x v="1906"/>
    <x v="1894"/>
    <x v="12"/>
    <x v="0"/>
    <n v="604.36860000000001"/>
    <n v="10.321300000000001"/>
    <n v="6237.8696311800004"/>
  </r>
  <r>
    <x v="0"/>
    <x v="1907"/>
    <x v="1895"/>
    <x v="12"/>
    <x v="0"/>
    <n v="6.2270000000000003"/>
    <n v="151"/>
    <n v="940.27700000000004"/>
  </r>
  <r>
    <x v="1"/>
    <x v="1908"/>
    <x v="1896"/>
    <x v="12"/>
    <x v="0"/>
    <n v="0.68340000000000001"/>
    <n v="5604"/>
    <n v="3829.7736"/>
  </r>
  <r>
    <x v="0"/>
    <x v="1908"/>
    <x v="1896"/>
    <x v="12"/>
    <x v="0"/>
    <n v="0.68340000000000001"/>
    <n v="5604"/>
    <n v="3829.7736"/>
  </r>
  <r>
    <x v="0"/>
    <x v="1909"/>
    <x v="1897"/>
    <x v="12"/>
    <x v="0"/>
    <n v="794.00139999999999"/>
    <n v="1.0378000000000001"/>
    <n v="824.01465292"/>
  </r>
  <r>
    <x v="0"/>
    <x v="1910"/>
    <x v="1898"/>
    <x v="12"/>
    <x v="0"/>
    <n v="5.6"/>
    <n v="23.25"/>
    <n v="130.19999999999999"/>
  </r>
  <r>
    <x v="0"/>
    <x v="1911"/>
    <x v="1899"/>
    <x v="12"/>
    <x v="11"/>
    <n v="518.0145"/>
    <n v="0.49740000000000001"/>
    <n v="257.66041230000002"/>
  </r>
  <r>
    <x v="0"/>
    <x v="1912"/>
    <x v="1900"/>
    <x v="12"/>
    <x v="11"/>
    <n v="59.72"/>
    <n v="4"/>
    <n v="238.88"/>
  </r>
  <r>
    <x v="0"/>
    <x v="1913"/>
    <x v="1901"/>
    <x v="12"/>
    <x v="11"/>
    <n v="3.3275999999999999"/>
    <n v="30"/>
    <n v="99.828000000000003"/>
  </r>
  <r>
    <x v="0"/>
    <x v="1914"/>
    <x v="1902"/>
    <x v="14"/>
    <x v="10"/>
    <n v="298.58370000000002"/>
    <n v="0.17630000000000001"/>
    <n v="52.640306310000007"/>
  </r>
  <r>
    <x v="1"/>
    <x v="1915"/>
    <x v="1903"/>
    <x v="12"/>
    <x v="8"/>
    <n v="800.27850000000001"/>
    <n v="0.78280000000000005"/>
    <n v="626.45800980000001"/>
  </r>
  <r>
    <x v="0"/>
    <x v="1915"/>
    <x v="1903"/>
    <x v="12"/>
    <x v="8"/>
    <n v="800.27850000000001"/>
    <n v="0.78280000000000005"/>
    <n v="626.45800980000001"/>
  </r>
  <r>
    <x v="1"/>
    <x v="1916"/>
    <x v="1904"/>
    <x v="12"/>
    <x v="8"/>
    <n v="0.96799999999999997"/>
    <n v="599"/>
    <n v="579.83199999999999"/>
  </r>
  <r>
    <x v="0"/>
    <x v="1916"/>
    <x v="1904"/>
    <x v="12"/>
    <x v="8"/>
    <n v="0.96799999999999997"/>
    <n v="599"/>
    <n v="579.83199999999999"/>
  </r>
  <r>
    <x v="1"/>
    <x v="1917"/>
    <x v="1905"/>
    <x v="12"/>
    <x v="8"/>
    <n v="2.4340999999999999"/>
    <n v="5762"/>
    <n v="14025.2842"/>
  </r>
  <r>
    <x v="0"/>
    <x v="1917"/>
    <x v="1905"/>
    <x v="12"/>
    <x v="8"/>
    <n v="2.4340999999999999"/>
    <n v="5762"/>
    <n v="14025.2842"/>
  </r>
  <r>
    <x v="1"/>
    <x v="1918"/>
    <x v="1906"/>
    <x v="12"/>
    <x v="8"/>
    <n v="1.2474000000000001"/>
    <n v="3900"/>
    <n v="4864.8600000000006"/>
  </r>
  <r>
    <x v="0"/>
    <x v="1918"/>
    <x v="1906"/>
    <x v="12"/>
    <x v="8"/>
    <n v="1.2474000000000001"/>
    <n v="3900"/>
    <n v="4864.8600000000006"/>
  </r>
  <r>
    <x v="1"/>
    <x v="1919"/>
    <x v="1907"/>
    <x v="12"/>
    <x v="8"/>
    <n v="715.19929999999999"/>
    <n v="13.0702"/>
    <n v="9347.7978908599998"/>
  </r>
  <r>
    <x v="0"/>
    <x v="1919"/>
    <x v="1907"/>
    <x v="12"/>
    <x v="8"/>
    <n v="715.19929999999999"/>
    <n v="13.0702"/>
    <n v="9347.7978908599998"/>
  </r>
  <r>
    <x v="0"/>
    <x v="1920"/>
    <x v="1908"/>
    <x v="12"/>
    <x v="8"/>
    <n v="30.097100000000001"/>
    <n v="350"/>
    <n v="10533.985000000001"/>
  </r>
  <r>
    <x v="1"/>
    <x v="1920"/>
    <x v="1908"/>
    <x v="12"/>
    <x v="8"/>
    <n v="30.097100000000001"/>
    <n v="350"/>
    <n v="10533.985000000001"/>
  </r>
  <r>
    <x v="0"/>
    <x v="1921"/>
    <x v="1909"/>
    <x v="14"/>
    <x v="6"/>
    <n v="0.17119999999999999"/>
    <n v="211"/>
    <n v="36.123199999999997"/>
  </r>
  <r>
    <x v="0"/>
    <x v="1922"/>
    <x v="1910"/>
    <x v="14"/>
    <x v="6"/>
    <n v="0.252"/>
    <n v="380"/>
    <n v="95.76"/>
  </r>
  <r>
    <x v="0"/>
    <x v="1923"/>
    <x v="1911"/>
    <x v="14"/>
    <x v="6"/>
    <n v="0.248"/>
    <n v="526"/>
    <n v="130.44800000000001"/>
  </r>
  <r>
    <x v="0"/>
    <x v="1924"/>
    <x v="1912"/>
    <x v="14"/>
    <x v="6"/>
    <n v="0.249"/>
    <n v="675"/>
    <n v="168.07499999999999"/>
  </r>
  <r>
    <x v="0"/>
    <x v="1925"/>
    <x v="1913"/>
    <x v="14"/>
    <x v="6"/>
    <n v="0.26719999999999999"/>
    <n v="94"/>
    <n v="25.116799999999998"/>
  </r>
  <r>
    <x v="0"/>
    <x v="1926"/>
    <x v="1914"/>
    <x v="14"/>
    <x v="6"/>
    <n v="0.106"/>
    <n v="900"/>
    <n v="95.399999999999991"/>
  </r>
  <r>
    <x v="0"/>
    <x v="1927"/>
    <x v="1915"/>
    <x v="14"/>
    <x v="6"/>
    <n v="0.153"/>
    <n v="500"/>
    <n v="76.5"/>
  </r>
  <r>
    <x v="0"/>
    <x v="1928"/>
    <x v="1916"/>
    <x v="14"/>
    <x v="6"/>
    <n v="0.1013"/>
    <n v="1218"/>
    <n v="123.38339999999999"/>
  </r>
  <r>
    <x v="0"/>
    <x v="1929"/>
    <x v="1917"/>
    <x v="14"/>
    <x v="6"/>
    <n v="6.2700000000000006E-2"/>
    <n v="897"/>
    <n v="56.241900000000008"/>
  </r>
  <r>
    <x v="0"/>
    <x v="1930"/>
    <x v="1918"/>
    <x v="14"/>
    <x v="6"/>
    <n v="6.54E-2"/>
    <n v="1150"/>
    <n v="75.209999999999994"/>
  </r>
  <r>
    <x v="0"/>
    <x v="1931"/>
    <x v="1919"/>
    <x v="14"/>
    <x v="6"/>
    <n v="0.246"/>
    <n v="424"/>
    <n v="104.304"/>
  </r>
  <r>
    <x v="0"/>
    <x v="1932"/>
    <x v="1920"/>
    <x v="14"/>
    <x v="6"/>
    <n v="0.10340000000000001"/>
    <n v="723"/>
    <n v="74.758200000000002"/>
  </r>
  <r>
    <x v="0"/>
    <x v="1933"/>
    <x v="1921"/>
    <x v="14"/>
    <x v="6"/>
    <n v="6.54E-2"/>
    <n v="1164"/>
    <n v="76.125600000000006"/>
  </r>
  <r>
    <x v="0"/>
    <x v="1934"/>
    <x v="1922"/>
    <x v="14"/>
    <x v="6"/>
    <n v="7.4700000000000003E-2"/>
    <n v="763"/>
    <n v="56.996099999999998"/>
  </r>
  <r>
    <x v="0"/>
    <x v="1935"/>
    <x v="1923"/>
    <x v="14"/>
    <x v="6"/>
    <n v="9.5799999999999996E-2"/>
    <n v="765"/>
    <n v="73.286999999999992"/>
  </r>
  <r>
    <x v="0"/>
    <x v="1936"/>
    <x v="1924"/>
    <x v="14"/>
    <x v="6"/>
    <n v="0.19400000000000001"/>
    <n v="715"/>
    <n v="138.71"/>
  </r>
  <r>
    <x v="0"/>
    <x v="1937"/>
    <x v="1925"/>
    <x v="14"/>
    <x v="6"/>
    <n v="0.2203"/>
    <n v="655"/>
    <n v="144.29650000000001"/>
  </r>
  <r>
    <x v="0"/>
    <x v="1938"/>
    <x v="1926"/>
    <x v="14"/>
    <x v="6"/>
    <n v="6.7599999999999993E-2"/>
    <n v="2731"/>
    <n v="184.61559999999997"/>
  </r>
  <r>
    <x v="0"/>
    <x v="1939"/>
    <x v="1927"/>
    <x v="14"/>
    <x v="6"/>
    <n v="0.188"/>
    <n v="129"/>
    <n v="24.251999999999999"/>
  </r>
  <r>
    <x v="0"/>
    <x v="1940"/>
    <x v="1928"/>
    <x v="14"/>
    <x v="6"/>
    <n v="0.10150000000000001"/>
    <n v="993.00009999999997"/>
    <n v="100.78951015"/>
  </r>
  <r>
    <x v="0"/>
    <x v="1941"/>
    <x v="1929"/>
    <x v="12"/>
    <x v="7"/>
    <n v="1.76"/>
    <n v="250"/>
    <n v="440"/>
  </r>
  <r>
    <x v="0"/>
    <x v="1942"/>
    <x v="1930"/>
    <x v="14"/>
    <x v="6"/>
    <n v="9.8000000000000004E-2"/>
    <n v="751"/>
    <n v="73.597999999999999"/>
  </r>
  <r>
    <x v="0"/>
    <x v="1943"/>
    <x v="1931"/>
    <x v="14"/>
    <x v="6"/>
    <n v="0.156"/>
    <n v="469"/>
    <n v="73.164000000000001"/>
  </r>
  <r>
    <x v="0"/>
    <x v="1944"/>
    <x v="1932"/>
    <x v="14"/>
    <x v="6"/>
    <n v="0.255"/>
    <n v="824"/>
    <n v="210.12"/>
  </r>
  <r>
    <x v="0"/>
    <x v="1945"/>
    <x v="1933"/>
    <x v="14"/>
    <x v="6"/>
    <n v="4.7800000000000002E-2"/>
    <n v="5198"/>
    <n v="248.46440000000001"/>
  </r>
  <r>
    <x v="0"/>
    <x v="1946"/>
    <x v="1934"/>
    <x v="14"/>
    <x v="6"/>
    <n v="9.0999999999999998E-2"/>
    <n v="1166"/>
    <n v="106.10599999999999"/>
  </r>
  <r>
    <x v="0"/>
    <x v="1947"/>
    <x v="1935"/>
    <x v="14"/>
    <x v="6"/>
    <n v="0.1132"/>
    <n v="3464"/>
    <n v="392.12479999999999"/>
  </r>
  <r>
    <x v="0"/>
    <x v="1948"/>
    <x v="1936"/>
    <x v="12"/>
    <x v="7"/>
    <n v="930"/>
    <n v="0.38250000000000001"/>
    <n v="355.72500000000002"/>
  </r>
  <r>
    <x v="0"/>
    <x v="1949"/>
    <x v="1937"/>
    <x v="14"/>
    <x v="6"/>
    <n v="8.2400000000000001E-2"/>
    <n v="2111"/>
    <n v="173.94640000000001"/>
  </r>
  <r>
    <x v="0"/>
    <x v="1950"/>
    <x v="1938"/>
    <x v="14"/>
    <x v="6"/>
    <n v="7.1900000000000006E-2"/>
    <n v="2775"/>
    <n v="199.52250000000001"/>
  </r>
  <r>
    <x v="0"/>
    <x v="1951"/>
    <x v="1939"/>
    <x v="14"/>
    <x v="6"/>
    <n v="0.15529999999999999"/>
    <n v="9"/>
    <n v="1.3976999999999999"/>
  </r>
  <r>
    <x v="0"/>
    <x v="1952"/>
    <x v="1940"/>
    <x v="12"/>
    <x v="7"/>
    <n v="3.28"/>
    <n v="1"/>
    <n v="3.28"/>
  </r>
  <r>
    <x v="0"/>
    <x v="1953"/>
    <x v="1941"/>
    <x v="12"/>
    <x v="7"/>
    <n v="11.7"/>
    <n v="20.024000000000001"/>
    <n v="234.2808"/>
  </r>
  <r>
    <x v="0"/>
    <x v="1954"/>
    <x v="1942"/>
    <x v="14"/>
    <x v="6"/>
    <n v="0.122"/>
    <n v="19"/>
    <n v="2.3180000000000001"/>
  </r>
  <r>
    <x v="0"/>
    <x v="1955"/>
    <x v="1943"/>
    <x v="14"/>
    <x v="6"/>
    <n v="8.8999999999999996E-2"/>
    <n v="469"/>
    <n v="41.741"/>
  </r>
  <r>
    <x v="0"/>
    <x v="1956"/>
    <x v="1944"/>
    <x v="14"/>
    <x v="6"/>
    <n v="0.16900000000000001"/>
    <n v="325"/>
    <n v="54.925000000000004"/>
  </r>
  <r>
    <x v="0"/>
    <x v="1957"/>
    <x v="1945"/>
    <x v="14"/>
    <x v="6"/>
    <n v="0.112"/>
    <n v="78"/>
    <n v="8.7360000000000007"/>
  </r>
  <r>
    <x v="0"/>
    <x v="1958"/>
    <x v="1946"/>
    <x v="14"/>
    <x v="6"/>
    <n v="0.125"/>
    <n v="594"/>
    <n v="74.25"/>
  </r>
  <r>
    <x v="0"/>
    <x v="1959"/>
    <x v="1947"/>
    <x v="14"/>
    <x v="6"/>
    <n v="0.1128"/>
    <n v="3526"/>
    <n v="397.7328"/>
  </r>
  <r>
    <x v="0"/>
    <x v="1960"/>
    <x v="1948"/>
    <x v="14"/>
    <x v="6"/>
    <n v="7.0000000000000007E-2"/>
    <n v="1235"/>
    <n v="86.45"/>
  </r>
  <r>
    <x v="0"/>
    <x v="1961"/>
    <x v="1949"/>
    <x v="14"/>
    <x v="6"/>
    <n v="6.4899999999999999E-2"/>
    <n v="2799"/>
    <n v="181.6551"/>
  </r>
  <r>
    <x v="0"/>
    <x v="1962"/>
    <x v="1950"/>
    <x v="14"/>
    <x v="6"/>
    <n v="7.1900000000000006E-2"/>
    <n v="2928"/>
    <n v="210.5232"/>
  </r>
  <r>
    <x v="0"/>
    <x v="1963"/>
    <x v="1951"/>
    <x v="14"/>
    <x v="6"/>
    <n v="0.108"/>
    <n v="840"/>
    <n v="90.72"/>
  </r>
  <r>
    <x v="0"/>
    <x v="1964"/>
    <x v="1952"/>
    <x v="14"/>
    <x v="6"/>
    <n v="0.48399999999999999"/>
    <n v="67"/>
    <n v="32.427999999999997"/>
  </r>
  <r>
    <x v="0"/>
    <x v="1965"/>
    <x v="1953"/>
    <x v="14"/>
    <x v="6"/>
    <n v="0.48599999999999999"/>
    <n v="143"/>
    <n v="69.498000000000005"/>
  </r>
  <r>
    <x v="0"/>
    <x v="1966"/>
    <x v="1954"/>
    <x v="14"/>
    <x v="6"/>
    <n v="0.1258"/>
    <n v="1075"/>
    <n v="135.23499999999999"/>
  </r>
  <r>
    <x v="0"/>
    <x v="1967"/>
    <x v="1955"/>
    <x v="14"/>
    <x v="6"/>
    <n v="0.17780000000000001"/>
    <n v="745"/>
    <n v="132.46100000000001"/>
  </r>
  <r>
    <x v="0"/>
    <x v="1968"/>
    <x v="1956"/>
    <x v="14"/>
    <x v="6"/>
    <n v="0.151"/>
    <n v="405"/>
    <n v="61.155000000000001"/>
  </r>
  <r>
    <x v="0"/>
    <x v="1969"/>
    <x v="1957"/>
    <x v="14"/>
    <x v="6"/>
    <n v="0.161"/>
    <n v="306"/>
    <n v="49.265999999999998"/>
  </r>
  <r>
    <x v="0"/>
    <x v="1970"/>
    <x v="1958"/>
    <x v="14"/>
    <x v="6"/>
    <n v="6.8199999999999997E-2"/>
    <n v="1154"/>
    <n v="78.702799999999996"/>
  </r>
  <r>
    <x v="0"/>
    <x v="1971"/>
    <x v="1959"/>
    <x v="14"/>
    <x v="6"/>
    <n v="0.1077"/>
    <n v="1749"/>
    <n v="188.3673"/>
  </r>
  <r>
    <x v="0"/>
    <x v="1972"/>
    <x v="1960"/>
    <x v="14"/>
    <x v="6"/>
    <n v="5.1400000000000001E-2"/>
    <n v="746"/>
    <n v="38.3444"/>
  </r>
  <r>
    <x v="0"/>
    <x v="1973"/>
    <x v="1961"/>
    <x v="14"/>
    <x v="6"/>
    <n v="0.2016"/>
    <n v="641"/>
    <n v="129.22560000000001"/>
  </r>
  <r>
    <x v="0"/>
    <x v="1974"/>
    <x v="1962"/>
    <x v="14"/>
    <x v="6"/>
    <n v="0.13"/>
    <n v="770"/>
    <n v="100.10000000000001"/>
  </r>
  <r>
    <x v="0"/>
    <x v="1975"/>
    <x v="1963"/>
    <x v="14"/>
    <x v="6"/>
    <n v="0.22600000000000001"/>
    <n v="1031"/>
    <n v="233.006"/>
  </r>
  <r>
    <x v="0"/>
    <x v="1976"/>
    <x v="1964"/>
    <x v="14"/>
    <x v="6"/>
    <n v="0.121"/>
    <n v="3"/>
    <n v="0.36299999999999999"/>
  </r>
  <r>
    <x v="0"/>
    <x v="1977"/>
    <x v="1965"/>
    <x v="14"/>
    <x v="6"/>
    <n v="0.187"/>
    <n v="515"/>
    <n v="96.305000000000007"/>
  </r>
  <r>
    <x v="0"/>
    <x v="1978"/>
    <x v="1966"/>
    <x v="14"/>
    <x v="6"/>
    <n v="7.6399999999999996E-2"/>
    <n v="1569"/>
    <n v="119.87159999999999"/>
  </r>
  <r>
    <x v="0"/>
    <x v="1979"/>
    <x v="1967"/>
    <x v="14"/>
    <x v="6"/>
    <n v="0.12870000000000001"/>
    <n v="1362"/>
    <n v="175.2894"/>
  </r>
  <r>
    <x v="0"/>
    <x v="1980"/>
    <x v="1968"/>
    <x v="14"/>
    <x v="6"/>
    <n v="7.2300000000000003E-2"/>
    <n v="3282"/>
    <n v="237.2886"/>
  </r>
  <r>
    <x v="0"/>
    <x v="1981"/>
    <x v="1969"/>
    <x v="12"/>
    <x v="6"/>
    <n v="0.14799999999999999"/>
    <n v="1040"/>
    <n v="153.91999999999999"/>
  </r>
  <r>
    <x v="0"/>
    <x v="1982"/>
    <x v="1970"/>
    <x v="14"/>
    <x v="6"/>
    <n v="0.157"/>
    <n v="561"/>
    <n v="88.076999999999998"/>
  </r>
  <r>
    <x v="0"/>
    <x v="1983"/>
    <x v="1971"/>
    <x v="14"/>
    <x v="6"/>
    <n v="0.158"/>
    <n v="1137"/>
    <n v="179.64600000000002"/>
  </r>
  <r>
    <x v="0"/>
    <x v="1984"/>
    <x v="1972"/>
    <x v="14"/>
    <x v="6"/>
    <n v="0.192"/>
    <n v="586"/>
    <n v="112.512"/>
  </r>
  <r>
    <x v="0"/>
    <x v="1985"/>
    <x v="1973"/>
    <x v="14"/>
    <x v="6"/>
    <n v="0.128"/>
    <n v="1815"/>
    <n v="232.32"/>
  </r>
  <r>
    <x v="0"/>
    <x v="1986"/>
    <x v="1974"/>
    <x v="14"/>
    <x v="6"/>
    <n v="0.11310000000000001"/>
    <n v="652"/>
    <n v="73.741200000000006"/>
  </r>
  <r>
    <x v="0"/>
    <x v="1987"/>
    <x v="1975"/>
    <x v="14"/>
    <x v="6"/>
    <n v="0.15"/>
    <n v="50"/>
    <n v="7.5"/>
  </r>
  <r>
    <x v="0"/>
    <x v="1988"/>
    <x v="1976"/>
    <x v="14"/>
    <x v="6"/>
    <n v="0.126"/>
    <n v="916"/>
    <n v="115.416"/>
  </r>
  <r>
    <x v="0"/>
    <x v="1989"/>
    <x v="1977"/>
    <x v="14"/>
    <x v="6"/>
    <n v="0.17499999999999999"/>
    <n v="360"/>
    <n v="62.999999999999993"/>
  </r>
  <r>
    <x v="0"/>
    <x v="1990"/>
    <x v="1978"/>
    <x v="14"/>
    <x v="6"/>
    <n v="9.4500000000000001E-2"/>
    <n v="1388"/>
    <n v="131.166"/>
  </r>
  <r>
    <x v="0"/>
    <x v="1991"/>
    <x v="1979"/>
    <x v="14"/>
    <x v="6"/>
    <n v="0.20300000000000001"/>
    <n v="1"/>
    <n v="0.20300000000000001"/>
  </r>
  <r>
    <x v="0"/>
    <x v="1992"/>
    <x v="1980"/>
    <x v="14"/>
    <x v="6"/>
    <n v="0.154"/>
    <n v="738"/>
    <n v="113.652"/>
  </r>
  <r>
    <x v="0"/>
    <x v="1993"/>
    <x v="1981"/>
    <x v="14"/>
    <x v="6"/>
    <n v="0.1938"/>
    <n v="671"/>
    <n v="130.03980000000001"/>
  </r>
  <r>
    <x v="0"/>
    <x v="1994"/>
    <x v="1982"/>
    <x v="14"/>
    <x v="6"/>
    <n v="6.0900000000000003E-2"/>
    <n v="4407"/>
    <n v="268.38630000000001"/>
  </r>
  <r>
    <x v="0"/>
    <x v="1995"/>
    <x v="1983"/>
    <x v="14"/>
    <x v="6"/>
    <n v="0.154"/>
    <n v="638"/>
    <n v="98.251999999999995"/>
  </r>
  <r>
    <x v="0"/>
    <x v="1996"/>
    <x v="1984"/>
    <x v="12"/>
    <x v="0"/>
    <n v="4.7309999999999999"/>
    <n v="1760"/>
    <n v="8326.56"/>
  </r>
  <r>
    <x v="0"/>
    <x v="1997"/>
    <x v="1985"/>
    <x v="14"/>
    <x v="6"/>
    <n v="0.16270000000000001"/>
    <n v="820"/>
    <n v="133.41400000000002"/>
  </r>
  <r>
    <x v="0"/>
    <x v="1998"/>
    <x v="1986"/>
    <x v="14"/>
    <x v="6"/>
    <n v="9.5600000000000004E-2"/>
    <n v="2165"/>
    <n v="206.97400000000002"/>
  </r>
  <r>
    <x v="0"/>
    <x v="1999"/>
    <x v="1987"/>
    <x v="14"/>
    <x v="6"/>
    <n v="8.6499999999999994E-2"/>
    <n v="1979"/>
    <n v="171.18349999999998"/>
  </r>
  <r>
    <x v="0"/>
    <x v="2000"/>
    <x v="1988"/>
    <x v="14"/>
    <x v="6"/>
    <n v="0.12889999999999999"/>
    <n v="443"/>
    <n v="57.102699999999992"/>
  </r>
  <r>
    <x v="0"/>
    <x v="2001"/>
    <x v="1989"/>
    <x v="14"/>
    <x v="6"/>
    <n v="0.1125"/>
    <n v="620"/>
    <n v="69.75"/>
  </r>
  <r>
    <x v="0"/>
    <x v="2002"/>
    <x v="1990"/>
    <x v="14"/>
    <x v="6"/>
    <n v="9.7900000000000001E-2"/>
    <n v="1150"/>
    <n v="112.58500000000001"/>
  </r>
  <r>
    <x v="0"/>
    <x v="2003"/>
    <x v="1991"/>
    <x v="14"/>
    <x v="6"/>
    <n v="0.10929999999999999"/>
    <n v="1654"/>
    <n v="180.78219999999999"/>
  </r>
  <r>
    <x v="0"/>
    <x v="2004"/>
    <x v="1992"/>
    <x v="14"/>
    <x v="6"/>
    <n v="5.28E-2"/>
    <n v="1339"/>
    <n v="70.699200000000005"/>
  </r>
  <r>
    <x v="0"/>
    <x v="2005"/>
    <x v="1993"/>
    <x v="12"/>
    <x v="7"/>
    <n v="49"/>
    <n v="20"/>
    <n v="980"/>
  </r>
  <r>
    <x v="0"/>
    <x v="2006"/>
    <x v="1994"/>
    <x v="14"/>
    <x v="6"/>
    <n v="5.28E-2"/>
    <n v="1339"/>
    <n v="70.699200000000005"/>
  </r>
  <r>
    <x v="0"/>
    <x v="2007"/>
    <x v="1995"/>
    <x v="12"/>
    <x v="8"/>
    <n v="2.4388999999999998"/>
    <n v="1334"/>
    <n v="3253.4925999999996"/>
  </r>
  <r>
    <x v="0"/>
    <x v="2008"/>
    <x v="1996"/>
    <x v="14"/>
    <x v="6"/>
    <n v="0.19470000000000001"/>
    <n v="441"/>
    <n v="85.862700000000004"/>
  </r>
  <r>
    <x v="0"/>
    <x v="2009"/>
    <x v="1997"/>
    <x v="14"/>
    <x v="6"/>
    <n v="0.16"/>
    <n v="496"/>
    <n v="79.36"/>
  </r>
  <r>
    <x v="0"/>
    <x v="2010"/>
    <x v="1998"/>
    <x v="14"/>
    <x v="6"/>
    <n v="0.12"/>
    <n v="529"/>
    <n v="63.48"/>
  </r>
  <r>
    <x v="0"/>
    <x v="2011"/>
    <x v="1999"/>
    <x v="14"/>
    <x v="6"/>
    <n v="0.158"/>
    <n v="562"/>
    <n v="88.796000000000006"/>
  </r>
  <r>
    <x v="0"/>
    <x v="2012"/>
    <x v="2000"/>
    <x v="14"/>
    <x v="6"/>
    <n v="0.11899999999999999"/>
    <n v="1076"/>
    <n v="128.04399999999998"/>
  </r>
  <r>
    <x v="0"/>
    <x v="2013"/>
    <x v="2001"/>
    <x v="14"/>
    <x v="6"/>
    <n v="0.112"/>
    <n v="2060"/>
    <n v="230.72"/>
  </r>
  <r>
    <x v="0"/>
    <x v="2014"/>
    <x v="2002"/>
    <x v="14"/>
    <x v="6"/>
    <n v="2.6599999999999999E-2"/>
    <n v="505"/>
    <n v="13.433"/>
  </r>
  <r>
    <x v="0"/>
    <x v="2015"/>
    <x v="2003"/>
    <x v="12"/>
    <x v="6"/>
    <n v="0.153"/>
    <n v="5620"/>
    <n v="859.86"/>
  </r>
  <r>
    <x v="0"/>
    <x v="2016"/>
    <x v="2004"/>
    <x v="12"/>
    <x v="6"/>
    <n v="8.5300000000000001E-2"/>
    <n v="2418"/>
    <n v="206.25540000000001"/>
  </r>
  <r>
    <x v="0"/>
    <x v="2017"/>
    <x v="2005"/>
    <x v="14"/>
    <x v="6"/>
    <n v="0.14360000000000001"/>
    <n v="2300"/>
    <n v="330.28000000000003"/>
  </r>
  <r>
    <x v="0"/>
    <x v="2018"/>
    <x v="2006"/>
    <x v="14"/>
    <x v="6"/>
    <n v="0.152"/>
    <n v="48"/>
    <n v="7.2959999999999994"/>
  </r>
  <r>
    <x v="0"/>
    <x v="2019"/>
    <x v="2007"/>
    <x v="14"/>
    <x v="6"/>
    <n v="0.1016"/>
    <n v="2838"/>
    <n v="288.3408"/>
  </r>
  <r>
    <x v="0"/>
    <x v="2020"/>
    <x v="2008"/>
    <x v="14"/>
    <x v="6"/>
    <n v="7.7399999999999997E-2"/>
    <n v="4200"/>
    <n v="325.08"/>
  </r>
  <r>
    <x v="0"/>
    <x v="2021"/>
    <x v="2009"/>
    <x v="14"/>
    <x v="6"/>
    <n v="5.5E-2"/>
    <n v="3370"/>
    <n v="185.35"/>
  </r>
  <r>
    <x v="0"/>
    <x v="2022"/>
    <x v="2010"/>
    <x v="14"/>
    <x v="6"/>
    <n v="0.15040000000000001"/>
    <n v="2208"/>
    <n v="332.08320000000003"/>
  </r>
  <r>
    <x v="0"/>
    <x v="2023"/>
    <x v="2011"/>
    <x v="14"/>
    <x v="6"/>
    <n v="9.1300000000000006E-2"/>
    <n v="1660"/>
    <n v="151.55800000000002"/>
  </r>
  <r>
    <x v="0"/>
    <x v="2024"/>
    <x v="2012"/>
    <x v="12"/>
    <x v="6"/>
    <n v="0.3997"/>
    <n v="2883"/>
    <n v="1152.3351"/>
  </r>
  <r>
    <x v="0"/>
    <x v="2025"/>
    <x v="2013"/>
    <x v="12"/>
    <x v="6"/>
    <n v="0.30370000000000003"/>
    <n v="1997"/>
    <n v="606.48890000000006"/>
  </r>
  <r>
    <x v="0"/>
    <x v="2026"/>
    <x v="2014"/>
    <x v="12"/>
    <x v="6"/>
    <n v="0.28139999999999998"/>
    <n v="11596"/>
    <n v="3263.1143999999999"/>
  </r>
  <r>
    <x v="0"/>
    <x v="2027"/>
    <x v="2015"/>
    <x v="12"/>
    <x v="6"/>
    <n v="1.143"/>
    <n v="1"/>
    <n v="1.143"/>
  </r>
  <r>
    <x v="0"/>
    <x v="2028"/>
    <x v="2016"/>
    <x v="12"/>
    <x v="6"/>
    <n v="0.313"/>
    <n v="8"/>
    <n v="2.504"/>
  </r>
  <r>
    <x v="0"/>
    <x v="2029"/>
    <x v="2017"/>
    <x v="12"/>
    <x v="6"/>
    <n v="0.26900000000000002"/>
    <n v="1"/>
    <n v="0.26900000000000002"/>
  </r>
  <r>
    <x v="0"/>
    <x v="2030"/>
    <x v="2018"/>
    <x v="12"/>
    <x v="6"/>
    <n v="0.1512"/>
    <n v="12307"/>
    <n v="1860.8184000000001"/>
  </r>
  <r>
    <x v="0"/>
    <x v="2031"/>
    <x v="2019"/>
    <x v="12"/>
    <x v="6"/>
    <n v="7.9000000000000001E-2"/>
    <n v="2173"/>
    <n v="171.667"/>
  </r>
  <r>
    <x v="0"/>
    <x v="2032"/>
    <x v="2020"/>
    <x v="14"/>
    <x v="6"/>
    <n v="0.18"/>
    <n v="7230"/>
    <n v="1301.3999999999999"/>
  </r>
  <r>
    <x v="0"/>
    <x v="2033"/>
    <x v="2021"/>
    <x v="14"/>
    <x v="6"/>
    <n v="0.156"/>
    <n v="8320"/>
    <n v="1297.92"/>
  </r>
  <r>
    <x v="0"/>
    <x v="2034"/>
    <x v="2022"/>
    <x v="14"/>
    <x v="6"/>
    <n v="0.34200000000000003"/>
    <n v="465"/>
    <n v="159.03"/>
  </r>
  <r>
    <x v="0"/>
    <x v="2035"/>
    <x v="2023"/>
    <x v="14"/>
    <x v="6"/>
    <n v="0.08"/>
    <n v="14008"/>
    <n v="1120.6400000000001"/>
  </r>
  <r>
    <x v="0"/>
    <x v="2036"/>
    <x v="2024"/>
    <x v="14"/>
    <x v="6"/>
    <n v="0.114"/>
    <n v="500"/>
    <n v="57"/>
  </r>
  <r>
    <x v="0"/>
    <x v="2037"/>
    <x v="2025"/>
    <x v="14"/>
    <x v="6"/>
    <n v="0.115"/>
    <n v="613"/>
    <n v="70.495000000000005"/>
  </r>
  <r>
    <x v="0"/>
    <x v="2038"/>
    <x v="2026"/>
    <x v="14"/>
    <x v="6"/>
    <n v="6.0999999999999999E-2"/>
    <n v="2238"/>
    <n v="136.518"/>
  </r>
  <r>
    <x v="0"/>
    <x v="2039"/>
    <x v="2027"/>
    <x v="14"/>
    <x v="6"/>
    <n v="0.23599999999999999"/>
    <n v="380"/>
    <n v="89.679999999999993"/>
  </r>
  <r>
    <x v="0"/>
    <x v="2040"/>
    <x v="2028"/>
    <x v="14"/>
    <x v="6"/>
    <n v="0.1552"/>
    <n v="1165"/>
    <n v="180.80799999999999"/>
  </r>
  <r>
    <x v="0"/>
    <x v="2041"/>
    <x v="2029"/>
    <x v="14"/>
    <x v="6"/>
    <n v="0.11700000000000001"/>
    <n v="11125"/>
    <n v="1301.625"/>
  </r>
  <r>
    <x v="0"/>
    <x v="2042"/>
    <x v="2030"/>
    <x v="12"/>
    <x v="6"/>
    <n v="0.64219999999999999"/>
    <n v="3327"/>
    <n v="2136.5994000000001"/>
  </r>
  <r>
    <x v="0"/>
    <x v="2043"/>
    <x v="2031"/>
    <x v="14"/>
    <x v="6"/>
    <n v="0.14480000000000001"/>
    <n v="1104"/>
    <n v="159.85920000000002"/>
  </r>
  <r>
    <x v="0"/>
    <x v="2044"/>
    <x v="2032"/>
    <x v="14"/>
    <x v="6"/>
    <n v="0.111"/>
    <n v="568"/>
    <n v="63.048000000000002"/>
  </r>
  <r>
    <x v="0"/>
    <x v="2045"/>
    <x v="2033"/>
    <x v="14"/>
    <x v="6"/>
    <n v="4.5100000000000001E-2"/>
    <n v="1771"/>
    <n v="79.872100000000003"/>
  </r>
  <r>
    <x v="1"/>
    <x v="2046"/>
    <x v="2034"/>
    <x v="12"/>
    <x v="8"/>
    <n v="1.1599999999999999"/>
    <n v="2934"/>
    <n v="3403.4399999999996"/>
  </r>
  <r>
    <x v="0"/>
    <x v="2046"/>
    <x v="2034"/>
    <x v="12"/>
    <x v="8"/>
    <n v="1.1599999999999999"/>
    <n v="2934"/>
    <n v="3403.4399999999996"/>
  </r>
  <r>
    <x v="0"/>
    <x v="2047"/>
    <x v="2035"/>
    <x v="12"/>
    <x v="0"/>
    <n v="2400"/>
    <n v="0.4541"/>
    <n v="1089.8399999999999"/>
  </r>
  <r>
    <x v="0"/>
    <x v="2048"/>
    <x v="2036"/>
    <x v="14"/>
    <x v="6"/>
    <n v="9.5000000000000001E-2"/>
    <n v="2687"/>
    <n v="255.26500000000001"/>
  </r>
  <r>
    <x v="0"/>
    <x v="2049"/>
    <x v="2037"/>
    <x v="14"/>
    <x v="6"/>
    <n v="4.7300000000000002E-2"/>
    <n v="2873"/>
    <n v="135.8929"/>
  </r>
  <r>
    <x v="0"/>
    <x v="2050"/>
    <x v="2038"/>
    <x v="14"/>
    <x v="6"/>
    <n v="4.7300000000000002E-2"/>
    <n v="2882"/>
    <n v="136.3186"/>
  </r>
  <r>
    <x v="0"/>
    <x v="2051"/>
    <x v="2039"/>
    <x v="14"/>
    <x v="6"/>
    <n v="0.1065"/>
    <n v="442"/>
    <n v="47.073"/>
  </r>
  <r>
    <x v="0"/>
    <x v="2052"/>
    <x v="2040"/>
    <x v="14"/>
    <x v="6"/>
    <n v="9.2700000000000005E-2"/>
    <n v="1392"/>
    <n v="129.0384"/>
  </r>
  <r>
    <x v="0"/>
    <x v="2053"/>
    <x v="2041"/>
    <x v="12"/>
    <x v="7"/>
    <n v="1.86"/>
    <n v="300"/>
    <n v="558"/>
  </r>
  <r>
    <x v="0"/>
    <x v="2054"/>
    <x v="2042"/>
    <x v="12"/>
    <x v="7"/>
    <n v="2.6002999999999998"/>
    <n v="915.1"/>
    <n v="2379.5345299999999"/>
  </r>
  <r>
    <x v="0"/>
    <x v="2055"/>
    <x v="2043"/>
    <x v="14"/>
    <x v="6"/>
    <n v="0.13900000000000001"/>
    <n v="545"/>
    <n v="75.75500000000001"/>
  </r>
  <r>
    <x v="1"/>
    <x v="2056"/>
    <x v="2044"/>
    <x v="12"/>
    <x v="0"/>
    <n v="143.904"/>
    <n v="7.0004999999999997"/>
    <n v="1007.399952"/>
  </r>
  <r>
    <x v="0"/>
    <x v="2056"/>
    <x v="2044"/>
    <x v="12"/>
    <x v="0"/>
    <n v="143.904"/>
    <n v="7.0004999999999997"/>
    <n v="1007.399952"/>
  </r>
  <r>
    <x v="0"/>
    <x v="2057"/>
    <x v="2045"/>
    <x v="14"/>
    <x v="6"/>
    <n v="6.2399999999999997E-2"/>
    <n v="1296"/>
    <n v="80.870399999999989"/>
  </r>
  <r>
    <x v="0"/>
    <x v="2058"/>
    <x v="2046"/>
    <x v="14"/>
    <x v="6"/>
    <n v="7.3300000000000004E-2"/>
    <n v="2373"/>
    <n v="173.9409"/>
  </r>
  <r>
    <x v="0"/>
    <x v="2059"/>
    <x v="2047"/>
    <x v="14"/>
    <x v="6"/>
    <n v="0.17699999999999999"/>
    <n v="380"/>
    <n v="67.259999999999991"/>
  </r>
  <r>
    <x v="0"/>
    <x v="2060"/>
    <x v="2048"/>
    <x v="14"/>
    <x v="6"/>
    <n v="8.4000000000000005E-2"/>
    <n v="436"/>
    <n v="36.624000000000002"/>
  </r>
  <r>
    <x v="0"/>
    <x v="2061"/>
    <x v="2049"/>
    <x v="12"/>
    <x v="6"/>
    <n v="0.12"/>
    <n v="865"/>
    <n v="103.8"/>
  </r>
  <r>
    <x v="0"/>
    <x v="2062"/>
    <x v="2050"/>
    <x v="14"/>
    <x v="6"/>
    <n v="9.98E-2"/>
    <n v="1442"/>
    <n v="143.91159999999999"/>
  </r>
  <r>
    <x v="0"/>
    <x v="2063"/>
    <x v="2051"/>
    <x v="14"/>
    <x v="6"/>
    <n v="1.238"/>
    <n v="230"/>
    <n v="284.74"/>
  </r>
  <r>
    <x v="0"/>
    <x v="2064"/>
    <x v="2052"/>
    <x v="14"/>
    <x v="6"/>
    <n v="0.11799999999999999"/>
    <n v="874"/>
    <n v="103.13199999999999"/>
  </r>
  <r>
    <x v="0"/>
    <x v="2065"/>
    <x v="2053"/>
    <x v="14"/>
    <x v="6"/>
    <n v="0.16400000000000001"/>
    <n v="417"/>
    <n v="68.388000000000005"/>
  </r>
  <r>
    <x v="0"/>
    <x v="2066"/>
    <x v="2054"/>
    <x v="14"/>
    <x v="6"/>
    <n v="0.10199999999999999"/>
    <n v="594"/>
    <n v="60.587999999999994"/>
  </r>
  <r>
    <x v="0"/>
    <x v="2067"/>
    <x v="2055"/>
    <x v="14"/>
    <x v="6"/>
    <n v="7.7600000000000002E-2"/>
    <n v="979"/>
    <n v="75.970399999999998"/>
  </r>
  <r>
    <x v="0"/>
    <x v="2068"/>
    <x v="2056"/>
    <x v="14"/>
    <x v="6"/>
    <n v="7.7600000000000002E-2"/>
    <n v="978"/>
    <n v="75.892800000000008"/>
  </r>
  <r>
    <x v="0"/>
    <x v="2069"/>
    <x v="2057"/>
    <x v="12"/>
    <x v="7"/>
    <n v="1.0900000000000001"/>
    <n v="200"/>
    <n v="218.00000000000003"/>
  </r>
  <r>
    <x v="0"/>
    <x v="2070"/>
    <x v="2058"/>
    <x v="62"/>
    <x v="10"/>
    <n v="0.10979999999999999"/>
    <n v="702"/>
    <n v="77.079599999999999"/>
  </r>
  <r>
    <x v="0"/>
    <x v="2071"/>
    <x v="2059"/>
    <x v="1"/>
    <x v="4"/>
    <n v="7.1300000000000002E-2"/>
    <n v="1574"/>
    <n v="112.22620000000001"/>
  </r>
  <r>
    <x v="0"/>
    <x v="2072"/>
    <x v="2060"/>
    <x v="14"/>
    <x v="6"/>
    <n v="0.252"/>
    <n v="441"/>
    <n v="111.13200000000001"/>
  </r>
  <r>
    <x v="0"/>
    <x v="2073"/>
    <x v="2061"/>
    <x v="14"/>
    <x v="6"/>
    <n v="0.14130000000000001"/>
    <n v="764"/>
    <n v="107.95320000000001"/>
  </r>
  <r>
    <x v="0"/>
    <x v="2074"/>
    <x v="2062"/>
    <x v="14"/>
    <x v="6"/>
    <n v="9.0999999999999998E-2"/>
    <n v="699"/>
    <n v="63.609000000000002"/>
  </r>
  <r>
    <x v="0"/>
    <x v="2075"/>
    <x v="2063"/>
    <x v="14"/>
    <x v="6"/>
    <n v="6.9000000000000006E-2"/>
    <n v="1046"/>
    <n v="72.174000000000007"/>
  </r>
  <r>
    <x v="1"/>
    <x v="2076"/>
    <x v="2064"/>
    <x v="76"/>
    <x v="12"/>
    <n v="0.96960000000000002"/>
    <n v="52"/>
    <n v="50.419200000000004"/>
  </r>
  <r>
    <x v="0"/>
    <x v="2076"/>
    <x v="2064"/>
    <x v="76"/>
    <x v="12"/>
    <n v="0.96960000000000002"/>
    <n v="52"/>
    <n v="50.419200000000004"/>
  </r>
  <r>
    <x v="0"/>
    <x v="2077"/>
    <x v="2065"/>
    <x v="14"/>
    <x v="6"/>
    <n v="0.13700000000000001"/>
    <n v="11607"/>
    <n v="1590.1590000000001"/>
  </r>
  <r>
    <x v="0"/>
    <x v="2078"/>
    <x v="2066"/>
    <x v="12"/>
    <x v="0"/>
    <n v="147.39169999999999"/>
    <n v="1.1200000000000001"/>
    <n v="165.07870399999999"/>
  </r>
  <r>
    <x v="0"/>
    <x v="2079"/>
    <x v="2067"/>
    <x v="14"/>
    <x v="6"/>
    <n v="0.19700000000000001"/>
    <n v="11012"/>
    <n v="2169.364"/>
  </r>
  <r>
    <x v="0"/>
    <x v="2080"/>
    <x v="2068"/>
    <x v="14"/>
    <x v="6"/>
    <n v="0.187"/>
    <n v="11343"/>
    <n v="2121.1410000000001"/>
  </r>
  <r>
    <x v="0"/>
    <x v="2081"/>
    <x v="2069"/>
    <x v="14"/>
    <x v="6"/>
    <n v="0.14499999999999999"/>
    <n v="722"/>
    <n v="104.69"/>
  </r>
  <r>
    <x v="0"/>
    <x v="2082"/>
    <x v="2070"/>
    <x v="14"/>
    <x v="6"/>
    <n v="0.14000000000000001"/>
    <n v="392"/>
    <n v="54.88"/>
  </r>
  <r>
    <x v="0"/>
    <x v="2083"/>
    <x v="2071"/>
    <x v="14"/>
    <x v="6"/>
    <n v="0.30299999999999999"/>
    <n v="506"/>
    <n v="153.31799999999998"/>
  </r>
  <r>
    <x v="0"/>
    <x v="2084"/>
    <x v="2072"/>
    <x v="14"/>
    <x v="6"/>
    <n v="0.14000000000000001"/>
    <n v="288"/>
    <n v="40.320000000000007"/>
  </r>
  <r>
    <x v="1"/>
    <x v="2085"/>
    <x v="2073"/>
    <x v="12"/>
    <x v="11"/>
    <n v="1.7966"/>
    <n v="1283"/>
    <n v="2305.0378000000001"/>
  </r>
  <r>
    <x v="0"/>
    <x v="2085"/>
    <x v="2073"/>
    <x v="12"/>
    <x v="11"/>
    <n v="1.7966"/>
    <n v="1283"/>
    <n v="2305.0378000000001"/>
  </r>
  <r>
    <x v="0"/>
    <x v="2086"/>
    <x v="2074"/>
    <x v="14"/>
    <x v="6"/>
    <n v="0.1"/>
    <n v="258"/>
    <n v="25.8"/>
  </r>
  <r>
    <x v="0"/>
    <x v="2087"/>
    <x v="2075"/>
    <x v="14"/>
    <x v="6"/>
    <n v="9.9000000000000005E-2"/>
    <n v="288"/>
    <n v="28.512"/>
  </r>
  <r>
    <x v="0"/>
    <x v="2088"/>
    <x v="2076"/>
    <x v="14"/>
    <x v="6"/>
    <n v="0.215"/>
    <n v="831"/>
    <n v="178.66499999999999"/>
  </r>
  <r>
    <x v="0"/>
    <x v="2089"/>
    <x v="2077"/>
    <x v="14"/>
    <x v="6"/>
    <n v="9.5200000000000007E-2"/>
    <n v="2242"/>
    <n v="213.4384"/>
  </r>
  <r>
    <x v="0"/>
    <x v="2090"/>
    <x v="2078"/>
    <x v="14"/>
    <x v="6"/>
    <n v="9.5500000000000002E-2"/>
    <n v="2231"/>
    <n v="213.06049999999999"/>
  </r>
  <r>
    <x v="0"/>
    <x v="2091"/>
    <x v="2079"/>
    <x v="14"/>
    <x v="6"/>
    <n v="9.69E-2"/>
    <n v="723"/>
    <n v="70.058700000000002"/>
  </r>
  <r>
    <x v="0"/>
    <x v="2092"/>
    <x v="2080"/>
    <x v="14"/>
    <x v="6"/>
    <n v="0.19600000000000001"/>
    <n v="907"/>
    <n v="177.77200000000002"/>
  </r>
  <r>
    <x v="0"/>
    <x v="2093"/>
    <x v="2081"/>
    <x v="14"/>
    <x v="6"/>
    <n v="0.36"/>
    <n v="396"/>
    <n v="142.56"/>
  </r>
  <r>
    <x v="0"/>
    <x v="2094"/>
    <x v="2082"/>
    <x v="12"/>
    <x v="0"/>
    <n v="217.96199999999999"/>
    <n v="79.06"/>
    <n v="17232.075720000001"/>
  </r>
  <r>
    <x v="1"/>
    <x v="2095"/>
    <x v="2083"/>
    <x v="12"/>
    <x v="8"/>
    <n v="1.2459"/>
    <n v="4320"/>
    <n v="5382.2880000000005"/>
  </r>
  <r>
    <x v="0"/>
    <x v="2095"/>
    <x v="2083"/>
    <x v="12"/>
    <x v="8"/>
    <n v="1.2459"/>
    <n v="4320"/>
    <n v="5382.2880000000005"/>
  </r>
  <r>
    <x v="0"/>
    <x v="2096"/>
    <x v="2084"/>
    <x v="12"/>
    <x v="8"/>
    <n v="0.23680000000000001"/>
    <n v="1004"/>
    <n v="237.74720000000002"/>
  </r>
  <r>
    <x v="1"/>
    <x v="2096"/>
    <x v="2084"/>
    <x v="12"/>
    <x v="8"/>
    <n v="0.23680000000000001"/>
    <n v="1004"/>
    <n v="237.74720000000002"/>
  </r>
  <r>
    <x v="0"/>
    <x v="2097"/>
    <x v="2085"/>
    <x v="12"/>
    <x v="0"/>
    <n v="1.1608000000000001"/>
    <n v="763"/>
    <n v="885.69040000000007"/>
  </r>
  <r>
    <x v="0"/>
    <x v="2098"/>
    <x v="2086"/>
    <x v="12"/>
    <x v="0"/>
    <n v="24"/>
    <n v="118"/>
    <n v="2832"/>
  </r>
  <r>
    <x v="0"/>
    <x v="2099"/>
    <x v="2087"/>
    <x v="14"/>
    <x v="6"/>
    <n v="0.13800000000000001"/>
    <n v="901"/>
    <n v="124.33800000000001"/>
  </r>
  <r>
    <x v="0"/>
    <x v="2100"/>
    <x v="2088"/>
    <x v="14"/>
    <x v="6"/>
    <n v="0.19"/>
    <n v="1569"/>
    <n v="298.11"/>
  </r>
  <r>
    <x v="0"/>
    <x v="2101"/>
    <x v="2089"/>
    <x v="14"/>
    <x v="6"/>
    <n v="7.6999999999999999E-2"/>
    <n v="625"/>
    <n v="48.125"/>
  </r>
  <r>
    <x v="0"/>
    <x v="2102"/>
    <x v="2090"/>
    <x v="14"/>
    <x v="6"/>
    <n v="0.17810000000000001"/>
    <n v="1119"/>
    <n v="199.29390000000001"/>
  </r>
  <r>
    <x v="0"/>
    <x v="2103"/>
    <x v="2091"/>
    <x v="14"/>
    <x v="6"/>
    <n v="9.4899999999999998E-2"/>
    <n v="1738"/>
    <n v="164.93619999999999"/>
  </r>
  <r>
    <x v="0"/>
    <x v="2104"/>
    <x v="2092"/>
    <x v="14"/>
    <x v="6"/>
    <n v="0.13"/>
    <n v="252"/>
    <n v="32.76"/>
  </r>
  <r>
    <x v="0"/>
    <x v="2105"/>
    <x v="2093"/>
    <x v="14"/>
    <x v="6"/>
    <n v="8.0100000000000005E-2"/>
    <n v="1204"/>
    <n v="96.440400000000011"/>
  </r>
  <r>
    <x v="0"/>
    <x v="2106"/>
    <x v="2094"/>
    <x v="14"/>
    <x v="6"/>
    <n v="0.27300000000000002"/>
    <n v="394"/>
    <n v="107.56200000000001"/>
  </r>
  <r>
    <x v="0"/>
    <x v="2107"/>
    <x v="2095"/>
    <x v="14"/>
    <x v="6"/>
    <n v="0.11700000000000001"/>
    <n v="2028"/>
    <n v="237.27600000000001"/>
  </r>
  <r>
    <x v="0"/>
    <x v="2108"/>
    <x v="2096"/>
    <x v="12"/>
    <x v="7"/>
    <n v="65.599999999999994"/>
    <n v="6.0250000000000004"/>
    <n v="395.24"/>
  </r>
  <r>
    <x v="0"/>
    <x v="2109"/>
    <x v="2097"/>
    <x v="12"/>
    <x v="7"/>
    <n v="81.599999999999994"/>
    <n v="31"/>
    <n v="2529.6"/>
  </r>
  <r>
    <x v="0"/>
    <x v="2110"/>
    <x v="2098"/>
    <x v="14"/>
    <x v="6"/>
    <n v="0.224"/>
    <n v="873"/>
    <n v="195.55199999999999"/>
  </r>
  <r>
    <x v="0"/>
    <x v="2111"/>
    <x v="2099"/>
    <x v="12"/>
    <x v="8"/>
    <n v="2376.0922"/>
    <n v="1.17E-2"/>
    <n v="27.800278740000003"/>
  </r>
  <r>
    <x v="1"/>
    <x v="2111"/>
    <x v="2099"/>
    <x v="12"/>
    <x v="8"/>
    <n v="2376.0922"/>
    <n v="1.17E-2"/>
    <n v="27.800278740000003"/>
  </r>
  <r>
    <x v="0"/>
    <x v="2112"/>
    <x v="2100"/>
    <x v="12"/>
    <x v="7"/>
    <n v="123"/>
    <n v="2"/>
    <n v="246"/>
  </r>
  <r>
    <x v="0"/>
    <x v="2113"/>
    <x v="2101"/>
    <x v="0"/>
    <x v="11"/>
    <n v="21.52"/>
    <n v="1"/>
    <n v="21.52"/>
  </r>
  <r>
    <x v="0"/>
    <x v="2114"/>
    <x v="2102"/>
    <x v="14"/>
    <x v="6"/>
    <n v="0.105"/>
    <n v="4274"/>
    <n v="448.77"/>
  </r>
  <r>
    <x v="0"/>
    <x v="2115"/>
    <x v="2103"/>
    <x v="12"/>
    <x v="8"/>
    <n v="248.5301"/>
    <n v="0.6"/>
    <n v="149.11805999999999"/>
  </r>
  <r>
    <x v="0"/>
    <x v="2116"/>
    <x v="2104"/>
    <x v="12"/>
    <x v="0"/>
    <n v="286.15800000000002"/>
    <n v="16"/>
    <n v="4578.5280000000002"/>
  </r>
  <r>
    <x v="1"/>
    <x v="2116"/>
    <x v="2104"/>
    <x v="12"/>
    <x v="0"/>
    <n v="286.15800000000002"/>
    <n v="16"/>
    <n v="4578.5280000000002"/>
  </r>
  <r>
    <x v="0"/>
    <x v="2117"/>
    <x v="2105"/>
    <x v="14"/>
    <x v="6"/>
    <n v="0.13100000000000001"/>
    <n v="511"/>
    <n v="66.941000000000003"/>
  </r>
  <r>
    <x v="0"/>
    <x v="2118"/>
    <x v="2106"/>
    <x v="12"/>
    <x v="11"/>
    <n v="11.4183"/>
    <n v="27"/>
    <n v="308.29410000000001"/>
  </r>
  <r>
    <x v="0"/>
    <x v="2119"/>
    <x v="2107"/>
    <x v="12"/>
    <x v="6"/>
    <n v="0.98199999999999998"/>
    <n v="1135"/>
    <n v="1114.57"/>
  </r>
  <r>
    <x v="0"/>
    <x v="2120"/>
    <x v="2108"/>
    <x v="12"/>
    <x v="7"/>
    <n v="60.31"/>
    <n v="3.0000000000000001E-3"/>
    <n v="0.18093000000000001"/>
  </r>
  <r>
    <x v="0"/>
    <x v="2121"/>
    <x v="2109"/>
    <x v="14"/>
    <x v="6"/>
    <n v="6.4299999999999996E-2"/>
    <n v="1259"/>
    <n v="80.953699999999998"/>
  </r>
  <r>
    <x v="0"/>
    <x v="2122"/>
    <x v="2110"/>
    <x v="14"/>
    <x v="6"/>
    <n v="0.189"/>
    <n v="797"/>
    <n v="150.63300000000001"/>
  </r>
  <r>
    <x v="0"/>
    <x v="2123"/>
    <x v="2111"/>
    <x v="14"/>
    <x v="6"/>
    <n v="0.123"/>
    <n v="381"/>
    <n v="46.863"/>
  </r>
  <r>
    <x v="0"/>
    <x v="2124"/>
    <x v="2112"/>
    <x v="14"/>
    <x v="6"/>
    <n v="0.13700000000000001"/>
    <n v="744"/>
    <n v="101.92800000000001"/>
  </r>
  <r>
    <x v="0"/>
    <x v="2125"/>
    <x v="2113"/>
    <x v="14"/>
    <x v="6"/>
    <n v="0.1009"/>
    <n v="251"/>
    <n v="25.325900000000001"/>
  </r>
  <r>
    <x v="0"/>
    <x v="2126"/>
    <x v="2114"/>
    <x v="14"/>
    <x v="6"/>
    <n v="0.10299999999999999"/>
    <n v="627"/>
    <n v="64.581000000000003"/>
  </r>
  <r>
    <x v="0"/>
    <x v="2127"/>
    <x v="2115"/>
    <x v="14"/>
    <x v="6"/>
    <n v="8.8300000000000003E-2"/>
    <n v="1093"/>
    <n v="96.511899999999997"/>
  </r>
  <r>
    <x v="0"/>
    <x v="2128"/>
    <x v="2116"/>
    <x v="12"/>
    <x v="0"/>
    <n v="2040.29"/>
    <n v="0.99"/>
    <n v="2019.8870999999999"/>
  </r>
  <r>
    <x v="0"/>
    <x v="2129"/>
    <x v="2117"/>
    <x v="14"/>
    <x v="6"/>
    <n v="0.10199999999999999"/>
    <n v="654"/>
    <n v="66.707999999999998"/>
  </r>
  <r>
    <x v="0"/>
    <x v="2130"/>
    <x v="2118"/>
    <x v="14"/>
    <x v="6"/>
    <n v="0.2387"/>
    <n v="344"/>
    <n v="82.112799999999993"/>
  </r>
  <r>
    <x v="0"/>
    <x v="2131"/>
    <x v="2119"/>
    <x v="14"/>
    <x v="6"/>
    <n v="0.154"/>
    <n v="38"/>
    <n v="5.8520000000000003"/>
  </r>
  <r>
    <x v="0"/>
    <x v="2132"/>
    <x v="2120"/>
    <x v="14"/>
    <x v="6"/>
    <n v="0.254"/>
    <n v="604"/>
    <n v="153.416"/>
  </r>
  <r>
    <x v="0"/>
    <x v="2133"/>
    <x v="2121"/>
    <x v="14"/>
    <x v="6"/>
    <n v="4.8899999999999999E-2"/>
    <n v="1650"/>
    <n v="80.685000000000002"/>
  </r>
  <r>
    <x v="1"/>
    <x v="2134"/>
    <x v="2122"/>
    <x v="76"/>
    <x v="12"/>
    <n v="0.54310000000000003"/>
    <n v="3413"/>
    <n v="1853.6003000000001"/>
  </r>
  <r>
    <x v="0"/>
    <x v="2134"/>
    <x v="2122"/>
    <x v="76"/>
    <x v="12"/>
    <n v="0.54310000000000003"/>
    <n v="3413"/>
    <n v="1853.6003000000001"/>
  </r>
  <r>
    <x v="0"/>
    <x v="2135"/>
    <x v="2123"/>
    <x v="14"/>
    <x v="6"/>
    <n v="5.74E-2"/>
    <n v="1212"/>
    <n v="69.568799999999996"/>
  </r>
  <r>
    <x v="0"/>
    <x v="2136"/>
    <x v="2124"/>
    <x v="14"/>
    <x v="6"/>
    <n v="0.1198"/>
    <n v="1619"/>
    <n v="193.9562"/>
  </r>
  <r>
    <x v="0"/>
    <x v="2137"/>
    <x v="2125"/>
    <x v="62"/>
    <x v="8"/>
    <n v="2.0204"/>
    <n v="257"/>
    <n v="519.24279999999999"/>
  </r>
  <r>
    <x v="2"/>
    <x v="2137"/>
    <x v="2125"/>
    <x v="62"/>
    <x v="8"/>
    <n v="2.0204"/>
    <n v="257"/>
    <n v="519.24279999999999"/>
  </r>
  <r>
    <x v="0"/>
    <x v="2138"/>
    <x v="2126"/>
    <x v="14"/>
    <x v="6"/>
    <n v="0.17649999999999999"/>
    <n v="1101"/>
    <n v="194.32649999999998"/>
  </r>
  <r>
    <x v="0"/>
    <x v="2139"/>
    <x v="2127"/>
    <x v="14"/>
    <x v="10"/>
    <n v="0.68910000000000005"/>
    <n v="857"/>
    <n v="590.55870000000004"/>
  </r>
  <r>
    <x v="0"/>
    <x v="2140"/>
    <x v="2128"/>
    <x v="12"/>
    <x v="7"/>
    <n v="1.96"/>
    <n v="296"/>
    <n v="580.16"/>
  </r>
  <r>
    <x v="1"/>
    <x v="2141"/>
    <x v="2129"/>
    <x v="76"/>
    <x v="12"/>
    <n v="0.71"/>
    <n v="8397"/>
    <n v="5961.87"/>
  </r>
  <r>
    <x v="0"/>
    <x v="2141"/>
    <x v="2129"/>
    <x v="76"/>
    <x v="12"/>
    <n v="0.71"/>
    <n v="8397"/>
    <n v="5961.87"/>
  </r>
  <r>
    <x v="1"/>
    <x v="2142"/>
    <x v="2130"/>
    <x v="76"/>
    <x v="12"/>
    <n v="0.55000000000000004"/>
    <n v="480"/>
    <n v="264"/>
  </r>
  <r>
    <x v="0"/>
    <x v="2142"/>
    <x v="2130"/>
    <x v="76"/>
    <x v="12"/>
    <n v="0.55000000000000004"/>
    <n v="480"/>
    <n v="264"/>
  </r>
  <r>
    <x v="0"/>
    <x v="2143"/>
    <x v="2131"/>
    <x v="76"/>
    <x v="12"/>
    <n v="0.44"/>
    <n v="3"/>
    <n v="1.32"/>
  </r>
  <r>
    <x v="1"/>
    <x v="2143"/>
    <x v="2131"/>
    <x v="76"/>
    <x v="12"/>
    <n v="0.44"/>
    <n v="3"/>
    <n v="1.32"/>
  </r>
  <r>
    <x v="0"/>
    <x v="2144"/>
    <x v="2132"/>
    <x v="76"/>
    <x v="12"/>
    <n v="0.36"/>
    <n v="1947"/>
    <n v="700.92"/>
  </r>
  <r>
    <x v="1"/>
    <x v="2144"/>
    <x v="2132"/>
    <x v="76"/>
    <x v="12"/>
    <n v="0.36"/>
    <n v="1947"/>
    <n v="700.92"/>
  </r>
  <r>
    <x v="0"/>
    <x v="2145"/>
    <x v="2133"/>
    <x v="14"/>
    <x v="6"/>
    <n v="0.09"/>
    <n v="168"/>
    <n v="15.12"/>
  </r>
  <r>
    <x v="0"/>
    <x v="2146"/>
    <x v="2134"/>
    <x v="14"/>
    <x v="6"/>
    <n v="5.8599999999999999E-2"/>
    <n v="2171"/>
    <n v="127.2206"/>
  </r>
  <r>
    <x v="0"/>
    <x v="2147"/>
    <x v="2135"/>
    <x v="14"/>
    <x v="6"/>
    <n v="0.1"/>
    <n v="92"/>
    <n v="9.2000000000000011"/>
  </r>
  <r>
    <x v="0"/>
    <x v="2148"/>
    <x v="2136"/>
    <x v="14"/>
    <x v="6"/>
    <n v="0.1"/>
    <n v="561"/>
    <n v="56.1"/>
  </r>
  <r>
    <x v="0"/>
    <x v="2149"/>
    <x v="2137"/>
    <x v="14"/>
    <x v="6"/>
    <n v="0.24"/>
    <n v="1027"/>
    <n v="246.48"/>
  </r>
  <r>
    <x v="1"/>
    <x v="2150"/>
    <x v="2138"/>
    <x v="12"/>
    <x v="0"/>
    <n v="209.43520000000001"/>
    <n v="3"/>
    <n v="628.30560000000003"/>
  </r>
  <r>
    <x v="0"/>
    <x v="2150"/>
    <x v="2138"/>
    <x v="12"/>
    <x v="0"/>
    <n v="209.43520000000001"/>
    <n v="3"/>
    <n v="628.30560000000003"/>
  </r>
  <r>
    <x v="0"/>
    <x v="2151"/>
    <x v="2139"/>
    <x v="14"/>
    <x v="6"/>
    <n v="0.14149999999999999"/>
    <n v="579"/>
    <n v="81.928499999999985"/>
  </r>
  <r>
    <x v="0"/>
    <x v="2152"/>
    <x v="2140"/>
    <x v="12"/>
    <x v="6"/>
    <n v="0.78920000000000001"/>
    <n v="852"/>
    <n v="672.39840000000004"/>
  </r>
  <r>
    <x v="1"/>
    <x v="2153"/>
    <x v="2141"/>
    <x v="3"/>
    <x v="2"/>
    <n v="68"/>
    <n v="1"/>
    <n v="68"/>
  </r>
  <r>
    <x v="1"/>
    <x v="2154"/>
    <x v="2142"/>
    <x v="1"/>
    <x v="1"/>
    <n v="0.55800000000000005"/>
    <n v="10"/>
    <n v="5.58"/>
  </r>
  <r>
    <x v="1"/>
    <x v="2155"/>
    <x v="2143"/>
    <x v="3"/>
    <x v="2"/>
    <n v="1.6"/>
    <n v="6"/>
    <n v="9.6000000000000014"/>
  </r>
  <r>
    <x v="1"/>
    <x v="2156"/>
    <x v="2144"/>
    <x v="3"/>
    <x v="2"/>
    <n v="31.2"/>
    <n v="1"/>
    <n v="31.2"/>
  </r>
  <r>
    <x v="1"/>
    <x v="2157"/>
    <x v="2145"/>
    <x v="3"/>
    <x v="2"/>
    <n v="4.8"/>
    <n v="1"/>
    <n v="4.8"/>
  </r>
  <r>
    <x v="1"/>
    <x v="2158"/>
    <x v="2146"/>
    <x v="3"/>
    <x v="2"/>
    <n v="8.8000000000000007"/>
    <n v="1"/>
    <n v="8.8000000000000007"/>
  </r>
  <r>
    <x v="1"/>
    <x v="2159"/>
    <x v="2147"/>
    <x v="3"/>
    <x v="2"/>
    <n v="25.6"/>
    <n v="1"/>
    <n v="25.6"/>
  </r>
  <r>
    <x v="1"/>
    <x v="2160"/>
    <x v="2148"/>
    <x v="1"/>
    <x v="1"/>
    <n v="5.6"/>
    <n v="1"/>
    <n v="5.6"/>
  </r>
  <r>
    <x v="1"/>
    <x v="2161"/>
    <x v="2149"/>
    <x v="1"/>
    <x v="1"/>
    <n v="15.2"/>
    <n v="1"/>
    <n v="15.2"/>
  </r>
  <r>
    <x v="1"/>
    <x v="2162"/>
    <x v="2150"/>
    <x v="3"/>
    <x v="2"/>
    <n v="4.8"/>
    <n v="2"/>
    <n v="9.6"/>
  </r>
  <r>
    <x v="1"/>
    <x v="2163"/>
    <x v="2151"/>
    <x v="37"/>
    <x v="2"/>
    <n v="76.8"/>
    <n v="1"/>
    <n v="76.8"/>
  </r>
  <r>
    <x v="1"/>
    <x v="2164"/>
    <x v="2152"/>
    <x v="3"/>
    <x v="2"/>
    <n v="1.2"/>
    <n v="1"/>
    <n v="1.2"/>
  </r>
  <r>
    <x v="1"/>
    <x v="2165"/>
    <x v="2153"/>
    <x v="1"/>
    <x v="1"/>
    <n v="18.34"/>
    <n v="1"/>
    <n v="18.34"/>
  </r>
  <r>
    <x v="1"/>
    <x v="2166"/>
    <x v="2154"/>
    <x v="1"/>
    <x v="1"/>
    <n v="4.4000000000000004"/>
    <n v="2"/>
    <n v="8.8000000000000007"/>
  </r>
  <r>
    <x v="1"/>
    <x v="2167"/>
    <x v="2155"/>
    <x v="1"/>
    <x v="1"/>
    <n v="3.95"/>
    <n v="1"/>
    <n v="3.95"/>
  </r>
  <r>
    <x v="1"/>
    <x v="2168"/>
    <x v="2156"/>
    <x v="3"/>
    <x v="2"/>
    <n v="47.94"/>
    <n v="1"/>
    <n v="47.94"/>
  </r>
  <r>
    <x v="1"/>
    <x v="2169"/>
    <x v="2157"/>
    <x v="1"/>
    <x v="1"/>
    <n v="234"/>
    <n v="4"/>
    <n v="936"/>
  </r>
  <r>
    <x v="1"/>
    <x v="2170"/>
    <x v="2158"/>
    <x v="1"/>
    <x v="1"/>
    <n v="53.76"/>
    <n v="1"/>
    <n v="53.76"/>
  </r>
  <r>
    <x v="1"/>
    <x v="2171"/>
    <x v="2159"/>
    <x v="1"/>
    <x v="1"/>
    <n v="43.5"/>
    <n v="1"/>
    <n v="43.5"/>
  </r>
  <r>
    <x v="0"/>
    <x v="2172"/>
    <x v="2160"/>
    <x v="12"/>
    <x v="7"/>
    <n v="2.5632000000000001"/>
    <n v="8"/>
    <n v="20.505600000000001"/>
  </r>
  <r>
    <x v="1"/>
    <x v="2173"/>
    <x v="2161"/>
    <x v="1"/>
    <x v="1"/>
    <n v="0.05"/>
    <n v="6"/>
    <n v="0.30000000000000004"/>
  </r>
  <r>
    <x v="1"/>
    <x v="2174"/>
    <x v="2162"/>
    <x v="40"/>
    <x v="2"/>
    <n v="0.50449999999999995"/>
    <n v="3418"/>
    <n v="1724.3809999999999"/>
  </r>
  <r>
    <x v="2"/>
    <x v="2174"/>
    <x v="2162"/>
    <x v="40"/>
    <x v="2"/>
    <n v="0.50449999999999995"/>
    <n v="3418"/>
    <n v="1724.3809999999999"/>
  </r>
  <r>
    <x v="1"/>
    <x v="2175"/>
    <x v="2163"/>
    <x v="3"/>
    <x v="2"/>
    <n v="53.403799999999997"/>
    <n v="22"/>
    <n v="1174.8835999999999"/>
  </r>
  <r>
    <x v="2"/>
    <x v="2175"/>
    <x v="2163"/>
    <x v="3"/>
    <x v="2"/>
    <n v="53.403799999999997"/>
    <n v="22"/>
    <n v="1174.8835999999999"/>
  </r>
  <r>
    <x v="1"/>
    <x v="2176"/>
    <x v="2164"/>
    <x v="40"/>
    <x v="2"/>
    <n v="0.53180000000000005"/>
    <n v="302"/>
    <n v="160.60360000000003"/>
  </r>
  <r>
    <x v="2"/>
    <x v="2176"/>
    <x v="2164"/>
    <x v="40"/>
    <x v="2"/>
    <n v="0.53180000000000005"/>
    <n v="302"/>
    <n v="160.60360000000003"/>
  </r>
  <r>
    <x v="2"/>
    <x v="2177"/>
    <x v="2165"/>
    <x v="1"/>
    <x v="1"/>
    <n v="3.8740000000000001"/>
    <n v="18"/>
    <n v="69.731999999999999"/>
  </r>
  <r>
    <x v="1"/>
    <x v="2177"/>
    <x v="2165"/>
    <x v="1"/>
    <x v="1"/>
    <n v="3.8740000000000001"/>
    <n v="18"/>
    <n v="69.731999999999999"/>
  </r>
  <r>
    <x v="1"/>
    <x v="2178"/>
    <x v="2166"/>
    <x v="40"/>
    <x v="2"/>
    <n v="36.547400000000003"/>
    <n v="2"/>
    <n v="73.094800000000006"/>
  </r>
  <r>
    <x v="2"/>
    <x v="2178"/>
    <x v="2166"/>
    <x v="40"/>
    <x v="2"/>
    <n v="36.547400000000003"/>
    <n v="2"/>
    <n v="73.094800000000006"/>
  </r>
  <r>
    <x v="1"/>
    <x v="2179"/>
    <x v="2167"/>
    <x v="3"/>
    <x v="2"/>
    <n v="0.5"/>
    <n v="48"/>
    <n v="24"/>
  </r>
  <r>
    <x v="1"/>
    <x v="2180"/>
    <x v="2168"/>
    <x v="53"/>
    <x v="2"/>
    <n v="41.88"/>
    <n v="26"/>
    <n v="1088.8800000000001"/>
  </r>
  <r>
    <x v="2"/>
    <x v="2181"/>
    <x v="2169"/>
    <x v="15"/>
    <x v="3"/>
    <n v="343.28269999999998"/>
    <n v="1"/>
    <n v="343.28269999999998"/>
  </r>
  <r>
    <x v="1"/>
    <x v="2181"/>
    <x v="2169"/>
    <x v="15"/>
    <x v="3"/>
    <n v="343.28269999999998"/>
    <n v="1"/>
    <n v="343.28269999999998"/>
  </r>
  <r>
    <x v="1"/>
    <x v="2182"/>
    <x v="2170"/>
    <x v="3"/>
    <x v="2"/>
    <n v="2.0413000000000001"/>
    <n v="2"/>
    <n v="4.0826000000000002"/>
  </r>
  <r>
    <x v="2"/>
    <x v="2182"/>
    <x v="2170"/>
    <x v="3"/>
    <x v="2"/>
    <n v="2.0413000000000001"/>
    <n v="2"/>
    <n v="4.0826000000000002"/>
  </r>
  <r>
    <x v="1"/>
    <x v="2183"/>
    <x v="2171"/>
    <x v="3"/>
    <x v="2"/>
    <n v="2.0819999999999999"/>
    <n v="18"/>
    <n v="37.475999999999999"/>
  </r>
  <r>
    <x v="1"/>
    <x v="2184"/>
    <x v="2172"/>
    <x v="1"/>
    <x v="1"/>
    <n v="714.28499999999997"/>
    <n v="1"/>
    <n v="714.28499999999997"/>
  </r>
  <r>
    <x v="1"/>
    <x v="2185"/>
    <x v="2173"/>
    <x v="1"/>
    <x v="3"/>
    <n v="798.38300000000004"/>
    <n v="1"/>
    <n v="798.38300000000004"/>
  </r>
  <r>
    <x v="1"/>
    <x v="2186"/>
    <x v="2174"/>
    <x v="1"/>
    <x v="1"/>
    <n v="9"/>
    <n v="1"/>
    <n v="9"/>
  </r>
  <r>
    <x v="1"/>
    <x v="2187"/>
    <x v="2175"/>
    <x v="1"/>
    <x v="1"/>
    <n v="8.0749999999999993"/>
    <n v="3"/>
    <n v="24.224999999999998"/>
  </r>
  <r>
    <x v="1"/>
    <x v="2188"/>
    <x v="2176"/>
    <x v="1"/>
    <x v="1"/>
    <n v="15"/>
    <n v="2"/>
    <n v="30"/>
  </r>
  <r>
    <x v="1"/>
    <x v="2189"/>
    <x v="2177"/>
    <x v="1"/>
    <x v="1"/>
    <n v="0.5"/>
    <n v="1"/>
    <n v="0.5"/>
  </r>
  <r>
    <x v="1"/>
    <x v="2190"/>
    <x v="2178"/>
    <x v="1"/>
    <x v="1"/>
    <n v="100"/>
    <n v="1"/>
    <n v="100"/>
  </r>
  <r>
    <x v="1"/>
    <x v="2191"/>
    <x v="2179"/>
    <x v="1"/>
    <x v="1"/>
    <n v="40"/>
    <n v="1"/>
    <n v="40"/>
  </r>
  <r>
    <x v="1"/>
    <x v="2192"/>
    <x v="2180"/>
    <x v="1"/>
    <x v="1"/>
    <n v="6"/>
    <n v="1"/>
    <n v="6"/>
  </r>
  <r>
    <x v="1"/>
    <x v="2193"/>
    <x v="2181"/>
    <x v="1"/>
    <x v="1"/>
    <n v="3.5"/>
    <n v="1"/>
    <n v="3.5"/>
  </r>
  <r>
    <x v="1"/>
    <x v="2194"/>
    <x v="2182"/>
    <x v="1"/>
    <x v="1"/>
    <n v="0"/>
    <n v="1"/>
    <n v="0"/>
  </r>
  <r>
    <x v="1"/>
    <x v="2195"/>
    <x v="2183"/>
    <x v="1"/>
    <x v="1"/>
    <n v="3.7440000000000002"/>
    <n v="4"/>
    <n v="14.976000000000001"/>
  </r>
  <r>
    <x v="1"/>
    <x v="2196"/>
    <x v="2184"/>
    <x v="1"/>
    <x v="1"/>
    <n v="2.99"/>
    <n v="3"/>
    <n v="8.9700000000000006"/>
  </r>
  <r>
    <x v="1"/>
    <x v="2197"/>
    <x v="2185"/>
    <x v="1"/>
    <x v="1"/>
    <n v="135.44999999999999"/>
    <n v="1"/>
    <n v="135.44999999999999"/>
  </r>
  <r>
    <x v="1"/>
    <x v="2198"/>
    <x v="2186"/>
    <x v="1"/>
    <x v="1"/>
    <n v="400"/>
    <n v="1"/>
    <n v="400"/>
  </r>
  <r>
    <x v="1"/>
    <x v="2199"/>
    <x v="2187"/>
    <x v="5"/>
    <x v="3"/>
    <n v="408.07889999999998"/>
    <n v="1"/>
    <n v="408.07889999999998"/>
  </r>
  <r>
    <x v="2"/>
    <x v="2199"/>
    <x v="2187"/>
    <x v="5"/>
    <x v="3"/>
    <n v="408.07889999999998"/>
    <n v="1"/>
    <n v="408.07889999999998"/>
  </r>
  <r>
    <x v="1"/>
    <x v="2200"/>
    <x v="2188"/>
    <x v="1"/>
    <x v="1"/>
    <n v="0"/>
    <n v="1"/>
    <n v="0"/>
  </r>
  <r>
    <x v="1"/>
    <x v="2201"/>
    <x v="2189"/>
    <x v="16"/>
    <x v="3"/>
    <n v="843.47370000000001"/>
    <n v="1"/>
    <n v="843.47370000000001"/>
  </r>
  <r>
    <x v="2"/>
    <x v="2201"/>
    <x v="2189"/>
    <x v="16"/>
    <x v="3"/>
    <n v="843.47370000000001"/>
    <n v="1"/>
    <n v="843.47370000000001"/>
  </r>
  <r>
    <x v="1"/>
    <x v="2202"/>
    <x v="2190"/>
    <x v="26"/>
    <x v="3"/>
    <n v="780.58720000000005"/>
    <n v="4"/>
    <n v="3122.3488000000002"/>
  </r>
  <r>
    <x v="2"/>
    <x v="2202"/>
    <x v="2190"/>
    <x v="26"/>
    <x v="3"/>
    <n v="780.58720000000005"/>
    <n v="4"/>
    <n v="3122.3488000000002"/>
  </r>
  <r>
    <x v="1"/>
    <x v="2203"/>
    <x v="2191"/>
    <x v="28"/>
    <x v="3"/>
    <n v="25.631599999999999"/>
    <n v="2"/>
    <n v="51.263199999999998"/>
  </r>
  <r>
    <x v="2"/>
    <x v="2203"/>
    <x v="2191"/>
    <x v="28"/>
    <x v="3"/>
    <n v="25.631599999999999"/>
    <n v="2"/>
    <n v="51.263199999999998"/>
  </r>
  <r>
    <x v="1"/>
    <x v="2204"/>
    <x v="2192"/>
    <x v="26"/>
    <x v="3"/>
    <n v="428.02839999999998"/>
    <n v="5"/>
    <n v="2140.1419999999998"/>
  </r>
  <r>
    <x v="2"/>
    <x v="2204"/>
    <x v="2192"/>
    <x v="26"/>
    <x v="3"/>
    <n v="428.02839999999998"/>
    <n v="5"/>
    <n v="2140.1419999999998"/>
  </r>
  <r>
    <x v="1"/>
    <x v="2205"/>
    <x v="2193"/>
    <x v="26"/>
    <x v="3"/>
    <n v="230.34809999999999"/>
    <n v="6"/>
    <n v="1382.0886"/>
  </r>
  <r>
    <x v="2"/>
    <x v="2205"/>
    <x v="2193"/>
    <x v="26"/>
    <x v="3"/>
    <n v="230.34809999999999"/>
    <n v="6"/>
    <n v="1382.0886"/>
  </r>
  <r>
    <x v="0"/>
    <x v="2205"/>
    <x v="2193"/>
    <x v="26"/>
    <x v="3"/>
    <n v="230.34809999999999"/>
    <n v="6"/>
    <n v="1382.0886"/>
  </r>
  <r>
    <x v="1"/>
    <x v="2206"/>
    <x v="2194"/>
    <x v="70"/>
    <x v="3"/>
    <n v="1033.4955"/>
    <n v="3"/>
    <n v="3100.4865"/>
  </r>
  <r>
    <x v="2"/>
    <x v="2206"/>
    <x v="2194"/>
    <x v="70"/>
    <x v="3"/>
    <n v="1033.4955"/>
    <n v="3"/>
    <n v="3100.4865"/>
  </r>
  <r>
    <x v="1"/>
    <x v="2207"/>
    <x v="2195"/>
    <x v="1"/>
    <x v="1"/>
    <n v="100"/>
    <n v="1"/>
    <n v="100"/>
  </r>
  <r>
    <x v="1"/>
    <x v="2208"/>
    <x v="2196"/>
    <x v="1"/>
    <x v="1"/>
    <n v="60"/>
    <n v="2"/>
    <n v="120"/>
  </r>
  <r>
    <x v="1"/>
    <x v="2209"/>
    <x v="2197"/>
    <x v="1"/>
    <x v="1"/>
    <n v="50"/>
    <n v="1"/>
    <n v="50"/>
  </r>
  <r>
    <x v="1"/>
    <x v="2210"/>
    <x v="2198"/>
    <x v="1"/>
    <x v="1"/>
    <n v="100"/>
    <n v="1"/>
    <n v="100"/>
  </r>
  <r>
    <x v="1"/>
    <x v="2211"/>
    <x v="2199"/>
    <x v="1"/>
    <x v="3"/>
    <n v="0"/>
    <n v="11"/>
    <n v="0"/>
  </r>
  <r>
    <x v="2"/>
    <x v="2212"/>
    <x v="2200"/>
    <x v="5"/>
    <x v="3"/>
    <n v="9.2104999999999997"/>
    <n v="3"/>
    <n v="27.631499999999999"/>
  </r>
  <r>
    <x v="1"/>
    <x v="2212"/>
    <x v="2200"/>
    <x v="5"/>
    <x v="3"/>
    <n v="9.2104999999999997"/>
    <n v="3"/>
    <n v="27.631499999999999"/>
  </r>
  <r>
    <x v="2"/>
    <x v="2213"/>
    <x v="2201"/>
    <x v="34"/>
    <x v="2"/>
    <n v="30.518000000000001"/>
    <n v="16"/>
    <n v="488.28800000000001"/>
  </r>
  <r>
    <x v="0"/>
    <x v="2213"/>
    <x v="2201"/>
    <x v="34"/>
    <x v="2"/>
    <n v="30.518000000000001"/>
    <n v="16"/>
    <n v="488.28800000000001"/>
  </r>
  <r>
    <x v="1"/>
    <x v="2213"/>
    <x v="2201"/>
    <x v="34"/>
    <x v="2"/>
    <n v="30.518000000000001"/>
    <n v="16"/>
    <n v="488.28800000000001"/>
  </r>
  <r>
    <x v="1"/>
    <x v="2214"/>
    <x v="2202"/>
    <x v="1"/>
    <x v="1"/>
    <n v="1.4359999999999999"/>
    <n v="260"/>
    <n v="373.36"/>
  </r>
  <r>
    <x v="1"/>
    <x v="2215"/>
    <x v="2203"/>
    <x v="1"/>
    <x v="1"/>
    <n v="3.976"/>
    <n v="130"/>
    <n v="516.88"/>
  </r>
  <r>
    <x v="1"/>
    <x v="2216"/>
    <x v="2204"/>
    <x v="1"/>
    <x v="1"/>
    <n v="4.2859999999999996"/>
    <n v="30"/>
    <n v="128.57999999999998"/>
  </r>
  <r>
    <x v="1"/>
    <x v="2217"/>
    <x v="2205"/>
    <x v="1"/>
    <x v="1"/>
    <n v="0"/>
    <n v="3"/>
    <n v="0"/>
  </r>
  <r>
    <x v="1"/>
    <x v="2218"/>
    <x v="2206"/>
    <x v="77"/>
    <x v="3"/>
    <n v="40"/>
    <n v="7"/>
    <n v="280"/>
  </r>
  <r>
    <x v="1"/>
    <x v="2219"/>
    <x v="2207"/>
    <x v="1"/>
    <x v="1"/>
    <n v="50"/>
    <n v="1"/>
    <n v="50"/>
  </r>
  <r>
    <x v="2"/>
    <x v="2220"/>
    <x v="2208"/>
    <x v="28"/>
    <x v="3"/>
    <n v="25.263200000000001"/>
    <n v="2"/>
    <n v="50.526400000000002"/>
  </r>
  <r>
    <x v="1"/>
    <x v="2220"/>
    <x v="2208"/>
    <x v="28"/>
    <x v="3"/>
    <n v="25.263200000000001"/>
    <n v="2"/>
    <n v="50.526400000000002"/>
  </r>
  <r>
    <x v="1"/>
    <x v="2221"/>
    <x v="2209"/>
    <x v="74"/>
    <x v="3"/>
    <n v="453.54109999999997"/>
    <n v="1"/>
    <n v="453.54109999999997"/>
  </r>
  <r>
    <x v="2"/>
    <x v="2221"/>
    <x v="2209"/>
    <x v="74"/>
    <x v="3"/>
    <n v="453.54109999999997"/>
    <n v="1"/>
    <n v="453.54109999999997"/>
  </r>
  <r>
    <x v="1"/>
    <x v="2222"/>
    <x v="2210"/>
    <x v="68"/>
    <x v="3"/>
    <n v="14.523400000000001"/>
    <n v="9"/>
    <n v="130.7106"/>
  </r>
  <r>
    <x v="2"/>
    <x v="2222"/>
    <x v="2210"/>
    <x v="68"/>
    <x v="3"/>
    <n v="14.523400000000001"/>
    <n v="9"/>
    <n v="130.7106"/>
  </r>
  <r>
    <x v="1"/>
    <x v="2223"/>
    <x v="2211"/>
    <x v="1"/>
    <x v="1"/>
    <n v="95.004999999999995"/>
    <n v="2"/>
    <n v="190.01"/>
  </r>
  <r>
    <x v="1"/>
    <x v="2224"/>
    <x v="2212"/>
    <x v="1"/>
    <x v="1"/>
    <n v="93.984700000000004"/>
    <n v="2"/>
    <n v="187.96940000000001"/>
  </r>
  <r>
    <x v="2"/>
    <x v="2224"/>
    <x v="2212"/>
    <x v="1"/>
    <x v="1"/>
    <n v="93.984700000000004"/>
    <n v="2"/>
    <n v="187.96940000000001"/>
  </r>
  <r>
    <x v="1"/>
    <x v="2225"/>
    <x v="2213"/>
    <x v="1"/>
    <x v="1"/>
    <n v="362.03"/>
    <n v="1"/>
    <n v="362.03"/>
  </r>
  <r>
    <x v="1"/>
    <x v="2226"/>
    <x v="2214"/>
    <x v="1"/>
    <x v="1"/>
    <n v="5.5"/>
    <n v="1"/>
    <n v="5.5"/>
  </r>
  <r>
    <x v="1"/>
    <x v="2227"/>
    <x v="2215"/>
    <x v="28"/>
    <x v="3"/>
    <n v="38.232599999999998"/>
    <n v="2"/>
    <n v="76.465199999999996"/>
  </r>
  <r>
    <x v="2"/>
    <x v="2227"/>
    <x v="2215"/>
    <x v="28"/>
    <x v="3"/>
    <n v="38.232599999999998"/>
    <n v="2"/>
    <n v="76.465199999999996"/>
  </r>
  <r>
    <x v="2"/>
    <x v="2228"/>
    <x v="2216"/>
    <x v="28"/>
    <x v="3"/>
    <n v="19.6492"/>
    <n v="5"/>
    <n v="98.246000000000009"/>
  </r>
  <r>
    <x v="1"/>
    <x v="2228"/>
    <x v="2216"/>
    <x v="28"/>
    <x v="3"/>
    <n v="19.6492"/>
    <n v="5"/>
    <n v="98.246000000000009"/>
  </r>
  <r>
    <x v="1"/>
    <x v="2229"/>
    <x v="2217"/>
    <x v="1"/>
    <x v="3"/>
    <n v="40"/>
    <n v="1"/>
    <n v="40"/>
  </r>
  <r>
    <x v="1"/>
    <x v="2230"/>
    <x v="2218"/>
    <x v="66"/>
    <x v="3"/>
    <n v="14.6089"/>
    <n v="7"/>
    <n v="102.2623"/>
  </r>
  <r>
    <x v="2"/>
    <x v="2230"/>
    <x v="2218"/>
    <x v="66"/>
    <x v="3"/>
    <n v="14.6089"/>
    <n v="7"/>
    <n v="102.2623"/>
  </r>
  <r>
    <x v="1"/>
    <x v="2231"/>
    <x v="2219"/>
    <x v="78"/>
    <x v="3"/>
    <n v="24.657900000000001"/>
    <n v="6"/>
    <n v="147.94740000000002"/>
  </r>
  <r>
    <x v="2"/>
    <x v="2231"/>
    <x v="2219"/>
    <x v="78"/>
    <x v="3"/>
    <n v="24.657900000000001"/>
    <n v="6"/>
    <n v="147.94740000000002"/>
  </r>
  <r>
    <x v="1"/>
    <x v="2232"/>
    <x v="2220"/>
    <x v="28"/>
    <x v="3"/>
    <n v="32.815800000000003"/>
    <n v="3"/>
    <n v="98.447400000000016"/>
  </r>
  <r>
    <x v="2"/>
    <x v="2232"/>
    <x v="2220"/>
    <x v="28"/>
    <x v="3"/>
    <n v="32.815800000000003"/>
    <n v="3"/>
    <n v="98.447400000000016"/>
  </r>
  <r>
    <x v="2"/>
    <x v="2233"/>
    <x v="2221"/>
    <x v="15"/>
    <x v="3"/>
    <n v="70.490499999999997"/>
    <n v="1"/>
    <n v="70.490499999999997"/>
  </r>
  <r>
    <x v="1"/>
    <x v="2233"/>
    <x v="2221"/>
    <x v="15"/>
    <x v="3"/>
    <n v="70.490499999999997"/>
    <n v="1"/>
    <n v="70.490499999999997"/>
  </r>
  <r>
    <x v="1"/>
    <x v="2234"/>
    <x v="2222"/>
    <x v="15"/>
    <x v="3"/>
    <n v="215.81049999999999"/>
    <n v="1"/>
    <n v="215.81049999999999"/>
  </r>
  <r>
    <x v="2"/>
    <x v="2234"/>
    <x v="2222"/>
    <x v="15"/>
    <x v="3"/>
    <n v="215.81049999999999"/>
    <n v="1"/>
    <n v="215.81049999999999"/>
  </r>
  <r>
    <x v="1"/>
    <x v="2235"/>
    <x v="2223"/>
    <x v="1"/>
    <x v="1"/>
    <n v="0.13400000000000001"/>
    <n v="3"/>
    <n v="0.40200000000000002"/>
  </r>
  <r>
    <x v="1"/>
    <x v="2236"/>
    <x v="2224"/>
    <x v="1"/>
    <x v="1"/>
    <n v="2"/>
    <n v="1"/>
    <n v="2"/>
  </r>
  <r>
    <x v="1"/>
    <x v="2237"/>
    <x v="2225"/>
    <x v="28"/>
    <x v="3"/>
    <n v="25.263200000000001"/>
    <n v="9"/>
    <n v="227.36880000000002"/>
  </r>
  <r>
    <x v="2"/>
    <x v="2237"/>
    <x v="2225"/>
    <x v="28"/>
    <x v="3"/>
    <n v="25.263200000000001"/>
    <n v="9"/>
    <n v="227.36880000000002"/>
  </r>
  <r>
    <x v="2"/>
    <x v="2238"/>
    <x v="2226"/>
    <x v="28"/>
    <x v="3"/>
    <n v="17.777799999999999"/>
    <n v="10"/>
    <n v="177.77799999999999"/>
  </r>
  <r>
    <x v="0"/>
    <x v="2238"/>
    <x v="2226"/>
    <x v="28"/>
    <x v="3"/>
    <n v="17.777799999999999"/>
    <n v="10"/>
    <n v="177.77799999999999"/>
  </r>
  <r>
    <x v="1"/>
    <x v="2238"/>
    <x v="2226"/>
    <x v="28"/>
    <x v="3"/>
    <n v="17.777799999999999"/>
    <n v="10"/>
    <n v="177.77799999999999"/>
  </r>
  <r>
    <x v="1"/>
    <x v="2239"/>
    <x v="2227"/>
    <x v="28"/>
    <x v="3"/>
    <n v="19.017499999999998"/>
    <n v="10"/>
    <n v="190.17499999999998"/>
  </r>
  <r>
    <x v="2"/>
    <x v="2239"/>
    <x v="2227"/>
    <x v="28"/>
    <x v="3"/>
    <n v="19.017499999999998"/>
    <n v="10"/>
    <n v="190.17499999999998"/>
  </r>
  <r>
    <x v="1"/>
    <x v="2240"/>
    <x v="2228"/>
    <x v="1"/>
    <x v="1"/>
    <n v="0.89300000000000002"/>
    <n v="6"/>
    <n v="5.3580000000000005"/>
  </r>
  <r>
    <x v="2"/>
    <x v="2241"/>
    <x v="2229"/>
    <x v="3"/>
    <x v="2"/>
    <n v="1.4516"/>
    <n v="32"/>
    <n v="46.4512"/>
  </r>
  <r>
    <x v="1"/>
    <x v="2241"/>
    <x v="2229"/>
    <x v="3"/>
    <x v="2"/>
    <n v="1.4516"/>
    <n v="32"/>
    <n v="46.4512"/>
  </r>
  <r>
    <x v="1"/>
    <x v="2242"/>
    <x v="2230"/>
    <x v="35"/>
    <x v="2"/>
    <n v="1.43"/>
    <n v="15"/>
    <n v="21.45"/>
  </r>
  <r>
    <x v="1"/>
    <x v="2243"/>
    <x v="2231"/>
    <x v="1"/>
    <x v="1"/>
    <n v="132.52000000000001"/>
    <n v="1"/>
    <n v="132.52000000000001"/>
  </r>
  <r>
    <x v="1"/>
    <x v="2244"/>
    <x v="2232"/>
    <x v="1"/>
    <x v="1"/>
    <n v="6.48"/>
    <n v="1"/>
    <n v="6.48"/>
  </r>
  <r>
    <x v="1"/>
    <x v="2245"/>
    <x v="2233"/>
    <x v="28"/>
    <x v="3"/>
    <n v="22.222200000000001"/>
    <n v="2"/>
    <n v="44.444400000000002"/>
  </r>
  <r>
    <x v="1"/>
    <x v="2246"/>
    <x v="2234"/>
    <x v="1"/>
    <x v="1"/>
    <n v="16.829999999999998"/>
    <n v="1"/>
    <n v="16.829999999999998"/>
  </r>
  <r>
    <x v="1"/>
    <x v="2247"/>
    <x v="2235"/>
    <x v="1"/>
    <x v="1"/>
    <n v="76.150000000000006"/>
    <n v="1"/>
    <n v="76.150000000000006"/>
  </r>
  <r>
    <x v="1"/>
    <x v="2248"/>
    <x v="2236"/>
    <x v="34"/>
    <x v="2"/>
    <n v="5.53"/>
    <n v="1"/>
    <n v="5.53"/>
  </r>
  <r>
    <x v="2"/>
    <x v="2249"/>
    <x v="2237"/>
    <x v="62"/>
    <x v="7"/>
    <n v="4.1188000000000002"/>
    <n v="205"/>
    <n v="844.35400000000004"/>
  </r>
  <r>
    <x v="0"/>
    <x v="2249"/>
    <x v="2237"/>
    <x v="62"/>
    <x v="7"/>
    <n v="4.1188000000000002"/>
    <n v="205"/>
    <n v="844.35400000000004"/>
  </r>
  <r>
    <x v="2"/>
    <x v="2250"/>
    <x v="2238"/>
    <x v="34"/>
    <x v="2"/>
    <n v="3.0640999999999998"/>
    <n v="109"/>
    <n v="333.98689999999999"/>
  </r>
  <r>
    <x v="1"/>
    <x v="2250"/>
    <x v="2238"/>
    <x v="34"/>
    <x v="2"/>
    <n v="3.0640999999999998"/>
    <n v="109"/>
    <n v="333.98689999999999"/>
  </r>
  <r>
    <x v="2"/>
    <x v="2251"/>
    <x v="2239"/>
    <x v="15"/>
    <x v="3"/>
    <n v="675.47320000000002"/>
    <n v="2"/>
    <n v="1350.9464"/>
  </r>
  <r>
    <x v="1"/>
    <x v="2251"/>
    <x v="2239"/>
    <x v="15"/>
    <x v="3"/>
    <n v="675.47320000000002"/>
    <n v="2"/>
    <n v="1350.9464"/>
  </r>
  <r>
    <x v="1"/>
    <x v="2252"/>
    <x v="2240"/>
    <x v="16"/>
    <x v="3"/>
    <n v="16.688800000000001"/>
    <n v="1"/>
    <n v="16.688800000000001"/>
  </r>
  <r>
    <x v="2"/>
    <x v="2252"/>
    <x v="2240"/>
    <x v="16"/>
    <x v="3"/>
    <n v="16.688800000000001"/>
    <n v="1"/>
    <n v="16.688800000000001"/>
  </r>
  <r>
    <x v="1"/>
    <x v="2253"/>
    <x v="2241"/>
    <x v="26"/>
    <x v="3"/>
    <n v="20.2667"/>
    <n v="1"/>
    <n v="20.2667"/>
  </r>
  <r>
    <x v="2"/>
    <x v="2253"/>
    <x v="2241"/>
    <x v="26"/>
    <x v="3"/>
    <n v="20.2667"/>
    <n v="1"/>
    <n v="20.2667"/>
  </r>
  <r>
    <x v="1"/>
    <x v="2254"/>
    <x v="2242"/>
    <x v="26"/>
    <x v="3"/>
    <n v="13.303599999999999"/>
    <n v="1"/>
    <n v="13.303599999999999"/>
  </r>
  <r>
    <x v="2"/>
    <x v="2254"/>
    <x v="2242"/>
    <x v="26"/>
    <x v="3"/>
    <n v="13.303599999999999"/>
    <n v="1"/>
    <n v="13.303599999999999"/>
  </r>
  <r>
    <x v="1"/>
    <x v="2255"/>
    <x v="2243"/>
    <x v="35"/>
    <x v="2"/>
    <n v="0.33400000000000002"/>
    <n v="4006"/>
    <n v="1338.0040000000001"/>
  </r>
  <r>
    <x v="2"/>
    <x v="2255"/>
    <x v="2243"/>
    <x v="35"/>
    <x v="2"/>
    <n v="0.33400000000000002"/>
    <n v="4006"/>
    <n v="1338.0040000000001"/>
  </r>
  <r>
    <x v="1"/>
    <x v="2256"/>
    <x v="2244"/>
    <x v="1"/>
    <x v="1"/>
    <n v="45.67"/>
    <n v="1"/>
    <n v="45.67"/>
  </r>
  <r>
    <x v="1"/>
    <x v="2257"/>
    <x v="2245"/>
    <x v="1"/>
    <x v="1"/>
    <n v="19.63"/>
    <n v="1"/>
    <n v="19.63"/>
  </r>
  <r>
    <x v="1"/>
    <x v="2258"/>
    <x v="2246"/>
    <x v="1"/>
    <x v="1"/>
    <n v="147.773"/>
    <n v="1"/>
    <n v="147.773"/>
  </r>
  <r>
    <x v="1"/>
    <x v="2259"/>
    <x v="2247"/>
    <x v="1"/>
    <x v="1"/>
    <n v="19.63"/>
    <n v="1"/>
    <n v="19.63"/>
  </r>
  <r>
    <x v="1"/>
    <x v="2260"/>
    <x v="2248"/>
    <x v="1"/>
    <x v="1"/>
    <n v="40"/>
    <n v="1"/>
    <n v="40"/>
  </r>
  <r>
    <x v="1"/>
    <x v="2261"/>
    <x v="2249"/>
    <x v="34"/>
    <x v="2"/>
    <n v="6.0926"/>
    <n v="2"/>
    <n v="12.1852"/>
  </r>
  <r>
    <x v="2"/>
    <x v="2261"/>
    <x v="2249"/>
    <x v="34"/>
    <x v="2"/>
    <n v="6.0926"/>
    <n v="2"/>
    <n v="12.1852"/>
  </r>
  <r>
    <x v="1"/>
    <x v="2262"/>
    <x v="2250"/>
    <x v="1"/>
    <x v="1"/>
    <n v="39.462000000000003"/>
    <n v="2"/>
    <n v="78.924000000000007"/>
  </r>
  <r>
    <x v="0"/>
    <x v="2263"/>
    <x v="2251"/>
    <x v="28"/>
    <x v="3"/>
    <n v="16.507999999999999"/>
    <n v="34"/>
    <n v="561.27199999999993"/>
  </r>
  <r>
    <x v="1"/>
    <x v="2263"/>
    <x v="2251"/>
    <x v="28"/>
    <x v="3"/>
    <n v="16.507999999999999"/>
    <n v="34"/>
    <n v="561.27199999999993"/>
  </r>
  <r>
    <x v="2"/>
    <x v="2263"/>
    <x v="2251"/>
    <x v="28"/>
    <x v="3"/>
    <n v="16.507999999999999"/>
    <n v="34"/>
    <n v="561.27199999999993"/>
  </r>
  <r>
    <x v="1"/>
    <x v="2264"/>
    <x v="2252"/>
    <x v="1"/>
    <x v="1"/>
    <n v="6.6618000000000004"/>
    <n v="2"/>
    <n v="13.323600000000001"/>
  </r>
  <r>
    <x v="2"/>
    <x v="2264"/>
    <x v="2252"/>
    <x v="1"/>
    <x v="1"/>
    <n v="6.6618000000000004"/>
    <n v="2"/>
    <n v="13.323600000000001"/>
  </r>
  <r>
    <x v="1"/>
    <x v="2265"/>
    <x v="2253"/>
    <x v="1"/>
    <x v="1"/>
    <n v="10.68"/>
    <n v="1"/>
    <n v="10.68"/>
  </r>
  <r>
    <x v="1"/>
    <x v="2266"/>
    <x v="2254"/>
    <x v="1"/>
    <x v="1"/>
    <n v="1.84"/>
    <n v="1"/>
    <n v="1.84"/>
  </r>
  <r>
    <x v="1"/>
    <x v="2267"/>
    <x v="2255"/>
    <x v="1"/>
    <x v="1"/>
    <n v="18.850000000000001"/>
    <n v="1"/>
    <n v="18.850000000000001"/>
  </r>
  <r>
    <x v="1"/>
    <x v="2268"/>
    <x v="2256"/>
    <x v="1"/>
    <x v="1"/>
    <n v="2.5499999999999998"/>
    <n v="565"/>
    <n v="1440.75"/>
  </r>
  <r>
    <x v="1"/>
    <x v="2269"/>
    <x v="2257"/>
    <x v="1"/>
    <x v="1"/>
    <n v="336.61"/>
    <n v="1"/>
    <n v="336.61"/>
  </r>
  <r>
    <x v="1"/>
    <x v="2270"/>
    <x v="2258"/>
    <x v="79"/>
    <x v="1"/>
    <n v="3.4180000000000001"/>
    <n v="1"/>
    <n v="3.4180000000000001"/>
  </r>
  <r>
    <x v="1"/>
    <x v="2271"/>
    <x v="2259"/>
    <x v="1"/>
    <x v="1"/>
    <n v="9"/>
    <n v="1"/>
    <n v="9"/>
  </r>
  <r>
    <x v="1"/>
    <x v="2272"/>
    <x v="2260"/>
    <x v="1"/>
    <x v="3"/>
    <n v="4"/>
    <n v="1"/>
    <n v="4"/>
  </r>
  <r>
    <x v="1"/>
    <x v="2273"/>
    <x v="2261"/>
    <x v="1"/>
    <x v="3"/>
    <n v="4"/>
    <n v="1"/>
    <n v="4"/>
  </r>
  <r>
    <x v="1"/>
    <x v="2274"/>
    <x v="2262"/>
    <x v="1"/>
    <x v="3"/>
    <n v="4"/>
    <n v="1"/>
    <n v="4"/>
  </r>
  <r>
    <x v="1"/>
    <x v="2275"/>
    <x v="2263"/>
    <x v="1"/>
    <x v="3"/>
    <n v="4"/>
    <n v="1"/>
    <n v="4"/>
  </r>
  <r>
    <x v="0"/>
    <x v="2276"/>
    <x v="2264"/>
    <x v="67"/>
    <x v="3"/>
    <n v="0.95050000000000001"/>
    <n v="12"/>
    <n v="11.406000000000001"/>
  </r>
  <r>
    <x v="1"/>
    <x v="2276"/>
    <x v="2264"/>
    <x v="67"/>
    <x v="3"/>
    <n v="0.95050000000000001"/>
    <n v="12"/>
    <n v="11.406000000000001"/>
  </r>
  <r>
    <x v="2"/>
    <x v="2276"/>
    <x v="2264"/>
    <x v="67"/>
    <x v="3"/>
    <n v="0.95050000000000001"/>
    <n v="12"/>
    <n v="11.406000000000001"/>
  </r>
  <r>
    <x v="1"/>
    <x v="2277"/>
    <x v="2265"/>
    <x v="1"/>
    <x v="3"/>
    <n v="4"/>
    <n v="1"/>
    <n v="4"/>
  </r>
  <r>
    <x v="1"/>
    <x v="2278"/>
    <x v="2266"/>
    <x v="1"/>
    <x v="3"/>
    <n v="4"/>
    <n v="1"/>
    <n v="4"/>
  </r>
  <r>
    <x v="1"/>
    <x v="2279"/>
    <x v="2267"/>
    <x v="1"/>
    <x v="3"/>
    <n v="4"/>
    <n v="1"/>
    <n v="4"/>
  </r>
  <r>
    <x v="1"/>
    <x v="2280"/>
    <x v="2268"/>
    <x v="1"/>
    <x v="1"/>
    <n v="0"/>
    <n v="1"/>
    <n v="0"/>
  </r>
  <r>
    <x v="1"/>
    <x v="2281"/>
    <x v="2269"/>
    <x v="67"/>
    <x v="3"/>
    <n v="1.8385"/>
    <n v="17"/>
    <n v="31.2545"/>
  </r>
  <r>
    <x v="2"/>
    <x v="2281"/>
    <x v="2269"/>
    <x v="67"/>
    <x v="3"/>
    <n v="1.8385"/>
    <n v="17"/>
    <n v="31.2545"/>
  </r>
  <r>
    <x v="1"/>
    <x v="2282"/>
    <x v="2270"/>
    <x v="1"/>
    <x v="3"/>
    <n v="7"/>
    <n v="1"/>
    <n v="7"/>
  </r>
  <r>
    <x v="1"/>
    <x v="2283"/>
    <x v="2271"/>
    <x v="1"/>
    <x v="3"/>
    <n v="8"/>
    <n v="3"/>
    <n v="24"/>
  </r>
  <r>
    <x v="1"/>
    <x v="2284"/>
    <x v="2272"/>
    <x v="1"/>
    <x v="3"/>
    <n v="8"/>
    <n v="1"/>
    <n v="8"/>
  </r>
  <r>
    <x v="1"/>
    <x v="2285"/>
    <x v="2273"/>
    <x v="1"/>
    <x v="3"/>
    <n v="8"/>
    <n v="1"/>
    <n v="8"/>
  </r>
  <r>
    <x v="1"/>
    <x v="2286"/>
    <x v="2274"/>
    <x v="67"/>
    <x v="3"/>
    <n v="2.9963000000000002"/>
    <n v="29"/>
    <n v="86.892700000000005"/>
  </r>
  <r>
    <x v="2"/>
    <x v="2286"/>
    <x v="2274"/>
    <x v="67"/>
    <x v="3"/>
    <n v="2.9963000000000002"/>
    <n v="29"/>
    <n v="86.892700000000005"/>
  </r>
  <r>
    <x v="1"/>
    <x v="2287"/>
    <x v="2275"/>
    <x v="1"/>
    <x v="3"/>
    <n v="8"/>
    <n v="1"/>
    <n v="8"/>
  </r>
  <r>
    <x v="1"/>
    <x v="2288"/>
    <x v="2276"/>
    <x v="1"/>
    <x v="3"/>
    <n v="10"/>
    <n v="4"/>
    <n v="40"/>
  </r>
  <r>
    <x v="1"/>
    <x v="2289"/>
    <x v="2277"/>
    <x v="67"/>
    <x v="3"/>
    <n v="3.3632"/>
    <n v="7"/>
    <n v="23.542400000000001"/>
  </r>
  <r>
    <x v="2"/>
    <x v="2289"/>
    <x v="2277"/>
    <x v="67"/>
    <x v="3"/>
    <n v="3.3632"/>
    <n v="7"/>
    <n v="23.542400000000001"/>
  </r>
  <r>
    <x v="1"/>
    <x v="2290"/>
    <x v="2278"/>
    <x v="67"/>
    <x v="3"/>
    <n v="3.3963999999999999"/>
    <n v="26"/>
    <n v="88.306399999999996"/>
  </r>
  <r>
    <x v="2"/>
    <x v="2290"/>
    <x v="2278"/>
    <x v="67"/>
    <x v="3"/>
    <n v="3.3963999999999999"/>
    <n v="26"/>
    <n v="88.306399999999996"/>
  </r>
  <r>
    <x v="0"/>
    <x v="2290"/>
    <x v="2278"/>
    <x v="67"/>
    <x v="3"/>
    <n v="3.3963999999999999"/>
    <n v="26"/>
    <n v="88.306399999999996"/>
  </r>
  <r>
    <x v="1"/>
    <x v="2291"/>
    <x v="2279"/>
    <x v="67"/>
    <x v="3"/>
    <n v="8.3683999999999994"/>
    <n v="1"/>
    <n v="8.3683999999999994"/>
  </r>
  <r>
    <x v="2"/>
    <x v="2291"/>
    <x v="2279"/>
    <x v="67"/>
    <x v="3"/>
    <n v="8.3683999999999994"/>
    <n v="1"/>
    <n v="8.3683999999999994"/>
  </r>
  <r>
    <x v="1"/>
    <x v="2292"/>
    <x v="2280"/>
    <x v="1"/>
    <x v="1"/>
    <n v="93.81"/>
    <n v="1"/>
    <n v="93.81"/>
  </r>
  <r>
    <x v="1"/>
    <x v="2293"/>
    <x v="2281"/>
    <x v="1"/>
    <x v="1"/>
    <n v="4.9400000000000004"/>
    <n v="2"/>
    <n v="9.8800000000000008"/>
  </r>
  <r>
    <x v="1"/>
    <x v="2294"/>
    <x v="2282"/>
    <x v="14"/>
    <x v="1"/>
    <n v="30"/>
    <n v="1"/>
    <n v="30"/>
  </r>
  <r>
    <x v="1"/>
    <x v="2295"/>
    <x v="2283"/>
    <x v="15"/>
    <x v="3"/>
    <n v="270.89"/>
    <n v="1"/>
    <n v="270.89"/>
  </r>
  <r>
    <x v="1"/>
    <x v="2296"/>
    <x v="2284"/>
    <x v="68"/>
    <x v="3"/>
    <n v="74.275000000000006"/>
    <n v="8"/>
    <n v="594.20000000000005"/>
  </r>
  <r>
    <x v="1"/>
    <x v="2297"/>
    <x v="2285"/>
    <x v="34"/>
    <x v="2"/>
    <n v="2.5"/>
    <n v="5"/>
    <n v="12.5"/>
  </r>
  <r>
    <x v="1"/>
    <x v="2298"/>
    <x v="2286"/>
    <x v="26"/>
    <x v="3"/>
    <n v="465.47370000000001"/>
    <n v="2"/>
    <n v="930.94740000000002"/>
  </r>
  <r>
    <x v="2"/>
    <x v="2298"/>
    <x v="2286"/>
    <x v="26"/>
    <x v="3"/>
    <n v="465.47370000000001"/>
    <n v="2"/>
    <n v="930.94740000000002"/>
  </r>
  <r>
    <x v="0"/>
    <x v="2299"/>
    <x v="2287"/>
    <x v="12"/>
    <x v="6"/>
    <n v="1.1499999999999999"/>
    <n v="800"/>
    <n v="919.99999999999989"/>
  </r>
  <r>
    <x v="0"/>
    <x v="2300"/>
    <x v="2288"/>
    <x v="12"/>
    <x v="6"/>
    <n v="0.9375"/>
    <n v="1469"/>
    <n v="1377.1875"/>
  </r>
  <r>
    <x v="0"/>
    <x v="2301"/>
    <x v="2289"/>
    <x v="12"/>
    <x v="6"/>
    <n v="0.83930000000000005"/>
    <n v="3354"/>
    <n v="2815.0122000000001"/>
  </r>
  <r>
    <x v="0"/>
    <x v="2302"/>
    <x v="2290"/>
    <x v="12"/>
    <x v="6"/>
    <n v="0.92020000000000002"/>
    <n v="2459"/>
    <n v="2262.7718"/>
  </r>
  <r>
    <x v="0"/>
    <x v="2303"/>
    <x v="2291"/>
    <x v="12"/>
    <x v="6"/>
    <n v="0.73899999999999999"/>
    <n v="406"/>
    <n v="300.03399999999999"/>
  </r>
  <r>
    <x v="0"/>
    <x v="2304"/>
    <x v="2292"/>
    <x v="12"/>
    <x v="6"/>
    <n v="0.65700000000000003"/>
    <n v="788"/>
    <n v="517.71600000000001"/>
  </r>
  <r>
    <x v="0"/>
    <x v="2305"/>
    <x v="2293"/>
    <x v="12"/>
    <x v="6"/>
    <n v="0.64080000000000004"/>
    <n v="1541"/>
    <n v="987.47280000000001"/>
  </r>
  <r>
    <x v="0"/>
    <x v="2306"/>
    <x v="2294"/>
    <x v="12"/>
    <x v="6"/>
    <n v="0.97"/>
    <n v="394"/>
    <n v="382.18"/>
  </r>
  <r>
    <x v="0"/>
    <x v="2307"/>
    <x v="2295"/>
    <x v="12"/>
    <x v="6"/>
    <n v="0.86"/>
    <n v="379"/>
    <n v="325.94"/>
  </r>
  <r>
    <x v="0"/>
    <x v="2308"/>
    <x v="2296"/>
    <x v="12"/>
    <x v="6"/>
    <n v="0.86"/>
    <n v="940"/>
    <n v="808.4"/>
  </r>
  <r>
    <x v="0"/>
    <x v="2309"/>
    <x v="2297"/>
    <x v="12"/>
    <x v="6"/>
    <n v="0.66400000000000003"/>
    <n v="1028"/>
    <n v="682.59199999999998"/>
  </r>
  <r>
    <x v="0"/>
    <x v="2310"/>
    <x v="2298"/>
    <x v="12"/>
    <x v="6"/>
    <n v="0.50180000000000002"/>
    <n v="2896"/>
    <n v="1453.2128"/>
  </r>
  <r>
    <x v="0"/>
    <x v="2311"/>
    <x v="2299"/>
    <x v="12"/>
    <x v="6"/>
    <n v="0.745"/>
    <n v="2128"/>
    <n v="1585.36"/>
  </r>
  <r>
    <x v="0"/>
    <x v="2312"/>
    <x v="2300"/>
    <x v="12"/>
    <x v="6"/>
    <n v="0.37159999999999999"/>
    <n v="5709"/>
    <n v="2121.4643999999998"/>
  </r>
  <r>
    <x v="0"/>
    <x v="2313"/>
    <x v="2301"/>
    <x v="12"/>
    <x v="6"/>
    <n v="0.879"/>
    <n v="2092"/>
    <n v="1838.8679999999999"/>
  </r>
  <r>
    <x v="1"/>
    <x v="2314"/>
    <x v="2302"/>
    <x v="3"/>
    <x v="2"/>
    <n v="0.27"/>
    <n v="1"/>
    <n v="0.27"/>
  </r>
  <r>
    <x v="2"/>
    <x v="2315"/>
    <x v="2303"/>
    <x v="80"/>
    <x v="9"/>
    <n v="0"/>
    <n v="1"/>
    <n v="0"/>
  </r>
  <r>
    <x v="2"/>
    <x v="2316"/>
    <x v="2304"/>
    <x v="2"/>
    <x v="1"/>
    <n v="33.08"/>
    <n v="3"/>
    <n v="99.24"/>
  </r>
  <r>
    <x v="2"/>
    <x v="2317"/>
    <x v="2305"/>
    <x v="2"/>
    <x v="1"/>
    <n v="85.71"/>
    <n v="3"/>
    <n v="257.13"/>
  </r>
  <r>
    <x v="1"/>
    <x v="2318"/>
    <x v="2306"/>
    <x v="15"/>
    <x v="3"/>
    <n v="130.2937"/>
    <n v="2"/>
    <n v="260.5874"/>
  </r>
  <r>
    <x v="2"/>
    <x v="2318"/>
    <x v="2306"/>
    <x v="15"/>
    <x v="3"/>
    <n v="130.2937"/>
    <n v="2"/>
    <n v="260.5874"/>
  </r>
  <r>
    <x v="2"/>
    <x v="2319"/>
    <x v="2307"/>
    <x v="15"/>
    <x v="3"/>
    <n v="507.57549999999998"/>
    <n v="2"/>
    <n v="1015.151"/>
  </r>
  <r>
    <x v="1"/>
    <x v="2319"/>
    <x v="2307"/>
    <x v="15"/>
    <x v="3"/>
    <n v="507.57549999999998"/>
    <n v="2"/>
    <n v="1015.151"/>
  </r>
  <r>
    <x v="0"/>
    <x v="2320"/>
    <x v="2308"/>
    <x v="62"/>
    <x v="7"/>
    <n v="38.896999999999998"/>
    <n v="20"/>
    <n v="777.93999999999994"/>
  </r>
  <r>
    <x v="0"/>
    <x v="2321"/>
    <x v="2309"/>
    <x v="12"/>
    <x v="7"/>
    <n v="4.7009999999999996"/>
    <n v="1"/>
    <n v="4.7009999999999996"/>
  </r>
  <r>
    <x v="0"/>
    <x v="2322"/>
    <x v="2310"/>
    <x v="12"/>
    <x v="7"/>
    <n v="23.504000000000001"/>
    <n v="7"/>
    <n v="164.52800000000002"/>
  </r>
  <r>
    <x v="2"/>
    <x v="2323"/>
    <x v="2311"/>
    <x v="62"/>
    <x v="8"/>
    <n v="2.8961000000000001"/>
    <n v="182"/>
    <n v="527.09019999999998"/>
  </r>
  <r>
    <x v="0"/>
    <x v="2323"/>
    <x v="2311"/>
    <x v="62"/>
    <x v="8"/>
    <n v="2.8961000000000001"/>
    <n v="182"/>
    <n v="527.09019999999998"/>
  </r>
  <r>
    <x v="2"/>
    <x v="2324"/>
    <x v="2312"/>
    <x v="62"/>
    <x v="8"/>
    <n v="4.1332000000000004"/>
    <n v="67"/>
    <n v="276.92440000000005"/>
  </r>
  <r>
    <x v="0"/>
    <x v="2324"/>
    <x v="2312"/>
    <x v="62"/>
    <x v="8"/>
    <n v="4.1332000000000004"/>
    <n v="67"/>
    <n v="276.92440000000005"/>
  </r>
  <r>
    <x v="2"/>
    <x v="2325"/>
    <x v="2313"/>
    <x v="0"/>
    <x v="0"/>
    <n v="7.7084000000000001"/>
    <n v="97"/>
    <n v="747.71479999999997"/>
  </r>
  <r>
    <x v="0"/>
    <x v="2325"/>
    <x v="2313"/>
    <x v="0"/>
    <x v="0"/>
    <n v="7.7084000000000001"/>
    <n v="97"/>
    <n v="747.71479999999997"/>
  </r>
  <r>
    <x v="2"/>
    <x v="2326"/>
    <x v="2314"/>
    <x v="0"/>
    <x v="0"/>
    <n v="3.9529000000000001"/>
    <n v="402"/>
    <n v="1589.0658000000001"/>
  </r>
  <r>
    <x v="0"/>
    <x v="2326"/>
    <x v="2314"/>
    <x v="0"/>
    <x v="0"/>
    <n v="3.9529000000000001"/>
    <n v="402"/>
    <n v="1589.0658000000001"/>
  </r>
  <r>
    <x v="2"/>
    <x v="2327"/>
    <x v="2315"/>
    <x v="62"/>
    <x v="8"/>
    <n v="3.5794000000000001"/>
    <n v="299"/>
    <n v="1070.2406000000001"/>
  </r>
  <r>
    <x v="0"/>
    <x v="2327"/>
    <x v="2315"/>
    <x v="62"/>
    <x v="8"/>
    <n v="3.5794000000000001"/>
    <n v="299"/>
    <n v="1070.2406000000001"/>
  </r>
  <r>
    <x v="2"/>
    <x v="2328"/>
    <x v="2316"/>
    <x v="0"/>
    <x v="0"/>
    <n v="3.9066000000000001"/>
    <n v="313"/>
    <n v="1222.7658000000001"/>
  </r>
  <r>
    <x v="0"/>
    <x v="2328"/>
    <x v="2316"/>
    <x v="0"/>
    <x v="0"/>
    <n v="3.9066000000000001"/>
    <n v="313"/>
    <n v="1222.7658000000001"/>
  </r>
  <r>
    <x v="0"/>
    <x v="2329"/>
    <x v="2317"/>
    <x v="0"/>
    <x v="0"/>
    <n v="6.0670999999999999"/>
    <n v="387"/>
    <n v="2347.9677000000001"/>
  </r>
  <r>
    <x v="0"/>
    <x v="2330"/>
    <x v="2318"/>
    <x v="62"/>
    <x v="8"/>
    <n v="6.1135000000000002"/>
    <n v="55"/>
    <n v="336.24250000000001"/>
  </r>
  <r>
    <x v="2"/>
    <x v="2331"/>
    <x v="2319"/>
    <x v="62"/>
    <x v="8"/>
    <n v="2.4794999999999998"/>
    <n v="1276"/>
    <n v="3163.8419999999996"/>
  </r>
  <r>
    <x v="0"/>
    <x v="2331"/>
    <x v="2319"/>
    <x v="62"/>
    <x v="8"/>
    <n v="2.4794999999999998"/>
    <n v="1276"/>
    <n v="3163.8419999999996"/>
  </r>
  <r>
    <x v="2"/>
    <x v="2332"/>
    <x v="2320"/>
    <x v="62"/>
    <x v="8"/>
    <n v="10.9139"/>
    <n v="290"/>
    <n v="3165.0309999999999"/>
  </r>
  <r>
    <x v="0"/>
    <x v="2332"/>
    <x v="2320"/>
    <x v="62"/>
    <x v="8"/>
    <n v="10.9139"/>
    <n v="290"/>
    <n v="3165.0309999999999"/>
  </r>
  <r>
    <x v="0"/>
    <x v="2333"/>
    <x v="2321"/>
    <x v="62"/>
    <x v="8"/>
    <n v="1.3338000000000001"/>
    <n v="769"/>
    <n v="1025.6922000000002"/>
  </r>
  <r>
    <x v="2"/>
    <x v="2333"/>
    <x v="2321"/>
    <x v="62"/>
    <x v="8"/>
    <n v="1.3338000000000001"/>
    <n v="769"/>
    <n v="1025.6922000000002"/>
  </r>
  <r>
    <x v="0"/>
    <x v="2334"/>
    <x v="2322"/>
    <x v="62"/>
    <x v="8"/>
    <n v="5.9234999999999998"/>
    <n v="486"/>
    <n v="2878.8209999999999"/>
  </r>
  <r>
    <x v="2"/>
    <x v="2334"/>
    <x v="2322"/>
    <x v="62"/>
    <x v="8"/>
    <n v="5.9234999999999998"/>
    <n v="486"/>
    <n v="2878.8209999999999"/>
  </r>
  <r>
    <x v="2"/>
    <x v="2335"/>
    <x v="2323"/>
    <x v="62"/>
    <x v="8"/>
    <n v="2.8092000000000001"/>
    <n v="303"/>
    <n v="851.18760000000009"/>
  </r>
  <r>
    <x v="0"/>
    <x v="2335"/>
    <x v="2323"/>
    <x v="62"/>
    <x v="8"/>
    <n v="2.8092000000000001"/>
    <n v="303"/>
    <n v="851.18760000000009"/>
  </r>
  <r>
    <x v="0"/>
    <x v="2336"/>
    <x v="2324"/>
    <x v="62"/>
    <x v="8"/>
    <n v="1.573"/>
    <n v="1323"/>
    <n v="2081.0789999999997"/>
  </r>
  <r>
    <x v="2"/>
    <x v="2336"/>
    <x v="2324"/>
    <x v="62"/>
    <x v="8"/>
    <n v="1.573"/>
    <n v="1323"/>
    <n v="2081.0789999999997"/>
  </r>
  <r>
    <x v="2"/>
    <x v="2337"/>
    <x v="2325"/>
    <x v="62"/>
    <x v="8"/>
    <n v="0.87170000000000003"/>
    <n v="243"/>
    <n v="211.82310000000001"/>
  </r>
  <r>
    <x v="0"/>
    <x v="2337"/>
    <x v="2325"/>
    <x v="62"/>
    <x v="8"/>
    <n v="0.87170000000000003"/>
    <n v="243"/>
    <n v="211.82310000000001"/>
  </r>
  <r>
    <x v="2"/>
    <x v="2338"/>
    <x v="2326"/>
    <x v="0"/>
    <x v="0"/>
    <n v="1.7827999999999999"/>
    <n v="1103"/>
    <n v="1966.4284"/>
  </r>
  <r>
    <x v="0"/>
    <x v="2338"/>
    <x v="2326"/>
    <x v="0"/>
    <x v="0"/>
    <n v="1.7827999999999999"/>
    <n v="1103"/>
    <n v="1966.4284"/>
  </r>
  <r>
    <x v="0"/>
    <x v="2339"/>
    <x v="2327"/>
    <x v="0"/>
    <x v="0"/>
    <n v="13.443199999999999"/>
    <n v="94"/>
    <n v="1263.6607999999999"/>
  </r>
  <r>
    <x v="0"/>
    <x v="2340"/>
    <x v="2328"/>
    <x v="62"/>
    <x v="8"/>
    <n v="2.9874000000000001"/>
    <n v="735"/>
    <n v="2195.739"/>
  </r>
  <r>
    <x v="2"/>
    <x v="2340"/>
    <x v="2328"/>
    <x v="62"/>
    <x v="8"/>
    <n v="2.9874000000000001"/>
    <n v="735"/>
    <n v="2195.739"/>
  </r>
  <r>
    <x v="2"/>
    <x v="2341"/>
    <x v="2329"/>
    <x v="62"/>
    <x v="8"/>
    <n v="1.2919"/>
    <n v="608"/>
    <n v="785.47520000000009"/>
  </r>
  <r>
    <x v="0"/>
    <x v="2341"/>
    <x v="2329"/>
    <x v="62"/>
    <x v="8"/>
    <n v="1.2919"/>
    <n v="608"/>
    <n v="785.47520000000009"/>
  </r>
  <r>
    <x v="2"/>
    <x v="2342"/>
    <x v="2330"/>
    <x v="62"/>
    <x v="8"/>
    <n v="3.5701999999999998"/>
    <n v="337"/>
    <n v="1203.1574000000001"/>
  </r>
  <r>
    <x v="0"/>
    <x v="2342"/>
    <x v="2330"/>
    <x v="62"/>
    <x v="8"/>
    <n v="3.5701999999999998"/>
    <n v="337"/>
    <n v="1203.1574000000001"/>
  </r>
  <r>
    <x v="0"/>
    <x v="2343"/>
    <x v="2331"/>
    <x v="0"/>
    <x v="0"/>
    <n v="5.1585999999999999"/>
    <n v="511"/>
    <n v="2636.0445999999997"/>
  </r>
  <r>
    <x v="2"/>
    <x v="2343"/>
    <x v="2331"/>
    <x v="0"/>
    <x v="0"/>
    <n v="5.1585999999999999"/>
    <n v="511"/>
    <n v="2636.0445999999997"/>
  </r>
  <r>
    <x v="2"/>
    <x v="2344"/>
    <x v="2332"/>
    <x v="0"/>
    <x v="0"/>
    <n v="2.7452000000000001"/>
    <n v="683"/>
    <n v="1874.9716000000001"/>
  </r>
  <r>
    <x v="0"/>
    <x v="2344"/>
    <x v="2332"/>
    <x v="0"/>
    <x v="0"/>
    <n v="2.7452000000000001"/>
    <n v="683"/>
    <n v="1874.9716000000001"/>
  </r>
  <r>
    <x v="0"/>
    <x v="2345"/>
    <x v="2333"/>
    <x v="62"/>
    <x v="8"/>
    <n v="11.8254"/>
    <n v="39"/>
    <n v="461.19060000000002"/>
  </r>
  <r>
    <x v="0"/>
    <x v="2346"/>
    <x v="2334"/>
    <x v="62"/>
    <x v="8"/>
    <n v="5.0270000000000001"/>
    <n v="10"/>
    <n v="50.27"/>
  </r>
  <r>
    <x v="1"/>
    <x v="2347"/>
    <x v="2335"/>
    <x v="31"/>
    <x v="1"/>
    <n v="721.79"/>
    <n v="1"/>
    <n v="721.79"/>
  </r>
  <r>
    <x v="1"/>
    <x v="2348"/>
    <x v="2336"/>
    <x v="20"/>
    <x v="3"/>
    <n v="0.375"/>
    <n v="29"/>
    <n v="10.875"/>
  </r>
  <r>
    <x v="1"/>
    <x v="2349"/>
    <x v="2337"/>
    <x v="3"/>
    <x v="2"/>
    <n v="0.47599999999999998"/>
    <n v="26"/>
    <n v="12.375999999999999"/>
  </r>
  <r>
    <x v="1"/>
    <x v="2350"/>
    <x v="2338"/>
    <x v="3"/>
    <x v="2"/>
    <n v="0.46899999999999997"/>
    <n v="39"/>
    <n v="18.291"/>
  </r>
  <r>
    <x v="1"/>
    <x v="2351"/>
    <x v="2339"/>
    <x v="66"/>
    <x v="3"/>
    <n v="0.78490000000000004"/>
    <n v="19"/>
    <n v="14.9131"/>
  </r>
  <r>
    <x v="2"/>
    <x v="2351"/>
    <x v="2339"/>
    <x v="66"/>
    <x v="3"/>
    <n v="0.78490000000000004"/>
    <n v="19"/>
    <n v="14.9131"/>
  </r>
  <r>
    <x v="1"/>
    <x v="2352"/>
    <x v="2340"/>
    <x v="3"/>
    <x v="2"/>
    <n v="1.0477000000000001"/>
    <n v="47"/>
    <n v="49.241900000000001"/>
  </r>
  <r>
    <x v="2"/>
    <x v="2352"/>
    <x v="2340"/>
    <x v="3"/>
    <x v="2"/>
    <n v="1.0477000000000001"/>
    <n v="47"/>
    <n v="49.241900000000001"/>
  </r>
  <r>
    <x v="2"/>
    <x v="2353"/>
    <x v="2341"/>
    <x v="17"/>
    <x v="3"/>
    <n v="5.8"/>
    <n v="4"/>
    <n v="23.2"/>
  </r>
  <r>
    <x v="2"/>
    <x v="2354"/>
    <x v="2342"/>
    <x v="17"/>
    <x v="3"/>
    <n v="11"/>
    <n v="2"/>
    <n v="22"/>
  </r>
  <r>
    <x v="1"/>
    <x v="2355"/>
    <x v="2343"/>
    <x v="1"/>
    <x v="3"/>
    <n v="10.967000000000001"/>
    <n v="1"/>
    <n v="10.967000000000001"/>
  </r>
  <r>
    <x v="1"/>
    <x v="2356"/>
    <x v="2344"/>
    <x v="3"/>
    <x v="2"/>
    <n v="2.5"/>
    <n v="2"/>
    <n v="5"/>
  </r>
  <r>
    <x v="1"/>
    <x v="2357"/>
    <x v="2345"/>
    <x v="1"/>
    <x v="3"/>
    <n v="23"/>
    <n v="2"/>
    <n v="46"/>
  </r>
  <r>
    <x v="1"/>
    <x v="2358"/>
    <x v="2346"/>
    <x v="67"/>
    <x v="3"/>
    <n v="7.75"/>
    <n v="11"/>
    <n v="85.25"/>
  </r>
  <r>
    <x v="1"/>
    <x v="2359"/>
    <x v="2347"/>
    <x v="29"/>
    <x v="3"/>
    <n v="9"/>
    <n v="6"/>
    <n v="54"/>
  </r>
  <r>
    <x v="1"/>
    <x v="2360"/>
    <x v="2348"/>
    <x v="67"/>
    <x v="3"/>
    <n v="2.3632"/>
    <n v="2"/>
    <n v="4.7263999999999999"/>
  </r>
  <r>
    <x v="2"/>
    <x v="2360"/>
    <x v="2348"/>
    <x v="67"/>
    <x v="3"/>
    <n v="2.3632"/>
    <n v="2"/>
    <n v="4.7263999999999999"/>
  </r>
  <r>
    <x v="1"/>
    <x v="2361"/>
    <x v="2349"/>
    <x v="67"/>
    <x v="3"/>
    <n v="6.9640000000000004"/>
    <n v="9"/>
    <n v="62.676000000000002"/>
  </r>
  <r>
    <x v="1"/>
    <x v="2362"/>
    <x v="2350"/>
    <x v="67"/>
    <x v="3"/>
    <n v="3.4236"/>
    <n v="26"/>
    <n v="89.013599999999997"/>
  </r>
  <r>
    <x v="2"/>
    <x v="2362"/>
    <x v="2350"/>
    <x v="67"/>
    <x v="3"/>
    <n v="3.4236"/>
    <n v="26"/>
    <n v="89.013599999999997"/>
  </r>
  <r>
    <x v="2"/>
    <x v="2363"/>
    <x v="2351"/>
    <x v="0"/>
    <x v="0"/>
    <n v="0"/>
    <n v="30"/>
    <n v="0"/>
  </r>
  <r>
    <x v="1"/>
    <x v="2364"/>
    <x v="2352"/>
    <x v="34"/>
    <x v="2"/>
    <n v="20.57"/>
    <n v="1"/>
    <n v="20.57"/>
  </r>
  <r>
    <x v="1"/>
    <x v="2365"/>
    <x v="2353"/>
    <x v="1"/>
    <x v="1"/>
    <n v="318"/>
    <n v="1"/>
    <n v="318"/>
  </r>
  <r>
    <x v="1"/>
    <x v="2366"/>
    <x v="2354"/>
    <x v="1"/>
    <x v="1"/>
    <n v="3.6970000000000001"/>
    <n v="1"/>
    <n v="3.6970000000000001"/>
  </r>
  <r>
    <x v="1"/>
    <x v="2367"/>
    <x v="2355"/>
    <x v="1"/>
    <x v="1"/>
    <n v="257.92"/>
    <n v="2"/>
    <n v="515.84"/>
  </r>
  <r>
    <x v="1"/>
    <x v="2368"/>
    <x v="2356"/>
    <x v="1"/>
    <x v="1"/>
    <n v="6.1749999999999998"/>
    <n v="4"/>
    <n v="24.7"/>
  </r>
  <r>
    <x v="1"/>
    <x v="2369"/>
    <x v="2357"/>
    <x v="1"/>
    <x v="1"/>
    <n v="1.17"/>
    <n v="2"/>
    <n v="2.34"/>
  </r>
  <r>
    <x v="1"/>
    <x v="2370"/>
    <x v="2358"/>
    <x v="1"/>
    <x v="1"/>
    <n v="8.9380000000000006"/>
    <n v="1"/>
    <n v="8.9380000000000006"/>
  </r>
  <r>
    <x v="1"/>
    <x v="2371"/>
    <x v="2359"/>
    <x v="1"/>
    <x v="1"/>
    <n v="1.403"/>
    <n v="2"/>
    <n v="2.806"/>
  </r>
  <r>
    <x v="1"/>
    <x v="2372"/>
    <x v="2360"/>
    <x v="59"/>
    <x v="2"/>
    <n v="137.863"/>
    <n v="1"/>
    <n v="137.863"/>
  </r>
  <r>
    <x v="1"/>
    <x v="2373"/>
    <x v="2361"/>
    <x v="1"/>
    <x v="1"/>
    <n v="24.68"/>
    <n v="2"/>
    <n v="49.36"/>
  </r>
  <r>
    <x v="1"/>
    <x v="2374"/>
    <x v="2362"/>
    <x v="1"/>
    <x v="1"/>
    <n v="5.3440000000000003"/>
    <n v="2"/>
    <n v="10.688000000000001"/>
  </r>
  <r>
    <x v="1"/>
    <x v="2375"/>
    <x v="2363"/>
    <x v="1"/>
    <x v="1"/>
    <n v="0.75"/>
    <n v="1"/>
    <n v="0.75"/>
  </r>
  <r>
    <x v="1"/>
    <x v="2376"/>
    <x v="2364"/>
    <x v="1"/>
    <x v="1"/>
    <n v="9.74"/>
    <n v="2"/>
    <n v="19.48"/>
  </r>
  <r>
    <x v="1"/>
    <x v="2377"/>
    <x v="2365"/>
    <x v="1"/>
    <x v="1"/>
    <n v="5.2619999999999996"/>
    <n v="1"/>
    <n v="5.2619999999999996"/>
  </r>
  <r>
    <x v="1"/>
    <x v="2378"/>
    <x v="2366"/>
    <x v="1"/>
    <x v="1"/>
    <n v="318"/>
    <n v="1"/>
    <n v="318"/>
  </r>
  <r>
    <x v="1"/>
    <x v="2379"/>
    <x v="695"/>
    <x v="3"/>
    <x v="2"/>
    <n v="0.29399999999999998"/>
    <n v="6"/>
    <n v="1.7639999999999998"/>
  </r>
  <r>
    <x v="1"/>
    <x v="2380"/>
    <x v="2367"/>
    <x v="3"/>
    <x v="2"/>
    <n v="0.56100000000000005"/>
    <n v="15"/>
    <n v="8.4150000000000009"/>
  </r>
  <r>
    <x v="1"/>
    <x v="2381"/>
    <x v="2368"/>
    <x v="41"/>
    <x v="2"/>
    <n v="39.76"/>
    <n v="13"/>
    <n v="516.88"/>
  </r>
  <r>
    <x v="1"/>
    <x v="2382"/>
    <x v="2369"/>
    <x v="47"/>
    <x v="1"/>
    <n v="29.2791"/>
    <n v="129"/>
    <n v="3777.0039000000002"/>
  </r>
  <r>
    <x v="2"/>
    <x v="2382"/>
    <x v="2369"/>
    <x v="47"/>
    <x v="1"/>
    <n v="29.2791"/>
    <n v="129"/>
    <n v="3777.0039000000002"/>
  </r>
  <r>
    <x v="1"/>
    <x v="2383"/>
    <x v="2370"/>
    <x v="40"/>
    <x v="2"/>
    <n v="38.991100000000003"/>
    <n v="14"/>
    <n v="545.87540000000001"/>
  </r>
  <r>
    <x v="2"/>
    <x v="2383"/>
    <x v="2370"/>
    <x v="40"/>
    <x v="2"/>
    <n v="38.991100000000003"/>
    <n v="14"/>
    <n v="545.87540000000001"/>
  </r>
  <r>
    <x v="1"/>
    <x v="2384"/>
    <x v="2371"/>
    <x v="40"/>
    <x v="2"/>
    <n v="29.866199999999999"/>
    <n v="44"/>
    <n v="1314.1127999999999"/>
  </r>
  <r>
    <x v="2"/>
    <x v="2384"/>
    <x v="2371"/>
    <x v="40"/>
    <x v="2"/>
    <n v="29.866199999999999"/>
    <n v="44"/>
    <n v="1314.1127999999999"/>
  </r>
  <r>
    <x v="0"/>
    <x v="2384"/>
    <x v="2371"/>
    <x v="40"/>
    <x v="2"/>
    <n v="29.866199999999999"/>
    <n v="44"/>
    <n v="1314.1127999999999"/>
  </r>
  <r>
    <x v="1"/>
    <x v="2385"/>
    <x v="2372"/>
    <x v="3"/>
    <x v="2"/>
    <n v="0.1"/>
    <n v="28"/>
    <n v="2.8000000000000003"/>
  </r>
  <r>
    <x v="1"/>
    <x v="2386"/>
    <x v="2373"/>
    <x v="3"/>
    <x v="2"/>
    <n v="2.0310000000000001"/>
    <n v="9"/>
    <n v="18.279"/>
  </r>
  <r>
    <x v="1"/>
    <x v="2387"/>
    <x v="309"/>
    <x v="3"/>
    <x v="2"/>
    <n v="1.3320000000000001"/>
    <n v="6"/>
    <n v="7.9920000000000009"/>
  </r>
  <r>
    <x v="1"/>
    <x v="2388"/>
    <x v="2374"/>
    <x v="44"/>
    <x v="2"/>
    <n v="15.58"/>
    <n v="1"/>
    <n v="15.58"/>
  </r>
  <r>
    <x v="1"/>
    <x v="2389"/>
    <x v="2375"/>
    <x v="44"/>
    <x v="2"/>
    <n v="23.03"/>
    <n v="1"/>
    <n v="23.03"/>
  </r>
  <r>
    <x v="1"/>
    <x v="2390"/>
    <x v="2376"/>
    <x v="44"/>
    <x v="2"/>
    <n v="39.768999999999998"/>
    <n v="2"/>
    <n v="79.537999999999997"/>
  </r>
  <r>
    <x v="1"/>
    <x v="2391"/>
    <x v="2377"/>
    <x v="44"/>
    <x v="2"/>
    <n v="40.033000000000001"/>
    <n v="3"/>
    <n v="120.099"/>
  </r>
  <r>
    <x v="1"/>
    <x v="2392"/>
    <x v="1400"/>
    <x v="3"/>
    <x v="2"/>
    <n v="1.0165"/>
    <n v="6"/>
    <n v="6.0990000000000002"/>
  </r>
  <r>
    <x v="2"/>
    <x v="2392"/>
    <x v="1400"/>
    <x v="3"/>
    <x v="2"/>
    <n v="1.0165"/>
    <n v="6"/>
    <n v="6.0990000000000002"/>
  </r>
  <r>
    <x v="2"/>
    <x v="2393"/>
    <x v="831"/>
    <x v="3"/>
    <x v="2"/>
    <n v="3.2212000000000001"/>
    <n v="9"/>
    <n v="28.9908"/>
  </r>
  <r>
    <x v="1"/>
    <x v="2393"/>
    <x v="831"/>
    <x v="3"/>
    <x v="2"/>
    <n v="3.2212000000000001"/>
    <n v="9"/>
    <n v="28.9908"/>
  </r>
  <r>
    <x v="1"/>
    <x v="2394"/>
    <x v="2378"/>
    <x v="3"/>
    <x v="2"/>
    <n v="0.43190000000000001"/>
    <n v="59"/>
    <n v="25.482099999999999"/>
  </r>
  <r>
    <x v="2"/>
    <x v="2394"/>
    <x v="2378"/>
    <x v="3"/>
    <x v="2"/>
    <n v="0.43190000000000001"/>
    <n v="59"/>
    <n v="25.482099999999999"/>
  </r>
  <r>
    <x v="1"/>
    <x v="2395"/>
    <x v="2379"/>
    <x v="3"/>
    <x v="2"/>
    <n v="0.49"/>
    <n v="29"/>
    <n v="14.209999999999999"/>
  </r>
  <r>
    <x v="2"/>
    <x v="2396"/>
    <x v="2380"/>
    <x v="3"/>
    <x v="2"/>
    <n v="0.95779999999999998"/>
    <n v="36"/>
    <n v="34.480800000000002"/>
  </r>
  <r>
    <x v="1"/>
    <x v="2396"/>
    <x v="2380"/>
    <x v="3"/>
    <x v="2"/>
    <n v="0.95779999999999998"/>
    <n v="36"/>
    <n v="34.480800000000002"/>
  </r>
  <r>
    <x v="1"/>
    <x v="2397"/>
    <x v="2381"/>
    <x v="3"/>
    <x v="2"/>
    <n v="1.29"/>
    <n v="10"/>
    <n v="12.9"/>
  </r>
  <r>
    <x v="2"/>
    <x v="2398"/>
    <x v="2382"/>
    <x v="3"/>
    <x v="2"/>
    <n v="0.65880000000000005"/>
    <n v="1"/>
    <n v="0.65880000000000005"/>
  </r>
  <r>
    <x v="1"/>
    <x v="2398"/>
    <x v="2382"/>
    <x v="3"/>
    <x v="2"/>
    <n v="0.65880000000000005"/>
    <n v="1"/>
    <n v="0.65880000000000005"/>
  </r>
  <r>
    <x v="1"/>
    <x v="2399"/>
    <x v="284"/>
    <x v="3"/>
    <x v="2"/>
    <n v="0.42530000000000001"/>
    <n v="11"/>
    <n v="4.6783000000000001"/>
  </r>
  <r>
    <x v="2"/>
    <x v="2399"/>
    <x v="284"/>
    <x v="3"/>
    <x v="2"/>
    <n v="0.42530000000000001"/>
    <n v="11"/>
    <n v="4.6783000000000001"/>
  </r>
  <r>
    <x v="1"/>
    <x v="2400"/>
    <x v="2383"/>
    <x v="3"/>
    <x v="2"/>
    <n v="0.68"/>
    <n v="5"/>
    <n v="3.4000000000000004"/>
  </r>
  <r>
    <x v="1"/>
    <x v="2401"/>
    <x v="2384"/>
    <x v="3"/>
    <x v="2"/>
    <n v="1.1319999999999999"/>
    <n v="7"/>
    <n v="7.9239999999999995"/>
  </r>
  <r>
    <x v="2"/>
    <x v="2401"/>
    <x v="2384"/>
    <x v="3"/>
    <x v="2"/>
    <n v="1.1319999999999999"/>
    <n v="7"/>
    <n v="7.9239999999999995"/>
  </r>
  <r>
    <x v="1"/>
    <x v="2402"/>
    <x v="2385"/>
    <x v="3"/>
    <x v="2"/>
    <n v="0.28499999999999998"/>
    <n v="10"/>
    <n v="2.8499999999999996"/>
  </r>
  <r>
    <x v="1"/>
    <x v="2403"/>
    <x v="2386"/>
    <x v="3"/>
    <x v="2"/>
    <n v="3.1890000000000001"/>
    <n v="2"/>
    <n v="6.3780000000000001"/>
  </r>
  <r>
    <x v="1"/>
    <x v="2404"/>
    <x v="2387"/>
    <x v="3"/>
    <x v="2"/>
    <n v="0.248"/>
    <n v="15"/>
    <n v="3.7199999999999998"/>
  </r>
  <r>
    <x v="1"/>
    <x v="2405"/>
    <x v="2388"/>
    <x v="3"/>
    <x v="2"/>
    <n v="2.8889999999999998"/>
    <n v="1"/>
    <n v="2.8889999999999998"/>
  </r>
  <r>
    <x v="1"/>
    <x v="2406"/>
    <x v="2389"/>
    <x v="3"/>
    <x v="2"/>
    <n v="1.8720000000000001"/>
    <n v="5"/>
    <n v="9.3600000000000012"/>
  </r>
  <r>
    <x v="1"/>
    <x v="2407"/>
    <x v="2390"/>
    <x v="3"/>
    <x v="2"/>
    <n v="17.114799999999999"/>
    <n v="13"/>
    <n v="222.49239999999998"/>
  </r>
  <r>
    <x v="2"/>
    <x v="2407"/>
    <x v="2390"/>
    <x v="3"/>
    <x v="2"/>
    <n v="17.114799999999999"/>
    <n v="13"/>
    <n v="222.49239999999998"/>
  </r>
  <r>
    <x v="1"/>
    <x v="2408"/>
    <x v="2391"/>
    <x v="3"/>
    <x v="2"/>
    <n v="0.68879999999999997"/>
    <n v="6"/>
    <n v="4.1327999999999996"/>
  </r>
  <r>
    <x v="2"/>
    <x v="2408"/>
    <x v="2391"/>
    <x v="3"/>
    <x v="2"/>
    <n v="0.68879999999999997"/>
    <n v="6"/>
    <n v="4.1327999999999996"/>
  </r>
  <r>
    <x v="2"/>
    <x v="2409"/>
    <x v="2392"/>
    <x v="3"/>
    <x v="2"/>
    <n v="1.5736000000000001"/>
    <n v="4"/>
    <n v="6.2944000000000004"/>
  </r>
  <r>
    <x v="1"/>
    <x v="2409"/>
    <x v="2392"/>
    <x v="3"/>
    <x v="2"/>
    <n v="1.5736000000000001"/>
    <n v="4"/>
    <n v="6.2944000000000004"/>
  </r>
  <r>
    <x v="1"/>
    <x v="2410"/>
    <x v="2393"/>
    <x v="3"/>
    <x v="2"/>
    <n v="2.774"/>
    <n v="2"/>
    <n v="5.548"/>
  </r>
  <r>
    <x v="1"/>
    <x v="2411"/>
    <x v="2394"/>
    <x v="3"/>
    <x v="2"/>
    <n v="3.1160000000000001"/>
    <n v="9"/>
    <n v="28.044"/>
  </r>
  <r>
    <x v="1"/>
    <x v="2412"/>
    <x v="1364"/>
    <x v="3"/>
    <x v="2"/>
    <n v="0.503"/>
    <n v="1"/>
    <n v="0.503"/>
  </r>
  <r>
    <x v="2"/>
    <x v="2413"/>
    <x v="2395"/>
    <x v="3"/>
    <x v="2"/>
    <n v="1.3281000000000001"/>
    <n v="4"/>
    <n v="5.3124000000000002"/>
  </r>
  <r>
    <x v="1"/>
    <x v="2413"/>
    <x v="2395"/>
    <x v="3"/>
    <x v="2"/>
    <n v="1.3281000000000001"/>
    <n v="4"/>
    <n v="5.3124000000000002"/>
  </r>
  <r>
    <x v="1"/>
    <x v="2414"/>
    <x v="2396"/>
    <x v="3"/>
    <x v="2"/>
    <n v="1.5209999999999999"/>
    <n v="6"/>
    <n v="9.1259999999999994"/>
  </r>
  <r>
    <x v="1"/>
    <x v="2415"/>
    <x v="2397"/>
    <x v="3"/>
    <x v="2"/>
    <n v="2.3410000000000002"/>
    <n v="1"/>
    <n v="2.3410000000000002"/>
  </r>
  <r>
    <x v="1"/>
    <x v="2416"/>
    <x v="2398"/>
    <x v="3"/>
    <x v="2"/>
    <n v="0.4652"/>
    <n v="63"/>
    <n v="29.307600000000001"/>
  </r>
  <r>
    <x v="2"/>
    <x v="2416"/>
    <x v="2398"/>
    <x v="3"/>
    <x v="2"/>
    <n v="0.4652"/>
    <n v="63"/>
    <n v="29.307600000000001"/>
  </r>
  <r>
    <x v="1"/>
    <x v="2417"/>
    <x v="2399"/>
    <x v="3"/>
    <x v="2"/>
    <n v="0.39329999999999998"/>
    <n v="2"/>
    <n v="0.78659999999999997"/>
  </r>
  <r>
    <x v="2"/>
    <x v="2417"/>
    <x v="2399"/>
    <x v="3"/>
    <x v="2"/>
    <n v="0.39329999999999998"/>
    <n v="2"/>
    <n v="0.78659999999999997"/>
  </r>
  <r>
    <x v="1"/>
    <x v="2418"/>
    <x v="2400"/>
    <x v="3"/>
    <x v="2"/>
    <n v="1.6080000000000001"/>
    <n v="5"/>
    <n v="8.0400000000000009"/>
  </r>
  <r>
    <x v="1"/>
    <x v="2419"/>
    <x v="2401"/>
    <x v="3"/>
    <x v="2"/>
    <n v="7.5030999999999999"/>
    <n v="30"/>
    <n v="225.09299999999999"/>
  </r>
  <r>
    <x v="2"/>
    <x v="2419"/>
    <x v="2401"/>
    <x v="3"/>
    <x v="2"/>
    <n v="7.5030999999999999"/>
    <n v="30"/>
    <n v="225.09299999999999"/>
  </r>
  <r>
    <x v="1"/>
    <x v="2420"/>
    <x v="2402"/>
    <x v="3"/>
    <x v="2"/>
    <n v="0.77700000000000002"/>
    <n v="9"/>
    <n v="6.9930000000000003"/>
  </r>
  <r>
    <x v="1"/>
    <x v="2421"/>
    <x v="2403"/>
    <x v="3"/>
    <x v="2"/>
    <n v="11.4771"/>
    <n v="13"/>
    <n v="149.20230000000001"/>
  </r>
  <r>
    <x v="2"/>
    <x v="2421"/>
    <x v="2403"/>
    <x v="3"/>
    <x v="2"/>
    <n v="11.4771"/>
    <n v="13"/>
    <n v="149.20230000000001"/>
  </r>
  <r>
    <x v="2"/>
    <x v="2422"/>
    <x v="2404"/>
    <x v="3"/>
    <x v="2"/>
    <n v="0.71"/>
    <n v="10"/>
    <n v="7.1"/>
  </r>
  <r>
    <x v="1"/>
    <x v="2422"/>
    <x v="2404"/>
    <x v="3"/>
    <x v="2"/>
    <n v="0.71"/>
    <n v="10"/>
    <n v="7.1"/>
  </r>
  <r>
    <x v="2"/>
    <x v="2423"/>
    <x v="2405"/>
    <x v="3"/>
    <x v="2"/>
    <n v="0.42349999999999999"/>
    <n v="15"/>
    <n v="6.3525"/>
  </r>
  <r>
    <x v="1"/>
    <x v="2423"/>
    <x v="2405"/>
    <x v="3"/>
    <x v="2"/>
    <n v="0.42349999999999999"/>
    <n v="15"/>
    <n v="6.3525"/>
  </r>
  <r>
    <x v="1"/>
    <x v="2424"/>
    <x v="2406"/>
    <x v="3"/>
    <x v="2"/>
    <n v="16.452999999999999"/>
    <n v="7"/>
    <n v="115.17099999999999"/>
  </r>
  <r>
    <x v="1"/>
    <x v="2425"/>
    <x v="2407"/>
    <x v="3"/>
    <x v="2"/>
    <n v="21.486899999999999"/>
    <n v="2"/>
    <n v="42.973799999999997"/>
  </r>
  <r>
    <x v="2"/>
    <x v="2425"/>
    <x v="2407"/>
    <x v="3"/>
    <x v="2"/>
    <n v="21.486899999999999"/>
    <n v="2"/>
    <n v="42.973799999999997"/>
  </r>
  <r>
    <x v="1"/>
    <x v="2426"/>
    <x v="2408"/>
    <x v="37"/>
    <x v="2"/>
    <n v="0.56000000000000005"/>
    <n v="1"/>
    <n v="0.56000000000000005"/>
  </r>
  <r>
    <x v="1"/>
    <x v="2427"/>
    <x v="2409"/>
    <x v="3"/>
    <x v="2"/>
    <n v="0.68710000000000004"/>
    <n v="103"/>
    <n v="70.771300000000011"/>
  </r>
  <r>
    <x v="2"/>
    <x v="2427"/>
    <x v="2409"/>
    <x v="3"/>
    <x v="2"/>
    <n v="0.68710000000000004"/>
    <n v="103"/>
    <n v="70.771300000000011"/>
  </r>
  <r>
    <x v="1"/>
    <x v="2428"/>
    <x v="2410"/>
    <x v="3"/>
    <x v="2"/>
    <n v="3.3660000000000001"/>
    <n v="1"/>
    <n v="3.3660000000000001"/>
  </r>
  <r>
    <x v="1"/>
    <x v="2429"/>
    <x v="2411"/>
    <x v="3"/>
    <x v="2"/>
    <n v="3.3816999999999999"/>
    <n v="9"/>
    <n v="30.435299999999998"/>
  </r>
  <r>
    <x v="2"/>
    <x v="2429"/>
    <x v="2411"/>
    <x v="3"/>
    <x v="2"/>
    <n v="3.3816999999999999"/>
    <n v="9"/>
    <n v="30.435299999999998"/>
  </r>
  <r>
    <x v="2"/>
    <x v="2430"/>
    <x v="2412"/>
    <x v="3"/>
    <x v="2"/>
    <n v="2.9923000000000002"/>
    <n v="108"/>
    <n v="323.16840000000002"/>
  </r>
  <r>
    <x v="1"/>
    <x v="2430"/>
    <x v="2412"/>
    <x v="3"/>
    <x v="2"/>
    <n v="2.9923000000000002"/>
    <n v="108"/>
    <n v="323.16840000000002"/>
  </r>
  <r>
    <x v="1"/>
    <x v="2431"/>
    <x v="2413"/>
    <x v="3"/>
    <x v="2"/>
    <n v="0.35599999999999998"/>
    <n v="6"/>
    <n v="2.1360000000000001"/>
  </r>
  <r>
    <x v="1"/>
    <x v="2432"/>
    <x v="2414"/>
    <x v="3"/>
    <x v="2"/>
    <n v="1.3442000000000001"/>
    <n v="10"/>
    <n v="13.442"/>
  </r>
  <r>
    <x v="2"/>
    <x v="2432"/>
    <x v="2414"/>
    <x v="3"/>
    <x v="2"/>
    <n v="1.3442000000000001"/>
    <n v="10"/>
    <n v="13.442"/>
  </r>
  <r>
    <x v="1"/>
    <x v="2433"/>
    <x v="2415"/>
    <x v="3"/>
    <x v="2"/>
    <n v="3.085"/>
    <n v="24"/>
    <n v="74.039999999999992"/>
  </r>
  <r>
    <x v="1"/>
    <x v="2434"/>
    <x v="1195"/>
    <x v="3"/>
    <x v="2"/>
    <n v="18.4664"/>
    <n v="12"/>
    <n v="221.5968"/>
  </r>
  <r>
    <x v="2"/>
    <x v="2434"/>
    <x v="1195"/>
    <x v="3"/>
    <x v="2"/>
    <n v="18.4664"/>
    <n v="12"/>
    <n v="221.5968"/>
  </r>
  <r>
    <x v="1"/>
    <x v="2435"/>
    <x v="2416"/>
    <x v="3"/>
    <x v="2"/>
    <n v="15.398999999999999"/>
    <n v="12"/>
    <n v="184.78799999999998"/>
  </r>
  <r>
    <x v="1"/>
    <x v="2436"/>
    <x v="2417"/>
    <x v="3"/>
    <x v="2"/>
    <n v="1.1659999999999999"/>
    <n v="7"/>
    <n v="8.161999999999999"/>
  </r>
  <r>
    <x v="1"/>
    <x v="2437"/>
    <x v="2418"/>
    <x v="3"/>
    <x v="2"/>
    <n v="1.3979999999999999"/>
    <n v="11"/>
    <n v="15.377999999999998"/>
  </r>
  <r>
    <x v="1"/>
    <x v="2438"/>
    <x v="2419"/>
    <x v="3"/>
    <x v="2"/>
    <n v="32.721200000000003"/>
    <n v="20"/>
    <n v="654.42400000000009"/>
  </r>
  <r>
    <x v="2"/>
    <x v="2438"/>
    <x v="2419"/>
    <x v="3"/>
    <x v="2"/>
    <n v="32.721200000000003"/>
    <n v="20"/>
    <n v="654.42400000000009"/>
  </r>
  <r>
    <x v="1"/>
    <x v="2439"/>
    <x v="935"/>
    <x v="3"/>
    <x v="2"/>
    <n v="21.594999999999999"/>
    <n v="2"/>
    <n v="43.19"/>
  </r>
  <r>
    <x v="1"/>
    <x v="2440"/>
    <x v="2420"/>
    <x v="3"/>
    <x v="2"/>
    <n v="5.5138999999999996"/>
    <n v="9"/>
    <n v="49.625099999999996"/>
  </r>
  <r>
    <x v="2"/>
    <x v="2440"/>
    <x v="2420"/>
    <x v="3"/>
    <x v="2"/>
    <n v="5.5138999999999996"/>
    <n v="9"/>
    <n v="49.625099999999996"/>
  </r>
  <r>
    <x v="1"/>
    <x v="2441"/>
    <x v="2421"/>
    <x v="3"/>
    <x v="2"/>
    <n v="0.85819999999999996"/>
    <n v="8"/>
    <n v="6.8655999999999997"/>
  </r>
  <r>
    <x v="2"/>
    <x v="2441"/>
    <x v="2421"/>
    <x v="3"/>
    <x v="2"/>
    <n v="0.85819999999999996"/>
    <n v="8"/>
    <n v="6.8655999999999997"/>
  </r>
  <r>
    <x v="1"/>
    <x v="2442"/>
    <x v="2422"/>
    <x v="3"/>
    <x v="2"/>
    <n v="28.734999999999999"/>
    <n v="2"/>
    <n v="57.47"/>
  </r>
  <r>
    <x v="1"/>
    <x v="2443"/>
    <x v="2423"/>
    <x v="3"/>
    <x v="2"/>
    <n v="8.577"/>
    <n v="3"/>
    <n v="25.731000000000002"/>
  </r>
  <r>
    <x v="1"/>
    <x v="2444"/>
    <x v="2424"/>
    <x v="3"/>
    <x v="2"/>
    <n v="0.36299999999999999"/>
    <n v="10"/>
    <n v="3.63"/>
  </r>
  <r>
    <x v="1"/>
    <x v="2445"/>
    <x v="2425"/>
    <x v="3"/>
    <x v="2"/>
    <n v="0"/>
    <n v="1"/>
    <n v="0"/>
  </r>
  <r>
    <x v="1"/>
    <x v="2446"/>
    <x v="2426"/>
    <x v="3"/>
    <x v="2"/>
    <n v="1.8160000000000001"/>
    <n v="4"/>
    <n v="7.2640000000000002"/>
  </r>
  <r>
    <x v="1"/>
    <x v="2447"/>
    <x v="2427"/>
    <x v="3"/>
    <x v="2"/>
    <n v="0.25600000000000001"/>
    <n v="3"/>
    <n v="0.76800000000000002"/>
  </r>
  <r>
    <x v="1"/>
    <x v="2448"/>
    <x v="295"/>
    <x v="3"/>
    <x v="2"/>
    <n v="0.443"/>
    <n v="27"/>
    <n v="11.961"/>
  </r>
  <r>
    <x v="1"/>
    <x v="2449"/>
    <x v="2428"/>
    <x v="3"/>
    <x v="2"/>
    <n v="29.396999999999998"/>
    <n v="1"/>
    <n v="29.396999999999998"/>
  </r>
  <r>
    <x v="1"/>
    <x v="2450"/>
    <x v="887"/>
    <x v="3"/>
    <x v="2"/>
    <n v="0.70950000000000002"/>
    <n v="1"/>
    <n v="0.70950000000000002"/>
  </r>
  <r>
    <x v="2"/>
    <x v="2450"/>
    <x v="887"/>
    <x v="3"/>
    <x v="2"/>
    <n v="0.70950000000000002"/>
    <n v="1"/>
    <n v="0.70950000000000002"/>
  </r>
  <r>
    <x v="1"/>
    <x v="2451"/>
    <x v="2429"/>
    <x v="3"/>
    <x v="2"/>
    <n v="3.9973999999999998"/>
    <n v="8"/>
    <n v="31.979199999999999"/>
  </r>
  <r>
    <x v="2"/>
    <x v="2451"/>
    <x v="2429"/>
    <x v="3"/>
    <x v="2"/>
    <n v="3.9973999999999998"/>
    <n v="8"/>
    <n v="31.979199999999999"/>
  </r>
  <r>
    <x v="1"/>
    <x v="2452"/>
    <x v="2430"/>
    <x v="3"/>
    <x v="2"/>
    <n v="2.9079999999999999"/>
    <n v="4"/>
    <n v="11.632"/>
  </r>
  <r>
    <x v="1"/>
    <x v="2453"/>
    <x v="2431"/>
    <x v="3"/>
    <x v="2"/>
    <n v="1.19"/>
    <n v="1"/>
    <n v="1.19"/>
  </r>
  <r>
    <x v="1"/>
    <x v="2454"/>
    <x v="2432"/>
    <x v="3"/>
    <x v="2"/>
    <n v="2.0011999999999999"/>
    <n v="4"/>
    <n v="8.0047999999999995"/>
  </r>
  <r>
    <x v="2"/>
    <x v="2454"/>
    <x v="2432"/>
    <x v="3"/>
    <x v="2"/>
    <n v="2.0011999999999999"/>
    <n v="4"/>
    <n v="8.0047999999999995"/>
  </r>
  <r>
    <x v="1"/>
    <x v="2455"/>
    <x v="2433"/>
    <x v="3"/>
    <x v="2"/>
    <n v="19.690000000000001"/>
    <n v="2"/>
    <n v="39.380000000000003"/>
  </r>
  <r>
    <x v="1"/>
    <x v="2456"/>
    <x v="2434"/>
    <x v="38"/>
    <x v="2"/>
    <n v="17.875"/>
    <n v="3"/>
    <n v="53.625"/>
  </r>
  <r>
    <x v="1"/>
    <x v="2457"/>
    <x v="2435"/>
    <x v="3"/>
    <x v="2"/>
    <n v="7.5449999999999999"/>
    <n v="1"/>
    <n v="7.5449999999999999"/>
  </r>
  <r>
    <x v="1"/>
    <x v="2458"/>
    <x v="2436"/>
    <x v="3"/>
    <x v="2"/>
    <n v="0.86"/>
    <n v="1"/>
    <n v="0.86"/>
  </r>
  <r>
    <x v="2"/>
    <x v="2459"/>
    <x v="2437"/>
    <x v="3"/>
    <x v="2"/>
    <n v="0.71220000000000006"/>
    <n v="2"/>
    <n v="1.4244000000000001"/>
  </r>
  <r>
    <x v="1"/>
    <x v="2459"/>
    <x v="2437"/>
    <x v="3"/>
    <x v="2"/>
    <n v="0.71220000000000006"/>
    <n v="2"/>
    <n v="1.4244000000000001"/>
  </r>
  <r>
    <x v="2"/>
    <x v="2460"/>
    <x v="2438"/>
    <x v="3"/>
    <x v="2"/>
    <n v="0.69550000000000001"/>
    <n v="2"/>
    <n v="1.391"/>
  </r>
  <r>
    <x v="1"/>
    <x v="2460"/>
    <x v="2438"/>
    <x v="3"/>
    <x v="2"/>
    <n v="0.69550000000000001"/>
    <n v="2"/>
    <n v="1.391"/>
  </r>
  <r>
    <x v="1"/>
    <x v="2461"/>
    <x v="2439"/>
    <x v="34"/>
    <x v="2"/>
    <n v="6.5743"/>
    <n v="1"/>
    <n v="6.5743"/>
  </r>
  <r>
    <x v="2"/>
    <x v="2461"/>
    <x v="2439"/>
    <x v="34"/>
    <x v="2"/>
    <n v="6.5743"/>
    <n v="1"/>
    <n v="6.5743"/>
  </r>
  <r>
    <x v="1"/>
    <x v="2462"/>
    <x v="2440"/>
    <x v="34"/>
    <x v="2"/>
    <n v="5.3620999999999999"/>
    <n v="1"/>
    <n v="5.3620999999999999"/>
  </r>
  <r>
    <x v="2"/>
    <x v="2462"/>
    <x v="2440"/>
    <x v="34"/>
    <x v="2"/>
    <n v="5.3620999999999999"/>
    <n v="1"/>
    <n v="5.3620999999999999"/>
  </r>
  <r>
    <x v="1"/>
    <x v="2463"/>
    <x v="2441"/>
    <x v="34"/>
    <x v="2"/>
    <n v="4.4851999999999999"/>
    <n v="1"/>
    <n v="4.4851999999999999"/>
  </r>
  <r>
    <x v="2"/>
    <x v="2463"/>
    <x v="2441"/>
    <x v="34"/>
    <x v="2"/>
    <n v="4.4851999999999999"/>
    <n v="1"/>
    <n v="4.4851999999999999"/>
  </r>
  <r>
    <x v="1"/>
    <x v="2464"/>
    <x v="1045"/>
    <x v="3"/>
    <x v="2"/>
    <n v="1.1850000000000001"/>
    <n v="5"/>
    <n v="5.9250000000000007"/>
  </r>
  <r>
    <x v="1"/>
    <x v="2465"/>
    <x v="1406"/>
    <x v="3"/>
    <x v="2"/>
    <n v="1.4890000000000001"/>
    <n v="1"/>
    <n v="1.4890000000000001"/>
  </r>
  <r>
    <x v="1"/>
    <x v="2466"/>
    <x v="2442"/>
    <x v="3"/>
    <x v="2"/>
    <n v="9.1379999999999999"/>
    <n v="4"/>
    <n v="36.552"/>
  </r>
  <r>
    <x v="1"/>
    <x v="2467"/>
    <x v="2443"/>
    <x v="3"/>
    <x v="2"/>
    <n v="1.3823000000000001"/>
    <n v="10"/>
    <n v="13.823"/>
  </r>
  <r>
    <x v="2"/>
    <x v="2467"/>
    <x v="2443"/>
    <x v="3"/>
    <x v="2"/>
    <n v="1.3823000000000001"/>
    <n v="10"/>
    <n v="13.823"/>
  </r>
  <r>
    <x v="1"/>
    <x v="2468"/>
    <x v="2444"/>
    <x v="3"/>
    <x v="2"/>
    <n v="10.361000000000001"/>
    <n v="33"/>
    <n v="341.91300000000001"/>
  </r>
  <r>
    <x v="1"/>
    <x v="2469"/>
    <x v="2445"/>
    <x v="3"/>
    <x v="2"/>
    <n v="0.69869999999999999"/>
    <n v="2"/>
    <n v="1.3974"/>
  </r>
  <r>
    <x v="2"/>
    <x v="2469"/>
    <x v="2445"/>
    <x v="3"/>
    <x v="2"/>
    <n v="0.69869999999999999"/>
    <n v="2"/>
    <n v="1.3974"/>
  </r>
  <r>
    <x v="1"/>
    <x v="2470"/>
    <x v="2446"/>
    <x v="3"/>
    <x v="2"/>
    <n v="0.81940000000000002"/>
    <n v="2"/>
    <n v="1.6388"/>
  </r>
  <r>
    <x v="2"/>
    <x v="2470"/>
    <x v="2446"/>
    <x v="3"/>
    <x v="2"/>
    <n v="0.81940000000000002"/>
    <n v="2"/>
    <n v="1.6388"/>
  </r>
  <r>
    <x v="1"/>
    <x v="2471"/>
    <x v="2447"/>
    <x v="3"/>
    <x v="2"/>
    <n v="8.0239999999999991"/>
    <n v="10"/>
    <n v="80.239999999999995"/>
  </r>
  <r>
    <x v="2"/>
    <x v="2472"/>
    <x v="2448"/>
    <x v="3"/>
    <x v="2"/>
    <n v="0.44500000000000001"/>
    <n v="126"/>
    <n v="56.07"/>
  </r>
  <r>
    <x v="1"/>
    <x v="2472"/>
    <x v="2448"/>
    <x v="3"/>
    <x v="2"/>
    <n v="0.44500000000000001"/>
    <n v="126"/>
    <n v="56.07"/>
  </r>
  <r>
    <x v="1"/>
    <x v="2473"/>
    <x v="2449"/>
    <x v="3"/>
    <x v="2"/>
    <n v="0.45760000000000001"/>
    <n v="17"/>
    <n v="7.7792000000000003"/>
  </r>
  <r>
    <x v="2"/>
    <x v="2473"/>
    <x v="2449"/>
    <x v="3"/>
    <x v="2"/>
    <n v="0.45760000000000001"/>
    <n v="17"/>
    <n v="7.7792000000000003"/>
  </r>
  <r>
    <x v="1"/>
    <x v="2474"/>
    <x v="2450"/>
    <x v="3"/>
    <x v="2"/>
    <n v="7.58"/>
    <n v="3"/>
    <n v="22.740000000000002"/>
  </r>
  <r>
    <x v="1"/>
    <x v="2475"/>
    <x v="2451"/>
    <x v="3"/>
    <x v="2"/>
    <n v="8.0573999999999995"/>
    <n v="8"/>
    <n v="64.459199999999996"/>
  </r>
  <r>
    <x v="2"/>
    <x v="2475"/>
    <x v="2451"/>
    <x v="3"/>
    <x v="2"/>
    <n v="8.0573999999999995"/>
    <n v="8"/>
    <n v="64.459199999999996"/>
  </r>
  <r>
    <x v="1"/>
    <x v="2476"/>
    <x v="2452"/>
    <x v="3"/>
    <x v="2"/>
    <n v="6.7923999999999998"/>
    <n v="7"/>
    <n v="47.546799999999998"/>
  </r>
  <r>
    <x v="2"/>
    <x v="2476"/>
    <x v="2452"/>
    <x v="3"/>
    <x v="2"/>
    <n v="6.7923999999999998"/>
    <n v="7"/>
    <n v="47.546799999999998"/>
  </r>
  <r>
    <x v="1"/>
    <x v="2477"/>
    <x v="2453"/>
    <x v="3"/>
    <x v="2"/>
    <n v="26.954999999999998"/>
    <n v="1"/>
    <n v="26.954999999999998"/>
  </r>
  <r>
    <x v="1"/>
    <x v="2478"/>
    <x v="2454"/>
    <x v="3"/>
    <x v="2"/>
    <n v="7.3868"/>
    <n v="4"/>
    <n v="29.5472"/>
  </r>
  <r>
    <x v="2"/>
    <x v="2478"/>
    <x v="2454"/>
    <x v="3"/>
    <x v="2"/>
    <n v="7.3868"/>
    <n v="4"/>
    <n v="29.5472"/>
  </r>
  <r>
    <x v="1"/>
    <x v="2479"/>
    <x v="2455"/>
    <x v="3"/>
    <x v="2"/>
    <n v="1.5586"/>
    <n v="3"/>
    <n v="4.6757999999999997"/>
  </r>
  <r>
    <x v="2"/>
    <x v="2479"/>
    <x v="2455"/>
    <x v="3"/>
    <x v="2"/>
    <n v="1.5586"/>
    <n v="3"/>
    <n v="4.6757999999999997"/>
  </r>
  <r>
    <x v="1"/>
    <x v="2480"/>
    <x v="2456"/>
    <x v="3"/>
    <x v="2"/>
    <n v="8.6181999999999999"/>
    <n v="2"/>
    <n v="17.2364"/>
  </r>
  <r>
    <x v="2"/>
    <x v="2480"/>
    <x v="2456"/>
    <x v="3"/>
    <x v="2"/>
    <n v="8.6181999999999999"/>
    <n v="2"/>
    <n v="17.2364"/>
  </r>
  <r>
    <x v="2"/>
    <x v="2481"/>
    <x v="2457"/>
    <x v="3"/>
    <x v="2"/>
    <n v="1.1782999999999999"/>
    <n v="9"/>
    <n v="10.604699999999999"/>
  </r>
  <r>
    <x v="1"/>
    <x v="2481"/>
    <x v="2457"/>
    <x v="3"/>
    <x v="2"/>
    <n v="1.1782999999999999"/>
    <n v="9"/>
    <n v="10.604699999999999"/>
  </r>
  <r>
    <x v="1"/>
    <x v="2482"/>
    <x v="2458"/>
    <x v="3"/>
    <x v="2"/>
    <n v="5.6159999999999997"/>
    <n v="2"/>
    <n v="11.231999999999999"/>
  </r>
  <r>
    <x v="2"/>
    <x v="2482"/>
    <x v="2458"/>
    <x v="3"/>
    <x v="2"/>
    <n v="5.6159999999999997"/>
    <n v="2"/>
    <n v="11.231999999999999"/>
  </r>
  <r>
    <x v="1"/>
    <x v="2483"/>
    <x v="2459"/>
    <x v="3"/>
    <x v="2"/>
    <n v="0.85460000000000003"/>
    <n v="11"/>
    <n v="9.4006000000000007"/>
  </r>
  <r>
    <x v="2"/>
    <x v="2483"/>
    <x v="2459"/>
    <x v="3"/>
    <x v="2"/>
    <n v="0.85460000000000003"/>
    <n v="11"/>
    <n v="9.4006000000000007"/>
  </r>
  <r>
    <x v="2"/>
    <x v="2484"/>
    <x v="2460"/>
    <x v="3"/>
    <x v="2"/>
    <n v="1.1449"/>
    <n v="2"/>
    <n v="2.2898000000000001"/>
  </r>
  <r>
    <x v="1"/>
    <x v="2484"/>
    <x v="2460"/>
    <x v="3"/>
    <x v="2"/>
    <n v="1.1449"/>
    <n v="2"/>
    <n v="2.2898000000000001"/>
  </r>
  <r>
    <x v="2"/>
    <x v="2485"/>
    <x v="2461"/>
    <x v="3"/>
    <x v="2"/>
    <n v="14.6798"/>
    <n v="9"/>
    <n v="132.1182"/>
  </r>
  <r>
    <x v="1"/>
    <x v="2485"/>
    <x v="2461"/>
    <x v="3"/>
    <x v="2"/>
    <n v="14.6798"/>
    <n v="9"/>
    <n v="132.1182"/>
  </r>
  <r>
    <x v="1"/>
    <x v="2486"/>
    <x v="2462"/>
    <x v="3"/>
    <x v="2"/>
    <n v="0.254"/>
    <n v="23"/>
    <n v="5.8420000000000005"/>
  </r>
  <r>
    <x v="1"/>
    <x v="2487"/>
    <x v="2463"/>
    <x v="3"/>
    <x v="2"/>
    <n v="0.37"/>
    <n v="17"/>
    <n v="6.29"/>
  </r>
  <r>
    <x v="1"/>
    <x v="2488"/>
    <x v="2464"/>
    <x v="3"/>
    <x v="2"/>
    <n v="0.48499999999999999"/>
    <n v="14"/>
    <n v="6.79"/>
  </r>
  <r>
    <x v="1"/>
    <x v="2489"/>
    <x v="2465"/>
    <x v="35"/>
    <x v="2"/>
    <n v="5.0279999999999996"/>
    <n v="2"/>
    <n v="10.055999999999999"/>
  </r>
  <r>
    <x v="1"/>
    <x v="2490"/>
    <x v="2466"/>
    <x v="3"/>
    <x v="2"/>
    <n v="0.24199999999999999"/>
    <n v="24"/>
    <n v="5.8079999999999998"/>
  </r>
  <r>
    <x v="2"/>
    <x v="2491"/>
    <x v="2467"/>
    <x v="35"/>
    <x v="2"/>
    <n v="0.38569999999999999"/>
    <n v="3"/>
    <n v="1.1571"/>
  </r>
  <r>
    <x v="1"/>
    <x v="2491"/>
    <x v="2467"/>
    <x v="35"/>
    <x v="2"/>
    <n v="0.38569999999999999"/>
    <n v="3"/>
    <n v="1.1571"/>
  </r>
  <r>
    <x v="1"/>
    <x v="2492"/>
    <x v="2468"/>
    <x v="35"/>
    <x v="2"/>
    <n v="0.55500000000000005"/>
    <n v="1"/>
    <n v="0.55500000000000005"/>
  </r>
  <r>
    <x v="1"/>
    <x v="2493"/>
    <x v="809"/>
    <x v="35"/>
    <x v="2"/>
    <n v="29.638000000000002"/>
    <n v="1"/>
    <n v="29.638000000000002"/>
  </r>
  <r>
    <x v="2"/>
    <x v="2494"/>
    <x v="1429"/>
    <x v="35"/>
    <x v="2"/>
    <n v="2.5720000000000001"/>
    <n v="2"/>
    <n v="5.1440000000000001"/>
  </r>
  <r>
    <x v="1"/>
    <x v="2494"/>
    <x v="1429"/>
    <x v="35"/>
    <x v="2"/>
    <n v="2.5720000000000001"/>
    <n v="2"/>
    <n v="5.1440000000000001"/>
  </r>
  <r>
    <x v="2"/>
    <x v="2495"/>
    <x v="2469"/>
    <x v="35"/>
    <x v="2"/>
    <n v="4.9922000000000004"/>
    <n v="7"/>
    <n v="34.945400000000006"/>
  </r>
  <r>
    <x v="1"/>
    <x v="2495"/>
    <x v="2469"/>
    <x v="35"/>
    <x v="2"/>
    <n v="4.9922000000000004"/>
    <n v="7"/>
    <n v="34.945400000000006"/>
  </r>
  <r>
    <x v="1"/>
    <x v="2496"/>
    <x v="2470"/>
    <x v="35"/>
    <x v="2"/>
    <n v="7.0359999999999996"/>
    <n v="7"/>
    <n v="49.251999999999995"/>
  </r>
  <r>
    <x v="1"/>
    <x v="2497"/>
    <x v="2471"/>
    <x v="35"/>
    <x v="2"/>
    <n v="0.4"/>
    <n v="3"/>
    <n v="1.2000000000000002"/>
  </r>
  <r>
    <x v="1"/>
    <x v="2498"/>
    <x v="2472"/>
    <x v="35"/>
    <x v="2"/>
    <n v="3.7250000000000001"/>
    <n v="6"/>
    <n v="22.35"/>
  </r>
  <r>
    <x v="1"/>
    <x v="2499"/>
    <x v="2473"/>
    <x v="35"/>
    <x v="2"/>
    <n v="9.9670000000000005"/>
    <n v="5"/>
    <n v="49.835000000000001"/>
  </r>
  <r>
    <x v="1"/>
    <x v="2500"/>
    <x v="2474"/>
    <x v="35"/>
    <x v="2"/>
    <n v="34.207999999999998"/>
    <n v="3"/>
    <n v="102.624"/>
  </r>
  <r>
    <x v="1"/>
    <x v="2501"/>
    <x v="2475"/>
    <x v="35"/>
    <x v="2"/>
    <n v="26.45"/>
    <n v="1"/>
    <n v="26.45"/>
  </r>
  <r>
    <x v="1"/>
    <x v="2502"/>
    <x v="2476"/>
    <x v="35"/>
    <x v="2"/>
    <n v="30.135000000000002"/>
    <n v="1"/>
    <n v="30.135000000000002"/>
  </r>
  <r>
    <x v="1"/>
    <x v="2503"/>
    <x v="2477"/>
    <x v="51"/>
    <x v="2"/>
    <n v="34.5"/>
    <n v="1"/>
    <n v="34.5"/>
  </r>
  <r>
    <x v="1"/>
    <x v="2504"/>
    <x v="2478"/>
    <x v="35"/>
    <x v="2"/>
    <n v="3.718"/>
    <n v="7"/>
    <n v="26.026"/>
  </r>
  <r>
    <x v="2"/>
    <x v="2505"/>
    <x v="2479"/>
    <x v="35"/>
    <x v="2"/>
    <n v="6.3102"/>
    <n v="50"/>
    <n v="315.51"/>
  </r>
  <r>
    <x v="1"/>
    <x v="2505"/>
    <x v="2479"/>
    <x v="35"/>
    <x v="2"/>
    <n v="6.3102"/>
    <n v="50"/>
    <n v="315.51"/>
  </r>
  <r>
    <x v="1"/>
    <x v="2506"/>
    <x v="1352"/>
    <x v="35"/>
    <x v="2"/>
    <n v="1.93"/>
    <n v="5"/>
    <n v="9.65"/>
  </r>
  <r>
    <x v="1"/>
    <x v="2507"/>
    <x v="2480"/>
    <x v="35"/>
    <x v="2"/>
    <n v="3.8769"/>
    <n v="14"/>
    <n v="54.276600000000002"/>
  </r>
  <r>
    <x v="2"/>
    <x v="2507"/>
    <x v="2480"/>
    <x v="35"/>
    <x v="2"/>
    <n v="3.8769"/>
    <n v="14"/>
    <n v="54.276600000000002"/>
  </r>
  <r>
    <x v="1"/>
    <x v="2508"/>
    <x v="2481"/>
    <x v="35"/>
    <x v="2"/>
    <n v="15.937200000000001"/>
    <n v="2"/>
    <n v="31.874400000000001"/>
  </r>
  <r>
    <x v="2"/>
    <x v="2508"/>
    <x v="2481"/>
    <x v="35"/>
    <x v="2"/>
    <n v="15.937200000000001"/>
    <n v="2"/>
    <n v="31.874400000000001"/>
  </r>
  <r>
    <x v="1"/>
    <x v="2509"/>
    <x v="924"/>
    <x v="35"/>
    <x v="2"/>
    <n v="38.666499999999999"/>
    <n v="1"/>
    <n v="38.666499999999999"/>
  </r>
  <r>
    <x v="2"/>
    <x v="2509"/>
    <x v="924"/>
    <x v="35"/>
    <x v="2"/>
    <n v="38.666499999999999"/>
    <n v="1"/>
    <n v="38.666499999999999"/>
  </r>
  <r>
    <x v="1"/>
    <x v="2510"/>
    <x v="2482"/>
    <x v="35"/>
    <x v="2"/>
    <n v="13.132999999999999"/>
    <n v="5"/>
    <n v="65.664999999999992"/>
  </r>
  <r>
    <x v="1"/>
    <x v="2511"/>
    <x v="2483"/>
    <x v="35"/>
    <x v="2"/>
    <n v="15.313599999999999"/>
    <n v="10"/>
    <n v="153.136"/>
  </r>
  <r>
    <x v="2"/>
    <x v="2511"/>
    <x v="2483"/>
    <x v="35"/>
    <x v="2"/>
    <n v="15.313599999999999"/>
    <n v="10"/>
    <n v="153.136"/>
  </r>
  <r>
    <x v="1"/>
    <x v="2512"/>
    <x v="2484"/>
    <x v="35"/>
    <x v="2"/>
    <n v="36.616999999999997"/>
    <n v="6"/>
    <n v="219.702"/>
  </r>
  <r>
    <x v="1"/>
    <x v="2513"/>
    <x v="828"/>
    <x v="3"/>
    <x v="2"/>
    <n v="6.47"/>
    <n v="1"/>
    <n v="6.47"/>
  </r>
  <r>
    <x v="1"/>
    <x v="2514"/>
    <x v="2485"/>
    <x v="35"/>
    <x v="2"/>
    <n v="15.923999999999999"/>
    <n v="3"/>
    <n v="47.771999999999998"/>
  </r>
  <r>
    <x v="2"/>
    <x v="2515"/>
    <x v="2486"/>
    <x v="3"/>
    <x v="2"/>
    <n v="2.8342000000000001"/>
    <n v="3"/>
    <n v="8.502600000000001"/>
  </r>
  <r>
    <x v="1"/>
    <x v="2515"/>
    <x v="2486"/>
    <x v="3"/>
    <x v="2"/>
    <n v="2.8342000000000001"/>
    <n v="3"/>
    <n v="8.502600000000001"/>
  </r>
  <r>
    <x v="1"/>
    <x v="2516"/>
    <x v="2487"/>
    <x v="3"/>
    <x v="2"/>
    <n v="0.64280000000000004"/>
    <n v="8"/>
    <n v="5.1424000000000003"/>
  </r>
  <r>
    <x v="2"/>
    <x v="2516"/>
    <x v="2487"/>
    <x v="3"/>
    <x v="2"/>
    <n v="0.64280000000000004"/>
    <n v="8"/>
    <n v="5.1424000000000003"/>
  </r>
  <r>
    <x v="1"/>
    <x v="2517"/>
    <x v="2488"/>
    <x v="37"/>
    <x v="2"/>
    <n v="0.2944"/>
    <n v="58"/>
    <n v="17.075199999999999"/>
  </r>
  <r>
    <x v="1"/>
    <x v="2518"/>
    <x v="2489"/>
    <x v="37"/>
    <x v="2"/>
    <n v="31.7"/>
    <n v="4"/>
    <n v="126.8"/>
  </r>
  <r>
    <x v="1"/>
    <x v="2519"/>
    <x v="2490"/>
    <x v="38"/>
    <x v="2"/>
    <n v="32.036999999999999"/>
    <n v="3"/>
    <n v="96.11099999999999"/>
  </r>
  <r>
    <x v="2"/>
    <x v="2520"/>
    <x v="2491"/>
    <x v="34"/>
    <x v="2"/>
    <n v="9.6882999999999999"/>
    <n v="8"/>
    <n v="77.506399999999999"/>
  </r>
  <r>
    <x v="1"/>
    <x v="2520"/>
    <x v="2491"/>
    <x v="34"/>
    <x v="2"/>
    <n v="9.6882999999999999"/>
    <n v="8"/>
    <n v="77.506399999999999"/>
  </r>
  <r>
    <x v="1"/>
    <x v="2521"/>
    <x v="2492"/>
    <x v="37"/>
    <x v="2"/>
    <n v="3.83"/>
    <n v="2"/>
    <n v="7.66"/>
  </r>
  <r>
    <x v="1"/>
    <x v="2522"/>
    <x v="2493"/>
    <x v="3"/>
    <x v="2"/>
    <n v="4.875"/>
    <n v="36"/>
    <n v="175.5"/>
  </r>
  <r>
    <x v="1"/>
    <x v="2523"/>
    <x v="2494"/>
    <x v="40"/>
    <x v="2"/>
    <n v="26.7346"/>
    <n v="26"/>
    <n v="695.09960000000001"/>
  </r>
  <r>
    <x v="2"/>
    <x v="2523"/>
    <x v="2494"/>
    <x v="40"/>
    <x v="2"/>
    <n v="26.7346"/>
    <n v="26"/>
    <n v="695.09960000000001"/>
  </r>
  <r>
    <x v="1"/>
    <x v="2524"/>
    <x v="2495"/>
    <x v="3"/>
    <x v="2"/>
    <n v="0"/>
    <n v="1"/>
    <n v="0"/>
  </r>
  <r>
    <x v="1"/>
    <x v="2525"/>
    <x v="2496"/>
    <x v="37"/>
    <x v="2"/>
    <n v="2.11"/>
    <n v="2"/>
    <n v="4.22"/>
  </r>
  <r>
    <x v="2"/>
    <x v="2526"/>
    <x v="2497"/>
    <x v="3"/>
    <x v="2"/>
    <n v="36.433900000000001"/>
    <n v="2"/>
    <n v="72.867800000000003"/>
  </r>
  <r>
    <x v="1"/>
    <x v="2526"/>
    <x v="2497"/>
    <x v="3"/>
    <x v="2"/>
    <n v="36.433900000000001"/>
    <n v="2"/>
    <n v="72.867800000000003"/>
  </r>
  <r>
    <x v="1"/>
    <x v="2527"/>
    <x v="2498"/>
    <x v="51"/>
    <x v="2"/>
    <n v="0.83050000000000002"/>
    <n v="8"/>
    <n v="6.6440000000000001"/>
  </r>
  <r>
    <x v="2"/>
    <x v="2527"/>
    <x v="2498"/>
    <x v="51"/>
    <x v="2"/>
    <n v="0.83050000000000002"/>
    <n v="8"/>
    <n v="6.6440000000000001"/>
  </r>
  <r>
    <x v="1"/>
    <x v="2528"/>
    <x v="1213"/>
    <x v="3"/>
    <x v="2"/>
    <n v="24.590199999999999"/>
    <n v="29"/>
    <n v="713.11580000000004"/>
  </r>
  <r>
    <x v="2"/>
    <x v="2528"/>
    <x v="1213"/>
    <x v="3"/>
    <x v="2"/>
    <n v="24.590199999999999"/>
    <n v="29"/>
    <n v="713.11580000000004"/>
  </r>
  <r>
    <x v="1"/>
    <x v="2529"/>
    <x v="2499"/>
    <x v="3"/>
    <x v="2"/>
    <n v="11.71"/>
    <n v="12"/>
    <n v="140.52000000000001"/>
  </r>
  <r>
    <x v="1"/>
    <x v="2530"/>
    <x v="2500"/>
    <x v="3"/>
    <x v="2"/>
    <n v="39.884"/>
    <n v="4"/>
    <n v="159.536"/>
  </r>
  <r>
    <x v="1"/>
    <x v="2531"/>
    <x v="2501"/>
    <x v="3"/>
    <x v="2"/>
    <n v="2.0236999999999998"/>
    <n v="16"/>
    <n v="32.379199999999997"/>
  </r>
  <r>
    <x v="2"/>
    <x v="2531"/>
    <x v="2501"/>
    <x v="3"/>
    <x v="2"/>
    <n v="2.0236999999999998"/>
    <n v="16"/>
    <n v="32.379199999999997"/>
  </r>
  <r>
    <x v="1"/>
    <x v="2532"/>
    <x v="2502"/>
    <x v="3"/>
    <x v="2"/>
    <n v="1.8044"/>
    <n v="2"/>
    <n v="3.6088"/>
  </r>
  <r>
    <x v="2"/>
    <x v="2532"/>
    <x v="2502"/>
    <x v="3"/>
    <x v="2"/>
    <n v="1.8044"/>
    <n v="2"/>
    <n v="3.6088"/>
  </r>
  <r>
    <x v="1"/>
    <x v="2533"/>
    <x v="2503"/>
    <x v="3"/>
    <x v="2"/>
    <n v="24.446999999999999"/>
    <n v="3"/>
    <n v="73.340999999999994"/>
  </r>
  <r>
    <x v="1"/>
    <x v="2534"/>
    <x v="2504"/>
    <x v="3"/>
    <x v="2"/>
    <n v="7.7626999999999997"/>
    <n v="5"/>
    <n v="38.813499999999998"/>
  </r>
  <r>
    <x v="2"/>
    <x v="2534"/>
    <x v="2504"/>
    <x v="3"/>
    <x v="2"/>
    <n v="7.7626999999999997"/>
    <n v="5"/>
    <n v="38.813499999999998"/>
  </r>
  <r>
    <x v="1"/>
    <x v="2535"/>
    <x v="2505"/>
    <x v="3"/>
    <x v="2"/>
    <n v="6.4790000000000001"/>
    <n v="5"/>
    <n v="32.395000000000003"/>
  </r>
  <r>
    <x v="1"/>
    <x v="2536"/>
    <x v="2506"/>
    <x v="3"/>
    <x v="2"/>
    <n v="7.9580000000000002"/>
    <n v="3"/>
    <n v="23.874000000000002"/>
  </r>
  <r>
    <x v="2"/>
    <x v="2537"/>
    <x v="942"/>
    <x v="3"/>
    <x v="2"/>
    <n v="2.8123"/>
    <n v="10"/>
    <n v="28.123000000000001"/>
  </r>
  <r>
    <x v="1"/>
    <x v="2537"/>
    <x v="942"/>
    <x v="3"/>
    <x v="2"/>
    <n v="2.8123"/>
    <n v="10"/>
    <n v="28.123000000000001"/>
  </r>
  <r>
    <x v="1"/>
    <x v="2538"/>
    <x v="2507"/>
    <x v="3"/>
    <x v="2"/>
    <n v="6.9"/>
    <n v="17"/>
    <n v="117.30000000000001"/>
  </r>
  <r>
    <x v="2"/>
    <x v="2538"/>
    <x v="2507"/>
    <x v="3"/>
    <x v="2"/>
    <n v="6.9"/>
    <n v="17"/>
    <n v="117.30000000000001"/>
  </r>
  <r>
    <x v="1"/>
    <x v="2539"/>
    <x v="2508"/>
    <x v="3"/>
    <x v="2"/>
    <n v="30.0777"/>
    <n v="4"/>
    <n v="120.3108"/>
  </r>
  <r>
    <x v="2"/>
    <x v="2539"/>
    <x v="2508"/>
    <x v="3"/>
    <x v="2"/>
    <n v="30.0777"/>
    <n v="4"/>
    <n v="120.3108"/>
  </r>
  <r>
    <x v="2"/>
    <x v="2540"/>
    <x v="933"/>
    <x v="3"/>
    <x v="2"/>
    <n v="19.772200000000002"/>
    <n v="14"/>
    <n v="276.81080000000003"/>
  </r>
  <r>
    <x v="1"/>
    <x v="2540"/>
    <x v="933"/>
    <x v="3"/>
    <x v="2"/>
    <n v="19.772200000000002"/>
    <n v="14"/>
    <n v="276.81080000000003"/>
  </r>
  <r>
    <x v="1"/>
    <x v="2541"/>
    <x v="2509"/>
    <x v="3"/>
    <x v="2"/>
    <n v="2.0623"/>
    <n v="2"/>
    <n v="4.1246"/>
  </r>
  <r>
    <x v="2"/>
    <x v="2541"/>
    <x v="2509"/>
    <x v="3"/>
    <x v="2"/>
    <n v="2.0623"/>
    <n v="2"/>
    <n v="4.1246"/>
  </r>
  <r>
    <x v="1"/>
    <x v="2542"/>
    <x v="959"/>
    <x v="3"/>
    <x v="2"/>
    <n v="0.96970000000000001"/>
    <n v="4"/>
    <n v="3.8788"/>
  </r>
  <r>
    <x v="2"/>
    <x v="2542"/>
    <x v="959"/>
    <x v="3"/>
    <x v="2"/>
    <n v="0.96970000000000001"/>
    <n v="4"/>
    <n v="3.8788"/>
  </r>
  <r>
    <x v="1"/>
    <x v="2543"/>
    <x v="2510"/>
    <x v="3"/>
    <x v="2"/>
    <n v="30.669599999999999"/>
    <n v="9"/>
    <n v="276.02639999999997"/>
  </r>
  <r>
    <x v="2"/>
    <x v="2543"/>
    <x v="2510"/>
    <x v="3"/>
    <x v="2"/>
    <n v="30.669599999999999"/>
    <n v="9"/>
    <n v="276.02639999999997"/>
  </r>
  <r>
    <x v="1"/>
    <x v="2544"/>
    <x v="2511"/>
    <x v="3"/>
    <x v="2"/>
    <n v="0.28799999999999998"/>
    <n v="18"/>
    <n v="5.1839999999999993"/>
  </r>
  <r>
    <x v="1"/>
    <x v="2545"/>
    <x v="2512"/>
    <x v="3"/>
    <x v="2"/>
    <n v="12.6638"/>
    <n v="3"/>
    <n v="37.991399999999999"/>
  </r>
  <r>
    <x v="2"/>
    <x v="2545"/>
    <x v="2512"/>
    <x v="3"/>
    <x v="2"/>
    <n v="12.6638"/>
    <n v="3"/>
    <n v="37.991399999999999"/>
  </r>
  <r>
    <x v="1"/>
    <x v="2546"/>
    <x v="2513"/>
    <x v="3"/>
    <x v="2"/>
    <n v="0.26900000000000002"/>
    <n v="2"/>
    <n v="0.53800000000000003"/>
  </r>
  <r>
    <x v="1"/>
    <x v="2547"/>
    <x v="2514"/>
    <x v="3"/>
    <x v="2"/>
    <n v="0.88580000000000003"/>
    <n v="4"/>
    <n v="3.5432000000000001"/>
  </r>
  <r>
    <x v="2"/>
    <x v="2547"/>
    <x v="2514"/>
    <x v="3"/>
    <x v="2"/>
    <n v="0.88580000000000003"/>
    <n v="4"/>
    <n v="3.5432000000000001"/>
  </r>
  <r>
    <x v="2"/>
    <x v="2548"/>
    <x v="2515"/>
    <x v="3"/>
    <x v="2"/>
    <n v="2.4805999999999999"/>
    <n v="27"/>
    <n v="66.976199999999992"/>
  </r>
  <r>
    <x v="1"/>
    <x v="2548"/>
    <x v="2515"/>
    <x v="3"/>
    <x v="2"/>
    <n v="2.4805999999999999"/>
    <n v="27"/>
    <n v="66.976199999999992"/>
  </r>
  <r>
    <x v="1"/>
    <x v="2549"/>
    <x v="2516"/>
    <x v="3"/>
    <x v="2"/>
    <n v="21.002400000000002"/>
    <n v="5"/>
    <n v="105.012"/>
  </r>
  <r>
    <x v="2"/>
    <x v="2549"/>
    <x v="2516"/>
    <x v="3"/>
    <x v="2"/>
    <n v="21.002400000000002"/>
    <n v="5"/>
    <n v="105.012"/>
  </r>
  <r>
    <x v="1"/>
    <x v="2550"/>
    <x v="2517"/>
    <x v="3"/>
    <x v="2"/>
    <n v="22.556000000000001"/>
    <n v="1"/>
    <n v="22.556000000000001"/>
  </r>
  <r>
    <x v="1"/>
    <x v="2551"/>
    <x v="2518"/>
    <x v="3"/>
    <x v="2"/>
    <n v="0.48399999999999999"/>
    <n v="4"/>
    <n v="1.9359999999999999"/>
  </r>
  <r>
    <x v="1"/>
    <x v="2552"/>
    <x v="2519"/>
    <x v="3"/>
    <x v="2"/>
    <n v="3.282"/>
    <n v="5"/>
    <n v="16.41"/>
  </r>
  <r>
    <x v="1"/>
    <x v="2553"/>
    <x v="2520"/>
    <x v="3"/>
    <x v="2"/>
    <n v="21.7"/>
    <n v="4"/>
    <n v="86.8"/>
  </r>
  <r>
    <x v="1"/>
    <x v="2554"/>
    <x v="2521"/>
    <x v="3"/>
    <x v="2"/>
    <n v="12.860300000000001"/>
    <n v="7"/>
    <n v="90.022100000000009"/>
  </r>
  <r>
    <x v="2"/>
    <x v="2554"/>
    <x v="2521"/>
    <x v="3"/>
    <x v="2"/>
    <n v="12.860300000000001"/>
    <n v="7"/>
    <n v="90.022100000000009"/>
  </r>
  <r>
    <x v="1"/>
    <x v="2555"/>
    <x v="2522"/>
    <x v="3"/>
    <x v="2"/>
    <n v="28.98"/>
    <n v="10"/>
    <n v="289.8"/>
  </r>
  <r>
    <x v="1"/>
    <x v="2556"/>
    <x v="2523"/>
    <x v="3"/>
    <x v="2"/>
    <n v="17.445"/>
    <n v="24"/>
    <n v="418.68"/>
  </r>
  <r>
    <x v="1"/>
    <x v="2557"/>
    <x v="2524"/>
    <x v="3"/>
    <x v="2"/>
    <n v="15.061"/>
    <n v="10"/>
    <n v="150.61000000000001"/>
  </r>
  <r>
    <x v="0"/>
    <x v="2558"/>
    <x v="2525"/>
    <x v="34"/>
    <x v="2"/>
    <n v="19.308299999999999"/>
    <n v="38"/>
    <n v="733.71539999999993"/>
  </r>
  <r>
    <x v="1"/>
    <x v="2558"/>
    <x v="2525"/>
    <x v="34"/>
    <x v="2"/>
    <n v="19.308299999999999"/>
    <n v="38"/>
    <n v="733.71539999999993"/>
  </r>
  <r>
    <x v="2"/>
    <x v="2558"/>
    <x v="2525"/>
    <x v="34"/>
    <x v="2"/>
    <n v="19.308299999999999"/>
    <n v="38"/>
    <n v="733.71539999999993"/>
  </r>
  <r>
    <x v="1"/>
    <x v="2559"/>
    <x v="2526"/>
    <x v="3"/>
    <x v="2"/>
    <n v="20.344999999999999"/>
    <n v="1"/>
    <n v="20.344999999999999"/>
  </r>
  <r>
    <x v="1"/>
    <x v="2560"/>
    <x v="2527"/>
    <x v="3"/>
    <x v="2"/>
    <n v="21.66"/>
    <n v="1"/>
    <n v="21.66"/>
  </r>
  <r>
    <x v="1"/>
    <x v="2561"/>
    <x v="2528"/>
    <x v="36"/>
    <x v="2"/>
    <n v="11.654"/>
    <n v="2"/>
    <n v="23.308"/>
  </r>
  <r>
    <x v="1"/>
    <x v="2562"/>
    <x v="2529"/>
    <x v="37"/>
    <x v="2"/>
    <n v="0"/>
    <n v="1"/>
    <n v="0"/>
  </r>
  <r>
    <x v="1"/>
    <x v="2563"/>
    <x v="2530"/>
    <x v="37"/>
    <x v="2"/>
    <n v="2.99"/>
    <n v="6"/>
    <n v="17.940000000000001"/>
  </r>
  <r>
    <x v="1"/>
    <x v="2564"/>
    <x v="2531"/>
    <x v="3"/>
    <x v="2"/>
    <n v="17.475000000000001"/>
    <n v="1"/>
    <n v="17.475000000000001"/>
  </r>
  <r>
    <x v="1"/>
    <x v="2565"/>
    <x v="2532"/>
    <x v="3"/>
    <x v="2"/>
    <n v="0.28999999999999998"/>
    <n v="10"/>
    <n v="2.9"/>
  </r>
  <r>
    <x v="1"/>
    <x v="2566"/>
    <x v="2533"/>
    <x v="3"/>
    <x v="2"/>
    <n v="9.7430000000000003"/>
    <n v="5"/>
    <n v="48.715000000000003"/>
  </r>
  <r>
    <x v="1"/>
    <x v="2567"/>
    <x v="2534"/>
    <x v="3"/>
    <x v="2"/>
    <n v="12.9499"/>
    <n v="7"/>
    <n v="90.649299999999997"/>
  </r>
  <r>
    <x v="2"/>
    <x v="2567"/>
    <x v="2534"/>
    <x v="3"/>
    <x v="2"/>
    <n v="12.9499"/>
    <n v="7"/>
    <n v="90.649299999999997"/>
  </r>
  <r>
    <x v="1"/>
    <x v="2568"/>
    <x v="2535"/>
    <x v="3"/>
    <x v="2"/>
    <n v="0.98199999999999998"/>
    <n v="1"/>
    <n v="0.98199999999999998"/>
  </r>
  <r>
    <x v="1"/>
    <x v="2569"/>
    <x v="2536"/>
    <x v="44"/>
    <x v="2"/>
    <n v="0.55200000000000005"/>
    <n v="2"/>
    <n v="1.1040000000000001"/>
  </r>
  <r>
    <x v="1"/>
    <x v="2570"/>
    <x v="2537"/>
    <x v="3"/>
    <x v="2"/>
    <n v="1.994"/>
    <n v="8"/>
    <n v="15.952"/>
  </r>
  <r>
    <x v="1"/>
    <x v="2571"/>
    <x v="2538"/>
    <x v="3"/>
    <x v="2"/>
    <n v="3.4055"/>
    <n v="2"/>
    <n v="6.8109999999999999"/>
  </r>
  <r>
    <x v="2"/>
    <x v="2571"/>
    <x v="2538"/>
    <x v="3"/>
    <x v="2"/>
    <n v="3.4055"/>
    <n v="2"/>
    <n v="6.8109999999999999"/>
  </r>
  <r>
    <x v="1"/>
    <x v="2572"/>
    <x v="2539"/>
    <x v="3"/>
    <x v="2"/>
    <n v="15.25"/>
    <n v="1"/>
    <n v="15.25"/>
  </r>
  <r>
    <x v="1"/>
    <x v="2573"/>
    <x v="2540"/>
    <x v="3"/>
    <x v="2"/>
    <n v="20.369"/>
    <n v="1"/>
    <n v="20.369"/>
  </r>
  <r>
    <x v="1"/>
    <x v="2574"/>
    <x v="2541"/>
    <x v="3"/>
    <x v="2"/>
    <n v="24.457999999999998"/>
    <n v="2"/>
    <n v="48.915999999999997"/>
  </r>
  <r>
    <x v="1"/>
    <x v="2575"/>
    <x v="2542"/>
    <x v="3"/>
    <x v="2"/>
    <n v="2.6312000000000002"/>
    <n v="3"/>
    <n v="7.8936000000000011"/>
  </r>
  <r>
    <x v="2"/>
    <x v="2575"/>
    <x v="2542"/>
    <x v="3"/>
    <x v="2"/>
    <n v="2.6312000000000002"/>
    <n v="3"/>
    <n v="7.8936000000000011"/>
  </r>
  <r>
    <x v="1"/>
    <x v="2576"/>
    <x v="2543"/>
    <x v="3"/>
    <x v="2"/>
    <n v="36.149000000000001"/>
    <n v="4"/>
    <n v="144.596"/>
  </r>
  <r>
    <x v="1"/>
    <x v="2577"/>
    <x v="2544"/>
    <x v="3"/>
    <x v="2"/>
    <n v="2.6339999999999999"/>
    <n v="8"/>
    <n v="21.071999999999999"/>
  </r>
  <r>
    <x v="2"/>
    <x v="2578"/>
    <x v="2545"/>
    <x v="3"/>
    <x v="2"/>
    <n v="16.997"/>
    <n v="27"/>
    <n v="458.91899999999998"/>
  </r>
  <r>
    <x v="1"/>
    <x v="2578"/>
    <x v="2545"/>
    <x v="3"/>
    <x v="2"/>
    <n v="16.997"/>
    <n v="27"/>
    <n v="458.91899999999998"/>
  </r>
  <r>
    <x v="1"/>
    <x v="2579"/>
    <x v="2546"/>
    <x v="37"/>
    <x v="2"/>
    <n v="15.8188"/>
    <n v="14"/>
    <n v="221.4632"/>
  </r>
  <r>
    <x v="2"/>
    <x v="2579"/>
    <x v="2546"/>
    <x v="37"/>
    <x v="2"/>
    <n v="15.8188"/>
    <n v="14"/>
    <n v="221.4632"/>
  </r>
  <r>
    <x v="1"/>
    <x v="2580"/>
    <x v="2547"/>
    <x v="44"/>
    <x v="2"/>
    <n v="12.606999999999999"/>
    <n v="3"/>
    <n v="37.820999999999998"/>
  </r>
  <r>
    <x v="1"/>
    <x v="2581"/>
    <x v="2548"/>
    <x v="34"/>
    <x v="2"/>
    <n v="2.2229999999999999"/>
    <n v="11"/>
    <n v="24.452999999999999"/>
  </r>
  <r>
    <x v="1"/>
    <x v="2582"/>
    <x v="2549"/>
    <x v="3"/>
    <x v="2"/>
    <n v="78.229100000000003"/>
    <n v="3"/>
    <n v="234.68729999999999"/>
  </r>
  <r>
    <x v="1"/>
    <x v="2583"/>
    <x v="2550"/>
    <x v="3"/>
    <x v="2"/>
    <n v="0.68030000000000002"/>
    <n v="212"/>
    <n v="144.2236"/>
  </r>
  <r>
    <x v="2"/>
    <x v="2583"/>
    <x v="2550"/>
    <x v="3"/>
    <x v="2"/>
    <n v="0.68030000000000002"/>
    <n v="212"/>
    <n v="144.2236"/>
  </r>
  <r>
    <x v="1"/>
    <x v="2584"/>
    <x v="2551"/>
    <x v="3"/>
    <x v="2"/>
    <n v="9.9600000000000009"/>
    <n v="1"/>
    <n v="9.9600000000000009"/>
  </r>
  <r>
    <x v="2"/>
    <x v="2585"/>
    <x v="2552"/>
    <x v="3"/>
    <x v="2"/>
    <n v="19.419599999999999"/>
    <n v="2"/>
    <n v="38.839199999999998"/>
  </r>
  <r>
    <x v="1"/>
    <x v="2585"/>
    <x v="2552"/>
    <x v="3"/>
    <x v="2"/>
    <n v="19.419599999999999"/>
    <n v="2"/>
    <n v="38.839199999999998"/>
  </r>
  <r>
    <x v="1"/>
    <x v="2586"/>
    <x v="2553"/>
    <x v="3"/>
    <x v="2"/>
    <n v="51.442"/>
    <n v="1"/>
    <n v="51.442"/>
  </r>
  <r>
    <x v="1"/>
    <x v="2587"/>
    <x v="2554"/>
    <x v="3"/>
    <x v="2"/>
    <n v="21.555"/>
    <n v="19"/>
    <n v="409.54500000000002"/>
  </r>
  <r>
    <x v="1"/>
    <x v="2588"/>
    <x v="2555"/>
    <x v="3"/>
    <x v="2"/>
    <n v="14.6242"/>
    <n v="7"/>
    <n v="102.3694"/>
  </r>
  <r>
    <x v="2"/>
    <x v="2588"/>
    <x v="2555"/>
    <x v="3"/>
    <x v="2"/>
    <n v="14.6242"/>
    <n v="7"/>
    <n v="102.3694"/>
  </r>
  <r>
    <x v="1"/>
    <x v="2589"/>
    <x v="2556"/>
    <x v="45"/>
    <x v="2"/>
    <n v="86.486999999999995"/>
    <n v="5"/>
    <n v="432.43499999999995"/>
  </r>
  <r>
    <x v="2"/>
    <x v="2590"/>
    <x v="2557"/>
    <x v="35"/>
    <x v="2"/>
    <n v="2.3816000000000002"/>
    <n v="8"/>
    <n v="19.052800000000001"/>
  </r>
  <r>
    <x v="1"/>
    <x v="2590"/>
    <x v="2557"/>
    <x v="35"/>
    <x v="2"/>
    <n v="2.3816000000000002"/>
    <n v="8"/>
    <n v="19.052800000000001"/>
  </r>
  <r>
    <x v="1"/>
    <x v="2591"/>
    <x v="1069"/>
    <x v="3"/>
    <x v="2"/>
    <n v="4.8387000000000002"/>
    <n v="2"/>
    <n v="9.6774000000000004"/>
  </r>
  <r>
    <x v="2"/>
    <x v="2591"/>
    <x v="1069"/>
    <x v="3"/>
    <x v="2"/>
    <n v="4.8387000000000002"/>
    <n v="2"/>
    <n v="9.6774000000000004"/>
  </r>
  <r>
    <x v="2"/>
    <x v="2592"/>
    <x v="2558"/>
    <x v="3"/>
    <x v="2"/>
    <n v="1.7799"/>
    <n v="16"/>
    <n v="28.478400000000001"/>
  </r>
  <r>
    <x v="1"/>
    <x v="2592"/>
    <x v="2558"/>
    <x v="3"/>
    <x v="2"/>
    <n v="1.7799"/>
    <n v="16"/>
    <n v="28.478400000000001"/>
  </r>
  <r>
    <x v="1"/>
    <x v="2593"/>
    <x v="2559"/>
    <x v="3"/>
    <x v="2"/>
    <n v="34.456000000000003"/>
    <n v="6"/>
    <n v="206.73600000000002"/>
  </r>
  <r>
    <x v="1"/>
    <x v="2594"/>
    <x v="2560"/>
    <x v="3"/>
    <x v="2"/>
    <n v="15.132899999999999"/>
    <n v="4"/>
    <n v="60.531599999999997"/>
  </r>
  <r>
    <x v="2"/>
    <x v="2594"/>
    <x v="2560"/>
    <x v="3"/>
    <x v="2"/>
    <n v="15.132899999999999"/>
    <n v="4"/>
    <n v="60.531599999999997"/>
  </r>
  <r>
    <x v="1"/>
    <x v="2595"/>
    <x v="2561"/>
    <x v="3"/>
    <x v="2"/>
    <n v="24.428699999999999"/>
    <n v="16"/>
    <n v="390.85919999999999"/>
  </r>
  <r>
    <x v="2"/>
    <x v="2595"/>
    <x v="2561"/>
    <x v="3"/>
    <x v="2"/>
    <n v="24.428699999999999"/>
    <n v="16"/>
    <n v="390.85919999999999"/>
  </r>
  <r>
    <x v="1"/>
    <x v="2596"/>
    <x v="2562"/>
    <x v="3"/>
    <x v="2"/>
    <n v="1.9195"/>
    <n v="4"/>
    <n v="7.6779999999999999"/>
  </r>
  <r>
    <x v="2"/>
    <x v="2596"/>
    <x v="2562"/>
    <x v="3"/>
    <x v="2"/>
    <n v="1.9195"/>
    <n v="4"/>
    <n v="7.6779999999999999"/>
  </r>
  <r>
    <x v="1"/>
    <x v="2597"/>
    <x v="2563"/>
    <x v="3"/>
    <x v="2"/>
    <n v="19.776"/>
    <n v="2"/>
    <n v="39.552"/>
  </r>
  <r>
    <x v="1"/>
    <x v="2598"/>
    <x v="2564"/>
    <x v="40"/>
    <x v="2"/>
    <n v="14.141"/>
    <n v="2"/>
    <n v="28.282"/>
  </r>
  <r>
    <x v="1"/>
    <x v="2599"/>
    <x v="2565"/>
    <x v="40"/>
    <x v="2"/>
    <n v="13.356"/>
    <n v="1"/>
    <n v="13.356"/>
  </r>
  <r>
    <x v="0"/>
    <x v="2600"/>
    <x v="2566"/>
    <x v="40"/>
    <x v="2"/>
    <n v="9.6981000000000002"/>
    <n v="38"/>
    <n v="368.52780000000001"/>
  </r>
  <r>
    <x v="1"/>
    <x v="2600"/>
    <x v="2566"/>
    <x v="40"/>
    <x v="2"/>
    <n v="9.6981000000000002"/>
    <n v="38"/>
    <n v="368.52780000000001"/>
  </r>
  <r>
    <x v="2"/>
    <x v="2600"/>
    <x v="2566"/>
    <x v="40"/>
    <x v="2"/>
    <n v="9.6981000000000002"/>
    <n v="38"/>
    <n v="368.52780000000001"/>
  </r>
  <r>
    <x v="2"/>
    <x v="2601"/>
    <x v="2567"/>
    <x v="34"/>
    <x v="2"/>
    <n v="10.968299999999999"/>
    <n v="3"/>
    <n v="32.904899999999998"/>
  </r>
  <r>
    <x v="0"/>
    <x v="2601"/>
    <x v="2567"/>
    <x v="34"/>
    <x v="2"/>
    <n v="10.968299999999999"/>
    <n v="3"/>
    <n v="32.904899999999998"/>
  </r>
  <r>
    <x v="1"/>
    <x v="2601"/>
    <x v="2567"/>
    <x v="34"/>
    <x v="2"/>
    <n v="10.968299999999999"/>
    <n v="3"/>
    <n v="32.904899999999998"/>
  </r>
  <r>
    <x v="1"/>
    <x v="2602"/>
    <x v="2568"/>
    <x v="37"/>
    <x v="2"/>
    <n v="2.7589999999999999"/>
    <n v="2"/>
    <n v="5.5179999999999998"/>
  </r>
  <r>
    <x v="1"/>
    <x v="2603"/>
    <x v="2569"/>
    <x v="37"/>
    <x v="2"/>
    <n v="31.625"/>
    <n v="2"/>
    <n v="63.25"/>
  </r>
  <r>
    <x v="1"/>
    <x v="2604"/>
    <x v="2570"/>
    <x v="37"/>
    <x v="2"/>
    <n v="5.62"/>
    <n v="1"/>
    <n v="5.62"/>
  </r>
  <r>
    <x v="1"/>
    <x v="2605"/>
    <x v="2571"/>
    <x v="47"/>
    <x v="1"/>
    <n v="469.87"/>
    <n v="2"/>
    <n v="939.74"/>
  </r>
  <r>
    <x v="1"/>
    <x v="2606"/>
    <x v="2572"/>
    <x v="34"/>
    <x v="2"/>
    <n v="5.3128000000000002"/>
    <n v="1"/>
    <n v="5.3128000000000002"/>
  </r>
  <r>
    <x v="2"/>
    <x v="2606"/>
    <x v="2572"/>
    <x v="34"/>
    <x v="2"/>
    <n v="5.3128000000000002"/>
    <n v="1"/>
    <n v="5.3128000000000002"/>
  </r>
  <r>
    <x v="2"/>
    <x v="2607"/>
    <x v="2573"/>
    <x v="34"/>
    <x v="2"/>
    <n v="16.887"/>
    <n v="39"/>
    <n v="658.59300000000007"/>
  </r>
  <r>
    <x v="1"/>
    <x v="2607"/>
    <x v="2573"/>
    <x v="34"/>
    <x v="2"/>
    <n v="16.887"/>
    <n v="39"/>
    <n v="658.59300000000007"/>
  </r>
  <r>
    <x v="2"/>
    <x v="2608"/>
    <x v="2574"/>
    <x v="34"/>
    <x v="2"/>
    <n v="9.8904999999999994"/>
    <n v="5"/>
    <n v="49.452500000000001"/>
  </r>
  <r>
    <x v="1"/>
    <x v="2608"/>
    <x v="2574"/>
    <x v="34"/>
    <x v="2"/>
    <n v="9.8904999999999994"/>
    <n v="5"/>
    <n v="49.452500000000001"/>
  </r>
  <r>
    <x v="1"/>
    <x v="2609"/>
    <x v="2575"/>
    <x v="34"/>
    <x v="2"/>
    <n v="16.625299999999999"/>
    <n v="260"/>
    <n v="4322.5779999999995"/>
  </r>
  <r>
    <x v="2"/>
    <x v="2609"/>
    <x v="2575"/>
    <x v="34"/>
    <x v="2"/>
    <n v="16.625299999999999"/>
    <n v="260"/>
    <n v="4322.5779999999995"/>
  </r>
  <r>
    <x v="0"/>
    <x v="2609"/>
    <x v="2575"/>
    <x v="34"/>
    <x v="2"/>
    <n v="16.625299999999999"/>
    <n v="260"/>
    <n v="4322.5779999999995"/>
  </r>
  <r>
    <x v="2"/>
    <x v="2610"/>
    <x v="2576"/>
    <x v="34"/>
    <x v="2"/>
    <n v="30.956199999999999"/>
    <n v="5"/>
    <n v="154.78100000000001"/>
  </r>
  <r>
    <x v="1"/>
    <x v="2610"/>
    <x v="2576"/>
    <x v="34"/>
    <x v="2"/>
    <n v="30.956199999999999"/>
    <n v="5"/>
    <n v="154.78100000000001"/>
  </r>
  <r>
    <x v="2"/>
    <x v="2611"/>
    <x v="2577"/>
    <x v="34"/>
    <x v="2"/>
    <n v="43.202300000000001"/>
    <n v="18"/>
    <n v="777.64139999999998"/>
  </r>
  <r>
    <x v="1"/>
    <x v="2611"/>
    <x v="2577"/>
    <x v="34"/>
    <x v="2"/>
    <n v="43.202300000000001"/>
    <n v="18"/>
    <n v="777.64139999999998"/>
  </r>
  <r>
    <x v="1"/>
    <x v="2612"/>
    <x v="2578"/>
    <x v="37"/>
    <x v="2"/>
    <n v="0"/>
    <n v="1"/>
    <n v="0"/>
  </r>
  <r>
    <x v="1"/>
    <x v="2613"/>
    <x v="2579"/>
    <x v="33"/>
    <x v="2"/>
    <n v="46.3125"/>
    <n v="6"/>
    <n v="277.875"/>
  </r>
  <r>
    <x v="2"/>
    <x v="2613"/>
    <x v="2579"/>
    <x v="33"/>
    <x v="2"/>
    <n v="46.3125"/>
    <n v="6"/>
    <n v="277.875"/>
  </r>
  <r>
    <x v="0"/>
    <x v="2613"/>
    <x v="2579"/>
    <x v="33"/>
    <x v="2"/>
    <n v="46.3125"/>
    <n v="6"/>
    <n v="277.875"/>
  </r>
  <r>
    <x v="1"/>
    <x v="2614"/>
    <x v="2580"/>
    <x v="37"/>
    <x v="2"/>
    <n v="5.4240000000000004"/>
    <n v="3"/>
    <n v="16.272000000000002"/>
  </r>
  <r>
    <x v="1"/>
    <x v="2615"/>
    <x v="2581"/>
    <x v="40"/>
    <x v="2"/>
    <n v="5.2919999999999998"/>
    <n v="5"/>
    <n v="26.46"/>
  </r>
  <r>
    <x v="1"/>
    <x v="2616"/>
    <x v="2582"/>
    <x v="40"/>
    <x v="2"/>
    <n v="33.103999999999999"/>
    <n v="2"/>
    <n v="66.207999999999998"/>
  </r>
  <r>
    <x v="1"/>
    <x v="2617"/>
    <x v="2583"/>
    <x v="3"/>
    <x v="2"/>
    <n v="3.3650000000000002"/>
    <n v="6"/>
    <n v="20.190000000000001"/>
  </r>
  <r>
    <x v="2"/>
    <x v="2618"/>
    <x v="2584"/>
    <x v="48"/>
    <x v="2"/>
    <n v="2.9165999999999999"/>
    <n v="13"/>
    <n v="37.915799999999997"/>
  </r>
  <r>
    <x v="1"/>
    <x v="2618"/>
    <x v="2584"/>
    <x v="48"/>
    <x v="2"/>
    <n v="2.9165999999999999"/>
    <n v="13"/>
    <n v="37.915799999999997"/>
  </r>
  <r>
    <x v="1"/>
    <x v="2619"/>
    <x v="2585"/>
    <x v="48"/>
    <x v="2"/>
    <n v="4.1898999999999997"/>
    <n v="232"/>
    <n v="972.05679999999995"/>
  </r>
  <r>
    <x v="2"/>
    <x v="2619"/>
    <x v="2585"/>
    <x v="48"/>
    <x v="2"/>
    <n v="4.1898999999999997"/>
    <n v="232"/>
    <n v="972.05679999999995"/>
  </r>
  <r>
    <x v="0"/>
    <x v="2619"/>
    <x v="2585"/>
    <x v="48"/>
    <x v="2"/>
    <n v="4.1898999999999997"/>
    <n v="232"/>
    <n v="972.05679999999995"/>
  </r>
  <r>
    <x v="1"/>
    <x v="2620"/>
    <x v="2586"/>
    <x v="57"/>
    <x v="2"/>
    <n v="306.08269999999999"/>
    <n v="1"/>
    <n v="306.08269999999999"/>
  </r>
  <r>
    <x v="1"/>
    <x v="2621"/>
    <x v="2587"/>
    <x v="3"/>
    <x v="2"/>
    <n v="2.53E-2"/>
    <n v="800"/>
    <n v="20.239999999999998"/>
  </r>
  <r>
    <x v="2"/>
    <x v="2621"/>
    <x v="2587"/>
    <x v="3"/>
    <x v="2"/>
    <n v="2.53E-2"/>
    <n v="800"/>
    <n v="20.239999999999998"/>
  </r>
  <r>
    <x v="1"/>
    <x v="2622"/>
    <x v="2588"/>
    <x v="34"/>
    <x v="2"/>
    <n v="8.4099999999999994E-2"/>
    <n v="2278"/>
    <n v="191.57979999999998"/>
  </r>
  <r>
    <x v="2"/>
    <x v="2622"/>
    <x v="2588"/>
    <x v="34"/>
    <x v="2"/>
    <n v="8.4099999999999994E-2"/>
    <n v="2278"/>
    <n v="191.57979999999998"/>
  </r>
  <r>
    <x v="1"/>
    <x v="2623"/>
    <x v="2589"/>
    <x v="34"/>
    <x v="2"/>
    <n v="0.18909999999999999"/>
    <n v="1854.78"/>
    <n v="350.73889799999995"/>
  </r>
  <r>
    <x v="2"/>
    <x v="2623"/>
    <x v="2589"/>
    <x v="34"/>
    <x v="2"/>
    <n v="0.18909999999999999"/>
    <n v="1854.78"/>
    <n v="350.73889799999995"/>
  </r>
  <r>
    <x v="2"/>
    <x v="2624"/>
    <x v="2590"/>
    <x v="34"/>
    <x v="2"/>
    <n v="0.88900000000000001"/>
    <n v="1976"/>
    <n v="1756.664"/>
  </r>
  <r>
    <x v="1"/>
    <x v="2624"/>
    <x v="2590"/>
    <x v="34"/>
    <x v="2"/>
    <n v="0.88900000000000001"/>
    <n v="1976"/>
    <n v="1756.664"/>
  </r>
  <r>
    <x v="1"/>
    <x v="2625"/>
    <x v="2591"/>
    <x v="34"/>
    <x v="2"/>
    <n v="1.216"/>
    <n v="23"/>
    <n v="27.968"/>
  </r>
  <r>
    <x v="1"/>
    <x v="2626"/>
    <x v="2592"/>
    <x v="34"/>
    <x v="2"/>
    <n v="18.916"/>
    <n v="427"/>
    <n v="8077.1320000000005"/>
  </r>
  <r>
    <x v="2"/>
    <x v="2626"/>
    <x v="2592"/>
    <x v="34"/>
    <x v="2"/>
    <n v="18.916"/>
    <n v="427"/>
    <n v="8077.1320000000005"/>
  </r>
  <r>
    <x v="1"/>
    <x v="2627"/>
    <x v="2593"/>
    <x v="34"/>
    <x v="2"/>
    <n v="1.3687"/>
    <n v="1236"/>
    <n v="1691.7132000000001"/>
  </r>
  <r>
    <x v="2"/>
    <x v="2627"/>
    <x v="2593"/>
    <x v="34"/>
    <x v="2"/>
    <n v="1.3687"/>
    <n v="1236"/>
    <n v="1691.7132000000001"/>
  </r>
  <r>
    <x v="0"/>
    <x v="2627"/>
    <x v="2593"/>
    <x v="34"/>
    <x v="2"/>
    <n v="1.3687"/>
    <n v="1236"/>
    <n v="1691.7132000000001"/>
  </r>
  <r>
    <x v="1"/>
    <x v="2628"/>
    <x v="2594"/>
    <x v="34"/>
    <x v="2"/>
    <n v="12"/>
    <n v="4"/>
    <n v="48"/>
  </r>
  <r>
    <x v="2"/>
    <x v="2628"/>
    <x v="2594"/>
    <x v="34"/>
    <x v="2"/>
    <n v="12"/>
    <n v="4"/>
    <n v="48"/>
  </r>
  <r>
    <x v="1"/>
    <x v="2629"/>
    <x v="2595"/>
    <x v="34"/>
    <x v="2"/>
    <n v="8.4968000000000004"/>
    <n v="10"/>
    <n v="84.968000000000004"/>
  </r>
  <r>
    <x v="2"/>
    <x v="2629"/>
    <x v="2595"/>
    <x v="34"/>
    <x v="2"/>
    <n v="8.4968000000000004"/>
    <n v="10"/>
    <n v="84.968000000000004"/>
  </r>
  <r>
    <x v="0"/>
    <x v="2629"/>
    <x v="2595"/>
    <x v="34"/>
    <x v="2"/>
    <n v="8.4968000000000004"/>
    <n v="10"/>
    <n v="84.968000000000004"/>
  </r>
  <r>
    <x v="2"/>
    <x v="2630"/>
    <x v="2596"/>
    <x v="41"/>
    <x v="2"/>
    <n v="0.54479999999999995"/>
    <n v="2"/>
    <n v="1.0895999999999999"/>
  </r>
  <r>
    <x v="1"/>
    <x v="2630"/>
    <x v="2596"/>
    <x v="41"/>
    <x v="2"/>
    <n v="0.54479999999999995"/>
    <n v="2"/>
    <n v="1.0895999999999999"/>
  </r>
  <r>
    <x v="1"/>
    <x v="2631"/>
    <x v="2597"/>
    <x v="34"/>
    <x v="2"/>
    <n v="0.43540000000000001"/>
    <n v="82"/>
    <n v="35.702800000000003"/>
  </r>
  <r>
    <x v="2"/>
    <x v="2631"/>
    <x v="2597"/>
    <x v="34"/>
    <x v="2"/>
    <n v="0.43540000000000001"/>
    <n v="82"/>
    <n v="35.702800000000003"/>
  </r>
  <r>
    <x v="0"/>
    <x v="2631"/>
    <x v="2597"/>
    <x v="34"/>
    <x v="2"/>
    <n v="0.43540000000000001"/>
    <n v="82"/>
    <n v="35.702800000000003"/>
  </r>
  <r>
    <x v="1"/>
    <x v="2632"/>
    <x v="2598"/>
    <x v="34"/>
    <x v="2"/>
    <n v="1.5860000000000001"/>
    <n v="52"/>
    <n v="82.472000000000008"/>
  </r>
  <r>
    <x v="1"/>
    <x v="2633"/>
    <x v="2599"/>
    <x v="57"/>
    <x v="2"/>
    <n v="267.91059999999999"/>
    <n v="7"/>
    <n v="1875.3742"/>
  </r>
  <r>
    <x v="2"/>
    <x v="2633"/>
    <x v="2599"/>
    <x v="57"/>
    <x v="2"/>
    <n v="267.91059999999999"/>
    <n v="7"/>
    <n v="1875.3742"/>
  </r>
  <r>
    <x v="1"/>
    <x v="2634"/>
    <x v="2600"/>
    <x v="6"/>
    <x v="2"/>
    <n v="335.89260000000002"/>
    <n v="1"/>
    <n v="335.89260000000002"/>
  </r>
  <r>
    <x v="2"/>
    <x v="2635"/>
    <x v="2601"/>
    <x v="34"/>
    <x v="2"/>
    <n v="40.769199999999998"/>
    <n v="14"/>
    <n v="570.76879999999994"/>
  </r>
  <r>
    <x v="1"/>
    <x v="2635"/>
    <x v="2601"/>
    <x v="34"/>
    <x v="2"/>
    <n v="40.769199999999998"/>
    <n v="14"/>
    <n v="570.76879999999994"/>
  </r>
  <r>
    <x v="1"/>
    <x v="2636"/>
    <x v="2602"/>
    <x v="34"/>
    <x v="2"/>
    <n v="14.164"/>
    <n v="1"/>
    <n v="14.164"/>
  </r>
  <r>
    <x v="2"/>
    <x v="2637"/>
    <x v="2603"/>
    <x v="3"/>
    <x v="2"/>
    <n v="3.9"/>
    <n v="1"/>
    <n v="3.9"/>
  </r>
  <r>
    <x v="1"/>
    <x v="2638"/>
    <x v="2604"/>
    <x v="3"/>
    <x v="2"/>
    <n v="7.92"/>
    <n v="1"/>
    <n v="7.92"/>
  </r>
  <r>
    <x v="2"/>
    <x v="2639"/>
    <x v="2605"/>
    <x v="3"/>
    <x v="2"/>
    <n v="0.97"/>
    <n v="1"/>
    <n v="0.97"/>
  </r>
  <r>
    <x v="2"/>
    <x v="2640"/>
    <x v="2606"/>
    <x v="3"/>
    <x v="2"/>
    <n v="7.02"/>
    <n v="1"/>
    <n v="7.02"/>
  </r>
  <r>
    <x v="1"/>
    <x v="2641"/>
    <x v="2607"/>
    <x v="3"/>
    <x v="2"/>
    <n v="6.8249000000000004"/>
    <n v="2"/>
    <n v="13.649800000000001"/>
  </r>
  <r>
    <x v="2"/>
    <x v="2641"/>
    <x v="2607"/>
    <x v="3"/>
    <x v="2"/>
    <n v="6.8249000000000004"/>
    <n v="2"/>
    <n v="13.649800000000001"/>
  </r>
  <r>
    <x v="2"/>
    <x v="2642"/>
    <x v="2608"/>
    <x v="3"/>
    <x v="2"/>
    <n v="1.94"/>
    <n v="2"/>
    <n v="3.88"/>
  </r>
  <r>
    <x v="2"/>
    <x v="2643"/>
    <x v="2609"/>
    <x v="3"/>
    <x v="2"/>
    <n v="5.83"/>
    <n v="1"/>
    <n v="5.83"/>
  </r>
  <r>
    <x v="1"/>
    <x v="2644"/>
    <x v="2610"/>
    <x v="3"/>
    <x v="2"/>
    <n v="60.06"/>
    <n v="1"/>
    <n v="60.06"/>
  </r>
  <r>
    <x v="1"/>
    <x v="2645"/>
    <x v="2611"/>
    <x v="1"/>
    <x v="1"/>
    <n v="37.774999999999999"/>
    <n v="1"/>
    <n v="37.774999999999999"/>
  </r>
  <r>
    <x v="2"/>
    <x v="2646"/>
    <x v="2612"/>
    <x v="3"/>
    <x v="2"/>
    <n v="13.24"/>
    <n v="1"/>
    <n v="13.24"/>
  </r>
  <r>
    <x v="2"/>
    <x v="2647"/>
    <x v="2613"/>
    <x v="67"/>
    <x v="3"/>
    <n v="2.8946999999999998"/>
    <n v="1"/>
    <n v="2.8946999999999998"/>
  </r>
  <r>
    <x v="1"/>
    <x v="2647"/>
    <x v="2613"/>
    <x v="67"/>
    <x v="3"/>
    <n v="2.8946999999999998"/>
    <n v="1"/>
    <n v="2.8946999999999998"/>
  </r>
  <r>
    <x v="2"/>
    <x v="2648"/>
    <x v="2614"/>
    <x v="3"/>
    <x v="2"/>
    <n v="5.24"/>
    <n v="1"/>
    <n v="5.24"/>
  </r>
  <r>
    <x v="1"/>
    <x v="2649"/>
    <x v="2615"/>
    <x v="1"/>
    <x v="1"/>
    <n v="27.276"/>
    <n v="1"/>
    <n v="27.276"/>
  </r>
  <r>
    <x v="1"/>
    <x v="2650"/>
    <x v="2616"/>
    <x v="15"/>
    <x v="3"/>
    <n v="63.865299999999998"/>
    <n v="2"/>
    <n v="127.7306"/>
  </r>
  <r>
    <x v="2"/>
    <x v="2650"/>
    <x v="2616"/>
    <x v="15"/>
    <x v="3"/>
    <n v="63.865299999999998"/>
    <n v="2"/>
    <n v="127.7306"/>
  </r>
  <r>
    <x v="2"/>
    <x v="2651"/>
    <x v="2617"/>
    <x v="15"/>
    <x v="3"/>
    <n v="44.355800000000002"/>
    <n v="4"/>
    <n v="177.42320000000001"/>
  </r>
  <r>
    <x v="1"/>
    <x v="2651"/>
    <x v="2617"/>
    <x v="15"/>
    <x v="3"/>
    <n v="44.355800000000002"/>
    <n v="4"/>
    <n v="177.42320000000001"/>
  </r>
  <r>
    <x v="1"/>
    <x v="2652"/>
    <x v="2618"/>
    <x v="1"/>
    <x v="1"/>
    <n v="132.31"/>
    <n v="1"/>
    <n v="132.31"/>
  </r>
  <r>
    <x v="1"/>
    <x v="2653"/>
    <x v="2619"/>
    <x v="15"/>
    <x v="3"/>
    <n v="107.55159999999999"/>
    <n v="1"/>
    <n v="107.55159999999999"/>
  </r>
  <r>
    <x v="2"/>
    <x v="2653"/>
    <x v="2619"/>
    <x v="15"/>
    <x v="3"/>
    <n v="107.55159999999999"/>
    <n v="1"/>
    <n v="107.55159999999999"/>
  </r>
  <r>
    <x v="2"/>
    <x v="2654"/>
    <x v="2620"/>
    <x v="15"/>
    <x v="3"/>
    <n v="116.24079999999999"/>
    <n v="2"/>
    <n v="232.48159999999999"/>
  </r>
  <r>
    <x v="1"/>
    <x v="2654"/>
    <x v="2620"/>
    <x v="15"/>
    <x v="3"/>
    <n v="116.24079999999999"/>
    <n v="2"/>
    <n v="232.48159999999999"/>
  </r>
  <r>
    <x v="1"/>
    <x v="2655"/>
    <x v="2621"/>
    <x v="1"/>
    <x v="1"/>
    <n v="2.74"/>
    <n v="4"/>
    <n v="10.96"/>
  </r>
  <r>
    <x v="1"/>
    <x v="2656"/>
    <x v="2622"/>
    <x v="64"/>
    <x v="3"/>
    <n v="9.41"/>
    <n v="4"/>
    <n v="37.64"/>
  </r>
  <r>
    <x v="1"/>
    <x v="2657"/>
    <x v="2623"/>
    <x v="1"/>
    <x v="1"/>
    <n v="22.66"/>
    <n v="1"/>
    <n v="22.66"/>
  </r>
  <r>
    <x v="1"/>
    <x v="2658"/>
    <x v="2624"/>
    <x v="64"/>
    <x v="3"/>
    <n v="34.18"/>
    <n v="1"/>
    <n v="34.18"/>
  </r>
  <r>
    <x v="1"/>
    <x v="2659"/>
    <x v="2625"/>
    <x v="64"/>
    <x v="3"/>
    <n v="15"/>
    <n v="1"/>
    <n v="15"/>
  </r>
  <r>
    <x v="1"/>
    <x v="2660"/>
    <x v="2626"/>
    <x v="64"/>
    <x v="3"/>
    <n v="1"/>
    <n v="3"/>
    <n v="3"/>
  </r>
  <r>
    <x v="1"/>
    <x v="2661"/>
    <x v="2627"/>
    <x v="1"/>
    <x v="1"/>
    <n v="6"/>
    <n v="2"/>
    <n v="12"/>
  </r>
  <r>
    <x v="1"/>
    <x v="2662"/>
    <x v="2628"/>
    <x v="1"/>
    <x v="1"/>
    <n v="2"/>
    <n v="16"/>
    <n v="32"/>
  </r>
  <r>
    <x v="1"/>
    <x v="2663"/>
    <x v="2629"/>
    <x v="81"/>
    <x v="3"/>
    <n v="16.53"/>
    <n v="4"/>
    <n v="66.12"/>
  </r>
  <r>
    <x v="1"/>
    <x v="2664"/>
    <x v="2630"/>
    <x v="64"/>
    <x v="3"/>
    <n v="2"/>
    <n v="36"/>
    <n v="72"/>
  </r>
  <r>
    <x v="1"/>
    <x v="2665"/>
    <x v="2631"/>
    <x v="1"/>
    <x v="1"/>
    <n v="1"/>
    <n v="9"/>
    <n v="9"/>
  </r>
  <r>
    <x v="1"/>
    <x v="2666"/>
    <x v="2632"/>
    <x v="64"/>
    <x v="3"/>
    <n v="6.25"/>
    <n v="7"/>
    <n v="43.75"/>
  </r>
  <r>
    <x v="1"/>
    <x v="2667"/>
    <x v="2633"/>
    <x v="1"/>
    <x v="1"/>
    <n v="436.8"/>
    <n v="1"/>
    <n v="436.8"/>
  </r>
  <r>
    <x v="1"/>
    <x v="2668"/>
    <x v="2634"/>
    <x v="14"/>
    <x v="1"/>
    <n v="40.65"/>
    <n v="1"/>
    <n v="40.65"/>
  </r>
  <r>
    <x v="1"/>
    <x v="2669"/>
    <x v="2635"/>
    <x v="3"/>
    <x v="2"/>
    <n v="0.23699999999999999"/>
    <n v="15"/>
    <n v="3.5549999999999997"/>
  </r>
  <r>
    <x v="2"/>
    <x v="2670"/>
    <x v="2636"/>
    <x v="80"/>
    <x v="9"/>
    <n v="0"/>
    <n v="1"/>
    <n v="0"/>
  </r>
  <r>
    <x v="1"/>
    <x v="2671"/>
    <x v="2637"/>
    <x v="31"/>
    <x v="1"/>
    <n v="383.75299999999999"/>
    <n v="1"/>
    <n v="383.75299999999999"/>
  </r>
  <r>
    <x v="2"/>
    <x v="2672"/>
    <x v="2638"/>
    <x v="2"/>
    <x v="1"/>
    <n v="218.43"/>
    <n v="3"/>
    <n v="655.29"/>
  </r>
  <r>
    <x v="1"/>
    <x v="2673"/>
    <x v="2639"/>
    <x v="82"/>
    <x v="3"/>
    <n v="526.47789999999998"/>
    <n v="2"/>
    <n v="1052.9558"/>
  </r>
  <r>
    <x v="2"/>
    <x v="2673"/>
    <x v="2639"/>
    <x v="82"/>
    <x v="3"/>
    <n v="526.47789999999998"/>
    <n v="2"/>
    <n v="1052.9558"/>
  </r>
  <r>
    <x v="1"/>
    <x v="2674"/>
    <x v="2640"/>
    <x v="82"/>
    <x v="3"/>
    <n v="986.26499999999999"/>
    <n v="1"/>
    <n v="986.26499999999999"/>
  </r>
  <r>
    <x v="1"/>
    <x v="2675"/>
    <x v="2641"/>
    <x v="83"/>
    <x v="3"/>
    <n v="4.1360000000000001"/>
    <n v="28"/>
    <n v="115.80800000000001"/>
  </r>
  <r>
    <x v="1"/>
    <x v="2676"/>
    <x v="2642"/>
    <x v="83"/>
    <x v="3"/>
    <n v="0"/>
    <n v="17"/>
    <n v="0"/>
  </r>
  <r>
    <x v="1"/>
    <x v="2677"/>
    <x v="2643"/>
    <x v="83"/>
    <x v="3"/>
    <n v="28.456"/>
    <n v="5"/>
    <n v="142.28"/>
  </r>
  <r>
    <x v="1"/>
    <x v="2678"/>
    <x v="2644"/>
    <x v="83"/>
    <x v="3"/>
    <n v="9.1059999999999999"/>
    <n v="41"/>
    <n v="373.346"/>
  </r>
  <r>
    <x v="1"/>
    <x v="2679"/>
    <x v="2645"/>
    <x v="83"/>
    <x v="3"/>
    <n v="5.8970000000000002"/>
    <n v="4"/>
    <n v="23.588000000000001"/>
  </r>
  <r>
    <x v="1"/>
    <x v="2680"/>
    <x v="2646"/>
    <x v="83"/>
    <x v="3"/>
    <n v="4.4530000000000003"/>
    <n v="3"/>
    <n v="13.359000000000002"/>
  </r>
  <r>
    <x v="1"/>
    <x v="2681"/>
    <x v="2647"/>
    <x v="83"/>
    <x v="3"/>
    <n v="1.7030000000000001"/>
    <n v="10"/>
    <n v="17.03"/>
  </r>
  <r>
    <x v="1"/>
    <x v="2682"/>
    <x v="2648"/>
    <x v="83"/>
    <x v="3"/>
    <n v="1.65"/>
    <n v="8"/>
    <n v="13.2"/>
  </r>
  <r>
    <x v="1"/>
    <x v="2683"/>
    <x v="2649"/>
    <x v="83"/>
    <x v="3"/>
    <n v="1.8080000000000001"/>
    <n v="2"/>
    <n v="3.6160000000000001"/>
  </r>
  <r>
    <x v="1"/>
    <x v="2684"/>
    <x v="2650"/>
    <x v="83"/>
    <x v="3"/>
    <n v="1.8080000000000001"/>
    <n v="3"/>
    <n v="5.4240000000000004"/>
  </r>
  <r>
    <x v="1"/>
    <x v="2685"/>
    <x v="2651"/>
    <x v="83"/>
    <x v="3"/>
    <n v="12.385"/>
    <n v="1"/>
    <n v="12.385"/>
  </r>
  <r>
    <x v="1"/>
    <x v="2686"/>
    <x v="2652"/>
    <x v="83"/>
    <x v="3"/>
    <n v="2.9169999999999998"/>
    <n v="3"/>
    <n v="8.7509999999999994"/>
  </r>
  <r>
    <x v="1"/>
    <x v="2687"/>
    <x v="2653"/>
    <x v="83"/>
    <x v="3"/>
    <n v="44.81"/>
    <n v="1"/>
    <n v="44.81"/>
  </r>
  <r>
    <x v="1"/>
    <x v="2688"/>
    <x v="2654"/>
    <x v="83"/>
    <x v="3"/>
    <n v="34.6"/>
    <n v="1"/>
    <n v="34.6"/>
  </r>
  <r>
    <x v="1"/>
    <x v="2689"/>
    <x v="2655"/>
    <x v="83"/>
    <x v="3"/>
    <n v="15.45"/>
    <n v="1"/>
    <n v="15.45"/>
  </r>
  <r>
    <x v="1"/>
    <x v="2690"/>
    <x v="2656"/>
    <x v="83"/>
    <x v="3"/>
    <n v="10.06"/>
    <n v="1"/>
    <n v="10.06"/>
  </r>
  <r>
    <x v="1"/>
    <x v="2691"/>
    <x v="2657"/>
    <x v="83"/>
    <x v="3"/>
    <n v="2.496"/>
    <n v="9"/>
    <n v="22.463999999999999"/>
  </r>
  <r>
    <x v="1"/>
    <x v="2692"/>
    <x v="2658"/>
    <x v="83"/>
    <x v="3"/>
    <n v="2.4950000000000001"/>
    <n v="2"/>
    <n v="4.99"/>
  </r>
  <r>
    <x v="1"/>
    <x v="2693"/>
    <x v="2659"/>
    <x v="83"/>
    <x v="3"/>
    <n v="2.6549999999999998"/>
    <n v="2"/>
    <n v="5.31"/>
  </r>
  <r>
    <x v="1"/>
    <x v="2694"/>
    <x v="2660"/>
    <x v="82"/>
    <x v="3"/>
    <n v="1886.4924000000001"/>
    <n v="2"/>
    <n v="3772.9848000000002"/>
  </r>
  <r>
    <x v="2"/>
    <x v="2694"/>
    <x v="2660"/>
    <x v="82"/>
    <x v="3"/>
    <n v="1886.4924000000001"/>
    <n v="2"/>
    <n v="3772.9848000000002"/>
  </r>
  <r>
    <x v="1"/>
    <x v="2695"/>
    <x v="2661"/>
    <x v="84"/>
    <x v="3"/>
    <n v="281.55200000000002"/>
    <n v="1"/>
    <n v="281.55200000000002"/>
  </r>
  <r>
    <x v="1"/>
    <x v="2696"/>
    <x v="2662"/>
    <x v="84"/>
    <x v="3"/>
    <n v="442.96"/>
    <n v="4"/>
    <n v="1771.84"/>
  </r>
  <r>
    <x v="1"/>
    <x v="2697"/>
    <x v="2663"/>
    <x v="84"/>
    <x v="3"/>
    <n v="462.99599999999998"/>
    <n v="1"/>
    <n v="462.99599999999998"/>
  </r>
  <r>
    <x v="1"/>
    <x v="2698"/>
    <x v="2664"/>
    <x v="84"/>
    <x v="3"/>
    <n v="152.88810000000001"/>
    <n v="2"/>
    <n v="305.77620000000002"/>
  </r>
  <r>
    <x v="2"/>
    <x v="2698"/>
    <x v="2664"/>
    <x v="84"/>
    <x v="3"/>
    <n v="152.88810000000001"/>
    <n v="2"/>
    <n v="305.77620000000002"/>
  </r>
  <r>
    <x v="1"/>
    <x v="2699"/>
    <x v="2665"/>
    <x v="85"/>
    <x v="3"/>
    <n v="54.979599999999998"/>
    <n v="2"/>
    <n v="109.9592"/>
  </r>
  <r>
    <x v="2"/>
    <x v="2699"/>
    <x v="2665"/>
    <x v="85"/>
    <x v="3"/>
    <n v="54.979599999999998"/>
    <n v="2"/>
    <n v="109.9592"/>
  </r>
  <r>
    <x v="1"/>
    <x v="2700"/>
    <x v="2666"/>
    <x v="82"/>
    <x v="3"/>
    <n v="475.72699999999998"/>
    <n v="1"/>
    <n v="475.72699999999998"/>
  </r>
  <r>
    <x v="1"/>
    <x v="2701"/>
    <x v="2667"/>
    <x v="83"/>
    <x v="3"/>
    <n v="34.972099999999998"/>
    <n v="4"/>
    <n v="139.88839999999999"/>
  </r>
  <r>
    <x v="2"/>
    <x v="2701"/>
    <x v="2667"/>
    <x v="83"/>
    <x v="3"/>
    <n v="34.972099999999998"/>
    <n v="4"/>
    <n v="139.88839999999999"/>
  </r>
  <r>
    <x v="1"/>
    <x v="2702"/>
    <x v="2668"/>
    <x v="84"/>
    <x v="3"/>
    <n v="936.82"/>
    <n v="1"/>
    <n v="936.82"/>
  </r>
  <r>
    <x v="1"/>
    <x v="2703"/>
    <x v="2669"/>
    <x v="83"/>
    <x v="3"/>
    <n v="77.108000000000004"/>
    <n v="4"/>
    <n v="308.43200000000002"/>
  </r>
  <r>
    <x v="1"/>
    <x v="2704"/>
    <x v="2670"/>
    <x v="84"/>
    <x v="3"/>
    <n v="530.79"/>
    <n v="1"/>
    <n v="530.79"/>
  </r>
  <r>
    <x v="1"/>
    <x v="2705"/>
    <x v="2671"/>
    <x v="83"/>
    <x v="3"/>
    <n v="119.24"/>
    <n v="1"/>
    <n v="119.24"/>
  </r>
  <r>
    <x v="1"/>
    <x v="2706"/>
    <x v="2672"/>
    <x v="83"/>
    <x v="3"/>
    <n v="9.1020000000000003"/>
    <n v="12"/>
    <n v="109.224"/>
  </r>
  <r>
    <x v="1"/>
    <x v="2707"/>
    <x v="2673"/>
    <x v="83"/>
    <x v="3"/>
    <n v="7.258"/>
    <n v="4"/>
    <n v="29.032"/>
  </r>
  <r>
    <x v="1"/>
    <x v="2708"/>
    <x v="2674"/>
    <x v="84"/>
    <x v="3"/>
    <n v="240"/>
    <n v="1"/>
    <n v="240"/>
  </r>
  <r>
    <x v="1"/>
    <x v="2709"/>
    <x v="2675"/>
    <x v="83"/>
    <x v="3"/>
    <n v="169.48"/>
    <n v="2"/>
    <n v="338.96"/>
  </r>
  <r>
    <x v="1"/>
    <x v="2710"/>
    <x v="2676"/>
    <x v="83"/>
    <x v="3"/>
    <n v="46.024999999999999"/>
    <n v="6"/>
    <n v="276.14999999999998"/>
  </r>
  <r>
    <x v="1"/>
    <x v="2711"/>
    <x v="2677"/>
    <x v="83"/>
    <x v="3"/>
    <n v="10.029999999999999"/>
    <n v="2"/>
    <n v="20.059999999999999"/>
  </r>
  <r>
    <x v="1"/>
    <x v="2712"/>
    <x v="2678"/>
    <x v="83"/>
    <x v="3"/>
    <n v="10.02"/>
    <n v="16"/>
    <n v="160.32"/>
  </r>
  <r>
    <x v="1"/>
    <x v="2713"/>
    <x v="2679"/>
    <x v="83"/>
    <x v="3"/>
    <n v="20.25"/>
    <n v="17"/>
    <n v="344.25"/>
  </r>
  <r>
    <x v="1"/>
    <x v="2714"/>
    <x v="2680"/>
    <x v="83"/>
    <x v="3"/>
    <n v="47.125"/>
    <n v="1"/>
    <n v="47.125"/>
  </r>
  <r>
    <x v="1"/>
    <x v="2715"/>
    <x v="2681"/>
    <x v="83"/>
    <x v="3"/>
    <n v="17.619"/>
    <n v="11"/>
    <n v="193.809"/>
  </r>
  <r>
    <x v="1"/>
    <x v="2716"/>
    <x v="2682"/>
    <x v="83"/>
    <x v="3"/>
    <n v="173.74"/>
    <n v="9"/>
    <n v="1563.66"/>
  </r>
  <r>
    <x v="1"/>
    <x v="2717"/>
    <x v="2683"/>
    <x v="83"/>
    <x v="3"/>
    <n v="15.635"/>
    <n v="12"/>
    <n v="187.62"/>
  </r>
  <r>
    <x v="1"/>
    <x v="2718"/>
    <x v="2684"/>
    <x v="86"/>
    <x v="3"/>
    <n v="13.997999999999999"/>
    <n v="6"/>
    <n v="83.988"/>
  </r>
  <r>
    <x v="1"/>
    <x v="2719"/>
    <x v="2685"/>
    <x v="83"/>
    <x v="3"/>
    <n v="45.083500000000001"/>
    <n v="14"/>
    <n v="631.16899999999998"/>
  </r>
  <r>
    <x v="2"/>
    <x v="2719"/>
    <x v="2685"/>
    <x v="83"/>
    <x v="3"/>
    <n v="45.083500000000001"/>
    <n v="14"/>
    <n v="631.16899999999998"/>
  </r>
  <r>
    <x v="1"/>
    <x v="2720"/>
    <x v="2686"/>
    <x v="87"/>
    <x v="1"/>
    <n v="5.7"/>
    <n v="3"/>
    <n v="17.100000000000001"/>
  </r>
  <r>
    <x v="1"/>
    <x v="2721"/>
    <x v="2687"/>
    <x v="1"/>
    <x v="1"/>
    <n v="1.88"/>
    <n v="4"/>
    <n v="7.52"/>
  </r>
  <r>
    <x v="1"/>
    <x v="2722"/>
    <x v="2688"/>
    <x v="1"/>
    <x v="1"/>
    <n v="1.7"/>
    <n v="3"/>
    <n v="5.0999999999999996"/>
  </r>
  <r>
    <x v="1"/>
    <x v="2723"/>
    <x v="2689"/>
    <x v="1"/>
    <x v="1"/>
    <n v="12.12"/>
    <n v="1"/>
    <n v="12.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ITEMS_INACTIVOS" cacheId="182" applyNumberFormats="0" applyBorderFormats="0" applyFontFormats="0" applyPatternFormats="0" applyAlignmentFormats="0" applyWidthHeightFormats="1" dataCaption="Valores" updatedVersion="3" minRefreshableVersion="3" showCalcMbrs="0" showDrill="0" useAutoFormatting="1" rowGrandTotals="0" colGrandTotals="0" itemPrintTitles="1" createdVersion="3" indent="0" compact="0" compactData="0" multipleFieldFilters="0">
  <location ref="J5:P2730" firstHeaderRow="1" firstDataRow="2" firstDataCol="4" rowPageCount="1" colPageCount="1"/>
  <pivotFields count="8">
    <pivotField axis="axisPage" compact="0" outline="0" showAll="0" defaultSubtotal="0">
      <items count="7">
        <item m="1" x="6"/>
        <item m="1" x="5"/>
        <item m="1" x="3"/>
        <item m="1" x="4"/>
        <item x="0"/>
        <item x="1"/>
        <item x="2"/>
      </items>
    </pivotField>
    <pivotField axis="axisRow" compact="0" outline="0" showAll="0" sortType="descending" defaultSubtotal="0">
      <items count="29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m="1" x="2742"/>
        <item x="37"/>
        <item x="38"/>
        <item x="39"/>
        <item x="40"/>
        <item x="41"/>
        <item x="63"/>
        <item x="64"/>
        <item x="65"/>
        <item x="66"/>
        <item x="67"/>
        <item x="68"/>
        <item x="69"/>
        <item x="70"/>
        <item x="77"/>
        <item x="78"/>
        <item x="79"/>
        <item x="80"/>
        <item x="88"/>
        <item x="89"/>
        <item x="90"/>
        <item x="91"/>
        <item x="92"/>
        <item x="95"/>
        <item x="96"/>
        <item x="97"/>
        <item x="99"/>
        <item m="1" x="2825"/>
        <item x="102"/>
        <item x="103"/>
        <item x="104"/>
        <item x="105"/>
        <item x="106"/>
        <item x="107"/>
        <item x="108"/>
        <item x="109"/>
        <item x="110"/>
        <item x="115"/>
        <item x="116"/>
        <item x="119"/>
        <item x="122"/>
        <item x="123"/>
        <item x="124"/>
        <item x="129"/>
        <item x="130"/>
        <item x="133"/>
        <item x="138"/>
        <item x="140"/>
        <item x="141"/>
        <item x="142"/>
        <item m="1" x="2748"/>
        <item x="146"/>
        <item x="155"/>
        <item x="156"/>
        <item x="157"/>
        <item x="161"/>
        <item x="162"/>
        <item x="166"/>
        <item x="179"/>
        <item x="182"/>
        <item x="194"/>
        <item x="198"/>
        <item x="244"/>
        <item x="245"/>
        <item x="274"/>
        <item x="310"/>
        <item x="314"/>
        <item x="326"/>
        <item x="383"/>
        <item x="390"/>
        <item x="415"/>
        <item x="420"/>
        <item m="1" x="2830"/>
        <item x="439"/>
        <item x="440"/>
        <item m="1" x="2923"/>
        <item m="1" x="2808"/>
        <item x="466"/>
        <item x="468"/>
        <item m="1" x="2815"/>
        <item x="475"/>
        <item x="476"/>
        <item x="491"/>
        <item m="1" x="2805"/>
        <item x="502"/>
        <item x="508"/>
        <item x="519"/>
        <item x="521"/>
        <item x="544"/>
        <item x="546"/>
        <item x="547"/>
        <item x="548"/>
        <item x="549"/>
        <item x="550"/>
        <item x="551"/>
        <item x="570"/>
        <item x="576"/>
        <item x="583"/>
        <item x="584"/>
        <item x="585"/>
        <item x="586"/>
        <item x="587"/>
        <item x="590"/>
        <item x="592"/>
        <item x="598"/>
        <item x="599"/>
        <item x="613"/>
        <item x="614"/>
        <item x="615"/>
        <item x="622"/>
        <item x="624"/>
        <item m="1" x="2725"/>
        <item x="626"/>
        <item x="632"/>
        <item x="633"/>
        <item x="634"/>
        <item x="635"/>
        <item x="646"/>
        <item x="649"/>
        <item x="651"/>
        <item x="658"/>
        <item x="659"/>
        <item x="664"/>
        <item x="665"/>
        <item x="666"/>
        <item m="1" x="2749"/>
        <item x="669"/>
        <item x="670"/>
        <item x="673"/>
        <item x="678"/>
        <item m="1" x="2770"/>
        <item x="694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4"/>
        <item x="739"/>
        <item x="742"/>
        <item x="744"/>
        <item x="747"/>
        <item x="752"/>
        <item x="760"/>
        <item x="766"/>
        <item x="771"/>
        <item x="776"/>
        <item x="781"/>
        <item x="784"/>
        <item x="795"/>
        <item x="798"/>
        <item x="800"/>
        <item x="807"/>
        <item x="808"/>
        <item x="814"/>
        <item x="816"/>
        <item x="821"/>
        <item x="826"/>
        <item x="845"/>
        <item x="847"/>
        <item x="853"/>
        <item m="1" x="2811"/>
        <item x="872"/>
        <item x="885"/>
        <item x="887"/>
        <item x="899"/>
        <item m="1" x="2937"/>
        <item x="934"/>
        <item x="937"/>
        <item x="954"/>
        <item x="957"/>
        <item x="975"/>
        <item x="984"/>
        <item x="1000"/>
        <item x="1010"/>
        <item x="1013"/>
        <item x="1022"/>
        <item x="1025"/>
        <item x="1027"/>
        <item x="1028"/>
        <item x="1034"/>
        <item x="1037"/>
        <item x="1038"/>
        <item x="1041"/>
        <item x="1042"/>
        <item x="1044"/>
        <item x="1056"/>
        <item x="1062"/>
        <item x="1076"/>
        <item x="1077"/>
        <item x="1082"/>
        <item x="1090"/>
        <item x="1093"/>
        <item x="1102"/>
        <item m="1" x="2757"/>
        <item x="1105"/>
        <item m="1" x="2800"/>
        <item m="1" x="2887"/>
        <item x="1110"/>
        <item x="1116"/>
        <item x="1119"/>
        <item x="1133"/>
        <item x="1137"/>
        <item x="1146"/>
        <item x="1159"/>
        <item x="1170"/>
        <item x="1183"/>
        <item x="1185"/>
        <item m="1" x="2932"/>
        <item x="1242"/>
        <item x="1243"/>
        <item m="1" x="2837"/>
        <item x="1256"/>
        <item x="1257"/>
        <item x="1262"/>
        <item x="1264"/>
        <item x="1265"/>
        <item x="1267"/>
        <item x="1270"/>
        <item x="1285"/>
        <item x="1286"/>
        <item x="1288"/>
        <item m="1" x="2731"/>
        <item x="1299"/>
        <item x="1318"/>
        <item x="1328"/>
        <item x="1336"/>
        <item x="1344"/>
        <item x="1347"/>
        <item x="1349"/>
        <item x="1350"/>
        <item x="1352"/>
        <item x="1357"/>
        <item m="1" x="2745"/>
        <item x="1362"/>
        <item x="1363"/>
        <item x="1380"/>
        <item x="1417"/>
        <item x="1427"/>
        <item x="1430"/>
        <item x="1431"/>
        <item x="1432"/>
        <item x="1441"/>
        <item x="1451"/>
        <item x="1452"/>
        <item x="1454"/>
        <item x="1459"/>
        <item x="1460"/>
        <item x="1461"/>
        <item x="1462"/>
        <item x="1463"/>
        <item x="1464"/>
        <item x="1465"/>
        <item m="1" x="2733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m="1" x="2939"/>
        <item x="1492"/>
        <item x="1494"/>
        <item x="1495"/>
        <item x="1496"/>
        <item x="1498"/>
        <item m="1" x="2824"/>
        <item m="1" x="2812"/>
        <item m="1" x="2813"/>
        <item x="1499"/>
        <item x="1500"/>
        <item x="1501"/>
        <item m="1" x="2814"/>
        <item x="1502"/>
        <item m="1" x="2795"/>
        <item m="1" x="2788"/>
        <item m="1" x="2777"/>
        <item m="1" x="2849"/>
        <item m="1" x="2840"/>
        <item x="1508"/>
        <item m="1" x="2797"/>
        <item x="1509"/>
        <item m="1" x="2778"/>
        <item m="1" x="2769"/>
        <item x="1510"/>
        <item x="1511"/>
        <item x="1512"/>
        <item x="1513"/>
        <item x="1514"/>
        <item x="1515"/>
        <item x="1518"/>
        <item x="1519"/>
        <item x="1520"/>
        <item m="1" x="2784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1"/>
        <item m="1" x="2760"/>
        <item x="1542"/>
        <item x="1544"/>
        <item x="1545"/>
        <item x="1546"/>
        <item x="1547"/>
        <item x="1549"/>
        <item m="1" x="2856"/>
        <item x="1550"/>
        <item x="1551"/>
        <item x="1552"/>
        <item x="1553"/>
        <item x="1556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m="1" x="2910"/>
        <item x="1573"/>
        <item x="1575"/>
        <item x="1576"/>
        <item x="1581"/>
        <item x="1582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m="1" x="2850"/>
        <item x="1610"/>
        <item x="1611"/>
        <item x="1612"/>
        <item x="1614"/>
        <item x="1615"/>
        <item x="1616"/>
        <item m="1" x="2827"/>
        <item x="1617"/>
        <item x="1618"/>
        <item x="1619"/>
        <item x="1621"/>
        <item x="1622"/>
        <item x="1623"/>
        <item x="1624"/>
        <item x="1625"/>
        <item m="1" x="2768"/>
        <item x="1627"/>
        <item x="1628"/>
        <item x="1630"/>
        <item x="1631"/>
        <item x="1632"/>
        <item x="1633"/>
        <item x="1634"/>
        <item x="1635"/>
        <item x="1636"/>
        <item x="1637"/>
        <item x="1639"/>
        <item x="1640"/>
        <item x="1641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3"/>
        <item x="1704"/>
        <item m="1" x="2853"/>
        <item x="1706"/>
        <item x="1707"/>
        <item m="1" x="2801"/>
        <item x="1708"/>
        <item x="1709"/>
        <item x="1710"/>
        <item x="1711"/>
        <item x="1712"/>
        <item x="1713"/>
        <item x="1714"/>
        <item x="1715"/>
        <item x="1716"/>
        <item x="1718"/>
        <item x="1719"/>
        <item x="1720"/>
        <item x="1721"/>
        <item x="1722"/>
        <item x="1723"/>
        <item x="1724"/>
        <item x="1728"/>
        <item x="1729"/>
        <item x="1730"/>
        <item x="1732"/>
        <item x="1734"/>
        <item x="1739"/>
        <item x="1743"/>
        <item x="1746"/>
        <item x="1747"/>
        <item x="1749"/>
        <item x="1751"/>
        <item x="1752"/>
        <item x="1756"/>
        <item x="1758"/>
        <item x="1759"/>
        <item x="1760"/>
        <item x="1763"/>
        <item x="1764"/>
        <item x="1766"/>
        <item x="1767"/>
        <item x="1768"/>
        <item m="1" x="2832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3"/>
        <item x="1784"/>
        <item x="1785"/>
        <item x="1786"/>
        <item x="1787"/>
        <item x="1788"/>
        <item x="1789"/>
        <item x="1790"/>
        <item x="1791"/>
        <item x="1792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m="1" x="2931"/>
        <item x="1848"/>
        <item x="1849"/>
        <item x="1851"/>
        <item x="1861"/>
        <item x="1862"/>
        <item x="1864"/>
        <item m="1" x="2741"/>
        <item x="1868"/>
        <item x="1869"/>
        <item m="1" x="2728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7"/>
        <item x="1891"/>
        <item x="1892"/>
        <item x="1893"/>
        <item x="1894"/>
        <item x="1896"/>
        <item x="1897"/>
        <item x="1898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4"/>
        <item x="1915"/>
        <item x="1916"/>
        <item x="1917"/>
        <item x="1918"/>
        <item x="1919"/>
        <item x="1920"/>
        <item x="1921"/>
        <item m="1" x="2739"/>
        <item x="1922"/>
        <item x="1923"/>
        <item x="1924"/>
        <item x="1925"/>
        <item x="1926"/>
        <item x="1927"/>
        <item x="1928"/>
        <item x="1929"/>
        <item x="1931"/>
        <item x="1932"/>
        <item x="1933"/>
        <item x="1934"/>
        <item x="1935"/>
        <item x="1936"/>
        <item x="1937"/>
        <item x="1938"/>
        <item x="1939"/>
        <item x="1940"/>
        <item x="1942"/>
        <item x="1943"/>
        <item m="1" x="2842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6"/>
        <item x="2007"/>
        <item x="2009"/>
        <item x="2010"/>
        <item x="2011"/>
        <item x="2012"/>
        <item x="2013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3"/>
        <item x="2044"/>
        <item x="2045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m="1" x="2899"/>
        <item x="2091"/>
        <item m="1" x="2868"/>
        <item x="2092"/>
        <item x="2093"/>
        <item x="2094"/>
        <item m="1" x="2734"/>
        <item x="2095"/>
        <item x="2096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m="1" x="2831"/>
        <item x="2112"/>
        <item m="1" x="2913"/>
        <item m="1" x="2895"/>
        <item m="1" x="2877"/>
        <item x="2113"/>
        <item m="1" x="2858"/>
        <item x="2114"/>
        <item x="2115"/>
        <item x="2116"/>
        <item x="2117"/>
        <item x="2118"/>
        <item x="2119"/>
        <item x="2120"/>
        <item x="2121"/>
        <item x="2122"/>
        <item x="2123"/>
        <item m="1" x="2926"/>
        <item x="2125"/>
        <item x="2126"/>
        <item x="2127"/>
        <item x="2128"/>
        <item x="2129"/>
        <item x="2130"/>
        <item x="2131"/>
        <item x="2132"/>
        <item x="2134"/>
        <item x="2136"/>
        <item x="2138"/>
        <item x="2139"/>
        <item x="2140"/>
        <item m="1" x="2802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8"/>
        <item x="2179"/>
        <item x="2180"/>
        <item x="2181"/>
        <item x="2184"/>
        <item x="2185"/>
        <item x="2186"/>
        <item x="2187"/>
        <item x="2188"/>
        <item x="2189"/>
        <item x="2190"/>
        <item m="1" x="2919"/>
        <item x="2191"/>
        <item m="1" x="2922"/>
        <item m="1" x="2924"/>
        <item m="1" x="2925"/>
        <item m="1" x="2902"/>
        <item m="1" x="2903"/>
        <item m="1" x="2904"/>
        <item m="1" x="2905"/>
        <item m="1" x="2906"/>
        <item m="1" x="2907"/>
        <item x="2192"/>
        <item m="1" x="2908"/>
        <item m="1" x="2909"/>
        <item x="2193"/>
        <item m="1" x="2888"/>
        <item m="1" x="2889"/>
        <item m="1" x="2890"/>
        <item m="1" x="2891"/>
        <item x="2194"/>
        <item x="2195"/>
        <item x="2196"/>
        <item x="2197"/>
        <item x="2198"/>
        <item x="2199"/>
        <item x="2200"/>
        <item x="2201"/>
        <item x="2202"/>
        <item m="1" x="2938"/>
        <item x="2206"/>
        <item x="2207"/>
        <item x="2208"/>
        <item x="2209"/>
        <item x="2210"/>
        <item x="2211"/>
        <item x="2212"/>
        <item x="2214"/>
        <item x="2215"/>
        <item x="2216"/>
        <item x="2217"/>
        <item x="2218"/>
        <item x="2219"/>
        <item x="2221"/>
        <item x="2223"/>
        <item x="2224"/>
        <item x="2225"/>
        <item x="2226"/>
        <item x="2229"/>
        <item x="2231"/>
        <item x="2232"/>
        <item m="1" x="2880"/>
        <item m="1" x="2865"/>
        <item m="1" x="2823"/>
        <item m="1" x="2885"/>
        <item x="2233"/>
        <item x="2236"/>
        <item x="2237"/>
        <item x="2238"/>
        <item x="2239"/>
        <item m="1" x="2912"/>
        <item x="2240"/>
        <item x="2242"/>
        <item x="2243"/>
        <item x="2244"/>
        <item x="2246"/>
        <item x="2247"/>
        <item x="2248"/>
        <item x="2249"/>
        <item x="2252"/>
        <item x="2253"/>
        <item x="2254"/>
        <item x="2255"/>
        <item x="2256"/>
        <item x="2257"/>
        <item x="2258"/>
        <item x="2259"/>
        <item m="1" x="2762"/>
        <item x="2260"/>
        <item x="2262"/>
        <item x="2263"/>
        <item m="1" x="2771"/>
        <item x="2264"/>
        <item x="2265"/>
        <item x="2266"/>
        <item x="2267"/>
        <item x="2268"/>
        <item x="2269"/>
        <item x="2270"/>
        <item m="1" x="2767"/>
        <item x="2271"/>
        <item x="2272"/>
        <item x="2273"/>
        <item x="2274"/>
        <item x="2275"/>
        <item x="2277"/>
        <item x="2278"/>
        <item x="2279"/>
        <item x="2280"/>
        <item m="1" x="2729"/>
        <item x="2282"/>
        <item x="2283"/>
        <item x="2284"/>
        <item x="2285"/>
        <item x="2286"/>
        <item x="2287"/>
        <item x="2288"/>
        <item x="2291"/>
        <item x="2292"/>
        <item x="2293"/>
        <item x="2296"/>
        <item x="2297"/>
        <item x="2298"/>
        <item x="2299"/>
        <item x="2300"/>
        <item x="2301"/>
        <item x="2302"/>
        <item x="2303"/>
        <item x="2304"/>
        <item x="2307"/>
        <item x="2308"/>
        <item x="2309"/>
        <item x="2310"/>
        <item x="2311"/>
        <item x="2313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8"/>
        <item x="2349"/>
        <item x="2350"/>
        <item x="2351"/>
        <item x="2352"/>
        <item x="2355"/>
        <item x="2356"/>
        <item x="2357"/>
        <item x="2358"/>
        <item x="2359"/>
        <item x="2360"/>
        <item x="2361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m="1" x="2792"/>
        <item m="1" x="2866"/>
        <item m="1" x="2861"/>
        <item m="1" x="2756"/>
        <item x="2379"/>
        <item x="2380"/>
        <item m="1" x="2869"/>
        <item x="2381"/>
        <item m="1" x="2914"/>
        <item x="2386"/>
        <item m="1" x="2918"/>
        <item m="1" x="2864"/>
        <item x="2387"/>
        <item m="1" x="2786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8"/>
        <item m="1" x="2754"/>
        <item x="2409"/>
        <item x="2410"/>
        <item x="2411"/>
        <item x="2412"/>
        <item m="1" x="2928"/>
        <item x="2413"/>
        <item x="2414"/>
        <item x="2415"/>
        <item x="2416"/>
        <item x="2417"/>
        <item m="1" x="2798"/>
        <item x="2418"/>
        <item x="2419"/>
        <item x="2420"/>
        <item x="2421"/>
        <item x="2422"/>
        <item x="2423"/>
        <item m="1" x="2828"/>
        <item m="1" x="2835"/>
        <item x="2424"/>
        <item x="2425"/>
        <item m="1" x="2743"/>
        <item x="2426"/>
        <item m="1" x="2867"/>
        <item x="2427"/>
        <item m="1" x="2920"/>
        <item m="1" x="2844"/>
        <item x="2429"/>
        <item x="2430"/>
        <item x="2431"/>
        <item x="2432"/>
        <item m="1" x="2799"/>
        <item x="2433"/>
        <item m="1" x="2841"/>
        <item x="2434"/>
        <item m="1" x="2818"/>
        <item x="2436"/>
        <item x="2437"/>
        <item m="1" x="2751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m="1" x="2816"/>
        <item m="1" x="2921"/>
        <item x="2450"/>
        <item x="2451"/>
        <item x="2453"/>
        <item m="1" x="2940"/>
        <item x="2454"/>
        <item m="1" x="2773"/>
        <item x="2455"/>
        <item m="1" x="2822"/>
        <item x="2456"/>
        <item x="2459"/>
        <item x="2460"/>
        <item x="2461"/>
        <item x="2464"/>
        <item m="1" x="2763"/>
        <item x="2465"/>
        <item x="2466"/>
        <item x="2467"/>
        <item x="2468"/>
        <item x="2469"/>
        <item m="1" x="2764"/>
        <item x="2470"/>
        <item x="2471"/>
        <item x="2473"/>
        <item x="2474"/>
        <item m="1" x="2744"/>
        <item m="1" x="2911"/>
        <item x="2477"/>
        <item x="2478"/>
        <item x="2479"/>
        <item x="2480"/>
        <item x="2481"/>
        <item x="2482"/>
        <item x="2483"/>
        <item x="2484"/>
        <item m="1" x="2810"/>
        <item m="1" x="2901"/>
        <item x="2485"/>
        <item m="1" x="2879"/>
        <item x="2486"/>
        <item x="2487"/>
        <item x="2488"/>
        <item m="1" x="2915"/>
        <item m="1" x="2845"/>
        <item m="1" x="2896"/>
        <item m="1" x="2785"/>
        <item m="1" x="2916"/>
        <item m="1" x="2942"/>
        <item m="1" x="2876"/>
        <item x="2490"/>
        <item x="2491"/>
        <item x="2492"/>
        <item m="1" x="2794"/>
        <item x="2493"/>
        <item m="1" x="2862"/>
        <item m="1" x="2746"/>
        <item x="2496"/>
        <item m="1" x="2848"/>
        <item x="2497"/>
        <item x="2498"/>
        <item m="1" x="2774"/>
        <item x="2499"/>
        <item m="1" x="2736"/>
        <item m="1" x="2897"/>
        <item x="2500"/>
        <item m="1" x="2929"/>
        <item x="2501"/>
        <item m="1" x="2834"/>
        <item m="1" x="2761"/>
        <item m="1" x="2833"/>
        <item x="2503"/>
        <item m="1" x="2809"/>
        <item x="2504"/>
        <item x="2505"/>
        <item m="1" x="2855"/>
        <item m="1" x="2781"/>
        <item x="2507"/>
        <item x="2508"/>
        <item x="2509"/>
        <item x="2510"/>
        <item m="1" x="2726"/>
        <item m="1" x="2782"/>
        <item m="1" x="2775"/>
        <item m="1" x="2927"/>
        <item m="1" x="2755"/>
        <item x="2513"/>
        <item m="1" x="2820"/>
        <item x="2515"/>
        <item x="2516"/>
        <item m="1" x="2882"/>
        <item m="1" x="2807"/>
        <item m="1" x="2803"/>
        <item x="2518"/>
        <item x="2519"/>
        <item m="1" x="2857"/>
        <item x="2521"/>
        <item x="2522"/>
        <item x="2524"/>
        <item m="1" x="2838"/>
        <item x="2525"/>
        <item m="1" x="2750"/>
        <item m="1" x="2935"/>
        <item m="1" x="2881"/>
        <item m="1" x="2878"/>
        <item m="1" x="2772"/>
        <item m="1" x="2752"/>
        <item m="1" x="2860"/>
        <item m="1" x="2791"/>
        <item m="1" x="2806"/>
        <item m="1" x="2796"/>
        <item x="2526"/>
        <item x="2527"/>
        <item x="2528"/>
        <item m="1" x="2872"/>
        <item m="1" x="2893"/>
        <item m="1" x="2873"/>
        <item x="2530"/>
        <item x="2531"/>
        <item x="2533"/>
        <item x="2534"/>
        <item x="2535"/>
        <item x="2536"/>
        <item x="2537"/>
        <item m="1" x="2839"/>
        <item x="2538"/>
        <item m="1" x="2819"/>
        <item x="2539"/>
        <item x="2540"/>
        <item x="2541"/>
        <item x="2542"/>
        <item x="2543"/>
        <item x="2544"/>
        <item x="2545"/>
        <item x="2546"/>
        <item x="2547"/>
        <item x="2549"/>
        <item x="2550"/>
        <item x="2551"/>
        <item x="2552"/>
        <item x="2553"/>
        <item x="2554"/>
        <item m="1" x="2933"/>
        <item m="1" x="2804"/>
        <item x="2555"/>
        <item x="2556"/>
        <item x="2557"/>
        <item m="1" x="2753"/>
        <item m="1" x="2930"/>
        <item x="2560"/>
        <item x="2561"/>
        <item x="2562"/>
        <item m="1" x="2883"/>
        <item x="2563"/>
        <item x="2564"/>
        <item m="1" x="2859"/>
        <item m="1" x="2843"/>
        <item x="2565"/>
        <item x="2566"/>
        <item x="2567"/>
        <item x="2568"/>
        <item m="1" x="2759"/>
        <item m="1" x="2892"/>
        <item m="1" x="2737"/>
        <item m="1" x="2934"/>
        <item m="1" x="2846"/>
        <item x="2569"/>
        <item x="2570"/>
        <item m="1" x="2826"/>
        <item m="1" x="2735"/>
        <item m="1" x="2790"/>
        <item m="1" x="2793"/>
        <item x="2571"/>
        <item x="2572"/>
        <item x="2573"/>
        <item x="2574"/>
        <item x="2575"/>
        <item m="1" x="2727"/>
        <item x="2576"/>
        <item m="1" x="2817"/>
        <item x="2577"/>
        <item x="2579"/>
        <item m="1" x="2852"/>
        <item x="2581"/>
        <item x="2582"/>
        <item x="2585"/>
        <item m="1" x="2740"/>
        <item x="2586"/>
        <item x="2587"/>
        <item x="2589"/>
        <item m="1" x="2870"/>
        <item m="1" x="2863"/>
        <item x="2590"/>
        <item m="1" x="2874"/>
        <item m="1" x="2900"/>
        <item x="2591"/>
        <item m="1" x="2898"/>
        <item x="2593"/>
        <item m="1" x="2829"/>
        <item x="2594"/>
        <item x="2595"/>
        <item x="2596"/>
        <item x="2597"/>
        <item m="1" x="2787"/>
        <item m="1" x="2836"/>
        <item m="1" x="2943"/>
        <item m="1" x="2730"/>
        <item x="2598"/>
        <item m="1" x="2779"/>
        <item x="2601"/>
        <item m="1" x="2894"/>
        <item m="1" x="2884"/>
        <item x="2605"/>
        <item m="1" x="2847"/>
        <item x="2608"/>
        <item x="2610"/>
        <item m="1" x="2871"/>
        <item x="2612"/>
        <item m="1" x="2766"/>
        <item m="1" x="2776"/>
        <item m="1" x="2780"/>
        <item m="1" x="2783"/>
        <item m="1" x="2851"/>
        <item x="2615"/>
        <item x="2616"/>
        <item m="1" x="2917"/>
        <item m="1" x="2886"/>
        <item m="1" x="2821"/>
        <item x="2620"/>
        <item x="2622"/>
        <item x="2623"/>
        <item x="2625"/>
        <item x="2628"/>
        <item x="2630"/>
        <item m="1" x="2747"/>
        <item x="2634"/>
        <item x="2636"/>
        <item x="2638"/>
        <item x="2644"/>
        <item x="2645"/>
        <item x="2647"/>
        <item x="2649"/>
        <item x="2650"/>
        <item m="1" x="2738"/>
        <item x="2652"/>
        <item x="2653"/>
        <item x="2654"/>
        <item m="1" x="2758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m="1" x="2936"/>
        <item x="2668"/>
        <item x="2669"/>
        <item m="1" x="2941"/>
        <item x="2674"/>
        <item x="2675"/>
        <item x="2677"/>
        <item x="2678"/>
        <item x="2679"/>
        <item x="2680"/>
        <item x="2681"/>
        <item x="2682"/>
        <item x="2683"/>
        <item x="2684"/>
        <item m="1" x="2789"/>
        <item x="2685"/>
        <item x="2686"/>
        <item m="1" x="2765"/>
        <item x="2687"/>
        <item x="2688"/>
        <item x="2689"/>
        <item x="2690"/>
        <item x="2691"/>
        <item x="2692"/>
        <item x="2693"/>
        <item x="2695"/>
        <item x="2696"/>
        <item m="1" x="2854"/>
        <item x="2698"/>
        <item x="2699"/>
        <item x="2700"/>
        <item m="1" x="2875"/>
        <item x="2703"/>
        <item x="2706"/>
        <item x="2707"/>
        <item m="1" x="2732"/>
        <item x="2709"/>
        <item x="2710"/>
        <item x="2711"/>
        <item x="2712"/>
        <item x="2713"/>
        <item x="2714"/>
        <item x="2715"/>
        <item x="2716"/>
        <item x="2718"/>
        <item x="2719"/>
        <item x="2720"/>
        <item x="2721"/>
        <item x="2722"/>
        <item x="2723"/>
        <item x="1389"/>
        <item x="1390"/>
        <item x="1313"/>
        <item x="1413"/>
        <item m="1" x="2724"/>
        <item x="12"/>
        <item x="29"/>
        <item x="30"/>
        <item x="31"/>
        <item x="32"/>
        <item x="33"/>
        <item x="34"/>
        <item x="35"/>
        <item x="36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1"/>
        <item x="72"/>
        <item x="73"/>
        <item x="74"/>
        <item x="75"/>
        <item x="76"/>
        <item x="81"/>
        <item x="82"/>
        <item x="83"/>
        <item x="84"/>
        <item x="85"/>
        <item x="86"/>
        <item x="87"/>
        <item x="93"/>
        <item x="94"/>
        <item x="100"/>
        <item x="101"/>
        <item x="111"/>
        <item x="112"/>
        <item x="113"/>
        <item x="114"/>
        <item x="117"/>
        <item x="118"/>
        <item x="120"/>
        <item x="121"/>
        <item x="125"/>
        <item x="126"/>
        <item x="127"/>
        <item x="128"/>
        <item x="131"/>
        <item x="132"/>
        <item x="134"/>
        <item x="135"/>
        <item x="136"/>
        <item x="137"/>
        <item x="139"/>
        <item x="143"/>
        <item x="144"/>
        <item x="145"/>
        <item x="147"/>
        <item x="148"/>
        <item x="149"/>
        <item x="150"/>
        <item x="151"/>
        <item x="152"/>
        <item x="153"/>
        <item x="154"/>
        <item x="158"/>
        <item x="159"/>
        <item x="160"/>
        <item x="163"/>
        <item x="164"/>
        <item x="165"/>
        <item x="167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3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2"/>
        <item x="313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7"/>
        <item x="469"/>
        <item x="470"/>
        <item x="471"/>
        <item x="472"/>
        <item x="473"/>
        <item x="474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2"/>
        <item x="493"/>
        <item x="494"/>
        <item x="495"/>
        <item x="496"/>
        <item x="497"/>
        <item x="498"/>
        <item x="499"/>
        <item x="500"/>
        <item x="501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5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1"/>
        <item x="572"/>
        <item x="573"/>
        <item x="574"/>
        <item x="575"/>
        <item x="577"/>
        <item x="578"/>
        <item x="579"/>
        <item x="580"/>
        <item x="581"/>
        <item x="582"/>
        <item x="588"/>
        <item x="589"/>
        <item x="591"/>
        <item x="593"/>
        <item x="594"/>
        <item x="595"/>
        <item x="596"/>
        <item x="597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6"/>
        <item x="617"/>
        <item x="618"/>
        <item x="619"/>
        <item x="620"/>
        <item x="621"/>
        <item x="623"/>
        <item x="625"/>
        <item x="627"/>
        <item x="628"/>
        <item x="629"/>
        <item x="630"/>
        <item x="631"/>
        <item x="636"/>
        <item x="637"/>
        <item x="638"/>
        <item x="639"/>
        <item x="640"/>
        <item x="641"/>
        <item x="642"/>
        <item x="643"/>
        <item x="644"/>
        <item x="645"/>
        <item x="647"/>
        <item x="648"/>
        <item x="650"/>
        <item x="652"/>
        <item x="653"/>
        <item x="654"/>
        <item x="655"/>
        <item x="656"/>
        <item x="657"/>
        <item x="660"/>
        <item x="661"/>
        <item x="662"/>
        <item x="663"/>
        <item x="667"/>
        <item x="668"/>
        <item x="671"/>
        <item x="672"/>
        <item x="674"/>
        <item x="675"/>
        <item x="676"/>
        <item x="677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31"/>
        <item x="732"/>
        <item x="733"/>
        <item x="735"/>
        <item x="736"/>
        <item x="737"/>
        <item x="738"/>
        <item x="740"/>
        <item x="741"/>
        <item x="743"/>
        <item x="745"/>
        <item x="746"/>
        <item x="748"/>
        <item x="749"/>
        <item x="750"/>
        <item x="751"/>
        <item x="753"/>
        <item x="754"/>
        <item x="755"/>
        <item x="756"/>
        <item x="757"/>
        <item x="758"/>
        <item x="759"/>
        <item x="761"/>
        <item x="762"/>
        <item x="763"/>
        <item x="764"/>
        <item x="765"/>
        <item x="767"/>
        <item x="768"/>
        <item x="769"/>
        <item x="770"/>
        <item x="772"/>
        <item x="773"/>
        <item x="774"/>
        <item x="775"/>
        <item x="777"/>
        <item x="778"/>
        <item x="779"/>
        <item x="780"/>
        <item x="782"/>
        <item x="783"/>
        <item x="785"/>
        <item x="786"/>
        <item x="787"/>
        <item x="788"/>
        <item x="789"/>
        <item x="790"/>
        <item x="791"/>
        <item x="792"/>
        <item x="793"/>
        <item x="794"/>
        <item x="796"/>
        <item x="797"/>
        <item x="799"/>
        <item x="801"/>
        <item x="802"/>
        <item x="803"/>
        <item x="804"/>
        <item x="805"/>
        <item x="806"/>
        <item x="809"/>
        <item x="810"/>
        <item x="811"/>
        <item x="812"/>
        <item x="813"/>
        <item x="815"/>
        <item x="817"/>
        <item x="818"/>
        <item x="819"/>
        <item x="820"/>
        <item x="822"/>
        <item x="823"/>
        <item x="824"/>
        <item x="825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6"/>
        <item x="848"/>
        <item x="849"/>
        <item x="850"/>
        <item x="851"/>
        <item x="852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6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5"/>
        <item x="936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5"/>
        <item x="956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6"/>
        <item x="977"/>
        <item x="978"/>
        <item x="979"/>
        <item x="980"/>
        <item x="981"/>
        <item x="982"/>
        <item x="983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1"/>
        <item x="1003"/>
        <item x="1004"/>
        <item x="1005"/>
        <item x="1011"/>
        <item x="1012"/>
        <item x="1014"/>
        <item x="1015"/>
        <item x="1016"/>
        <item x="1017"/>
        <item x="1018"/>
        <item x="1019"/>
        <item x="1020"/>
        <item x="1021"/>
        <item x="1023"/>
        <item x="1024"/>
        <item x="1026"/>
        <item x="1029"/>
        <item x="1030"/>
        <item x="1031"/>
        <item x="1032"/>
        <item x="1035"/>
        <item x="1036"/>
        <item x="1039"/>
        <item x="1040"/>
        <item x="1043"/>
        <item x="1045"/>
        <item x="1047"/>
        <item x="1048"/>
        <item x="1049"/>
        <item x="1050"/>
        <item x="1051"/>
        <item x="1052"/>
        <item x="1053"/>
        <item x="1054"/>
        <item x="1055"/>
        <item x="1057"/>
        <item x="1058"/>
        <item x="1059"/>
        <item x="1060"/>
        <item x="1061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8"/>
        <item x="1079"/>
        <item x="1080"/>
        <item x="1081"/>
        <item x="1083"/>
        <item x="1084"/>
        <item x="1085"/>
        <item x="1086"/>
        <item x="1087"/>
        <item x="1088"/>
        <item x="1089"/>
        <item x="1091"/>
        <item x="1092"/>
        <item x="1095"/>
        <item x="1096"/>
        <item x="1098"/>
        <item x="1100"/>
        <item x="1103"/>
        <item x="1104"/>
        <item x="1106"/>
        <item x="1107"/>
        <item x="1109"/>
        <item x="1111"/>
        <item x="1112"/>
        <item x="1113"/>
        <item x="1114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4"/>
        <item x="1135"/>
        <item x="1136"/>
        <item x="1138"/>
        <item x="1139"/>
        <item x="1140"/>
        <item x="1141"/>
        <item x="1142"/>
        <item x="1143"/>
        <item x="1144"/>
        <item x="1145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3"/>
        <item x="1164"/>
        <item x="1165"/>
        <item x="1166"/>
        <item x="1167"/>
        <item x="1168"/>
        <item x="1169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4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8"/>
        <item x="1259"/>
        <item x="1260"/>
        <item x="1261"/>
        <item x="1263"/>
        <item x="1266"/>
        <item x="1268"/>
        <item x="1269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7"/>
        <item x="1289"/>
        <item x="1290"/>
        <item x="1291"/>
        <item x="1292"/>
        <item x="1293"/>
        <item x="1294"/>
        <item x="1295"/>
        <item x="1296"/>
        <item x="1297"/>
        <item x="1300"/>
        <item x="1301"/>
        <item x="1302"/>
        <item x="1303"/>
        <item x="1304"/>
        <item x="1305"/>
        <item x="1306"/>
        <item x="1310"/>
        <item x="1311"/>
        <item x="1312"/>
        <item x="1314"/>
        <item x="1315"/>
        <item x="1316"/>
        <item x="1317"/>
        <item x="1319"/>
        <item x="1320"/>
        <item x="1321"/>
        <item x="1322"/>
        <item x="1323"/>
        <item x="1324"/>
        <item x="1325"/>
        <item x="1326"/>
        <item x="1327"/>
        <item x="1329"/>
        <item x="1330"/>
        <item x="1331"/>
        <item x="1332"/>
        <item x="1333"/>
        <item x="1334"/>
        <item x="1335"/>
        <item x="1337"/>
        <item x="1338"/>
        <item x="1339"/>
        <item x="1340"/>
        <item x="1341"/>
        <item x="1342"/>
        <item x="1343"/>
        <item x="1345"/>
        <item x="1346"/>
        <item x="1348"/>
        <item x="1351"/>
        <item x="1353"/>
        <item x="1354"/>
        <item x="1355"/>
        <item x="1356"/>
        <item x="1358"/>
        <item x="1359"/>
        <item x="1360"/>
        <item x="1361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1"/>
        <item x="1382"/>
        <item x="1383"/>
        <item x="1384"/>
        <item x="1385"/>
        <item x="1386"/>
        <item x="1387"/>
        <item x="1388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4"/>
        <item x="1415"/>
        <item x="1416"/>
        <item x="1418"/>
        <item x="1419"/>
        <item x="1420"/>
        <item x="1421"/>
        <item x="1422"/>
        <item x="1423"/>
        <item x="1424"/>
        <item x="1425"/>
        <item x="1426"/>
        <item x="1428"/>
        <item x="1429"/>
        <item x="1433"/>
        <item x="1434"/>
        <item x="1435"/>
        <item x="1436"/>
        <item x="1437"/>
        <item x="1438"/>
        <item x="1439"/>
        <item x="1440"/>
        <item x="1442"/>
        <item x="1444"/>
        <item x="1445"/>
        <item x="1446"/>
        <item x="1447"/>
        <item x="1448"/>
        <item x="1449"/>
        <item x="1450"/>
        <item x="1453"/>
        <item x="1455"/>
        <item x="1456"/>
        <item x="1457"/>
        <item x="1458"/>
        <item x="1493"/>
        <item x="1497"/>
        <item x="1503"/>
        <item x="1504"/>
        <item x="1505"/>
        <item x="1506"/>
        <item x="1507"/>
        <item x="1516"/>
        <item x="1517"/>
        <item x="1540"/>
        <item x="1543"/>
        <item x="1548"/>
        <item x="1554"/>
        <item x="1555"/>
        <item x="1557"/>
        <item x="1574"/>
        <item x="1577"/>
        <item x="1578"/>
        <item x="1579"/>
        <item x="1580"/>
        <item x="1583"/>
        <item x="1584"/>
        <item x="1598"/>
        <item x="1613"/>
        <item x="1620"/>
        <item x="1626"/>
        <item x="1629"/>
        <item x="1638"/>
        <item x="1642"/>
        <item x="1701"/>
        <item x="1702"/>
        <item x="1705"/>
        <item x="1717"/>
        <item x="1725"/>
        <item x="1726"/>
        <item x="1727"/>
        <item x="1731"/>
        <item x="1733"/>
        <item x="1735"/>
        <item x="1736"/>
        <item x="1737"/>
        <item x="1738"/>
        <item x="1740"/>
        <item x="1741"/>
        <item x="1742"/>
        <item x="1744"/>
        <item x="1745"/>
        <item x="1748"/>
        <item x="1750"/>
        <item x="1753"/>
        <item x="1754"/>
        <item x="1755"/>
        <item x="1757"/>
        <item x="1761"/>
        <item x="1762"/>
        <item x="1765"/>
        <item x="1782"/>
        <item x="1793"/>
        <item x="1847"/>
        <item x="1850"/>
        <item x="1852"/>
        <item x="1853"/>
        <item x="1854"/>
        <item x="1855"/>
        <item x="1856"/>
        <item x="1857"/>
        <item x="1858"/>
        <item x="1859"/>
        <item x="1860"/>
        <item x="1863"/>
        <item x="1865"/>
        <item x="1866"/>
        <item x="1867"/>
        <item x="1870"/>
        <item x="1871"/>
        <item x="1872"/>
        <item x="1873"/>
        <item x="1886"/>
        <item x="1888"/>
        <item x="1889"/>
        <item x="1890"/>
        <item x="1895"/>
        <item x="1899"/>
        <item x="1912"/>
        <item x="1913"/>
        <item x="1930"/>
        <item x="1941"/>
        <item x="2005"/>
        <item x="2008"/>
        <item x="2014"/>
        <item x="2015"/>
        <item x="2016"/>
        <item x="2042"/>
        <item x="2046"/>
        <item x="2069"/>
        <item x="2070"/>
        <item x="2071"/>
        <item x="2089"/>
        <item x="2090"/>
        <item x="2097"/>
        <item x="2124"/>
        <item x="2133"/>
        <item x="2135"/>
        <item x="2137"/>
        <item x="2152"/>
        <item x="2174"/>
        <item x="2175"/>
        <item x="2176"/>
        <item x="2177"/>
        <item x="2182"/>
        <item x="2183"/>
        <item x="2203"/>
        <item x="2204"/>
        <item x="2205"/>
        <item x="2213"/>
        <item x="2220"/>
        <item x="2222"/>
        <item x="2227"/>
        <item x="2228"/>
        <item x="2230"/>
        <item x="2234"/>
        <item x="2235"/>
        <item x="2241"/>
        <item x="2245"/>
        <item x="2250"/>
        <item x="2251"/>
        <item x="2261"/>
        <item x="2276"/>
        <item x="2281"/>
        <item x="2289"/>
        <item x="2290"/>
        <item x="2294"/>
        <item x="2295"/>
        <item x="2305"/>
        <item x="2306"/>
        <item x="2312"/>
        <item x="2314"/>
        <item x="2315"/>
        <item x="2316"/>
        <item x="2317"/>
        <item x="2318"/>
        <item x="2319"/>
        <item x="2347"/>
        <item x="2353"/>
        <item x="2354"/>
        <item x="2362"/>
        <item x="2363"/>
        <item x="2382"/>
        <item x="2383"/>
        <item x="2384"/>
        <item x="2385"/>
        <item x="2407"/>
        <item x="2428"/>
        <item x="2435"/>
        <item x="2438"/>
        <item x="2452"/>
        <item x="2457"/>
        <item x="2458"/>
        <item x="2462"/>
        <item x="2463"/>
        <item x="2472"/>
        <item x="2475"/>
        <item x="2476"/>
        <item x="2489"/>
        <item x="2494"/>
        <item x="2495"/>
        <item x="2502"/>
        <item x="2506"/>
        <item x="2511"/>
        <item x="2512"/>
        <item x="2514"/>
        <item x="2517"/>
        <item x="2520"/>
        <item x="2523"/>
        <item x="2529"/>
        <item x="2532"/>
        <item x="2548"/>
        <item x="2558"/>
        <item x="2559"/>
        <item x="2578"/>
        <item x="2580"/>
        <item x="2583"/>
        <item x="2584"/>
        <item x="2588"/>
        <item x="2592"/>
        <item x="2599"/>
        <item x="2600"/>
        <item x="2602"/>
        <item x="2603"/>
        <item x="2604"/>
        <item x="2606"/>
        <item x="2607"/>
        <item x="2609"/>
        <item x="2611"/>
        <item x="2613"/>
        <item x="2614"/>
        <item x="2617"/>
        <item x="2618"/>
        <item x="2619"/>
        <item x="2621"/>
        <item x="2624"/>
        <item x="2626"/>
        <item x="2627"/>
        <item x="2629"/>
        <item x="2631"/>
        <item x="2632"/>
        <item x="2633"/>
        <item x="2635"/>
        <item x="2637"/>
        <item x="2639"/>
        <item x="2640"/>
        <item x="2641"/>
        <item x="2642"/>
        <item x="2643"/>
        <item x="2646"/>
        <item x="2648"/>
        <item x="2651"/>
        <item x="2670"/>
        <item x="2671"/>
        <item x="2672"/>
        <item x="2673"/>
        <item x="2676"/>
        <item x="2694"/>
        <item x="2697"/>
        <item x="2701"/>
        <item x="2702"/>
        <item x="2704"/>
        <item x="2705"/>
        <item x="2708"/>
        <item x="2717"/>
        <item x="98"/>
        <item x="177"/>
        <item x="178"/>
        <item x="184"/>
        <item x="1002"/>
        <item x="1006"/>
        <item x="1007"/>
        <item x="1008"/>
        <item x="1009"/>
        <item x="1033"/>
        <item x="1046"/>
        <item x="1094"/>
        <item x="1097"/>
        <item x="1099"/>
        <item x="1101"/>
        <item x="1108"/>
        <item x="1115"/>
        <item x="1117"/>
        <item x="1118"/>
        <item x="1298"/>
        <item x="1307"/>
        <item x="1308"/>
        <item x="1309"/>
        <item x="1443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2934">
        <item x="630"/>
        <item m="1" x="2885"/>
        <item x="1772"/>
        <item x="1718"/>
        <item x="1739"/>
        <item x="1766"/>
        <item x="1716"/>
        <item x="1731"/>
        <item x="1771"/>
        <item x="1774"/>
        <item x="1735"/>
        <item x="1773"/>
        <item x="1764"/>
        <item x="1737"/>
        <item x="1756"/>
        <item x="1754"/>
        <item x="1755"/>
        <item x="1757"/>
        <item x="1768"/>
        <item x="1769"/>
        <item x="1765"/>
        <item x="1767"/>
        <item x="1775"/>
        <item x="1761"/>
        <item x="1762"/>
        <item m="1" x="2726"/>
        <item x="1759"/>
        <item x="1758"/>
        <item m="1" x="2914"/>
        <item x="1760"/>
        <item x="1778"/>
        <item x="1722"/>
        <item x="1777"/>
        <item x="1776"/>
        <item x="1872"/>
        <item x="1868"/>
        <item x="198"/>
        <item m="1" x="2735"/>
        <item m="1" x="2759"/>
        <item x="1870"/>
        <item x="1873"/>
        <item m="1" x="2808"/>
        <item x="2041"/>
        <item x="2108"/>
        <item m="1" x="2781"/>
        <item x="1941"/>
        <item x="2374"/>
        <item x="2376"/>
        <item x="2377"/>
        <item x="2153"/>
        <item x="2154"/>
        <item x="2155"/>
        <item x="1869"/>
        <item x="2378"/>
        <item x="2379"/>
        <item x="2380"/>
        <item x="2381"/>
        <item x="2382"/>
        <item x="2383"/>
        <item x="2384"/>
        <item x="2386"/>
        <item x="2387"/>
        <item x="2388"/>
        <item x="2389"/>
        <item x="2391"/>
        <item x="869"/>
        <item x="2392"/>
        <item x="738"/>
        <item x="1357"/>
        <item x="2395"/>
        <item x="2396"/>
        <item x="878"/>
        <item x="2398"/>
        <item x="2400"/>
        <item x="1125"/>
        <item x="2403"/>
        <item x="2404"/>
        <item x="2405"/>
        <item x="1193"/>
        <item x="1194"/>
        <item x="2407"/>
        <item m="1" x="2909"/>
        <item x="2409"/>
        <item m="1" x="2900"/>
        <item x="2411"/>
        <item x="2412"/>
        <item x="2413"/>
        <item x="2414"/>
        <item x="1408"/>
        <item x="997"/>
        <item x="2417"/>
        <item x="2418"/>
        <item x="2420"/>
        <item m="1" x="2767"/>
        <item x="2422"/>
        <item x="2424"/>
        <item x="2425"/>
        <item x="2426"/>
        <item x="2427"/>
        <item m="1" x="2768"/>
        <item m="1" x="2787"/>
        <item m="1" x="2823"/>
        <item x="887"/>
        <item x="2429"/>
        <item x="2431"/>
        <item x="816"/>
        <item x="2432"/>
        <item x="1645"/>
        <item x="1647"/>
        <item x="1633"/>
        <item x="1621"/>
        <item x="1649"/>
        <item x="1639"/>
        <item x="1622"/>
        <item x="1650"/>
        <item x="1632"/>
        <item x="1641"/>
        <item x="1651"/>
        <item x="1652"/>
        <item x="1653"/>
        <item x="1664"/>
        <item x="1660"/>
        <item x="1654"/>
        <item x="1688"/>
        <item x="1661"/>
        <item x="1655"/>
        <item x="1627"/>
        <item x="1631"/>
        <item m="1" x="2856"/>
        <item x="1646"/>
        <item x="1683"/>
        <item x="1658"/>
        <item x="1656"/>
        <item x="1618"/>
        <item x="1659"/>
        <item x="1670"/>
        <item x="1657"/>
        <item x="1635"/>
        <item x="1668"/>
        <item m="1" x="2712"/>
        <item x="1623"/>
        <item x="1629"/>
        <item x="1624"/>
        <item x="1634"/>
        <item x="1637"/>
        <item x="1638"/>
        <item x="1648"/>
        <item m="1" x="2871"/>
        <item x="2433"/>
        <item m="1" x="2756"/>
        <item x="2610"/>
        <item x="2437"/>
        <item m="1" x="2704"/>
        <item x="1045"/>
        <item m="1" x="2845"/>
        <item x="2443"/>
        <item m="1" x="2802"/>
        <item m="1" x="2793"/>
        <item x="2446"/>
        <item x="2447"/>
        <item x="2449"/>
        <item x="2450"/>
        <item m="1" x="2722"/>
        <item x="992"/>
        <item x="2453"/>
        <item x="2455"/>
        <item x="2457"/>
        <item x="2458"/>
        <item x="2459"/>
        <item x="2460"/>
        <item x="1040"/>
        <item x="1054"/>
        <item x="2461"/>
        <item x="1047"/>
        <item x="2462"/>
        <item x="2463"/>
        <item x="2464"/>
        <item x="1340"/>
        <item x="1409"/>
        <item x="1351"/>
        <item x="1034"/>
        <item x="965"/>
        <item x="962"/>
        <item x="1199"/>
        <item x="2466"/>
        <item x="2467"/>
        <item x="2468"/>
        <item x="1399"/>
        <item x="1029"/>
        <item x="1030"/>
        <item x="873"/>
        <item x="2471"/>
        <item x="739"/>
        <item m="1" x="2828"/>
        <item x="2475"/>
        <item x="1316"/>
        <item x="775"/>
        <item x="902"/>
        <item x="1405"/>
        <item x="2477"/>
        <item x="1203"/>
        <item x="2478"/>
        <item m="1" x="2703"/>
        <item x="741"/>
        <item x="2480"/>
        <item x="940"/>
        <item x="790"/>
        <item x="1205"/>
        <item x="1315"/>
        <item x="760"/>
        <item x="766"/>
        <item x="897"/>
        <item m="1" x="2746"/>
        <item x="2486"/>
        <item x="2487"/>
        <item x="1209"/>
        <item x="1008"/>
        <item m="1" x="2785"/>
        <item m="1" x="2868"/>
        <item x="1867"/>
        <item m="1" x="2733"/>
        <item x="2492"/>
        <item x="1875"/>
        <item x="2493"/>
        <item x="2495"/>
        <item x="1131"/>
        <item x="2496"/>
        <item x="18"/>
        <item m="1" x="2852"/>
        <item m="1" x="2832"/>
        <item x="465"/>
        <item m="1" x="2780"/>
        <item m="1" x="2713"/>
        <item m="1" x="2905"/>
        <item x="523"/>
        <item m="1" x="2715"/>
        <item m="1" x="2919"/>
        <item x="714"/>
        <item x="715"/>
        <item x="717"/>
        <item x="720"/>
        <item x="721"/>
        <item x="722"/>
        <item m="1" x="2752"/>
        <item x="2500"/>
        <item x="2501"/>
        <item x="2503"/>
        <item x="2505"/>
        <item x="2506"/>
        <item x="996"/>
        <item m="1" x="2863"/>
        <item m="1" x="2912"/>
        <item x="2511"/>
        <item x="2512"/>
        <item m="1" x="2730"/>
        <item x="2516"/>
        <item x="2517"/>
        <item x="2518"/>
        <item x="2519"/>
        <item x="1306"/>
        <item x="2520"/>
        <item m="1" x="2880"/>
        <item x="1002"/>
        <item x="2522"/>
        <item m="1" x="2741"/>
        <item x="2524"/>
        <item x="1079"/>
        <item x="2234"/>
        <item x="2528"/>
        <item x="1134"/>
        <item x="2530"/>
        <item x="2615"/>
        <item m="1" x="2723"/>
        <item x="2532"/>
        <item x="968"/>
        <item x="858"/>
        <item x="1245"/>
        <item x="945"/>
        <item x="795"/>
        <item x="1136"/>
        <item x="767"/>
        <item x="2537"/>
        <item m="1" x="2864"/>
        <item x="846"/>
        <item x="843"/>
        <item x="2538"/>
        <item x="2539"/>
        <item x="2540"/>
        <item x="2541"/>
        <item x="770"/>
        <item x="2542"/>
        <item x="814"/>
        <item x="736"/>
        <item x="1137"/>
        <item x="2544"/>
        <item m="1" x="2883"/>
        <item m="1" x="2887"/>
        <item x="763"/>
        <item x="133"/>
        <item x="2548"/>
        <item m="1" x="2824"/>
        <item x="1227"/>
        <item m="1" x="2806"/>
        <item x="774"/>
        <item x="1350"/>
        <item m="1" x="2702"/>
        <item m="1" x="2930"/>
        <item m="1" x="2765"/>
        <item m="1" x="2840"/>
        <item m="1" x="2748"/>
        <item x="2560"/>
        <item x="2561"/>
        <item m="1" x="2729"/>
        <item x="782"/>
        <item m="1" x="2869"/>
        <item x="789"/>
        <item x="2564"/>
        <item x="2565"/>
        <item x="631"/>
        <item m="1" x="2771"/>
        <item m="1" x="2705"/>
        <item x="2571"/>
        <item m="1" x="2719"/>
        <item x="654"/>
        <item m="1" x="2786"/>
        <item x="660"/>
        <item x="661"/>
        <item m="1" x="2917"/>
        <item m="1" x="2738"/>
        <item m="1" x="2749"/>
        <item m="1" x="2931"/>
        <item m="1" x="2710"/>
        <item x="673"/>
        <item m="1" x="2831"/>
        <item m="1" x="2874"/>
        <item m="1" x="2790"/>
        <item m="1" x="2829"/>
        <item x="1666"/>
        <item x="1671"/>
        <item x="1625"/>
        <item x="1686"/>
        <item x="1636"/>
        <item x="1663"/>
        <item x="1667"/>
        <item x="1678"/>
        <item x="1752"/>
        <item x="1620"/>
        <item m="1" x="2794"/>
        <item x="1662"/>
        <item m="1" x="2789"/>
        <item x="1628"/>
        <item m="1" x="2778"/>
        <item x="2099"/>
        <item x="1789"/>
        <item x="1173"/>
        <item m="1" x="2813"/>
        <item x="2402"/>
        <item m="1" x="2857"/>
        <item x="1174"/>
        <item x="1482"/>
        <item x="583"/>
        <item x="581"/>
        <item m="1" x="2728"/>
        <item x="582"/>
        <item x="2258"/>
        <item x="580"/>
        <item m="1" x="2707"/>
        <item x="1885"/>
        <item x="2212"/>
        <item m="1" x="2820"/>
        <item x="1886"/>
        <item x="1798"/>
        <item x="2224"/>
        <item x="1691"/>
        <item x="2285"/>
        <item x="1687"/>
        <item m="1" x="2893"/>
        <item x="1546"/>
        <item x="1544"/>
        <item x="1575"/>
        <item x="1557"/>
        <item x="1591"/>
        <item x="1589"/>
        <item x="1592"/>
        <item x="1602"/>
        <item x="1590"/>
        <item x="1609"/>
        <item m="1" x="2809"/>
        <item x="2308"/>
        <item x="1559"/>
        <item x="1570"/>
        <item x="1532"/>
        <item x="1563"/>
        <item x="1526"/>
        <item x="1547"/>
        <item x="1533"/>
        <item x="1558"/>
        <item x="1530"/>
        <item x="1560"/>
        <item x="1534"/>
        <item x="1588"/>
        <item x="1564"/>
        <item x="1580"/>
        <item x="1539"/>
        <item m="1" x="2739"/>
        <item x="1581"/>
        <item x="1583"/>
        <item x="1582"/>
        <item x="2268"/>
        <item x="273"/>
        <item x="647"/>
        <item x="865"/>
        <item m="1" x="2907"/>
        <item x="1364"/>
        <item x="313"/>
        <item m="1" x="2827"/>
        <item x="1473"/>
        <item x="1816"/>
        <item m="1" x="2714"/>
        <item x="2557"/>
        <item x="1255"/>
        <item x="666"/>
        <item x="1829"/>
        <item x="2161"/>
        <item x="2656"/>
        <item x="2655"/>
        <item m="1" x="2851"/>
        <item x="695"/>
        <item m="1" x="2866"/>
        <item x="544"/>
        <item x="2470"/>
        <item x="2367"/>
        <item m="1" x="2694"/>
        <item x="1786"/>
        <item m="1" x="2879"/>
        <item x="2321"/>
        <item x="2311"/>
        <item x="2312"/>
        <item x="2320"/>
        <item x="2647"/>
        <item x="2648"/>
        <item x="4"/>
        <item m="1" x="2861"/>
        <item m="1" x="2901"/>
        <item x="2604"/>
        <item m="1" x="2784"/>
        <item x="1850"/>
        <item m="1" x="2818"/>
        <item x="2651"/>
        <item m="1" x="2875"/>
        <item x="2145"/>
        <item x="88"/>
        <item x="2260"/>
        <item x="2261"/>
        <item x="2613"/>
        <item x="2262"/>
        <item x="2263"/>
        <item x="2265"/>
        <item x="2266"/>
        <item x="2267"/>
        <item x="2345"/>
        <item x="1503"/>
        <item x="1506"/>
        <item x="2349"/>
        <item x="1502"/>
        <item m="1" x="2846"/>
        <item x="2270"/>
        <item x="2271"/>
        <item x="2272"/>
        <item x="2273"/>
        <item x="2274"/>
        <item x="2275"/>
        <item x="2276"/>
        <item x="2279"/>
        <item x="2348"/>
        <item x="1500"/>
        <item x="1501"/>
        <item x="2346"/>
        <item x="2347"/>
        <item x="1685"/>
        <item m="1" x="2825"/>
        <item x="489"/>
        <item x="2361"/>
        <item x="2147"/>
        <item x="1521"/>
        <item x="1734"/>
        <item x="2196"/>
        <item x="2629"/>
        <item x="2632"/>
        <item x="2622"/>
        <item x="2630"/>
        <item x="2082"/>
        <item x="1890"/>
        <item x="1984"/>
        <item x="2138"/>
        <item x="2654"/>
        <item x="2653"/>
        <item x="1478"/>
        <item x="1612"/>
        <item x="1477"/>
        <item x="1484"/>
        <item x="1871"/>
        <item m="1" x="2699"/>
        <item x="1450"/>
        <item x="1452"/>
        <item x="1448"/>
        <item x="2474"/>
        <item x="924"/>
        <item x="935"/>
        <item x="933"/>
        <item m="1" x="2803"/>
        <item m="1" x="2812"/>
        <item x="930"/>
        <item x="2611"/>
        <item x="609"/>
        <item x="1828"/>
        <item x="2199"/>
        <item x="2200"/>
        <item m="1" x="2779"/>
        <item x="1812"/>
        <item x="2205"/>
        <item x="2187"/>
        <item x="1287"/>
        <item x="2186"/>
        <item x="2366"/>
        <item x="1712"/>
        <item x="2633"/>
        <item x="2618"/>
        <item x="2173"/>
        <item m="1" x="2921"/>
        <item x="2640"/>
        <item m="1" x="2860"/>
        <item m="1" x="2916"/>
        <item x="718"/>
        <item x="719"/>
        <item x="1806"/>
        <item x="2247"/>
        <item x="2245"/>
        <item m="1" x="2933"/>
        <item x="1490"/>
        <item x="2688"/>
        <item x="1483"/>
        <item x="1541"/>
        <item x="1540"/>
        <item x="1600"/>
        <item x="1537"/>
        <item x="1538"/>
        <item x="1535"/>
        <item x="2230"/>
        <item x="2354"/>
        <item x="139"/>
        <item m="1" x="2772"/>
        <item m="1" x="2791"/>
        <item m="1" x="2747"/>
        <item x="2408"/>
        <item x="2482"/>
        <item x="2481"/>
        <item x="2527"/>
        <item x="2508"/>
        <item x="2394"/>
        <item x="2472"/>
        <item x="2535"/>
        <item x="2399"/>
        <item x="2635"/>
        <item x="2401"/>
        <item x="2397"/>
        <item x="2454"/>
        <item m="1" x="2799"/>
        <item x="2514"/>
        <item x="2385"/>
        <item m="1" x="2720"/>
        <item m="1" x="2853"/>
        <item m="1" x="2835"/>
        <item x="2563"/>
        <item x="2665"/>
        <item m="1" x="2830"/>
        <item m="1" x="2732"/>
        <item m="1" x="2833"/>
        <item x="2254"/>
        <item x="629"/>
        <item x="64"/>
        <item x="66"/>
        <item x="63"/>
        <item x="2292"/>
        <item x="2288"/>
        <item x="2298"/>
        <item x="2290"/>
        <item m="1" x="2888"/>
        <item x="2107"/>
        <item x="2297"/>
        <item x="2291"/>
        <item x="2296"/>
        <item x="2295"/>
        <item x="2289"/>
        <item x="2301"/>
        <item x="2287"/>
        <item m="1" x="2701"/>
        <item x="2549"/>
        <item x="1014"/>
        <item m="1" x="2918"/>
        <item m="1" x="2928"/>
        <item x="1814"/>
        <item x="89"/>
        <item x="65"/>
        <item x="2652"/>
        <item m="1" x="2897"/>
        <item x="2659"/>
        <item x="2202"/>
        <item x="2203"/>
        <item x="2204"/>
        <item x="1884"/>
        <item m="1" x="2926"/>
        <item x="547"/>
        <item x="67"/>
        <item x="2256"/>
        <item x="1894"/>
        <item x="1896"/>
        <item x="2044"/>
        <item x="1895"/>
        <item m="1" x="2814"/>
        <item x="2543"/>
        <item x="754"/>
        <item x="750"/>
        <item x="746"/>
        <item x="2280"/>
        <item x="2244"/>
        <item x="2103"/>
        <item x="1904"/>
        <item m="1" x="2796"/>
        <item m="1" x="2908"/>
        <item m="1" x="2925"/>
        <item x="1513"/>
        <item x="1524"/>
        <item m="1" x="2761"/>
        <item m="1" x="2876"/>
        <item m="1" x="2700"/>
        <item x="194"/>
        <item x="847"/>
        <item x="2156"/>
        <item m="1" x="2708"/>
        <item x="141"/>
        <item x="140"/>
        <item x="97"/>
        <item x="96"/>
        <item m="1" x="2737"/>
        <item m="1" x="2736"/>
        <item x="2141"/>
        <item x="841"/>
        <item x="2643"/>
        <item x="2669"/>
        <item x="1453"/>
        <item x="1995"/>
        <item x="1585"/>
        <item x="1584"/>
        <item x="1611"/>
        <item x="1451"/>
        <item x="1908"/>
        <item x="1893"/>
        <item x="2434"/>
        <item m="1" x="2755"/>
        <item m="1" x="2862"/>
        <item x="1415"/>
        <item m="1" x="2890"/>
        <item x="658"/>
        <item x="1258"/>
        <item x="2152"/>
        <item m="1" x="2915"/>
        <item m="1" x="2865"/>
        <item x="519"/>
        <item x="586"/>
        <item x="119"/>
        <item x="1727"/>
        <item x="1779"/>
        <item x="1643"/>
        <item x="1717"/>
        <item x="21"/>
        <item x="23"/>
        <item x="92"/>
        <item x="2172"/>
        <item m="1" x="2911"/>
        <item x="1498"/>
        <item x="2178"/>
        <item x="2586"/>
        <item x="942"/>
        <item x="852"/>
        <item x="853"/>
        <item x="811"/>
        <item x="765"/>
        <item m="1" x="2849"/>
        <item x="2531"/>
        <item m="1" x="2891"/>
        <item m="1" x="2821"/>
        <item x="2375"/>
        <item x="2352"/>
        <item x="2689"/>
        <item x="1711"/>
        <item x="166"/>
        <item x="1763"/>
        <item x="438"/>
        <item x="2673"/>
        <item x="1905"/>
        <item x="1704"/>
        <item m="1" x="2766"/>
        <item m="1" x="2822"/>
        <item x="1903"/>
        <item x="2329"/>
        <item x="2330"/>
        <item x="2167"/>
        <item m="1" x="2895"/>
        <item x="2214"/>
        <item x="95"/>
        <item x="37"/>
        <item x="38"/>
        <item x="1026"/>
        <item m="1" x="2892"/>
        <item m="1" x="2904"/>
        <item m="1" x="2763"/>
        <item x="2148"/>
        <item x="2149"/>
        <item x="2373"/>
        <item x="2243"/>
        <item m="1" x="2800"/>
        <item x="2086"/>
        <item x="1834"/>
        <item x="7"/>
        <item x="2591"/>
        <item x="1849"/>
        <item x="2236"/>
        <item x="2594"/>
        <item x="1470"/>
        <item m="1" x="2836"/>
        <item x="1048"/>
        <item x="1797"/>
        <item x="1020"/>
        <item x="809"/>
        <item x="1195"/>
        <item x="2473"/>
        <item x="810"/>
        <item m="1" x="2764"/>
        <item x="802"/>
        <item m="1" x="2810"/>
        <item x="1335"/>
        <item m="1" x="2826"/>
        <item x="467"/>
        <item x="2146"/>
        <item x="1795"/>
        <item x="1794"/>
        <item x="1791"/>
        <item x="1792"/>
        <item x="1793"/>
        <item x="2533"/>
        <item x="79"/>
        <item x="80"/>
        <item x="1420"/>
        <item x="1419"/>
        <item m="1" x="2837"/>
        <item x="2246"/>
        <item m="1" x="2753"/>
        <item x="2016"/>
        <item x="2017"/>
        <item x="2049"/>
        <item x="2015"/>
        <item x="2067"/>
        <item x="2068"/>
        <item x="2022"/>
        <item x="2023"/>
        <item x="2122"/>
        <item x="2129"/>
        <item x="2064"/>
        <item x="2132"/>
        <item x="2131"/>
        <item x="2130"/>
        <item x="2018"/>
        <item x="2019"/>
        <item x="2020"/>
        <item x="2014"/>
        <item x="2013"/>
        <item x="2012"/>
        <item x="2102"/>
        <item x="2076"/>
        <item x="2029"/>
        <item x="2043"/>
        <item x="2065"/>
        <item x="2021"/>
        <item m="1" x="2858"/>
        <item x="2195"/>
        <item m="1" x="2839"/>
        <item x="2194"/>
        <item x="500"/>
        <item m="1" x="2731"/>
        <item m="1" x="2724"/>
        <item x="2150"/>
        <item x="1476"/>
        <item x="122"/>
        <item x="123"/>
        <item x="2124"/>
        <item x="2126"/>
        <item x="2048"/>
        <item x="2047"/>
        <item x="2046"/>
        <item x="2045"/>
        <item x="1978"/>
        <item x="1977"/>
        <item x="1927"/>
        <item x="1915"/>
        <item x="1926"/>
        <item x="1925"/>
        <item x="1924"/>
        <item x="1914"/>
        <item x="1863"/>
        <item x="1864"/>
        <item x="1910"/>
        <item x="1911"/>
        <item x="1909"/>
        <item x="1866"/>
        <item x="1917"/>
        <item x="1916"/>
        <item x="1912"/>
        <item m="1" x="2804"/>
        <item x="1921"/>
        <item x="1920"/>
        <item x="1919"/>
        <item x="1980"/>
        <item x="1979"/>
        <item m="1" x="2691"/>
        <item x="1923"/>
        <item x="1922"/>
        <item x="1971"/>
        <item x="1970"/>
        <item x="2053"/>
        <item x="1965"/>
        <item x="2050"/>
        <item x="2061"/>
        <item m="1" x="2797"/>
        <item x="1982"/>
        <item x="2093"/>
        <item x="2094"/>
        <item x="1981"/>
        <item x="2069"/>
        <item x="2117"/>
        <item x="2105"/>
        <item x="2080"/>
        <item x="1953"/>
        <item x="1952"/>
        <item x="1991"/>
        <item x="1986"/>
        <item x="1990"/>
        <item x="1987"/>
        <item x="1968"/>
        <item x="1967"/>
        <item x="1966"/>
        <item x="1983"/>
        <item x="2001"/>
        <item x="2063"/>
        <item x="2137"/>
        <item x="2088"/>
        <item x="2089"/>
        <item m="1" x="2877"/>
        <item m="1" x="2886"/>
        <item x="2114"/>
        <item x="2060"/>
        <item x="2006"/>
        <item x="2005"/>
        <item x="2000"/>
        <item x="2072"/>
        <item x="2024"/>
        <item x="2025"/>
        <item x="1946"/>
        <item x="1945"/>
        <item x="1944"/>
        <item x="2120"/>
        <item x="2119"/>
        <item x="1973"/>
        <item x="2007"/>
        <item x="2037"/>
        <item x="2038"/>
        <item x="2036"/>
        <item x="2135"/>
        <item x="1969"/>
        <item x="1992"/>
        <item x="1994"/>
        <item x="2091"/>
        <item x="2090"/>
        <item x="1975"/>
        <item x="1974"/>
        <item x="1997"/>
        <item x="1938"/>
        <item x="1937"/>
        <item x="1934"/>
        <item x="2139"/>
        <item x="1999"/>
        <item x="1998"/>
        <item x="2134"/>
        <item m="1" x="2894"/>
        <item x="1930"/>
        <item x="2028"/>
        <item x="1928"/>
        <item x="1939"/>
        <item x="2109"/>
        <item x="2113"/>
        <item x="2115"/>
        <item x="2118"/>
        <item x="2081"/>
        <item x="2095"/>
        <item x="2040"/>
        <item x="2039"/>
        <item x="1988"/>
        <item x="1985"/>
        <item x="2112"/>
        <item x="1989"/>
        <item x="2111"/>
        <item x="2110"/>
        <item x="1943"/>
        <item x="1942"/>
        <item x="1950"/>
        <item x="1949"/>
        <item x="1951"/>
        <item x="1948"/>
        <item m="1" x="2923"/>
        <item x="1931"/>
        <item x="2136"/>
        <item x="2032"/>
        <item x="2027"/>
        <item x="2052"/>
        <item x="2051"/>
        <item x="1955"/>
        <item x="1954"/>
        <item x="1933"/>
        <item x="1932"/>
        <item x="1957"/>
        <item x="1956"/>
        <item x="2055"/>
        <item x="1960"/>
        <item x="2054"/>
        <item x="2056"/>
        <item x="1962"/>
        <item x="1935"/>
        <item x="1947"/>
        <item x="2079"/>
        <item x="1961"/>
        <item x="1958"/>
        <item m="1" x="2769"/>
        <item x="2008"/>
        <item x="2009"/>
        <item x="2010"/>
        <item x="2011"/>
        <item x="1964"/>
        <item x="1963"/>
        <item x="2133"/>
        <item x="1976"/>
        <item x="1881"/>
        <item x="2098"/>
        <item x="1972"/>
        <item x="2092"/>
        <item x="2071"/>
        <item x="2070"/>
        <item m="1" x="2819"/>
        <item x="2033"/>
        <item x="2031"/>
        <item x="2074"/>
        <item x="2075"/>
        <item x="2368"/>
        <item x="728"/>
        <item x="1479"/>
        <item x="1548"/>
        <item x="1706"/>
        <item m="1" x="2932"/>
        <item x="1836"/>
        <item m="1" x="2773"/>
        <item x="1464"/>
        <item x="1463"/>
        <item x="1469"/>
        <item x="1509"/>
        <item x="1510"/>
        <item x="1461"/>
        <item x="882"/>
        <item x="1815"/>
        <item x="2158"/>
        <item x="2363"/>
        <item x="2498"/>
        <item x="1460"/>
        <item x="1468"/>
        <item x="1462"/>
        <item x="2159"/>
        <item x="2157"/>
        <item x="1466"/>
        <item x="1467"/>
        <item x="1703"/>
        <item x="1707"/>
        <item x="1709"/>
        <item x="1710"/>
        <item x="1790"/>
        <item x="2281"/>
        <item x="124"/>
        <item x="2626"/>
        <item x="1809"/>
        <item x="2066"/>
        <item x="1892"/>
        <item x="1879"/>
        <item x="2128"/>
        <item x="2315"/>
        <item x="41"/>
        <item x="1839"/>
        <item x="2596"/>
        <item x="99"/>
        <item x="2211"/>
        <item x="1273"/>
        <item x="2634"/>
        <item x="1680"/>
        <item x="959"/>
        <item x="2646"/>
        <item x="628"/>
        <item m="1" x="2727"/>
        <item x="1888"/>
        <item x="2588"/>
        <item m="1" x="2872"/>
        <item x="2590"/>
        <item x="538"/>
        <item x="2096"/>
        <item m="1" x="2924"/>
        <item x="1906"/>
        <item x="2104"/>
        <item x="1456"/>
        <item x="1454"/>
        <item x="2168"/>
        <item x="665"/>
        <item x="1813"/>
        <item m="1" x="2859"/>
        <item m="1" x="2898"/>
        <item m="1" x="2801"/>
        <item m="1" x="2805"/>
        <item m="1" x="2695"/>
        <item m="1" x="2734"/>
        <item x="2684"/>
        <item x="2682"/>
        <item x="2675"/>
        <item x="2198"/>
        <item m="1" x="2834"/>
        <item x="1788"/>
        <item x="1801"/>
        <item x="2681"/>
        <item x="2679"/>
        <item x="2685"/>
        <item x="2676"/>
        <item x="1787"/>
        <item x="1782"/>
        <item m="1" x="2927"/>
        <item m="1" x="2716"/>
        <item m="1" x="2751"/>
        <item m="1" x="2929"/>
        <item m="1" x="2903"/>
        <item x="1674"/>
        <item x="1673"/>
        <item x="1708"/>
        <item x="2240"/>
        <item x="1810"/>
        <item m="1" x="2762"/>
        <item x="2677"/>
        <item x="138"/>
        <item m="1" x="2920"/>
        <item x="90"/>
        <item m="1" x="2711"/>
        <item x="2678"/>
        <item x="2641"/>
        <item x="1825"/>
        <item m="1" x="2742"/>
        <item x="2097"/>
        <item x="1573"/>
        <item x="1569"/>
        <item x="1615"/>
        <item x="1699"/>
        <item x="13"/>
        <item x="1701"/>
        <item x="14"/>
        <item x="15"/>
        <item x="16"/>
        <item x="17"/>
        <item x="1702"/>
        <item x="24"/>
        <item x="25"/>
        <item x="1700"/>
        <item x="1780"/>
        <item x="1751"/>
        <item x="2423"/>
        <item x="2241"/>
        <item x="2242"/>
        <item x="2364"/>
        <item x="1746"/>
        <item x="1748"/>
        <item x="1747"/>
        <item x="2166"/>
        <item m="1" x="2922"/>
        <item m="1" x="2854"/>
        <item x="645"/>
        <item x="713"/>
        <item x="1511"/>
        <item m="1" x="2913"/>
        <item m="1" x="2721"/>
        <item x="0"/>
        <item x="1907"/>
        <item x="2084"/>
        <item x="2083"/>
        <item x="1471"/>
        <item x="1514"/>
        <item x="2257"/>
        <item x="2666"/>
        <item m="1" x="2745"/>
        <item x="2326"/>
        <item x="2314"/>
        <item x="2327"/>
        <item x="1508"/>
        <item x="1523"/>
        <item x="2181"/>
        <item m="1" x="2881"/>
        <item m="1" x="2896"/>
        <item x="1440"/>
        <item m="1" x="2850"/>
        <item m="1" x="2692"/>
        <item m="1" x="2775"/>
        <item m="1" x="2807"/>
        <item m="1" x="2740"/>
        <item x="1496"/>
        <item x="2232"/>
        <item m="1" x="2811"/>
        <item m="1" x="2843"/>
        <item x="2182"/>
        <item x="1522"/>
        <item m="1" x="2754"/>
        <item x="2627"/>
        <item x="1669"/>
        <item x="689"/>
        <item x="1036"/>
        <item x="2228"/>
        <item m="1" x="2774"/>
        <item x="1817"/>
        <item x="2250"/>
        <item x="2578"/>
        <item x="1472"/>
        <item x="543"/>
        <item x="2356"/>
        <item m="1" x="2795"/>
        <item x="2686"/>
        <item x="2559"/>
        <item m="1" x="2750"/>
        <item x="8"/>
        <item x="1488"/>
        <item x="1642"/>
        <item x="668"/>
        <item x="1808"/>
        <item x="1800"/>
        <item x="1832"/>
        <item m="1" x="2709"/>
        <item m="1" x="2706"/>
        <item m="1" x="2847"/>
        <item x="10"/>
        <item x="146"/>
        <item x="1447"/>
        <item x="115"/>
        <item x="116"/>
        <item x="78"/>
        <item x="2620"/>
        <item x="2169"/>
        <item x="2189"/>
        <item x="77"/>
        <item x="2221"/>
        <item x="2617"/>
        <item x="2616"/>
        <item x="2619"/>
        <item x="1818"/>
        <item x="2209"/>
        <item x="1857"/>
        <item x="2190"/>
        <item x="130"/>
        <item m="1" x="2838"/>
        <item x="2193"/>
        <item x="2286"/>
        <item x="1856"/>
        <item x="1852"/>
        <item x="1507"/>
        <item x="540"/>
        <item x="1085"/>
        <item x="1082"/>
        <item x="1094"/>
        <item m="1" x="2873"/>
        <item x="1097"/>
        <item x="1587"/>
        <item x="1889"/>
        <item x="1100"/>
        <item x="1337"/>
        <item x="1744"/>
        <item x="1595"/>
        <item x="1576"/>
        <item x="2237"/>
        <item m="1" x="2844"/>
        <item x="1880"/>
        <item m="1" x="2870"/>
        <item x="2255"/>
        <item x="1129"/>
        <item m="1" x="2757"/>
        <item x="1682"/>
        <item x="1596"/>
        <item x="1597"/>
        <item x="2332"/>
        <item x="2331"/>
        <item x="1899"/>
        <item x="2106"/>
        <item x="1518"/>
        <item x="2438"/>
        <item x="40"/>
        <item x="439"/>
        <item x="1338"/>
        <item m="1" x="2841"/>
        <item x="2445"/>
        <item x="1827"/>
        <item x="1345"/>
        <item x="1692"/>
        <item x="1517"/>
        <item x="1033"/>
        <item x="1487"/>
        <item x="2176"/>
        <item x="2180"/>
        <item x="2259"/>
        <item x="2174"/>
        <item x="566"/>
        <item x="1512"/>
        <item x="2144"/>
        <item m="1" x="2855"/>
        <item m="1" x="2816"/>
        <item x="546"/>
        <item x="1213"/>
        <item x="179"/>
        <item x="1161"/>
        <item x="2358"/>
        <item x="20"/>
        <item x="19"/>
        <item x="1819"/>
        <item m="1" x="2777"/>
        <item x="2175"/>
        <item x="1833"/>
        <item x="1285"/>
        <item x="2360"/>
        <item x="2600"/>
        <item x="2227"/>
        <item x="2251"/>
        <item x="2225"/>
        <item x="2226"/>
        <item x="2220"/>
        <item x="2219"/>
        <item x="2206"/>
        <item x="414"/>
        <item x="794"/>
        <item x="2217"/>
        <item x="2177"/>
        <item m="1" x="2744"/>
        <item x="2185"/>
        <item m="1" x="2867"/>
        <item x="1616"/>
        <item x="1480"/>
        <item m="1" x="2725"/>
        <item x="2101"/>
        <item x="2035"/>
        <item x="1607"/>
        <item x="1603"/>
        <item x="1610"/>
        <item x="2658"/>
        <item x="2657"/>
        <item x="1074"/>
        <item x="1644"/>
        <item x="1489"/>
        <item x="2284"/>
        <item x="2353"/>
        <item x="6"/>
        <item x="2628"/>
        <item x="1613"/>
        <item m="1" x="2878"/>
        <item x="2179"/>
        <item x="2309"/>
        <item x="2310"/>
        <item x="39"/>
        <item x="1820"/>
        <item x="2160"/>
        <item x="1459"/>
        <item x="1527"/>
        <item x="2687"/>
        <item x="1821"/>
        <item x="892"/>
        <item x="1822"/>
        <item x="2248"/>
        <item x="1499"/>
        <item x="283"/>
        <item x="950"/>
        <item x="91"/>
        <item m="1" x="2770"/>
        <item x="988"/>
        <item x="2536"/>
        <item x="1805"/>
        <item x="1276"/>
        <item x="1138"/>
        <item x="1804"/>
        <item x="1250"/>
        <item x="611"/>
        <item x="594"/>
        <item x="1811"/>
        <item x="1400"/>
        <item x="1799"/>
        <item x="1785"/>
        <item x="1784"/>
        <item x="1783"/>
        <item x="1406"/>
        <item x="284"/>
        <item x="620"/>
        <item x="1599"/>
        <item x="1606"/>
        <item x="1605"/>
        <item m="1" x="2842"/>
        <item x="1604"/>
        <item x="2340"/>
        <item x="2337"/>
        <item x="2339"/>
        <item x="2336"/>
        <item x="2338"/>
        <item x="2343"/>
        <item x="2344"/>
        <item x="161"/>
        <item m="1" x="2906"/>
        <item x="474"/>
        <item x="243"/>
        <item x="244"/>
        <item x="26"/>
        <item x="27"/>
        <item m="1" x="2884"/>
        <item x="2664"/>
        <item x="2661"/>
        <item x="2663"/>
        <item x="2662"/>
        <item x="2668"/>
        <item x="2674"/>
        <item x="1497"/>
        <item m="1" x="2693"/>
        <item x="1697"/>
        <item x="1598"/>
        <item x="1556"/>
        <item x="1552"/>
        <item x="1553"/>
        <item x="1551"/>
        <item x="2631"/>
        <item x="1803"/>
        <item x="1418"/>
        <item x="1253"/>
        <item x="1412"/>
        <item m="1" x="2902"/>
        <item x="1525"/>
        <item x="1796"/>
        <item x="2680"/>
        <item x="2649"/>
        <item x="2650"/>
        <item x="1520"/>
        <item x="2621"/>
        <item x="1695"/>
        <item x="2319"/>
        <item x="2318"/>
        <item x="1529"/>
        <item x="1696"/>
        <item x="2316"/>
        <item x="2317"/>
        <item x="2334"/>
        <item x="2328"/>
        <item x="2333"/>
        <item x="1555"/>
        <item x="1561"/>
        <item x="1554"/>
        <item x="1550"/>
        <item x="1593"/>
        <item x="1574"/>
        <item x="1549"/>
        <item x="1577"/>
        <item x="2325"/>
        <item x="2324"/>
        <item x="2323"/>
        <item x="2322"/>
        <item x="1108"/>
        <item x="2365"/>
        <item x="1068"/>
        <item x="1069"/>
        <item x="2456"/>
        <item m="1" x="2783"/>
        <item m="1" x="2899"/>
        <item m="1" x="2815"/>
        <item x="70"/>
        <item x="69"/>
        <item x="68"/>
        <item x="1865"/>
        <item x="2490"/>
        <item m="1" x="2743"/>
        <item m="1" x="2718"/>
        <item x="1897"/>
        <item x="1830"/>
        <item x="1823"/>
        <item x="1831"/>
        <item x="2355"/>
        <item x="1486"/>
        <item x="11"/>
        <item x="9"/>
        <item x="2509"/>
        <item m="1" x="2882"/>
        <item m="1" x="2889"/>
        <item x="419"/>
        <item x="2534"/>
        <item m="1" x="2698"/>
        <item x="981"/>
        <item x="1200"/>
        <item m="1" x="2696"/>
        <item x="382"/>
        <item x="976"/>
        <item x="2623"/>
        <item x="468"/>
        <item x="2235"/>
        <item x="642"/>
        <item m="1" x="2776"/>
        <item m="1" x="2910"/>
        <item x="2362"/>
        <item x="1802"/>
        <item x="1824"/>
        <item x="1837"/>
        <item x="22"/>
        <item m="1" x="2798"/>
        <item x="579"/>
        <item x="2116"/>
        <item x="2188"/>
        <item x="2231"/>
        <item x="2213"/>
        <item x="1902"/>
        <item x="2127"/>
        <item m="1" x="2717"/>
        <item x="1936"/>
        <item x="1519"/>
        <item x="1516"/>
        <item x="1515"/>
        <item m="1" x="2792"/>
        <item m="1" x="2760"/>
        <item x="156"/>
        <item x="157"/>
        <item x="155"/>
        <item x="129"/>
        <item x="142"/>
        <item x="1"/>
        <item x="2143"/>
        <item x="2357"/>
        <item x="309"/>
        <item x="2"/>
        <item x="1274"/>
        <item m="1" x="2817"/>
        <item m="1" x="2788"/>
        <item x="1698"/>
        <item x="1694"/>
        <item m="1" x="2697"/>
        <item x="1677"/>
        <item x="1676"/>
        <item x="1675"/>
        <item x="1679"/>
        <item x="5"/>
        <item x="3"/>
        <item x="506"/>
        <item m="1" x="2848"/>
        <item x="1826"/>
        <item x="2359"/>
        <item x="2602"/>
        <item x="542"/>
        <item x="2100"/>
        <item x="1455"/>
        <item x="1458"/>
        <item x="1457"/>
        <item x="1665"/>
        <item x="2207"/>
        <item x="2151"/>
        <item x="545"/>
        <item x="716"/>
        <item x="2672"/>
        <item m="1" x="2782"/>
        <item x="2644"/>
        <item x="2645"/>
        <item x="2197"/>
        <item x="1807"/>
        <item x="622"/>
        <item x="1465"/>
        <item x="1475"/>
        <item x="1474"/>
        <item x="1449"/>
        <item x="618"/>
        <item x="2142"/>
        <item x="2624"/>
        <item x="2625"/>
        <item x="1579"/>
        <item x="1578"/>
        <item x="2253"/>
        <item x="974"/>
        <item x="389"/>
        <item x="162"/>
        <item x="1740"/>
        <item x="1684"/>
        <item x="108"/>
        <item x="109"/>
        <item x="110"/>
        <item x="102"/>
        <item x="103"/>
        <item x="106"/>
        <item x="107"/>
        <item x="104"/>
        <item x="105"/>
        <item x="2183"/>
        <item x="2184"/>
        <item m="1" x="2758"/>
        <item x="1377"/>
        <item x="1378"/>
        <item x="1301"/>
        <item x="1401"/>
        <item m="1" x="2690"/>
        <item x="12"/>
        <item x="28"/>
        <item x="29"/>
        <item x="30"/>
        <item x="31"/>
        <item x="32"/>
        <item x="33"/>
        <item x="34"/>
        <item x="35"/>
        <item x="36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71"/>
        <item x="72"/>
        <item x="73"/>
        <item x="74"/>
        <item x="75"/>
        <item x="76"/>
        <item x="81"/>
        <item x="82"/>
        <item x="83"/>
        <item x="84"/>
        <item x="85"/>
        <item x="86"/>
        <item x="87"/>
        <item x="93"/>
        <item x="94"/>
        <item x="100"/>
        <item x="101"/>
        <item x="111"/>
        <item x="112"/>
        <item x="113"/>
        <item x="114"/>
        <item x="117"/>
        <item x="118"/>
        <item x="120"/>
        <item x="121"/>
        <item x="125"/>
        <item x="126"/>
        <item x="127"/>
        <item x="128"/>
        <item x="131"/>
        <item x="132"/>
        <item x="134"/>
        <item x="135"/>
        <item x="136"/>
        <item x="137"/>
        <item x="143"/>
        <item x="144"/>
        <item x="145"/>
        <item x="147"/>
        <item x="148"/>
        <item x="149"/>
        <item x="150"/>
        <item x="151"/>
        <item x="152"/>
        <item x="153"/>
        <item x="154"/>
        <item x="158"/>
        <item x="159"/>
        <item x="160"/>
        <item x="163"/>
        <item x="164"/>
        <item x="165"/>
        <item x="167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x="183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4"/>
        <item x="275"/>
        <item x="276"/>
        <item x="277"/>
        <item x="278"/>
        <item x="279"/>
        <item x="280"/>
        <item x="281"/>
        <item x="282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10"/>
        <item x="311"/>
        <item x="312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3"/>
        <item x="384"/>
        <item x="385"/>
        <item x="386"/>
        <item x="387"/>
        <item x="388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6"/>
        <item x="469"/>
        <item x="470"/>
        <item x="471"/>
        <item x="472"/>
        <item x="473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2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84"/>
        <item x="585"/>
        <item x="587"/>
        <item x="588"/>
        <item x="589"/>
        <item x="590"/>
        <item x="591"/>
        <item x="592"/>
        <item x="593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2"/>
        <item x="613"/>
        <item x="614"/>
        <item x="615"/>
        <item x="616"/>
        <item x="617"/>
        <item x="619"/>
        <item x="621"/>
        <item x="623"/>
        <item x="624"/>
        <item x="625"/>
        <item x="626"/>
        <item x="627"/>
        <item x="632"/>
        <item x="633"/>
        <item x="634"/>
        <item x="635"/>
        <item x="636"/>
        <item x="637"/>
        <item x="638"/>
        <item x="639"/>
        <item x="640"/>
        <item x="641"/>
        <item x="643"/>
        <item x="644"/>
        <item x="646"/>
        <item x="648"/>
        <item x="649"/>
        <item x="650"/>
        <item x="651"/>
        <item x="652"/>
        <item x="653"/>
        <item x="655"/>
        <item x="656"/>
        <item x="657"/>
        <item x="659"/>
        <item x="662"/>
        <item x="663"/>
        <item x="664"/>
        <item x="667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90"/>
        <item x="691"/>
        <item x="692"/>
        <item x="693"/>
        <item x="694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23"/>
        <item x="724"/>
        <item x="725"/>
        <item x="726"/>
        <item x="727"/>
        <item x="729"/>
        <item x="730"/>
        <item x="731"/>
        <item x="732"/>
        <item x="733"/>
        <item x="734"/>
        <item x="735"/>
        <item x="737"/>
        <item x="740"/>
        <item x="742"/>
        <item x="743"/>
        <item x="744"/>
        <item x="745"/>
        <item x="747"/>
        <item x="748"/>
        <item x="749"/>
        <item x="751"/>
        <item x="752"/>
        <item x="753"/>
        <item x="755"/>
        <item x="756"/>
        <item x="757"/>
        <item x="758"/>
        <item x="759"/>
        <item x="761"/>
        <item x="762"/>
        <item x="764"/>
        <item x="768"/>
        <item x="769"/>
        <item x="771"/>
        <item x="772"/>
        <item x="773"/>
        <item x="776"/>
        <item x="777"/>
        <item x="778"/>
        <item x="779"/>
        <item x="780"/>
        <item x="781"/>
        <item x="783"/>
        <item x="784"/>
        <item x="785"/>
        <item x="786"/>
        <item x="787"/>
        <item x="788"/>
        <item x="791"/>
        <item x="792"/>
        <item x="793"/>
        <item x="796"/>
        <item x="797"/>
        <item x="798"/>
        <item x="799"/>
        <item x="800"/>
        <item x="801"/>
        <item x="803"/>
        <item x="804"/>
        <item x="805"/>
        <item x="806"/>
        <item x="807"/>
        <item x="808"/>
        <item x="812"/>
        <item x="813"/>
        <item x="815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2"/>
        <item x="844"/>
        <item x="845"/>
        <item x="848"/>
        <item x="849"/>
        <item x="850"/>
        <item x="851"/>
        <item x="854"/>
        <item x="855"/>
        <item x="856"/>
        <item x="857"/>
        <item x="859"/>
        <item x="860"/>
        <item x="861"/>
        <item x="862"/>
        <item x="863"/>
        <item x="864"/>
        <item x="866"/>
        <item x="867"/>
        <item x="868"/>
        <item x="870"/>
        <item x="871"/>
        <item x="872"/>
        <item x="874"/>
        <item x="875"/>
        <item x="876"/>
        <item x="877"/>
        <item x="879"/>
        <item x="880"/>
        <item x="881"/>
        <item x="883"/>
        <item x="884"/>
        <item x="885"/>
        <item x="886"/>
        <item x="888"/>
        <item x="889"/>
        <item x="890"/>
        <item x="891"/>
        <item x="893"/>
        <item x="894"/>
        <item x="895"/>
        <item x="896"/>
        <item x="898"/>
        <item x="899"/>
        <item x="900"/>
        <item x="901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5"/>
        <item x="926"/>
        <item x="927"/>
        <item x="928"/>
        <item x="929"/>
        <item x="931"/>
        <item x="932"/>
        <item x="934"/>
        <item x="936"/>
        <item x="937"/>
        <item x="938"/>
        <item x="939"/>
        <item x="941"/>
        <item x="943"/>
        <item x="944"/>
        <item x="946"/>
        <item x="947"/>
        <item x="948"/>
        <item x="949"/>
        <item x="951"/>
        <item x="952"/>
        <item x="953"/>
        <item x="954"/>
        <item x="955"/>
        <item x="956"/>
        <item x="957"/>
        <item x="958"/>
        <item x="960"/>
        <item x="961"/>
        <item x="963"/>
        <item x="964"/>
        <item x="966"/>
        <item x="967"/>
        <item x="969"/>
        <item x="970"/>
        <item x="971"/>
        <item x="972"/>
        <item x="973"/>
        <item x="975"/>
        <item x="977"/>
        <item x="978"/>
        <item x="979"/>
        <item x="980"/>
        <item x="982"/>
        <item x="983"/>
        <item x="984"/>
        <item x="985"/>
        <item x="986"/>
        <item x="987"/>
        <item x="989"/>
        <item x="990"/>
        <item x="991"/>
        <item x="993"/>
        <item x="995"/>
        <item x="1003"/>
        <item x="1004"/>
        <item x="1005"/>
        <item x="1006"/>
        <item x="1007"/>
        <item x="1009"/>
        <item x="1010"/>
        <item x="1011"/>
        <item x="1012"/>
        <item x="1013"/>
        <item x="1015"/>
        <item x="1016"/>
        <item x="1017"/>
        <item x="1018"/>
        <item x="1019"/>
        <item x="1021"/>
        <item x="1022"/>
        <item x="1023"/>
        <item x="1024"/>
        <item x="1027"/>
        <item x="1028"/>
        <item x="1031"/>
        <item x="1032"/>
        <item x="1035"/>
        <item x="1037"/>
        <item x="1039"/>
        <item x="1041"/>
        <item x="1042"/>
        <item x="1043"/>
        <item x="1044"/>
        <item x="1046"/>
        <item x="1049"/>
        <item x="1050"/>
        <item x="1051"/>
        <item x="1052"/>
        <item x="1053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70"/>
        <item x="1071"/>
        <item x="1072"/>
        <item x="1073"/>
        <item x="1075"/>
        <item x="1076"/>
        <item x="1077"/>
        <item x="1078"/>
        <item x="1080"/>
        <item x="1081"/>
        <item x="1083"/>
        <item x="1084"/>
        <item x="1087"/>
        <item x="1088"/>
        <item x="1090"/>
        <item x="1092"/>
        <item x="1095"/>
        <item x="1096"/>
        <item x="1098"/>
        <item x="1099"/>
        <item x="1101"/>
        <item x="1102"/>
        <item x="1103"/>
        <item x="1104"/>
        <item x="1105"/>
        <item x="1106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6"/>
        <item x="1127"/>
        <item x="1128"/>
        <item x="1130"/>
        <item x="1132"/>
        <item x="1133"/>
        <item x="1135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6"/>
        <item x="1197"/>
        <item x="1198"/>
        <item x="1201"/>
        <item x="1202"/>
        <item x="1204"/>
        <item x="1206"/>
        <item x="1207"/>
        <item x="1208"/>
        <item x="1210"/>
        <item x="1211"/>
        <item x="1212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6"/>
        <item x="1247"/>
        <item x="1248"/>
        <item x="1249"/>
        <item x="1251"/>
        <item x="1252"/>
        <item x="1254"/>
        <item x="1256"/>
        <item x="1257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5"/>
        <item x="1277"/>
        <item x="1278"/>
        <item x="1279"/>
        <item x="1280"/>
        <item x="1281"/>
        <item x="1282"/>
        <item x="1283"/>
        <item x="1284"/>
        <item x="1288"/>
        <item x="1289"/>
        <item x="1290"/>
        <item x="1291"/>
        <item x="1292"/>
        <item x="1293"/>
        <item x="1294"/>
        <item x="1298"/>
        <item x="1299"/>
        <item x="1300"/>
        <item x="1302"/>
        <item x="1303"/>
        <item x="1304"/>
        <item x="1305"/>
        <item x="1307"/>
        <item x="1308"/>
        <item x="1309"/>
        <item x="1310"/>
        <item x="1311"/>
        <item x="1312"/>
        <item x="1313"/>
        <item x="1314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6"/>
        <item x="1339"/>
        <item x="1341"/>
        <item x="1342"/>
        <item x="1343"/>
        <item x="1344"/>
        <item x="1346"/>
        <item x="1347"/>
        <item x="1348"/>
        <item x="1349"/>
        <item x="1352"/>
        <item x="1353"/>
        <item x="1354"/>
        <item x="1355"/>
        <item x="1356"/>
        <item x="1358"/>
        <item x="1359"/>
        <item x="1360"/>
        <item x="1361"/>
        <item x="1362"/>
        <item x="1363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402"/>
        <item x="1403"/>
        <item x="1404"/>
        <item x="1407"/>
        <item x="1410"/>
        <item x="1411"/>
        <item x="1413"/>
        <item x="1414"/>
        <item x="1416"/>
        <item x="1417"/>
        <item x="1421"/>
        <item x="1422"/>
        <item x="1423"/>
        <item x="1424"/>
        <item x="1425"/>
        <item x="1426"/>
        <item x="1427"/>
        <item x="1428"/>
        <item x="1429"/>
        <item x="1430"/>
        <item x="1432"/>
        <item x="1433"/>
        <item x="1434"/>
        <item x="1435"/>
        <item x="1436"/>
        <item x="1437"/>
        <item x="1438"/>
        <item x="1439"/>
        <item x="1441"/>
        <item x="1442"/>
        <item x="1443"/>
        <item x="1444"/>
        <item x="1445"/>
        <item x="1446"/>
        <item x="1481"/>
        <item x="1485"/>
        <item x="1491"/>
        <item x="1492"/>
        <item x="1493"/>
        <item x="1494"/>
        <item x="1495"/>
        <item x="1504"/>
        <item x="1505"/>
        <item x="1528"/>
        <item x="1531"/>
        <item x="1536"/>
        <item x="1542"/>
        <item x="1543"/>
        <item x="1545"/>
        <item x="1562"/>
        <item x="1565"/>
        <item x="1566"/>
        <item x="1567"/>
        <item x="1568"/>
        <item x="1571"/>
        <item x="1572"/>
        <item x="1586"/>
        <item x="1594"/>
        <item x="1601"/>
        <item x="1608"/>
        <item x="1614"/>
        <item x="1617"/>
        <item x="1619"/>
        <item x="1626"/>
        <item x="1630"/>
        <item x="1640"/>
        <item x="1672"/>
        <item x="1681"/>
        <item x="1689"/>
        <item x="1690"/>
        <item x="1693"/>
        <item x="1705"/>
        <item x="1713"/>
        <item x="1714"/>
        <item x="1715"/>
        <item x="1719"/>
        <item x="1720"/>
        <item x="1721"/>
        <item x="1723"/>
        <item x="1724"/>
        <item x="1725"/>
        <item x="1726"/>
        <item x="1728"/>
        <item x="1729"/>
        <item x="1730"/>
        <item x="1732"/>
        <item x="1733"/>
        <item x="1736"/>
        <item x="1738"/>
        <item x="1741"/>
        <item x="1742"/>
        <item x="1743"/>
        <item x="1745"/>
        <item x="1749"/>
        <item x="1750"/>
        <item x="1753"/>
        <item x="1770"/>
        <item x="1781"/>
        <item x="1835"/>
        <item x="1838"/>
        <item x="1840"/>
        <item x="1841"/>
        <item x="1842"/>
        <item x="1843"/>
        <item x="1844"/>
        <item x="1845"/>
        <item x="1846"/>
        <item x="1847"/>
        <item x="1848"/>
        <item x="1851"/>
        <item x="1853"/>
        <item x="1854"/>
        <item x="1855"/>
        <item x="1858"/>
        <item x="1859"/>
        <item x="1860"/>
        <item x="1861"/>
        <item x="1862"/>
        <item x="1874"/>
        <item x="1876"/>
        <item x="1877"/>
        <item x="1878"/>
        <item x="1882"/>
        <item x="1883"/>
        <item x="1887"/>
        <item x="1891"/>
        <item x="1898"/>
        <item x="1900"/>
        <item x="1901"/>
        <item x="1913"/>
        <item x="1918"/>
        <item x="1929"/>
        <item x="1940"/>
        <item x="1959"/>
        <item x="1993"/>
        <item x="1996"/>
        <item x="2002"/>
        <item x="2003"/>
        <item x="2004"/>
        <item x="2026"/>
        <item x="2030"/>
        <item x="2034"/>
        <item x="2042"/>
        <item x="2057"/>
        <item x="2058"/>
        <item x="2059"/>
        <item x="2062"/>
        <item x="2073"/>
        <item x="2077"/>
        <item x="2078"/>
        <item x="2085"/>
        <item x="2087"/>
        <item x="2121"/>
        <item x="2123"/>
        <item x="2125"/>
        <item x="2140"/>
        <item x="2162"/>
        <item x="2163"/>
        <item x="2164"/>
        <item x="2165"/>
        <item x="2170"/>
        <item x="2171"/>
        <item x="2191"/>
        <item x="2192"/>
        <item x="2201"/>
        <item x="2208"/>
        <item x="2210"/>
        <item x="2215"/>
        <item x="2216"/>
        <item x="2218"/>
        <item x="2222"/>
        <item x="2223"/>
        <item x="2229"/>
        <item x="2233"/>
        <item x="2238"/>
        <item x="2239"/>
        <item x="2249"/>
        <item x="2252"/>
        <item x="2264"/>
        <item x="2269"/>
        <item x="2277"/>
        <item x="2278"/>
        <item x="2282"/>
        <item x="2283"/>
        <item x="2293"/>
        <item x="2294"/>
        <item x="2299"/>
        <item x="2300"/>
        <item x="2302"/>
        <item x="2303"/>
        <item x="2304"/>
        <item x="2305"/>
        <item x="2306"/>
        <item x="2307"/>
        <item x="2313"/>
        <item x="2335"/>
        <item x="2341"/>
        <item x="2342"/>
        <item x="2350"/>
        <item x="2351"/>
        <item x="2369"/>
        <item x="2370"/>
        <item x="2371"/>
        <item x="2372"/>
        <item x="2390"/>
        <item x="2393"/>
        <item x="2406"/>
        <item x="2410"/>
        <item x="2415"/>
        <item x="2416"/>
        <item x="2419"/>
        <item x="2421"/>
        <item x="2428"/>
        <item x="2430"/>
        <item x="2435"/>
        <item x="2436"/>
        <item x="2439"/>
        <item x="2440"/>
        <item x="2441"/>
        <item x="2442"/>
        <item x="2444"/>
        <item x="2448"/>
        <item x="2451"/>
        <item x="2452"/>
        <item x="2465"/>
        <item x="2469"/>
        <item x="2476"/>
        <item x="2479"/>
        <item x="2483"/>
        <item x="2484"/>
        <item x="2485"/>
        <item x="2488"/>
        <item x="2489"/>
        <item x="2491"/>
        <item x="2494"/>
        <item x="2497"/>
        <item x="2499"/>
        <item x="2502"/>
        <item x="2504"/>
        <item x="2507"/>
        <item x="2510"/>
        <item x="2513"/>
        <item x="2515"/>
        <item x="2521"/>
        <item x="2523"/>
        <item x="2525"/>
        <item x="2526"/>
        <item x="2529"/>
        <item x="2545"/>
        <item x="2546"/>
        <item x="2547"/>
        <item x="2550"/>
        <item x="2551"/>
        <item x="2552"/>
        <item x="2553"/>
        <item x="2554"/>
        <item x="2555"/>
        <item x="2556"/>
        <item x="2558"/>
        <item x="2562"/>
        <item x="2566"/>
        <item x="2567"/>
        <item x="2568"/>
        <item x="2569"/>
        <item x="2570"/>
        <item x="2572"/>
        <item x="2573"/>
        <item x="2574"/>
        <item x="2575"/>
        <item x="2576"/>
        <item x="2577"/>
        <item x="2579"/>
        <item x="2580"/>
        <item x="2581"/>
        <item x="2582"/>
        <item x="2583"/>
        <item x="2584"/>
        <item x="2585"/>
        <item x="2587"/>
        <item x="2589"/>
        <item x="2592"/>
        <item x="2593"/>
        <item x="2595"/>
        <item x="2597"/>
        <item x="2598"/>
        <item x="2599"/>
        <item x="2601"/>
        <item x="2603"/>
        <item x="2605"/>
        <item x="2606"/>
        <item x="2607"/>
        <item x="2608"/>
        <item x="2609"/>
        <item x="2612"/>
        <item x="2614"/>
        <item x="2636"/>
        <item x="2637"/>
        <item x="2638"/>
        <item x="2639"/>
        <item x="2642"/>
        <item x="2660"/>
        <item x="2667"/>
        <item x="2670"/>
        <item x="2671"/>
        <item x="2683"/>
        <item x="98"/>
        <item x="177"/>
        <item x="178"/>
        <item x="184"/>
        <item x="994"/>
        <item x="998"/>
        <item x="999"/>
        <item x="1000"/>
        <item x="1001"/>
        <item x="1025"/>
        <item x="1038"/>
        <item x="1086"/>
        <item x="1089"/>
        <item x="1091"/>
        <item x="1093"/>
        <item x="1107"/>
        <item x="1109"/>
        <item x="1110"/>
        <item x="1286"/>
        <item x="1295"/>
        <item x="1296"/>
        <item x="1297"/>
        <item x="1431"/>
      </items>
    </pivotField>
    <pivotField axis="axisRow" compact="0" outline="0" showAll="0" defaultSubtotal="0">
      <items count="93">
        <item x="1"/>
        <item x="33"/>
        <item x="85"/>
        <item x="71"/>
        <item x="34"/>
        <item x="66"/>
        <item x="29"/>
        <item x="40"/>
        <item x="68"/>
        <item x="25"/>
        <item x="42"/>
        <item x="49"/>
        <item x="78"/>
        <item x="79"/>
        <item x="56"/>
        <item x="5"/>
        <item x="57"/>
        <item x="21"/>
        <item x="6"/>
        <item x="22"/>
        <item x="70"/>
        <item m="1" x="91"/>
        <item x="13"/>
        <item x="14"/>
        <item x="12"/>
        <item x="27"/>
        <item x="23"/>
        <item x="74"/>
        <item x="26"/>
        <item x="16"/>
        <item x="46"/>
        <item x="52"/>
        <item x="73"/>
        <item x="59"/>
        <item x="47"/>
        <item x="37"/>
        <item m="1" x="90"/>
        <item m="1" x="89"/>
        <item x="44"/>
        <item x="18"/>
        <item x="3"/>
        <item x="20"/>
        <item x="19"/>
        <item x="51"/>
        <item x="17"/>
        <item x="64"/>
        <item x="81"/>
        <item x="35"/>
        <item x="38"/>
        <item x="69"/>
        <item x="30"/>
        <item x="36"/>
        <item x="50"/>
        <item x="24"/>
        <item x="54"/>
        <item x="62"/>
        <item x="0"/>
        <item m="1" x="92"/>
        <item m="1" x="88"/>
        <item x="2"/>
        <item x="4"/>
        <item x="7"/>
        <item x="8"/>
        <item x="9"/>
        <item x="10"/>
        <item x="11"/>
        <item x="15"/>
        <item x="28"/>
        <item x="31"/>
        <item x="32"/>
        <item x="39"/>
        <item x="41"/>
        <item x="43"/>
        <item x="45"/>
        <item x="48"/>
        <item x="53"/>
        <item x="58"/>
        <item x="61"/>
        <item x="63"/>
        <item x="65"/>
        <item x="67"/>
        <item x="72"/>
        <item x="75"/>
        <item x="76"/>
        <item x="77"/>
        <item x="80"/>
        <item x="82"/>
        <item x="83"/>
        <item x="84"/>
        <item x="86"/>
        <item x="87"/>
        <item x="55"/>
        <item x="60"/>
      </items>
    </pivotField>
    <pivotField axis="axisRow" compact="0" outline="0" showAll="0" defaultSubtotal="0">
      <items count="14">
        <item x="4"/>
        <item x="5"/>
        <item x="2"/>
        <item x="3"/>
        <item x="10"/>
        <item x="0"/>
        <item x="11"/>
        <item x="8"/>
        <item x="7"/>
        <item x="1"/>
        <item x="6"/>
        <item m="1" x="13"/>
        <item x="9"/>
        <item x="12"/>
      </items>
    </pivotField>
    <pivotField dataField="1" compact="0" numFmtId="164" outline="0" showAll="0" defaultSubtotal="0"/>
    <pivotField dataField="1" compact="0" outline="0" showAll="0" defaultSubtotal="0"/>
    <pivotField dataField="1" compact="0" numFmtId="164" outline="0" showAll="0" defaultSubtotal="0"/>
  </pivotFields>
  <rowFields count="4">
    <field x="1"/>
    <field x="2"/>
    <field x="3"/>
    <field x="4"/>
  </rowFields>
  <rowItems count="2724">
    <i>
      <x v="666"/>
      <x v="1013"/>
      <x v="82"/>
      <x v="13"/>
    </i>
    <i>
      <x v="2560"/>
      <x v="2513"/>
      <x v="14"/>
      <x v="2"/>
    </i>
    <i>
      <x v="2723"/>
      <x v="2678"/>
      <x v="19"/>
      <x v="3"/>
    </i>
    <i>
      <x v="2930"/>
      <x v="2921"/>
      <x v="18"/>
      <x v="2"/>
    </i>
    <i>
      <x v="2019"/>
      <x v="2015"/>
      <x v="30"/>
      <x v="2"/>
    </i>
    <i>
      <x v="2568"/>
      <x v="2521"/>
      <x v="18"/>
      <x v="2"/>
    </i>
    <i>
      <x v="2926"/>
      <x v="2917"/>
      <x v="18"/>
      <x v="2"/>
    </i>
    <i>
      <x v="2937"/>
      <x v="2927"/>
      <x v="14"/>
      <x v="2"/>
    </i>
    <i>
      <x v="2941"/>
      <x v="2931"/>
      <x v="18"/>
      <x v="2"/>
    </i>
    <i>
      <x v="681"/>
      <x v="700"/>
      <x v="24"/>
      <x v="7"/>
    </i>
    <i>
      <x v="2740"/>
      <x v="2696"/>
      <x v="26"/>
      <x v="3"/>
    </i>
    <i>
      <x v="2927"/>
      <x v="2918"/>
      <x v="18"/>
      <x v="2"/>
    </i>
    <i>
      <x v="392"/>
      <x v="1341"/>
      <x v="56"/>
      <x v="5"/>
    </i>
    <i>
      <x v="2738"/>
      <x v="2694"/>
      <x v="19"/>
      <x v="3"/>
    </i>
    <i>
      <x v="667"/>
      <x v="1186"/>
      <x v="82"/>
      <x v="13"/>
    </i>
    <i>
      <x v="684"/>
      <x v="656"/>
      <x v="24"/>
      <x v="7"/>
    </i>
    <i>
      <x v="683"/>
      <x v="1099"/>
      <x v="24"/>
      <x v="7"/>
    </i>
    <i>
      <x v="2925"/>
      <x v="2916"/>
      <x v="18"/>
      <x v="2"/>
    </i>
    <i>
      <x v="848"/>
      <x v="491"/>
      <x v="24"/>
      <x v="5"/>
    </i>
    <i>
      <x v="38"/>
      <x v="613"/>
      <x v="22"/>
      <x v="1"/>
    </i>
    <i>
      <x v="2935"/>
      <x v="1187"/>
      <x v="31"/>
      <x v="2"/>
    </i>
    <i>
      <x v="2891"/>
      <x v="2886"/>
      <x v="4"/>
      <x v="2"/>
    </i>
    <i>
      <x v="2567"/>
      <x v="2520"/>
      <x v="18"/>
      <x v="2"/>
    </i>
    <i>
      <x v="2882"/>
      <x v="2874"/>
      <x v="4"/>
      <x v="2"/>
    </i>
    <i>
      <x v="672"/>
      <x v="615"/>
      <x v="24"/>
      <x v="5"/>
    </i>
    <i>
      <x v="2939"/>
      <x v="2929"/>
      <x v="33"/>
      <x v="2"/>
    </i>
    <i>
      <x v="228"/>
      <x v="1182"/>
      <x v="30"/>
      <x v="2"/>
    </i>
    <i>
      <x v="2724"/>
      <x v="2679"/>
      <x v="19"/>
      <x v="3"/>
    </i>
    <i>
      <x v="898"/>
      <x v="767"/>
      <x v="83"/>
      <x v="13"/>
    </i>
    <i>
      <x v="2387"/>
      <x v="2352"/>
      <x v="30"/>
      <x v="2"/>
    </i>
    <i>
      <x v="2394"/>
      <x v="2359"/>
      <x v="30"/>
      <x v="2"/>
    </i>
    <i>
      <x v="850"/>
      <x v="1101"/>
      <x v="24"/>
      <x v="7"/>
    </i>
    <i>
      <x v="682"/>
      <x v="1020"/>
      <x v="24"/>
      <x v="7"/>
    </i>
    <i>
      <x v="365"/>
      <x v="1351"/>
      <x v="59"/>
      <x v="9"/>
    </i>
    <i>
      <x v="875"/>
      <x v="1021"/>
      <x v="24"/>
      <x v="5"/>
    </i>
    <i>
      <x v="2395"/>
      <x v="2360"/>
      <x v="31"/>
      <x v="2"/>
    </i>
    <i>
      <x v="668"/>
      <x v="492"/>
      <x v="24"/>
      <x v="5"/>
    </i>
    <i>
      <x v="760"/>
      <x v="493"/>
      <x v="24"/>
      <x v="5"/>
    </i>
    <i>
      <x v="2563"/>
      <x v="2516"/>
      <x v="14"/>
      <x v="2"/>
    </i>
    <i>
      <x v="423"/>
      <x v="2663"/>
      <x v="55"/>
      <x v="8"/>
    </i>
    <i>
      <x v="2920"/>
      <x v="2911"/>
      <x v="19"/>
      <x v="3"/>
    </i>
    <i>
      <x v="2565"/>
      <x v="2518"/>
      <x v="4"/>
      <x v="2"/>
    </i>
    <i>
      <x v="674"/>
      <x v="616"/>
      <x v="24"/>
      <x v="5"/>
    </i>
    <i>
      <x v="318"/>
      <x v="541"/>
      <x v="24"/>
      <x v="8"/>
    </i>
    <i>
      <x v="2837"/>
      <x v="2806"/>
      <x v="34"/>
      <x v="9"/>
    </i>
    <i>
      <x v="404"/>
      <x v="1373"/>
      <x v="56"/>
      <x v="5"/>
    </i>
    <i>
      <x v="2912"/>
      <x v="2906"/>
      <x v="86"/>
      <x v="3"/>
    </i>
    <i>
      <x v="2393"/>
      <x v="2358"/>
      <x v="30"/>
      <x v="2"/>
    </i>
    <i>
      <x v="2564"/>
      <x v="2517"/>
      <x v="14"/>
      <x v="2"/>
    </i>
    <i>
      <x v="2783"/>
      <x v="2747"/>
      <x v="24"/>
      <x v="7"/>
    </i>
    <i>
      <x v="2929"/>
      <x v="2920"/>
      <x v="18"/>
      <x v="2"/>
    </i>
    <i>
      <x v="1077"/>
      <x v="438"/>
      <x v="55"/>
      <x v="7"/>
    </i>
    <i>
      <x v="1076"/>
      <x v="1359"/>
      <x v="55"/>
      <x v="7"/>
    </i>
    <i>
      <x v="968"/>
      <x v="1171"/>
      <x v="28"/>
      <x v="3"/>
    </i>
    <i>
      <x v="970"/>
      <x v="787"/>
      <x v="20"/>
      <x v="3"/>
    </i>
    <i>
      <x v="2389"/>
      <x v="2354"/>
      <x v="30"/>
      <x v="2"/>
    </i>
    <i>
      <x v="426"/>
      <x v="1201"/>
      <x v="56"/>
      <x v="5"/>
    </i>
    <i>
      <x v="2715"/>
      <x v="2666"/>
      <x v="56"/>
      <x v="6"/>
    </i>
    <i>
      <x v="1079"/>
      <x v="1379"/>
      <x v="55"/>
      <x v="7"/>
    </i>
    <i>
      <x v="536"/>
      <x v="525"/>
      <x v="15"/>
      <x v="3"/>
    </i>
    <i>
      <x v="2391"/>
      <x v="2356"/>
      <x v="30"/>
      <x v="2"/>
    </i>
    <i>
      <x v="2035"/>
      <x v="2032"/>
      <x v="4"/>
      <x v="2"/>
    </i>
    <i>
      <x v="1088"/>
      <x v="1203"/>
      <x v="56"/>
      <x v="5"/>
    </i>
    <i>
      <x v="150"/>
      <x v="325"/>
      <x v="4"/>
      <x v="2"/>
    </i>
    <i>
      <x v="95"/>
      <x v="1745"/>
      <x v="4"/>
      <x v="2"/>
    </i>
    <i>
      <x v="2722"/>
      <x v="2677"/>
      <x v="23"/>
      <x v="9"/>
    </i>
    <i>
      <x v="2892"/>
      <x v="2887"/>
      <x v="4"/>
      <x v="2"/>
    </i>
    <i>
      <x v="235"/>
      <x v="2367"/>
      <x v="16"/>
      <x v="2"/>
    </i>
    <i>
      <x v="470"/>
      <x v="1267"/>
      <x v="49"/>
      <x v="3"/>
    </i>
    <i>
      <x v="839"/>
      <x v="2753"/>
      <x v="24"/>
      <x v="6"/>
    </i>
    <i>
      <x v="2690"/>
      <x v="2640"/>
      <x v="24"/>
      <x v="8"/>
    </i>
    <i>
      <x v="412"/>
      <x v="407"/>
      <x v="55"/>
      <x v="8"/>
    </i>
    <i>
      <x v="1085"/>
      <x v="1366"/>
      <x v="55"/>
      <x v="7"/>
    </i>
    <i>
      <x v="319"/>
      <x v="500"/>
      <x v="56"/>
      <x v="5"/>
    </i>
    <i>
      <x v="2802"/>
      <x v="2769"/>
      <x v="28"/>
      <x v="3"/>
    </i>
    <i>
      <x v="2760"/>
      <x v="2716"/>
      <x v="27"/>
      <x v="3"/>
    </i>
    <i>
      <x v="1081"/>
      <x v="1377"/>
      <x v="55"/>
      <x v="7"/>
    </i>
    <i>
      <x v="313"/>
      <x v="497"/>
      <x v="56"/>
      <x v="5"/>
    </i>
    <i>
      <x v="2803"/>
      <x v="1174"/>
      <x v="28"/>
      <x v="3"/>
    </i>
    <i>
      <x v="2928"/>
      <x v="2919"/>
      <x v="18"/>
      <x v="2"/>
    </i>
    <i>
      <x v="1591"/>
      <x v="1588"/>
      <x v="26"/>
      <x v="3"/>
    </i>
    <i>
      <x v="116"/>
      <x v="1179"/>
      <x v="30"/>
      <x v="2"/>
    </i>
    <i>
      <x v="2145"/>
      <x v="2135"/>
      <x v="40"/>
      <x v="2"/>
    </i>
    <i>
      <x v="2839"/>
      <x v="2808"/>
      <x v="7"/>
      <x v="2"/>
    </i>
    <i>
      <x v="2745"/>
      <x v="2701"/>
      <x v="19"/>
      <x v="3"/>
    </i>
    <i>
      <x v="1083"/>
      <x v="1107"/>
      <x v="56"/>
      <x v="5"/>
    </i>
    <i>
      <x v="1546"/>
      <x v="1544"/>
      <x v="64"/>
      <x v="2"/>
    </i>
    <i>
      <x v="2896"/>
      <x v="2891"/>
      <x v="16"/>
      <x v="2"/>
    </i>
    <i>
      <x v="1089"/>
      <x v="1202"/>
      <x v="56"/>
      <x v="5"/>
    </i>
    <i>
      <x v="892"/>
      <x v="766"/>
      <x v="83"/>
      <x v="13"/>
    </i>
    <i>
      <x v="291"/>
      <x v="1022"/>
      <x v="55"/>
      <x v="8"/>
    </i>
    <i>
      <x v="389"/>
      <x v="1343"/>
      <x v="56"/>
      <x v="5"/>
    </i>
    <i>
      <x v="230"/>
      <x v="1184"/>
      <x v="30"/>
      <x v="2"/>
    </i>
    <i>
      <x v="2890"/>
      <x v="1016"/>
      <x v="4"/>
      <x v="2"/>
    </i>
    <i>
      <x v="311"/>
      <x v="792"/>
      <x v="56"/>
      <x v="7"/>
    </i>
    <i>
      <x v="2795"/>
      <x v="2762"/>
      <x v="7"/>
      <x v="2"/>
    </i>
    <i>
      <x v="2933"/>
      <x v="2924"/>
      <x v="30"/>
      <x v="2"/>
    </i>
    <i>
      <x v="2943"/>
      <x v="2933"/>
      <x v="92"/>
      <x v="2"/>
    </i>
    <i>
      <x v="662"/>
      <x v="2728"/>
      <x v="24"/>
      <x v="8"/>
    </i>
    <i>
      <x v="785"/>
      <x v="775"/>
      <x v="24"/>
      <x v="10"/>
    </i>
    <i>
      <x v="770"/>
      <x v="651"/>
      <x v="24"/>
      <x v="7"/>
    </i>
    <i>
      <x v="2082"/>
      <x v="2076"/>
      <x v="40"/>
      <x v="2"/>
    </i>
    <i>
      <x v="2934"/>
      <x v="2925"/>
      <x v="30"/>
      <x v="2"/>
    </i>
    <i>
      <x v="425"/>
      <x v="1200"/>
      <x v="56"/>
      <x v="5"/>
    </i>
    <i>
      <x v="1071"/>
      <x v="1108"/>
      <x v="56"/>
      <x v="5"/>
    </i>
    <i>
      <x v="1549"/>
      <x v="1547"/>
      <x v="65"/>
      <x v="1"/>
    </i>
    <i>
      <x v="2940"/>
      <x v="2930"/>
      <x v="18"/>
      <x v="2"/>
    </i>
    <i>
      <x v="2151"/>
      <x v="2142"/>
      <x v="40"/>
      <x v="2"/>
    </i>
    <i>
      <x v="2083"/>
      <x v="2077"/>
      <x v="40"/>
      <x v="2"/>
    </i>
    <i>
      <x v="2888"/>
      <x v="2883"/>
      <x v="74"/>
      <x v="2"/>
    </i>
    <i>
      <x v="258"/>
      <x v="522"/>
      <x v="14"/>
      <x v="2"/>
    </i>
    <i>
      <x v="2402"/>
      <x v="2369"/>
      <x v="76"/>
      <x v="2"/>
    </i>
    <i>
      <x v="852"/>
      <x v="722"/>
      <x v="24"/>
      <x v="5"/>
    </i>
    <i>
      <x v="1055"/>
      <x v="593"/>
      <x v="24"/>
      <x v="10"/>
    </i>
    <i>
      <x v="375"/>
      <x v="545"/>
      <x v="56"/>
      <x v="5"/>
    </i>
    <i>
      <x v="2339"/>
      <x v="2308"/>
      <x v="4"/>
      <x v="2"/>
    </i>
    <i>
      <x v="411"/>
      <x v="405"/>
      <x v="55"/>
      <x v="8"/>
    </i>
    <i>
      <x v="2815"/>
      <x v="2781"/>
      <x v="66"/>
      <x v="3"/>
    </i>
    <i>
      <x v="1012"/>
      <x v="720"/>
      <x v="47"/>
      <x v="2"/>
    </i>
    <i>
      <x v="152"/>
      <x v="2035"/>
      <x v="4"/>
      <x v="2"/>
    </i>
    <i>
      <x v="1904"/>
      <x v="1899"/>
      <x v="7"/>
      <x v="2"/>
    </i>
    <i>
      <x v="281"/>
      <x v="1156"/>
      <x v="77"/>
      <x v="3"/>
    </i>
    <i>
      <x v="1590"/>
      <x v="1587"/>
      <x v="26"/>
      <x v="3"/>
    </i>
    <i>
      <x v="394"/>
      <x v="396"/>
      <x v="55"/>
      <x v="8"/>
    </i>
    <i>
      <x v="2336"/>
      <x v="2303"/>
      <x v="40"/>
      <x v="2"/>
    </i>
    <i>
      <x v="385"/>
      <x v="1374"/>
      <x v="56"/>
      <x v="5"/>
    </i>
    <i>
      <x v="2739"/>
      <x v="2695"/>
      <x v="26"/>
      <x v="3"/>
    </i>
    <i>
      <x v="863"/>
      <x v="1066"/>
      <x v="24"/>
      <x v="8"/>
    </i>
    <i>
      <x v="488"/>
      <x v="348"/>
      <x v="49"/>
      <x v="3"/>
    </i>
    <i>
      <x v="1073"/>
      <x v="1363"/>
      <x v="56"/>
      <x v="5"/>
    </i>
    <i>
      <x v="212"/>
      <x v="2304"/>
      <x v="40"/>
      <x v="2"/>
    </i>
    <i>
      <x v="1566"/>
      <x v="1564"/>
      <x v="26"/>
      <x v="3"/>
    </i>
    <i>
      <x v="1087"/>
      <x v="706"/>
      <x v="55"/>
      <x v="7"/>
    </i>
    <i>
      <x v="811"/>
      <x v="2748"/>
      <x v="24"/>
      <x v="8"/>
    </i>
    <i>
      <x v="669"/>
      <x v="2731"/>
      <x v="82"/>
      <x v="13"/>
    </i>
    <i>
      <x v="2796"/>
      <x v="2763"/>
      <x v="40"/>
      <x v="2"/>
    </i>
    <i>
      <x v="1074"/>
      <x v="1364"/>
      <x v="56"/>
      <x v="5"/>
    </i>
    <i>
      <x v="419"/>
      <x v="385"/>
      <x v="55"/>
      <x v="8"/>
    </i>
    <i>
      <x v="1555"/>
      <x v="1553"/>
      <x v="66"/>
      <x v="3"/>
    </i>
    <i>
      <x v="1056"/>
      <x v="586"/>
      <x v="24"/>
      <x v="10"/>
    </i>
    <i>
      <x v="390"/>
      <x v="1370"/>
      <x v="56"/>
      <x v="5"/>
    </i>
    <i>
      <x v="2111"/>
      <x v="2106"/>
      <x v="40"/>
      <x v="2"/>
    </i>
    <i>
      <x v="439"/>
      <x v="1263"/>
      <x v="56"/>
      <x v="5"/>
    </i>
    <i>
      <x v="2867"/>
      <x v="2851"/>
      <x v="4"/>
      <x v="2"/>
    </i>
    <i>
      <x v="215"/>
      <x v="713"/>
      <x v="18"/>
      <x v="2"/>
    </i>
    <i>
      <x v="833"/>
      <x v="762"/>
      <x v="23"/>
      <x v="10"/>
    </i>
    <i>
      <x v="2762"/>
      <x v="2718"/>
      <x v="27"/>
      <x v="3"/>
    </i>
    <i>
      <x v="1072"/>
      <x v="1000"/>
      <x v="55"/>
      <x v="7"/>
    </i>
    <i>
      <x v="2782"/>
      <x v="2746"/>
      <x v="24"/>
      <x v="10"/>
    </i>
    <i>
      <x v="2825"/>
      <x v="2793"/>
      <x v="24"/>
      <x v="10"/>
    </i>
    <i>
      <x v="834"/>
      <x v="763"/>
      <x v="23"/>
      <x v="10"/>
    </i>
    <i>
      <x v="2569"/>
      <x v="2522"/>
      <x v="18"/>
      <x v="2"/>
    </i>
    <i>
      <x v="1565"/>
      <x v="1563"/>
      <x v="66"/>
      <x v="3"/>
    </i>
    <i>
      <x v="2144"/>
      <x v="2134"/>
      <x v="40"/>
      <x v="2"/>
    </i>
    <i>
      <x v="2936"/>
      <x v="2926"/>
      <x v="91"/>
      <x v="2"/>
    </i>
    <i>
      <x v="2910"/>
      <x v="2904"/>
      <x v="86"/>
      <x v="3"/>
    </i>
    <i>
      <x v="2223"/>
      <x v="2205"/>
      <x v="40"/>
      <x v="2"/>
    </i>
    <i>
      <x v="314"/>
      <x v="963"/>
      <x v="56"/>
      <x v="7"/>
    </i>
    <i>
      <x v="1078"/>
      <x v="435"/>
      <x v="55"/>
      <x v="7"/>
    </i>
    <i>
      <x v="2831"/>
      <x v="2799"/>
      <x v="66"/>
      <x v="3"/>
    </i>
    <i>
      <x v="437"/>
      <x v="1261"/>
      <x v="56"/>
      <x v="5"/>
    </i>
    <i>
      <x v="887"/>
      <x v="1427"/>
      <x v="24"/>
      <x v="5"/>
    </i>
    <i>
      <x v="813"/>
      <x v="617"/>
      <x v="24"/>
      <x v="5"/>
    </i>
    <i>
      <x v="285"/>
      <x v="655"/>
      <x v="55"/>
      <x v="8"/>
    </i>
    <i>
      <x v="366"/>
      <x v="393"/>
      <x v="55"/>
      <x v="8"/>
    </i>
    <i>
      <x v="72"/>
      <x v="1172"/>
      <x v="28"/>
      <x v="3"/>
    </i>
    <i>
      <x v="655"/>
      <x v="501"/>
      <x v="24"/>
      <x v="6"/>
    </i>
    <i>
      <x v="2748"/>
      <x v="2704"/>
      <x v="59"/>
      <x v="9"/>
    </i>
    <i>
      <x v="34"/>
      <x v="582"/>
      <x v="24"/>
      <x v="10"/>
    </i>
    <i>
      <x v="2931"/>
      <x v="2922"/>
      <x v="30"/>
      <x v="2"/>
    </i>
    <i>
      <x v="417"/>
      <x v="400"/>
      <x v="55"/>
      <x v="8"/>
    </i>
    <i>
      <x v="2466"/>
      <x v="2427"/>
      <x v="4"/>
      <x v="2"/>
    </i>
    <i>
      <x v="1052"/>
      <x v="1175"/>
      <x v="28"/>
      <x v="3"/>
    </i>
    <i>
      <x v="789"/>
      <x v="772"/>
      <x v="24"/>
      <x v="10"/>
    </i>
    <i>
      <x v="2566"/>
      <x v="2519"/>
      <x v="18"/>
      <x v="2"/>
    </i>
    <i>
      <x v="2703"/>
      <x v="2653"/>
      <x v="56"/>
      <x v="5"/>
    </i>
    <i>
      <x v="1064"/>
      <x v="594"/>
      <x v="24"/>
      <x v="10"/>
    </i>
    <i>
      <x v="1589"/>
      <x v="1586"/>
      <x v="26"/>
      <x v="3"/>
    </i>
    <i>
      <x v="2680"/>
      <x v="2628"/>
      <x v="4"/>
      <x v="2"/>
    </i>
    <i>
      <x v="1491"/>
      <x v="1334"/>
      <x v="88"/>
      <x v="3"/>
    </i>
    <i>
      <x v="2708"/>
      <x v="2658"/>
      <x v="56"/>
      <x v="5"/>
    </i>
    <i>
      <x v="2942"/>
      <x v="2932"/>
      <x v="18"/>
      <x v="2"/>
    </i>
    <i>
      <x v="2062"/>
      <x v="2058"/>
      <x v="10"/>
      <x v="2"/>
    </i>
    <i>
      <x v="402"/>
      <x v="390"/>
      <x v="55"/>
      <x v="8"/>
    </i>
    <i>
      <x v="1080"/>
      <x v="1378"/>
      <x v="55"/>
      <x v="7"/>
    </i>
    <i>
      <x v="1008"/>
      <x v="1192"/>
      <x v="55"/>
      <x v="8"/>
    </i>
    <i>
      <x v="967"/>
      <x v="1162"/>
      <x v="29"/>
      <x v="3"/>
    </i>
    <i>
      <x v="1020"/>
      <x v="1243"/>
      <x v="67"/>
      <x v="3"/>
    </i>
    <i>
      <x v="2168"/>
      <x v="2158"/>
      <x v="40"/>
      <x v="2"/>
    </i>
    <i>
      <x v="109"/>
      <x v="1885"/>
      <x v="4"/>
      <x v="2"/>
    </i>
    <i>
      <x v="2713"/>
      <x v="2664"/>
      <x v="55"/>
      <x v="7"/>
    </i>
    <i>
      <x v="187"/>
      <x v="2137"/>
      <x v="40"/>
      <x v="2"/>
    </i>
    <i>
      <x v="2761"/>
      <x v="2717"/>
      <x v="29"/>
      <x v="3"/>
    </i>
    <i>
      <x v="422"/>
      <x v="1372"/>
      <x v="56"/>
      <x v="5"/>
    </i>
    <i>
      <x v="373"/>
      <x v="399"/>
      <x v="55"/>
      <x v="8"/>
    </i>
    <i>
      <x v="831"/>
      <x v="782"/>
      <x v="23"/>
      <x v="10"/>
    </i>
    <i>
      <x v="1063"/>
      <x v="2792"/>
      <x v="24"/>
      <x v="10"/>
    </i>
    <i>
      <x v="2331"/>
      <x v="2298"/>
      <x v="40"/>
      <x v="2"/>
    </i>
    <i>
      <x v="1086"/>
      <x v="705"/>
      <x v="55"/>
      <x v="7"/>
    </i>
    <i>
      <x v="1508"/>
      <x v="1034"/>
      <x v="87"/>
      <x v="3"/>
    </i>
    <i>
      <x v="444"/>
      <x v="1069"/>
      <x v="56"/>
      <x v="6"/>
    </i>
    <i>
      <x v="2883"/>
      <x v="2876"/>
      <x v="4"/>
      <x v="2"/>
    </i>
    <i>
      <x v="2498"/>
      <x v="1229"/>
      <x v="40"/>
      <x v="2"/>
    </i>
    <i>
      <x v="1952"/>
      <x v="1944"/>
      <x v="30"/>
      <x v="2"/>
    </i>
    <i>
      <x v="653"/>
      <x v="52"/>
      <x v="24"/>
      <x v="8"/>
    </i>
    <i>
      <x v="346"/>
      <x v="1178"/>
      <x v="5"/>
      <x v="3"/>
    </i>
    <i>
      <x v="1070"/>
      <x v="2800"/>
      <x v="56"/>
      <x v="5"/>
    </i>
    <i>
      <x v="2804"/>
      <x v="2770"/>
      <x v="4"/>
      <x v="2"/>
    </i>
    <i>
      <x v="406"/>
      <x v="1191"/>
      <x v="55"/>
      <x v="8"/>
    </i>
    <i>
      <x v="2036"/>
      <x v="2033"/>
      <x v="4"/>
      <x v="2"/>
    </i>
    <i>
      <x v="1062"/>
      <x v="585"/>
      <x v="24"/>
      <x v="10"/>
    </i>
    <i>
      <x v="1026"/>
      <x v="614"/>
      <x/>
      <x v="9"/>
    </i>
    <i>
      <x v="1317"/>
      <x v="1229"/>
      <x v="40"/>
      <x v="2"/>
    </i>
    <i>
      <x v="654"/>
      <x v="39"/>
      <x v="24"/>
      <x v="8"/>
    </i>
    <i>
      <x v="659"/>
      <x v="998"/>
      <x v="24"/>
      <x v="8"/>
    </i>
    <i>
      <x v="2386"/>
      <x v="2351"/>
      <x v="30"/>
      <x v="2"/>
    </i>
    <i>
      <x v="901"/>
      <x v="769"/>
      <x v="83"/>
      <x v="13"/>
    </i>
    <i>
      <x v="310"/>
      <x v="1485"/>
      <x v="55"/>
      <x v="7"/>
    </i>
    <i>
      <x v="2863"/>
      <x v="2840"/>
      <x v="7"/>
      <x v="2"/>
    </i>
    <i>
      <x v="414"/>
      <x v="653"/>
      <x v="55"/>
      <x v="7"/>
    </i>
    <i>
      <x v="671"/>
      <x v="657"/>
      <x v="24"/>
      <x v="5"/>
    </i>
    <i>
      <x v="1054"/>
      <x v="584"/>
      <x v="24"/>
      <x v="10"/>
    </i>
    <i>
      <x v="2499"/>
      <x v="2451"/>
      <x v="40"/>
      <x v="2"/>
    </i>
    <i>
      <x v="1579"/>
      <x v="1577"/>
      <x v="25"/>
      <x v="3"/>
    </i>
    <i>
      <x v="2016"/>
      <x v="2012"/>
      <x v="7"/>
      <x v="2"/>
    </i>
    <i>
      <x v="1784"/>
      <x v="1780"/>
      <x v="72"/>
      <x v="2"/>
    </i>
    <i>
      <x v="2881"/>
      <x v="2872"/>
      <x v="4"/>
      <x v="2"/>
    </i>
    <i>
      <x v="2844"/>
      <x v="2816"/>
      <x v="40"/>
      <x v="2"/>
    </i>
    <i>
      <x v="79"/>
      <x v="1155"/>
      <x v="26"/>
      <x v="3"/>
    </i>
    <i>
      <x v="144"/>
      <x v="318"/>
      <x v="7"/>
      <x v="2"/>
    </i>
    <i>
      <x v="1612"/>
      <x v="1609"/>
      <x v="4"/>
      <x v="2"/>
    </i>
    <i>
      <x v="800"/>
      <x v="780"/>
      <x v="23"/>
      <x v="10"/>
    </i>
    <i>
      <x v="791"/>
      <x v="774"/>
      <x v="23"/>
      <x v="10"/>
    </i>
    <i>
      <x v="2758"/>
      <x v="2714"/>
      <x v="59"/>
      <x v="9"/>
    </i>
    <i>
      <x v="792"/>
      <x v="783"/>
      <x v="23"/>
      <x v="10"/>
    </i>
    <i>
      <x v="91"/>
      <x v="1327"/>
      <x v="4"/>
      <x v="2"/>
    </i>
    <i>
      <x v="143"/>
      <x/>
      <x v="7"/>
      <x v="2"/>
    </i>
    <i>
      <x v="549"/>
      <x v="1189"/>
      <x v="32"/>
      <x v="3"/>
    </i>
    <i>
      <x v="1084"/>
      <x v="1109"/>
      <x v="56"/>
      <x v="5"/>
    </i>
    <i>
      <x v="388"/>
      <x v="1342"/>
      <x v="56"/>
      <x v="5"/>
    </i>
    <i>
      <x v="1510"/>
      <x v="1042"/>
      <x v="87"/>
      <x v="3"/>
    </i>
    <i>
      <x v="2932"/>
      <x v="2923"/>
      <x v="30"/>
      <x v="2"/>
    </i>
    <i>
      <x v="907"/>
      <x v="494"/>
      <x v="24"/>
      <x v="5"/>
    </i>
    <i>
      <x v="679"/>
      <x v="704"/>
      <x v="24"/>
      <x v="7"/>
    </i>
    <i>
      <x v="2335"/>
      <x v="2302"/>
      <x v="40"/>
      <x v="2"/>
    </i>
    <i>
      <x v="2538"/>
      <x v="2492"/>
      <x v="40"/>
      <x v="2"/>
    </i>
    <i>
      <x v="2752"/>
      <x v="2708"/>
      <x v="59"/>
      <x v="9"/>
    </i>
    <i>
      <x v="372"/>
      <x v="395"/>
      <x v="55"/>
      <x v="8"/>
    </i>
    <i>
      <x v="244"/>
      <x v="2466"/>
      <x v="47"/>
      <x v="2"/>
    </i>
    <i>
      <x v="51"/>
      <x v="710"/>
      <x v="17"/>
      <x v="3"/>
    </i>
    <i>
      <x v="2711"/>
      <x v="2661"/>
      <x v="55"/>
      <x v="8"/>
    </i>
    <i>
      <x v="312"/>
      <x v="499"/>
      <x v="56"/>
      <x v="5"/>
    </i>
    <i>
      <x v="1607"/>
      <x v="1604"/>
      <x v="18"/>
      <x v="2"/>
    </i>
    <i>
      <x v="680"/>
      <x v="627"/>
      <x v="24"/>
      <x v="7"/>
    </i>
    <i>
      <x v="783"/>
      <x v="777"/>
      <x v="24"/>
      <x v="10"/>
    </i>
    <i>
      <x v="2897"/>
      <x v="2892"/>
      <x v="4"/>
      <x v="2"/>
    </i>
    <i>
      <x v="317"/>
      <x v="359"/>
      <x v="24"/>
      <x v="8"/>
    </i>
    <i>
      <x v="794"/>
      <x v="765"/>
      <x v="23"/>
      <x v="10"/>
    </i>
    <i>
      <x v="878"/>
      <x v="588"/>
      <x v="24"/>
      <x v="10"/>
    </i>
    <i>
      <x v="2876"/>
      <x v="2866"/>
      <x v="7"/>
      <x v="2"/>
    </i>
    <i>
      <x v="2684"/>
      <x v="2632"/>
      <x v="40"/>
      <x v="2"/>
    </i>
    <i>
      <x v="361"/>
      <x v="484"/>
      <x v="5"/>
      <x v="3"/>
    </i>
    <i>
      <x v="2838"/>
      <x v="2807"/>
      <x v="7"/>
      <x v="2"/>
    </i>
    <i>
      <x v="804"/>
      <x v="1260"/>
      <x v="24"/>
      <x v="5"/>
    </i>
    <i>
      <x v="932"/>
      <x v="1024"/>
      <x v="75"/>
      <x v="2"/>
    </i>
    <i>
      <x v="2699"/>
      <x v="2649"/>
      <x v="55"/>
      <x v="8"/>
    </i>
    <i>
      <x v="2517"/>
      <x v="2469"/>
      <x v="40"/>
      <x v="2"/>
    </i>
    <i>
      <x v="665"/>
      <x v="370"/>
      <x v="24"/>
      <x v="8"/>
    </i>
    <i>
      <x v="2101"/>
      <x v="2097"/>
      <x v="40"/>
      <x v="2"/>
    </i>
    <i>
      <x v="2746"/>
      <x v="2702"/>
      <x v="44"/>
      <x v="3"/>
    </i>
    <i>
      <x v="1068"/>
      <x v="436"/>
      <x v="55"/>
      <x v="7"/>
    </i>
    <i>
      <x v="1854"/>
      <x v="1850"/>
      <x v="35"/>
      <x v="2"/>
    </i>
    <i>
      <x v="2264"/>
      <x v="2244"/>
      <x v="40"/>
      <x v="2"/>
    </i>
    <i>
      <x v="618"/>
      <x v="1168"/>
      <x/>
      <x v="9"/>
    </i>
    <i>
      <x v="2793"/>
      <x v="2760"/>
      <x v="55"/>
      <x v="7"/>
    </i>
    <i>
      <x v="401"/>
      <x v="1068"/>
      <x v="56"/>
      <x v="6"/>
    </i>
    <i>
      <x v="1909"/>
      <x v="1904"/>
      <x v="7"/>
      <x v="2"/>
    </i>
    <i>
      <x v="2496"/>
      <x v="2449"/>
      <x v="40"/>
      <x v="2"/>
    </i>
    <i>
      <x v="1609"/>
      <x v="1606"/>
      <x v="69"/>
      <x v="1"/>
    </i>
    <i>
      <x v="234"/>
      <x v="1380"/>
      <x v="54"/>
      <x v="2"/>
    </i>
    <i>
      <x v="371"/>
      <x v="391"/>
      <x v="55"/>
      <x v="8"/>
    </i>
    <i>
      <x v="2823"/>
      <x v="2790"/>
      <x v="24"/>
      <x v="10"/>
    </i>
    <i>
      <x v="418"/>
      <x v="382"/>
      <x v="55"/>
      <x v="8"/>
    </i>
    <i>
      <x v="1469"/>
      <x v="530"/>
      <x v="86"/>
      <x v="3"/>
    </i>
    <i>
      <x v="2777"/>
      <x v="2740"/>
      <x v="24"/>
      <x v="8"/>
    </i>
    <i>
      <x v="646"/>
      <x v="2723"/>
      <x v="24"/>
      <x v="8"/>
    </i>
    <i>
      <x v="2400"/>
      <x v="2366"/>
      <x v="54"/>
      <x v="2"/>
    </i>
    <i>
      <x v="420"/>
      <x v="381"/>
      <x v="55"/>
      <x v="8"/>
    </i>
    <i>
      <x v="2721"/>
      <x v="2676"/>
      <x v="20"/>
      <x v="3"/>
    </i>
    <i>
      <x v="1606"/>
      <x v="1603"/>
      <x v="18"/>
      <x v="2"/>
    </i>
    <i>
      <x v="673"/>
      <x v="618"/>
      <x v="24"/>
      <x v="5"/>
    </i>
    <i>
      <x v="1416"/>
      <x v="321"/>
      <x v="34"/>
      <x v="9"/>
    </i>
    <i>
      <x v="1737"/>
      <x v="1732"/>
      <x v="10"/>
      <x v="2"/>
    </i>
    <i>
      <x v="2915"/>
      <x v="1335"/>
      <x v="88"/>
      <x v="3"/>
    </i>
    <i>
      <x v="925"/>
      <x v="984"/>
      <x/>
      <x v="9"/>
    </i>
    <i>
      <x v="2679"/>
      <x v="2627"/>
      <x v="4"/>
      <x v="2"/>
    </i>
    <i>
      <x v="2558"/>
      <x v="2512"/>
      <x v="40"/>
      <x v="2"/>
    </i>
    <i>
      <x v="1053"/>
      <x v="595"/>
      <x v="24"/>
      <x v="10"/>
    </i>
    <i>
      <x v="2869"/>
      <x v="2854"/>
      <x v="40"/>
      <x v="2"/>
    </i>
    <i>
      <x v="2720"/>
      <x v="2675"/>
      <x v="25"/>
      <x v="3"/>
    </i>
    <i>
      <x v="509"/>
      <x v="130"/>
      <x v="8"/>
      <x v="3"/>
    </i>
    <i>
      <x v="983"/>
      <x v="1169"/>
      <x v="27"/>
      <x v="3"/>
    </i>
    <i>
      <x v="316"/>
      <x v="1257"/>
      <x v="24"/>
      <x v="8"/>
    </i>
    <i>
      <x v="2706"/>
      <x v="2656"/>
      <x v="56"/>
      <x v="5"/>
    </i>
    <i>
      <x v="351"/>
      <x v="1095"/>
      <x v="59"/>
      <x v="9"/>
    </i>
    <i>
      <x v="2104"/>
      <x v="2100"/>
      <x v="47"/>
      <x v="2"/>
    </i>
    <i>
      <x v="405"/>
      <x v="379"/>
      <x v="55"/>
      <x v="8"/>
    </i>
    <i>
      <x v="2789"/>
      <x v="2756"/>
      <x v="24"/>
      <x v="5"/>
    </i>
    <i>
      <x v="2938"/>
      <x v="2928"/>
      <x v="18"/>
      <x v="2"/>
    </i>
    <i>
      <x v="355"/>
      <x v="1437"/>
      <x/>
      <x v="9"/>
    </i>
    <i>
      <x v="2780"/>
      <x v="2743"/>
      <x v="24"/>
      <x v="10"/>
    </i>
    <i>
      <x v="178"/>
      <x v="621"/>
      <x v="40"/>
      <x v="2"/>
    </i>
    <i>
      <x v="1517"/>
      <x v="1514"/>
      <x v="4"/>
      <x v="2"/>
    </i>
    <i>
      <x v="2365"/>
      <x v="2331"/>
      <x v="40"/>
      <x v="2"/>
    </i>
    <i>
      <x v="2884"/>
      <x v="2877"/>
      <x v="1"/>
      <x v="2"/>
    </i>
    <i>
      <x v="507"/>
      <x v="2673"/>
      <x v="49"/>
      <x v="3"/>
    </i>
    <i>
      <x v="620"/>
      <x v="1279"/>
      <x/>
      <x v="9"/>
    </i>
    <i>
      <x v="2719"/>
      <x v="2674"/>
      <x v="25"/>
      <x v="3"/>
    </i>
    <i>
      <x v="421"/>
      <x v="383"/>
      <x v="55"/>
      <x v="8"/>
    </i>
    <i>
      <x v="675"/>
      <x v="1395"/>
      <x v="24"/>
      <x v="5"/>
    </i>
    <i>
      <x v="2750"/>
      <x v="2706"/>
      <x v="59"/>
      <x v="9"/>
    </i>
    <i>
      <x v="965"/>
      <x v="521"/>
      <x v="15"/>
      <x v="3"/>
    </i>
    <i>
      <x v="1060"/>
      <x v="591"/>
      <x v="24"/>
      <x v="10"/>
    </i>
    <i>
      <x v="2757"/>
      <x v="2713"/>
      <x v="59"/>
      <x v="9"/>
    </i>
    <i>
      <x v="442"/>
      <x v="1273"/>
      <x v="56"/>
      <x v="5"/>
    </i>
    <i>
      <x v="308"/>
      <x v="416"/>
      <x/>
      <x/>
    </i>
    <i>
      <x v="935"/>
      <x v="528"/>
      <x/>
      <x v="3"/>
    </i>
    <i>
      <x v="2247"/>
      <x v="2227"/>
      <x v="47"/>
      <x v="2"/>
    </i>
    <i>
      <x v="1404"/>
      <x v="311"/>
      <x v="40"/>
      <x v="2"/>
    </i>
    <i>
      <x v="1065"/>
      <x v="388"/>
      <x v="55"/>
      <x v="8"/>
    </i>
    <i>
      <x v="2392"/>
      <x v="2357"/>
      <x v="30"/>
      <x v="2"/>
    </i>
    <i>
      <x v="2749"/>
      <x v="2705"/>
      <x v="68"/>
      <x v="9"/>
    </i>
    <i>
      <x v="1603"/>
      <x v="1600"/>
      <x v="68"/>
      <x v="9"/>
    </i>
    <i>
      <x v="1575"/>
      <x v="1573"/>
      <x v="39"/>
      <x v="3"/>
    </i>
    <i>
      <x v="149"/>
      <x v="2031"/>
      <x v="4"/>
      <x v="2"/>
    </i>
    <i>
      <x v="126"/>
      <x v="365"/>
      <x v="74"/>
      <x v="2"/>
    </i>
    <i>
      <x v="2756"/>
      <x v="2712"/>
      <x v="59"/>
      <x v="9"/>
    </i>
    <i>
      <x v="108"/>
      <x v="1325"/>
      <x v="4"/>
      <x v="2"/>
    </i>
    <i>
      <x v="2085"/>
      <x v="2079"/>
      <x v="74"/>
      <x v="2"/>
    </i>
    <i>
      <x v="2456"/>
      <x v="2418"/>
      <x v="40"/>
      <x v="2"/>
    </i>
    <i>
      <x v="377"/>
      <x v="546"/>
      <x v="56"/>
      <x v="5"/>
    </i>
    <i>
      <x v="2832"/>
      <x v="2801"/>
      <x v="68"/>
      <x v="9"/>
    </i>
    <i>
      <x v="398"/>
      <x v="1369"/>
      <x v="56"/>
      <x v="5"/>
    </i>
    <i>
      <x v="379"/>
      <x v="543"/>
      <x v="56"/>
      <x v="5"/>
    </i>
    <i>
      <x v="934"/>
      <x v="678"/>
      <x/>
      <x v="9"/>
    </i>
    <i>
      <x v="90"/>
      <x v="1326"/>
      <x v="4"/>
      <x v="2"/>
    </i>
    <i>
      <x v="2139"/>
      <x v="2129"/>
      <x v="35"/>
      <x v="2"/>
    </i>
    <i>
      <x v="2712"/>
      <x v="2662"/>
      <x v="55"/>
      <x v="8"/>
    </i>
    <i>
      <x v="1434"/>
      <x v="2885"/>
      <x v="4"/>
      <x v="2"/>
    </i>
    <i>
      <x v="36"/>
      <x v="603"/>
      <x v="24"/>
      <x v="10"/>
    </i>
    <i>
      <x v="2260"/>
      <x v="2239"/>
      <x v="40"/>
      <x v="2"/>
    </i>
    <i>
      <x v="367"/>
      <x v="1282"/>
      <x v="55"/>
      <x v="8"/>
    </i>
    <i>
      <x v="2533"/>
      <x v="2487"/>
      <x v="40"/>
      <x v="2"/>
    </i>
    <i>
      <x v="37"/>
      <x v="581"/>
      <x v="24"/>
      <x v="10"/>
    </i>
    <i>
      <x v="245"/>
      <x v="2467"/>
      <x v="47"/>
      <x v="2"/>
    </i>
    <i>
      <x v="933"/>
      <x v="1161"/>
      <x v="66"/>
      <x v="3"/>
    </i>
    <i>
      <x v="2515"/>
      <x v="2465"/>
      <x v="40"/>
      <x v="2"/>
    </i>
    <i>
      <x v="2133"/>
      <x v="2124"/>
      <x v="40"/>
      <x v="2"/>
    </i>
    <i>
      <x v="2154"/>
      <x v="2144"/>
      <x v="40"/>
      <x v="2"/>
    </i>
    <i>
      <x v="1061"/>
      <x v="589"/>
      <x v="24"/>
      <x v="10"/>
    </i>
    <i>
      <x v="2755"/>
      <x v="2711"/>
      <x v="59"/>
      <x v="9"/>
    </i>
    <i>
      <x v="7"/>
      <x v="724"/>
      <x/>
      <x v="9"/>
    </i>
    <i>
      <x v="2794"/>
      <x v="2761"/>
      <x v="24"/>
      <x v="10"/>
    </i>
    <i>
      <x v="2714"/>
      <x v="2665"/>
      <x v="56"/>
      <x v="5"/>
    </i>
    <i>
      <x v="2814"/>
      <x v="2780"/>
      <x v="4"/>
      <x v="2"/>
    </i>
    <i>
      <x v="159"/>
      <x v="1130"/>
      <x v="73"/>
      <x v="2"/>
    </i>
    <i>
      <x v="399"/>
      <x v="392"/>
      <x v="55"/>
      <x v="8"/>
    </i>
    <i>
      <x v="2697"/>
      <x v="2647"/>
      <x v="80"/>
      <x v="3"/>
    </i>
    <i>
      <x v="2909"/>
      <x v="2903"/>
      <x v="59"/>
      <x v="9"/>
    </i>
    <i>
      <x v="2376"/>
      <x v="2342"/>
      <x v="40"/>
      <x v="2"/>
    </i>
    <i>
      <x v="2508"/>
      <x v="2460"/>
      <x v="47"/>
      <x v="2"/>
    </i>
    <i>
      <x v="2572"/>
      <x v="2525"/>
      <x v="40"/>
      <x v="2"/>
    </i>
    <i>
      <x v="1182"/>
      <x v="85"/>
      <x v="40"/>
      <x v="2"/>
    </i>
    <i>
      <x v="1673"/>
      <x v="1670"/>
      <x v="4"/>
      <x v="2"/>
    </i>
    <i>
      <x v="2512"/>
      <x v="2463"/>
      <x v="40"/>
      <x v="2"/>
    </i>
    <i>
      <x v="1910"/>
      <x v="1905"/>
      <x v="7"/>
      <x v="2"/>
    </i>
    <i>
      <x v="1604"/>
      <x v="1601"/>
      <x v="18"/>
      <x v="2"/>
    </i>
    <i>
      <x v="2637"/>
      <x v="2590"/>
      <x v="40"/>
      <x v="2"/>
    </i>
    <i>
      <x v="2286"/>
      <x v="2262"/>
      <x v="40"/>
      <x v="2"/>
    </i>
    <i>
      <x v="531"/>
      <x v="988"/>
      <x/>
      <x v="9"/>
    </i>
    <i>
      <x v="1278"/>
      <x v="2833"/>
      <x v="47"/>
      <x v="2"/>
    </i>
    <i>
      <x v="436"/>
      <x v="1312"/>
      <x v="56"/>
      <x v="5"/>
    </i>
    <i>
      <x v="190"/>
      <x v="737"/>
      <x v="47"/>
      <x v="2"/>
    </i>
    <i>
      <x v="1493"/>
      <x v="1331"/>
      <x v="88"/>
      <x v="3"/>
    </i>
    <i>
      <x v="784"/>
      <x v="776"/>
      <x v="24"/>
      <x v="10"/>
    </i>
    <i>
      <x v="1605"/>
      <x v="1602"/>
      <x v="18"/>
      <x v="2"/>
    </i>
    <i>
      <x v="1050"/>
      <x v="1269"/>
      <x v="8"/>
      <x v="3"/>
    </i>
    <i>
      <x v="1891"/>
      <x v="1887"/>
      <x v="7"/>
      <x v="2"/>
    </i>
    <i>
      <x v="2707"/>
      <x v="2657"/>
      <x v="56"/>
      <x v="5"/>
    </i>
    <i>
      <x v="895"/>
      <x v="1432"/>
      <x v="23"/>
      <x v="4"/>
    </i>
    <i>
      <x v="301"/>
      <x v="985"/>
      <x/>
      <x v="9"/>
    </i>
    <i>
      <x v="643"/>
      <x v="1176"/>
      <x v="28"/>
      <x v="3"/>
    </i>
    <i>
      <x v="1682"/>
      <x v="1679"/>
      <x v="40"/>
      <x v="2"/>
    </i>
    <i>
      <x v="896"/>
      <x v="999"/>
      <x v="24"/>
      <x v="8"/>
    </i>
    <i>
      <x v="2465"/>
      <x v="2426"/>
      <x v="40"/>
      <x v="2"/>
    </i>
    <i>
      <x v="2377"/>
      <x v="2343"/>
      <x v="40"/>
      <x v="2"/>
    </i>
    <i>
      <x v="2182"/>
      <x v="2172"/>
      <x v="40"/>
      <x v="2"/>
    </i>
    <i>
      <x v="364"/>
      <x v="632"/>
      <x v="78"/>
      <x v="9"/>
    </i>
    <i>
      <x v="2603"/>
      <x v="2557"/>
      <x v="40"/>
      <x v="2"/>
    </i>
    <i>
      <x v="810"/>
      <x v="42"/>
      <x v="24"/>
      <x v="8"/>
    </i>
    <i>
      <x v="128"/>
      <x v="363"/>
      <x v="4"/>
      <x v="2"/>
    </i>
    <i>
      <x v="546"/>
      <x v="13"/>
      <x v="3"/>
      <x v="3"/>
    </i>
    <i>
      <x v="1069"/>
      <x v="437"/>
      <x v="55"/>
      <x v="7"/>
    </i>
    <i>
      <x v="1332"/>
      <x v="509"/>
      <x v="40"/>
      <x v="2"/>
    </i>
    <i>
      <x v="1335"/>
      <x v="2846"/>
      <x v="40"/>
      <x v="2"/>
    </i>
    <i>
      <x v="370"/>
      <x v="397"/>
      <x v="55"/>
      <x v="8"/>
    </i>
    <i>
      <x v="110"/>
      <x v="481"/>
      <x v="7"/>
      <x v="2"/>
    </i>
    <i>
      <x v="292"/>
      <x v="1471"/>
      <x v="55"/>
      <x v="8"/>
    </i>
    <i>
      <x v="2678"/>
      <x v="2626"/>
      <x v="7"/>
      <x v="2"/>
    </i>
    <i>
      <x v="146"/>
      <x v="1093"/>
      <x v="35"/>
      <x v="2"/>
    </i>
    <i>
      <x v="998"/>
      <x v="1245"/>
      <x v="67"/>
      <x v="3"/>
    </i>
    <i>
      <x v="2736"/>
      <x v="2692"/>
      <x v="44"/>
      <x v="3"/>
    </i>
    <i>
      <x v="2916"/>
      <x v="2908"/>
      <x v="88"/>
      <x v="3"/>
    </i>
    <i>
      <x v="2766"/>
      <x v="2722"/>
      <x v="55"/>
      <x v="8"/>
    </i>
    <i>
      <x v="899"/>
      <x v="771"/>
      <x v="83"/>
      <x v="13"/>
    </i>
    <i>
      <x v="380"/>
      <x v="542"/>
      <x v="56"/>
      <x v="5"/>
    </i>
    <i>
      <x v="374"/>
      <x v="547"/>
      <x v="56"/>
      <x v="5"/>
    </i>
    <i>
      <x v="2830"/>
      <x v="2798"/>
      <x v="66"/>
      <x v="3"/>
    </i>
    <i>
      <x v="1058"/>
      <x v="583"/>
      <x v="24"/>
      <x v="10"/>
    </i>
    <i>
      <x v="978"/>
      <x v="608"/>
      <x/>
      <x v="9"/>
    </i>
    <i>
      <x v="1126"/>
      <x v="961"/>
      <x v="71"/>
      <x v="2"/>
    </i>
    <i>
      <x v="1107"/>
      <x v="1399"/>
      <x/>
      <x v="9"/>
    </i>
    <i>
      <x v="2536"/>
      <x v="2490"/>
      <x v="40"/>
      <x v="2"/>
    </i>
    <i>
      <x v="2159"/>
      <x v="2148"/>
      <x v="35"/>
      <x v="2"/>
    </i>
    <i>
      <x v="151"/>
      <x v="326"/>
      <x v="4"/>
      <x v="2"/>
    </i>
    <i>
      <x v="1905"/>
      <x v="1900"/>
      <x v="7"/>
      <x v="2"/>
    </i>
    <i>
      <x v="309"/>
      <x v="1486"/>
      <x v="56"/>
      <x v="7"/>
    </i>
    <i>
      <x v="1887"/>
      <x v="1882"/>
      <x v="40"/>
      <x v="2"/>
    </i>
    <i>
      <x v="2028"/>
      <x v="2024"/>
      <x v="35"/>
      <x v="2"/>
    </i>
    <i>
      <x v="383"/>
      <x v="394"/>
      <x v="55"/>
      <x v="8"/>
    </i>
    <i>
      <x v="2170"/>
      <x v="2160"/>
      <x v="40"/>
      <x v="2"/>
    </i>
    <i>
      <x v="2729"/>
      <x v="2685"/>
      <x v="44"/>
      <x v="3"/>
    </i>
    <i>
      <x v="2710"/>
      <x v="2660"/>
      <x v="55"/>
      <x v="8"/>
    </i>
    <i>
      <x v="2039"/>
      <x v="2036"/>
      <x v="1"/>
      <x v="2"/>
    </i>
    <i>
      <x v="521"/>
      <x v="1362"/>
      <x v="56"/>
      <x v="5"/>
    </i>
    <i>
      <x v="1886"/>
      <x v="1881"/>
      <x v="7"/>
      <x v="2"/>
    </i>
    <i>
      <x v="2596"/>
      <x v="2549"/>
      <x v="40"/>
      <x v="2"/>
    </i>
    <i>
      <x v="1998"/>
      <x v="1993"/>
      <x v="35"/>
      <x v="2"/>
    </i>
    <i>
      <x v="1906"/>
      <x v="1901"/>
      <x v="7"/>
      <x v="2"/>
    </i>
    <i>
      <x v="1495"/>
      <x v="1105"/>
      <x v="86"/>
      <x v="3"/>
    </i>
    <i>
      <x v="851"/>
      <x v="1100"/>
      <x v="24"/>
      <x v="7"/>
    </i>
    <i>
      <x v="2557"/>
      <x v="2511"/>
      <x v="40"/>
      <x v="2"/>
    </i>
    <i>
      <x v="1450"/>
      <x v="1160"/>
      <x v="66"/>
      <x v="3"/>
    </i>
    <i>
      <x v="1844"/>
      <x v="1840"/>
      <x v="40"/>
      <x v="2"/>
    </i>
    <i>
      <x v="2913"/>
      <x v="1333"/>
      <x v="88"/>
      <x v="3"/>
    </i>
    <i>
      <x v="1809"/>
      <x v="1805"/>
      <x v="40"/>
      <x v="2"/>
    </i>
    <i>
      <x v="1090"/>
      <x v="1367"/>
      <x v="55"/>
      <x v="7"/>
    </i>
    <i>
      <x v="2110"/>
      <x v="2105"/>
      <x v="40"/>
      <x v="2"/>
    </i>
    <i>
      <x v="997"/>
      <x v="1244"/>
      <x v="67"/>
      <x v="3"/>
    </i>
    <i>
      <x v="340"/>
      <x v="1288"/>
      <x/>
      <x v="9"/>
    </i>
    <i>
      <x v="1166"/>
      <x v="564"/>
      <x v="40"/>
      <x v="2"/>
    </i>
    <i>
      <x v="873"/>
      <x v="778"/>
      <x v="23"/>
      <x v="10"/>
    </i>
    <i>
      <x v="2841"/>
      <x v="2810"/>
      <x v="40"/>
      <x v="2"/>
    </i>
    <i>
      <x v="1188"/>
      <x v="735"/>
      <x v="40"/>
      <x v="2"/>
    </i>
    <i>
      <x v="2655"/>
      <x v="2606"/>
      <x v="40"/>
      <x v="2"/>
    </i>
    <i>
      <x v="1385"/>
      <x v="2855"/>
      <x v="35"/>
      <x v="2"/>
    </i>
    <i>
      <x v="2776"/>
      <x v="2737"/>
      <x v="24"/>
      <x v="8"/>
    </i>
    <i>
      <x v="2362"/>
      <x v="2328"/>
      <x v="40"/>
      <x v="2"/>
    </i>
    <i>
      <x v="1464"/>
      <x v="526"/>
      <x/>
      <x v="9"/>
    </i>
    <i>
      <x v="2770"/>
      <x v="2727"/>
      <x v="24"/>
      <x v="8"/>
    </i>
    <i>
      <x v="1393"/>
      <x v="2863"/>
      <x v="73"/>
      <x v="2"/>
    </i>
    <i>
      <x v="1587"/>
      <x v="1584"/>
      <x v="41"/>
      <x v="3"/>
    </i>
    <i>
      <x v="2810"/>
      <x v="2776"/>
      <x v="66"/>
      <x v="3"/>
    </i>
    <i>
      <x v="363"/>
      <x v="1111"/>
      <x/>
      <x v="9"/>
    </i>
    <i>
      <x v="660"/>
      <x v="1194"/>
      <x v="24"/>
      <x v="8"/>
    </i>
    <i>
      <x v="535"/>
      <x v="695"/>
      <x/>
      <x v="9"/>
    </i>
    <i>
      <x v="644"/>
      <x v="1170"/>
      <x v="27"/>
      <x v="3"/>
    </i>
    <i>
      <x v="670"/>
      <x v="997"/>
      <x v="24"/>
      <x v="5"/>
    </i>
    <i>
      <x v="2495"/>
      <x v="2448"/>
      <x v="40"/>
      <x v="2"/>
    </i>
    <i>
      <x v="1082"/>
      <x v="1376"/>
      <x v="55"/>
      <x v="7"/>
    </i>
    <i>
      <x v="532"/>
      <x v="1053"/>
      <x/>
      <x v="9"/>
    </i>
    <i>
      <x v="1611"/>
      <x v="1608"/>
      <x v="1"/>
      <x v="2"/>
    </i>
    <i>
      <x v="1349"/>
      <x v="2850"/>
      <x v="40"/>
      <x v="2"/>
    </i>
    <i>
      <x v="2022"/>
      <x v="2018"/>
      <x v="40"/>
      <x v="2"/>
    </i>
    <i>
      <x v="1392"/>
      <x v="2861"/>
      <x v="40"/>
      <x v="2"/>
    </i>
    <i>
      <x v="2473"/>
      <x v="2434"/>
      <x v="40"/>
      <x v="2"/>
    </i>
    <i>
      <x v="964"/>
      <x v="523"/>
      <x/>
      <x v="9"/>
    </i>
    <i>
      <x v="29"/>
      <x v="711"/>
      <x v="18"/>
      <x v="2"/>
    </i>
    <i>
      <x v="723"/>
      <x v="937"/>
      <x v="23"/>
      <x v="10"/>
    </i>
    <i>
      <x v="43"/>
      <x v="1159"/>
      <x v="29"/>
      <x v="3"/>
    </i>
    <i>
      <x v="862"/>
      <x v="1018"/>
      <x v="24"/>
      <x v="8"/>
    </i>
    <i>
      <x v="193"/>
      <x v="2169"/>
      <x v="47"/>
      <x v="2"/>
    </i>
    <i>
      <x v="2115"/>
      <x v="2110"/>
      <x v="35"/>
      <x v="2"/>
    </i>
    <i>
      <x v="2018"/>
      <x v="2014"/>
      <x v="30"/>
      <x v="2"/>
    </i>
    <i>
      <x v="711"/>
      <x v="936"/>
      <x v="23"/>
      <x v="10"/>
    </i>
    <i>
      <x v="1625"/>
      <x v="1623"/>
      <x v="47"/>
      <x v="2"/>
    </i>
    <i>
      <x v="1633"/>
      <x v="1631"/>
      <x v="40"/>
      <x v="2"/>
    </i>
    <i>
      <x v="553"/>
      <x v="1082"/>
      <x v="44"/>
      <x v="3"/>
    </i>
    <i>
      <x v="2547"/>
      <x v="2501"/>
      <x v="40"/>
      <x v="2"/>
    </i>
    <i>
      <x v="2908"/>
      <x v="2902"/>
      <x v="68"/>
      <x v="9"/>
    </i>
    <i>
      <x v="2440"/>
      <x v="2404"/>
      <x v="47"/>
      <x v="2"/>
    </i>
    <i>
      <x v="1433"/>
      <x v="1014"/>
      <x v="4"/>
      <x v="2"/>
    </i>
    <i>
      <x v="2824"/>
      <x v="2791"/>
      <x v="24"/>
      <x v="10"/>
    </i>
    <i>
      <x v="999"/>
      <x v="1242"/>
      <x v="67"/>
      <x v="3"/>
    </i>
    <i>
      <x v="227"/>
      <x v="1180"/>
      <x v="30"/>
      <x v="2"/>
    </i>
    <i>
      <x v="2737"/>
      <x v="2693"/>
      <x v="44"/>
      <x v="3"/>
    </i>
    <i>
      <x v="2671"/>
      <x v="2618"/>
      <x v="40"/>
      <x v="2"/>
    </i>
    <i>
      <x v="985"/>
      <x v="368"/>
      <x/>
      <x v="9"/>
    </i>
    <i>
      <x v="663"/>
      <x v="610"/>
      <x v="24"/>
      <x v="8"/>
    </i>
    <i>
      <x v="424"/>
      <x v="1190"/>
      <x v="55"/>
      <x v="8"/>
    </i>
    <i>
      <x v="32"/>
      <x v="1208"/>
      <x/>
      <x v="9"/>
    </i>
    <i>
      <x v="977"/>
      <x v="607"/>
      <x/>
      <x v="9"/>
    </i>
    <i>
      <x v="1472"/>
      <x v="1479"/>
      <x v="87"/>
      <x v="3"/>
    </i>
    <i>
      <x v="2559"/>
      <x v="1239"/>
      <x v="33"/>
      <x v="2"/>
    </i>
    <i>
      <x v="127"/>
      <x v="361"/>
      <x v="4"/>
      <x v="2"/>
    </i>
    <i>
      <x v="2529"/>
      <x v="2482"/>
      <x v="47"/>
      <x v="2"/>
    </i>
    <i>
      <x v="2166"/>
      <x v="2156"/>
      <x v="40"/>
      <x v="2"/>
    </i>
    <i>
      <x v="2524"/>
      <x v="2476"/>
      <x v="47"/>
      <x v="2"/>
    </i>
    <i>
      <x v="986"/>
      <x v="1430"/>
      <x/>
      <x v="9"/>
    </i>
    <i>
      <x v="658"/>
      <x v="222"/>
      <x v="24"/>
      <x v="8"/>
    </i>
    <i>
      <x v="637"/>
      <x v="1423"/>
      <x/>
      <x v="9"/>
    </i>
    <i>
      <x v="403"/>
      <x v="1067"/>
      <x v="56"/>
      <x v="6"/>
    </i>
    <i>
      <x v="129"/>
      <x v="360"/>
      <x v="4"/>
      <x v="2"/>
    </i>
    <i>
      <x v="226"/>
      <x v="1181"/>
      <x v="30"/>
      <x v="2"/>
    </i>
    <i>
      <x v="712"/>
      <x v="1434"/>
      <x v="24"/>
      <x v="8"/>
    </i>
    <i>
      <x v="1580"/>
      <x v="1578"/>
      <x v="41"/>
      <x v="3"/>
    </i>
    <i>
      <x v="2906"/>
      <x v="1165"/>
      <x v="66"/>
      <x v="3"/>
    </i>
    <i>
      <x v="71"/>
      <x v="1443"/>
      <x v="9"/>
      <x v="3"/>
    </i>
    <i>
      <x v="545"/>
      <x v="10"/>
      <x v="44"/>
      <x v="3"/>
    </i>
    <i>
      <x v="2754"/>
      <x v="2710"/>
      <x v="59"/>
      <x v="9"/>
    </i>
    <i>
      <x v="2031"/>
      <x v="2027"/>
      <x v="4"/>
      <x v="2"/>
    </i>
    <i>
      <x v="1807"/>
      <x v="1803"/>
      <x v="40"/>
      <x v="2"/>
    </i>
    <i>
      <x v="466"/>
      <x v="2671"/>
      <x v="49"/>
      <x v="3"/>
    </i>
    <i>
      <x v="1600"/>
      <x v="1597"/>
      <x v="50"/>
      <x v="3"/>
    </i>
    <i>
      <x v="1505"/>
      <x v="1041"/>
      <x v="87"/>
      <x v="3"/>
    </i>
    <i>
      <x v="1939"/>
      <x v="1934"/>
      <x v="35"/>
      <x v="2"/>
    </i>
    <i>
      <x v="289"/>
      <x v="1023"/>
      <x v="55"/>
      <x v="8"/>
    </i>
    <i>
      <x v="1223"/>
      <x v="2826"/>
      <x v="40"/>
      <x v="2"/>
    </i>
    <i>
      <x v="1501"/>
      <x v="1035"/>
      <x v="87"/>
      <x v="3"/>
    </i>
    <i>
      <x v="233"/>
      <x v="2362"/>
      <x v="1"/>
      <x v="2"/>
    </i>
    <i>
      <x v="1973"/>
      <x v="1965"/>
      <x v="40"/>
      <x v="2"/>
    </i>
    <i>
      <x v="519"/>
      <x v="1358"/>
      <x v="55"/>
      <x v="7"/>
    </i>
    <i>
      <x v="1027"/>
      <x v="1104"/>
      <x/>
      <x v="9"/>
    </i>
    <i>
      <x v="1075"/>
      <x v="1360"/>
      <x v="55"/>
      <x v="7"/>
    </i>
    <i>
      <x v="1439"/>
      <x v="1241"/>
      <x v="18"/>
      <x v="2"/>
    </i>
    <i>
      <x v="2742"/>
      <x v="2698"/>
      <x v="41"/>
      <x v="3"/>
    </i>
    <i>
      <x v="2090"/>
      <x v="2086"/>
      <x v="40"/>
      <x v="2"/>
    </i>
    <i>
      <x v="781"/>
      <x v="944"/>
      <x v="23"/>
      <x v="10"/>
    </i>
    <i>
      <x v="2735"/>
      <x v="2691"/>
      <x v="44"/>
      <x v="3"/>
    </i>
    <i>
      <x v="776"/>
      <x v="862"/>
      <x v="23"/>
      <x v="10"/>
    </i>
    <i>
      <x v="2589"/>
      <x v="2541"/>
      <x v="40"/>
      <x v="2"/>
    </i>
    <i>
      <x v="1635"/>
      <x v="1633"/>
      <x v="40"/>
      <x v="2"/>
    </i>
    <i>
      <x v="2397"/>
      <x v="2363"/>
      <x v="35"/>
      <x v="2"/>
    </i>
    <i>
      <x v="2321"/>
      <x v="2290"/>
      <x v="40"/>
      <x v="2"/>
    </i>
    <i>
      <x v="307"/>
      <x v="1137"/>
      <x v="1"/>
      <x v="2"/>
    </i>
    <i>
      <x v="1059"/>
      <x v="592"/>
      <x v="24"/>
      <x v="10"/>
    </i>
    <i>
      <x v="2025"/>
      <x v="2021"/>
      <x v="40"/>
      <x v="2"/>
    </i>
    <i>
      <x v="779"/>
      <x v="942"/>
      <x v="23"/>
      <x v="10"/>
    </i>
    <i>
      <x v="2471"/>
      <x v="2432"/>
      <x v="47"/>
      <x v="2"/>
    </i>
    <i>
      <x v="2169"/>
      <x v="2159"/>
      <x v="40"/>
      <x v="2"/>
    </i>
    <i>
      <x v="2435"/>
      <x v="2398"/>
      <x v="40"/>
      <x v="2"/>
    </i>
    <i>
      <x v="47"/>
      <x v="602"/>
      <x v="42"/>
      <x v="3"/>
    </i>
    <i>
      <x v="272"/>
      <x v="198"/>
      <x v="47"/>
      <x v="2"/>
    </i>
    <i>
      <x v="2797"/>
      <x v="2764"/>
      <x v="7"/>
      <x v="2"/>
    </i>
    <i>
      <x v="2670"/>
      <x v="2617"/>
      <x v="40"/>
      <x v="2"/>
    </i>
    <i>
      <x v="184"/>
      <x v="315"/>
      <x v="40"/>
      <x v="2"/>
    </i>
    <i>
      <x v="1105"/>
      <x v="1270"/>
      <x/>
      <x v="9"/>
    </i>
    <i>
      <x v="1118"/>
      <x v="524"/>
      <x/>
      <x v="9"/>
    </i>
    <i>
      <x v="2528"/>
      <x v="2481"/>
      <x v="40"/>
      <x v="2"/>
    </i>
    <i>
      <x v="441"/>
      <x v="498"/>
      <x v="56"/>
      <x v="5"/>
    </i>
    <i>
      <x v="1790"/>
      <x v="1786"/>
      <x v="40"/>
      <x v="2"/>
    </i>
    <i>
      <x v="350"/>
      <x v="973"/>
      <x/>
      <x v="9"/>
    </i>
    <i>
      <x v="2656"/>
      <x v="2607"/>
      <x v="47"/>
      <x v="2"/>
    </i>
    <i>
      <x v="396"/>
      <x v="398"/>
      <x v="55"/>
      <x v="8"/>
    </i>
    <i>
      <x v="534"/>
      <x v="990"/>
      <x/>
      <x v="9"/>
    </i>
    <i>
      <x v="2382"/>
      <x v="2348"/>
      <x v="40"/>
      <x v="2"/>
    </i>
    <i>
      <x v="1419"/>
      <x v="2875"/>
      <x v="4"/>
      <x v="2"/>
    </i>
    <i>
      <x v="1497"/>
      <x v="649"/>
      <x v="87"/>
      <x v="3"/>
    </i>
    <i>
      <x v="877"/>
      <x v="1205"/>
      <x v="24"/>
      <x v="6"/>
    </i>
    <i>
      <x v="2258"/>
      <x v="507"/>
      <x v="40"/>
      <x v="2"/>
    </i>
    <i>
      <x v="2858"/>
      <x v="2834"/>
      <x v="47"/>
      <x v="2"/>
    </i>
    <i>
      <x v="1432"/>
      <x v="682"/>
      <x v="16"/>
      <x v="2"/>
    </i>
    <i>
      <x v="2361"/>
      <x v="2327"/>
      <x v="40"/>
      <x v="2"/>
    </i>
    <i>
      <x v="440"/>
      <x v="654"/>
      <x v="55"/>
      <x v="8"/>
    </i>
    <i>
      <x v="2743"/>
      <x v="2699"/>
      <x v="41"/>
      <x v="3"/>
    </i>
    <i>
      <x v="1057"/>
      <x v="590"/>
      <x v="24"/>
      <x v="10"/>
    </i>
    <i>
      <x v="2285"/>
      <x v="2261"/>
      <x v="40"/>
      <x v="2"/>
    </i>
    <i>
      <x v="1168"/>
      <x v="75"/>
      <x v="40"/>
      <x v="2"/>
    </i>
    <i>
      <x v="854"/>
      <x v="855"/>
      <x v="23"/>
      <x v="10"/>
    </i>
    <i>
      <x v="393"/>
      <x v="380"/>
      <x v="55"/>
      <x v="4"/>
    </i>
    <i>
      <x v="989"/>
      <x v="1247"/>
      <x v="12"/>
      <x v="3"/>
    </i>
    <i>
      <x v="1912"/>
      <x v="1907"/>
      <x v="7"/>
      <x v="2"/>
    </i>
    <i>
      <x v="2379"/>
      <x v="2345"/>
      <x v="40"/>
      <x v="2"/>
    </i>
    <i>
      <x v="533"/>
      <x v="989"/>
      <x/>
      <x v="9"/>
    </i>
    <i>
      <x v="395"/>
      <x v="389"/>
      <x v="55"/>
      <x v="8"/>
    </i>
    <i>
      <x v="1521"/>
      <x v="1519"/>
      <x v="59"/>
      <x v="9"/>
    </i>
    <i>
      <x v="1348"/>
      <x v="263"/>
      <x v="40"/>
      <x v="2"/>
    </i>
    <i>
      <x v="2605"/>
      <x v="2559"/>
      <x v="40"/>
      <x v="2"/>
    </i>
    <i>
      <x v="1938"/>
      <x v="1933"/>
      <x v="35"/>
      <x v="2"/>
    </i>
    <i>
      <x v="2871"/>
      <x v="2857"/>
      <x v="40"/>
      <x v="2"/>
    </i>
    <i>
      <x v="778"/>
      <x v="873"/>
      <x v="23"/>
      <x v="10"/>
    </i>
    <i>
      <x v="295"/>
      <x v="980"/>
      <x/>
      <x v="9"/>
    </i>
    <i>
      <x v="57"/>
      <x v="1504"/>
      <x v="44"/>
      <x v="3"/>
    </i>
    <i>
      <x v="2535"/>
      <x v="2489"/>
      <x v="40"/>
      <x v="2"/>
    </i>
    <i>
      <x v="820"/>
      <x v="924"/>
      <x v="23"/>
      <x v="10"/>
    </i>
    <i>
      <x v="1827"/>
      <x v="1823"/>
      <x v="47"/>
      <x v="2"/>
    </i>
    <i>
      <x v="2280"/>
      <x v="2256"/>
      <x v="40"/>
      <x v="2"/>
    </i>
    <i>
      <x v="1520"/>
      <x v="1517"/>
      <x v="59"/>
      <x v="9"/>
    </i>
    <i>
      <x v="1490"/>
      <x v="1332"/>
      <x v="88"/>
      <x v="3"/>
    </i>
    <i>
      <x v="581"/>
      <x v="1081"/>
      <x v="50"/>
      <x v="3"/>
    </i>
    <i>
      <x v="981"/>
      <x v="1248"/>
      <x v="84"/>
      <x v="3"/>
    </i>
    <i>
      <x v="2914"/>
      <x v="2907"/>
      <x v="87"/>
      <x v="3"/>
    </i>
    <i>
      <x v="46"/>
      <x v="451"/>
      <x v="39"/>
      <x v="3"/>
    </i>
    <i>
      <x v="1945"/>
      <x v="1897"/>
      <x v="35"/>
      <x v="2"/>
    </i>
    <i>
      <x v="2114"/>
      <x v="2109"/>
      <x v="47"/>
      <x v="2"/>
    </i>
    <i>
      <x v="2174"/>
      <x v="2164"/>
      <x v="40"/>
      <x v="2"/>
    </i>
    <i>
      <x v="430"/>
      <x v="544"/>
      <x v="56"/>
      <x v="5"/>
    </i>
    <i>
      <x v="1502"/>
      <x v="1043"/>
      <x v="87"/>
      <x v="3"/>
    </i>
    <i>
      <x v="1729"/>
      <x v="1724"/>
      <x v="40"/>
      <x v="2"/>
    </i>
    <i>
      <x v="171"/>
      <x v="2081"/>
      <x v="11"/>
      <x v="2"/>
    </i>
    <i>
      <x v="1717"/>
      <x v="1712"/>
      <x v="35"/>
      <x v="2"/>
    </i>
    <i>
      <x v="2172"/>
      <x v="2162"/>
      <x v="47"/>
      <x v="2"/>
    </i>
    <i>
      <x v="1851"/>
      <x v="1847"/>
      <x v="40"/>
      <x v="2"/>
    </i>
    <i>
      <x v="31"/>
      <x v="1278"/>
      <x/>
      <x v="9"/>
    </i>
    <i>
      <x v="605"/>
      <x v="1295"/>
      <x/>
      <x v="9"/>
    </i>
    <i>
      <x v="387"/>
      <x v="1344"/>
      <x v="56"/>
      <x v="5"/>
    </i>
    <i>
      <x v="2704"/>
      <x v="2654"/>
      <x v="55"/>
      <x v="4"/>
    </i>
    <i>
      <x v="2189"/>
      <x v="2177"/>
      <x v="40"/>
      <x v="2"/>
    </i>
    <i>
      <x v="2822"/>
      <x v="2789"/>
      <x v="66"/>
      <x v="3"/>
    </i>
    <i>
      <x v="1671"/>
      <x v="1668"/>
      <x v="71"/>
      <x v="2"/>
    </i>
    <i>
      <x v="1810"/>
      <x v="1806"/>
      <x v="40"/>
      <x v="2"/>
    </i>
    <i>
      <x v="758"/>
      <x v="834"/>
      <x v="23"/>
      <x v="10"/>
    </i>
    <i>
      <x v="2132"/>
      <x v="2123"/>
      <x v="40"/>
      <x v="2"/>
    </i>
    <i>
      <x v="429"/>
      <x v="1311"/>
      <x v="56"/>
      <x v="5"/>
    </i>
    <i>
      <x v="1899"/>
      <x v="1895"/>
      <x v="35"/>
      <x v="2"/>
    </i>
    <i>
      <x v="2355"/>
      <x v="2322"/>
      <x v="40"/>
      <x v="2"/>
    </i>
    <i>
      <x v="2474"/>
      <x v="2435"/>
      <x v="40"/>
      <x v="2"/>
    </i>
    <i>
      <x v="2171"/>
      <x v="2161"/>
      <x v="40"/>
      <x v="2"/>
    </i>
    <i>
      <x v="2820"/>
      <x v="2787"/>
      <x v="80"/>
      <x v="3"/>
    </i>
    <i>
      <x v="1242"/>
      <x v="172"/>
      <x v="40"/>
      <x v="2"/>
    </i>
    <i>
      <x v="2573"/>
      <x v="2526"/>
      <x v="40"/>
      <x v="2"/>
    </i>
    <i>
      <x v="2488"/>
      <x v="200"/>
      <x v="47"/>
      <x v="2"/>
    </i>
    <i>
      <x v="2806"/>
      <x v="2772"/>
      <x v="8"/>
      <x v="3"/>
    </i>
    <i>
      <x v="2759"/>
      <x v="2715"/>
      <x v="59"/>
      <x v="9"/>
    </i>
    <i>
      <x v="1584"/>
      <x v="1582"/>
      <x v="66"/>
      <x v="3"/>
    </i>
    <i>
      <x v="677"/>
      <x v="1204"/>
      <x v="24"/>
      <x v="6"/>
    </i>
    <i>
      <x v="2390"/>
      <x v="2355"/>
      <x v="30"/>
      <x v="2"/>
    </i>
    <i>
      <x v="2829"/>
      <x v="2797"/>
      <x v="59"/>
      <x v="9"/>
    </i>
    <i>
      <x v="35"/>
      <x v="580"/>
      <x v="24"/>
      <x v="10"/>
    </i>
    <i>
      <x v="1446"/>
      <x v="1166"/>
      <x v="66"/>
      <x v="3"/>
    </i>
    <i>
      <x v="805"/>
      <x v="876"/>
      <x v="23"/>
      <x v="10"/>
    </i>
    <i>
      <x v="2893"/>
      <x v="2888"/>
      <x v="4"/>
      <x v="2"/>
    </i>
    <i>
      <x v="416"/>
      <x v="1185"/>
      <x v="56"/>
      <x v="5"/>
    </i>
    <i>
      <x v="2744"/>
      <x v="2700"/>
      <x v="41"/>
      <x v="3"/>
    </i>
    <i>
      <x v="2632"/>
      <x v="2585"/>
      <x v="40"/>
      <x v="2"/>
    </i>
    <i>
      <x v="297"/>
      <x v="982"/>
      <x/>
      <x v="9"/>
    </i>
    <i>
      <x v="1930"/>
      <x v="1926"/>
      <x v="35"/>
      <x v="2"/>
    </i>
    <i>
      <x v="1964"/>
      <x v="1956"/>
      <x v="40"/>
      <x v="2"/>
    </i>
    <i>
      <x v="204"/>
      <x v="2254"/>
      <x v="40"/>
      <x v="2"/>
    </i>
    <i>
      <x v="191"/>
      <x v="2146"/>
      <x v="40"/>
      <x v="2"/>
    </i>
    <i>
      <x v="8"/>
      <x v="1144"/>
      <x/>
      <x v="9"/>
    </i>
    <i>
      <x v="413"/>
      <x v="406"/>
      <x v="55"/>
      <x v="8"/>
    </i>
    <i>
      <x v="709"/>
      <x v="927"/>
      <x v="23"/>
      <x v="10"/>
    </i>
    <i>
      <x v="1720"/>
      <x v="1715"/>
      <x v="40"/>
      <x v="2"/>
    </i>
    <i>
      <x v="906"/>
      <x v="854"/>
      <x v="23"/>
      <x v="10"/>
    </i>
    <i>
      <x v="867"/>
      <x v="1468"/>
      <x v="24"/>
      <x v="8"/>
    </i>
    <i>
      <x v="22"/>
      <x v="676"/>
      <x/>
      <x v="9"/>
    </i>
    <i>
      <x v="89"/>
      <x v="36"/>
      <x v="35"/>
      <x v="2"/>
    </i>
    <i>
      <x v="1850"/>
      <x v="1846"/>
      <x v="47"/>
      <x v="2"/>
    </i>
    <i>
      <x v="2485"/>
      <x v="1410"/>
      <x v="47"/>
      <x v="2"/>
    </i>
    <i>
      <x v="1331"/>
      <x v="558"/>
      <x v="40"/>
      <x v="2"/>
    </i>
    <i>
      <x v="2768"/>
      <x v="2725"/>
      <x v="24"/>
      <x v="10"/>
    </i>
    <i>
      <x v="2918"/>
      <x v="1336"/>
      <x v="88"/>
      <x v="3"/>
    </i>
    <i>
      <x v="2772"/>
      <x v="2730"/>
      <x v="24"/>
      <x v="8"/>
    </i>
    <i>
      <x v="17"/>
      <x v="227"/>
      <x/>
      <x v="9"/>
    </i>
    <i>
      <x v="2520"/>
      <x v="2472"/>
      <x v="40"/>
      <x v="2"/>
    </i>
    <i>
      <x v="2773"/>
      <x v="2733"/>
      <x v="24"/>
      <x v="6"/>
    </i>
    <i>
      <x v="1684"/>
      <x v="1681"/>
      <x v="40"/>
      <x v="2"/>
    </i>
    <i>
      <x v="744"/>
      <x v="848"/>
      <x v="23"/>
      <x v="10"/>
    </i>
    <i>
      <x v="861"/>
      <x v="903"/>
      <x v="23"/>
      <x v="10"/>
    </i>
    <i>
      <x v="1834"/>
      <x v="1830"/>
      <x v="40"/>
      <x v="2"/>
    </i>
    <i>
      <x v="1388"/>
      <x v="597"/>
      <x v="40"/>
      <x v="2"/>
    </i>
    <i>
      <x v="1329"/>
      <x v="2845"/>
      <x v="40"/>
      <x v="2"/>
    </i>
    <i>
      <x v="717"/>
      <x v="45"/>
      <x v="24"/>
      <x v="8"/>
    </i>
    <i>
      <x v="1627"/>
      <x v="1625"/>
      <x v="40"/>
      <x v="2"/>
    </i>
    <i>
      <x v="189"/>
      <x v="2143"/>
      <x v="40"/>
      <x v="2"/>
    </i>
    <i>
      <x v="739"/>
      <x v="947"/>
      <x v="23"/>
      <x v="10"/>
    </i>
    <i>
      <x v="2135"/>
      <x v="2126"/>
      <x v="40"/>
      <x v="2"/>
    </i>
    <i>
      <x v="749"/>
      <x v="872"/>
      <x v="23"/>
      <x v="10"/>
    </i>
    <i>
      <x v="2462"/>
      <x v="2423"/>
      <x v="40"/>
      <x v="2"/>
    </i>
    <i>
      <x v="2040"/>
      <x v="2037"/>
      <x v="35"/>
      <x v="2"/>
    </i>
    <i>
      <x v="511"/>
      <x v="479"/>
      <x v="39"/>
      <x v="3"/>
    </i>
    <i>
      <x v="1613"/>
      <x v="1610"/>
      <x v="47"/>
      <x v="2"/>
    </i>
    <i>
      <x v="775"/>
      <x v="852"/>
      <x v="23"/>
      <x v="10"/>
    </i>
    <i>
      <x v="1527"/>
      <x v="1525"/>
      <x v="60"/>
      <x v="3"/>
    </i>
    <i>
      <x v="2434"/>
      <x v="2397"/>
      <x v="48"/>
      <x v="2"/>
    </i>
    <i>
      <x v="2187"/>
      <x v="2175"/>
      <x v="40"/>
      <x v="2"/>
    </i>
    <i>
      <x v="2337"/>
      <x v="2305"/>
      <x v="40"/>
      <x v="2"/>
    </i>
    <i>
      <x v="1618"/>
      <x v="1616"/>
      <x v="47"/>
      <x v="2"/>
    </i>
    <i>
      <x v="446"/>
      <x v="133"/>
      <x v="8"/>
      <x v="3"/>
    </i>
    <i>
      <x v="566"/>
      <x v="12"/>
      <x v="42"/>
      <x v="3"/>
    </i>
    <i>
      <x v="2457"/>
      <x v="2419"/>
      <x v="40"/>
      <x v="2"/>
    </i>
    <i>
      <x v="1674"/>
      <x v="1671"/>
      <x v="47"/>
      <x v="2"/>
    </i>
    <i>
      <x v="1962"/>
      <x v="1954"/>
      <x v="40"/>
      <x v="2"/>
    </i>
    <i>
      <x v="2134"/>
      <x v="2125"/>
      <x v="40"/>
      <x v="2"/>
    </i>
    <i>
      <x v="1494"/>
      <x v="574"/>
      <x v="2"/>
      <x v="3"/>
    </i>
    <i>
      <x v="2859"/>
      <x v="2835"/>
      <x v="47"/>
      <x v="2"/>
    </i>
    <i>
      <x v="1556"/>
      <x v="1554"/>
      <x v="44"/>
      <x v="3"/>
    </i>
    <i>
      <x v="1977"/>
      <x v="1970"/>
      <x v="40"/>
      <x v="2"/>
    </i>
    <i>
      <x v="2784"/>
      <x v="2749"/>
      <x v="24"/>
      <x v="8"/>
    </i>
    <i>
      <x v="145"/>
      <x v="1417"/>
      <x v="40"/>
      <x v="2"/>
    </i>
    <i>
      <x v="506"/>
      <x v="1008"/>
      <x v="49"/>
      <x v="3"/>
    </i>
    <i>
      <x v="2061"/>
      <x v="2057"/>
      <x v="73"/>
      <x v="2"/>
    </i>
    <i>
      <x v="1449"/>
      <x v="1167"/>
      <x v="66"/>
      <x v="3"/>
    </i>
    <i>
      <x v="1944"/>
      <x v="1939"/>
      <x v="35"/>
      <x v="2"/>
    </i>
    <i>
      <x v="1681"/>
      <x v="1678"/>
      <x v="47"/>
      <x v="2"/>
    </i>
    <i>
      <x v="2787"/>
      <x v="2754"/>
      <x v="23"/>
      <x v="10"/>
    </i>
    <i>
      <x v="2788"/>
      <x v="2755"/>
      <x v="23"/>
      <x v="10"/>
    </i>
    <i>
      <x v="2733"/>
      <x v="2689"/>
      <x v="44"/>
      <x v="3"/>
    </i>
    <i>
      <x v="2549"/>
      <x v="2503"/>
      <x v="40"/>
      <x v="2"/>
    </i>
    <i>
      <x v="2702"/>
      <x v="2652"/>
      <x v="56"/>
      <x v="5"/>
    </i>
    <i>
      <x v="2063"/>
      <x v="2059"/>
      <x v="7"/>
      <x v="2"/>
    </i>
    <i>
      <x v="2266"/>
      <x v="2245"/>
      <x v="40"/>
      <x v="2"/>
    </i>
    <i>
      <x v="726"/>
      <x v="914"/>
      <x v="23"/>
      <x v="10"/>
    </i>
    <i>
      <x v="708"/>
      <x v="928"/>
      <x v="23"/>
      <x v="10"/>
    </i>
    <i>
      <x v="1340"/>
      <x v="255"/>
      <x v="40"/>
      <x v="2"/>
    </i>
    <i>
      <x v="607"/>
      <x v="1482"/>
      <x/>
      <x v="9"/>
    </i>
    <i>
      <x v="2027"/>
      <x v="2023"/>
      <x v="35"/>
      <x v="2"/>
    </i>
    <i>
      <x v="2551"/>
      <x v="2505"/>
      <x v="40"/>
      <x v="2"/>
    </i>
    <i>
      <x v="2310"/>
      <x v="1409"/>
      <x v="40"/>
      <x v="2"/>
    </i>
    <i>
      <x v="2147"/>
      <x v="2138"/>
      <x v="47"/>
      <x v="2"/>
    </i>
    <i>
      <x v="1588"/>
      <x v="1585"/>
      <x v="39"/>
      <x v="3"/>
    </i>
    <i>
      <x v="762"/>
      <x v="845"/>
      <x v="23"/>
      <x v="10"/>
    </i>
    <i>
      <x v="1401"/>
      <x v="1142"/>
      <x v="40"/>
      <x v="2"/>
    </i>
    <i>
      <x v="2781"/>
      <x v="2744"/>
      <x v="24"/>
      <x v="10"/>
    </i>
    <i>
      <x v="1610"/>
      <x v="1607"/>
      <x v="69"/>
      <x v="1"/>
    </i>
    <i>
      <x v="1685"/>
      <x v="1682"/>
      <x v="40"/>
      <x v="2"/>
    </i>
    <i>
      <x v="2873"/>
      <x v="2862"/>
      <x v="40"/>
      <x v="2"/>
    </i>
    <i>
      <x v="2809"/>
      <x v="2775"/>
      <x v="5"/>
      <x v="3"/>
    </i>
    <i>
      <x v="2487"/>
      <x v="2443"/>
      <x v="47"/>
      <x v="2"/>
    </i>
    <i>
      <x v="58"/>
      <x v="1507"/>
      <x v="53"/>
      <x v="3"/>
    </i>
    <i>
      <x v="1593"/>
      <x v="1590"/>
      <x v="44"/>
      <x v="3"/>
    </i>
    <i>
      <x v="641"/>
      <x v="1177"/>
      <x v="28"/>
      <x v="3"/>
    </i>
    <i>
      <x v="2923"/>
      <x v="2914"/>
      <x v="40"/>
      <x v="2"/>
    </i>
    <i>
      <x v="2419"/>
      <x v="2385"/>
      <x v="40"/>
      <x v="2"/>
    </i>
    <i>
      <x v="2574"/>
      <x v="2527"/>
      <x v="40"/>
      <x v="2"/>
    </i>
    <i>
      <x v="2696"/>
      <x v="2646"/>
      <x v="59"/>
      <x v="9"/>
    </i>
    <i>
      <x v="714"/>
      <x v="886"/>
      <x v="23"/>
      <x v="10"/>
    </i>
    <i>
      <x v="856"/>
      <x v="882"/>
      <x v="23"/>
      <x v="10"/>
    </i>
    <i>
      <x v="2056"/>
      <x v="2052"/>
      <x v="40"/>
      <x v="2"/>
    </i>
    <i>
      <x v="1687"/>
      <x v="1684"/>
      <x v="47"/>
      <x v="2"/>
    </i>
    <i>
      <x v="293"/>
      <x v="1470"/>
      <x v="55"/>
      <x v="8"/>
    </i>
    <i>
      <x v="990"/>
      <x v="1246"/>
      <x v="67"/>
      <x v="3"/>
    </i>
    <i>
      <x v="2458"/>
      <x v="2420"/>
      <x v="40"/>
      <x v="2"/>
    </i>
    <i>
      <x v="408"/>
      <x v="1493"/>
      <x v="55"/>
      <x v="7"/>
    </i>
    <i>
      <x v="2808"/>
      <x v="2774"/>
      <x v="67"/>
      <x v="3"/>
    </i>
    <i>
      <x v="2204"/>
      <x v="2189"/>
      <x v="40"/>
      <x v="2"/>
    </i>
    <i>
      <x v="500"/>
      <x v="1051"/>
      <x v="49"/>
      <x v="3"/>
    </i>
    <i>
      <x v="1934"/>
      <x v="1929"/>
      <x v="1"/>
      <x v="2"/>
    </i>
    <i>
      <x v="2444"/>
      <x v="2407"/>
      <x v="40"/>
      <x v="2"/>
    </i>
    <i>
      <x v="864"/>
      <x v="951"/>
      <x v="23"/>
      <x v="10"/>
    </i>
    <i>
      <x v="2095"/>
      <x v="2092"/>
      <x v="40"/>
      <x v="2"/>
    </i>
    <i>
      <x v="604"/>
      <x v="1298"/>
      <x/>
      <x v="9"/>
    </i>
    <i>
      <x v="2689"/>
      <x v="2639"/>
      <x v="47"/>
      <x v="2"/>
    </i>
    <i>
      <x v="894"/>
      <x v="796"/>
      <x v="23"/>
      <x v="10"/>
    </i>
    <i>
      <x v="2384"/>
      <x v="2349"/>
      <x v="40"/>
      <x v="2"/>
    </i>
    <i>
      <x v="893"/>
      <x v="795"/>
      <x v="23"/>
      <x v="10"/>
    </i>
    <i>
      <x v="1507"/>
      <x v="1040"/>
      <x v="87"/>
      <x v="3"/>
    </i>
    <i>
      <x v="1794"/>
      <x v="1790"/>
      <x v="48"/>
      <x v="2"/>
    </i>
    <i>
      <x v="597"/>
      <x v="732"/>
      <x/>
      <x v="9"/>
    </i>
    <i>
      <x v="176"/>
      <x v="203"/>
      <x v="47"/>
      <x v="2"/>
    </i>
    <i>
      <x v="2470"/>
      <x v="2431"/>
      <x v="47"/>
      <x v="2"/>
    </i>
    <i>
      <x v="984"/>
      <x v="1005"/>
      <x/>
      <x v="9"/>
    </i>
    <i>
      <x v="2500"/>
      <x v="2452"/>
      <x v="40"/>
      <x v="2"/>
    </i>
    <i>
      <x v="2176"/>
      <x v="2166"/>
      <x v="40"/>
      <x v="2"/>
    </i>
    <i>
      <x v="735"/>
      <x v="2739"/>
      <x v="23"/>
      <x v="10"/>
    </i>
    <i>
      <x v="2211"/>
      <x v="2194"/>
      <x v="40"/>
      <x v="2"/>
    </i>
    <i>
      <x v="465"/>
      <x v="112"/>
      <x/>
      <x v="3"/>
    </i>
    <i>
      <x v="2919"/>
      <x v="2910"/>
      <x v="87"/>
      <x v="3"/>
    </i>
    <i>
      <x v="1670"/>
      <x v="1667"/>
      <x v="40"/>
      <x v="2"/>
    </i>
    <i>
      <x v="1570"/>
      <x v="1568"/>
      <x v="44"/>
      <x v="3"/>
    </i>
    <i>
      <x v="156"/>
      <x v="1147"/>
      <x v="40"/>
      <x v="2"/>
    </i>
    <i>
      <x v="780"/>
      <x v="943"/>
      <x v="23"/>
      <x v="10"/>
    </i>
    <i>
      <x v="2432"/>
      <x v="2395"/>
      <x v="47"/>
      <x v="2"/>
    </i>
    <i>
      <x v="2843"/>
      <x v="2815"/>
      <x v="40"/>
      <x v="2"/>
    </i>
    <i>
      <x v="702"/>
      <x v="805"/>
      <x v="23"/>
      <x v="10"/>
    </i>
    <i>
      <x v="286"/>
      <x v="504"/>
      <x v="56"/>
      <x v="5"/>
    </i>
    <i>
      <x v="2032"/>
      <x v="2028"/>
      <x v="47"/>
      <x v="2"/>
    </i>
    <i>
      <x v="2510"/>
      <x v="2461"/>
      <x v="51"/>
      <x v="2"/>
    </i>
    <i>
      <x v="1630"/>
      <x v="1628"/>
      <x v="35"/>
      <x v="2"/>
    </i>
    <i>
      <x v="433"/>
      <x v="1315"/>
      <x v="56"/>
      <x v="5"/>
    </i>
    <i>
      <x v="2771"/>
      <x v="2729"/>
      <x v="24"/>
      <x v="10"/>
    </i>
    <i>
      <x v="247"/>
      <x v="2480"/>
      <x v="40"/>
      <x v="2"/>
    </i>
    <i>
      <x v="725"/>
      <x v="915"/>
      <x v="23"/>
      <x v="10"/>
    </i>
    <i>
      <x v="1363"/>
      <x v="1407"/>
      <x v="40"/>
      <x v="2"/>
    </i>
    <i>
      <x v="799"/>
      <x v="895"/>
      <x v="23"/>
      <x v="10"/>
    </i>
    <i>
      <x v="767"/>
      <x v="844"/>
      <x v="23"/>
      <x v="10"/>
    </i>
    <i>
      <x v="1345"/>
      <x v="2849"/>
      <x v="40"/>
      <x v="2"/>
    </i>
    <i>
      <x v="610"/>
      <x v="1055"/>
      <x/>
      <x v="9"/>
    </i>
    <i>
      <x v="1669"/>
      <x v="1666"/>
      <x v="35"/>
      <x v="2"/>
    </i>
    <i>
      <x v="747"/>
      <x v="827"/>
      <x v="23"/>
      <x v="10"/>
    </i>
    <i>
      <x v="842"/>
      <x v="779"/>
      <x v="23"/>
      <x v="10"/>
    </i>
    <i>
      <x v="2835"/>
      <x v="2804"/>
      <x v="80"/>
      <x v="3"/>
    </i>
    <i>
      <x v="846"/>
      <x v="841"/>
      <x v="23"/>
      <x v="10"/>
    </i>
    <i>
      <x v="2186"/>
      <x v="637"/>
      <x v="47"/>
      <x v="2"/>
    </i>
    <i>
      <x v="339"/>
      <x v="680"/>
      <x/>
      <x v="9"/>
    </i>
    <i>
      <x v="1301"/>
      <x v="223"/>
      <x v="40"/>
      <x v="2"/>
    </i>
    <i>
      <x v="743"/>
      <x v="849"/>
      <x v="23"/>
      <x v="10"/>
    </i>
    <i>
      <x v="2751"/>
      <x v="2707"/>
      <x v="59"/>
      <x v="9"/>
    </i>
    <i>
      <x v="2181"/>
      <x v="284"/>
      <x v="40"/>
      <x v="2"/>
    </i>
    <i>
      <x v="713"/>
      <x v="887"/>
      <x v="23"/>
      <x v="10"/>
    </i>
    <i>
      <x v="815"/>
      <x v="799"/>
      <x v="23"/>
      <x v="10"/>
    </i>
    <i>
      <x v="1044"/>
      <x v="470"/>
      <x v="80"/>
      <x v="3"/>
    </i>
    <i>
      <x v="1667"/>
      <x v="1664"/>
      <x v="40"/>
      <x v="2"/>
    </i>
    <i>
      <x v="248"/>
      <x v="276"/>
      <x v="40"/>
      <x v="2"/>
    </i>
    <i>
      <x v="616"/>
      <x v="417"/>
      <x/>
      <x v="9"/>
    </i>
    <i>
      <x v="790"/>
      <x v="773"/>
      <x v="24"/>
      <x v="10"/>
    </i>
    <i>
      <x v="2278"/>
      <x v="2253"/>
      <x v="40"/>
      <x v="2"/>
    </i>
    <i>
      <x v="2091"/>
      <x v="2087"/>
      <x v="47"/>
      <x v="2"/>
    </i>
    <i>
      <x v="763"/>
      <x v="847"/>
      <x v="23"/>
      <x v="10"/>
    </i>
    <i>
      <x v="294"/>
      <x v="1281"/>
      <x v="55"/>
      <x v="8"/>
    </i>
    <i>
      <x v="1955"/>
      <x v="1947"/>
      <x v="40"/>
      <x v="2"/>
    </i>
    <i>
      <x v="2677"/>
      <x v="2625"/>
      <x v="47"/>
      <x v="2"/>
    </i>
    <i>
      <x v="1731"/>
      <x v="1726"/>
      <x v="35"/>
      <x v="2"/>
    </i>
    <i>
      <x v="2709"/>
      <x v="2659"/>
      <x v="56"/>
      <x v="5"/>
    </i>
    <i>
      <x v="689"/>
      <x v="817"/>
      <x v="23"/>
      <x v="10"/>
    </i>
    <i>
      <x v="1796"/>
      <x v="1792"/>
      <x v="47"/>
      <x v="2"/>
    </i>
    <i>
      <x v="1800"/>
      <x v="1796"/>
      <x v="47"/>
      <x v="2"/>
    </i>
    <i>
      <x v="495"/>
      <x v="1129"/>
      <x v="49"/>
      <x v="3"/>
    </i>
    <i>
      <x v="1585"/>
      <x v="550"/>
      <x v="44"/>
      <x v="3"/>
    </i>
    <i>
      <x v="2217"/>
      <x v="975"/>
      <x v="40"/>
      <x v="2"/>
    </i>
    <i>
      <x v="2332"/>
      <x v="2299"/>
      <x v="40"/>
      <x v="2"/>
    </i>
    <i>
      <x v="84"/>
      <x v="1497"/>
      <x/>
      <x v="3"/>
    </i>
    <i>
      <x v="832"/>
      <x v="996"/>
      <x v="24"/>
      <x v="5"/>
    </i>
    <i>
      <x v="857"/>
      <x v="881"/>
      <x v="23"/>
      <x v="10"/>
    </i>
    <i>
      <x v="2153"/>
      <x v="686"/>
      <x v="40"/>
      <x v="2"/>
    </i>
    <i>
      <x v="2548"/>
      <x v="2502"/>
      <x v="40"/>
      <x v="2"/>
    </i>
    <i>
      <x v="1067"/>
      <x v="1277"/>
      <x v="24"/>
      <x v="8"/>
    </i>
    <i>
      <x v="205"/>
      <x v="1290"/>
      <x v="47"/>
      <x v="2"/>
    </i>
    <i>
      <x v="2580"/>
      <x v="2533"/>
      <x v="40"/>
      <x v="2"/>
    </i>
    <i>
      <x v="544"/>
      <x v="485"/>
      <x v="39"/>
      <x v="3"/>
    </i>
    <i>
      <x v="259"/>
      <x v="259"/>
      <x v="40"/>
      <x v="2"/>
    </i>
    <i>
      <x v="1792"/>
      <x v="1788"/>
      <x v="40"/>
      <x v="2"/>
    </i>
    <i>
      <x v="1953"/>
      <x v="1945"/>
      <x v="70"/>
      <x v="2"/>
    </i>
    <i>
      <x v="2038"/>
      <x v="2034"/>
      <x v="35"/>
      <x v="2"/>
    </i>
    <i>
      <x v="73"/>
      <x v="298"/>
      <x v="41"/>
      <x v="3"/>
    </i>
    <i>
      <x v="1581"/>
      <x v="1579"/>
      <x/>
      <x v="3"/>
    </i>
    <i>
      <x v="2753"/>
      <x v="2709"/>
      <x v="59"/>
      <x v="9"/>
    </i>
    <i>
      <x v="554"/>
      <x v="345"/>
      <x v="41"/>
      <x v="3"/>
    </i>
    <i>
      <x v="1504"/>
      <x v="1062"/>
      <x v="87"/>
      <x v="3"/>
    </i>
    <i>
      <x v="1935"/>
      <x v="1930"/>
      <x v="1"/>
      <x v="2"/>
    </i>
    <i>
      <x v="1697"/>
      <x v="1694"/>
      <x v="40"/>
      <x v="2"/>
    </i>
    <i>
      <x v="283"/>
      <x v="1487"/>
      <x v="23"/>
      <x v="9"/>
    </i>
    <i>
      <x v="1797"/>
      <x v="1793"/>
      <x v="47"/>
      <x v="2"/>
    </i>
    <i>
      <x v="174"/>
      <x v="292"/>
      <x v="40"/>
      <x v="2"/>
    </i>
    <i>
      <x v="801"/>
      <x v="958"/>
      <x v="23"/>
      <x v="10"/>
    </i>
    <i>
      <x v="1791"/>
      <x v="1787"/>
      <x v="35"/>
      <x v="2"/>
    </i>
    <i>
      <x v="1321"/>
      <x v="244"/>
      <x v="40"/>
      <x v="2"/>
    </i>
    <i>
      <x v="54"/>
      <x v="1004"/>
      <x/>
      <x v="3"/>
    </i>
    <i>
      <x v="287"/>
      <x v="650"/>
      <x/>
      <x/>
    </i>
    <i>
      <x v="793"/>
      <x v="764"/>
      <x v="23"/>
      <x v="10"/>
    </i>
    <i>
      <x v="2108"/>
      <x v="2103"/>
      <x v="40"/>
      <x v="2"/>
    </i>
    <i>
      <x v="175"/>
      <x v="67"/>
      <x v="40"/>
      <x v="2"/>
    </i>
    <i>
      <x v="447"/>
      <x v="2668"/>
      <x v="35"/>
      <x v="2"/>
    </i>
    <i>
      <x v="1632"/>
      <x v="1630"/>
      <x v="47"/>
      <x v="2"/>
    </i>
    <i>
      <x v="2360"/>
      <x v="2326"/>
      <x v="40"/>
      <x v="2"/>
    </i>
    <i>
      <x v="2184"/>
      <x v="283"/>
      <x v="40"/>
      <x v="2"/>
    </i>
    <i>
      <x v="306"/>
      <x v="1102"/>
      <x/>
      <x v="9"/>
    </i>
    <i>
      <x v="262"/>
      <x v="2550"/>
      <x v="40"/>
      <x v="2"/>
    </i>
    <i>
      <x v="2218"/>
      <x v="2201"/>
      <x v="40"/>
      <x v="2"/>
    </i>
    <i>
      <x v="50"/>
      <x v="677"/>
      <x v="41"/>
      <x v="3"/>
    </i>
    <i>
      <x v="66"/>
      <x v="1158"/>
      <x v="66"/>
      <x v="3"/>
    </i>
    <i>
      <x v="2862"/>
      <x v="2839"/>
      <x v="4"/>
      <x v="2"/>
    </i>
    <i>
      <x v="362"/>
      <x v="1126"/>
      <x/>
      <x v="9"/>
    </i>
    <i>
      <x v="552"/>
      <x v="1088"/>
      <x v="44"/>
      <x v="3"/>
    </i>
    <i>
      <x v="745"/>
      <x v="878"/>
      <x v="24"/>
      <x v="10"/>
    </i>
    <i>
      <x v="891"/>
      <x v="870"/>
      <x v="23"/>
      <x v="10"/>
    </i>
    <i>
      <x v="837"/>
      <x v="954"/>
      <x v="23"/>
      <x v="10"/>
    </i>
    <i>
      <x v="2023"/>
      <x v="2019"/>
      <x v="40"/>
      <x v="2"/>
    </i>
    <i>
      <x v="2807"/>
      <x v="2773"/>
      <x v="67"/>
      <x v="3"/>
    </i>
    <i>
      <x v="1994"/>
      <x v="1989"/>
      <x v="35"/>
      <x v="2"/>
    </i>
    <i>
      <x v="782"/>
      <x v="945"/>
      <x v="23"/>
      <x v="10"/>
    </i>
    <i>
      <x v="349"/>
      <x v="972"/>
      <x/>
      <x v="9"/>
    </i>
    <i>
      <x v="2431"/>
      <x v="2394"/>
      <x v="40"/>
      <x v="2"/>
    </i>
    <i>
      <x v="2059"/>
      <x v="2055"/>
      <x v="10"/>
      <x v="2"/>
    </i>
    <i>
      <x v="881"/>
      <x v="911"/>
      <x v="23"/>
      <x v="10"/>
    </i>
    <i>
      <x v="1350"/>
      <x v="265"/>
      <x v="40"/>
      <x v="2"/>
    </i>
    <i>
      <x v="2452"/>
      <x v="2414"/>
      <x v="47"/>
      <x v="2"/>
    </i>
    <i>
      <x v="2604"/>
      <x v="2558"/>
      <x v="40"/>
      <x v="2"/>
    </i>
    <i>
      <x v="1951"/>
      <x v="1943"/>
      <x v="35"/>
      <x v="2"/>
    </i>
    <i>
      <x v="360"/>
      <x v="1356"/>
      <x/>
      <x v="9"/>
    </i>
    <i>
      <x v="10"/>
      <x v="1154"/>
      <x/>
      <x v="9"/>
    </i>
    <i>
      <x v="9"/>
      <x v="1402"/>
      <x/>
      <x v="9"/>
    </i>
    <i>
      <x v="2224"/>
      <x v="2206"/>
      <x v="47"/>
      <x v="2"/>
    </i>
    <i>
      <x v="41"/>
      <x v="1388"/>
      <x v="23"/>
      <x v="10"/>
    </i>
    <i>
      <x v="1975"/>
      <x v="1967"/>
      <x v="40"/>
      <x v="2"/>
    </i>
    <i>
      <x v="874"/>
      <x v="626"/>
      <x v="24"/>
      <x v="7"/>
    </i>
    <i>
      <x v="2244"/>
      <x v="2224"/>
      <x v="40"/>
      <x v="2"/>
    </i>
    <i>
      <x v="1883"/>
      <x v="1879"/>
      <x v="7"/>
      <x v="2"/>
    </i>
    <i>
      <x v="2518"/>
      <x v="2470"/>
      <x v="73"/>
      <x v="2"/>
    </i>
    <i>
      <x v="491"/>
      <x v="1472"/>
      <x v="49"/>
      <x v="3"/>
    </i>
    <i>
      <x v="2409"/>
      <x v="2376"/>
      <x v="40"/>
      <x v="2"/>
    </i>
    <i>
      <x v="1015"/>
      <x v="756"/>
      <x/>
      <x v="9"/>
    </i>
    <i>
      <x v="2705"/>
      <x v="2655"/>
      <x v="55"/>
      <x v="7"/>
    </i>
    <i>
      <x v="2359"/>
      <x v="2325"/>
      <x v="40"/>
      <x v="2"/>
    </i>
    <i>
      <x v="930"/>
      <x v="1090"/>
      <x v="7"/>
      <x v="2"/>
    </i>
    <i>
      <x v="2084"/>
      <x v="2078"/>
      <x v="40"/>
      <x v="2"/>
    </i>
    <i>
      <x v="2553"/>
      <x v="2507"/>
      <x v="40"/>
      <x v="2"/>
    </i>
    <i>
      <x v="1315"/>
      <x v="2841"/>
      <x v="40"/>
      <x v="2"/>
    </i>
    <i>
      <x v="1911"/>
      <x v="1906"/>
      <x v="7"/>
      <x v="2"/>
    </i>
    <i>
      <x v="2203"/>
      <x v="2188"/>
      <x v="40"/>
      <x v="2"/>
    </i>
    <i>
      <x v="2259"/>
      <x v="2238"/>
      <x v="47"/>
      <x v="2"/>
    </i>
    <i>
      <x v="2449"/>
      <x v="2412"/>
      <x v="40"/>
      <x v="2"/>
    </i>
    <i>
      <x v="1382"/>
      <x v="620"/>
      <x v="40"/>
      <x v="2"/>
    </i>
    <i>
      <x v="2261"/>
      <x v="2241"/>
      <x v="47"/>
      <x v="2"/>
    </i>
    <i>
      <x v="701"/>
      <x v="806"/>
      <x v="23"/>
      <x v="10"/>
    </i>
    <i>
      <x v="1894"/>
      <x v="1890"/>
      <x v="40"/>
      <x v="2"/>
    </i>
    <i>
      <x v="2034"/>
      <x v="2030"/>
      <x v="40"/>
      <x v="2"/>
    </i>
    <i>
      <x v="592"/>
      <x v="748"/>
      <x/>
      <x v="9"/>
    </i>
    <i>
      <x v="819"/>
      <x v="831"/>
      <x v="23"/>
      <x v="10"/>
    </i>
    <i>
      <x v="40"/>
      <x v="1389"/>
      <x v="23"/>
      <x v="10"/>
    </i>
    <i>
      <x v="847"/>
      <x v="902"/>
      <x v="23"/>
      <x v="10"/>
    </i>
    <i>
      <x v="1890"/>
      <x v="1886"/>
      <x v="7"/>
      <x v="2"/>
    </i>
    <i>
      <x v="2103"/>
      <x v="2099"/>
      <x v="47"/>
      <x v="2"/>
    </i>
    <i>
      <x v="1471"/>
      <x v="648"/>
      <x v="87"/>
      <x v="3"/>
    </i>
    <i>
      <x v="2026"/>
      <x v="2022"/>
      <x v="40"/>
      <x v="2"/>
    </i>
    <i>
      <x v="2728"/>
      <x v="2684"/>
      <x v="44"/>
      <x v="3"/>
    </i>
    <i>
      <x v="1178"/>
      <x v="82"/>
      <x v="40"/>
      <x v="2"/>
    </i>
    <i>
      <x v="1594"/>
      <x v="1591"/>
      <x v="41"/>
      <x v="3"/>
    </i>
    <i>
      <x v="995"/>
      <x v="1164"/>
      <x v="66"/>
      <x v="3"/>
    </i>
    <i>
      <x v="2864"/>
      <x v="2842"/>
      <x v="40"/>
      <x v="2"/>
    </i>
    <i>
      <x v="142"/>
      <x v="579"/>
      <x v="7"/>
      <x v="2"/>
    </i>
    <i>
      <x v="2311"/>
      <x v="2281"/>
      <x v="47"/>
      <x v="2"/>
    </i>
    <i>
      <x v="2798"/>
      <x v="2765"/>
      <x/>
      <x v="9"/>
    </i>
    <i>
      <x v="1985"/>
      <x v="1979"/>
      <x v="35"/>
      <x v="2"/>
    </i>
    <i>
      <x v="2734"/>
      <x v="2690"/>
      <x v="44"/>
      <x v="3"/>
    </i>
    <i>
      <x v="700"/>
      <x v="807"/>
      <x v="23"/>
      <x v="10"/>
    </i>
    <i>
      <x v="381"/>
      <x v="378"/>
      <x v="55"/>
      <x v="4"/>
    </i>
    <i>
      <x v="298"/>
      <x v="970"/>
      <x/>
      <x v="9"/>
    </i>
    <i>
      <x v="267"/>
      <x v="1214"/>
      <x v="40"/>
      <x v="2"/>
    </i>
    <i>
      <x v="1112"/>
      <x v="1240"/>
      <x v="33"/>
      <x v="2"/>
    </i>
    <i>
      <x v="2112"/>
      <x v="2107"/>
      <x v="40"/>
      <x v="2"/>
    </i>
    <i>
      <x v="1636"/>
      <x v="1634"/>
      <x v="40"/>
      <x v="2"/>
    </i>
    <i>
      <x v="579"/>
      <x v="30"/>
      <x v="39"/>
      <x v="3"/>
    </i>
    <i>
      <x v="797"/>
      <x v="2745"/>
      <x v="23"/>
      <x v="10"/>
    </i>
    <i>
      <x v="807"/>
      <x v="875"/>
      <x v="23"/>
      <x v="10"/>
    </i>
    <i>
      <x v="806"/>
      <x v="874"/>
      <x v="23"/>
      <x v="10"/>
    </i>
    <i>
      <x v="1550"/>
      <x v="1548"/>
      <x v="56"/>
      <x v="5"/>
    </i>
    <i>
      <x v="963"/>
      <x v="1254"/>
      <x/>
      <x v="9"/>
    </i>
    <i>
      <x v="730"/>
      <x v="926"/>
      <x v="23"/>
      <x v="10"/>
    </i>
    <i>
      <x v="2579"/>
      <x v="2532"/>
      <x v="40"/>
      <x v="2"/>
    </i>
    <i>
      <x v="2658"/>
      <x v="1308"/>
      <x v="40"/>
      <x v="2"/>
    </i>
    <i>
      <x v="2866"/>
      <x v="2848"/>
      <x v="40"/>
      <x v="2"/>
    </i>
    <i>
      <x v="2519"/>
      <x v="2471"/>
      <x v="40"/>
      <x v="2"/>
    </i>
    <i>
      <x v="761"/>
      <x v="907"/>
      <x v="23"/>
      <x v="10"/>
    </i>
    <i>
      <x v="39"/>
      <x v="1390"/>
      <x v="23"/>
      <x v="10"/>
    </i>
    <i>
      <x v="30"/>
      <x v="712"/>
      <x v="18"/>
      <x v="2"/>
    </i>
    <i>
      <x v="1003"/>
      <x v="1429"/>
      <x/>
      <x v="9"/>
    </i>
    <i>
      <x v="731"/>
      <x v="925"/>
      <x v="23"/>
      <x v="10"/>
    </i>
    <i>
      <x v="1448"/>
      <x v="527"/>
      <x/>
      <x v="9"/>
    </i>
    <i>
      <x v="2240"/>
      <x v="2220"/>
      <x v="40"/>
      <x v="2"/>
    </i>
    <i>
      <x v="2076"/>
      <x v="2070"/>
      <x v="40"/>
      <x v="2"/>
    </i>
    <i>
      <x v="648"/>
      <x v="810"/>
      <x v="23"/>
      <x v="10"/>
    </i>
    <i>
      <x v="2173"/>
      <x v="2163"/>
      <x v="48"/>
      <x v="2"/>
    </i>
    <i>
      <x v="1666"/>
      <x v="1663"/>
      <x v="51"/>
      <x v="2"/>
    </i>
    <i>
      <x v="1582"/>
      <x v="1580"/>
      <x v="41"/>
      <x v="3"/>
    </i>
    <i>
      <x v="754"/>
      <x v="801"/>
      <x v="23"/>
      <x v="10"/>
    </i>
    <i>
      <x v="1865"/>
      <x v="1861"/>
      <x v="40"/>
      <x v="2"/>
    </i>
    <i>
      <x v="2178"/>
      <x v="2168"/>
      <x v="47"/>
      <x v="2"/>
    </i>
    <i>
      <x v="647"/>
      <x v="809"/>
      <x v="23"/>
      <x v="10"/>
    </i>
    <i>
      <x v="688"/>
      <x v="812"/>
      <x v="23"/>
      <x v="10"/>
    </i>
    <i>
      <x v="676"/>
      <x v="2732"/>
      <x v="24"/>
      <x v="5"/>
    </i>
    <i>
      <x v="757"/>
      <x v="837"/>
      <x v="23"/>
      <x v="10"/>
    </i>
    <i>
      <x v="2450"/>
      <x v="2413"/>
      <x v="47"/>
      <x v="2"/>
    </i>
    <i>
      <x v="649"/>
      <x v="1391"/>
      <x v="23"/>
      <x v="10"/>
    </i>
    <i>
      <x v="1756"/>
      <x v="1752"/>
      <x v="48"/>
      <x v="2"/>
    </i>
    <i>
      <x v="586"/>
      <x v="433"/>
      <x/>
      <x v="9"/>
    </i>
    <i>
      <x v="2277"/>
      <x v="277"/>
      <x v="40"/>
      <x v="2"/>
    </i>
    <i>
      <x v="1626"/>
      <x v="1624"/>
      <x v="40"/>
      <x v="2"/>
    </i>
    <i>
      <x v="2717"/>
      <x v="2669"/>
      <x v="8"/>
      <x v="3"/>
    </i>
    <i>
      <x v="737"/>
      <x v="939"/>
      <x v="23"/>
      <x v="10"/>
    </i>
    <i>
      <x v="809"/>
      <x v="904"/>
      <x v="23"/>
      <x v="10"/>
    </i>
    <i>
      <x v="2851"/>
      <x v="2828"/>
      <x v="40"/>
      <x v="2"/>
    </i>
    <i>
      <x v="979"/>
      <x v="609"/>
      <x/>
      <x v="9"/>
    </i>
    <i>
      <x v="1602"/>
      <x v="1599"/>
      <x v="9"/>
      <x v="3"/>
    </i>
    <i>
      <x v="774"/>
      <x v="863"/>
      <x v="23"/>
      <x v="10"/>
    </i>
    <i>
      <x v="1931"/>
      <x v="1927"/>
      <x v="35"/>
      <x v="2"/>
    </i>
    <i>
      <x v="1629"/>
      <x v="1627"/>
      <x v="47"/>
      <x v="2"/>
    </i>
    <i>
      <x v="903"/>
      <x v="892"/>
      <x v="23"/>
      <x v="10"/>
    </i>
    <i>
      <x v="1813"/>
      <x v="1809"/>
      <x v="40"/>
      <x v="2"/>
    </i>
    <i>
      <x v="409"/>
      <x v="1492"/>
      <x v="55"/>
      <x v="7"/>
    </i>
    <i>
      <x v="1297"/>
      <x v="2838"/>
      <x v="35"/>
      <x v="2"/>
    </i>
    <i>
      <x v="2246"/>
      <x v="2226"/>
      <x v="40"/>
      <x v="2"/>
    </i>
    <i>
      <x v="1689"/>
      <x v="1686"/>
      <x v="47"/>
      <x v="2"/>
    </i>
    <i>
      <x v="2105"/>
      <x v="622"/>
      <x v="52"/>
      <x v="2"/>
    </i>
    <i>
      <x v="1643"/>
      <x v="1640"/>
      <x v="47"/>
      <x v="2"/>
    </i>
    <i>
      <x v="1597"/>
      <x v="1594"/>
      <x v="44"/>
      <x v="3"/>
    </i>
    <i>
      <x v="56"/>
      <x v="1503"/>
      <x v="44"/>
      <x v="3"/>
    </i>
    <i>
      <x v="853"/>
      <x v="2757"/>
      <x v="23"/>
      <x v="10"/>
    </i>
    <i>
      <x v="382"/>
      <x v="377"/>
      <x v="55"/>
      <x v="4"/>
    </i>
    <i>
      <x v="693"/>
      <x v="816"/>
      <x v="23"/>
      <x v="10"/>
    </i>
    <i>
      <x v="1946"/>
      <x v="1940"/>
      <x v="35"/>
      <x v="2"/>
    </i>
    <i>
      <x v="2414"/>
      <x v="2381"/>
      <x v="40"/>
      <x v="2"/>
    </i>
    <i>
      <x v="551"/>
      <x v="1089"/>
      <x v="44"/>
      <x v="3"/>
    </i>
    <i>
      <x v="2672"/>
      <x v="2619"/>
      <x v="40"/>
      <x v="2"/>
    </i>
    <i>
      <x v="290"/>
      <x v="1469"/>
      <x v="55"/>
      <x v="8"/>
    </i>
    <i>
      <x v="2122"/>
      <x v="2114"/>
      <x v="40"/>
      <x v="2"/>
    </i>
    <i>
      <x v="1619"/>
      <x v="1617"/>
      <x v="47"/>
      <x v="2"/>
    </i>
    <i>
      <x v="1403"/>
      <x v="310"/>
      <x v="40"/>
      <x v="2"/>
    </i>
    <i>
      <x v="2438"/>
      <x v="2402"/>
      <x v="47"/>
      <x v="2"/>
    </i>
    <i>
      <x v="1136"/>
      <x v="48"/>
      <x v="38"/>
      <x v="2"/>
    </i>
    <i>
      <x v="972"/>
      <x v="486"/>
      <x/>
      <x v="9"/>
    </i>
    <i>
      <x v="352"/>
      <x v="1224"/>
      <x/>
      <x v="9"/>
    </i>
    <i>
      <x v="742"/>
      <x v="850"/>
      <x v="23"/>
      <x v="10"/>
    </i>
    <i>
      <x v="1668"/>
      <x v="1665"/>
      <x v="47"/>
      <x v="2"/>
    </i>
    <i>
      <x v="2917"/>
      <x v="2909"/>
      <x v="87"/>
      <x v="3"/>
    </i>
    <i>
      <x v="75"/>
      <x v="641"/>
      <x v="41"/>
      <x v="3"/>
    </i>
    <i>
      <x v="2005"/>
      <x v="2001"/>
      <x v="35"/>
      <x v="2"/>
    </i>
    <i>
      <x v="86"/>
      <x v="1230"/>
      <x v="47"/>
      <x v="2"/>
    </i>
    <i>
      <x v="2057"/>
      <x v="2053"/>
      <x v="40"/>
      <x v="2"/>
    </i>
    <i>
      <x v="279"/>
      <x v="1115"/>
      <x v="4"/>
      <x v="2"/>
    </i>
    <i>
      <x v="2102"/>
      <x v="2098"/>
      <x v="48"/>
      <x v="2"/>
    </i>
    <i>
      <x v="1983"/>
      <x v="1976"/>
      <x v="40"/>
      <x v="2"/>
    </i>
    <i>
      <x v="2685"/>
      <x v="2634"/>
      <x v="47"/>
      <x v="2"/>
    </i>
    <i>
      <x v="1963"/>
      <x v="1955"/>
      <x v="40"/>
      <x v="2"/>
    </i>
    <i>
      <x v="1614"/>
      <x v="1611"/>
      <x v="47"/>
      <x v="2"/>
    </i>
    <i>
      <x v="1958"/>
      <x v="1950"/>
      <x v="40"/>
      <x v="2"/>
    </i>
    <i>
      <x v="1470"/>
      <x v="1063"/>
      <x v="87"/>
      <x v="3"/>
    </i>
    <i>
      <x v="1751"/>
      <x v="1747"/>
      <x v="47"/>
      <x v="2"/>
    </i>
    <i>
      <x v="33"/>
      <x v="1001"/>
      <x v="61"/>
      <x v="9"/>
    </i>
    <i>
      <x v="752"/>
      <x v="949"/>
      <x v="23"/>
      <x v="10"/>
    </i>
    <i>
      <x v="2442"/>
      <x v="2405"/>
      <x v="40"/>
      <x v="2"/>
    </i>
    <i>
      <x v="2180"/>
      <x v="2171"/>
      <x v="40"/>
      <x v="2"/>
    </i>
    <i>
      <x v="1173"/>
      <x v="2812"/>
      <x v="40"/>
      <x v="2"/>
    </i>
    <i>
      <x v="661"/>
      <x v="950"/>
      <x v="23"/>
      <x v="10"/>
    </i>
    <i>
      <x v="2353"/>
      <x v="2321"/>
      <x v="40"/>
      <x v="2"/>
    </i>
    <i>
      <x v="1828"/>
      <x v="1824"/>
      <x v="47"/>
      <x v="2"/>
    </i>
    <i>
      <x v="1798"/>
      <x v="1794"/>
      <x v="47"/>
      <x v="2"/>
    </i>
    <i>
      <x v="1637"/>
      <x v="1635"/>
      <x v="7"/>
      <x v="2"/>
    </i>
    <i>
      <x v="42"/>
      <x v="1163"/>
      <x v="66"/>
      <x v="3"/>
    </i>
    <i>
      <x v="756"/>
      <x v="822"/>
      <x v="23"/>
      <x v="10"/>
    </i>
    <i>
      <x v="1596"/>
      <x v="1593"/>
      <x v="9"/>
      <x v="3"/>
    </i>
    <i>
      <x v="2530"/>
      <x v="2483"/>
      <x v="40"/>
      <x v="2"/>
    </i>
    <i>
      <x v="450"/>
      <x v="113"/>
      <x v="8"/>
      <x v="3"/>
    </i>
    <i>
      <x v="82"/>
      <x v="1441"/>
      <x v="41"/>
      <x v="3"/>
    </i>
    <i>
      <x v="766"/>
      <x v="846"/>
      <x v="23"/>
      <x v="10"/>
    </i>
    <i>
      <x v="748"/>
      <x v="952"/>
      <x v="23"/>
      <x v="10"/>
    </i>
    <i>
      <x v="2786"/>
      <x v="2751"/>
      <x/>
      <x/>
    </i>
    <i>
      <x v="2850"/>
      <x v="2827"/>
      <x v="40"/>
      <x v="2"/>
    </i>
    <i>
      <x v="52"/>
      <x v="643"/>
      <x v="41"/>
      <x v="3"/>
    </i>
    <i>
      <x v="639"/>
      <x v="726"/>
      <x v="40"/>
      <x v="2"/>
    </i>
    <i>
      <x v="1705"/>
      <x v="1702"/>
      <x v="47"/>
      <x v="2"/>
    </i>
    <i>
      <x v="826"/>
      <x v="860"/>
      <x v="23"/>
      <x v="10"/>
    </i>
    <i>
      <x v="282"/>
      <x v="505"/>
      <x v="56"/>
      <x v="5"/>
    </i>
    <i>
      <x v="432"/>
      <x v="1262"/>
      <x v="24"/>
      <x v="5"/>
    </i>
    <i>
      <x v="76"/>
      <x v="640"/>
      <x v="41"/>
      <x v="3"/>
    </i>
    <i>
      <x v="612"/>
      <x v="519"/>
      <x/>
      <x v="9"/>
    </i>
    <i>
      <x v="1498"/>
      <x v="1477"/>
      <x v="87"/>
      <x v="3"/>
    </i>
    <i>
      <x v="1281"/>
      <x v="204"/>
      <x v="47"/>
      <x v="2"/>
    </i>
    <i>
      <x v="542"/>
      <x v="671"/>
      <x v="44"/>
      <x v="3"/>
    </i>
    <i>
      <x v="65"/>
      <x v="1157"/>
      <x v="66"/>
      <x v="3"/>
    </i>
    <i>
      <x v="1830"/>
      <x v="1826"/>
      <x v="48"/>
      <x v="2"/>
    </i>
    <i>
      <x v="302"/>
      <x v="986"/>
      <x/>
      <x v="9"/>
    </i>
    <i>
      <x v="827"/>
      <x v="832"/>
      <x v="23"/>
      <x v="10"/>
    </i>
    <i>
      <x v="2503"/>
      <x v="2455"/>
      <x v="40"/>
      <x v="2"/>
    </i>
    <i>
      <x v="860"/>
      <x v="836"/>
      <x v="23"/>
      <x v="10"/>
    </i>
    <i>
      <x v="2396"/>
      <x v="2361"/>
      <x v="75"/>
      <x v="2"/>
    </i>
    <i>
      <x v="2611"/>
      <x v="2565"/>
      <x v="47"/>
      <x v="2"/>
    </i>
    <i>
      <x v="2894"/>
      <x v="2889"/>
      <x v="4"/>
      <x v="2"/>
    </i>
    <i>
      <x v="2316"/>
      <x v="2286"/>
      <x v="40"/>
      <x v="2"/>
    </i>
    <i>
      <x v="1551"/>
      <x v="1549"/>
      <x v="56"/>
      <x v="5"/>
    </i>
    <i>
      <x v="2921"/>
      <x v="2912"/>
      <x v="47"/>
      <x v="2"/>
    </i>
    <i>
      <x v="1937"/>
      <x v="1932"/>
      <x v="35"/>
      <x v="2"/>
    </i>
    <i>
      <x v="710"/>
      <x v="888"/>
      <x v="23"/>
      <x v="10"/>
    </i>
    <i>
      <x v="1971"/>
      <x v="1963"/>
      <x v="40"/>
      <x v="2"/>
    </i>
    <i>
      <x v="1974"/>
      <x v="1966"/>
      <x v="40"/>
      <x v="2"/>
    </i>
    <i>
      <x v="359"/>
      <x v="1435"/>
      <x/>
      <x v="9"/>
    </i>
    <i>
      <x v="835"/>
      <x v="838"/>
      <x v="23"/>
      <x v="10"/>
    </i>
    <i>
      <x v="522"/>
      <x v="1339"/>
      <x v="56"/>
      <x v="5"/>
    </i>
    <i>
      <x v="695"/>
      <x v="821"/>
      <x v="23"/>
      <x v="10"/>
    </i>
    <i>
      <x v="550"/>
      <x v="1087"/>
      <x v="44"/>
      <x v="3"/>
    </i>
    <i>
      <x v="2922"/>
      <x v="2913"/>
      <x v="51"/>
      <x v="2"/>
    </i>
    <i>
      <x v="818"/>
      <x v="760"/>
      <x v="24"/>
      <x v="10"/>
    </i>
    <i>
      <x v="1599"/>
      <x v="1596"/>
      <x v="53"/>
      <x v="3"/>
    </i>
    <i>
      <x v="2501"/>
      <x v="2453"/>
      <x v="40"/>
      <x v="2"/>
    </i>
    <i>
      <x v="428"/>
      <x v="1340"/>
      <x v="56"/>
      <x v="5"/>
    </i>
    <i>
      <x v="2024"/>
      <x v="2020"/>
      <x v="35"/>
      <x v="2"/>
    </i>
    <i>
      <x v="2467"/>
      <x v="2428"/>
      <x v="35"/>
      <x v="2"/>
    </i>
    <i>
      <x v="1622"/>
      <x v="1620"/>
      <x v="40"/>
      <x v="2"/>
    </i>
    <i>
      <x v="1961"/>
      <x v="1953"/>
      <x v="40"/>
      <x v="2"/>
    </i>
    <i>
      <x v="821"/>
      <x v="923"/>
      <x v="23"/>
      <x v="10"/>
    </i>
    <i>
      <x v="2523"/>
      <x v="2475"/>
      <x v="40"/>
      <x v="2"/>
    </i>
    <i>
      <x v="1269"/>
      <x v="506"/>
      <x v="47"/>
      <x v="2"/>
    </i>
    <i>
      <x v="53"/>
      <x v="642"/>
      <x v="41"/>
      <x v="3"/>
    </i>
    <i>
      <x v="2801"/>
      <x v="2768"/>
      <x v="67"/>
      <x v="3"/>
    </i>
    <i>
      <x v="1567"/>
      <x v="1565"/>
      <x v="44"/>
      <x v="3"/>
    </i>
    <i>
      <x v="80"/>
      <x v="1442"/>
      <x v="9"/>
      <x v="3"/>
    </i>
    <i>
      <x v="2443"/>
      <x v="2406"/>
      <x v="47"/>
      <x v="2"/>
    </i>
    <i>
      <x v="2790"/>
      <x v="908"/>
      <x v="23"/>
      <x v="10"/>
    </i>
    <i>
      <x v="1552"/>
      <x v="1550"/>
      <x v="56"/>
      <x v="5"/>
    </i>
    <i>
      <x v="2413"/>
      <x v="2380"/>
      <x v="40"/>
      <x v="2"/>
    </i>
    <i>
      <x v="2262"/>
      <x v="2242"/>
      <x v="47"/>
      <x v="2"/>
    </i>
    <i>
      <x v="2263"/>
      <x v="2243"/>
      <x v="35"/>
      <x v="2"/>
    </i>
    <i>
      <x v="2805"/>
      <x v="2771"/>
      <x v="67"/>
      <x v="3"/>
    </i>
    <i>
      <x v="830"/>
      <x v="768"/>
      <x v="83"/>
      <x v="13"/>
    </i>
    <i>
      <x v="704"/>
      <x v="896"/>
      <x v="23"/>
      <x v="10"/>
    </i>
    <i>
      <x v="1592"/>
      <x v="1589"/>
      <x v="6"/>
      <x v="3"/>
    </i>
    <i>
      <x v="738"/>
      <x v="935"/>
      <x v="23"/>
      <x v="10"/>
    </i>
    <i>
      <x v="971"/>
      <x v="785"/>
      <x/>
      <x v="9"/>
    </i>
    <i>
      <x v="974"/>
      <x v="1036"/>
      <x/>
      <x v="9"/>
    </i>
    <i>
      <x v="940"/>
      <x v="681"/>
      <x/>
      <x v="9"/>
    </i>
    <i>
      <x v="613"/>
      <x v="1026"/>
      <x/>
      <x v="9"/>
    </i>
    <i>
      <x v="2774"/>
      <x v="2734"/>
      <x v="24"/>
      <x v="6"/>
    </i>
    <i>
      <x v="2480"/>
      <x v="735"/>
      <x v="40"/>
      <x v="2"/>
    </i>
    <i>
      <x v="599"/>
      <x v="1304"/>
      <x/>
      <x v="9"/>
    </i>
    <i>
      <x v="1194"/>
      <x v="92"/>
      <x v="40"/>
      <x v="2"/>
    </i>
    <i>
      <x v="2828"/>
      <x v="2796"/>
      <x v="59"/>
      <x v="9"/>
    </i>
    <i>
      <x v="1884"/>
      <x v="1415"/>
      <x v="48"/>
      <x v="2"/>
    </i>
    <i>
      <x v="1835"/>
      <x v="1831"/>
      <x v="40"/>
      <x v="2"/>
    </i>
    <i>
      <x v="1418"/>
      <x v="2873"/>
      <x v="4"/>
      <x v="2"/>
    </i>
    <i>
      <x v="1413"/>
      <x v="2867"/>
      <x v="4"/>
      <x v="2"/>
    </i>
    <i>
      <x v="250"/>
      <x v="2486"/>
      <x v="40"/>
      <x v="2"/>
    </i>
    <i>
      <x v="1096"/>
      <x v="1316"/>
      <x v="40"/>
      <x v="2"/>
    </i>
    <i>
      <x v="2271"/>
      <x v="2249"/>
      <x v="40"/>
      <x v="2"/>
    </i>
    <i>
      <x v="759"/>
      <x v="851"/>
      <x v="23"/>
      <x v="10"/>
    </i>
    <i>
      <x v="1878"/>
      <x v="1874"/>
      <x v="7"/>
      <x v="2"/>
    </i>
    <i>
      <x v="568"/>
      <x v="5"/>
      <x v="41"/>
      <x v="3"/>
    </i>
    <i>
      <x v="2686"/>
      <x v="2636"/>
      <x v="47"/>
      <x v="2"/>
    </i>
    <i>
      <x v="2526"/>
      <x v="2478"/>
      <x v="40"/>
      <x v="2"/>
    </i>
    <i>
      <x v="530"/>
      <x v="965"/>
      <x/>
      <x v="9"/>
    </i>
    <i>
      <x v="886"/>
      <x v="900"/>
      <x v="23"/>
      <x v="10"/>
    </i>
    <i>
      <x v="859"/>
      <x v="835"/>
      <x v="23"/>
      <x v="10"/>
    </i>
    <i>
      <x v="741"/>
      <x v="830"/>
      <x v="23"/>
      <x v="10"/>
    </i>
    <i>
      <x v="2516"/>
      <x v="2468"/>
      <x v="40"/>
      <x v="2"/>
    </i>
    <i>
      <x v="1298"/>
      <x v="1392"/>
      <x v="48"/>
      <x v="2"/>
    </i>
    <i>
      <x v="1686"/>
      <x v="1683"/>
      <x v="47"/>
      <x v="2"/>
    </i>
    <i>
      <x v="1436"/>
      <x v="728"/>
      <x v="4"/>
      <x v="2"/>
    </i>
    <i>
      <x v="567"/>
      <x v="20"/>
      <x v="39"/>
      <x v="3"/>
    </i>
    <i>
      <x v="687"/>
      <x v="811"/>
      <x v="23"/>
      <x v="10"/>
    </i>
    <i>
      <x v="2020"/>
      <x v="2016"/>
      <x v="4"/>
      <x v="2"/>
    </i>
    <i>
      <x v="691"/>
      <x v="808"/>
      <x v="23"/>
      <x v="10"/>
    </i>
    <i>
      <x v="2534"/>
      <x v="2488"/>
      <x v="40"/>
      <x v="2"/>
    </i>
    <i>
      <x v="2852"/>
      <x v="2829"/>
      <x v="40"/>
      <x v="2"/>
    </i>
    <i>
      <x v="1838"/>
      <x v="1834"/>
      <x v="47"/>
      <x v="2"/>
    </i>
    <i>
      <x v="2561"/>
      <x v="2514"/>
      <x v="14"/>
      <x v="2"/>
    </i>
    <i>
      <x v="2092"/>
      <x v="2088"/>
      <x v="47"/>
      <x v="2"/>
    </i>
    <i>
      <x v="2141"/>
      <x v="278"/>
      <x v="40"/>
      <x v="2"/>
    </i>
    <i>
      <x v="357"/>
      <x v="1216"/>
      <x v="59"/>
      <x v="9"/>
    </i>
    <i>
      <x v="1901"/>
      <x v="1897"/>
      <x v="40"/>
      <x v="2"/>
    </i>
    <i>
      <x v="386"/>
      <x v="1371"/>
      <x v="56"/>
      <x v="5"/>
    </i>
    <i>
      <x v="1048"/>
      <x v="624"/>
      <x/>
      <x v="9"/>
    </i>
    <i>
      <x v="2812"/>
      <x v="2778"/>
      <x v="40"/>
      <x v="2"/>
    </i>
    <i>
      <x v="1795"/>
      <x v="1791"/>
      <x v="40"/>
      <x v="2"/>
    </i>
    <i>
      <x v="1598"/>
      <x v="1595"/>
      <x v="41"/>
      <x v="3"/>
    </i>
    <i>
      <x v="2502"/>
      <x v="2454"/>
      <x v="40"/>
      <x v="2"/>
    </i>
    <i>
      <x v="2242"/>
      <x v="2222"/>
      <x v="40"/>
      <x v="2"/>
    </i>
    <i>
      <x v="208"/>
      <x v="163"/>
      <x v="40"/>
      <x v="2"/>
    </i>
    <i>
      <x v="2718"/>
      <x v="2670"/>
      <x v="49"/>
      <x v="3"/>
    </i>
    <i>
      <x v="727"/>
      <x v="916"/>
      <x v="23"/>
      <x v="10"/>
    </i>
    <i>
      <x v="1818"/>
      <x v="1814"/>
      <x v="40"/>
      <x v="2"/>
    </i>
    <i>
      <x v="181"/>
      <x v="289"/>
      <x v="40"/>
      <x v="2"/>
    </i>
    <i>
      <x v="2333"/>
      <x v="2300"/>
      <x v="40"/>
      <x v="2"/>
    </i>
    <i>
      <x v="611"/>
      <x v="1302"/>
      <x/>
      <x v="9"/>
    </i>
    <i>
      <x v="798"/>
      <x v="922"/>
      <x v="23"/>
      <x v="10"/>
    </i>
    <i>
      <x v="773"/>
      <x v="890"/>
      <x v="23"/>
      <x v="10"/>
    </i>
    <i>
      <x v="188"/>
      <x v="739"/>
      <x v="47"/>
      <x v="2"/>
    </i>
    <i>
      <x v="2654"/>
      <x v="1303"/>
      <x v="40"/>
      <x v="2"/>
    </i>
    <i>
      <x v="1734"/>
      <x v="1729"/>
      <x v="40"/>
      <x v="2"/>
    </i>
    <i>
      <x v="222"/>
      <x v="171"/>
      <x v="40"/>
      <x v="2"/>
    </i>
    <i>
      <x v="746"/>
      <x v="828"/>
      <x v="23"/>
      <x v="10"/>
    </i>
    <i>
      <x v="1750"/>
      <x v="1746"/>
      <x v="35"/>
      <x v="2"/>
    </i>
    <i>
      <x v="2511"/>
      <x v="2462"/>
      <x v="40"/>
      <x v="2"/>
    </i>
    <i>
      <x v="1344"/>
      <x v="260"/>
      <x v="40"/>
      <x v="2"/>
    </i>
    <i>
      <x v="724"/>
      <x v="917"/>
      <x v="23"/>
      <x v="10"/>
    </i>
    <i>
      <x v="1174"/>
      <x v="80"/>
      <x v="40"/>
      <x v="2"/>
    </i>
    <i>
      <x v="2778"/>
      <x v="2741"/>
      <x v="23"/>
      <x v="10"/>
    </i>
    <i>
      <x v="2183"/>
      <x v="2173"/>
      <x v="40"/>
      <x v="2"/>
    </i>
    <i>
      <x v="1892"/>
      <x v="1888"/>
      <x v="40"/>
      <x v="2"/>
    </i>
    <i>
      <x v="2638"/>
      <x v="2591"/>
      <x v="40"/>
      <x v="2"/>
    </i>
    <i>
      <x v="160"/>
      <x v="1094"/>
      <x v="35"/>
      <x v="2"/>
    </i>
    <i>
      <x v="1100"/>
      <x v="477"/>
      <x v="80"/>
      <x v="3"/>
    </i>
    <i>
      <x v="1569"/>
      <x v="1567"/>
      <x v="44"/>
      <x v="3"/>
    </i>
    <i>
      <x v="368"/>
      <x v="1361"/>
      <x v="56"/>
      <x v="5"/>
    </i>
    <i>
      <x v="2188"/>
      <x v="2176"/>
      <x v="47"/>
      <x v="2"/>
    </i>
    <i>
      <x v="2161"/>
      <x v="2151"/>
      <x v="47"/>
      <x v="2"/>
    </i>
    <i>
      <x v="1509"/>
      <x v="1033"/>
      <x v="89"/>
      <x v="3"/>
    </i>
    <i>
      <x v="173"/>
      <x v="2089"/>
      <x v="40"/>
      <x v="2"/>
    </i>
    <i>
      <x v="557"/>
      <x v="14"/>
      <x v="39"/>
      <x v="3"/>
    </i>
    <i>
      <x v="2681"/>
      <x v="2629"/>
      <x v="40"/>
      <x v="2"/>
    </i>
    <i>
      <x v="1574"/>
      <x v="1572"/>
      <x v="39"/>
      <x v="3"/>
    </i>
    <i>
      <x v="1577"/>
      <x v="1575"/>
      <x v="39"/>
      <x v="3"/>
    </i>
    <i>
      <x v="213"/>
      <x v="2306"/>
      <x v="40"/>
      <x v="2"/>
    </i>
    <i>
      <x v="194"/>
      <x v="647"/>
      <x v="52"/>
      <x v="2"/>
    </i>
    <i>
      <x v="27"/>
      <x v="1518"/>
      <x v="40"/>
      <x v="2"/>
    </i>
    <i>
      <x v="2327"/>
      <x v="2295"/>
      <x v="47"/>
      <x v="2"/>
    </i>
    <i>
      <x v="1560"/>
      <x v="1558"/>
      <x v="44"/>
      <x v="3"/>
    </i>
    <i>
      <x v="2522"/>
      <x v="2474"/>
      <x v="40"/>
      <x v="2"/>
    </i>
    <i>
      <x v="2895"/>
      <x v="2890"/>
      <x v="4"/>
      <x v="2"/>
    </i>
    <i>
      <x v="83"/>
      <x v="1323"/>
      <x/>
      <x v="3"/>
    </i>
    <i>
      <x v="2441"/>
      <x v="739"/>
      <x v="47"/>
      <x v="2"/>
    </i>
    <i>
      <x v="889"/>
      <x v="901"/>
      <x v="23"/>
      <x v="10"/>
    </i>
    <i>
      <x v="170"/>
      <x v="2080"/>
      <x v="4"/>
      <x v="2"/>
    </i>
    <i>
      <x v="908"/>
      <x v="889"/>
      <x v="23"/>
      <x v="10"/>
    </i>
    <i>
      <x v="1621"/>
      <x v="1619"/>
      <x v="40"/>
      <x v="2"/>
    </i>
    <i>
      <x v="2636"/>
      <x v="2589"/>
      <x v="40"/>
      <x v="2"/>
    </i>
    <i>
      <x v="2177"/>
      <x v="2167"/>
      <x v="40"/>
      <x v="2"/>
    </i>
    <i>
      <x v="1902"/>
      <x v="1897"/>
      <x v="35"/>
      <x v="2"/>
    </i>
    <i>
      <x v="2302"/>
      <x v="2275"/>
      <x v="40"/>
      <x v="2"/>
    </i>
    <i>
      <x v="341"/>
      <x v="475"/>
      <x v="5"/>
      <x v="3"/>
    </i>
    <i>
      <x v="880"/>
      <x v="898"/>
      <x v="23"/>
      <x v="10"/>
    </i>
    <i>
      <x v="814"/>
      <x v="800"/>
      <x v="23"/>
      <x v="10"/>
    </i>
    <i>
      <x v="548"/>
      <x v="1498"/>
      <x v="81"/>
      <x v="3"/>
    </i>
    <i>
      <x v="499"/>
      <x v="1052"/>
      <x v="49"/>
      <x v="3"/>
    </i>
    <i>
      <x v="2791"/>
      <x v="2758"/>
      <x v="23"/>
      <x v="10"/>
    </i>
    <i>
      <x v="1227"/>
      <x v="159"/>
      <x v="40"/>
      <x v="2"/>
    </i>
    <i>
      <x v="2513"/>
      <x v="301"/>
      <x v="40"/>
      <x v="2"/>
    </i>
    <i>
      <x v="803"/>
      <x v="957"/>
      <x v="23"/>
      <x v="10"/>
    </i>
    <i>
      <x v="2207"/>
      <x v="2191"/>
      <x v="47"/>
      <x v="2"/>
    </i>
    <i>
      <x v="1135"/>
      <x v="47"/>
      <x v="38"/>
      <x v="2"/>
    </i>
    <i>
      <x v="2483"/>
      <x v="2441"/>
      <x v="40"/>
      <x v="2"/>
    </i>
    <i>
      <x v="771"/>
      <x v="885"/>
      <x v="23"/>
      <x v="10"/>
    </i>
    <i>
      <x v="2157"/>
      <x v="105"/>
      <x v="40"/>
      <x v="2"/>
    </i>
    <i>
      <x v="2305"/>
      <x v="1803"/>
      <x v="40"/>
      <x v="2"/>
    </i>
    <i>
      <x v="1548"/>
      <x v="1546"/>
      <x v="18"/>
      <x v="2"/>
    </i>
    <i>
      <x v="1019"/>
      <x v="1135"/>
      <x/>
      <x v="9"/>
    </i>
    <i>
      <x v="734"/>
      <x v="940"/>
      <x v="23"/>
      <x v="10"/>
    </i>
    <i>
      <x v="1735"/>
      <x v="1730"/>
      <x v="40"/>
      <x v="2"/>
    </i>
    <i>
      <x v="2128"/>
      <x v="2120"/>
      <x v="40"/>
      <x v="2"/>
    </i>
    <i>
      <x v="1954"/>
      <x v="1946"/>
      <x v="34"/>
      <x v="9"/>
    </i>
    <i>
      <x v="2185"/>
      <x v="2174"/>
      <x v="47"/>
      <x v="2"/>
    </i>
    <i>
      <x v="1933"/>
      <x v="234"/>
      <x v="35"/>
      <x v="2"/>
    </i>
    <i>
      <x v="1389"/>
      <x v="2859"/>
      <x v="40"/>
      <x v="2"/>
    </i>
    <i>
      <x v="1324"/>
      <x v="2844"/>
      <x v="40"/>
      <x v="2"/>
    </i>
    <i>
      <x v="2504"/>
      <x v="2456"/>
      <x v="40"/>
      <x v="2"/>
    </i>
    <i>
      <x v="1283"/>
      <x v="507"/>
      <x v="47"/>
      <x v="2"/>
    </i>
    <i>
      <x v="2094"/>
      <x v="2091"/>
      <x v="40"/>
      <x v="2"/>
    </i>
    <i>
      <x v="2785"/>
      <x v="2750"/>
      <x v="55"/>
      <x v="4"/>
    </i>
    <i>
      <x v="2233"/>
      <x v="2214"/>
      <x v="40"/>
      <x v="2"/>
    </i>
    <i>
      <x v="919"/>
      <x v="1474"/>
      <x v="35"/>
      <x v="2"/>
    </i>
    <i>
      <x v="356"/>
      <x v="1436"/>
      <x v="39"/>
      <x v="3"/>
    </i>
    <i>
      <x v="1940"/>
      <x v="1935"/>
      <x v="35"/>
      <x v="2"/>
    </i>
    <i>
      <x v="320"/>
      <x v="1400"/>
      <x/>
      <x v="9"/>
    </i>
    <i>
      <x v="692"/>
      <x v="804"/>
      <x v="23"/>
      <x v="10"/>
    </i>
    <i>
      <x v="1518"/>
      <x v="1515"/>
      <x v="40"/>
      <x v="2"/>
    </i>
    <i>
      <x v="2042"/>
      <x v="1878"/>
      <x v="73"/>
      <x v="2"/>
    </i>
    <i>
      <x v="1708"/>
      <x v="1705"/>
      <x v="35"/>
      <x v="2"/>
    </i>
    <i>
      <x v="2514"/>
      <x v="2464"/>
      <x v="40"/>
      <x v="2"/>
    </i>
    <i>
      <x v="2300"/>
      <x v="2273"/>
      <x v="40"/>
      <x v="2"/>
    </i>
    <i>
      <x v="1006"/>
      <x v="1416"/>
      <x/>
      <x v="9"/>
    </i>
    <i>
      <x v="1882"/>
      <x v="1878"/>
      <x v="73"/>
      <x v="2"/>
    </i>
    <i>
      <x v="697"/>
      <x v="819"/>
      <x v="23"/>
      <x v="10"/>
    </i>
    <i>
      <x v="1337"/>
      <x v="253"/>
      <x v="40"/>
      <x v="2"/>
    </i>
    <i>
      <x v="824"/>
      <x v="931"/>
      <x v="23"/>
      <x v="10"/>
    </i>
    <i>
      <x v="825"/>
      <x v="934"/>
      <x v="23"/>
      <x v="10"/>
    </i>
    <i>
      <x v="2887"/>
      <x v="2882"/>
      <x v="74"/>
      <x v="2"/>
    </i>
    <i>
      <x v="812"/>
      <x v="781"/>
      <x v="23"/>
      <x v="10"/>
    </i>
    <i>
      <x v="2562"/>
      <x v="2515"/>
      <x v="14"/>
      <x v="2"/>
    </i>
    <i>
      <x v="2775"/>
      <x v="2736"/>
      <x v="23"/>
      <x v="10"/>
    </i>
    <i>
      <x v="2279"/>
      <x v="2255"/>
      <x v="40"/>
      <x v="2"/>
    </i>
    <i>
      <x v="636"/>
      <x v="967"/>
      <x/>
      <x v="9"/>
    </i>
    <i>
      <x v="2418"/>
      <x v="225"/>
      <x v="35"/>
      <x v="2"/>
    </i>
    <i>
      <x v="696"/>
      <x v="820"/>
      <x v="23"/>
      <x v="10"/>
    </i>
    <i>
      <x v="508"/>
      <x v="1199"/>
      <x v="49"/>
      <x v="3"/>
    </i>
    <i>
      <x v="1568"/>
      <x v="1566"/>
      <x v="44"/>
      <x v="3"/>
    </i>
    <i>
      <x v="722"/>
      <x v="867"/>
      <x v="23"/>
      <x v="10"/>
    </i>
    <i>
      <x v="1186"/>
      <x v="2814"/>
      <x v="40"/>
      <x v="2"/>
    </i>
    <i>
      <x v="750"/>
      <x v="884"/>
      <x v="23"/>
      <x v="10"/>
    </i>
    <i>
      <x v="705"/>
      <x v="894"/>
      <x v="23"/>
      <x v="10"/>
    </i>
    <i>
      <x v="2164"/>
      <x v="2154"/>
      <x v="52"/>
      <x v="2"/>
    </i>
    <i>
      <x v="2011"/>
      <x v="2007"/>
      <x v="35"/>
      <x v="2"/>
    </i>
    <i>
      <x v="1323"/>
      <x v="246"/>
      <x v="40"/>
      <x v="2"/>
    </i>
    <i>
      <x v="2673"/>
      <x v="2620"/>
      <x v="40"/>
      <x v="2"/>
    </i>
    <i>
      <x v="2099"/>
      <x v="2095"/>
      <x v="47"/>
      <x v="2"/>
    </i>
    <i>
      <x v="699"/>
      <x v="825"/>
      <x v="23"/>
      <x v="10"/>
    </i>
    <i>
      <x v="569"/>
      <x v="21"/>
      <x v="39"/>
      <x v="3"/>
    </i>
    <i>
      <x v="543"/>
      <x v="7"/>
      <x v="39"/>
      <x v="3"/>
    </i>
    <i>
      <x v="706"/>
      <x v="919"/>
      <x v="23"/>
      <x v="10"/>
    </i>
    <i>
      <x v="572"/>
      <x v="8"/>
      <x v="44"/>
      <x v="3"/>
    </i>
    <i>
      <x v="2165"/>
      <x v="2155"/>
      <x v="40"/>
      <x v="2"/>
    </i>
    <i>
      <x v="448"/>
      <x v="346"/>
      <x v="49"/>
      <x v="3"/>
    </i>
    <i>
      <x v="1628"/>
      <x v="1626"/>
      <x v="47"/>
      <x v="2"/>
    </i>
    <i>
      <x v="2340"/>
      <x v="2309"/>
      <x v="40"/>
      <x v="2"/>
    </i>
    <i>
      <x v="829"/>
      <x v="853"/>
      <x v="23"/>
      <x v="10"/>
    </i>
    <i>
      <x v="1461"/>
      <x v="490"/>
      <x v="45"/>
      <x v="3"/>
    </i>
    <i>
      <x v="1941"/>
      <x v="1936"/>
      <x v="35"/>
      <x v="2"/>
    </i>
    <i>
      <x v="2227"/>
      <x v="2209"/>
      <x v="40"/>
      <x v="2"/>
    </i>
    <i>
      <x v="1980"/>
      <x v="1973"/>
      <x v="40"/>
      <x v="2"/>
    </i>
    <i>
      <x v="573"/>
      <x v="2"/>
      <x v="39"/>
      <x v="3"/>
    </i>
    <i>
      <x v="2542"/>
      <x v="2496"/>
      <x v="40"/>
      <x v="2"/>
    </i>
    <i>
      <x v="2486"/>
      <x v="2442"/>
      <x v="47"/>
      <x v="2"/>
    </i>
    <i>
      <x v="768"/>
      <x v="879"/>
      <x v="23"/>
      <x v="10"/>
    </i>
    <i>
      <x v="769"/>
      <x v="880"/>
      <x v="23"/>
      <x v="10"/>
    </i>
    <i>
      <x v="2234"/>
      <x v="2215"/>
      <x v="40"/>
      <x v="2"/>
    </i>
    <i>
      <x v="796"/>
      <x v="866"/>
      <x v="23"/>
      <x v="10"/>
    </i>
    <i>
      <x v="2007"/>
      <x v="2003"/>
      <x v="35"/>
      <x v="2"/>
    </i>
    <i>
      <x v="2617"/>
      <x v="2570"/>
      <x v="40"/>
      <x v="2"/>
    </i>
    <i>
      <x v="1924"/>
      <x v="1919"/>
      <x v="47"/>
      <x v="2"/>
    </i>
    <i>
      <x v="1814"/>
      <x v="1810"/>
      <x v="40"/>
      <x v="2"/>
    </i>
    <i>
      <x v="2156"/>
      <x v="291"/>
      <x v="40"/>
      <x v="2"/>
    </i>
    <i>
      <x v="844"/>
      <x v="938"/>
      <x v="23"/>
      <x v="10"/>
    </i>
    <i>
      <x v="2014"/>
      <x v="2010"/>
      <x v="35"/>
      <x v="2"/>
    </i>
    <i>
      <x v="2855"/>
      <x v="2831"/>
      <x v="47"/>
      <x v="2"/>
    </i>
    <i>
      <x v="2550"/>
      <x v="2504"/>
      <x v="40"/>
      <x v="2"/>
    </i>
    <i>
      <x v="765"/>
      <x v="909"/>
      <x v="23"/>
      <x v="10"/>
    </i>
    <i>
      <x v="2792"/>
      <x v="2759"/>
      <x v="23"/>
      <x v="10"/>
    </i>
    <i>
      <x v="1804"/>
      <x v="1800"/>
      <x v="47"/>
      <x v="2"/>
    </i>
    <i>
      <x v="729"/>
      <x v="842"/>
      <x v="23"/>
      <x v="10"/>
    </i>
    <i>
      <x/>
      <x v="1098"/>
      <x v="56"/>
      <x v="5"/>
    </i>
    <i>
      <x v="1966"/>
      <x v="1958"/>
      <x v="51"/>
      <x v="2"/>
    </i>
    <i>
      <x v="1141"/>
      <x v="55"/>
      <x v="40"/>
      <x v="2"/>
    </i>
    <i>
      <x v="1640"/>
      <x v="1638"/>
      <x v="40"/>
      <x v="2"/>
    </i>
    <i>
      <x v="1812"/>
      <x v="1808"/>
      <x v="40"/>
      <x v="2"/>
    </i>
    <i>
      <x v="1972"/>
      <x v="1964"/>
      <x v="40"/>
      <x v="2"/>
    </i>
    <i>
      <x v="2581"/>
      <x v="2534"/>
      <x v="40"/>
      <x v="2"/>
    </i>
    <i>
      <x v="2527"/>
      <x v="2479"/>
      <x v="40"/>
      <x v="2"/>
    </i>
    <i>
      <x v="211"/>
      <x v="598"/>
      <x v="40"/>
      <x v="2"/>
    </i>
    <i>
      <x v="822"/>
      <x v="829"/>
      <x v="23"/>
      <x v="10"/>
    </i>
    <i>
      <x v="2439"/>
      <x v="2403"/>
      <x v="47"/>
      <x v="2"/>
    </i>
    <i>
      <x v="909"/>
      <x v="646"/>
      <x v="40"/>
      <x v="2"/>
    </i>
    <i>
      <x v="2639"/>
      <x v="2592"/>
      <x v="43"/>
      <x v="2"/>
    </i>
    <i>
      <x v="1615"/>
      <x v="1613"/>
      <x v="48"/>
      <x v="2"/>
    </i>
    <i>
      <x v="603"/>
      <x v="1346"/>
      <x/>
      <x v="9"/>
    </i>
    <i>
      <x v="816"/>
      <x v="798"/>
      <x v="23"/>
      <x v="10"/>
    </i>
    <i>
      <x v="2198"/>
      <x v="2183"/>
      <x v="40"/>
      <x v="2"/>
    </i>
    <i>
      <x v="410"/>
      <x v="402"/>
      <x v="56"/>
      <x v="5"/>
    </i>
    <i>
      <x v="148"/>
      <x v="323"/>
      <x v="40"/>
      <x v="2"/>
    </i>
    <i>
      <x v="876"/>
      <x v="840"/>
      <x v="23"/>
      <x v="10"/>
    </i>
    <i>
      <x v="2468"/>
      <x v="2429"/>
      <x v="47"/>
      <x v="2"/>
    </i>
    <i>
      <x v="2459"/>
      <x v="354"/>
      <x v="40"/>
      <x v="2"/>
    </i>
    <i>
      <x v="305"/>
      <x v="729"/>
      <x v="35"/>
      <x v="2"/>
    </i>
    <i>
      <x v="888"/>
      <x v="839"/>
      <x v="23"/>
      <x v="10"/>
    </i>
    <i>
      <x v="2415"/>
      <x v="2382"/>
      <x v="40"/>
      <x v="2"/>
    </i>
    <i>
      <x v="123"/>
      <x v="1223"/>
      <x v="40"/>
      <x v="2"/>
    </i>
    <i>
      <x v="172"/>
      <x v="962"/>
      <x v="10"/>
      <x v="2"/>
    </i>
    <i>
      <x v="1428"/>
      <x v="2880"/>
      <x v="7"/>
      <x v="2"/>
    </i>
    <i>
      <x v="1460"/>
      <x v="487"/>
      <x v="46"/>
      <x v="3"/>
    </i>
    <i>
      <x v="1889"/>
      <x v="1884"/>
      <x v="40"/>
      <x v="2"/>
    </i>
    <i>
      <x v="2124"/>
      <x v="2116"/>
      <x v="47"/>
      <x v="2"/>
    </i>
    <i>
      <x v="1284"/>
      <x v="555"/>
      <x v="47"/>
      <x v="2"/>
    </i>
    <i>
      <x v="1724"/>
      <x v="1719"/>
      <x v="35"/>
      <x v="2"/>
    </i>
    <i>
      <x v="468"/>
      <x v="1146"/>
      <x v="53"/>
      <x v="3"/>
    </i>
    <i>
      <x v="1583"/>
      <x v="1581"/>
      <x v="41"/>
      <x v="3"/>
    </i>
    <i>
      <x v="2010"/>
      <x v="2006"/>
      <x v="35"/>
      <x v="2"/>
    </i>
    <i>
      <x v="1322"/>
      <x v="245"/>
      <x v="40"/>
      <x v="2"/>
    </i>
    <i>
      <x v="885"/>
      <x v="859"/>
      <x v="23"/>
      <x v="10"/>
    </i>
    <i>
      <x v="455"/>
      <x v="350"/>
      <x v="49"/>
      <x v="3"/>
    </i>
    <i>
      <x v="2197"/>
      <x v="2182"/>
      <x v="40"/>
      <x v="2"/>
    </i>
    <i>
      <x v="2367"/>
      <x v="2333"/>
      <x v="40"/>
      <x v="2"/>
    </i>
    <i>
      <x v="1207"/>
      <x v="103"/>
      <x v="40"/>
      <x v="2"/>
    </i>
    <i>
      <x v="1767"/>
      <x v="1763"/>
      <x v="47"/>
      <x v="2"/>
    </i>
    <i>
      <x v="1282"/>
      <x v="556"/>
      <x v="47"/>
      <x v="2"/>
    </i>
    <i>
      <x v="828"/>
      <x v="2752"/>
      <x v="23"/>
      <x v="10"/>
    </i>
    <i>
      <x v="772"/>
      <x v="891"/>
      <x v="23"/>
      <x v="10"/>
    </i>
    <i>
      <x v="134"/>
      <x v="514"/>
      <x v="35"/>
      <x v="2"/>
    </i>
    <i>
      <x v="2878"/>
      <x v="2869"/>
      <x v="35"/>
      <x v="2"/>
    </i>
    <i>
      <x v="140"/>
      <x v="1483"/>
      <x v="35"/>
      <x v="2"/>
    </i>
    <i>
      <x v="2769"/>
      <x v="2726"/>
      <x v="23"/>
      <x v="10"/>
    </i>
    <i>
      <x v="802"/>
      <x v="921"/>
      <x v="23"/>
      <x v="10"/>
    </i>
    <i>
      <x v="2593"/>
      <x v="2546"/>
      <x v="40"/>
      <x v="2"/>
    </i>
    <i>
      <x v="753"/>
      <x v="802"/>
      <x v="23"/>
      <x v="10"/>
    </i>
    <i>
      <x v="210"/>
      <x v="2294"/>
      <x v="51"/>
      <x v="2"/>
    </i>
    <i>
      <x v="2081"/>
      <x v="2075"/>
      <x v="40"/>
      <x v="2"/>
    </i>
    <i>
      <x v="1103"/>
      <x v="463"/>
      <x v="80"/>
      <x v="3"/>
    </i>
    <i>
      <x v="453"/>
      <x v="339"/>
      <x v="49"/>
      <x v="3"/>
    </i>
    <i>
      <x v="2818"/>
      <x v="2785"/>
      <x v="80"/>
      <x v="3"/>
    </i>
    <i>
      <x v="2608"/>
      <x v="2562"/>
      <x v="47"/>
      <x v="2"/>
    </i>
    <i>
      <x v="2216"/>
      <x v="2200"/>
      <x v="47"/>
      <x v="2"/>
    </i>
    <i>
      <x v="1799"/>
      <x v="1795"/>
      <x v="51"/>
      <x v="2"/>
    </i>
    <i>
      <x v="2369"/>
      <x v="2335"/>
      <x v="47"/>
      <x v="2"/>
    </i>
    <i>
      <x v="2490"/>
      <x v="207"/>
      <x v="47"/>
      <x v="2"/>
    </i>
    <i>
      <x v="1559"/>
      <x v="1557"/>
      <x v="44"/>
      <x v="3"/>
    </i>
    <i>
      <x v="556"/>
      <x v="16"/>
      <x v="41"/>
      <x v="3"/>
    </i>
    <i>
      <x v="1987"/>
      <x v="1981"/>
      <x v="35"/>
      <x v="2"/>
    </i>
    <i>
      <x v="732"/>
      <x v="930"/>
      <x v="23"/>
      <x v="10"/>
    </i>
    <i>
      <x v="147"/>
      <x v="410"/>
      <x v="35"/>
      <x v="2"/>
    </i>
    <i>
      <x v="1181"/>
      <x v="84"/>
      <x v="40"/>
      <x v="2"/>
    </i>
    <i>
      <x v="1793"/>
      <x v="1789"/>
      <x v="47"/>
      <x v="2"/>
    </i>
    <i>
      <x v="823"/>
      <x v="933"/>
      <x v="23"/>
      <x v="10"/>
    </i>
    <i>
      <x v="1642"/>
      <x v="1639"/>
      <x v="40"/>
      <x v="2"/>
    </i>
    <i>
      <x v="2009"/>
      <x v="2005"/>
      <x v="35"/>
      <x v="2"/>
    </i>
    <i>
      <x v="2098"/>
      <x v="2094"/>
      <x v="40"/>
      <x v="2"/>
    </i>
    <i>
      <x v="1442"/>
      <x v="150"/>
      <x v="40"/>
      <x v="2"/>
    </i>
    <i>
      <x v="596"/>
      <x v="1352"/>
      <x/>
      <x v="9"/>
    </i>
    <i>
      <x v="2541"/>
      <x v="2495"/>
      <x v="40"/>
      <x v="2"/>
    </i>
    <i>
      <x v="512"/>
      <x v="340"/>
      <x v="49"/>
      <x v="3"/>
    </i>
    <i>
      <x v="1991"/>
      <x v="1986"/>
      <x v="35"/>
      <x v="2"/>
    </i>
    <i>
      <x v="223"/>
      <x v="1382"/>
      <x v="40"/>
      <x v="2"/>
    </i>
    <i>
      <x v="2248"/>
      <x v="2228"/>
      <x v="40"/>
      <x v="2"/>
    </i>
    <i>
      <x v="415"/>
      <x v="652"/>
      <x v="55"/>
      <x v="7"/>
    </i>
    <i>
      <x v="1233"/>
      <x v="566"/>
      <x v="40"/>
      <x v="2"/>
    </i>
    <i>
      <x v="242"/>
      <x v="358"/>
      <x v="40"/>
      <x v="2"/>
    </i>
    <i>
      <x v="2597"/>
      <x v="2551"/>
      <x v="40"/>
      <x v="2"/>
    </i>
    <i>
      <x v="1162"/>
      <x v="72"/>
      <x v="40"/>
      <x v="2"/>
    </i>
    <i>
      <x v="2309"/>
      <x v="2280"/>
      <x v="40"/>
      <x v="2"/>
    </i>
    <i>
      <x v="2366"/>
      <x v="2332"/>
      <x v="40"/>
      <x v="2"/>
    </i>
    <i>
      <x v="1138"/>
      <x v="2161"/>
      <x v="40"/>
      <x v="2"/>
    </i>
    <i>
      <x v="1801"/>
      <x v="1797"/>
      <x v="40"/>
      <x v="2"/>
    </i>
    <i>
      <x v="2463"/>
      <x v="2424"/>
      <x v="47"/>
      <x v="2"/>
    </i>
    <i>
      <x v="2693"/>
      <x v="2643"/>
      <x v="59"/>
      <x v="9"/>
    </i>
    <i>
      <x v="2692"/>
      <x v="2642"/>
      <x v="59"/>
      <x v="9"/>
    </i>
    <i>
      <x v="1831"/>
      <x v="1827"/>
      <x v="47"/>
      <x v="2"/>
    </i>
    <i>
      <x v="2730"/>
      <x v="2686"/>
      <x v="44"/>
      <x v="3"/>
    </i>
    <i>
      <x v="1196"/>
      <x v="94"/>
      <x v="40"/>
      <x v="2"/>
    </i>
    <i>
      <x v="2555"/>
      <x v="2509"/>
      <x v="40"/>
      <x v="2"/>
    </i>
    <i>
      <x v="1821"/>
      <x v="1817"/>
      <x v="40"/>
      <x v="2"/>
    </i>
    <i>
      <x v="2250"/>
      <x v="2230"/>
      <x v="40"/>
      <x v="2"/>
    </i>
    <i>
      <x v="2531"/>
      <x v="2484"/>
      <x v="40"/>
      <x v="2"/>
    </i>
    <i>
      <x v="1704"/>
      <x v="1701"/>
      <x v="40"/>
      <x v="2"/>
    </i>
    <i>
      <x v="2079"/>
      <x v="2073"/>
      <x v="40"/>
      <x v="2"/>
    </i>
    <i>
      <x v="764"/>
      <x v="906"/>
      <x v="23"/>
      <x v="10"/>
    </i>
    <i>
      <x v="133"/>
      <x v="1984"/>
      <x v="35"/>
      <x v="2"/>
    </i>
    <i>
      <x v="296"/>
      <x v="974"/>
      <x v="78"/>
      <x v="9"/>
    </i>
    <i>
      <x v="795"/>
      <x v="865"/>
      <x v="23"/>
      <x v="10"/>
    </i>
    <i>
      <x v="698"/>
      <x v="826"/>
      <x v="23"/>
      <x v="10"/>
    </i>
    <i>
      <x v="2002"/>
      <x v="1997"/>
      <x v="35"/>
      <x v="2"/>
    </i>
    <i>
      <x v="2874"/>
      <x v="2864"/>
      <x v="40"/>
      <x v="2"/>
    </i>
    <i>
      <x v="1957"/>
      <x v="1949"/>
      <x v="51"/>
      <x v="2"/>
    </i>
    <i>
      <x v="1608"/>
      <x v="1605"/>
      <x v="56"/>
      <x v="5"/>
    </i>
    <i>
      <x v="457"/>
      <x v="127"/>
      <x v="49"/>
      <x v="3"/>
    </i>
    <i>
      <x v="2598"/>
      <x v="2552"/>
      <x v="47"/>
      <x v="2"/>
    </i>
    <i>
      <x v="1327"/>
      <x v="683"/>
      <x v="40"/>
      <x v="2"/>
    </i>
    <i>
      <x v="694"/>
      <x v="815"/>
      <x v="23"/>
      <x v="10"/>
    </i>
    <i>
      <x v="2454"/>
      <x v="2416"/>
      <x v="47"/>
      <x v="2"/>
    </i>
    <i>
      <x v="905"/>
      <x v="920"/>
      <x v="23"/>
      <x v="10"/>
    </i>
    <i>
      <x v="2296"/>
      <x v="2269"/>
      <x v="40"/>
      <x v="2"/>
    </i>
    <i>
      <x v="1981"/>
      <x v="1974"/>
      <x v="40"/>
      <x v="2"/>
    </i>
    <i>
      <x v="2304"/>
      <x v="2276"/>
      <x v="47"/>
      <x v="2"/>
    </i>
    <i>
      <x v="2493"/>
      <x v="2447"/>
      <x v="47"/>
      <x v="2"/>
    </i>
    <i>
      <x v="2451"/>
      <x v="2414"/>
      <x v="47"/>
      <x v="2"/>
    </i>
    <i>
      <x v="154"/>
      <x v="1025"/>
      <x v="35"/>
      <x v="2"/>
    </i>
    <i>
      <x v="865"/>
      <x v="352"/>
      <x v="24"/>
      <x v="7"/>
    </i>
    <i>
      <x v="482"/>
      <x v="132"/>
      <x/>
      <x v="3"/>
    </i>
    <i>
      <x v="1773"/>
      <x v="1769"/>
      <x v="51"/>
      <x v="2"/>
    </i>
    <i>
      <x v="976"/>
      <x v="517"/>
      <x v="15"/>
      <x v="3"/>
    </i>
    <i>
      <x v="1586"/>
      <x v="1583"/>
      <x v="67"/>
      <x v="3"/>
    </i>
    <i>
      <x v="214"/>
      <x v="733"/>
      <x v="40"/>
      <x v="2"/>
    </i>
    <i>
      <x v="2372"/>
      <x v="2338"/>
      <x v="40"/>
      <x v="2"/>
    </i>
    <i>
      <x v="1726"/>
      <x v="1721"/>
      <x v="35"/>
      <x v="2"/>
    </i>
    <i>
      <x v="720"/>
      <x v="869"/>
      <x v="23"/>
      <x v="10"/>
    </i>
    <i>
      <x v="836"/>
      <x v="955"/>
      <x v="23"/>
      <x v="10"/>
    </i>
    <i>
      <x v="195"/>
      <x v="637"/>
      <x v="47"/>
      <x v="2"/>
    </i>
    <i>
      <x v="135"/>
      <x v="1998"/>
      <x v="40"/>
      <x v="2"/>
    </i>
    <i>
      <x v="1101"/>
      <x v="478"/>
      <x v="6"/>
      <x v="3"/>
    </i>
    <i>
      <x v="1563"/>
      <x v="1561"/>
      <x v="41"/>
      <x v="3"/>
    </i>
    <i>
      <x v="926"/>
      <x v="977"/>
      <x/>
      <x v="9"/>
    </i>
    <i>
      <x v="1876"/>
      <x v="1872"/>
      <x v="7"/>
      <x v="2"/>
    </i>
    <i>
      <x v="1214"/>
      <x v="658"/>
      <x v="48"/>
      <x v="2"/>
    </i>
    <i>
      <x v="2695"/>
      <x v="2645"/>
      <x v="59"/>
      <x v="9"/>
    </i>
    <i>
      <x v="2113"/>
      <x v="2108"/>
      <x v="38"/>
      <x v="2"/>
    </i>
    <i>
      <x v="2545"/>
      <x v="2499"/>
      <x v="40"/>
      <x v="2"/>
    </i>
    <i>
      <x v="1699"/>
      <x v="1696"/>
      <x v="47"/>
      <x v="2"/>
    </i>
    <i>
      <x v="6"/>
      <x v="1271"/>
      <x/>
      <x v="9"/>
    </i>
    <i>
      <x v="2201"/>
      <x v="2186"/>
      <x v="40"/>
      <x v="2"/>
    </i>
    <i>
      <x v="2252"/>
      <x v="2232"/>
      <x v="35"/>
      <x v="2"/>
    </i>
    <i>
      <x v="2152"/>
      <x v="734"/>
      <x v="47"/>
      <x v="2"/>
    </i>
    <i>
      <x v="678"/>
      <x v="1431"/>
      <x v="23"/>
      <x v="4"/>
    </i>
    <i>
      <x v="2732"/>
      <x v="2688"/>
      <x v="44"/>
      <x v="3"/>
    </i>
    <i>
      <x v="1655"/>
      <x v="1652"/>
      <x v="47"/>
      <x v="2"/>
    </i>
    <i>
      <x v="1683"/>
      <x v="1680"/>
      <x v="51"/>
      <x v="2"/>
    </i>
    <i>
      <x v="63"/>
      <x v="1501"/>
      <x v="44"/>
      <x v="3"/>
    </i>
    <i>
      <x v="484"/>
      <x v="131"/>
      <x/>
      <x v="3"/>
    </i>
    <i>
      <x v="2342"/>
      <x v="2311"/>
      <x v="47"/>
      <x v="2"/>
    </i>
    <i>
      <x v="2725"/>
      <x v="2680"/>
      <x v="41"/>
      <x v="3"/>
    </i>
    <i>
      <x v="96"/>
      <x v="1412"/>
      <x v="47"/>
      <x v="2"/>
    </i>
    <i>
      <x v="1391"/>
      <x v="2860"/>
      <x v="40"/>
      <x v="2"/>
    </i>
    <i>
      <x v="2150"/>
      <x v="2141"/>
      <x v="51"/>
      <x v="2"/>
    </i>
    <i>
      <x v="21"/>
      <x v="1424"/>
      <x/>
      <x v="9"/>
    </i>
    <i>
      <x v="2475"/>
      <x v="2436"/>
      <x v="47"/>
      <x v="2"/>
    </i>
    <i>
      <x v="1979"/>
      <x v="1972"/>
      <x v="40"/>
      <x v="2"/>
    </i>
    <i>
      <x v="1139"/>
      <x v="53"/>
      <x v="40"/>
      <x v="2"/>
    </i>
    <i>
      <x v="516"/>
      <x v="1215"/>
      <x v="49"/>
      <x v="3"/>
    </i>
    <i>
      <x v="595"/>
      <x v="745"/>
      <x/>
      <x v="9"/>
    </i>
    <i>
      <x v="1091"/>
      <x v="1365"/>
      <x v="55"/>
      <x v="7"/>
    </i>
    <i>
      <x v="2232"/>
      <x v="2213"/>
      <x v="40"/>
      <x v="2"/>
    </i>
    <i>
      <x v="1965"/>
      <x v="1957"/>
      <x v="51"/>
      <x v="2"/>
    </i>
    <i>
      <x v="2080"/>
      <x v="2074"/>
      <x v="40"/>
      <x v="2"/>
    </i>
    <i>
      <x v="391"/>
      <x v="1368"/>
      <x v="56"/>
      <x v="5"/>
    </i>
    <i>
      <x v="982"/>
      <x v="1473"/>
      <x/>
      <x v="9"/>
    </i>
    <i>
      <x v="973"/>
      <x v="1481"/>
      <x/>
      <x v="9"/>
    </i>
    <i>
      <x v="2326"/>
      <x v="2293"/>
      <x v="47"/>
      <x v="2"/>
    </i>
    <i>
      <x v="1266"/>
      <x v="736"/>
      <x v="47"/>
      <x v="2"/>
    </i>
    <i>
      <x v="489"/>
      <x v="342"/>
      <x/>
      <x v="3"/>
    </i>
    <i>
      <x v="571"/>
      <x v="19"/>
      <x v="39"/>
      <x v="3"/>
    </i>
    <i>
      <x v="2323"/>
      <x v="249"/>
      <x v="40"/>
      <x v="2"/>
    </i>
    <i>
      <x v="2380"/>
      <x v="2346"/>
      <x v="40"/>
      <x v="2"/>
    </i>
    <i>
      <x v="1113"/>
      <x v="482"/>
      <x/>
      <x v="9"/>
    </i>
    <i>
      <x v="733"/>
      <x v="929"/>
      <x v="23"/>
      <x v="10"/>
    </i>
    <i>
      <x v="1261"/>
      <x v="430"/>
      <x v="47"/>
      <x v="2"/>
    </i>
    <i>
      <x v="1932"/>
      <x v="1928"/>
      <x v="40"/>
      <x v="2"/>
    </i>
    <i>
      <x v="1707"/>
      <x v="1704"/>
      <x v="35"/>
      <x v="2"/>
    </i>
    <i>
      <x v="1595"/>
      <x v="1592"/>
      <x v="44"/>
      <x v="3"/>
    </i>
    <i>
      <x v="1379"/>
      <x v="288"/>
      <x v="40"/>
      <x v="2"/>
    </i>
    <i>
      <x v="1362"/>
      <x v="750"/>
      <x v="40"/>
      <x v="2"/>
    </i>
    <i>
      <x v="20"/>
      <x v="675"/>
      <x/>
      <x v="9"/>
    </i>
    <i>
      <x v="101"/>
      <x v="698"/>
      <x v="47"/>
      <x v="2"/>
    </i>
    <i>
      <x v="855"/>
      <x v="856"/>
      <x v="23"/>
      <x v="10"/>
    </i>
    <i>
      <x v="1989"/>
      <x v="1983"/>
      <x v="35"/>
      <x v="2"/>
    </i>
    <i>
      <x v="594"/>
      <x v="746"/>
      <x/>
      <x v="9"/>
    </i>
    <i>
      <x v="924"/>
      <x v="638"/>
      <x v="40"/>
      <x v="2"/>
    </i>
    <i>
      <x v="2239"/>
      <x v="2219"/>
      <x v="40"/>
      <x v="2"/>
    </i>
    <i>
      <x v="555"/>
      <x v="15"/>
      <x v="41"/>
      <x v="3"/>
    </i>
    <i>
      <x v="2447"/>
      <x v="2410"/>
      <x v="35"/>
      <x v="2"/>
    </i>
    <i>
      <x v="2860"/>
      <x v="2836"/>
      <x v="47"/>
      <x v="2"/>
    </i>
    <i>
      <x v="2033"/>
      <x v="2029"/>
      <x v="47"/>
      <x v="2"/>
    </i>
    <i>
      <x v="2142"/>
      <x v="2132"/>
      <x v="40"/>
      <x v="2"/>
    </i>
    <i>
      <x v="2318"/>
      <x v="2287"/>
      <x v="40"/>
      <x v="2"/>
    </i>
    <i>
      <x v="1680"/>
      <x v="1677"/>
      <x v="47"/>
      <x v="2"/>
    </i>
    <i>
      <x v="467"/>
      <x v="116"/>
      <x/>
      <x v="3"/>
    </i>
    <i>
      <x v="1506"/>
      <x v="1353"/>
      <x v="87"/>
      <x v="3"/>
    </i>
    <i>
      <x v="2819"/>
      <x v="2786"/>
      <x v="80"/>
      <x v="3"/>
    </i>
    <i>
      <x v="808"/>
      <x v="905"/>
      <x v="23"/>
      <x v="10"/>
    </i>
    <i>
      <x v="2229"/>
      <x v="2211"/>
      <x v="40"/>
      <x v="2"/>
    </i>
    <i>
      <x v="540"/>
      <x v="2682"/>
      <x v="50"/>
      <x v="3"/>
    </i>
    <i>
      <x v="882"/>
      <x v="910"/>
      <x v="23"/>
      <x v="10"/>
    </i>
    <i>
      <x v="2107"/>
      <x v="2102"/>
      <x v="40"/>
      <x v="2"/>
    </i>
    <i>
      <x v="224"/>
      <x v="1383"/>
      <x v="40"/>
      <x v="2"/>
    </i>
    <i>
      <x v="585"/>
      <x v="1305"/>
      <x/>
      <x v="9"/>
    </i>
    <i>
      <x v="2576"/>
      <x v="2529"/>
      <x v="40"/>
      <x v="2"/>
    </i>
    <i>
      <x v="1099"/>
      <x v="460"/>
      <x/>
      <x v="3"/>
    </i>
    <i>
      <x v="2089"/>
      <x v="2085"/>
      <x v="51"/>
      <x v="2"/>
    </i>
    <i>
      <x v="2373"/>
      <x v="2339"/>
      <x v="40"/>
      <x v="2"/>
    </i>
    <i>
      <x v="2436"/>
      <x v="2399"/>
      <x v="47"/>
      <x v="2"/>
    </i>
    <i>
      <x v="2001"/>
      <x v="1996"/>
      <x v="35"/>
      <x v="2"/>
    </i>
    <i>
      <x v="1013"/>
      <x v="625"/>
      <x/>
      <x v="9"/>
    </i>
    <i>
      <x v="2491"/>
      <x v="2445"/>
      <x v="47"/>
      <x v="2"/>
    </i>
    <i>
      <x v="1573"/>
      <x v="1571"/>
      <x v="39"/>
      <x v="3"/>
    </i>
    <i>
      <x v="2668"/>
      <x v="2615"/>
      <x v="40"/>
      <x v="2"/>
    </i>
    <i>
      <x v="2179"/>
      <x v="2170"/>
      <x v="47"/>
      <x v="2"/>
    </i>
    <i>
      <x v="606"/>
      <x v="535"/>
      <x/>
      <x v="9"/>
    </i>
    <i>
      <x v="354"/>
      <x v="1103"/>
      <x v="44"/>
      <x v="3"/>
    </i>
    <i>
      <x v="88"/>
      <x v="636"/>
      <x v="48"/>
      <x v="2"/>
    </i>
    <i>
      <x v="2464"/>
      <x v="2425"/>
      <x v="47"/>
      <x v="2"/>
    </i>
    <i>
      <x v="2489"/>
      <x v="2444"/>
      <x v="47"/>
      <x v="2"/>
    </i>
    <i>
      <x v="1483"/>
      <x v="496"/>
      <x v="87"/>
      <x v="3"/>
    </i>
    <i>
      <x v="2225"/>
      <x v="2207"/>
      <x v="47"/>
      <x v="2"/>
    </i>
    <i>
      <x v="2747"/>
      <x v="2703"/>
      <x v="5"/>
      <x v="3"/>
    </i>
    <i>
      <x v="2214"/>
      <x v="2197"/>
      <x v="40"/>
      <x v="2"/>
    </i>
    <i>
      <x v="2334"/>
      <x v="2301"/>
      <x v="51"/>
      <x v="2"/>
    </i>
    <i>
      <x v="280"/>
      <x v="2635"/>
      <x v="40"/>
      <x v="2"/>
    </i>
    <i>
      <x v="2146"/>
      <x v="2136"/>
      <x v="47"/>
      <x v="2"/>
    </i>
    <i>
      <x v="2813"/>
      <x v="2779"/>
      <x v="67"/>
      <x v="3"/>
    </i>
    <i>
      <x v="1928"/>
      <x v="1923"/>
      <x v="47"/>
      <x v="2"/>
    </i>
    <i>
      <x v="2662"/>
      <x v="2610"/>
      <x v="47"/>
      <x v="2"/>
    </i>
    <i>
      <x v="1718"/>
      <x v="1713"/>
      <x v="35"/>
      <x v="2"/>
    </i>
    <i>
      <x v="1463"/>
      <x v="488"/>
      <x v="45"/>
      <x v="3"/>
    </i>
    <i>
      <x v="81"/>
      <x v="1440"/>
      <x v="41"/>
      <x v="3"/>
    </i>
    <i>
      <x v="2272"/>
      <x v="205"/>
      <x v="47"/>
      <x v="2"/>
    </i>
    <i>
      <x v="600"/>
      <x v="1149"/>
      <x/>
      <x v="9"/>
    </i>
    <i>
      <x v="927"/>
      <x v="983"/>
      <x/>
      <x v="9"/>
    </i>
    <i>
      <x v="1557"/>
      <x v="1555"/>
      <x v="44"/>
      <x v="3"/>
    </i>
    <i>
      <x v="1811"/>
      <x v="1807"/>
      <x v="47"/>
      <x v="2"/>
    </i>
    <i>
      <x v="2004"/>
      <x v="2000"/>
      <x v="35"/>
      <x v="2"/>
    </i>
    <i>
      <x v="1843"/>
      <x v="1839"/>
      <x v="35"/>
      <x v="2"/>
    </i>
    <i>
      <x v="1832"/>
      <x v="1828"/>
      <x v="47"/>
      <x v="2"/>
    </i>
    <i>
      <x v="328"/>
      <x v="539"/>
      <x/>
      <x v="9"/>
    </i>
    <i>
      <x v="1193"/>
      <x v="508"/>
      <x v="40"/>
      <x v="2"/>
    </i>
    <i>
      <x v="2158"/>
      <x v="2147"/>
      <x v="47"/>
      <x v="2"/>
    </i>
    <i>
      <x v="2106"/>
      <x v="2101"/>
      <x v="40"/>
      <x v="2"/>
    </i>
    <i>
      <x v="2301"/>
      <x v="2274"/>
      <x v="40"/>
      <x v="2"/>
    </i>
    <i>
      <x v="2412"/>
      <x v="2379"/>
      <x v="40"/>
      <x v="2"/>
    </i>
    <i>
      <x v="1840"/>
      <x v="1836"/>
      <x v="47"/>
      <x v="2"/>
    </i>
    <i>
      <x v="1845"/>
      <x v="1841"/>
      <x v="38"/>
      <x v="2"/>
    </i>
    <i>
      <x v="719"/>
      <x v="912"/>
      <x v="23"/>
      <x v="10"/>
    </i>
    <i>
      <x v="1634"/>
      <x v="1632"/>
      <x v="70"/>
      <x v="2"/>
    </i>
    <i>
      <x v="2627"/>
      <x v="2580"/>
      <x v="47"/>
      <x v="2"/>
    </i>
    <i>
      <x v="1736"/>
      <x v="1731"/>
      <x v="40"/>
      <x v="2"/>
    </i>
    <i>
      <x v="1947"/>
      <x v="1940"/>
      <x v="35"/>
      <x v="2"/>
    </i>
    <i>
      <x v="1755"/>
      <x v="1751"/>
      <x v="40"/>
      <x v="2"/>
    </i>
    <i>
      <x v="1564"/>
      <x v="1562"/>
      <x v="39"/>
      <x v="3"/>
    </i>
    <i>
      <x v="164"/>
      <x v="239"/>
      <x v="35"/>
      <x v="2"/>
    </i>
    <i>
      <x v="2288"/>
      <x v="2264"/>
      <x v="40"/>
      <x v="2"/>
    </i>
    <i>
      <x v="2319"/>
      <x v="2288"/>
      <x v="40"/>
      <x v="2"/>
    </i>
    <i>
      <x v="2291"/>
      <x v="2266"/>
      <x v="40"/>
      <x v="2"/>
    </i>
    <i>
      <x v="240"/>
      <x v="1231"/>
      <x v="38"/>
      <x v="2"/>
    </i>
    <i>
      <x v="2455"/>
      <x v="2417"/>
      <x v="51"/>
      <x v="2"/>
    </i>
    <i>
      <x v="1562"/>
      <x v="1560"/>
      <x v="44"/>
      <x v="3"/>
    </i>
    <i>
      <x v="1466"/>
      <x v="1007"/>
      <x v="23"/>
      <x v="9"/>
    </i>
    <i>
      <x v="102"/>
      <x v="1209"/>
      <x v="38"/>
      <x v="2"/>
    </i>
    <i>
      <x v="2354"/>
      <x v="153"/>
      <x v="40"/>
      <x v="2"/>
    </i>
    <i>
      <x v="1010"/>
      <x v="1084"/>
      <x v="28"/>
      <x v="3"/>
    </i>
    <i>
      <x v="2889"/>
      <x v="2884"/>
      <x v="40"/>
      <x v="2"/>
    </i>
    <i>
      <x v="1753"/>
      <x v="1749"/>
      <x v="47"/>
      <x v="2"/>
    </i>
    <i>
      <x v="838"/>
      <x v="864"/>
      <x v="23"/>
      <x v="10"/>
    </i>
    <i>
      <x v="1936"/>
      <x v="1931"/>
      <x v="1"/>
      <x v="2"/>
    </i>
    <i>
      <x v="2476"/>
      <x v="2437"/>
      <x v="47"/>
      <x v="2"/>
    </i>
    <i>
      <x v="1730"/>
      <x v="1725"/>
      <x v="40"/>
      <x v="2"/>
    </i>
    <i>
      <x v="1515"/>
      <x v="1512"/>
      <x v="40"/>
      <x v="2"/>
    </i>
    <i>
      <x v="942"/>
      <x v="1275"/>
      <x/>
      <x v="9"/>
    </i>
    <i>
      <x v="1046"/>
      <x v="472"/>
      <x/>
      <x v="3"/>
    </i>
    <i>
      <x v="1018"/>
      <x v="1287"/>
      <x/>
      <x v="9"/>
    </i>
    <i>
      <x v="988"/>
      <x v="1251"/>
      <x/>
      <x v="3"/>
    </i>
    <i>
      <x v="2241"/>
      <x v="2221"/>
      <x v="40"/>
      <x v="2"/>
    </i>
    <i>
      <x v="2222"/>
      <x v="102"/>
      <x v="40"/>
      <x v="2"/>
    </i>
    <i>
      <x v="2160"/>
      <x v="2149"/>
      <x v="40"/>
      <x v="2"/>
    </i>
    <i>
      <x v="2109"/>
      <x v="2104"/>
      <x v="40"/>
      <x v="2"/>
    </i>
    <i>
      <x v="494"/>
      <x v="138"/>
      <x/>
      <x v="3"/>
    </i>
    <i>
      <x v="1406"/>
      <x v="573"/>
      <x v="40"/>
      <x v="2"/>
    </i>
    <i>
      <x v="162"/>
      <x v="238"/>
      <x v="35"/>
      <x v="2"/>
    </i>
    <i>
      <x v="1212"/>
      <x v="148"/>
      <x v="40"/>
      <x v="2"/>
    </i>
    <i>
      <x v="2716"/>
      <x v="2667"/>
      <x v="55"/>
      <x v="8"/>
    </i>
    <i>
      <x v="2683"/>
      <x v="2631"/>
      <x v="4"/>
      <x v="2"/>
    </i>
    <i>
      <x v="124"/>
      <x v="1968"/>
      <x v="40"/>
      <x v="2"/>
    </i>
    <i>
      <x v="1644"/>
      <x v="1641"/>
      <x v="47"/>
      <x v="2"/>
    </i>
    <i>
      <x v="1561"/>
      <x v="1559"/>
      <x v="44"/>
      <x v="3"/>
    </i>
    <i>
      <x v="198"/>
      <x v="71"/>
      <x v="40"/>
      <x v="2"/>
    </i>
    <i>
      <x v="2525"/>
      <x v="2477"/>
      <x v="40"/>
      <x v="2"/>
    </i>
    <i>
      <x v="1949"/>
      <x v="1942"/>
      <x v="35"/>
      <x v="2"/>
    </i>
    <i>
      <x v="299"/>
      <x v="969"/>
      <x/>
      <x v="9"/>
    </i>
    <i>
      <x v="2149"/>
      <x v="2140"/>
      <x v="47"/>
      <x v="2"/>
    </i>
    <i>
      <x v="736"/>
      <x v="932"/>
      <x v="23"/>
      <x v="10"/>
    </i>
    <i>
      <x v="574"/>
      <x v="11"/>
      <x v="41"/>
      <x v="3"/>
    </i>
    <i>
      <x v="1396"/>
      <x v="419"/>
      <x v="47"/>
      <x v="2"/>
    </i>
    <i>
      <x v="2306"/>
      <x v="2277"/>
      <x v="40"/>
      <x v="2"/>
    </i>
    <i>
      <x v="2870"/>
      <x v="2856"/>
      <x v="38"/>
      <x v="2"/>
    </i>
    <i>
      <x v="2469"/>
      <x v="2430"/>
      <x v="47"/>
      <x v="2"/>
    </i>
    <i>
      <x v="1820"/>
      <x v="1816"/>
      <x v="47"/>
      <x v="2"/>
    </i>
    <i>
      <x v="1443"/>
      <x v="513"/>
      <x/>
      <x v="9"/>
    </i>
    <i>
      <x v="1453"/>
      <x v="489"/>
      <x v="45"/>
      <x v="3"/>
    </i>
    <i>
      <x v="1879"/>
      <x v="1875"/>
      <x v="48"/>
      <x v="2"/>
    </i>
    <i>
      <x v="2800"/>
      <x v="2767"/>
      <x v="40"/>
      <x v="2"/>
    </i>
    <i>
      <x v="1806"/>
      <x v="1802"/>
      <x v="51"/>
      <x v="2"/>
    </i>
    <i>
      <x v="2013"/>
      <x v="2009"/>
      <x v="35"/>
      <x v="2"/>
    </i>
    <i>
      <x v="634"/>
      <x v="723"/>
      <x/>
      <x v="9"/>
    </i>
    <i>
      <x v="2249"/>
      <x v="2229"/>
      <x v="40"/>
      <x v="2"/>
    </i>
    <i>
      <x v="2640"/>
      <x v="2593"/>
      <x v="47"/>
      <x v="2"/>
    </i>
    <i>
      <x v="2100"/>
      <x v="2096"/>
      <x v="47"/>
      <x v="2"/>
    </i>
    <i>
      <x v="817"/>
      <x v="797"/>
      <x v="23"/>
      <x v="10"/>
    </i>
    <i>
      <x v="474"/>
      <x v="146"/>
      <x v="8"/>
      <x v="3"/>
    </i>
    <i>
      <x v="1221"/>
      <x v="2825"/>
      <x v="40"/>
      <x v="2"/>
    </i>
    <i>
      <x v="1837"/>
      <x v="1833"/>
      <x v="40"/>
      <x v="2"/>
    </i>
    <i>
      <x v="45"/>
      <x v="752"/>
      <x v="39"/>
      <x v="3"/>
    </i>
    <i>
      <x v="2058"/>
      <x v="2054"/>
      <x v="4"/>
      <x v="2"/>
    </i>
    <i>
      <x v="2682"/>
      <x v="2630"/>
      <x v="40"/>
      <x v="2"/>
    </i>
    <i>
      <x v="1766"/>
      <x v="1762"/>
      <x v="35"/>
      <x v="2"/>
    </i>
    <i>
      <x v="685"/>
      <x v="813"/>
      <x v="23"/>
      <x v="10"/>
    </i>
    <i>
      <x v="2140"/>
      <x v="2131"/>
      <x v="35"/>
      <x v="2"/>
    </i>
    <i>
      <x v="273"/>
      <x v="661"/>
      <x v="40"/>
      <x v="2"/>
    </i>
    <i>
      <x v="60"/>
      <x v="1505"/>
      <x v="44"/>
      <x v="3"/>
    </i>
    <i>
      <x v="2162"/>
      <x v="2152"/>
      <x v="47"/>
      <x v="2"/>
    </i>
    <i>
      <x v="1696"/>
      <x v="1693"/>
      <x v="47"/>
      <x v="2"/>
    </i>
    <i>
      <x v="2255"/>
      <x v="2235"/>
      <x v="40"/>
      <x v="2"/>
    </i>
    <i>
      <x v="2497"/>
      <x v="2450"/>
      <x v="40"/>
      <x v="2"/>
    </i>
    <i>
      <x v="2116"/>
      <x v="297"/>
      <x v="38"/>
      <x v="2"/>
    </i>
    <i>
      <x v="2494"/>
      <x v="215"/>
      <x v="40"/>
      <x v="2"/>
    </i>
    <i>
      <x v="2631"/>
      <x v="2584"/>
      <x v="40"/>
      <x v="2"/>
    </i>
    <i>
      <x v="1749"/>
      <x v="1744"/>
      <x v="40"/>
      <x v="2"/>
    </i>
    <i>
      <x v="518"/>
      <x v="1454"/>
      <x v="56"/>
      <x v="5"/>
    </i>
    <i>
      <x v="61"/>
      <x v="1506"/>
      <x v="44"/>
      <x v="3"/>
    </i>
    <i>
      <x v="2612"/>
      <x v="2566"/>
      <x v="40"/>
      <x v="2"/>
    </i>
    <i>
      <x v="2381"/>
      <x v="2347"/>
      <x v="40"/>
      <x v="2"/>
    </i>
    <i>
      <x v="1903"/>
      <x v="1898"/>
      <x v="35"/>
      <x v="2"/>
    </i>
    <i>
      <x v="1484"/>
      <x v="495"/>
      <x v="87"/>
      <x v="3"/>
    </i>
    <i>
      <x v="1275"/>
      <x v="199"/>
      <x v="43"/>
      <x v="2"/>
    </i>
    <i>
      <x v="2484"/>
      <x v="183"/>
      <x v="47"/>
      <x v="2"/>
    </i>
    <i>
      <x v="1235"/>
      <x v="1384"/>
      <x v="40"/>
      <x v="2"/>
    </i>
    <i>
      <x v="2532"/>
      <x v="2485"/>
      <x v="40"/>
      <x v="2"/>
    </i>
    <i>
      <x v="515"/>
      <x v="373"/>
      <x v="49"/>
      <x v="3"/>
    </i>
    <i>
      <x v="1776"/>
      <x v="1772"/>
      <x v="40"/>
      <x v="2"/>
    </i>
    <i>
      <x v="1772"/>
      <x v="1768"/>
      <x v="40"/>
      <x v="2"/>
    </i>
    <i>
      <x v="2817"/>
      <x v="2784"/>
      <x v="80"/>
      <x v="3"/>
    </i>
    <i>
      <x v="1455"/>
      <x v="1490"/>
      <x v="45"/>
      <x v="3"/>
    </i>
    <i>
      <x v="1616"/>
      <x v="1614"/>
      <x v="47"/>
      <x v="2"/>
    </i>
    <i>
      <x v="1898"/>
      <x v="1894"/>
      <x v="35"/>
      <x v="2"/>
    </i>
    <i>
      <x v="2417"/>
      <x v="2384"/>
      <x v="40"/>
      <x v="2"/>
    </i>
    <i>
      <x v="353"/>
      <x v="631"/>
      <x/>
      <x v="9"/>
    </i>
    <i>
      <x v="2281"/>
      <x v="2257"/>
      <x v="47"/>
      <x v="2"/>
    </i>
    <i>
      <x v="2552"/>
      <x v="2506"/>
      <x v="40"/>
      <x v="2"/>
    </i>
    <i>
      <x v="590"/>
      <x v="991"/>
      <x/>
      <x v="9"/>
    </i>
    <i>
      <x v="584"/>
      <x v="1306"/>
      <x/>
      <x v="9"/>
    </i>
    <i>
      <x v="1649"/>
      <x v="1646"/>
      <x v="47"/>
      <x v="2"/>
    </i>
    <i>
      <x v="1623"/>
      <x v="1621"/>
      <x v="47"/>
      <x v="2"/>
    </i>
    <i>
      <x v="1009"/>
      <x v="1054"/>
      <x v="29"/>
      <x v="3"/>
    </i>
    <i>
      <x v="1725"/>
      <x v="1720"/>
      <x v="35"/>
      <x v="2"/>
    </i>
    <i>
      <x v="2097"/>
      <x v="2093"/>
      <x v="47"/>
      <x v="2"/>
    </i>
    <i>
      <x v="269"/>
      <x v="304"/>
      <x v="47"/>
      <x v="2"/>
    </i>
    <i>
      <x v="2544"/>
      <x v="2498"/>
      <x v="40"/>
      <x v="2"/>
    </i>
    <i>
      <x v="2479"/>
      <x v="79"/>
      <x v="40"/>
      <x v="2"/>
    </i>
    <i>
      <x v="1833"/>
      <x v="1829"/>
      <x v="51"/>
      <x v="2"/>
    </i>
    <i>
      <x v="538"/>
      <x v="674"/>
      <x v="44"/>
      <x v="3"/>
    </i>
    <i>
      <x v="858"/>
      <x v="953"/>
      <x v="23"/>
      <x v="10"/>
    </i>
    <i>
      <x v="2117"/>
      <x v="2111"/>
      <x v="40"/>
      <x v="2"/>
    </i>
    <i>
      <x v="1926"/>
      <x v="1921"/>
      <x v="40"/>
      <x v="2"/>
    </i>
    <i>
      <x v="652"/>
      <x v="35"/>
      <x v="24"/>
      <x v="8"/>
    </i>
    <i>
      <x v="2425"/>
      <x v="2388"/>
      <x v="40"/>
      <x v="2"/>
    </i>
    <i>
      <x v="728"/>
      <x v="843"/>
      <x v="23"/>
      <x v="10"/>
    </i>
    <i>
      <x v="1678"/>
      <x v="1675"/>
      <x v="47"/>
      <x v="2"/>
    </i>
    <i>
      <x v="1325"/>
      <x v="247"/>
      <x v="40"/>
      <x v="2"/>
    </i>
    <i>
      <x v="1754"/>
      <x v="1750"/>
      <x v="47"/>
      <x v="2"/>
    </i>
    <i>
      <x v="2643"/>
      <x v="2596"/>
      <x v="40"/>
      <x v="2"/>
    </i>
    <i>
      <x v="1747"/>
      <x v="1742"/>
      <x v="40"/>
      <x v="2"/>
    </i>
    <i>
      <x v="1459"/>
      <x v="1272"/>
      <x/>
      <x v="9"/>
    </i>
    <i>
      <x v="615"/>
      <x v="976"/>
      <x/>
      <x v="9"/>
    </i>
    <i>
      <x v="1748"/>
      <x v="1743"/>
      <x v="40"/>
      <x v="2"/>
    </i>
    <i>
      <x v="2453"/>
      <x v="2415"/>
      <x v="47"/>
      <x v="2"/>
    </i>
    <i>
      <x v="64"/>
      <x v="1502"/>
      <x v="44"/>
      <x v="3"/>
    </i>
    <i>
      <x v="2119"/>
      <x v="280"/>
      <x v="40"/>
      <x v="2"/>
    </i>
    <i>
      <x v="2546"/>
      <x v="2500"/>
      <x v="40"/>
      <x v="2"/>
    </i>
    <i>
      <x v="1601"/>
      <x v="1598"/>
      <x v="50"/>
      <x v="3"/>
    </i>
    <i>
      <x v="177"/>
      <x v="623"/>
      <x v="38"/>
      <x v="2"/>
    </i>
    <i>
      <x v="912"/>
      <x v="1225"/>
      <x v="40"/>
      <x v="2"/>
    </i>
    <i>
      <x v="2213"/>
      <x v="2196"/>
      <x v="35"/>
      <x v="2"/>
    </i>
    <i>
      <x v="2635"/>
      <x v="2588"/>
      <x v="48"/>
      <x v="2"/>
    </i>
    <i>
      <x v="2426"/>
      <x v="2389"/>
      <x v="40"/>
      <x v="2"/>
    </i>
    <i>
      <x v="1986"/>
      <x v="1980"/>
      <x v="35"/>
      <x v="2"/>
    </i>
    <i>
      <x v="2199"/>
      <x v="2184"/>
      <x v="40"/>
      <x v="2"/>
    </i>
    <i>
      <x v="2694"/>
      <x v="2644"/>
      <x v="59"/>
      <x v="9"/>
    </i>
    <i>
      <x v="2137"/>
      <x v="2128"/>
      <x v="40"/>
      <x v="2"/>
    </i>
    <i>
      <x v="136"/>
      <x v="1300"/>
      <x v="35"/>
      <x v="2"/>
    </i>
    <i>
      <x v="2856"/>
      <x v="2832"/>
      <x v="47"/>
      <x v="2"/>
    </i>
    <i>
      <x v="490"/>
      <x v="120"/>
      <x/>
      <x v="3"/>
    </i>
    <i>
      <x v="608"/>
      <x v="1148"/>
      <x/>
      <x v="9"/>
    </i>
    <i>
      <x v="11"/>
      <x v="1401"/>
      <x/>
      <x v="9"/>
    </i>
    <i>
      <x v="938"/>
      <x v="1219"/>
      <x/>
      <x v="9"/>
    </i>
    <i>
      <x v="358"/>
      <x v="1206"/>
      <x/>
      <x v="9"/>
    </i>
    <i>
      <x v="303"/>
      <x v="981"/>
      <x/>
      <x v="9"/>
    </i>
    <i>
      <x v="2821"/>
      <x v="2788"/>
      <x v="23"/>
      <x v="9"/>
    </i>
    <i>
      <x v="2687"/>
      <x v="2637"/>
      <x v="71"/>
      <x v="2"/>
    </i>
    <i>
      <x v="238"/>
      <x v="1297"/>
      <x v="40"/>
      <x v="2"/>
    </i>
    <i>
      <x v="2422"/>
      <x v="2387"/>
      <x v="35"/>
      <x v="2"/>
    </i>
    <i>
      <x v="621"/>
      <x v="1284"/>
      <x/>
      <x v="9"/>
    </i>
    <i>
      <x v="253"/>
      <x v="664"/>
      <x v="40"/>
      <x v="2"/>
    </i>
    <i>
      <x v="1978"/>
      <x v="1971"/>
      <x v="40"/>
      <x v="2"/>
    </i>
    <i>
      <x v="1839"/>
      <x v="1835"/>
      <x v="47"/>
      <x v="2"/>
    </i>
    <i>
      <x v="1095"/>
      <x v="1318"/>
      <x v="5"/>
      <x v="3"/>
    </i>
    <i>
      <x v="117"/>
      <x v="1467"/>
      <x v="35"/>
      <x v="2"/>
    </i>
    <i>
      <x v="1805"/>
      <x v="1801"/>
      <x v="51"/>
      <x v="2"/>
    </i>
    <i>
      <x v="2257"/>
      <x v="2237"/>
      <x v="47"/>
      <x v="2"/>
    </i>
    <i>
      <x v="2348"/>
      <x v="2317"/>
      <x v="40"/>
      <x v="2"/>
    </i>
    <i>
      <x v="1258"/>
      <x v="734"/>
      <x v="47"/>
      <x v="2"/>
    </i>
    <i>
      <x v="2478"/>
      <x v="78"/>
      <x v="40"/>
      <x v="2"/>
    </i>
    <i>
      <x v="1203"/>
      <x v="2818"/>
      <x v="40"/>
      <x v="2"/>
    </i>
    <i>
      <x v="2537"/>
      <x v="2491"/>
      <x v="40"/>
      <x v="2"/>
    </i>
    <i>
      <x v="300"/>
      <x v="1484"/>
      <x v="45"/>
      <x v="3"/>
    </i>
    <i>
      <x v="2200"/>
      <x v="2185"/>
      <x v="40"/>
      <x v="2"/>
    </i>
    <i>
      <x v="1571"/>
      <x v="1569"/>
      <x v="44"/>
      <x v="3"/>
    </i>
    <i>
      <x v="1576"/>
      <x v="1574"/>
      <x v="44"/>
      <x v="3"/>
    </i>
    <i>
      <x v="118"/>
      <x v="1138"/>
      <x v="35"/>
      <x v="2"/>
    </i>
    <i>
      <x v="1499"/>
      <x v="699"/>
      <x v="87"/>
      <x v="3"/>
    </i>
    <i>
      <x v="2554"/>
      <x v="2508"/>
      <x v="47"/>
      <x v="2"/>
    </i>
    <i>
      <x v="1846"/>
      <x v="1842"/>
      <x v="47"/>
      <x v="2"/>
    </i>
    <i>
      <x v="593"/>
      <x v="749"/>
      <x/>
      <x v="9"/>
    </i>
    <i>
      <x v="510"/>
      <x v="1499"/>
      <x v="44"/>
      <x v="3"/>
    </i>
    <i>
      <x v="378"/>
      <x v="403"/>
      <x v="56"/>
      <x v="5"/>
    </i>
    <i>
      <x v="2129"/>
      <x v="2121"/>
      <x v="40"/>
      <x v="2"/>
    </i>
    <i>
      <x v="1688"/>
      <x v="1685"/>
      <x v="51"/>
      <x v="2"/>
    </i>
    <i>
      <x v="841"/>
      <x v="960"/>
      <x v="23"/>
      <x v="10"/>
    </i>
    <i>
      <x v="1900"/>
      <x v="1896"/>
      <x v="35"/>
      <x v="2"/>
    </i>
    <i>
      <x v="1617"/>
      <x v="1615"/>
      <x v="51"/>
      <x v="2"/>
    </i>
    <i>
      <x v="650"/>
      <x v="814"/>
      <x v="23"/>
      <x v="10"/>
    </i>
    <i>
      <x v="1411"/>
      <x v="316"/>
      <x v="7"/>
      <x v="2"/>
    </i>
    <i>
      <x v="122"/>
      <x v="612"/>
      <x v="35"/>
      <x v="2"/>
    </i>
    <i>
      <x v="1732"/>
      <x v="1727"/>
      <x v="40"/>
      <x v="2"/>
    </i>
    <i>
      <x v="1156"/>
      <x v="559"/>
      <x v="40"/>
      <x v="2"/>
    </i>
    <i>
      <x v="1435"/>
      <x v="725"/>
      <x v="4"/>
      <x v="2"/>
    </i>
    <i>
      <x v="1847"/>
      <x v="1843"/>
      <x v="47"/>
      <x v="2"/>
    </i>
    <i>
      <x v="2096"/>
      <x v="192"/>
      <x v="47"/>
      <x v="2"/>
    </i>
    <i>
      <x v="1706"/>
      <x v="1703"/>
      <x v="47"/>
      <x v="2"/>
    </i>
    <i>
      <x v="2138"/>
      <x v="206"/>
      <x v="47"/>
      <x v="2"/>
    </i>
    <i>
      <x v="513"/>
      <x v="375"/>
      <x v="49"/>
      <x v="3"/>
    </i>
    <i>
      <x v="1868"/>
      <x v="1864"/>
      <x v="40"/>
      <x v="2"/>
    </i>
    <i>
      <x v="179"/>
      <x v="209"/>
      <x v="47"/>
      <x v="2"/>
    </i>
    <i>
      <x v="2420"/>
      <x v="2386"/>
      <x v="40"/>
      <x v="2"/>
    </i>
    <i>
      <x v="1893"/>
      <x v="1889"/>
      <x v="51"/>
      <x v="2"/>
    </i>
    <i>
      <x v="629"/>
      <x v="422"/>
      <x/>
      <x v="9"/>
    </i>
    <i>
      <x v="1996"/>
      <x v="1991"/>
      <x v="35"/>
      <x v="2"/>
    </i>
    <i>
      <x v="1222"/>
      <x v="155"/>
      <x v="40"/>
      <x v="2"/>
    </i>
    <i>
      <x v="400"/>
      <x v="401"/>
      <x v="56"/>
      <x v="6"/>
    </i>
    <i>
      <x v="1719"/>
      <x v="1714"/>
      <x v="40"/>
      <x v="2"/>
    </i>
    <i>
      <x v="1698"/>
      <x v="1695"/>
      <x v="40"/>
      <x v="2"/>
    </i>
    <i>
      <x v="1956"/>
      <x v="1948"/>
      <x v="51"/>
      <x v="2"/>
    </i>
    <i>
      <x v="2209"/>
      <x v="2193"/>
      <x v="47"/>
      <x v="2"/>
    </i>
    <i>
      <x v="1808"/>
      <x v="1804"/>
      <x v="40"/>
      <x v="2"/>
    </i>
    <i>
      <x v="2901"/>
      <x v="2896"/>
      <x v="40"/>
      <x v="2"/>
    </i>
    <i>
      <x v="1445"/>
      <x v="271"/>
      <x/>
      <x v="9"/>
    </i>
    <i>
      <x v="2364"/>
      <x v="2330"/>
      <x v="51"/>
      <x v="2"/>
    </i>
    <i>
      <x v="155"/>
      <x v="421"/>
      <x v="35"/>
      <x v="2"/>
    </i>
    <i>
      <x v="1950"/>
      <x v="1017"/>
      <x v="35"/>
      <x v="2"/>
    </i>
    <i>
      <x v="202"/>
      <x v="2240"/>
      <x v="38"/>
      <x v="2"/>
    </i>
    <i>
      <x v="1232"/>
      <x v="164"/>
      <x v="40"/>
      <x v="2"/>
    </i>
    <i>
      <x v="168"/>
      <x v="241"/>
      <x v="35"/>
      <x v="2"/>
    </i>
    <i>
      <x v="1184"/>
      <x v="87"/>
      <x v="40"/>
      <x v="2"/>
    </i>
    <i>
      <x v="1739"/>
      <x v="1734"/>
      <x v="47"/>
      <x v="2"/>
    </i>
    <i>
      <x v="93"/>
      <x v="1448"/>
      <x v="40"/>
      <x v="2"/>
    </i>
    <i>
      <x v="1022"/>
      <x v="2783"/>
      <x/>
      <x v="9"/>
    </i>
    <i>
      <x v="1011"/>
      <x v="1085"/>
      <x v="28"/>
      <x v="3"/>
    </i>
    <i>
      <x v="16"/>
      <x v="1076"/>
      <x/>
      <x v="9"/>
    </i>
    <i>
      <x v="1427"/>
      <x v="2879"/>
      <x v="7"/>
      <x v="2"/>
    </i>
    <i>
      <x v="1271"/>
      <x v="194"/>
      <x v="47"/>
      <x v="2"/>
    </i>
    <i>
      <x v="2315"/>
      <x v="2285"/>
      <x v="40"/>
      <x v="2"/>
    </i>
    <i>
      <x v="1759"/>
      <x v="1755"/>
      <x v="40"/>
      <x v="2"/>
    </i>
    <i>
      <x v="1982"/>
      <x v="1975"/>
      <x v="47"/>
      <x v="2"/>
    </i>
    <i>
      <x v="2610"/>
      <x v="2564"/>
      <x v="47"/>
      <x v="2"/>
    </i>
    <i>
      <x v="1738"/>
      <x v="1733"/>
      <x v="47"/>
      <x v="2"/>
    </i>
    <i>
      <x v="1277"/>
      <x v="201"/>
      <x v="47"/>
      <x v="2"/>
    </i>
    <i>
      <x v="77"/>
      <x v="1444"/>
      <x v="44"/>
      <x v="3"/>
    </i>
    <i>
      <x v="2003"/>
      <x v="1999"/>
      <x v="35"/>
      <x v="2"/>
    </i>
    <i>
      <x v="2368"/>
      <x v="2334"/>
      <x v="40"/>
      <x v="2"/>
    </i>
    <i>
      <x v="2575"/>
      <x v="2528"/>
      <x v="35"/>
      <x v="2"/>
    </i>
    <i>
      <x v="261"/>
      <x v="2542"/>
      <x v="40"/>
      <x v="2"/>
    </i>
    <i>
      <x v="840"/>
      <x v="959"/>
      <x v="23"/>
      <x v="10"/>
    </i>
    <i>
      <x v="2505"/>
      <x v="2457"/>
      <x v="43"/>
      <x v="2"/>
    </i>
    <i>
      <x v="1197"/>
      <x v="1083"/>
      <x v="40"/>
      <x v="2"/>
    </i>
    <i>
      <x v="2269"/>
      <x v="2247"/>
      <x v="40"/>
      <x v="2"/>
    </i>
    <i>
      <x v="1787"/>
      <x v="1783"/>
      <x v="35"/>
      <x v="2"/>
    </i>
    <i>
      <x v="915"/>
      <x v="483"/>
      <x v="40"/>
      <x v="2"/>
    </i>
    <i>
      <x v="1859"/>
      <x v="1855"/>
      <x v="35"/>
      <x v="2"/>
    </i>
    <i>
      <x v="2125"/>
      <x v="303"/>
      <x v="47"/>
      <x v="2"/>
    </i>
    <i>
      <x v="884"/>
      <x v="899"/>
      <x v="23"/>
      <x v="10"/>
    </i>
    <i>
      <x v="473"/>
      <x v="108"/>
      <x/>
      <x v="3"/>
    </i>
    <i>
      <x v="690"/>
      <x v="2735"/>
      <x v="23"/>
      <x v="10"/>
    </i>
    <i>
      <x v="2307"/>
      <x v="2278"/>
      <x v="40"/>
      <x v="2"/>
    </i>
    <i>
      <x v="461"/>
      <x v="137"/>
      <x v="8"/>
      <x v="3"/>
    </i>
    <i>
      <x v="456"/>
      <x v="141"/>
      <x v="49"/>
      <x v="3"/>
    </i>
    <i>
      <x v="2303"/>
      <x v="1495"/>
      <x v="47"/>
      <x v="2"/>
    </i>
    <i>
      <x v="2356"/>
      <x v="173"/>
      <x v="40"/>
      <x v="2"/>
    </i>
    <i>
      <x v="1108"/>
      <x v="1139"/>
      <x/>
      <x v="9"/>
    </i>
    <i>
      <x v="345"/>
      <x v="462"/>
      <x v="5"/>
      <x v="3"/>
    </i>
    <i>
      <x v="112"/>
      <x v="788"/>
      <x v="47"/>
      <x v="2"/>
    </i>
    <i>
      <x v="1665"/>
      <x v="1662"/>
      <x v="40"/>
      <x v="2"/>
    </i>
    <i>
      <x v="1387"/>
      <x v="299"/>
      <x v="4"/>
      <x v="2"/>
    </i>
    <i>
      <x v="120"/>
      <x v="1475"/>
      <x v="35"/>
      <x v="2"/>
    </i>
    <i>
      <x v="2816"/>
      <x v="2782"/>
      <x v="4"/>
      <x v="2"/>
    </i>
    <i>
      <x v="2093"/>
      <x v="2090"/>
      <x v="40"/>
      <x v="2"/>
    </i>
    <i>
      <x v="203"/>
      <x v="512"/>
      <x v="52"/>
      <x v="2"/>
    </i>
    <i>
      <x v="2324"/>
      <x v="89"/>
      <x v="40"/>
      <x v="2"/>
    </i>
    <i>
      <x v="703"/>
      <x v="803"/>
      <x v="23"/>
      <x v="10"/>
    </i>
    <i>
      <x v="2208"/>
      <x v="2192"/>
      <x v="47"/>
      <x v="2"/>
    </i>
    <i>
      <x v="2254"/>
      <x v="2234"/>
      <x v="40"/>
      <x v="2"/>
    </i>
    <i>
      <x v="937"/>
      <x v="1237"/>
      <x/>
      <x v="9"/>
    </i>
    <i>
      <x v="931"/>
      <x v="707"/>
      <x v="40"/>
      <x v="2"/>
    </i>
    <i>
      <x v="583"/>
      <x v="1307"/>
      <x/>
      <x v="9"/>
    </i>
    <i>
      <x v="1041"/>
      <x v="467"/>
      <x/>
      <x v="3"/>
    </i>
    <i>
      <x v="2481"/>
      <x v="2439"/>
      <x v="40"/>
      <x v="2"/>
    </i>
    <i>
      <x v="1326"/>
      <x v="248"/>
      <x v="40"/>
      <x v="2"/>
    </i>
    <i>
      <x v="2289"/>
      <x v="1009"/>
      <x v="40"/>
      <x v="2"/>
    </i>
    <i>
      <x v="1714"/>
      <x v="1709"/>
      <x v="35"/>
      <x v="2"/>
    </i>
    <i>
      <x v="2448"/>
      <x v="2411"/>
      <x v="48"/>
      <x v="2"/>
    </i>
    <i>
      <x v="2235"/>
      <x v="2216"/>
      <x v="47"/>
      <x v="2"/>
    </i>
    <i>
      <x v="249"/>
      <x v="1299"/>
      <x v="40"/>
      <x v="2"/>
    </i>
    <i>
      <x v="1473"/>
      <x v="1480"/>
      <x v="87"/>
      <x v="3"/>
    </i>
    <i>
      <x v="1516"/>
      <x v="1513"/>
      <x v="40"/>
      <x v="2"/>
    </i>
    <i>
      <x v="182"/>
      <x v="196"/>
      <x v="47"/>
      <x v="2"/>
    </i>
    <i>
      <x v="241"/>
      <x v="354"/>
      <x v="40"/>
      <x v="2"/>
    </i>
    <i>
      <x v="2445"/>
      <x v="2408"/>
      <x v="40"/>
      <x v="2"/>
    </i>
    <i>
      <x v="476"/>
      <x v="114"/>
      <x/>
      <x v="3"/>
    </i>
    <i>
      <x v="2460"/>
      <x v="2421"/>
      <x v="40"/>
      <x v="2"/>
    </i>
    <i>
      <x v="2048"/>
      <x v="2044"/>
      <x v="73"/>
      <x v="2"/>
    </i>
    <i>
      <x v="1354"/>
      <x v="268"/>
      <x v="51"/>
      <x v="2"/>
    </i>
    <i>
      <x v="2298"/>
      <x v="2271"/>
      <x v="40"/>
      <x v="2"/>
    </i>
    <i>
      <x v="2833"/>
      <x v="2802"/>
      <x v="44"/>
      <x v="3"/>
    </i>
    <i>
      <x v="62"/>
      <x v="1500"/>
      <x v="44"/>
      <x v="3"/>
    </i>
    <i>
      <x v="1990"/>
      <x v="1985"/>
      <x v="35"/>
      <x v="2"/>
    </i>
    <i>
      <x v="1815"/>
      <x v="1811"/>
      <x v="40"/>
      <x v="2"/>
    </i>
    <i>
      <x v="1134"/>
      <x v="692"/>
      <x v="38"/>
      <x v="2"/>
    </i>
    <i>
      <x v="1229"/>
      <x v="161"/>
      <x v="40"/>
      <x v="2"/>
    </i>
    <i>
      <x v="166"/>
      <x v="534"/>
      <x v="35"/>
      <x v="2"/>
    </i>
    <i>
      <x v="1454"/>
      <x v="1414"/>
      <x/>
      <x v="9"/>
    </i>
    <i>
      <x v="1341"/>
      <x v="256"/>
      <x v="40"/>
      <x v="2"/>
    </i>
    <i>
      <x v="601"/>
      <x v="1039"/>
      <x/>
      <x v="9"/>
    </i>
    <i>
      <x v="602"/>
      <x v="1421"/>
      <x/>
      <x v="9"/>
    </i>
    <i>
      <x v="1487"/>
      <x v="1265"/>
      <x v="87"/>
      <x v="3"/>
    </i>
    <i>
      <x v="1237"/>
      <x v="167"/>
      <x v="40"/>
      <x v="2"/>
    </i>
    <i>
      <x v="2492"/>
      <x v="2446"/>
      <x v="47"/>
      <x v="2"/>
    </i>
    <i>
      <x v="1264"/>
      <x v="560"/>
      <x v="47"/>
      <x v="2"/>
    </i>
    <i>
      <x v="2120"/>
      <x v="2112"/>
      <x v="40"/>
      <x v="2"/>
    </i>
    <i>
      <x v="2148"/>
      <x v="2139"/>
      <x v="47"/>
      <x v="2"/>
    </i>
    <i>
      <x v="2253"/>
      <x v="2233"/>
      <x v="40"/>
      <x v="2"/>
    </i>
    <i>
      <x v="1866"/>
      <x v="1862"/>
      <x v="47"/>
      <x v="2"/>
    </i>
    <i>
      <x v="2727"/>
      <x v="2683"/>
      <x v="44"/>
      <x v="3"/>
    </i>
    <i>
      <x v="2404"/>
      <x v="2371"/>
      <x v="47"/>
      <x v="2"/>
    </i>
    <i>
      <x v="2357"/>
      <x v="2323"/>
      <x v="51"/>
      <x v="2"/>
    </i>
    <i>
      <x v="2834"/>
      <x v="2803"/>
      <x v="44"/>
      <x v="3"/>
    </i>
    <i>
      <x v="1700"/>
      <x v="1697"/>
      <x v="40"/>
      <x v="2"/>
    </i>
    <i>
      <x v="263"/>
      <x v="741"/>
      <x v="47"/>
      <x v="2"/>
    </i>
    <i>
      <x v="625"/>
      <x v="1064"/>
      <x/>
      <x v="9"/>
    </i>
    <i>
      <x v="13"/>
      <x v="1073"/>
      <x/>
      <x v="9"/>
    </i>
    <i>
      <x v="1819"/>
      <x v="1815"/>
      <x v="40"/>
      <x v="2"/>
    </i>
    <i>
      <x v="2341"/>
      <x v="2310"/>
      <x v="47"/>
      <x v="2"/>
    </i>
    <i>
      <x v="1353"/>
      <x v="557"/>
      <x v="40"/>
      <x v="2"/>
    </i>
    <i>
      <x v="871"/>
      <x v="1259"/>
      <x v="56"/>
      <x v="6"/>
    </i>
    <i>
      <x v="185"/>
      <x v="2130"/>
      <x v="40"/>
      <x v="2"/>
    </i>
    <i>
      <x v="1578"/>
      <x v="1576"/>
      <x v="41"/>
      <x v="3"/>
    </i>
    <i>
      <x v="1002"/>
      <x v="548"/>
      <x v="47"/>
      <x v="2"/>
    </i>
    <i>
      <x v="2328"/>
      <x v="2296"/>
      <x v="35"/>
      <x v="2"/>
    </i>
    <i>
      <x v="69"/>
      <x v="794"/>
      <x v="39"/>
      <x v="3"/>
    </i>
    <i>
      <x v="1921"/>
      <x v="1916"/>
      <x v="47"/>
      <x v="2"/>
    </i>
    <i>
      <x v="1236"/>
      <x v="166"/>
      <x v="40"/>
      <x v="2"/>
    </i>
    <i>
      <x v="2430"/>
      <x v="2393"/>
      <x v="40"/>
      <x v="2"/>
    </i>
    <i>
      <x v="183"/>
      <x v="2119"/>
      <x v="40"/>
      <x v="2"/>
    </i>
    <i>
      <x v="1384"/>
      <x v="294"/>
      <x v="40"/>
      <x v="2"/>
    </i>
    <i>
      <x v="2378"/>
      <x v="2344"/>
      <x v="40"/>
      <x v="2"/>
    </i>
    <i>
      <x v="451"/>
      <x v="140"/>
      <x/>
      <x v="3"/>
    </i>
    <i>
      <x v="2202"/>
      <x v="2187"/>
      <x v="35"/>
      <x v="2"/>
    </i>
    <i>
      <x v="2521"/>
      <x v="2473"/>
      <x v="52"/>
      <x v="2"/>
    </i>
    <i>
      <x v="1960"/>
      <x v="1952"/>
      <x v="51"/>
      <x v="2"/>
    </i>
    <i>
      <x v="2607"/>
      <x v="2561"/>
      <x v="47"/>
      <x v="2"/>
    </i>
    <i>
      <x v="1765"/>
      <x v="1761"/>
      <x v="47"/>
      <x v="2"/>
    </i>
    <i>
      <x v="2215"/>
      <x v="2198"/>
      <x v="47"/>
      <x v="2"/>
    </i>
    <i>
      <x v="2270"/>
      <x v="2248"/>
      <x v="40"/>
      <x v="2"/>
    </i>
    <i>
      <x v="1104"/>
      <x v="693"/>
      <x v="4"/>
      <x v="2"/>
    </i>
    <i>
      <x v="928"/>
      <x v="1280"/>
      <x v="24"/>
      <x v="8"/>
    </i>
    <i>
      <x v="2121"/>
      <x v="2113"/>
      <x v="40"/>
      <x v="2"/>
    </i>
    <i>
      <x v="1867"/>
      <x v="1863"/>
      <x v="51"/>
      <x v="2"/>
    </i>
    <i>
      <x v="1378"/>
      <x v="287"/>
      <x v="40"/>
      <x v="2"/>
    </i>
    <i>
      <x v="2000"/>
      <x v="1995"/>
      <x v="35"/>
      <x v="2"/>
    </i>
    <i>
      <x v="2868"/>
      <x v="2852"/>
      <x v="40"/>
      <x v="2"/>
    </i>
    <i>
      <x v="570"/>
      <x v="18"/>
      <x v="39"/>
      <x v="3"/>
    </i>
    <i>
      <x v="2006"/>
      <x v="2002"/>
      <x v="35"/>
      <x v="2"/>
    </i>
    <i>
      <x v="2886"/>
      <x v="2881"/>
      <x v="40"/>
      <x v="2"/>
    </i>
    <i>
      <x v="254"/>
      <x v="1006"/>
      <x v="40"/>
      <x v="2"/>
    </i>
    <i>
      <x v="1503"/>
      <x v="1057"/>
      <x v="87"/>
      <x v="3"/>
    </i>
    <i>
      <x v="74"/>
      <x v="1058"/>
      <x/>
      <x v="9"/>
    </i>
    <i>
      <x v="1758"/>
      <x v="1754"/>
      <x v="40"/>
      <x v="2"/>
    </i>
    <i>
      <x v="2008"/>
      <x v="2004"/>
      <x v="35"/>
      <x v="2"/>
    </i>
    <i>
      <x v="1016"/>
      <x v="536"/>
      <x/>
      <x v="9"/>
    </i>
    <i>
      <x v="1014"/>
      <x v="537"/>
      <x/>
      <x v="9"/>
    </i>
    <i>
      <x v="2163"/>
      <x v="2153"/>
      <x v="47"/>
      <x v="2"/>
    </i>
    <i>
      <x v="2461"/>
      <x v="2422"/>
      <x v="40"/>
      <x v="2"/>
    </i>
    <i>
      <x v="252"/>
      <x v="420"/>
      <x v="40"/>
      <x v="2"/>
    </i>
    <i>
      <x v="1654"/>
      <x v="1651"/>
      <x v="47"/>
      <x v="2"/>
    </i>
    <i>
      <x v="588"/>
      <x v="1038"/>
      <x/>
      <x v="9"/>
    </i>
    <i>
      <x v="527"/>
      <x v="1077"/>
      <x/>
      <x v="9"/>
    </i>
    <i>
      <x v="2633"/>
      <x v="2586"/>
      <x v="40"/>
      <x v="2"/>
    </i>
    <i>
      <x v="1116"/>
      <x v="1086"/>
      <x/>
      <x v="9"/>
    </i>
    <i>
      <x v="1858"/>
      <x v="1854"/>
      <x v="40"/>
      <x v="2"/>
    </i>
    <i>
      <x v="1399"/>
      <x v="1383"/>
      <x v="40"/>
      <x v="2"/>
    </i>
    <i>
      <x v="2167"/>
      <x v="2157"/>
      <x v="40"/>
      <x v="2"/>
    </i>
    <i>
      <x v="2283"/>
      <x v="2259"/>
      <x v="40"/>
      <x v="2"/>
    </i>
    <i>
      <x v="2688"/>
      <x v="2638"/>
      <x v="40"/>
      <x v="2"/>
    </i>
    <i>
      <x v="2052"/>
      <x v="2048"/>
      <x v="40"/>
      <x v="2"/>
    </i>
    <i>
      <x v="498"/>
      <x v="2672"/>
      <x v="49"/>
      <x v="3"/>
    </i>
    <i>
      <x v="2265"/>
      <x v="509"/>
      <x v="40"/>
      <x v="2"/>
    </i>
    <i>
      <x v="1025"/>
      <x v="1196"/>
      <x/>
      <x v="9"/>
    </i>
    <i>
      <x v="1238"/>
      <x v="168"/>
      <x v="40"/>
      <x v="2"/>
    </i>
    <i>
      <x v="165"/>
      <x v="533"/>
      <x v="35"/>
      <x v="2"/>
    </i>
    <i>
      <x v="1690"/>
      <x v="1687"/>
      <x v="51"/>
      <x v="2"/>
    </i>
    <i>
      <x v="2583"/>
      <x v="2535"/>
      <x v="40"/>
      <x v="2"/>
    </i>
    <i>
      <x v="1620"/>
      <x v="1618"/>
      <x v="47"/>
      <x v="2"/>
    </i>
    <i>
      <x v="199"/>
      <x v="2199"/>
      <x v="40"/>
      <x v="2"/>
    </i>
    <i>
      <x v="2619"/>
      <x v="2572"/>
      <x v="47"/>
      <x v="2"/>
    </i>
    <i>
      <x v="2320"/>
      <x v="2289"/>
      <x v="40"/>
      <x v="2"/>
    </i>
    <i>
      <x v="2075"/>
      <x v="2069"/>
      <x v="47"/>
      <x v="2"/>
    </i>
    <i>
      <x v="921"/>
      <x v="49"/>
      <x/>
      <x v="9"/>
    </i>
    <i>
      <x v="1094"/>
      <x v="1320"/>
      <x v="40"/>
      <x v="2"/>
    </i>
    <i>
      <x v="1128"/>
      <x v="719"/>
      <x v="40"/>
      <x v="2"/>
    </i>
    <i>
      <x v="219"/>
      <x v="180"/>
      <x v="47"/>
      <x v="2"/>
    </i>
    <i>
      <x v="70"/>
      <x v="993"/>
      <x v="39"/>
      <x v="3"/>
    </i>
    <i>
      <x v="1752"/>
      <x v="1748"/>
      <x v="40"/>
      <x v="2"/>
    </i>
    <i>
      <x v="260"/>
      <x v="195"/>
      <x v="47"/>
      <x v="2"/>
    </i>
    <i>
      <x v="24"/>
      <x v="1079"/>
      <x/>
      <x v="9"/>
    </i>
    <i>
      <x v="624"/>
      <x v="1422"/>
      <x/>
      <x v="9"/>
    </i>
    <i>
      <x v="614"/>
      <x v="601"/>
      <x/>
      <x v="9"/>
    </i>
    <i>
      <x v="2037"/>
      <x v="663"/>
      <x v="40"/>
      <x v="2"/>
    </i>
    <i>
      <x v="1357"/>
      <x v="270"/>
      <x v="35"/>
      <x v="2"/>
    </i>
    <i>
      <x v="1661"/>
      <x v="1658"/>
      <x v="40"/>
      <x v="2"/>
    </i>
    <i>
      <x v="1659"/>
      <x v="1656"/>
      <x v="47"/>
      <x v="2"/>
    </i>
    <i>
      <x v="2060"/>
      <x v="2056"/>
      <x v="40"/>
      <x v="2"/>
    </i>
    <i>
      <x v="2267"/>
      <x v="508"/>
      <x v="40"/>
      <x v="2"/>
    </i>
    <i>
      <x v="1650"/>
      <x v="1647"/>
      <x v="47"/>
      <x v="2"/>
    </i>
    <i>
      <x v="2698"/>
      <x v="2648"/>
      <x v="80"/>
      <x v="3"/>
    </i>
    <i>
      <x v="163"/>
      <x v="1476"/>
      <x v="35"/>
      <x v="2"/>
    </i>
    <i>
      <x v="1920"/>
      <x v="1915"/>
      <x v="47"/>
      <x v="2"/>
    </i>
    <i>
      <x v="2294"/>
      <x v="2268"/>
      <x v="40"/>
      <x v="2"/>
    </i>
    <i>
      <x v="1358"/>
      <x v="689"/>
      <x v="40"/>
      <x v="2"/>
    </i>
    <i>
      <x v="2630"/>
      <x v="2583"/>
      <x v="47"/>
      <x v="2"/>
    </i>
    <i>
      <x v="1774"/>
      <x v="1770"/>
      <x v="40"/>
      <x v="2"/>
    </i>
    <i>
      <x v="2029"/>
      <x v="2025"/>
      <x v="40"/>
      <x v="2"/>
    </i>
    <i>
      <x v="1823"/>
      <x v="1819"/>
      <x v="35"/>
      <x v="2"/>
    </i>
    <i>
      <x v="2297"/>
      <x v="2270"/>
      <x v="40"/>
      <x v="2"/>
    </i>
    <i>
      <x v="197"/>
      <x v="411"/>
      <x v="40"/>
      <x v="2"/>
    </i>
    <i>
      <x v="1511"/>
      <x v="1141"/>
      <x v="90"/>
      <x v="9"/>
    </i>
    <i>
      <x v="2861"/>
      <x v="2837"/>
      <x v="35"/>
      <x v="2"/>
    </i>
    <i>
      <x v="1475"/>
      <x v="439"/>
      <x v="87"/>
      <x v="3"/>
    </i>
    <i>
      <x v="1292"/>
      <x v="213"/>
      <x v="40"/>
      <x v="2"/>
    </i>
    <i>
      <x v="1692"/>
      <x v="1689"/>
      <x v="40"/>
      <x v="2"/>
    </i>
    <i>
      <x v="384"/>
      <x v="964"/>
      <x v="56"/>
      <x v="5"/>
    </i>
    <i>
      <x v="1653"/>
      <x v="1650"/>
      <x v="47"/>
      <x v="2"/>
    </i>
    <i>
      <x v="1005"/>
      <x v="267"/>
      <x/>
      <x v="9"/>
    </i>
    <i>
      <x v="1779"/>
      <x v="1775"/>
      <x v="40"/>
      <x v="2"/>
    </i>
    <i>
      <x v="125"/>
      <x v="1426"/>
      <x v="4"/>
      <x v="2"/>
    </i>
    <i>
      <x v="1047"/>
      <x v="473"/>
      <x v="80"/>
      <x v="3"/>
    </i>
    <i>
      <x v="2290"/>
      <x v="2265"/>
      <x v="40"/>
      <x v="2"/>
    </i>
    <i>
      <x v="2256"/>
      <x v="2236"/>
      <x v="40"/>
      <x v="2"/>
    </i>
    <i>
      <x v="1660"/>
      <x v="1657"/>
      <x v="47"/>
      <x v="2"/>
    </i>
    <i>
      <x v="486"/>
      <x v="121"/>
      <x/>
      <x v="3"/>
    </i>
    <i>
      <x v="2299"/>
      <x v="2272"/>
      <x v="40"/>
      <x v="2"/>
    </i>
    <i>
      <x v="2731"/>
      <x v="2687"/>
      <x v="5"/>
      <x v="3"/>
    </i>
    <i>
      <x v="460"/>
      <x v="143"/>
      <x v="49"/>
      <x v="3"/>
    </i>
    <i>
      <x v="1343"/>
      <x v="258"/>
      <x v="40"/>
      <x v="2"/>
    </i>
    <i>
      <x v="1897"/>
      <x v="1893"/>
      <x v="48"/>
      <x v="2"/>
    </i>
    <i>
      <x v="2407"/>
      <x v="2374"/>
      <x v="40"/>
      <x v="2"/>
    </i>
    <i>
      <x v="565"/>
      <x v="697"/>
      <x v="41"/>
      <x v="3"/>
    </i>
    <i>
      <x v="632"/>
      <x v="1150"/>
      <x/>
      <x v="9"/>
    </i>
    <i>
      <x v="2274"/>
      <x v="683"/>
      <x v="40"/>
      <x v="2"/>
    </i>
    <i>
      <x v="2885"/>
      <x v="2878"/>
      <x v="35"/>
      <x v="2"/>
    </i>
    <i>
      <x v="99"/>
      <x v="1406"/>
      <x v="47"/>
      <x v="2"/>
    </i>
    <i>
      <x v="1662"/>
      <x v="1659"/>
      <x v="51"/>
      <x v="2"/>
    </i>
    <i>
      <x v="121"/>
      <x v="1228"/>
      <x v="35"/>
      <x v="2"/>
    </i>
    <i>
      <x v="2403"/>
      <x v="2370"/>
      <x v="47"/>
      <x v="2"/>
    </i>
    <i>
      <x v="1210"/>
      <x v="106"/>
      <x v="40"/>
      <x v="2"/>
    </i>
    <i>
      <x v="304"/>
      <x v="971"/>
      <x/>
      <x v="9"/>
    </i>
    <i>
      <x v="1371"/>
      <x v="281"/>
      <x v="40"/>
      <x v="2"/>
    </i>
    <i>
      <x v="1146"/>
      <x v="59"/>
      <x v="40"/>
      <x v="2"/>
    </i>
    <i>
      <x v="1380"/>
      <x v="290"/>
      <x v="40"/>
      <x v="2"/>
    </i>
    <i>
      <x v="161"/>
      <x v="237"/>
      <x v="35"/>
      <x v="2"/>
    </i>
    <i>
      <x v="1133"/>
      <x v="46"/>
      <x v="38"/>
      <x v="2"/>
    </i>
    <i>
      <x v="1927"/>
      <x v="1922"/>
      <x v="47"/>
      <x v="2"/>
    </i>
    <i>
      <x v="1228"/>
      <x v="160"/>
      <x v="40"/>
      <x v="2"/>
    </i>
    <i>
      <x v="1875"/>
      <x v="1871"/>
      <x v="40"/>
      <x v="2"/>
    </i>
    <i>
      <x v="2621"/>
      <x v="413"/>
      <x v="40"/>
      <x v="2"/>
    </i>
    <i>
      <x v="1641"/>
      <x v="1636"/>
      <x v="40"/>
      <x v="2"/>
    </i>
    <i>
      <x v="1485"/>
      <x v="425"/>
      <x v="87"/>
      <x v="3"/>
    </i>
    <i>
      <x v="1191"/>
      <x v="91"/>
      <x v="40"/>
      <x v="2"/>
    </i>
    <i>
      <x v="1405"/>
      <x v="2865"/>
      <x v="40"/>
      <x v="2"/>
    </i>
    <i>
      <x v="2602"/>
      <x v="2556"/>
      <x v="40"/>
      <x v="2"/>
    </i>
    <i>
      <x v="1377"/>
      <x v="286"/>
      <x v="40"/>
      <x v="2"/>
    </i>
    <i>
      <x v="138"/>
      <x v="1310"/>
      <x v="35"/>
      <x v="2"/>
    </i>
    <i>
      <x v="917"/>
      <x v="718"/>
      <x/>
      <x v="9"/>
    </i>
    <i>
      <x v="2609"/>
      <x v="2563"/>
      <x v="47"/>
      <x v="2"/>
    </i>
    <i>
      <x v="902"/>
      <x v="948"/>
      <x v="23"/>
      <x v="10"/>
    </i>
    <i>
      <x v="2363"/>
      <x v="2329"/>
      <x v="51"/>
      <x v="2"/>
    </i>
    <i>
      <x v="1663"/>
      <x v="1660"/>
      <x v="40"/>
      <x v="2"/>
    </i>
    <i>
      <x v="640"/>
      <x v="446"/>
      <x v="40"/>
      <x v="2"/>
    </i>
    <i>
      <x v="623"/>
      <x v="1397"/>
      <x/>
      <x v="9"/>
    </i>
    <i>
      <x v="1456"/>
      <x v="1491"/>
      <x v="45"/>
      <x v="3"/>
    </i>
    <i>
      <x v="609"/>
      <x v="995"/>
      <x/>
      <x v="9"/>
    </i>
    <i>
      <x v="2238"/>
      <x v="2218"/>
      <x v="40"/>
      <x v="2"/>
    </i>
    <i>
      <x v="961"/>
      <x v="1509"/>
      <x/>
      <x v="9"/>
    </i>
    <i>
      <x v="2626"/>
      <x v="2579"/>
      <x v="40"/>
      <x v="2"/>
    </i>
    <i>
      <x v="462"/>
      <x v="341"/>
      <x/>
      <x v="3"/>
    </i>
    <i>
      <x v="1762"/>
      <x v="1758"/>
      <x v="40"/>
      <x v="2"/>
    </i>
    <i>
      <x v="119"/>
      <x v="429"/>
      <x v="35"/>
      <x v="2"/>
    </i>
    <i>
      <x v="1925"/>
      <x v="1920"/>
      <x v="40"/>
      <x v="2"/>
    </i>
    <i>
      <x v="2421"/>
      <x v="269"/>
      <x v="35"/>
      <x v="2"/>
    </i>
    <i>
      <x v="1775"/>
      <x v="1771"/>
      <x v="40"/>
      <x v="2"/>
    </i>
    <i>
      <x v="1691"/>
      <x v="1688"/>
      <x v="40"/>
      <x v="2"/>
    </i>
    <i>
      <x v="622"/>
      <x v="1286"/>
      <x/>
      <x v="9"/>
    </i>
    <i>
      <x v="2661"/>
      <x v="178"/>
      <x v="40"/>
      <x v="2"/>
    </i>
    <i>
      <x v="1757"/>
      <x v="1753"/>
      <x v="35"/>
      <x v="2"/>
    </i>
    <i>
      <x v="1871"/>
      <x v="1867"/>
      <x v="40"/>
      <x v="2"/>
    </i>
    <i>
      <x v="591"/>
      <x v="747"/>
      <x/>
      <x v="9"/>
    </i>
    <i>
      <x v="477"/>
      <x v="117"/>
      <x v="49"/>
      <x v="3"/>
    </i>
    <i>
      <x v="1648"/>
      <x v="1645"/>
      <x v="40"/>
      <x v="2"/>
    </i>
    <i>
      <x v="132"/>
      <x v="1301"/>
      <x v="35"/>
      <x v="2"/>
    </i>
    <i>
      <x v="1140"/>
      <x v="54"/>
      <x v="40"/>
      <x v="2"/>
    </i>
    <i>
      <x v="1169"/>
      <x v="76"/>
      <x v="40"/>
      <x v="2"/>
    </i>
    <i>
      <x v="1440"/>
      <x v="1466"/>
      <x v="4"/>
      <x v="2"/>
    </i>
    <i>
      <x v="1803"/>
      <x v="1799"/>
      <x v="47"/>
      <x v="2"/>
    </i>
    <i>
      <x v="2195"/>
      <x v="2181"/>
      <x v="40"/>
      <x v="2"/>
    </i>
    <i>
      <x v="2674"/>
      <x v="2621"/>
      <x v="40"/>
      <x v="2"/>
    </i>
    <i>
      <x v="2322"/>
      <x v="2291"/>
      <x v="40"/>
      <x v="2"/>
    </i>
    <i>
      <x v="2585"/>
      <x v="2537"/>
      <x v="40"/>
      <x v="2"/>
    </i>
    <i>
      <x v="1694"/>
      <x v="1691"/>
      <x v="40"/>
      <x v="2"/>
    </i>
    <i>
      <x v="2041"/>
      <x v="2038"/>
      <x v="70"/>
      <x v="2"/>
    </i>
    <i>
      <x v="1869"/>
      <x v="1865"/>
      <x v="40"/>
      <x v="2"/>
    </i>
    <i>
      <x v="1852"/>
      <x v="1848"/>
      <x v="47"/>
      <x v="2"/>
    </i>
    <i>
      <x v="2276"/>
      <x v="2252"/>
      <x v="40"/>
      <x v="2"/>
    </i>
    <i>
      <x v="1195"/>
      <x v="2817"/>
      <x v="40"/>
      <x v="2"/>
    </i>
    <i>
      <x v="2618"/>
      <x v="2571"/>
      <x v="40"/>
      <x v="2"/>
    </i>
    <i>
      <x v="2726"/>
      <x v="2681"/>
      <x v="44"/>
      <x v="3"/>
    </i>
    <i>
      <x v="1916"/>
      <x v="1911"/>
      <x v="47"/>
      <x v="2"/>
    </i>
    <i>
      <x v="1997"/>
      <x v="1992"/>
      <x v="35"/>
      <x v="2"/>
    </i>
    <i>
      <x v="1376"/>
      <x v="285"/>
      <x v="40"/>
      <x v="2"/>
    </i>
    <i>
      <x v="2190"/>
      <x v="684"/>
      <x v="40"/>
      <x v="2"/>
    </i>
    <i>
      <x v="560"/>
      <x v="27"/>
      <x v="39"/>
      <x v="3"/>
    </i>
    <i>
      <x v="167"/>
      <x v="240"/>
      <x v="35"/>
      <x v="2"/>
    </i>
    <i>
      <x v="1727"/>
      <x v="1722"/>
      <x v="40"/>
      <x v="2"/>
    </i>
    <i>
      <x v="2779"/>
      <x v="2742"/>
      <x v="23"/>
      <x v="10"/>
    </i>
    <i>
      <x v="2314"/>
      <x v="2284"/>
      <x v="40"/>
      <x v="2"/>
    </i>
    <i>
      <x v="1664"/>
      <x v="1661"/>
      <x v="40"/>
      <x v="2"/>
    </i>
    <i>
      <x v="239"/>
      <x v="2400"/>
      <x v="47"/>
      <x v="2"/>
    </i>
    <i>
      <x v="1474"/>
      <x v="1010"/>
      <x v="87"/>
      <x v="3"/>
    </i>
    <i>
      <x v="2875"/>
      <x v="317"/>
      <x v="7"/>
      <x v="2"/>
    </i>
    <i>
      <x v="1316"/>
      <x v="979"/>
      <x v="43"/>
      <x v="2"/>
    </i>
    <i>
      <x v="541"/>
      <x v="31"/>
      <x v="41"/>
      <x v="3"/>
    </i>
    <i>
      <x v="2904"/>
      <x v="2899"/>
      <x v="40"/>
      <x v="2"/>
    </i>
    <i>
      <x v="539"/>
      <x v="3"/>
      <x v="44"/>
      <x v="3"/>
    </i>
    <i>
      <x v="1476"/>
      <x v="440"/>
      <x v="87"/>
      <x v="3"/>
    </i>
    <i>
      <x v="2543"/>
      <x v="2497"/>
      <x v="40"/>
      <x v="2"/>
    </i>
    <i>
      <x v="1217"/>
      <x v="2822"/>
      <x v="4"/>
      <x v="2"/>
    </i>
    <i>
      <x v="452"/>
      <x v="142"/>
      <x/>
      <x v="3"/>
    </i>
    <i>
      <x v="2741"/>
      <x v="2697"/>
      <x v="41"/>
      <x v="3"/>
    </i>
    <i>
      <x v="2338"/>
      <x v="2307"/>
      <x v="4"/>
      <x v="2"/>
    </i>
    <i>
      <x v="115"/>
      <x v="668"/>
      <x v="35"/>
      <x v="2"/>
    </i>
    <i>
      <x v="237"/>
      <x v="1197"/>
      <x v="40"/>
      <x v="2"/>
    </i>
    <i>
      <x v="1723"/>
      <x v="1718"/>
      <x v="35"/>
      <x v="2"/>
    </i>
    <i>
      <x v="1914"/>
      <x v="1909"/>
      <x v="47"/>
      <x v="2"/>
    </i>
    <i>
      <x v="582"/>
      <x v="1045"/>
      <x/>
      <x v="9"/>
    </i>
    <i>
      <x v="218"/>
      <x v="1217"/>
      <x v="47"/>
      <x v="2"/>
    </i>
    <i>
      <x v="1142"/>
      <x v="56"/>
      <x v="40"/>
      <x v="2"/>
    </i>
    <i>
      <x v="459"/>
      <x v="109"/>
      <x v="35"/>
      <x v="2"/>
    </i>
    <i>
      <x v="2343"/>
      <x v="2312"/>
      <x v="47"/>
      <x v="2"/>
    </i>
    <i>
      <x v="2424"/>
      <x v="293"/>
      <x v="40"/>
      <x v="2"/>
    </i>
    <i>
      <x v="1170"/>
      <x v="77"/>
      <x v="40"/>
      <x v="2"/>
    </i>
    <i>
      <x v="633"/>
      <x v="1238"/>
      <x/>
      <x v="9"/>
    </i>
    <i>
      <x v="44"/>
      <x v="751"/>
      <x v="44"/>
      <x v="3"/>
    </i>
    <i>
      <x v="630"/>
      <x v="1396"/>
      <x/>
      <x v="9"/>
    </i>
    <i>
      <x v="2427"/>
      <x v="2390"/>
      <x v="40"/>
      <x v="2"/>
    </i>
    <i>
      <x v="1675"/>
      <x v="1672"/>
      <x v="47"/>
      <x v="2"/>
    </i>
    <i>
      <x v="1154"/>
      <x v="66"/>
      <x v="40"/>
      <x v="2"/>
    </i>
    <i>
      <x v="59"/>
      <x v="1508"/>
      <x v="53"/>
      <x v="3"/>
    </i>
    <i>
      <x v="1051"/>
      <x v="374"/>
      <x v="4"/>
      <x v="2"/>
    </i>
    <i>
      <x v="1638"/>
      <x v="1636"/>
      <x v="40"/>
      <x v="2"/>
    </i>
    <i>
      <x v="15"/>
      <x v="1075"/>
      <x/>
      <x v="9"/>
    </i>
    <i>
      <x v="2344"/>
      <x v="2313"/>
      <x v="47"/>
      <x v="2"/>
    </i>
    <i>
      <x v="1480"/>
      <x v="448"/>
      <x v="87"/>
      <x v="3"/>
    </i>
    <i>
      <x v="1093"/>
      <x v="1317"/>
      <x v="40"/>
      <x v="2"/>
    </i>
    <i>
      <x v="2606"/>
      <x v="2560"/>
      <x v="47"/>
      <x v="2"/>
    </i>
    <i>
      <x v="1651"/>
      <x v="1648"/>
      <x v="47"/>
      <x v="2"/>
    </i>
    <i>
      <x v="1137"/>
      <x v="1303"/>
      <x v="40"/>
      <x v="2"/>
    </i>
    <i>
      <x v="220"/>
      <x v="1131"/>
      <x v="47"/>
      <x v="2"/>
    </i>
    <i>
      <x v="1763"/>
      <x v="1759"/>
      <x v="40"/>
      <x v="2"/>
    </i>
    <i>
      <x v="1514"/>
      <x v="694"/>
      <x/>
      <x v="9"/>
    </i>
    <i>
      <x v="2210"/>
      <x v="190"/>
      <x v="47"/>
      <x v="2"/>
    </i>
    <i>
      <x v="2230"/>
      <x v="2212"/>
      <x v="51"/>
      <x v="2"/>
    </i>
    <i>
      <x v="2539"/>
      <x v="2493"/>
      <x v="40"/>
      <x v="2"/>
    </i>
    <i>
      <x v="1458"/>
      <x v="1128"/>
      <x/>
      <x v="9"/>
    </i>
    <i>
      <x v="1970"/>
      <x v="1962"/>
      <x v="51"/>
      <x v="2"/>
    </i>
    <i>
      <x v="1202"/>
      <x v="1717"/>
      <x v="40"/>
      <x v="2"/>
    </i>
    <i>
      <x v="225"/>
      <x v="1266"/>
      <x v="40"/>
      <x v="2"/>
    </i>
    <i>
      <x v="2924"/>
      <x v="2915"/>
      <x v="40"/>
      <x v="2"/>
    </i>
    <i>
      <x v="284"/>
      <x v="503"/>
      <x v="56"/>
      <x v="5"/>
    </i>
    <i>
      <x v="2293"/>
      <x v="2267"/>
      <x v="40"/>
      <x v="2"/>
    </i>
    <i>
      <x v="1572"/>
      <x v="1570"/>
      <x v="44"/>
      <x v="3"/>
    </i>
    <i>
      <x v="1764"/>
      <x v="1760"/>
      <x v="40"/>
      <x v="2"/>
    </i>
    <i>
      <x v="2845"/>
      <x v="2819"/>
      <x v="40"/>
      <x v="2"/>
    </i>
    <i>
      <x v="68"/>
      <x v="793"/>
      <x v="39"/>
      <x v="3"/>
    </i>
    <i>
      <x v="2077"/>
      <x v="2071"/>
      <x v="40"/>
      <x v="2"/>
    </i>
    <i>
      <x v="2429"/>
      <x v="2392"/>
      <x v="40"/>
      <x v="2"/>
    </i>
    <i>
      <x v="207"/>
      <x v="1413"/>
      <x v="47"/>
      <x v="2"/>
    </i>
    <i>
      <x v="97"/>
      <x v="1496"/>
      <x v="38"/>
      <x v="2"/>
    </i>
    <i>
      <x v="1888"/>
      <x v="1883"/>
      <x v="51"/>
      <x v="2"/>
    </i>
    <i>
      <x v="251"/>
      <x v="1348"/>
      <x v="40"/>
      <x v="2"/>
    </i>
    <i>
      <x v="1558"/>
      <x v="1556"/>
      <x v="44"/>
      <x v="3"/>
    </i>
    <i>
      <x v="1976"/>
      <x v="1969"/>
      <x v="40"/>
      <x v="2"/>
    </i>
    <i>
      <x v="1657"/>
      <x v="1654"/>
      <x v="48"/>
      <x v="2"/>
    </i>
    <i>
      <x v="2601"/>
      <x v="2555"/>
      <x v="47"/>
      <x v="2"/>
    </i>
    <i>
      <x v="492"/>
      <x v="337"/>
      <x/>
      <x v="3"/>
    </i>
    <i>
      <x v="192"/>
      <x v="2150"/>
      <x v="38"/>
      <x v="2"/>
    </i>
    <i>
      <x v="487"/>
      <x v="124"/>
      <x/>
      <x v="3"/>
    </i>
    <i>
      <x v="1715"/>
      <x v="1710"/>
      <x v="40"/>
      <x v="2"/>
    </i>
    <i>
      <x v="1967"/>
      <x v="1959"/>
      <x v="40"/>
      <x v="2"/>
    </i>
    <i>
      <x v="2030"/>
      <x v="2026"/>
      <x v="4"/>
      <x v="2"/>
    </i>
    <i>
      <x v="1097"/>
      <x v="1321"/>
      <x/>
      <x v="3"/>
    </i>
    <i>
      <x v="1452"/>
      <x v="1357"/>
      <x/>
      <x v="9"/>
    </i>
    <i>
      <x v="1822"/>
      <x v="1818"/>
      <x v="40"/>
      <x v="2"/>
    </i>
    <i>
      <x v="2206"/>
      <x v="65"/>
      <x v="40"/>
      <x v="2"/>
    </i>
    <i>
      <x v="326"/>
      <x v="1268"/>
      <x/>
      <x v="9"/>
    </i>
    <i>
      <x v="2641"/>
      <x v="2594"/>
      <x v="35"/>
      <x v="2"/>
    </i>
    <i>
      <x v="1092"/>
      <x v="1319"/>
      <x v="41"/>
      <x v="3"/>
    </i>
    <i>
      <x v="2650"/>
      <x v="2603"/>
      <x v="40"/>
      <x v="2"/>
    </i>
    <i>
      <x v="1721"/>
      <x v="1716"/>
      <x v="40"/>
      <x v="2"/>
    </i>
    <i>
      <x v="1760"/>
      <x v="1756"/>
      <x v="40"/>
      <x v="2"/>
    </i>
    <i>
      <x v="587"/>
      <x v="1044"/>
      <x/>
      <x v="9"/>
    </i>
    <i>
      <x v="1841"/>
      <x v="1837"/>
      <x v="47"/>
      <x v="2"/>
    </i>
    <i>
      <x v="2848"/>
      <x v="2823"/>
      <x v="4"/>
      <x v="2"/>
    </i>
    <i>
      <x v="1780"/>
      <x v="1776"/>
      <x v="40"/>
      <x v="2"/>
    </i>
    <i>
      <x v="575"/>
      <x v="9"/>
      <x v="39"/>
      <x v="3"/>
    </i>
    <i>
      <x v="1114"/>
      <x v="1420"/>
      <x/>
      <x v="9"/>
    </i>
    <i>
      <x v="1023"/>
      <x v="1494"/>
      <x/>
      <x v="9"/>
    </i>
    <i>
      <x v="458"/>
      <x v="115"/>
      <x/>
      <x v="3"/>
    </i>
    <i>
      <x v="2880"/>
      <x v="2871"/>
      <x v="4"/>
      <x v="2"/>
    </i>
    <i>
      <x v="1159"/>
      <x v="69"/>
      <x v="40"/>
      <x v="2"/>
    </i>
    <i>
      <x v="2482"/>
      <x v="2440"/>
      <x v="40"/>
      <x v="2"/>
    </i>
    <i>
      <x v="1709"/>
      <x v="1706"/>
      <x v="35"/>
      <x v="2"/>
    </i>
    <i>
      <x v="1918"/>
      <x v="1913"/>
      <x v="47"/>
      <x v="2"/>
    </i>
    <i>
      <x v="2410"/>
      <x v="2377"/>
      <x v="40"/>
      <x v="2"/>
    </i>
    <i>
      <x v="2126"/>
      <x v="2117"/>
      <x v="40"/>
      <x v="2"/>
    </i>
    <i>
      <x v="169"/>
      <x v="242"/>
      <x v="35"/>
      <x v="2"/>
    </i>
    <i>
      <x v="2251"/>
      <x v="2231"/>
      <x v="40"/>
      <x v="2"/>
    </i>
    <i>
      <x v="2854"/>
      <x v="2624"/>
      <x v="47"/>
      <x v="2"/>
    </i>
    <i>
      <x v="1293"/>
      <x v="214"/>
      <x v="40"/>
      <x v="2"/>
    </i>
    <i>
      <x v="497"/>
      <x v="338"/>
      <x/>
      <x v="3"/>
    </i>
    <i>
      <x v="2192"/>
      <x v="2178"/>
      <x v="40"/>
      <x v="2"/>
    </i>
    <i>
      <x v="454"/>
      <x v="126"/>
      <x/>
      <x v="3"/>
    </i>
    <i>
      <x v="1695"/>
      <x v="1692"/>
      <x v="47"/>
      <x v="2"/>
    </i>
    <i>
      <x v="407"/>
      <x v="1375"/>
      <x v="56"/>
      <x v="5"/>
    </i>
    <i>
      <x v="206"/>
      <x v="274"/>
      <x v="40"/>
      <x v="2"/>
    </i>
    <i>
      <x v="255"/>
      <x v="1450"/>
      <x v="40"/>
      <x v="2"/>
    </i>
    <i>
      <x v="1652"/>
      <x v="1649"/>
      <x v="47"/>
      <x v="2"/>
    </i>
    <i>
      <x v="2073"/>
      <x v="2068"/>
      <x v="35"/>
      <x v="2"/>
    </i>
    <i>
      <x v="1486"/>
      <x v="424"/>
      <x v="87"/>
      <x v="3"/>
    </i>
    <i>
      <x v="2853"/>
      <x v="2830"/>
      <x v="47"/>
      <x v="2"/>
    </i>
    <i>
      <x v="1988"/>
      <x v="1982"/>
      <x v="35"/>
      <x v="2"/>
    </i>
    <i>
      <x v="2325"/>
      <x v="2292"/>
      <x v="47"/>
      <x v="2"/>
    </i>
    <i>
      <x v="2872"/>
      <x v="2858"/>
      <x v="40"/>
      <x v="2"/>
    </i>
    <i>
      <x v="236"/>
      <x v="74"/>
      <x v="40"/>
      <x v="2"/>
    </i>
    <i>
      <x v="2657"/>
      <x v="2608"/>
      <x v="40"/>
      <x v="2"/>
    </i>
    <i>
      <x v="265"/>
      <x v="1210"/>
      <x v="47"/>
      <x v="2"/>
    </i>
    <i>
      <x v="1658"/>
      <x v="1655"/>
      <x v="47"/>
      <x v="2"/>
    </i>
    <i>
      <x v="1049"/>
      <x v="992"/>
      <x/>
      <x v="9"/>
    </i>
    <i>
      <x v="2284"/>
      <x v="2260"/>
      <x v="40"/>
      <x v="2"/>
    </i>
    <i>
      <x v="1836"/>
      <x v="1832"/>
      <x v="51"/>
      <x v="2"/>
    </i>
    <i>
      <x v="1969"/>
      <x v="1961"/>
      <x v="51"/>
      <x v="2"/>
    </i>
    <i>
      <x v="2577"/>
      <x v="2530"/>
      <x v="47"/>
      <x v="2"/>
    </i>
    <i>
      <x v="12"/>
      <x v="1071"/>
      <x/>
      <x v="9"/>
    </i>
    <i>
      <x v="2191"/>
      <x v="685"/>
      <x v="47"/>
      <x v="2"/>
    </i>
    <i>
      <x v="469"/>
      <x v="673"/>
      <x/>
      <x v="3"/>
    </i>
    <i>
      <x v="2857"/>
      <x v="2563"/>
      <x v="47"/>
      <x v="2"/>
    </i>
    <i>
      <x v="106"/>
      <x v="743"/>
      <x v="48"/>
      <x v="2"/>
    </i>
    <i>
      <x v="911"/>
      <x v="1446"/>
      <x v="40"/>
      <x v="2"/>
    </i>
    <i>
      <x v="918"/>
      <x v="791"/>
      <x v="40"/>
      <x v="2"/>
    </i>
    <i>
      <x v="2578"/>
      <x v="2531"/>
      <x v="40"/>
      <x v="2"/>
    </i>
    <i>
      <x v="270"/>
      <x v="179"/>
      <x v="47"/>
      <x v="2"/>
    </i>
    <i>
      <x v="537"/>
      <x v="6"/>
      <x v="41"/>
      <x v="3"/>
    </i>
    <i>
      <x v="2591"/>
      <x v="2544"/>
      <x v="40"/>
      <x v="2"/>
    </i>
    <i>
      <x v="14"/>
      <x v="1074"/>
      <x/>
      <x v="9"/>
    </i>
    <i>
      <x v="2592"/>
      <x v="2545"/>
      <x v="35"/>
      <x v="2"/>
    </i>
    <i>
      <x v="479"/>
      <x v="119"/>
      <x/>
      <x v="3"/>
    </i>
    <i>
      <x v="2628"/>
      <x v="2581"/>
      <x v="47"/>
      <x v="2"/>
    </i>
    <i>
      <x v="1102"/>
      <x v="474"/>
      <x v="80"/>
      <x v="3"/>
    </i>
    <i>
      <x v="619"/>
      <x v="1235"/>
      <x/>
      <x v="9"/>
    </i>
    <i>
      <x v="2130"/>
      <x v="2122"/>
      <x v="40"/>
      <x v="2"/>
    </i>
    <i>
      <x v="1693"/>
      <x v="1690"/>
      <x v="35"/>
      <x v="2"/>
    </i>
    <i>
      <x v="67"/>
      <x v="670"/>
      <x v="39"/>
      <x v="3"/>
    </i>
    <i>
      <x v="1712"/>
      <x v="1707"/>
      <x v="40"/>
      <x v="2"/>
    </i>
    <i>
      <x v="1151"/>
      <x v="63"/>
      <x v="40"/>
      <x v="2"/>
    </i>
    <i>
      <x v="478"/>
      <x v="118"/>
      <x/>
      <x v="3"/>
    </i>
    <i>
      <x v="1144"/>
      <x v="1309"/>
      <x v="40"/>
      <x v="2"/>
    </i>
    <i>
      <x v="1234"/>
      <x v="165"/>
      <x v="40"/>
      <x v="2"/>
    </i>
    <i>
      <x v="1788"/>
      <x v="1784"/>
      <x v="35"/>
      <x v="2"/>
    </i>
    <i>
      <x v="1826"/>
      <x v="1822"/>
      <x v="40"/>
      <x v="2"/>
    </i>
    <i>
      <x v="2012"/>
      <x v="2008"/>
      <x v="35"/>
      <x v="2"/>
    </i>
    <i>
      <x v="904"/>
      <x v="877"/>
      <x v="23"/>
      <x v="10"/>
    </i>
    <i>
      <x v="275"/>
      <x v="754"/>
      <x v="47"/>
      <x v="2"/>
    </i>
    <i>
      <x v="276"/>
      <x v="753"/>
      <x v="47"/>
      <x v="2"/>
    </i>
    <i>
      <x v="2127"/>
      <x v="2118"/>
      <x v="47"/>
      <x v="2"/>
    </i>
    <i>
      <x v="2329"/>
      <x v="216"/>
      <x v="40"/>
      <x v="2"/>
    </i>
    <i>
      <x v="1160"/>
      <x v="70"/>
      <x v="40"/>
      <x v="2"/>
    </i>
    <i>
      <x v="2054"/>
      <x v="2050"/>
      <x v="40"/>
      <x v="2"/>
    </i>
    <i>
      <x v="2423"/>
      <x v="279"/>
      <x v="40"/>
      <x v="2"/>
    </i>
    <i>
      <x v="94"/>
      <x v="414"/>
      <x v="47"/>
      <x v="2"/>
    </i>
    <i>
      <x v="2228"/>
      <x v="2210"/>
      <x v="35"/>
      <x v="2"/>
    </i>
    <i>
      <x v="2292"/>
      <x v="182"/>
      <x v="47"/>
      <x v="2"/>
    </i>
    <i>
      <x v="936"/>
      <x v="1222"/>
      <x/>
      <x v="9"/>
    </i>
    <i>
      <x v="1848"/>
      <x v="1844"/>
      <x v="47"/>
      <x v="2"/>
    </i>
    <i>
      <x v="1462"/>
      <x v="1345"/>
      <x/>
      <x v="9"/>
    </i>
    <i>
      <x v="1030"/>
      <x v="1221"/>
      <x/>
      <x v="9"/>
    </i>
    <i>
      <x v="2587"/>
      <x v="2539"/>
      <x v="40"/>
      <x v="2"/>
    </i>
    <i>
      <x v="2849"/>
      <x v="2824"/>
      <x v="4"/>
      <x v="2"/>
    </i>
    <i>
      <x v="962"/>
      <x v="1510"/>
      <x/>
      <x v="9"/>
    </i>
    <i>
      <x v="1110"/>
      <x v="1232"/>
      <x/>
      <x v="9"/>
    </i>
    <i>
      <x v="485"/>
      <x v="134"/>
      <x/>
      <x v="3"/>
    </i>
    <i>
      <x v="1656"/>
      <x v="1653"/>
      <x v="47"/>
      <x v="2"/>
    </i>
    <i>
      <x v="1959"/>
      <x v="1951"/>
      <x v="51"/>
      <x v="2"/>
    </i>
    <i>
      <x v="922"/>
      <x v="50"/>
      <x/>
      <x v="9"/>
    </i>
    <i>
      <x v="914"/>
      <x v="744"/>
      <x v="40"/>
      <x v="2"/>
    </i>
    <i>
      <x v="1481"/>
      <x v="604"/>
      <x v="87"/>
      <x v="3"/>
    </i>
    <i>
      <x v="2588"/>
      <x v="2540"/>
      <x v="40"/>
      <x v="2"/>
    </i>
    <i>
      <x v="721"/>
      <x v="868"/>
      <x v="23"/>
      <x v="10"/>
    </i>
    <i>
      <x v="2345"/>
      <x v="2314"/>
      <x v="47"/>
      <x v="2"/>
    </i>
    <i>
      <x v="580"/>
      <x v="672"/>
      <x v="44"/>
      <x v="3"/>
    </i>
    <i>
      <x v="2196"/>
      <x v="275"/>
      <x v="40"/>
      <x v="2"/>
    </i>
    <i>
      <x v="514"/>
      <x v="123"/>
      <x v="49"/>
      <x v="3"/>
    </i>
    <i>
      <x v="2358"/>
      <x v="2324"/>
      <x v="40"/>
      <x v="2"/>
    </i>
    <i>
      <x v="1124"/>
      <x v="431"/>
      <x v="40"/>
      <x v="2"/>
    </i>
    <i>
      <x v="2616"/>
      <x v="2569"/>
      <x v="40"/>
      <x v="2"/>
    </i>
    <i>
      <x v="98"/>
      <x v="1249"/>
      <x v="48"/>
      <x v="2"/>
    </i>
    <i>
      <x v="1645"/>
      <x v="1642"/>
      <x v="47"/>
      <x v="2"/>
    </i>
    <i>
      <x v="277"/>
      <x v="2624"/>
      <x v="47"/>
      <x v="2"/>
    </i>
    <i>
      <x v="1842"/>
      <x v="1838"/>
      <x v="48"/>
      <x v="2"/>
    </i>
    <i>
      <x v="1152"/>
      <x v="64"/>
      <x v="40"/>
      <x v="2"/>
    </i>
    <i>
      <x v="1746"/>
      <x v="1741"/>
      <x v="40"/>
      <x v="2"/>
    </i>
    <i>
      <x v="1862"/>
      <x v="1858"/>
      <x v="40"/>
      <x v="2"/>
    </i>
    <i>
      <x v="1333"/>
      <x v="1403"/>
      <x v="40"/>
      <x v="2"/>
    </i>
    <i>
      <x v="141"/>
      <x v="1011"/>
      <x v="35"/>
      <x v="2"/>
    </i>
    <i>
      <x v="2648"/>
      <x v="2601"/>
      <x v="47"/>
      <x v="2"/>
    </i>
    <i>
      <x v="1770"/>
      <x v="1766"/>
      <x v="40"/>
      <x v="2"/>
    </i>
    <i>
      <x v="2799"/>
      <x v="2766"/>
      <x v="40"/>
      <x v="2"/>
    </i>
    <i>
      <x v="1190"/>
      <x v="90"/>
      <x v="40"/>
      <x v="2"/>
    </i>
    <i>
      <x v="2615"/>
      <x v="2568"/>
      <x v="35"/>
      <x v="2"/>
    </i>
    <i>
      <x v="1864"/>
      <x v="1860"/>
      <x v="47"/>
      <x v="2"/>
    </i>
    <i>
      <x v="1710"/>
      <x v="1289"/>
      <x v="40"/>
      <x v="2"/>
    </i>
    <i>
      <x v="2074"/>
      <x v="2068"/>
      <x v="35"/>
      <x v="2"/>
    </i>
    <i>
      <x v="1165"/>
      <x v="73"/>
      <x v="40"/>
      <x v="2"/>
    </i>
    <i>
      <x v="23"/>
      <x v="1078"/>
      <x/>
      <x v="9"/>
    </i>
    <i>
      <x v="526"/>
      <x v="1072"/>
      <x/>
      <x v="9"/>
    </i>
    <i>
      <x v="1042"/>
      <x v="468"/>
      <x/>
      <x v="3"/>
    </i>
    <i>
      <x v="1043"/>
      <x v="469"/>
      <x/>
      <x v="3"/>
    </i>
    <i>
      <x v="1045"/>
      <x v="471"/>
      <x/>
      <x v="3"/>
    </i>
    <i>
      <x v="1131"/>
      <x v="1448"/>
      <x v="40"/>
      <x v="2"/>
    </i>
    <i>
      <x v="471"/>
      <x v="107"/>
      <x/>
      <x v="3"/>
    </i>
    <i>
      <x v="1441"/>
      <x v="444"/>
      <x v="40"/>
      <x v="2"/>
    </i>
    <i>
      <x v="2350"/>
      <x v="2318"/>
      <x v="47"/>
      <x v="2"/>
    </i>
    <i>
      <x v="1768"/>
      <x v="1764"/>
      <x v="47"/>
      <x v="2"/>
    </i>
    <i>
      <x v="1895"/>
      <x v="1891"/>
      <x v="40"/>
      <x v="2"/>
    </i>
    <i>
      <x v="271"/>
      <x v="2577"/>
      <x v="40"/>
      <x v="2"/>
    </i>
    <i>
      <x v="114"/>
      <x v="1924"/>
      <x v="47"/>
      <x v="2"/>
    </i>
    <i>
      <x v="278"/>
      <x v="2633"/>
      <x v="73"/>
      <x v="2"/>
    </i>
    <i>
      <x v="1728"/>
      <x v="1723"/>
      <x v="40"/>
      <x v="2"/>
    </i>
    <i>
      <x v="1334"/>
      <x v="1009"/>
      <x v="40"/>
      <x v="2"/>
    </i>
    <i>
      <x v="2131"/>
      <x v="313"/>
      <x v="40"/>
      <x v="2"/>
    </i>
    <i>
      <x v="1300"/>
      <x v="221"/>
      <x v="35"/>
      <x v="2"/>
    </i>
    <i>
      <x v="2509"/>
      <x v="2178"/>
      <x v="40"/>
      <x v="2"/>
    </i>
    <i>
      <x v="1913"/>
      <x v="1908"/>
      <x v="47"/>
      <x v="2"/>
    </i>
    <i>
      <x v="1777"/>
      <x v="1773"/>
      <x v="40"/>
      <x v="2"/>
    </i>
    <i>
      <x v="2846"/>
      <x v="2820"/>
      <x v="40"/>
      <x v="2"/>
    </i>
    <i>
      <x v="1512"/>
      <x v="1283"/>
      <x/>
      <x v="9"/>
    </i>
    <i>
      <x v="751"/>
      <x v="883"/>
      <x v="23"/>
      <x v="10"/>
    </i>
    <i>
      <x v="324"/>
      <x v="1218"/>
      <x/>
      <x v="9"/>
    </i>
    <i>
      <x v="48"/>
      <x v="1060"/>
      <x v="44"/>
      <x v="3"/>
    </i>
    <i>
      <x v="480"/>
      <x v="122"/>
      <x/>
      <x v="3"/>
    </i>
    <i>
      <x v="2584"/>
      <x v="2536"/>
      <x v="47"/>
      <x v="2"/>
    </i>
    <i>
      <x v="1802"/>
      <x v="1798"/>
      <x v="40"/>
      <x v="2"/>
    </i>
    <i>
      <x v="2282"/>
      <x v="2258"/>
      <x v="47"/>
      <x v="2"/>
    </i>
    <i>
      <x v="2236"/>
      <x v="197"/>
      <x v="47"/>
      <x v="2"/>
    </i>
    <i>
      <x v="2212"/>
      <x v="2195"/>
      <x v="47"/>
      <x v="2"/>
    </i>
    <i>
      <x v="1742"/>
      <x v="1737"/>
      <x v="47"/>
      <x v="2"/>
    </i>
    <i>
      <x v="777"/>
      <x v="861"/>
      <x v="23"/>
      <x v="10"/>
    </i>
    <i>
      <x v="1200"/>
      <x v="97"/>
      <x v="40"/>
      <x v="2"/>
    </i>
    <i>
      <x v="2865"/>
      <x v="2843"/>
      <x v="40"/>
      <x v="2"/>
    </i>
    <i>
      <x v="1816"/>
      <x v="1812"/>
      <x v="40"/>
      <x v="2"/>
    </i>
    <i>
      <x v="1339"/>
      <x v="568"/>
      <x v="40"/>
      <x v="2"/>
    </i>
    <i>
      <x v="2669"/>
      <x v="2616"/>
      <x v="40"/>
      <x v="2"/>
    </i>
    <i>
      <x v="2900"/>
      <x v="2895"/>
      <x v="40"/>
      <x v="2"/>
    </i>
    <i>
      <x v="1929"/>
      <x v="1925"/>
      <x v="35"/>
      <x v="2"/>
    </i>
    <i>
      <x v="342"/>
      <x v="476"/>
      <x v="5"/>
      <x v="3"/>
    </i>
    <i>
      <x v="343"/>
      <x v="464"/>
      <x v="5"/>
      <x v="3"/>
    </i>
    <i>
      <x v="1040"/>
      <x v="466"/>
      <x/>
      <x v="3"/>
    </i>
    <i>
      <x v="344"/>
      <x v="461"/>
      <x v="5"/>
      <x v="3"/>
    </i>
    <i>
      <x v="1874"/>
      <x v="1870"/>
      <x v="47"/>
      <x v="2"/>
    </i>
    <i>
      <x v="1167"/>
      <x v="356"/>
      <x v="40"/>
      <x v="2"/>
    </i>
    <i>
      <x v="2193"/>
      <x v="2179"/>
      <x v="40"/>
      <x v="2"/>
    </i>
    <i>
      <x v="2437"/>
      <x v="2401"/>
      <x v="51"/>
      <x v="2"/>
    </i>
    <i>
      <x v="449"/>
      <x v="110"/>
      <x/>
      <x v="3"/>
    </i>
    <i>
      <x v="2624"/>
      <x v="2576"/>
      <x v="40"/>
      <x v="2"/>
    </i>
    <i>
      <x v="2015"/>
      <x v="2011"/>
      <x v="35"/>
      <x v="2"/>
    </i>
    <i>
      <x v="1703"/>
      <x v="1700"/>
      <x v="47"/>
      <x v="2"/>
    </i>
    <i>
      <x v="1246"/>
      <x v="176"/>
      <x v="40"/>
      <x v="2"/>
    </i>
    <i>
      <x v="1733"/>
      <x v="1728"/>
      <x v="40"/>
      <x v="2"/>
    </i>
    <i>
      <x v="2205"/>
      <x v="2190"/>
      <x v="47"/>
      <x v="2"/>
    </i>
    <i>
      <x v="1825"/>
      <x v="1821"/>
      <x v="40"/>
      <x v="2"/>
    </i>
    <i>
      <x v="2047"/>
      <x v="2043"/>
      <x v="40"/>
      <x v="2"/>
    </i>
    <i>
      <x v="2371"/>
      <x v="2337"/>
      <x v="40"/>
      <x v="2"/>
    </i>
    <i>
      <x v="1647"/>
      <x v="1644"/>
      <x v="40"/>
      <x v="2"/>
    </i>
    <i>
      <x v="1948"/>
      <x v="1941"/>
      <x v="35"/>
      <x v="2"/>
    </i>
    <i>
      <x v="1004"/>
      <x v="1122"/>
      <x/>
      <x v="9"/>
    </i>
    <i>
      <x v="1290"/>
      <x v="2158"/>
      <x v="40"/>
      <x v="2"/>
    </i>
    <i>
      <x v="1919"/>
      <x v="1914"/>
      <x v="47"/>
      <x v="2"/>
    </i>
    <i>
      <x v="1677"/>
      <x v="1674"/>
      <x v="47"/>
      <x v="2"/>
    </i>
    <i>
      <x v="2388"/>
      <x v="2353"/>
      <x v="30"/>
      <x v="2"/>
    </i>
    <i>
      <x v="1148"/>
      <x v="60"/>
      <x v="40"/>
      <x v="2"/>
    </i>
    <i>
      <x v="1824"/>
      <x v="1820"/>
      <x v="40"/>
      <x v="2"/>
    </i>
    <i>
      <x v="472"/>
      <x v="129"/>
      <x/>
      <x v="3"/>
    </i>
    <i>
      <x v="2287"/>
      <x v="2263"/>
      <x v="47"/>
      <x v="2"/>
    </i>
    <i>
      <x v="2667"/>
      <x v="2614"/>
      <x v="40"/>
      <x v="2"/>
    </i>
    <i>
      <x v="1781"/>
      <x v="1777"/>
      <x v="47"/>
      <x v="2"/>
    </i>
    <i>
      <x v="1744"/>
      <x v="1739"/>
      <x v="35"/>
      <x v="2"/>
    </i>
    <i>
      <x v="1245"/>
      <x v="175"/>
      <x v="40"/>
      <x v="2"/>
    </i>
    <i>
      <x v="617"/>
      <x v="1134"/>
      <x/>
      <x v="9"/>
    </i>
    <i>
      <x v="1855"/>
      <x v="1851"/>
      <x v="47"/>
      <x v="2"/>
    </i>
    <i>
      <x v="1716"/>
      <x v="1711"/>
      <x v="40"/>
      <x v="2"/>
    </i>
    <i>
      <x v="2226"/>
      <x v="2208"/>
      <x v="40"/>
      <x v="2"/>
    </i>
    <i>
      <x v="2600"/>
      <x v="2554"/>
      <x v="40"/>
      <x v="2"/>
    </i>
    <i>
      <x v="87"/>
      <x v="1612"/>
      <x v="35"/>
      <x v="2"/>
    </i>
    <i>
      <x v="1968"/>
      <x v="1960"/>
      <x v="51"/>
      <x v="2"/>
    </i>
    <i>
      <x v="137"/>
      <x v="1488"/>
      <x v="35"/>
      <x v="2"/>
    </i>
    <i>
      <x v="2045"/>
      <x v="2041"/>
      <x v="47"/>
      <x v="2"/>
    </i>
    <i>
      <x v="2346"/>
      <x v="2315"/>
      <x v="51"/>
      <x v="2"/>
    </i>
    <i>
      <x v="952"/>
      <x v="1220"/>
      <x/>
      <x v="9"/>
    </i>
    <i>
      <x v="2659"/>
      <x v="2609"/>
      <x v="40"/>
      <x v="2"/>
    </i>
    <i>
      <x v="2349"/>
      <x v="170"/>
      <x v="40"/>
      <x v="2"/>
    </i>
    <i>
      <x v="475"/>
      <x v="111"/>
      <x/>
      <x v="3"/>
    </i>
    <i>
      <x v="1218"/>
      <x v="153"/>
      <x v="40"/>
      <x v="2"/>
    </i>
    <i>
      <x v="2651"/>
      <x v="2604"/>
      <x v="40"/>
      <x v="2"/>
    </i>
    <i>
      <x v="2594"/>
      <x v="2547"/>
      <x v="47"/>
      <x v="2"/>
    </i>
    <i>
      <x v="2385"/>
      <x v="2350"/>
      <x v="40"/>
      <x v="2"/>
    </i>
    <i>
      <x v="890"/>
      <x v="871"/>
      <x v="23"/>
      <x v="10"/>
    </i>
    <i>
      <x v="1778"/>
      <x v="1774"/>
      <x v="40"/>
      <x v="2"/>
    </i>
    <i>
      <x v="1244"/>
      <x v="174"/>
      <x v="40"/>
      <x v="2"/>
    </i>
    <i>
      <x v="2903"/>
      <x v="2898"/>
      <x v="40"/>
      <x v="2"/>
    </i>
    <i>
      <x v="1254"/>
      <x v="184"/>
      <x v="40"/>
      <x v="2"/>
    </i>
    <i>
      <x v="1525"/>
      <x v="1523"/>
      <x/>
      <x v="9"/>
    </i>
    <i>
      <x v="1444"/>
      <x v="454"/>
      <x v="80"/>
      <x v="3"/>
    </i>
    <i>
      <x v="1789"/>
      <x v="1785"/>
      <x v="47"/>
      <x v="2"/>
    </i>
    <i>
      <x v="2663"/>
      <x v="2611"/>
      <x v="40"/>
      <x v="2"/>
    </i>
    <i>
      <x v="524"/>
      <x v="1070"/>
      <x/>
      <x v="9"/>
    </i>
    <i>
      <x v="1872"/>
      <x v="1868"/>
      <x v="40"/>
      <x v="2"/>
    </i>
    <i>
      <x v="2231"/>
      <x v="211"/>
      <x v="47"/>
      <x v="2"/>
    </i>
    <i>
      <x v="2398"/>
      <x v="2364"/>
      <x v="52"/>
      <x v="2"/>
    </i>
    <i>
      <x v="2879"/>
      <x v="2870"/>
      <x v="35"/>
      <x v="2"/>
    </i>
    <i>
      <x v="435"/>
      <x v="1313"/>
      <x v="56"/>
      <x v="5"/>
    </i>
    <i>
      <x v="1676"/>
      <x v="1673"/>
      <x v="47"/>
      <x v="2"/>
    </i>
    <i>
      <x v="1679"/>
      <x v="1676"/>
      <x v="47"/>
      <x v="2"/>
    </i>
    <i>
      <x v="916"/>
      <x v="717"/>
      <x/>
      <x v="9"/>
    </i>
    <i>
      <x v="561"/>
      <x v="26"/>
      <x v="39"/>
      <x v="3"/>
    </i>
    <i>
      <x v="631"/>
      <x v="1398"/>
      <x/>
      <x v="9"/>
    </i>
    <i>
      <x v="1745"/>
      <x v="1740"/>
      <x v="51"/>
      <x v="2"/>
    </i>
    <i>
      <x v="910"/>
      <x v="1489"/>
      <x/>
      <x v="9"/>
    </i>
    <i>
      <x v="1155"/>
      <x v="2811"/>
      <x v="40"/>
      <x v="2"/>
    </i>
    <i>
      <x v="1007"/>
      <x v="727"/>
      <x v="4"/>
      <x v="2"/>
    </i>
    <i>
      <x v="2877"/>
      <x v="2868"/>
      <x v="35"/>
      <x v="2"/>
    </i>
    <i>
      <x v="2220"/>
      <x v="2203"/>
      <x v="40"/>
      <x v="2"/>
    </i>
    <i>
      <x v="2540"/>
      <x v="2494"/>
      <x v="40"/>
      <x v="2"/>
    </i>
    <i>
      <x v="987"/>
      <x v="709"/>
      <x/>
      <x v="9"/>
    </i>
    <i>
      <x v="1761"/>
      <x v="1757"/>
      <x v="40"/>
      <x v="2"/>
    </i>
    <i>
      <x v="2649"/>
      <x v="2602"/>
      <x v="40"/>
      <x v="2"/>
    </i>
    <i>
      <x v="2642"/>
      <x v="2595"/>
      <x v="47"/>
      <x v="2"/>
    </i>
    <i>
      <x v="1478"/>
      <x v="1355"/>
      <x v="87"/>
      <x v="3"/>
    </i>
    <i>
      <x v="589"/>
      <x v="353"/>
      <x/>
      <x v="9"/>
    </i>
    <i>
      <x v="2295"/>
      <x v="181"/>
      <x v="47"/>
      <x v="2"/>
    </i>
    <i>
      <x v="1001"/>
      <x v="1132"/>
      <x/>
      <x v="9"/>
    </i>
    <i>
      <x v="2352"/>
      <x v="2320"/>
      <x v="47"/>
      <x v="2"/>
    </i>
    <i>
      <x v="1860"/>
      <x v="1856"/>
      <x v="47"/>
      <x v="2"/>
    </i>
    <i>
      <x v="1489"/>
      <x v="606"/>
      <x v="87"/>
      <x v="3"/>
    </i>
    <i>
      <x v="1117"/>
      <x v="1381"/>
      <x/>
      <x v="9"/>
    </i>
    <i>
      <x v="1984"/>
      <x v="1977"/>
      <x v="35"/>
      <x v="2"/>
    </i>
    <i>
      <x v="2905"/>
      <x v="2900"/>
      <x v="40"/>
      <x v="2"/>
    </i>
    <i>
      <x v="130"/>
      <x v="669"/>
      <x v="48"/>
      <x v="2"/>
    </i>
    <i>
      <x v="1336"/>
      <x v="252"/>
      <x v="40"/>
      <x v="2"/>
    </i>
    <i>
      <x v="2237"/>
      <x v="2217"/>
      <x v="47"/>
      <x v="2"/>
    </i>
    <i>
      <x v="105"/>
      <x v="230"/>
      <x v="35"/>
      <x v="2"/>
    </i>
    <i>
      <x v="85"/>
      <x v="696"/>
      <x v="41"/>
      <x v="3"/>
    </i>
    <i>
      <x v="1513"/>
      <x v="540"/>
      <x/>
      <x v="9"/>
    </i>
    <i>
      <x v="1863"/>
      <x v="1859"/>
      <x v="47"/>
      <x v="2"/>
    </i>
    <i>
      <x v="1853"/>
      <x v="1849"/>
      <x v="47"/>
      <x v="2"/>
    </i>
    <i>
      <x v="1526"/>
      <x v="1524"/>
      <x/>
      <x v="9"/>
    </i>
    <i>
      <x v="186"/>
      <x v="1250"/>
      <x v="38"/>
      <x v="2"/>
    </i>
    <i>
      <x v="1098"/>
      <x v="1322"/>
      <x v="40"/>
      <x v="2"/>
    </i>
    <i>
      <x v="1488"/>
      <x v="1264"/>
      <x v="87"/>
      <x v="3"/>
    </i>
    <i>
      <x v="2"/>
      <x v="1449"/>
      <x/>
      <x v="9"/>
    </i>
    <i>
      <x v="2416"/>
      <x v="2383"/>
      <x v="40"/>
      <x v="2"/>
    </i>
    <i>
      <x v="221"/>
      <x v="731"/>
      <x v="40"/>
      <x v="2"/>
    </i>
    <i>
      <x v="913"/>
      <x v="450"/>
      <x v="40"/>
      <x v="2"/>
    </i>
    <i>
      <x v="481"/>
      <x v="125"/>
      <x/>
      <x v="3"/>
    </i>
    <i>
      <x v="1066"/>
      <x v="1276"/>
      <x v="24"/>
      <x v="8"/>
    </i>
    <i>
      <x v="627"/>
      <x v="1213"/>
      <x/>
      <x v="9"/>
    </i>
    <i>
      <x v="2595"/>
      <x v="2548"/>
      <x v="47"/>
      <x v="2"/>
    </i>
    <i>
      <x v="1885"/>
      <x v="1880"/>
      <x v="35"/>
      <x v="2"/>
    </i>
    <i>
      <x v="1239"/>
      <x v="169"/>
      <x v="40"/>
      <x v="2"/>
    </i>
    <i>
      <x v="256"/>
      <x v="1296"/>
      <x v="40"/>
      <x v="2"/>
    </i>
    <i>
      <x v="1771"/>
      <x v="1767"/>
      <x v="51"/>
      <x v="2"/>
    </i>
    <i>
      <x v="2370"/>
      <x v="2336"/>
      <x v="40"/>
      <x v="2"/>
    </i>
    <i>
      <x v="2273"/>
      <x v="2250"/>
      <x v="40"/>
      <x v="2"/>
    </i>
    <i>
      <x v="2068"/>
      <x v="2063"/>
      <x v="40"/>
      <x v="2"/>
    </i>
    <i>
      <x v="2645"/>
      <x v="2598"/>
      <x v="40"/>
      <x v="2"/>
    </i>
    <i>
      <x v="2660"/>
      <x v="88"/>
      <x v="40"/>
      <x v="2"/>
    </i>
    <i>
      <x v="483"/>
      <x v="136"/>
      <x/>
      <x v="3"/>
    </i>
    <i>
      <x v="2676"/>
      <x v="2623"/>
      <x v="47"/>
      <x v="2"/>
    </i>
    <i>
      <x v="2219"/>
      <x v="2202"/>
      <x v="40"/>
      <x v="2"/>
    </i>
    <i>
      <x v="1672"/>
      <x v="1669"/>
      <x v="51"/>
      <x v="2"/>
    </i>
    <i>
      <x v="1304"/>
      <x v="226"/>
      <x v="35"/>
      <x v="2"/>
    </i>
    <i>
      <x v="2044"/>
      <x v="2040"/>
      <x v="40"/>
      <x v="2"/>
    </i>
    <i>
      <x v="2049"/>
      <x v="2045"/>
      <x v="40"/>
      <x v="2"/>
    </i>
    <i>
      <x v="1711"/>
      <x v="1309"/>
      <x v="35"/>
      <x v="2"/>
    </i>
    <i>
      <x v="336"/>
      <x v="1337"/>
      <x/>
      <x v="9"/>
    </i>
    <i>
      <x v="562"/>
      <x v="29"/>
      <x v="39"/>
      <x v="3"/>
    </i>
    <i>
      <x v="2644"/>
      <x v="2597"/>
      <x v="40"/>
      <x v="2"/>
    </i>
    <i>
      <x v="1783"/>
      <x v="1779"/>
      <x v="40"/>
      <x v="2"/>
    </i>
    <i>
      <x v="1786"/>
      <x v="1782"/>
      <x v="47"/>
      <x v="2"/>
    </i>
    <i>
      <x v="463"/>
      <x v="144"/>
      <x v="35"/>
      <x v="2"/>
    </i>
    <i>
      <x v="464"/>
      <x v="145"/>
      <x v="35"/>
      <x v="2"/>
    </i>
    <i>
      <x v="1031"/>
      <x v="452"/>
      <x/>
      <x v="3"/>
    </i>
    <i>
      <x v="1034"/>
      <x v="456"/>
      <x/>
      <x v="3"/>
    </i>
    <i>
      <x v="1037"/>
      <x v="459"/>
      <x/>
      <x v="3"/>
    </i>
    <i>
      <x v="1032"/>
      <x v="453"/>
      <x/>
      <x v="3"/>
    </i>
    <i>
      <x v="1036"/>
      <x v="458"/>
      <x/>
      <x v="3"/>
    </i>
    <i>
      <x v="1033"/>
      <x v="455"/>
      <x/>
      <x v="3"/>
    </i>
    <i>
      <x v="1035"/>
      <x v="457"/>
      <x/>
      <x v="3"/>
    </i>
    <i>
      <x v="431"/>
      <x v="384"/>
      <x v="55"/>
      <x v="8"/>
    </i>
    <i>
      <x v="923"/>
      <x v="51"/>
      <x/>
      <x v="9"/>
    </i>
    <i>
      <x v="2351"/>
      <x v="2319"/>
      <x v="40"/>
      <x v="2"/>
    </i>
    <i>
      <x v="2308"/>
      <x v="2279"/>
      <x v="40"/>
      <x v="2"/>
    </i>
    <i>
      <x v="2625"/>
      <x v="2578"/>
      <x v="40"/>
      <x v="2"/>
    </i>
    <i>
      <x v="1631"/>
      <x v="1629"/>
      <x v="40"/>
      <x v="2"/>
    </i>
    <i>
      <x v="2646"/>
      <x v="2599"/>
      <x v="47"/>
      <x v="2"/>
    </i>
    <i>
      <x v="445"/>
      <x v="1256"/>
      <x v="55"/>
      <x v="8"/>
    </i>
    <i>
      <x v="2898"/>
      <x v="2893"/>
      <x v="40"/>
      <x v="2"/>
    </i>
    <i>
      <x v="2902"/>
      <x v="2897"/>
      <x v="40"/>
      <x v="2"/>
    </i>
    <i>
      <x v="1702"/>
      <x v="1699"/>
      <x v="47"/>
      <x v="2"/>
    </i>
    <i>
      <x v="1149"/>
      <x v="61"/>
      <x v="40"/>
      <x v="2"/>
    </i>
    <i>
      <x v="1106"/>
      <x v="549"/>
      <x/>
      <x v="9"/>
    </i>
    <i>
      <x v="1198"/>
      <x v="95"/>
      <x v="40"/>
      <x v="2"/>
    </i>
    <i>
      <x v="1477"/>
      <x v="1354"/>
      <x v="87"/>
      <x v="3"/>
    </i>
    <i>
      <x v="2055"/>
      <x v="2051"/>
      <x v="40"/>
      <x v="2"/>
    </i>
    <i>
      <x v="1999"/>
      <x v="1994"/>
      <x v="35"/>
      <x v="2"/>
    </i>
    <i>
      <x v="2590"/>
      <x v="2543"/>
      <x v="40"/>
      <x v="2"/>
    </i>
    <i>
      <x v="1467"/>
      <x v="563"/>
      <x v="40"/>
      <x v="2"/>
    </i>
    <i>
      <x v="2383"/>
      <x v="266"/>
      <x v="40"/>
      <x v="2"/>
    </i>
    <i>
      <x v="2072"/>
      <x v="2067"/>
      <x v="40"/>
      <x v="2"/>
    </i>
    <i>
      <x v="2313"/>
      <x v="2283"/>
      <x v="47"/>
      <x v="2"/>
    </i>
    <i>
      <x v="2046"/>
      <x v="2042"/>
      <x v="40"/>
      <x v="2"/>
    </i>
    <i>
      <x v="955"/>
      <x v="1112"/>
      <x/>
      <x v="9"/>
    </i>
    <i>
      <x v="347"/>
      <x v="1110"/>
      <x/>
      <x v="9"/>
    </i>
    <i>
      <x v="1861"/>
      <x v="1857"/>
      <x v="47"/>
      <x v="2"/>
    </i>
    <i>
      <x v="1028"/>
      <x v="364"/>
      <x v="13"/>
      <x v="9"/>
    </i>
    <i>
      <x v="92"/>
      <x v="409"/>
      <x v="48"/>
      <x v="2"/>
    </i>
    <i>
      <x v="1145"/>
      <x v="58"/>
      <x v="40"/>
      <x v="2"/>
    </i>
    <i>
      <x v="2043"/>
      <x v="2039"/>
      <x v="47"/>
      <x v="2"/>
    </i>
    <i>
      <x v="2268"/>
      <x v="2246"/>
      <x v="40"/>
      <x v="2"/>
    </i>
    <i>
      <x v="2842"/>
      <x v="2813"/>
      <x v="40"/>
      <x v="2"/>
    </i>
    <i>
      <x v="1785"/>
      <x v="1781"/>
      <x v="35"/>
      <x v="2"/>
    </i>
    <i>
      <x v="5"/>
      <x v="1460"/>
      <x/>
      <x v="9"/>
    </i>
    <i>
      <x v="716"/>
      <x v="2738"/>
      <x v="24"/>
      <x v="8"/>
    </i>
    <i>
      <x v="1226"/>
      <x v="158"/>
      <x v="40"/>
      <x v="2"/>
    </i>
    <i>
      <x v="209"/>
      <x v="262"/>
      <x v="43"/>
      <x v="2"/>
    </i>
    <i>
      <x v="2243"/>
      <x v="2223"/>
      <x v="40"/>
      <x v="2"/>
    </i>
    <i>
      <x v="1849"/>
      <x v="1845"/>
      <x v="51"/>
      <x v="2"/>
    </i>
    <i>
      <x v="563"/>
      <x v="23"/>
      <x v="39"/>
      <x v="3"/>
    </i>
    <i>
      <x v="2064"/>
      <x v="2060"/>
      <x v="40"/>
      <x v="2"/>
    </i>
    <i>
      <x v="2317"/>
      <x v="1293"/>
      <x v="47"/>
      <x v="2"/>
    </i>
    <i>
      <x v="1"/>
      <x v="1445"/>
      <x/>
      <x v="9"/>
    </i>
    <i>
      <x v="1877"/>
      <x v="1873"/>
      <x v="40"/>
      <x v="2"/>
    </i>
    <i>
      <x v="1457"/>
      <x v="994"/>
      <x v="45"/>
      <x v="3"/>
    </i>
    <i>
      <x v="559"/>
      <x v="17"/>
      <x v="44"/>
      <x v="3"/>
    </i>
    <i>
      <x v="2408"/>
      <x v="2375"/>
      <x v="35"/>
      <x v="2"/>
    </i>
    <i>
      <x v="1856"/>
      <x v="1852"/>
      <x v="47"/>
      <x v="2"/>
    </i>
    <i>
      <x v="1361"/>
      <x v="273"/>
      <x v="40"/>
      <x v="2"/>
    </i>
    <i>
      <x v="1150"/>
      <x v="62"/>
      <x v="40"/>
      <x v="2"/>
    </i>
    <i>
      <x v="1743"/>
      <x v="1738"/>
      <x v="40"/>
      <x v="2"/>
    </i>
    <i>
      <x v="1147"/>
      <x v="569"/>
      <x v="40"/>
      <x v="2"/>
    </i>
    <i>
      <x v="1215"/>
      <x v="151"/>
      <x v="40"/>
      <x v="2"/>
    </i>
    <i>
      <x v="1992"/>
      <x v="1987"/>
      <x v="35"/>
      <x v="2"/>
    </i>
    <i>
      <x v="1111"/>
      <x v="1465"/>
      <x/>
      <x v="9"/>
    </i>
    <i>
      <x v="2840"/>
      <x v="2809"/>
      <x v="40"/>
      <x v="2"/>
    </i>
    <i>
      <x v="2664"/>
      <x v="1349"/>
      <x v="40"/>
      <x v="2"/>
    </i>
    <i>
      <x v="2070"/>
      <x v="2065"/>
      <x v="40"/>
      <x v="2"/>
    </i>
    <i>
      <x v="1873"/>
      <x v="1869"/>
      <x v="51"/>
      <x v="2"/>
    </i>
    <i>
      <x v="1224"/>
      <x v="1212"/>
      <x v="40"/>
      <x v="2"/>
    </i>
    <i>
      <x v="1216"/>
      <x v="1207"/>
      <x v="40"/>
      <x v="2"/>
    </i>
    <i>
      <x v="2275"/>
      <x v="2251"/>
      <x v="40"/>
      <x v="2"/>
    </i>
    <i>
      <x v="1769"/>
      <x v="1765"/>
      <x v="47"/>
      <x v="2"/>
    </i>
    <i>
      <x v="1857"/>
      <x v="1853"/>
      <x v="47"/>
      <x v="2"/>
    </i>
    <i>
      <x v="900"/>
      <x v="770"/>
      <x v="83"/>
      <x v="13"/>
    </i>
    <i>
      <x v="2665"/>
      <x v="2612"/>
      <x v="47"/>
      <x v="2"/>
    </i>
    <i>
      <x v="325"/>
      <x v="1145"/>
      <x/>
      <x v="9"/>
    </i>
    <i>
      <x v="528"/>
      <x v="987"/>
      <x/>
      <x v="9"/>
    </i>
    <i>
      <x v="274"/>
      <x v="1347"/>
      <x v="40"/>
      <x v="2"/>
    </i>
    <i>
      <x v="664"/>
      <x v="367"/>
      <x v="24"/>
      <x v="8"/>
    </i>
    <i>
      <x v="787"/>
      <x v="758"/>
      <x v="24"/>
      <x v="10"/>
    </i>
    <i>
      <x v="1896"/>
      <x v="1892"/>
      <x v="48"/>
      <x v="2"/>
    </i>
    <i>
      <x v="2118"/>
      <x v="210"/>
      <x v="47"/>
      <x v="2"/>
    </i>
    <i>
      <x v="2078"/>
      <x v="2072"/>
      <x v="40"/>
      <x v="2"/>
    </i>
    <i>
      <x v="1713"/>
      <x v="1708"/>
      <x v="35"/>
      <x v="2"/>
    </i>
    <i>
      <x v="2067"/>
      <x v="427"/>
      <x v="40"/>
      <x v="2"/>
    </i>
    <i>
      <x v="2634"/>
      <x v="2587"/>
      <x v="40"/>
      <x v="2"/>
    </i>
    <i>
      <x v="2411"/>
      <x v="2378"/>
      <x v="40"/>
      <x v="2"/>
    </i>
    <i>
      <x v="131"/>
      <x v="1978"/>
      <x v="35"/>
      <x v="2"/>
    </i>
    <i>
      <x v="1161"/>
      <x v="565"/>
      <x v="40"/>
      <x v="2"/>
    </i>
    <i>
      <x v="1109"/>
      <x v="1447"/>
      <x/>
      <x v="9"/>
    </i>
    <i>
      <x v="718"/>
      <x v="913"/>
      <x v="23"/>
      <x v="10"/>
    </i>
    <i>
      <x v="1255"/>
      <x v="185"/>
      <x v="47"/>
      <x v="2"/>
    </i>
    <i>
      <x v="1782"/>
      <x v="1778"/>
      <x v="35"/>
      <x v="2"/>
    </i>
    <i>
      <x v="1437"/>
      <x v="1003"/>
      <x v="71"/>
      <x v="2"/>
    </i>
    <i>
      <x v="1741"/>
      <x v="1736"/>
      <x v="47"/>
      <x v="2"/>
    </i>
    <i>
      <x v="18"/>
      <x v="1234"/>
      <x/>
      <x v="9"/>
    </i>
    <i>
      <x v="2472"/>
      <x v="2433"/>
      <x v="70"/>
      <x v="2"/>
    </i>
    <i>
      <x v="1183"/>
      <x v="86"/>
      <x v="40"/>
      <x v="2"/>
    </i>
    <i>
      <x v="2065"/>
      <x v="2061"/>
      <x v="40"/>
      <x v="2"/>
    </i>
    <i>
      <x v="2623"/>
      <x v="2575"/>
      <x v="40"/>
      <x v="2"/>
    </i>
    <i>
      <x v="1870"/>
      <x v="1866"/>
      <x v="51"/>
      <x v="2"/>
    </i>
    <i>
      <x v="996"/>
      <x v="372"/>
      <x/>
      <x v="9"/>
    </i>
    <i>
      <x v="1342"/>
      <x v="257"/>
      <x v="40"/>
      <x v="2"/>
    </i>
    <i>
      <x v="2586"/>
      <x v="2538"/>
      <x v="51"/>
      <x v="2"/>
    </i>
    <i>
      <x v="1646"/>
      <x v="1643"/>
      <x v="51"/>
      <x v="2"/>
    </i>
    <i>
      <x v="2053"/>
      <x v="2049"/>
      <x v="40"/>
      <x v="2"/>
    </i>
    <i>
      <x v="1024"/>
      <x v="578"/>
      <x/>
      <x v="9"/>
    </i>
    <i>
      <x v="523"/>
      <x v="1453"/>
      <x v="56"/>
      <x v="5"/>
    </i>
    <i>
      <x v="598"/>
      <x v="371"/>
      <x/>
      <x v="9"/>
    </i>
    <i>
      <x v="2021"/>
      <x v="2017"/>
      <x v="35"/>
      <x v="2"/>
    </i>
    <i>
      <x v="1123"/>
      <x v="427"/>
      <x v="40"/>
      <x v="2"/>
    </i>
    <i>
      <x v="2622"/>
      <x v="2574"/>
      <x v="35"/>
      <x v="2"/>
    </i>
    <i>
      <x v="2221"/>
      <x v="2204"/>
      <x v="35"/>
      <x v="2"/>
    </i>
    <i>
      <x v="657"/>
      <x v="40"/>
      <x v="24"/>
      <x v="8"/>
    </i>
    <i>
      <x v="1829"/>
      <x v="1825"/>
      <x v="40"/>
      <x v="2"/>
    </i>
    <i>
      <x v="2582"/>
      <x v="208"/>
      <x v="47"/>
      <x v="2"/>
    </i>
    <i>
      <x v="2050"/>
      <x v="2046"/>
      <x v="40"/>
      <x v="2"/>
    </i>
    <i>
      <x v="2374"/>
      <x v="2340"/>
      <x v="40"/>
      <x v="2"/>
    </i>
    <i>
      <x v="1163"/>
      <x v="562"/>
      <x v="40"/>
      <x v="2"/>
    </i>
    <i>
      <x v="656"/>
      <x v="34"/>
      <x v="24"/>
      <x v="8"/>
    </i>
    <i>
      <x v="4"/>
      <x v="441"/>
      <x/>
      <x v="9"/>
    </i>
    <i>
      <x v="264"/>
      <x v="1188"/>
      <x v="40"/>
      <x v="2"/>
    </i>
    <i>
      <x v="1220"/>
      <x v="1308"/>
      <x v="40"/>
      <x v="2"/>
    </i>
    <i>
      <x v="2767"/>
      <x v="2724"/>
      <x v="24"/>
      <x v="8"/>
    </i>
    <i>
      <x v="49"/>
      <x v="1291"/>
      <x v="41"/>
      <x v="3"/>
    </i>
    <i>
      <x v="3"/>
      <x v="1461"/>
      <x/>
      <x v="9"/>
    </i>
    <i>
      <x v="1206"/>
      <x v="102"/>
      <x v="40"/>
      <x v="2"/>
    </i>
    <i>
      <x v="715"/>
      <x v="897"/>
      <x v="23"/>
      <x v="10"/>
    </i>
    <i>
      <x v="200"/>
      <x v="1285"/>
      <x v="40"/>
      <x v="2"/>
    </i>
    <i>
      <x v="216"/>
      <x v="188"/>
      <x v="47"/>
      <x v="2"/>
    </i>
    <i>
      <x v="438"/>
      <x v="386"/>
      <x v="55"/>
      <x v="8"/>
    </i>
    <i>
      <x v="1143"/>
      <x v="57"/>
      <x v="40"/>
      <x v="2"/>
    </i>
    <i>
      <x v="334"/>
      <x v="1121"/>
      <x/>
      <x v="9"/>
    </i>
    <i>
      <x v="651"/>
      <x v="219"/>
      <x v="24"/>
      <x v="8"/>
    </i>
    <i>
      <x v="564"/>
      <x v="24"/>
      <x v="39"/>
      <x v="3"/>
    </i>
    <i>
      <x v="2647"/>
      <x v="2600"/>
      <x v="47"/>
      <x v="2"/>
    </i>
    <i>
      <x v="113"/>
      <x v="1462"/>
      <x v="47"/>
      <x v="2"/>
    </i>
    <i>
      <x v="2066"/>
      <x v="2062"/>
      <x v="40"/>
      <x v="2"/>
    </i>
    <i>
      <x v="1263"/>
      <x v="191"/>
      <x v="47"/>
      <x v="2"/>
    </i>
    <i>
      <x v="2666"/>
      <x v="2613"/>
      <x v="40"/>
      <x v="2"/>
    </i>
    <i>
      <x v="920"/>
      <x v="665"/>
      <x v="40"/>
      <x v="2"/>
    </i>
    <i>
      <x v="1208"/>
      <x v="104"/>
      <x v="40"/>
      <x v="2"/>
    </i>
    <i>
      <x v="786"/>
      <x v="761"/>
      <x v="24"/>
      <x v="10"/>
    </i>
    <i>
      <x v="2071"/>
      <x v="2066"/>
      <x v="35"/>
      <x v="2"/>
    </i>
    <i>
      <x v="1370"/>
      <x v="1294"/>
      <x v="38"/>
      <x v="2"/>
    </i>
    <i>
      <x v="496"/>
      <x v="135"/>
      <x/>
      <x v="3"/>
    </i>
    <i>
      <x v="626"/>
      <x v="1464"/>
      <x/>
      <x v="9"/>
    </i>
    <i>
      <x v="1523"/>
      <x v="1521"/>
      <x/>
      <x v="9"/>
    </i>
    <i>
      <x v="19"/>
      <x v="1233"/>
      <x/>
      <x v="9"/>
    </i>
    <i>
      <x v="1364"/>
      <x v="561"/>
      <x v="40"/>
      <x v="2"/>
    </i>
    <i>
      <x v="2899"/>
      <x v="2894"/>
      <x v="40"/>
      <x v="2"/>
    </i>
    <i>
      <x v="1740"/>
      <x v="1735"/>
      <x v="51"/>
      <x v="2"/>
    </i>
    <i>
      <x v="628"/>
      <x v="515"/>
      <x/>
      <x v="9"/>
    </i>
    <i>
      <x v="2847"/>
      <x v="2821"/>
      <x v="40"/>
      <x v="2"/>
    </i>
    <i>
      <x v="1201"/>
      <x v="98"/>
      <x v="40"/>
      <x v="2"/>
    </i>
    <i>
      <x v="1115"/>
      <x v="978"/>
      <x/>
      <x v="9"/>
    </i>
    <i>
      <x v="525"/>
      <x v="1080"/>
      <x/>
      <x v="9"/>
    </i>
    <i>
      <x v="2675"/>
      <x v="2622"/>
      <x v="51"/>
      <x v="2"/>
    </i>
    <i>
      <x v="1524"/>
      <x v="1522"/>
      <x v="40"/>
      <x v="2"/>
    </i>
    <i>
      <x v="1176"/>
      <x v="554"/>
      <x v="35"/>
      <x v="2"/>
    </i>
    <i>
      <x v="1256"/>
      <x v="186"/>
      <x v="47"/>
      <x v="2"/>
    </i>
    <i>
      <x v="2069"/>
      <x v="2064"/>
      <x v="47"/>
      <x v="2"/>
    </i>
    <i>
      <x v="1338"/>
      <x v="2847"/>
      <x v="40"/>
      <x v="2"/>
    </i>
    <i>
      <x v="1157"/>
      <x v="413"/>
      <x v="40"/>
      <x v="2"/>
    </i>
    <i>
      <x v="1624"/>
      <x v="1622"/>
      <x v="47"/>
      <x v="2"/>
    </i>
    <i>
      <x v="939"/>
      <x v="1252"/>
      <x/>
      <x v="9"/>
    </i>
    <i>
      <x v="2245"/>
      <x v="2225"/>
      <x v="40"/>
      <x v="2"/>
    </i>
    <i>
      <x v="1722"/>
      <x v="1717"/>
      <x v="35"/>
      <x v="2"/>
    </i>
    <i>
      <x v="2653"/>
      <x v="187"/>
      <x v="47"/>
      <x v="2"/>
    </i>
    <i>
      <x v="576"/>
      <x v="22"/>
      <x v="39"/>
      <x v="3"/>
    </i>
    <i>
      <x v="2700"/>
      <x v="2650"/>
      <x v="55"/>
      <x v="8"/>
    </i>
    <i>
      <x v="2811"/>
      <x v="2777"/>
      <x/>
      <x v="9"/>
    </i>
    <i>
      <x v="2330"/>
      <x v="2297"/>
      <x v="40"/>
      <x v="2"/>
    </i>
    <i>
      <x v="740"/>
      <x v="946"/>
      <x v="23"/>
      <x v="10"/>
    </i>
    <i>
      <x v="1522"/>
      <x v="1520"/>
      <x v="40"/>
      <x v="2"/>
    </i>
    <i>
      <x v="929"/>
      <x v="423"/>
      <x/>
      <x v="9"/>
    </i>
    <i>
      <x v="25"/>
      <x v="1328"/>
      <x/>
      <x v="9"/>
    </i>
    <i>
      <x v="2652"/>
      <x v="2605"/>
      <x v="40"/>
      <x v="2"/>
    </i>
    <i>
      <x v="577"/>
      <x v="33"/>
      <x v="39"/>
      <x v="3"/>
    </i>
    <i>
      <x v="2826"/>
      <x v="2794"/>
      <x v="40"/>
      <x v="2"/>
    </i>
    <i>
      <x v="788"/>
      <x v="759"/>
      <x v="24"/>
      <x v="10"/>
    </i>
    <i>
      <x v="578"/>
      <x v="32"/>
      <x v="39"/>
      <x v="3"/>
    </i>
    <i>
      <x v="755"/>
      <x v="823"/>
      <x v="23"/>
      <x v="10"/>
    </i>
    <i>
      <x v="2506"/>
      <x v="2458"/>
      <x v="51"/>
      <x v="2"/>
    </i>
    <i>
      <x v="1923"/>
      <x v="1918"/>
      <x v="47"/>
      <x v="2"/>
    </i>
    <i>
      <x v="2570"/>
      <x v="2523"/>
      <x v="51"/>
      <x v="2"/>
    </i>
    <i>
      <x v="2175"/>
      <x v="2165"/>
      <x v="70"/>
      <x v="2"/>
    </i>
    <i>
      <x v="879"/>
      <x v="43"/>
      <x v="24"/>
      <x v="8"/>
    </i>
    <i>
      <x v="2051"/>
      <x v="2047"/>
      <x v="40"/>
      <x v="2"/>
    </i>
    <i>
      <x v="2614"/>
      <x v="68"/>
      <x v="40"/>
      <x v="2"/>
    </i>
    <i>
      <x v="529"/>
      <x v="701"/>
      <x/>
      <x v="9"/>
    </i>
    <i>
      <x v="26"/>
      <x v="1329"/>
      <x/>
      <x v="9"/>
    </i>
    <i>
      <x v="157"/>
      <x v="332"/>
      <x v="40"/>
      <x v="2"/>
    </i>
    <i>
      <x v="2477"/>
      <x v="2438"/>
      <x v="47"/>
      <x v="2"/>
    </i>
    <i>
      <x v="547"/>
      <x v="4"/>
      <x v="44"/>
      <x v="3"/>
    </i>
    <i>
      <x v="1547"/>
      <x v="1545"/>
      <x v="64"/>
      <x v="2"/>
    </i>
    <i>
      <x v="1545"/>
      <x v="1543"/>
      <x v="64"/>
      <x v="2"/>
    </i>
    <i>
      <x v="966"/>
      <x v="1428"/>
      <x/>
      <x v="9"/>
    </i>
    <i>
      <x v="2446"/>
      <x v="2409"/>
      <x v="47"/>
      <x v="2"/>
    </i>
    <i>
      <x v="2911"/>
      <x v="2905"/>
      <x v="87"/>
      <x v="3"/>
    </i>
    <i>
      <x v="1537"/>
      <x v="1535"/>
      <x v="40"/>
      <x v="2"/>
    </i>
    <i>
      <x v="2194"/>
      <x v="2180"/>
      <x v="40"/>
      <x v="2"/>
    </i>
    <i>
      <x v="1701"/>
      <x v="1698"/>
      <x/>
      <x/>
    </i>
    <i>
      <x v="1529"/>
      <x v="1527"/>
      <x v="62"/>
      <x v="2"/>
    </i>
    <i>
      <x v="2691"/>
      <x v="2641"/>
      <x v="79"/>
      <x v="12"/>
    </i>
    <i>
      <x v="2907"/>
      <x v="2901"/>
      <x v="85"/>
      <x v="12"/>
    </i>
    <i>
      <x v="638"/>
      <x v="1002"/>
      <x/>
      <x v="9"/>
    </i>
    <i>
      <x v="1355"/>
      <x v="2853"/>
      <x v="35"/>
      <x v="2"/>
    </i>
    <i>
      <x v="2428"/>
      <x v="2391"/>
      <x/>
      <x/>
    </i>
    <i>
      <x v="980"/>
      <x v="520"/>
      <x/>
      <x v="9"/>
    </i>
    <i>
      <x v="1993"/>
      <x v="1988"/>
      <x v="35"/>
      <x v="2"/>
    </i>
    <i>
      <x v="1199"/>
      <x v="96"/>
      <x v="40"/>
      <x v="2"/>
    </i>
    <i>
      <x v="2347"/>
      <x v="2316"/>
      <x v="47"/>
      <x v="2"/>
    </i>
    <i>
      <x v="2123"/>
      <x v="2115"/>
      <x v="40"/>
      <x v="2"/>
    </i>
    <i>
      <x v="1538"/>
      <x v="1536"/>
      <x/>
      <x/>
    </i>
    <i>
      <x v="1554"/>
      <x v="1552"/>
      <x v="56"/>
      <x v="5"/>
    </i>
    <i>
      <x v="1639"/>
      <x v="1637"/>
      <x v="47"/>
      <x v="2"/>
    </i>
    <i>
      <x v="2629"/>
      <x v="2582"/>
      <x v="47"/>
      <x v="2"/>
    </i>
    <i>
      <x v="1553"/>
      <x v="1551"/>
      <x v="56"/>
      <x v="5"/>
    </i>
    <i>
      <x v="1038"/>
      <x v="408"/>
      <x/>
      <x v="9"/>
    </i>
    <i>
      <x v="180"/>
      <x v="687"/>
      <x v="40"/>
      <x v="2"/>
    </i>
    <i>
      <x v="2017"/>
      <x v="2013"/>
      <x v="7"/>
      <x v="2"/>
    </i>
    <i>
      <x v="1995"/>
      <x v="1990"/>
      <x v="35"/>
      <x v="2"/>
    </i>
    <i>
      <x v="2401"/>
      <x v="2368"/>
      <x v="47"/>
      <x v="2"/>
    </i>
    <i>
      <x v="2433"/>
      <x v="2396"/>
      <x v="11"/>
      <x v="2"/>
    </i>
    <i>
      <x v="2836"/>
      <x v="2805"/>
      <x v="56"/>
      <x v="5"/>
    </i>
    <i>
      <x v="2827"/>
      <x v="2795"/>
      <x v="85"/>
      <x v="12"/>
    </i>
    <i>
      <x v="1542"/>
      <x v="1540"/>
      <x v="63"/>
      <x v="2"/>
    </i>
    <i>
      <x v="1539"/>
      <x v="1537"/>
      <x v="63"/>
      <x v="2"/>
    </i>
    <i>
      <x v="960"/>
      <x v="1125"/>
      <x/>
      <x v="9"/>
    </i>
    <i>
      <x v="217"/>
      <x v="189"/>
      <x v="47"/>
      <x v="2"/>
    </i>
    <i>
      <x v="2086"/>
      <x v="2082"/>
      <x/>
      <x/>
    </i>
    <i>
      <x v="2087"/>
      <x v="2083"/>
      <x/>
      <x/>
    </i>
    <i>
      <x v="2088"/>
      <x v="2084"/>
      <x/>
      <x/>
    </i>
    <i>
      <x v="1543"/>
      <x v="1541"/>
      <x v="63"/>
      <x v="2"/>
    </i>
    <i>
      <x v="2312"/>
      <x v="2282"/>
      <x v="47"/>
      <x v="2"/>
    </i>
    <i>
      <x v="2155"/>
      <x v="2145"/>
      <x v="47"/>
      <x v="2"/>
    </i>
    <i>
      <x v="2620"/>
      <x v="2573"/>
      <x v="40"/>
      <x v="2"/>
    </i>
    <i>
      <x v="1544"/>
      <x v="1542"/>
      <x v="64"/>
      <x v="2"/>
    </i>
    <i>
      <x v="2701"/>
      <x v="2651"/>
      <x v="55"/>
      <x v="7"/>
    </i>
    <i>
      <x v="2763"/>
      <x v="2719"/>
      <x v="29"/>
      <x v="3"/>
    </i>
    <i>
      <x v="2143"/>
      <x v="2133"/>
      <x v="35"/>
      <x v="2"/>
    </i>
    <i>
      <x v="503"/>
      <x v="1456"/>
      <x v="49"/>
      <x v="3"/>
    </i>
    <i>
      <x v="1421"/>
      <x v="1136"/>
      <x v="35"/>
      <x v="2"/>
    </i>
    <i>
      <x v="501"/>
      <x v="1458"/>
      <x v="49"/>
      <x v="3"/>
    </i>
    <i>
      <x v="1533"/>
      <x v="1531"/>
      <x v="63"/>
      <x v="2"/>
    </i>
    <i>
      <x v="2399"/>
      <x v="2365"/>
      <x/>
      <x/>
    </i>
    <i>
      <x v="2406"/>
      <x v="2373"/>
      <x/>
      <x/>
    </i>
    <i>
      <x v="1943"/>
      <x v="1938"/>
      <x v="35"/>
      <x v="2"/>
    </i>
    <i>
      <x v="975"/>
      <x v="516"/>
      <x/>
      <x v="3"/>
    </i>
    <i>
      <x v="1922"/>
      <x v="1917"/>
      <x v="47"/>
      <x v="2"/>
    </i>
    <i>
      <x v="1880"/>
      <x v="1876"/>
      <x/>
      <x/>
    </i>
    <i>
      <x v="2765"/>
      <x v="2721"/>
      <x v="29"/>
      <x v="3"/>
    </i>
    <i>
      <x v="504"/>
      <x v="344"/>
      <x v="49"/>
      <x v="3"/>
    </i>
    <i>
      <x v="1907"/>
      <x v="1902"/>
      <x v="7"/>
      <x v="2"/>
    </i>
    <i>
      <x v="1942"/>
      <x v="1937"/>
      <x v="35"/>
      <x v="2"/>
    </i>
    <i>
      <x v="1881"/>
      <x v="1877"/>
      <x v="4"/>
      <x v="2"/>
    </i>
    <i>
      <x v="2556"/>
      <x v="2510"/>
      <x/>
      <x/>
    </i>
    <i>
      <x v="502"/>
      <x v="1457"/>
      <x v="49"/>
      <x v="3"/>
    </i>
    <i>
      <x v="1534"/>
      <x v="1532"/>
      <x v="62"/>
      <x v="2"/>
    </i>
    <i>
      <x v="2375"/>
      <x v="2341"/>
      <x v="40"/>
      <x v="2"/>
    </i>
    <i>
      <x v="266"/>
      <x v="177"/>
      <x v="47"/>
      <x v="2"/>
    </i>
    <i>
      <x v="1915"/>
      <x v="1910"/>
      <x v="47"/>
      <x v="2"/>
    </i>
    <i>
      <x v="2405"/>
      <x v="2372"/>
      <x v="47"/>
      <x v="2"/>
    </i>
    <i>
      <x v="1817"/>
      <x v="1813"/>
      <x v="47"/>
      <x v="2"/>
    </i>
    <i>
      <x v="1908"/>
      <x v="1903"/>
      <x v="7"/>
      <x v="2"/>
    </i>
    <i>
      <x v="2764"/>
      <x v="2720"/>
      <x v="29"/>
      <x v="3"/>
    </i>
    <i>
      <x v="1541"/>
      <x v="1539"/>
      <x v="63"/>
      <x v="2"/>
    </i>
    <i>
      <x v="2613"/>
      <x v="2567"/>
      <x v="40"/>
      <x v="2"/>
    </i>
    <i>
      <x v="505"/>
      <x v="1459"/>
      <x v="49"/>
      <x v="3"/>
    </i>
    <i>
      <x v="1540"/>
      <x v="1538"/>
      <x v="63"/>
      <x v="2"/>
    </i>
    <i>
      <x v="1536"/>
      <x v="1534"/>
      <x v="40"/>
      <x v="2"/>
    </i>
    <i>
      <x v="493"/>
      <x v="343"/>
      <x v="49"/>
      <x v="3"/>
    </i>
    <i>
      <x v="1532"/>
      <x v="1530"/>
      <x v="63"/>
      <x v="2"/>
    </i>
    <i>
      <x v="1528"/>
      <x v="1526"/>
      <x v="15"/>
      <x v="3"/>
    </i>
    <i>
      <x v="2136"/>
      <x v="2127"/>
      <x v="47"/>
      <x v="2"/>
    </i>
    <i>
      <x v="1917"/>
      <x v="1912"/>
      <x v="47"/>
      <x v="2"/>
    </i>
    <i>
      <x v="1302"/>
      <x v="224"/>
      <x v="40"/>
      <x v="2"/>
    </i>
    <i>
      <x v="2571"/>
      <x v="2524"/>
      <x v="40"/>
      <x v="2"/>
    </i>
    <i>
      <x v="2507"/>
      <x v="2459"/>
      <x v="40"/>
      <x v="2"/>
    </i>
    <i>
      <x v="1535"/>
      <x v="1533"/>
      <x v="40"/>
      <x v="2"/>
    </i>
    <i>
      <x v="2599"/>
      <x v="2553"/>
      <x v="40"/>
      <x v="2"/>
    </i>
    <i>
      <x v="1530"/>
      <x v="1528"/>
      <x v="63"/>
      <x v="2"/>
    </i>
    <i>
      <x v="1531"/>
      <x v="1529"/>
      <x v="63"/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CTV " fld="5" baseField="0" baseItem="0"/>
    <dataField name="EXISTENCIA " fld="6" baseField="0" baseItem="0"/>
    <dataField name="COSTO TOTAL " fld="7" baseField="0" baseItem="0" numFmtId="164"/>
  </dataFields>
  <formats count="3">
    <format dxfId="8">
      <pivotArea dataOnly="0" labelOnly="1" outline="0" fieldPosition="0">
        <references count="1">
          <reference field="1" count="0"/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dataOnly="0"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D_Exceso_Buffers" cacheId="175" applyNumberFormats="0" applyBorderFormats="0" applyFontFormats="0" applyPatternFormats="0" applyAlignmentFormats="0" applyWidthHeightFormats="1" dataCaption="Valores" updatedVersion="3" minRefreshableVersion="3" showCalcMbrs="0" showDrill="0" useAutoFormatting="1" rowGrandTotals="0" colGrandTotals="0" itemPrintTitles="1" createdVersion="3" indent="0" compact="0" compactData="0" multipleFieldFilters="0">
  <location ref="A5:G292" firstHeaderRow="1" firstDataRow="2" firstDataCol="4" rowPageCount="2" colPageCount="1"/>
  <pivotFields count="12">
    <pivotField axis="axisPage" compact="0" outline="0" showAll="0" defaultSubtotal="0">
      <items count="3">
        <item m="1" x="2"/>
        <item m="1" x="1"/>
        <item x="0"/>
      </items>
    </pivotField>
    <pivotField axis="axisPage" compact="0" outline="0" showAll="0" defaultSubtotal="0">
      <items count="7">
        <item m="1" x="2"/>
        <item m="1" x="6"/>
        <item m="1" x="4"/>
        <item m="1" x="3"/>
        <item m="1" x="5"/>
        <item m="1" x="1"/>
        <item x="0"/>
      </items>
    </pivotField>
    <pivotField axis="axisRow" compact="0" outline="0" showAll="0" sortType="descending" defaultSubtotal="0">
      <items count="739">
        <item m="1" x="473"/>
        <item m="1" x="500"/>
        <item m="1" x="318"/>
        <item m="1" x="420"/>
        <item m="1" x="642"/>
        <item m="1" x="401"/>
        <item m="1" x="391"/>
        <item m="1" x="400"/>
        <item m="1" x="440"/>
        <item m="1" x="433"/>
        <item m="1" x="717"/>
        <item m="1" x="680"/>
        <item m="1" x="465"/>
        <item m="1" x="667"/>
        <item m="1" x="686"/>
        <item m="1" x="435"/>
        <item m="1" x="662"/>
        <item m="1" x="475"/>
        <item m="1" x="656"/>
        <item m="1" x="641"/>
        <item m="1" x="388"/>
        <item m="1" x="658"/>
        <item m="1" x="411"/>
        <item m="1" x="649"/>
        <item m="1" x="463"/>
        <item m="1" x="414"/>
        <item m="1" x="367"/>
        <item m="1" x="402"/>
        <item m="1" x="373"/>
        <item m="1" x="349"/>
        <item m="1" x="567"/>
        <item m="1" x="377"/>
        <item m="1" x="510"/>
        <item m="1" x="626"/>
        <item m="1" x="478"/>
        <item m="1" x="727"/>
        <item m="1" x="299"/>
        <item m="1" x="605"/>
        <item m="1" x="678"/>
        <item m="1" x="596"/>
        <item m="1" x="361"/>
        <item m="1" x="366"/>
        <item m="1" x="583"/>
        <item m="1" x="507"/>
        <item m="1" x="563"/>
        <item m="1" x="461"/>
        <item m="1" x="502"/>
        <item m="1" x="585"/>
        <item m="1" x="616"/>
        <item m="1" x="395"/>
        <item m="1" x="548"/>
        <item m="1" x="398"/>
        <item m="1" x="664"/>
        <item m="1" x="527"/>
        <item m="1" x="338"/>
        <item m="1" x="436"/>
        <item m="1" x="716"/>
        <item m="1" x="303"/>
        <item m="1" x="568"/>
        <item m="1" x="450"/>
        <item m="1" x="595"/>
        <item m="1" x="460"/>
        <item m="1" x="471"/>
        <item m="1" x="342"/>
        <item m="1" x="345"/>
        <item m="1" x="448"/>
        <item m="1" x="368"/>
        <item m="1" x="374"/>
        <item m="1" x="513"/>
        <item m="1" x="588"/>
        <item m="1" x="536"/>
        <item m="1" x="371"/>
        <item m="1" x="724"/>
        <item m="1" x="538"/>
        <item m="1" x="333"/>
        <item m="1" x="422"/>
        <item m="1" x="424"/>
        <item m="1" x="332"/>
        <item m="1" x="381"/>
        <item m="1" x="580"/>
        <item m="1" x="394"/>
        <item m="1" x="447"/>
        <item m="1" x="470"/>
        <item m="1" x="660"/>
        <item m="1" x="693"/>
        <item m="1" x="691"/>
        <item m="1" x="419"/>
        <item m="1" x="625"/>
        <item m="1" x="516"/>
        <item m="1" x="648"/>
        <item m="1" x="300"/>
        <item m="1" x="537"/>
        <item m="1" x="480"/>
        <item m="1" x="452"/>
        <item m="1" x="350"/>
        <item m="1" x="708"/>
        <item m="1" x="574"/>
        <item m="1" x="534"/>
        <item m="1" x="576"/>
        <item m="1" x="301"/>
        <item m="1" x="738"/>
        <item m="1" x="560"/>
        <item m="1" x="491"/>
        <item m="1" x="578"/>
        <item m="1" x="339"/>
        <item m="1" x="703"/>
        <item m="1" x="668"/>
        <item m="1" x="432"/>
        <item m="1" x="700"/>
        <item m="1" x="467"/>
        <item m="1" x="689"/>
        <item m="1" x="413"/>
        <item m="1" x="627"/>
        <item m="1" x="347"/>
        <item sd="0" m="1" x="528"/>
        <item m="1" x="331"/>
        <item m="1" x="487"/>
        <item m="1" x="489"/>
        <item m="1" x="632"/>
        <item m="1" x="495"/>
        <item m="1" x="307"/>
        <item m="1" x="445"/>
        <item m="1" x="438"/>
        <item m="1" x="722"/>
        <item m="1" x="734"/>
        <item m="1" x="570"/>
        <item m="1" x="421"/>
        <item m="1" x="479"/>
        <item m="1" x="569"/>
        <item m="1" x="317"/>
        <item m="1" x="518"/>
        <item m="1" x="561"/>
        <item m="1" x="566"/>
        <item m="1" x="497"/>
        <item m="1" x="554"/>
        <item m="1" x="621"/>
        <item m="1" x="288"/>
        <item m="1" x="525"/>
        <item m="1" x="351"/>
        <item m="1" x="397"/>
        <item m="1" x="484"/>
        <item m="1" x="551"/>
        <item m="1" x="657"/>
        <item m="1" x="535"/>
        <item m="1" x="729"/>
        <item m="1" x="608"/>
        <item m="1" x="644"/>
        <item m="1" x="343"/>
        <item m="1" x="683"/>
        <item m="1" x="474"/>
        <item m="1" x="304"/>
        <item m="1" x="653"/>
        <item m="1" x="679"/>
        <item m="1" x="346"/>
        <item m="1" x="654"/>
        <item m="1" x="364"/>
        <item m="1" x="592"/>
        <item m="1" x="322"/>
        <item m="1" x="311"/>
        <item m="1" x="387"/>
        <item m="1" x="514"/>
        <item m="1" x="396"/>
        <item m="1" x="705"/>
        <item m="1" x="294"/>
        <item m="1" x="472"/>
        <item m="1" x="635"/>
        <item m="1" x="469"/>
        <item m="1" x="468"/>
        <item m="1" x="712"/>
        <item m="1" x="521"/>
        <item m="1" x="646"/>
        <item m="1" x="697"/>
        <item m="1" x="523"/>
        <item m="1" x="704"/>
        <item m="1" x="348"/>
        <item m="1" x="707"/>
        <item m="1" x="651"/>
        <item m="1" x="597"/>
        <item m="1" x="314"/>
        <item m="1" x="593"/>
        <item m="1" x="598"/>
        <item m="1" x="430"/>
        <item m="1" x="670"/>
        <item m="1" x="611"/>
        <item m="1" x="659"/>
        <item m="1" x="562"/>
        <item m="1" x="485"/>
        <item m="1" x="353"/>
        <item m="1" x="710"/>
        <item m="1" x="526"/>
        <item m="1" x="581"/>
        <item m="1" x="365"/>
        <item m="1" x="509"/>
        <item m="1" x="517"/>
        <item m="1" x="573"/>
        <item m="1" x="542"/>
        <item m="1" x="553"/>
        <item m="1" x="393"/>
        <item m="1" x="325"/>
        <item m="1" x="731"/>
        <item m="1" x="324"/>
        <item m="1" x="372"/>
        <item m="1" x="737"/>
        <item m="1" x="552"/>
        <item m="1" x="328"/>
        <item m="1" x="663"/>
        <item m="1" x="681"/>
        <item m="1" x="291"/>
        <item m="1" x="726"/>
        <item m="1" x="354"/>
        <item m="1" x="464"/>
        <item m="1" x="579"/>
        <item m="1" x="637"/>
        <item m="1" x="609"/>
        <item m="1" x="308"/>
        <item m="1" x="380"/>
        <item m="1" x="559"/>
        <item m="1" x="696"/>
        <item m="1" x="572"/>
        <item m="1" x="547"/>
        <item m="1" x="555"/>
        <item m="1" x="618"/>
        <item m="1" x="382"/>
        <item m="1" x="444"/>
        <item m="1" x="702"/>
        <item m="1" x="403"/>
        <item m="1" x="622"/>
        <item m="1" x="541"/>
        <item m="1" x="736"/>
        <item m="1" x="385"/>
        <item m="1" x="630"/>
        <item m="1" x="607"/>
        <item m="1" x="326"/>
        <item m="1" x="530"/>
        <item m="1" x="603"/>
        <item m="1" x="714"/>
        <item m="1" x="446"/>
        <item m="1" x="320"/>
        <item m="1" x="376"/>
        <item m="1" x="586"/>
        <item m="1" x="613"/>
        <item m="1" x="661"/>
        <item m="1" x="319"/>
        <item m="1" x="431"/>
        <item m="1" x="312"/>
        <item m="1" x="645"/>
        <item m="1" x="310"/>
        <item m="1" x="532"/>
        <item m="1" x="405"/>
        <item m="1" x="519"/>
        <item m="1" x="493"/>
        <item m="1" x="606"/>
        <item m="1" x="634"/>
        <item m="1" x="477"/>
        <item m="1" x="529"/>
        <item m="1" x="488"/>
        <item m="1" x="575"/>
        <item m="1" x="379"/>
        <item m="1" x="589"/>
        <item m="1" x="591"/>
        <item m="1" x="636"/>
        <item m="1" x="617"/>
        <item m="1" x="713"/>
        <item m="1" x="652"/>
        <item m="1" x="619"/>
        <item m="1" x="550"/>
        <item m="1" x="449"/>
        <item m="1" x="549"/>
        <item m="1" x="546"/>
        <item m="1" x="543"/>
        <item m="1" x="496"/>
        <item m="1" x="665"/>
        <item m="1" x="511"/>
        <item m="1" x="443"/>
        <item m="1" x="286"/>
        <item m="1" x="602"/>
        <item m="1" x="612"/>
        <item m="1" x="429"/>
        <item m="1" x="356"/>
        <item m="1" x="359"/>
        <item m="1" x="315"/>
        <item m="1" x="428"/>
        <item m="1" x="520"/>
        <item m="1" x="633"/>
        <item m="1" x="423"/>
        <item m="1" x="490"/>
        <item m="1" x="453"/>
        <item m="1" x="466"/>
        <item m="1" x="327"/>
        <item m="1" x="685"/>
        <item m="1" x="334"/>
        <item m="1" x="638"/>
        <item m="1" x="623"/>
        <item m="1" x="624"/>
        <item m="1" x="427"/>
        <item m="1" x="486"/>
        <item m="1" x="699"/>
        <item m="1" x="639"/>
        <item m="1" x="614"/>
        <item m="1" x="360"/>
        <item m="1" x="292"/>
        <item m="1" x="564"/>
        <item m="1" x="455"/>
        <item m="1" x="620"/>
        <item m="1" x="698"/>
        <item m="1" x="610"/>
        <item m="1" x="675"/>
        <item m="1" x="524"/>
        <item m="1" x="647"/>
        <item m="1" x="410"/>
        <item m="1" x="355"/>
        <item m="1" x="407"/>
        <item m="1" x="706"/>
        <item m="1" x="305"/>
        <item m="1" x="688"/>
        <item m="1" x="293"/>
        <item m="1" x="715"/>
        <item m="1" x="442"/>
        <item m="1" x="506"/>
        <item m="1" x="434"/>
        <item m="1" x="462"/>
        <item m="1" x="451"/>
        <item m="1" x="682"/>
        <item m="1" x="441"/>
        <item m="1" x="711"/>
        <item m="1" x="719"/>
        <item m="1" x="692"/>
        <item m="1" x="494"/>
        <item m="1" x="297"/>
        <item m="1" x="720"/>
        <item m="1" x="352"/>
        <item m="1" x="482"/>
        <item m="1" x="676"/>
        <item m="1" x="383"/>
        <item m="1" x="709"/>
        <item m="1" x="295"/>
        <item m="1" x="340"/>
        <item m="1" x="584"/>
        <item m="1" x="330"/>
        <item m="1" x="531"/>
        <item m="1" x="601"/>
        <item m="1" x="604"/>
        <item m="1" x="594"/>
        <item m="1" x="389"/>
        <item m="1" x="557"/>
        <item m="1" x="587"/>
        <item m="1" x="508"/>
        <item m="1" x="577"/>
        <item m="1" x="599"/>
        <item m="1" x="417"/>
        <item m="1" x="732"/>
        <item m="1" x="600"/>
        <item m="1" x="476"/>
        <item m="1" x="499"/>
        <item m="1" x="728"/>
        <item m="1" x="672"/>
        <item m="1" x="673"/>
        <item m="1" x="323"/>
        <item m="1" x="335"/>
        <item m="1" x="631"/>
        <item m="1" x="344"/>
        <item m="1" x="392"/>
        <item m="1" x="558"/>
        <item m="1" x="687"/>
        <item m="1" x="544"/>
        <item m="1" x="501"/>
        <item m="1" x="425"/>
        <item m="1" x="694"/>
        <item m="1" x="296"/>
        <item m="1" x="615"/>
        <item m="1" x="498"/>
        <item m="1" x="503"/>
        <item m="1" x="556"/>
        <item m="1" x="492"/>
        <item m="1" x="390"/>
        <item m="1" x="628"/>
        <item m="1" x="321"/>
        <item m="1" x="640"/>
        <item m="1" x="459"/>
        <item m="1" x="439"/>
        <item m="1" x="481"/>
        <item m="1" x="629"/>
        <item m="1" x="289"/>
        <item m="1" x="723"/>
        <item m="1" x="701"/>
        <item m="1" x="539"/>
        <item m="1" x="337"/>
        <item m="1" x="582"/>
        <item m="1" x="533"/>
        <item m="1" x="409"/>
        <item m="1" x="309"/>
        <item m="1" x="540"/>
        <item m="1" x="505"/>
        <item m="1" x="671"/>
        <item m="1" x="565"/>
        <item m="1" x="725"/>
        <item m="1" x="306"/>
        <item m="1" x="590"/>
        <item m="1" x="316"/>
        <item m="1" x="643"/>
        <item m="1" x="674"/>
        <item m="1" x="375"/>
        <item m="1" x="384"/>
        <item m="1" x="456"/>
        <item m="1" x="650"/>
        <item m="1" x="730"/>
        <item m="1" x="341"/>
        <item m="1" x="504"/>
        <item m="1" x="571"/>
        <item m="1" x="399"/>
        <item m="1" x="522"/>
        <item m="1" x="483"/>
        <item m="1" x="545"/>
        <item m="1" x="378"/>
        <item m="1" x="669"/>
        <item m="1" x="684"/>
        <item m="1" x="655"/>
        <item m="1" x="426"/>
        <item m="1" x="457"/>
        <item m="1" x="418"/>
        <item m="1" x="454"/>
        <item m="1" x="302"/>
        <item m="1" x="733"/>
        <item m="1" x="677"/>
        <item m="1" x="370"/>
        <item m="1" x="313"/>
        <item m="1" x="290"/>
        <item m="1" x="416"/>
        <item m="1" x="336"/>
        <item m="1" x="408"/>
        <item m="1" x="515"/>
        <item m="1" x="718"/>
        <item m="1" x="458"/>
        <item m="1" x="666"/>
        <item m="1" x="369"/>
        <item m="1" x="690"/>
        <item m="1" x="721"/>
        <item m="1" x="363"/>
        <item m="1" x="406"/>
        <item m="1" x="695"/>
        <item m="1" x="298"/>
        <item m="1" x="512"/>
        <item m="1" x="415"/>
        <item m="1" x="437"/>
        <item m="1" x="357"/>
        <item m="1" x="404"/>
        <item m="1" x="329"/>
        <item m="1" x="358"/>
        <item m="1" x="412"/>
        <item m="1" x="287"/>
        <item m="1" x="735"/>
        <item m="1" x="386"/>
        <item m="1" x="36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735">
        <item m="1" x="332"/>
        <item m="1" x="596"/>
        <item m="1" x="633"/>
        <item m="1" x="640"/>
        <item m="1" x="493"/>
        <item m="1" x="506"/>
        <item m="1" x="297"/>
        <item m="1" x="372"/>
        <item m="1" x="461"/>
        <item m="1" x="620"/>
        <item m="1" x="365"/>
        <item m="1" x="337"/>
        <item m="1" x="323"/>
        <item m="1" x="676"/>
        <item m="1" x="571"/>
        <item m="1" x="350"/>
        <item m="1" x="636"/>
        <item m="1" x="485"/>
        <item m="1" x="525"/>
        <item m="1" x="404"/>
        <item m="1" x="635"/>
        <item m="1" x="434"/>
        <item m="1" x="425"/>
        <item m="1" x="385"/>
        <item m="1" x="678"/>
        <item m="1" x="420"/>
        <item m="1" x="605"/>
        <item m="1" x="463"/>
        <item m="1" x="712"/>
        <item m="1" x="588"/>
        <item m="1" x="307"/>
        <item m="1" x="629"/>
        <item m="1" x="631"/>
        <item m="1" x="360"/>
        <item m="1" x="340"/>
        <item m="1" x="691"/>
        <item m="1" x="549"/>
        <item m="1" x="336"/>
        <item m="1" x="529"/>
        <item m="1" x="346"/>
        <item m="1" x="419"/>
        <item m="1" x="615"/>
        <item m="1" x="551"/>
        <item m="1" x="671"/>
        <item m="1" x="428"/>
        <item m="1" x="409"/>
        <item m="1" x="695"/>
        <item m="1" x="312"/>
        <item m="1" x="304"/>
        <item m="1" x="590"/>
        <item m="1" x="569"/>
        <item m="1" x="532"/>
        <item m="1" x="732"/>
        <item m="1" x="308"/>
        <item m="1" x="305"/>
        <item m="1" x="306"/>
        <item m="1" x="511"/>
        <item m="1" x="700"/>
        <item m="1" x="432"/>
        <item m="1" x="356"/>
        <item m="1" x="653"/>
        <item m="1" x="403"/>
        <item m="1" x="566"/>
        <item m="1" x="492"/>
        <item m="1" x="490"/>
        <item m="1" x="614"/>
        <item m="1" x="561"/>
        <item m="1" x="681"/>
        <item m="1" x="658"/>
        <item m="1" x="333"/>
        <item m="1" x="324"/>
        <item m="1" x="659"/>
        <item m="1" x="406"/>
        <item m="1" x="578"/>
        <item m="1" x="400"/>
        <item m="1" x="655"/>
        <item m="1" x="645"/>
        <item m="1" x="660"/>
        <item m="1" x="730"/>
        <item m="1" x="701"/>
        <item m="1" x="539"/>
        <item m="1" x="699"/>
        <item m="1" x="443"/>
        <item m="1" x="408"/>
        <item m="1" x="643"/>
        <item m="1" x="519"/>
        <item m="1" x="495"/>
        <item m="1" x="535"/>
        <item m="1" x="702"/>
        <item m="1" x="724"/>
        <item m="1" x="378"/>
        <item m="1" x="526"/>
        <item m="1" x="389"/>
        <item m="1" x="544"/>
        <item m="1" x="545"/>
        <item m="1" x="697"/>
        <item m="1" x="513"/>
        <item m="1" x="397"/>
        <item m="1" x="342"/>
        <item m="1" x="426"/>
        <item m="1" x="486"/>
        <item m="1" x="516"/>
        <item m="1" x="708"/>
        <item m="1" x="608"/>
        <item m="1" x="379"/>
        <item m="1" x="457"/>
        <item m="1" x="583"/>
        <item m="1" x="445"/>
        <item m="1" x="536"/>
        <item m="1" x="417"/>
        <item m="1" x="399"/>
        <item m="1" x="581"/>
        <item m="1" x="707"/>
        <item m="1" x="575"/>
        <item m="1" x="381"/>
        <item m="1" x="368"/>
        <item m="1" x="289"/>
        <item m="1" x="286"/>
        <item m="1" x="359"/>
        <item m="1" x="444"/>
        <item m="1" x="505"/>
        <item m="1" x="367"/>
        <item m="1" x="462"/>
        <item m="1" x="553"/>
        <item m="1" x="353"/>
        <item m="1" x="473"/>
        <item m="1" x="634"/>
        <item m="1" x="542"/>
        <item m="1" x="484"/>
        <item m="1" x="584"/>
        <item m="1" x="433"/>
        <item m="1" x="313"/>
        <item m="1" x="648"/>
        <item m="1" x="483"/>
        <item m="1" x="489"/>
        <item m="1" x="311"/>
        <item m="1" x="293"/>
        <item m="1" x="715"/>
        <item m="1" x="395"/>
        <item m="1" x="482"/>
        <item m="1" x="416"/>
        <item m="1" x="424"/>
        <item m="1" x="377"/>
        <item m="1" x="451"/>
        <item m="1" x="543"/>
        <item m="1" x="726"/>
        <item m="1" x="355"/>
        <item m="1" x="565"/>
        <item m="1" x="363"/>
        <item m="1" x="437"/>
        <item m="1" x="456"/>
        <item m="1" x="592"/>
        <item m="1" x="328"/>
        <item m="1" x="546"/>
        <item m="1" x="657"/>
        <item m="1" x="563"/>
        <item m="1" x="460"/>
        <item m="1" x="572"/>
        <item m="1" x="728"/>
        <item m="1" x="709"/>
        <item m="1" x="347"/>
        <item m="1" x="497"/>
        <item m="1" x="625"/>
        <item m="1" x="524"/>
        <item m="1" x="664"/>
        <item m="1" x="560"/>
        <item m="1" x="595"/>
        <item m="1" x="319"/>
        <item m="1" x="623"/>
        <item m="1" x="382"/>
        <item m="1" x="335"/>
        <item m="1" x="667"/>
        <item m="1" x="327"/>
        <item m="1" x="316"/>
        <item m="1" x="719"/>
        <item m="1" x="322"/>
        <item m="1" x="364"/>
        <item m="1" x="705"/>
        <item m="1" x="331"/>
        <item m="1" x="295"/>
        <item m="1" x="401"/>
        <item m="1" x="630"/>
        <item m="1" x="731"/>
        <item m="1" x="374"/>
        <item m="1" x="718"/>
        <item m="1" x="530"/>
        <item m="1" x="414"/>
        <item m="1" x="481"/>
        <item m="1" x="665"/>
        <item m="1" x="468"/>
        <item m="1" x="405"/>
        <item m="1" x="412"/>
        <item m="1" x="555"/>
        <item m="1" x="564"/>
        <item m="1" x="410"/>
        <item m="1" x="541"/>
        <item m="1" x="654"/>
        <item m="1" x="315"/>
        <item m="1" x="431"/>
        <item m="1" x="510"/>
        <item m="1" x="373"/>
        <item m="1" x="436"/>
        <item m="1" x="472"/>
        <item m="1" x="352"/>
        <item m="1" x="622"/>
        <item m="1" x="692"/>
        <item m="1" x="502"/>
        <item m="1" x="687"/>
        <item m="1" x="675"/>
        <item m="1" x="570"/>
        <item m="1" x="577"/>
        <item m="1" x="550"/>
        <item m="1" x="668"/>
        <item m="1" x="475"/>
        <item m="1" x="439"/>
        <item m="1" x="609"/>
        <item m="1" x="503"/>
        <item m="1" x="663"/>
        <item m="1" x="413"/>
        <item m="1" x="557"/>
        <item m="1" x="600"/>
        <item m="1" x="698"/>
        <item m="1" x="325"/>
        <item m="1" x="591"/>
        <item m="1" x="465"/>
        <item m="1" x="693"/>
        <item m="1" x="703"/>
        <item m="1" x="607"/>
        <item m="1" x="672"/>
        <item m="1" x="522"/>
        <item m="1" x="375"/>
        <item m="1" x="638"/>
        <item m="1" x="320"/>
        <item m="1" x="694"/>
        <item m="1" x="343"/>
        <item m="1" x="349"/>
        <item m="1" x="366"/>
        <item m="1" x="429"/>
        <item m="1" x="554"/>
        <item m="1" x="734"/>
        <item m="1" x="626"/>
        <item m="1" x="387"/>
        <item m="1" x="568"/>
        <item m="1" x="476"/>
        <item m="1" x="344"/>
        <item m="1" x="501"/>
        <item m="1" x="562"/>
        <item m="1" x="619"/>
        <item m="1" x="597"/>
        <item m="1" x="310"/>
        <item m="1" x="713"/>
        <item m="1" x="644"/>
        <item m="1" x="411"/>
        <item m="1" x="418"/>
        <item m="1" x="474"/>
        <item m="1" x="706"/>
        <item m="1" x="727"/>
        <item m="1" x="398"/>
        <item m="1" x="384"/>
        <item m="1" x="291"/>
        <item m="1" x="613"/>
        <item m="1" x="430"/>
        <item m="1" x="318"/>
        <item m="1" x="574"/>
        <item m="1" x="618"/>
        <item m="1" x="729"/>
        <item m="1" x="674"/>
        <item m="1" x="696"/>
        <item m="1" x="441"/>
        <item m="1" x="454"/>
        <item m="1" x="464"/>
        <item m="1" x="714"/>
        <item m="1" x="515"/>
        <item m="1" x="514"/>
        <item m="1" x="402"/>
        <item m="1" x="647"/>
        <item m="1" x="710"/>
        <item m="1" x="383"/>
        <item m="1" x="662"/>
        <item m="1" x="467"/>
        <item m="1" x="650"/>
        <item m="1" x="358"/>
        <item m="1" x="499"/>
        <item m="1" x="478"/>
        <item m="1" x="552"/>
        <item m="1" x="391"/>
        <item m="1" x="296"/>
        <item m="1" x="512"/>
        <item m="1" x="517"/>
        <item m="1" x="548"/>
        <item m="1" x="299"/>
        <item m="1" x="361"/>
        <item m="1" x="606"/>
        <item m="1" x="682"/>
        <item m="1" x="491"/>
        <item m="1" x="449"/>
        <item m="1" x="354"/>
        <item m="1" x="627"/>
        <item m="1" x="303"/>
        <item m="1" x="392"/>
        <item m="1" x="527"/>
        <item m="1" x="528"/>
        <item m="1" x="540"/>
        <item m="1" x="594"/>
        <item m="1" x="651"/>
        <item m="1" x="393"/>
        <item m="1" x="421"/>
        <item m="1" x="652"/>
        <item m="1" x="610"/>
        <item m="1" x="341"/>
        <item m="1" x="721"/>
        <item m="1" x="612"/>
        <item m="1" x="330"/>
        <item m="1" x="469"/>
        <item m="1" x="498"/>
        <item m="1" x="621"/>
        <item m="1" x="582"/>
        <item m="1" x="440"/>
        <item m="1" x="477"/>
        <item m="1" x="684"/>
        <item m="1" x="314"/>
        <item m="1" x="680"/>
        <item m="1" x="556"/>
        <item m="1" x="448"/>
        <item m="1" x="504"/>
        <item m="1" x="523"/>
        <item m="1" x="508"/>
        <item m="1" x="717"/>
        <item m="1" x="733"/>
        <item m="1" x="683"/>
        <item m="1" x="576"/>
        <item m="1" x="533"/>
        <item m="1" x="723"/>
        <item m="1" x="390"/>
        <item m="1" x="689"/>
        <item m="1" x="345"/>
        <item m="1" x="471"/>
        <item m="1" x="669"/>
        <item m="1" x="656"/>
        <item m="1" x="407"/>
        <item m="1" x="690"/>
        <item m="1" x="446"/>
        <item m="1" x="616"/>
        <item m="1" x="601"/>
        <item m="1" x="470"/>
        <item m="1" x="369"/>
        <item m="1" x="579"/>
        <item m="1" x="348"/>
        <item m="1" x="388"/>
        <item m="1" x="677"/>
        <item m="1" x="509"/>
        <item m="1" x="720"/>
        <item m="1" x="488"/>
        <item m="1" x="386"/>
        <item m="1" x="628"/>
        <item m="1" x="679"/>
        <item m="1" x="604"/>
        <item m="1" x="371"/>
        <item m="1" x="587"/>
        <item m="1" x="598"/>
        <item m="1" x="573"/>
        <item m="1" x="711"/>
        <item m="1" x="438"/>
        <item m="1" x="494"/>
        <item m="1" x="338"/>
        <item m="1" x="321"/>
        <item m="1" x="520"/>
        <item m="1" x="380"/>
        <item m="1" x="611"/>
        <item m="1" x="370"/>
        <item m="1" x="422"/>
        <item m="1" x="586"/>
        <item m="1" x="302"/>
        <item m="1" x="329"/>
        <item m="1" x="292"/>
        <item m="1" x="646"/>
        <item m="1" x="334"/>
        <item m="1" x="603"/>
        <item m="1" x="639"/>
        <item m="1" x="617"/>
        <item m="1" x="487"/>
        <item m="1" x="641"/>
        <item m="1" x="624"/>
        <item m="1" x="585"/>
        <item m="1" x="326"/>
        <item m="1" x="558"/>
        <item m="1" x="666"/>
        <item m="1" x="394"/>
        <item m="1" x="567"/>
        <item m="1" x="704"/>
        <item m="1" x="649"/>
        <item m="1" x="500"/>
        <item m="1" x="531"/>
        <item m="1" x="559"/>
        <item m="1" x="637"/>
        <item m="1" x="507"/>
        <item m="1" x="725"/>
        <item m="1" x="351"/>
        <item m="1" x="479"/>
        <item m="1" x="686"/>
        <item m="1" x="415"/>
        <item m="1" x="716"/>
        <item m="1" x="455"/>
        <item m="1" x="294"/>
        <item m="1" x="599"/>
        <item m="1" x="447"/>
        <item m="1" x="670"/>
        <item m="1" x="593"/>
        <item m="1" x="673"/>
        <item m="1" x="537"/>
        <item m="1" x="362"/>
        <item m="1" x="518"/>
        <item m="1" x="589"/>
        <item m="1" x="547"/>
        <item m="1" x="458"/>
        <item m="1" x="661"/>
        <item m="1" x="396"/>
        <item m="1" x="288"/>
        <item m="1" x="357"/>
        <item m="1" x="317"/>
        <item m="1" x="442"/>
        <item m="1" x="298"/>
        <item m="1" x="632"/>
        <item m="1" x="423"/>
        <item m="1" x="309"/>
        <item m="1" x="480"/>
        <item m="1" x="685"/>
        <item m="1" x="300"/>
        <item m="1" x="534"/>
        <item m="1" x="435"/>
        <item m="1" x="290"/>
        <item m="1" x="496"/>
        <item m="1" x="538"/>
        <item m="1" x="722"/>
        <item m="1" x="642"/>
        <item m="1" x="376"/>
        <item m="1" x="427"/>
        <item m="1" x="459"/>
        <item m="1" x="602"/>
        <item m="1" x="452"/>
        <item m="1" x="453"/>
        <item m="1" x="339"/>
        <item m="1" x="688"/>
        <item m="1" x="580"/>
        <item m="1" x="450"/>
        <item m="1" x="287"/>
        <item m="1" x="521"/>
        <item m="1" x="466"/>
        <item m="1" x="30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</items>
    </pivotField>
    <pivotField axis="axisRow" compact="0" outline="0" showAll="0" sortType="descending" defaultSubtotal="0">
      <items count="32">
        <item m="1" x="31"/>
        <item m="1" x="30"/>
        <item m="1" x="23"/>
        <item m="1" x="29"/>
        <item m="1" x="3"/>
        <item m="1" x="14"/>
        <item m="1" x="11"/>
        <item m="1" x="19"/>
        <item m="1" x="28"/>
        <item m="1" x="16"/>
        <item m="1" x="26"/>
        <item m="1" x="25"/>
        <item m="1" x="10"/>
        <item m="1" x="18"/>
        <item m="1" x="7"/>
        <item m="1" x="27"/>
        <item m="1" x="8"/>
        <item m="1" x="12"/>
        <item m="1" x="2"/>
        <item m="1" x="22"/>
        <item sd="0" m="1" x="20"/>
        <item m="1" x="9"/>
        <item m="1" x="13"/>
        <item m="1" x="5"/>
        <item m="1" x="15"/>
        <item m="1" x="17"/>
        <item m="1" x="21"/>
        <item m="1" x="24"/>
        <item m="1" x="1"/>
        <item m="1" x="6"/>
        <item x="0"/>
        <item m="1"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sortType="descending" defaultSubtotal="0">
      <items count="12">
        <item m="1" x="11"/>
        <item m="1" x="9"/>
        <item m="1" x="7"/>
        <item m="1" x="8"/>
        <item m="1" x="10"/>
        <item m="1" x="6"/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4" outline="0" showAll="0" defaultSubtotal="0"/>
  </pivotFields>
  <rowFields count="4">
    <field x="2"/>
    <field x="3"/>
    <field x="4"/>
    <field x="5"/>
  </rowFields>
  <rowItems count="286">
    <i>
      <x v="630"/>
      <x v="626"/>
      <x v="30"/>
      <x v="9"/>
    </i>
    <i>
      <x v="566"/>
      <x v="562"/>
      <x v="30"/>
      <x v="9"/>
    </i>
    <i>
      <x v="577"/>
      <x v="573"/>
      <x v="30"/>
      <x v="9"/>
    </i>
    <i>
      <x v="576"/>
      <x v="572"/>
      <x v="30"/>
      <x v="9"/>
    </i>
    <i>
      <x v="690"/>
      <x v="686"/>
      <x v="30"/>
      <x v="10"/>
    </i>
    <i>
      <x v="634"/>
      <x v="630"/>
      <x v="30"/>
      <x v="9"/>
    </i>
    <i>
      <x v="578"/>
      <x v="574"/>
      <x v="30"/>
      <x v="9"/>
    </i>
    <i>
      <x v="528"/>
      <x v="524"/>
      <x v="30"/>
      <x v="7"/>
    </i>
    <i>
      <x v="614"/>
      <x v="610"/>
      <x v="30"/>
      <x v="9"/>
    </i>
    <i>
      <x v="631"/>
      <x v="627"/>
      <x v="30"/>
      <x v="9"/>
    </i>
    <i>
      <x v="629"/>
      <x v="625"/>
      <x v="30"/>
      <x v="9"/>
    </i>
    <i>
      <x v="567"/>
      <x v="563"/>
      <x v="30"/>
      <x v="9"/>
    </i>
    <i>
      <x v="651"/>
      <x v="647"/>
      <x v="30"/>
      <x v="10"/>
    </i>
    <i>
      <x v="541"/>
      <x v="537"/>
      <x v="30"/>
      <x v="8"/>
    </i>
    <i>
      <x v="569"/>
      <x v="565"/>
      <x v="30"/>
      <x v="9"/>
    </i>
    <i>
      <x v="635"/>
      <x v="631"/>
      <x v="30"/>
      <x v="9"/>
    </i>
    <i>
      <x v="619"/>
      <x v="615"/>
      <x v="30"/>
      <x v="9"/>
    </i>
    <i>
      <x v="609"/>
      <x v="605"/>
      <x v="30"/>
      <x v="9"/>
    </i>
    <i>
      <x v="534"/>
      <x v="530"/>
      <x v="30"/>
      <x v="8"/>
    </i>
    <i>
      <x v="610"/>
      <x v="606"/>
      <x v="30"/>
      <x v="9"/>
    </i>
    <i>
      <x v="574"/>
      <x v="570"/>
      <x v="30"/>
      <x v="9"/>
    </i>
    <i>
      <x v="628"/>
      <x v="624"/>
      <x v="30"/>
      <x v="9"/>
    </i>
    <i>
      <x v="529"/>
      <x v="525"/>
      <x v="30"/>
      <x v="7"/>
    </i>
    <i>
      <x v="711"/>
      <x v="707"/>
      <x v="30"/>
      <x v="10"/>
    </i>
    <i>
      <x v="539"/>
      <x v="535"/>
      <x v="30"/>
      <x v="8"/>
    </i>
    <i>
      <x v="623"/>
      <x v="619"/>
      <x v="30"/>
      <x v="9"/>
    </i>
    <i>
      <x v="688"/>
      <x v="684"/>
      <x v="30"/>
      <x v="10"/>
    </i>
    <i>
      <x v="702"/>
      <x v="698"/>
      <x v="30"/>
      <x v="10"/>
    </i>
    <i>
      <x v="558"/>
      <x v="554"/>
      <x v="30"/>
      <x v="8"/>
    </i>
    <i>
      <x v="627"/>
      <x v="623"/>
      <x v="30"/>
      <x v="9"/>
    </i>
    <i>
      <x v="540"/>
      <x v="536"/>
      <x v="30"/>
      <x v="8"/>
    </i>
    <i>
      <x v="652"/>
      <x v="648"/>
      <x v="30"/>
      <x v="10"/>
    </i>
    <i>
      <x v="476"/>
      <x v="472"/>
      <x v="30"/>
      <x v="6"/>
    </i>
    <i>
      <x v="573"/>
      <x v="569"/>
      <x v="30"/>
      <x v="9"/>
    </i>
    <i>
      <x v="568"/>
      <x v="564"/>
      <x v="30"/>
      <x v="9"/>
    </i>
    <i>
      <x v="680"/>
      <x v="676"/>
      <x v="30"/>
      <x v="10"/>
    </i>
    <i>
      <x v="618"/>
      <x v="614"/>
      <x v="30"/>
      <x v="9"/>
    </i>
    <i>
      <x v="516"/>
      <x v="512"/>
      <x v="30"/>
      <x v="6"/>
    </i>
    <i>
      <x v="591"/>
      <x v="587"/>
      <x v="30"/>
      <x v="9"/>
    </i>
    <i>
      <x v="527"/>
      <x v="523"/>
      <x v="30"/>
      <x v="7"/>
    </i>
    <i>
      <x v="488"/>
      <x v="484"/>
      <x v="30"/>
      <x v="6"/>
    </i>
    <i>
      <x v="613"/>
      <x v="609"/>
      <x v="30"/>
      <x v="9"/>
    </i>
    <i>
      <x v="596"/>
      <x v="592"/>
      <x v="30"/>
      <x v="9"/>
    </i>
    <i>
      <x v="571"/>
      <x v="567"/>
      <x v="30"/>
      <x v="9"/>
    </i>
    <i>
      <x v="612"/>
      <x v="608"/>
      <x v="30"/>
      <x v="9"/>
    </i>
    <i>
      <x v="678"/>
      <x v="674"/>
      <x v="30"/>
      <x v="10"/>
    </i>
    <i>
      <x v="479"/>
      <x v="475"/>
      <x v="30"/>
      <x v="6"/>
    </i>
    <i>
      <x v="557"/>
      <x v="553"/>
      <x v="30"/>
      <x v="8"/>
    </i>
    <i>
      <x v="592"/>
      <x v="588"/>
      <x v="30"/>
      <x v="9"/>
    </i>
    <i>
      <x v="669"/>
      <x v="665"/>
      <x v="30"/>
      <x v="10"/>
    </i>
    <i>
      <x v="563"/>
      <x v="559"/>
      <x v="30"/>
      <x v="9"/>
    </i>
    <i>
      <x v="537"/>
      <x v="533"/>
      <x v="30"/>
      <x v="8"/>
    </i>
    <i>
      <x v="616"/>
      <x v="612"/>
      <x v="30"/>
      <x v="9"/>
    </i>
    <i>
      <x v="544"/>
      <x v="540"/>
      <x v="30"/>
      <x v="8"/>
    </i>
    <i>
      <x v="615"/>
      <x v="611"/>
      <x v="30"/>
      <x v="9"/>
    </i>
    <i>
      <x v="605"/>
      <x v="601"/>
      <x v="30"/>
      <x v="9"/>
    </i>
    <i>
      <x v="543"/>
      <x v="539"/>
      <x v="30"/>
      <x v="8"/>
    </i>
    <i>
      <x v="480"/>
      <x v="476"/>
      <x v="30"/>
      <x v="6"/>
    </i>
    <i>
      <x v="617"/>
      <x v="613"/>
      <x v="30"/>
      <x v="9"/>
    </i>
    <i>
      <x v="580"/>
      <x v="576"/>
      <x v="30"/>
      <x v="9"/>
    </i>
    <i>
      <x v="561"/>
      <x v="557"/>
      <x v="30"/>
      <x v="9"/>
    </i>
    <i>
      <x v="620"/>
      <x v="616"/>
      <x v="30"/>
      <x v="9"/>
    </i>
    <i>
      <x v="579"/>
      <x v="575"/>
      <x v="30"/>
      <x v="9"/>
    </i>
    <i>
      <x v="611"/>
      <x v="607"/>
      <x v="30"/>
      <x v="9"/>
    </i>
    <i>
      <x v="727"/>
      <x v="723"/>
      <x v="30"/>
      <x v="10"/>
    </i>
    <i>
      <x v="671"/>
      <x v="667"/>
      <x v="30"/>
      <x v="10"/>
    </i>
    <i>
      <x v="485"/>
      <x v="481"/>
      <x v="30"/>
      <x v="6"/>
    </i>
    <i>
      <x v="454"/>
      <x v="450"/>
      <x v="30"/>
      <x v="6"/>
    </i>
    <i>
      <x v="603"/>
      <x v="599"/>
      <x v="30"/>
      <x v="9"/>
    </i>
    <i>
      <x v="700"/>
      <x v="696"/>
      <x v="30"/>
      <x v="10"/>
    </i>
    <i>
      <x v="720"/>
      <x v="716"/>
      <x v="30"/>
      <x v="10"/>
    </i>
    <i>
      <x v="721"/>
      <x v="717"/>
      <x v="30"/>
      <x v="10"/>
    </i>
    <i>
      <x v="679"/>
      <x v="675"/>
      <x v="30"/>
      <x v="10"/>
    </i>
    <i>
      <x v="492"/>
      <x v="488"/>
      <x v="30"/>
      <x v="6"/>
    </i>
    <i>
      <x v="584"/>
      <x v="580"/>
      <x v="30"/>
      <x v="9"/>
    </i>
    <i>
      <x v="649"/>
      <x v="645"/>
      <x v="30"/>
      <x v="10"/>
    </i>
    <i>
      <x v="491"/>
      <x v="487"/>
      <x v="30"/>
      <x v="6"/>
    </i>
    <i>
      <x v="667"/>
      <x v="663"/>
      <x v="30"/>
      <x v="10"/>
    </i>
    <i>
      <x v="632"/>
      <x v="628"/>
      <x v="30"/>
      <x v="9"/>
    </i>
    <i>
      <x v="467"/>
      <x v="463"/>
      <x v="30"/>
      <x v="6"/>
    </i>
    <i>
      <x v="481"/>
      <x v="477"/>
      <x v="30"/>
      <x v="6"/>
    </i>
    <i>
      <x v="489"/>
      <x v="485"/>
      <x v="30"/>
      <x v="6"/>
    </i>
    <i>
      <x v="524"/>
      <x v="520"/>
      <x v="30"/>
      <x v="6"/>
    </i>
    <i>
      <x v="736"/>
      <x v="732"/>
      <x v="30"/>
      <x v="10"/>
    </i>
    <i>
      <x v="564"/>
      <x v="560"/>
      <x v="30"/>
      <x v="9"/>
    </i>
    <i>
      <x v="462"/>
      <x v="458"/>
      <x v="30"/>
      <x v="6"/>
    </i>
    <i>
      <x v="455"/>
      <x v="451"/>
      <x v="30"/>
      <x v="6"/>
    </i>
    <i>
      <x v="587"/>
      <x v="583"/>
      <x v="30"/>
      <x v="9"/>
    </i>
    <i>
      <x v="648"/>
      <x v="644"/>
      <x v="30"/>
      <x v="10"/>
    </i>
    <i>
      <x v="494"/>
      <x v="490"/>
      <x v="30"/>
      <x v="6"/>
    </i>
    <i>
      <x v="604"/>
      <x v="600"/>
      <x v="30"/>
      <x v="9"/>
    </i>
    <i>
      <x v="716"/>
      <x v="712"/>
      <x v="30"/>
      <x v="10"/>
    </i>
    <i>
      <x v="594"/>
      <x v="590"/>
      <x v="30"/>
      <x v="9"/>
    </i>
    <i>
      <x v="565"/>
      <x v="561"/>
      <x v="30"/>
      <x v="9"/>
    </i>
    <i>
      <x v="686"/>
      <x v="682"/>
      <x v="30"/>
      <x v="10"/>
    </i>
    <i>
      <x v="621"/>
      <x v="617"/>
      <x v="30"/>
      <x v="9"/>
    </i>
    <i>
      <x v="718"/>
      <x v="714"/>
      <x v="30"/>
      <x v="10"/>
    </i>
    <i>
      <x v="597"/>
      <x v="593"/>
      <x v="30"/>
      <x v="9"/>
    </i>
    <i>
      <x v="666"/>
      <x v="662"/>
      <x v="30"/>
      <x v="10"/>
    </i>
    <i>
      <x v="469"/>
      <x v="465"/>
      <x v="30"/>
      <x v="6"/>
    </i>
    <i>
      <x v="600"/>
      <x v="596"/>
      <x v="30"/>
      <x v="9"/>
    </i>
    <i>
      <x v="490"/>
      <x v="486"/>
      <x v="30"/>
      <x v="6"/>
    </i>
    <i>
      <x v="655"/>
      <x v="651"/>
      <x v="30"/>
      <x v="10"/>
    </i>
    <i>
      <x v="468"/>
      <x v="464"/>
      <x v="30"/>
      <x v="6"/>
    </i>
    <i>
      <x v="572"/>
      <x v="568"/>
      <x v="30"/>
      <x v="9"/>
    </i>
    <i>
      <x v="533"/>
      <x v="529"/>
      <x v="30"/>
      <x v="8"/>
    </i>
    <i>
      <x v="547"/>
      <x v="543"/>
      <x v="30"/>
      <x v="8"/>
    </i>
    <i>
      <x v="723"/>
      <x v="719"/>
      <x v="30"/>
      <x v="10"/>
    </i>
    <i>
      <x v="703"/>
      <x v="699"/>
      <x v="30"/>
      <x v="10"/>
    </i>
    <i>
      <x v="722"/>
      <x v="718"/>
      <x v="30"/>
      <x v="10"/>
    </i>
    <i>
      <x v="519"/>
      <x v="515"/>
      <x v="30"/>
      <x v="6"/>
    </i>
    <i>
      <x v="607"/>
      <x v="603"/>
      <x v="30"/>
      <x v="9"/>
    </i>
    <i>
      <x v="525"/>
      <x v="521"/>
      <x v="30"/>
      <x v="6"/>
    </i>
    <i>
      <x v="735"/>
      <x v="731"/>
      <x v="30"/>
      <x v="10"/>
    </i>
    <i>
      <x v="523"/>
      <x v="519"/>
      <x v="30"/>
      <x v="6"/>
    </i>
    <i>
      <x v="633"/>
      <x v="629"/>
      <x v="30"/>
      <x v="9"/>
    </i>
    <i>
      <x v="729"/>
      <x v="725"/>
      <x v="30"/>
      <x v="10"/>
    </i>
    <i>
      <x v="728"/>
      <x v="724"/>
      <x v="30"/>
      <x v="10"/>
    </i>
    <i>
      <x v="536"/>
      <x v="532"/>
      <x v="30"/>
      <x v="8"/>
    </i>
    <i>
      <x v="638"/>
      <x v="634"/>
      <x v="30"/>
      <x v="10"/>
    </i>
    <i>
      <x v="562"/>
      <x v="558"/>
      <x v="30"/>
      <x v="9"/>
    </i>
    <i>
      <x v="665"/>
      <x v="661"/>
      <x v="30"/>
      <x v="10"/>
    </i>
    <i>
      <x v="582"/>
      <x v="578"/>
      <x v="30"/>
      <x v="9"/>
    </i>
    <i>
      <x v="645"/>
      <x v="641"/>
      <x v="30"/>
      <x v="10"/>
    </i>
    <i>
      <x v="598"/>
      <x v="594"/>
      <x v="30"/>
      <x v="9"/>
    </i>
    <i>
      <x v="545"/>
      <x v="541"/>
      <x v="30"/>
      <x v="8"/>
    </i>
    <i>
      <x v="546"/>
      <x v="542"/>
      <x v="30"/>
      <x v="8"/>
    </i>
    <i>
      <x v="554"/>
      <x v="550"/>
      <x v="30"/>
      <x v="8"/>
    </i>
    <i>
      <x v="478"/>
      <x v="474"/>
      <x v="30"/>
      <x v="6"/>
    </i>
    <i>
      <x v="472"/>
      <x v="468"/>
      <x v="30"/>
      <x v="6"/>
    </i>
    <i>
      <x v="463"/>
      <x v="459"/>
      <x v="30"/>
      <x v="6"/>
    </i>
    <i>
      <x v="466"/>
      <x v="462"/>
      <x v="30"/>
      <x v="6"/>
    </i>
    <i>
      <x v="639"/>
      <x v="635"/>
      <x v="30"/>
      <x v="10"/>
    </i>
    <i>
      <x v="470"/>
      <x v="466"/>
      <x v="30"/>
      <x v="6"/>
    </i>
    <i>
      <x v="713"/>
      <x v="709"/>
      <x v="30"/>
      <x v="10"/>
    </i>
    <i>
      <x v="504"/>
      <x v="500"/>
      <x v="30"/>
      <x v="6"/>
    </i>
    <i>
      <x v="477"/>
      <x v="473"/>
      <x v="30"/>
      <x v="6"/>
    </i>
    <i>
      <x v="552"/>
      <x v="548"/>
      <x v="30"/>
      <x v="8"/>
    </i>
    <i>
      <x v="511"/>
      <x v="507"/>
      <x v="30"/>
      <x v="6"/>
    </i>
    <i>
      <x v="493"/>
      <x v="489"/>
      <x v="30"/>
      <x v="6"/>
    </i>
    <i>
      <x v="486"/>
      <x v="482"/>
      <x v="30"/>
      <x v="6"/>
    </i>
    <i>
      <x v="641"/>
      <x v="637"/>
      <x v="30"/>
      <x v="10"/>
    </i>
    <i>
      <x v="701"/>
      <x v="697"/>
      <x v="30"/>
      <x v="10"/>
    </i>
    <i>
      <x v="662"/>
      <x v="658"/>
      <x v="30"/>
      <x v="10"/>
    </i>
    <i>
      <x v="471"/>
      <x v="467"/>
      <x v="30"/>
      <x v="6"/>
    </i>
    <i>
      <x v="461"/>
      <x v="457"/>
      <x v="30"/>
      <x v="6"/>
    </i>
    <i>
      <x v="653"/>
      <x v="649"/>
      <x v="30"/>
      <x v="10"/>
    </i>
    <i>
      <x v="548"/>
      <x v="544"/>
      <x v="30"/>
      <x v="8"/>
    </i>
    <i>
      <x v="724"/>
      <x v="720"/>
      <x v="30"/>
      <x v="10"/>
    </i>
    <i>
      <x v="642"/>
      <x v="638"/>
      <x v="30"/>
      <x v="10"/>
    </i>
    <i>
      <x v="560"/>
      <x v="556"/>
      <x v="30"/>
      <x v="8"/>
    </i>
    <i>
      <x v="677"/>
      <x v="673"/>
      <x v="30"/>
      <x v="10"/>
    </i>
    <i>
      <x v="626"/>
      <x v="622"/>
      <x v="30"/>
      <x v="9"/>
    </i>
    <i>
      <x v="473"/>
      <x v="469"/>
      <x v="30"/>
      <x v="6"/>
    </i>
    <i>
      <x v="704"/>
      <x v="700"/>
      <x v="30"/>
      <x v="10"/>
    </i>
    <i>
      <x v="646"/>
      <x v="642"/>
      <x v="30"/>
      <x v="10"/>
    </i>
    <i>
      <x v="624"/>
      <x v="620"/>
      <x v="30"/>
      <x v="9"/>
    </i>
    <i>
      <x v="608"/>
      <x v="604"/>
      <x v="30"/>
      <x v="9"/>
    </i>
    <i>
      <x v="503"/>
      <x v="499"/>
      <x v="30"/>
      <x v="6"/>
    </i>
    <i>
      <x v="714"/>
      <x v="710"/>
      <x v="30"/>
      <x v="10"/>
    </i>
    <i>
      <x v="538"/>
      <x v="534"/>
      <x v="30"/>
      <x v="8"/>
    </i>
    <i>
      <x v="663"/>
      <x v="659"/>
      <x v="30"/>
      <x v="10"/>
    </i>
    <i>
      <x v="556"/>
      <x v="552"/>
      <x v="30"/>
      <x v="8"/>
    </i>
    <i>
      <x v="526"/>
      <x v="522"/>
      <x v="30"/>
      <x v="6"/>
    </i>
    <i>
      <x v="501"/>
      <x v="497"/>
      <x v="30"/>
      <x v="6"/>
    </i>
    <i>
      <x v="522"/>
      <x v="518"/>
      <x v="30"/>
      <x v="6"/>
    </i>
    <i>
      <x v="589"/>
      <x v="585"/>
      <x v="30"/>
      <x v="9"/>
    </i>
    <i>
      <x v="647"/>
      <x v="643"/>
      <x v="30"/>
      <x v="10"/>
    </i>
    <i>
      <x v="458"/>
      <x v="454"/>
      <x v="30"/>
      <x v="6"/>
    </i>
    <i>
      <x v="685"/>
      <x v="681"/>
      <x v="30"/>
      <x v="10"/>
    </i>
    <i>
      <x v="535"/>
      <x v="531"/>
      <x v="30"/>
      <x v="8"/>
    </i>
    <i>
      <x v="738"/>
      <x v="734"/>
      <x v="30"/>
      <x v="11"/>
    </i>
    <i>
      <x v="692"/>
      <x v="688"/>
      <x v="30"/>
      <x v="10"/>
    </i>
    <i>
      <x v="726"/>
      <x v="722"/>
      <x v="30"/>
      <x v="10"/>
    </i>
    <i>
      <x v="672"/>
      <x v="668"/>
      <x v="30"/>
      <x v="10"/>
    </i>
    <i>
      <x v="586"/>
      <x v="582"/>
      <x v="30"/>
      <x v="9"/>
    </i>
    <i>
      <x v="559"/>
      <x v="555"/>
      <x v="30"/>
      <x v="8"/>
    </i>
    <i>
      <x v="708"/>
      <x v="704"/>
      <x v="30"/>
      <x v="10"/>
    </i>
    <i>
      <x v="622"/>
      <x v="618"/>
      <x v="30"/>
      <x v="9"/>
    </i>
    <i>
      <x v="515"/>
      <x v="511"/>
      <x v="30"/>
      <x v="6"/>
    </i>
    <i>
      <x v="661"/>
      <x v="657"/>
      <x v="30"/>
      <x v="10"/>
    </i>
    <i>
      <x v="585"/>
      <x v="581"/>
      <x v="30"/>
      <x v="9"/>
    </i>
    <i>
      <x v="550"/>
      <x v="546"/>
      <x v="30"/>
      <x v="8"/>
    </i>
    <i>
      <x v="542"/>
      <x v="538"/>
      <x v="30"/>
      <x v="8"/>
    </i>
    <i>
      <x v="482"/>
      <x v="478"/>
      <x v="30"/>
      <x v="6"/>
    </i>
    <i>
      <x v="575"/>
      <x v="571"/>
      <x v="30"/>
      <x v="9"/>
    </i>
    <i>
      <x v="706"/>
      <x v="702"/>
      <x v="30"/>
      <x v="10"/>
    </i>
    <i>
      <x v="625"/>
      <x v="621"/>
      <x v="30"/>
      <x v="9"/>
    </i>
    <i>
      <x v="595"/>
      <x v="591"/>
      <x v="30"/>
      <x v="9"/>
    </i>
    <i>
      <x v="643"/>
      <x v="639"/>
      <x v="30"/>
      <x v="10"/>
    </i>
    <i>
      <x v="715"/>
      <x v="711"/>
      <x v="30"/>
      <x v="10"/>
    </i>
    <i>
      <x v="549"/>
      <x v="545"/>
      <x v="30"/>
      <x v="8"/>
    </i>
    <i>
      <x v="508"/>
      <x v="504"/>
      <x v="30"/>
      <x v="6"/>
    </i>
    <i>
      <x v="599"/>
      <x v="595"/>
      <x v="30"/>
      <x v="9"/>
    </i>
    <i>
      <x v="581"/>
      <x v="577"/>
      <x v="30"/>
      <x v="9"/>
    </i>
    <i>
      <x v="656"/>
      <x v="652"/>
      <x v="30"/>
      <x v="10"/>
    </i>
    <i>
      <x v="657"/>
      <x v="653"/>
      <x v="30"/>
      <x v="10"/>
    </i>
    <i>
      <x v="637"/>
      <x v="633"/>
      <x v="30"/>
      <x v="9"/>
    </i>
    <i>
      <x v="674"/>
      <x v="670"/>
      <x v="30"/>
      <x v="10"/>
    </i>
    <i>
      <x v="693"/>
      <x v="689"/>
      <x v="30"/>
      <x v="10"/>
    </i>
    <i>
      <x v="456"/>
      <x v="452"/>
      <x v="30"/>
      <x v="6"/>
    </i>
    <i>
      <x v="717"/>
      <x v="713"/>
      <x v="30"/>
      <x v="10"/>
    </i>
    <i>
      <x v="697"/>
      <x v="693"/>
      <x v="30"/>
      <x v="10"/>
    </i>
    <i>
      <x v="710"/>
      <x v="706"/>
      <x v="30"/>
      <x v="10"/>
    </i>
    <i>
      <x v="510"/>
      <x v="506"/>
      <x v="30"/>
      <x v="6"/>
    </i>
    <i>
      <x v="698"/>
      <x v="694"/>
      <x v="30"/>
      <x v="10"/>
    </i>
    <i>
      <x v="640"/>
      <x v="636"/>
      <x v="30"/>
      <x v="10"/>
    </i>
    <i>
      <x v="684"/>
      <x v="680"/>
      <x v="30"/>
      <x v="10"/>
    </i>
    <i>
      <x v="658"/>
      <x v="654"/>
      <x v="30"/>
      <x v="10"/>
    </i>
    <i>
      <x v="570"/>
      <x v="566"/>
      <x v="30"/>
      <x v="9"/>
    </i>
    <i>
      <x v="602"/>
      <x v="598"/>
      <x v="30"/>
      <x v="9"/>
    </i>
    <i>
      <x v="694"/>
      <x v="690"/>
      <x v="30"/>
      <x v="10"/>
    </i>
    <i>
      <x v="487"/>
      <x v="483"/>
      <x v="30"/>
      <x v="6"/>
    </i>
    <i>
      <x v="719"/>
      <x v="715"/>
      <x v="30"/>
      <x v="10"/>
    </i>
    <i>
      <x v="730"/>
      <x v="726"/>
      <x v="30"/>
      <x v="10"/>
    </i>
    <i>
      <x v="691"/>
      <x v="687"/>
      <x v="30"/>
      <x v="10"/>
    </i>
    <i>
      <x v="483"/>
      <x v="479"/>
      <x v="30"/>
      <x v="6"/>
    </i>
    <i>
      <x v="507"/>
      <x v="503"/>
      <x v="30"/>
      <x v="6"/>
    </i>
    <i>
      <x v="464"/>
      <x v="460"/>
      <x v="30"/>
      <x v="6"/>
    </i>
    <i>
      <x v="505"/>
      <x v="501"/>
      <x v="30"/>
      <x v="6"/>
    </i>
    <i>
      <x v="459"/>
      <x v="455"/>
      <x v="30"/>
      <x v="6"/>
    </i>
    <i>
      <x v="509"/>
      <x v="505"/>
      <x v="30"/>
      <x v="6"/>
    </i>
    <i>
      <x v="676"/>
      <x v="672"/>
      <x v="30"/>
      <x v="10"/>
    </i>
    <i>
      <x v="695"/>
      <x v="691"/>
      <x v="30"/>
      <x v="10"/>
    </i>
    <i>
      <x v="499"/>
      <x v="495"/>
      <x v="30"/>
      <x v="6"/>
    </i>
    <i>
      <x v="654"/>
      <x v="650"/>
      <x v="30"/>
      <x v="10"/>
    </i>
    <i>
      <x v="484"/>
      <x v="480"/>
      <x v="30"/>
      <x v="6"/>
    </i>
    <i>
      <x v="660"/>
      <x v="656"/>
      <x v="30"/>
      <x v="10"/>
    </i>
    <i>
      <x v="498"/>
      <x v="494"/>
      <x v="30"/>
      <x v="6"/>
    </i>
    <i>
      <x v="725"/>
      <x v="721"/>
      <x v="30"/>
      <x v="10"/>
    </i>
    <i>
      <x v="460"/>
      <x v="456"/>
      <x v="30"/>
      <x v="6"/>
    </i>
    <i>
      <x v="689"/>
      <x v="685"/>
      <x v="30"/>
      <x v="10"/>
    </i>
    <i>
      <x v="520"/>
      <x v="516"/>
      <x v="30"/>
      <x v="6"/>
    </i>
    <i>
      <x v="593"/>
      <x v="589"/>
      <x v="30"/>
      <x v="9"/>
    </i>
    <i>
      <x v="696"/>
      <x v="692"/>
      <x v="30"/>
      <x v="10"/>
    </i>
    <i>
      <x v="644"/>
      <x v="640"/>
      <x v="30"/>
      <x v="10"/>
    </i>
    <i>
      <x v="496"/>
      <x v="492"/>
      <x v="30"/>
      <x v="6"/>
    </i>
    <i>
      <x v="606"/>
      <x v="602"/>
      <x v="30"/>
      <x v="9"/>
    </i>
    <i>
      <x v="506"/>
      <x v="502"/>
      <x v="30"/>
      <x v="6"/>
    </i>
    <i>
      <x v="453"/>
      <x v="449"/>
      <x v="30"/>
      <x v="6"/>
    </i>
    <i>
      <x v="555"/>
      <x v="551"/>
      <x v="30"/>
      <x v="8"/>
    </i>
    <i>
      <x v="668"/>
      <x v="664"/>
      <x v="30"/>
      <x v="10"/>
    </i>
    <i>
      <x v="521"/>
      <x v="517"/>
      <x v="30"/>
      <x v="6"/>
    </i>
    <i>
      <x v="497"/>
      <x v="493"/>
      <x v="30"/>
      <x v="6"/>
    </i>
    <i>
      <x v="636"/>
      <x v="632"/>
      <x v="30"/>
      <x v="9"/>
    </i>
    <i>
      <x v="583"/>
      <x v="579"/>
      <x v="30"/>
      <x v="9"/>
    </i>
    <i>
      <x v="707"/>
      <x v="703"/>
      <x v="30"/>
      <x v="10"/>
    </i>
    <i>
      <x v="705"/>
      <x v="701"/>
      <x v="30"/>
      <x v="10"/>
    </i>
    <i>
      <x v="465"/>
      <x v="461"/>
      <x v="30"/>
      <x v="6"/>
    </i>
    <i>
      <x v="670"/>
      <x v="666"/>
      <x v="30"/>
      <x v="10"/>
    </i>
    <i>
      <x v="664"/>
      <x v="660"/>
      <x v="30"/>
      <x v="10"/>
    </i>
    <i>
      <x v="712"/>
      <x v="708"/>
      <x v="30"/>
      <x v="10"/>
    </i>
    <i>
      <x v="502"/>
      <x v="498"/>
      <x v="30"/>
      <x v="6"/>
    </i>
    <i>
      <x v="683"/>
      <x v="679"/>
      <x v="30"/>
      <x v="10"/>
    </i>
    <i>
      <x v="737"/>
      <x v="733"/>
      <x v="30"/>
      <x v="10"/>
    </i>
    <i>
      <x v="733"/>
      <x v="729"/>
      <x v="30"/>
      <x v="10"/>
    </i>
    <i>
      <x v="530"/>
      <x v="526"/>
      <x v="30"/>
      <x v="8"/>
    </i>
    <i>
      <x v="732"/>
      <x v="728"/>
      <x v="30"/>
      <x v="10"/>
    </i>
    <i>
      <x v="500"/>
      <x v="496"/>
      <x v="30"/>
      <x v="6"/>
    </i>
    <i>
      <x v="709"/>
      <x v="705"/>
      <x v="30"/>
      <x v="10"/>
    </i>
    <i>
      <x v="514"/>
      <x v="510"/>
      <x v="30"/>
      <x v="6"/>
    </i>
    <i>
      <x v="659"/>
      <x v="655"/>
      <x v="30"/>
      <x v="10"/>
    </i>
    <i>
      <x v="512"/>
      <x v="508"/>
      <x v="30"/>
      <x v="6"/>
    </i>
    <i>
      <x v="517"/>
      <x v="513"/>
      <x v="30"/>
      <x v="6"/>
    </i>
    <i>
      <x v="532"/>
      <x v="528"/>
      <x v="30"/>
      <x v="8"/>
    </i>
    <i>
      <x v="650"/>
      <x v="646"/>
      <x v="30"/>
      <x v="10"/>
    </i>
    <i>
      <x v="731"/>
      <x v="727"/>
      <x v="30"/>
      <x v="10"/>
    </i>
    <i>
      <x v="590"/>
      <x v="586"/>
      <x v="30"/>
      <x v="9"/>
    </i>
    <i>
      <x v="553"/>
      <x v="549"/>
      <x v="30"/>
      <x v="8"/>
    </i>
    <i>
      <x v="682"/>
      <x v="678"/>
      <x v="30"/>
      <x v="10"/>
    </i>
    <i>
      <x v="518"/>
      <x v="514"/>
      <x v="30"/>
      <x v="6"/>
    </i>
    <i>
      <x v="699"/>
      <x v="695"/>
      <x v="30"/>
      <x v="10"/>
    </i>
    <i>
      <x v="588"/>
      <x v="584"/>
      <x v="30"/>
      <x v="9"/>
    </i>
    <i>
      <x v="551"/>
      <x v="547"/>
      <x v="30"/>
      <x v="8"/>
    </i>
    <i>
      <x v="457"/>
      <x v="453"/>
      <x v="30"/>
      <x v="6"/>
    </i>
    <i>
      <x v="474"/>
      <x v="470"/>
      <x v="30"/>
      <x v="6"/>
    </i>
    <i>
      <x v="513"/>
      <x v="509"/>
      <x v="30"/>
      <x v="6"/>
    </i>
    <i>
      <x v="673"/>
      <x v="669"/>
      <x v="30"/>
      <x v="10"/>
    </i>
    <i>
      <x v="687"/>
      <x v="683"/>
      <x v="30"/>
      <x v="10"/>
    </i>
    <i>
      <x v="734"/>
      <x v="730"/>
      <x v="30"/>
      <x v="10"/>
    </i>
    <i>
      <x v="601"/>
      <x v="597"/>
      <x v="30"/>
      <x v="9"/>
    </i>
    <i>
      <x v="681"/>
      <x v="677"/>
      <x v="30"/>
      <x v="10"/>
    </i>
    <i>
      <x v="475"/>
      <x v="471"/>
      <x v="30"/>
      <x v="6"/>
    </i>
    <i>
      <x v="495"/>
      <x v="491"/>
      <x v="30"/>
      <x v="6"/>
    </i>
    <i>
      <x v="531"/>
      <x v="527"/>
      <x v="30"/>
      <x v="8"/>
    </i>
    <i>
      <x v="675"/>
      <x v="671"/>
      <x v="30"/>
      <x v="10"/>
    </i>
  </rowItems>
  <colFields count="1">
    <field x="-2"/>
  </colFields>
  <colItems count="3">
    <i>
      <x/>
    </i>
    <i i="1">
      <x v="1"/>
    </i>
    <i i="2">
      <x v="2"/>
    </i>
  </colItems>
  <pageFields count="2">
    <pageField fld="0" item="2" hier="-1"/>
    <pageField fld="1" item="6" hier="-1"/>
  </pageFields>
  <dataFields count="3">
    <dataField name="CTV " fld="6" baseField="0" baseItem="0"/>
    <dataField name="Exceso Unid " fld="10" baseField="0" baseItem="0"/>
    <dataField name="Exceso Valorado " fld="11" baseField="0" baseItem="0" numFmtId="164"/>
  </dataFields>
  <formats count="1">
    <format dxfId="9">
      <pivotArea dataOnly="0"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4">
      <pivotAreas count="1">
        <pivotArea outline="0" fieldPosition="0">
          <references count="1">
            <reference field="4294967294" count="1">
              <x v="2"/>
            </reference>
          </references>
        </pivotArea>
      </pivotAreas>
    </conditionalFormat>
    <conditionalFormat type="all" priority="3">
      <pivotAreas count="1">
        <pivotArea outline="0" fieldPosition="0">
          <references count="1">
            <reference field="4294967294" count="1">
              <x v="2"/>
            </reference>
          </references>
        </pivotArea>
      </pivotAreas>
    </conditionalFormat>
  </conditionalFormats>
  <pivotTableStyleInfo name="PivotStyleMedium8" showRowHeaders="1" showColHeaders="1" showRowStripes="1" showColStripes="0" showLastColumn="1"/>
</pivotTableDefinition>
</file>

<file path=xl/queryTables/queryTable1.xml><?xml version="1.0" encoding="utf-8"?>
<queryTable xmlns="http://schemas.openxmlformats.org/spreadsheetml/2006/main" name="Consulta desde DatosConsolidados" connectionId="1" autoFormatId="16" applyNumberFormats="0" applyBorderFormats="0" applyFontFormats="0" applyPatternFormats="0" applyAlignmentFormats="0" applyWidthHeightFormats="0">
  <queryTableRefresh nextId="18" unboundColumnsRight="1">
    <queryTableFields count="12">
      <queryTableField id="1" name="Empresa" tableColumnId="1"/>
      <queryTableField id="2" name="Bodega" tableColumnId="2"/>
      <queryTableField id="3" name="Codigo" tableColumnId="3"/>
      <queryTableField id="4" name="Descripcion" tableColumnId="4"/>
      <queryTableField id="5" name="Grupo" tableColumnId="5"/>
      <queryTableField id="6" name="Linea" tableColumnId="6"/>
      <queryTableField id="7" name="CTV" tableColumnId="7"/>
      <queryTableField id="8" name="PV" tableColumnId="8"/>
      <queryTableField id="9" name="Buff Act" tableColumnId="9"/>
      <queryTableField id="10" name="Inv Fís Act" tableColumnId="10"/>
      <queryTableField id="14" name="Exceso Unid" tableColumnId="11"/>
      <queryTableField id="15" dataBound="0" tableColumnId="12"/>
    </queryTableFields>
  </queryTableRefresh>
</queryTable>
</file>

<file path=xl/queryTables/queryTable2.xml><?xml version="1.0" encoding="utf-8"?>
<queryTable xmlns="http://schemas.openxmlformats.org/spreadsheetml/2006/main" name="Consulta desde Repdin - Items" backgroundRefresh="0" connectionId="2" autoFormatId="16" applyNumberFormats="0" applyBorderFormats="0" applyFontFormats="0" applyPatternFormats="0" applyAlignmentFormats="0" applyWidthHeightFormats="0">
  <queryTableRefresh nextId="15" unboundColumnsRight="1">
    <queryTableFields count="8">
      <queryTableField id="10" name="EMPRESA" tableColumnId="8"/>
      <queryTableField id="1" name="CODIGO" tableColumnId="1"/>
      <queryTableField id="2" name="DESCRIPCION" tableColumnId="2"/>
      <queryTableField id="6" name="GRUPO" tableColumnId="6"/>
      <queryTableField id="7" name="LINEA" tableColumnId="7"/>
      <queryTableField id="3" name="COSTO" tableColumnId="3"/>
      <queryTableField id="4" name="EXISTENCIA" tableColumnId="4"/>
      <queryTableField id="5" dataBound="0" tableColumnId="5"/>
    </queryTableFields>
    <queryTableDeletedFields count="1">
      <deletedField name="COSTO TOTAL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a_Esfuerzo_Ventas_Valorado" displayName="Tabla_Esfuerzo_Ventas_Valorado" ref="A1:L287" tableType="queryTable" totalsRowShown="0">
  <autoFilter ref="A1:L287"/>
  <tableColumns count="12">
    <tableColumn id="1" uniqueName="1" name="Empresa" queryTableFieldId="1"/>
    <tableColumn id="2" uniqueName="2" name="Bodega" queryTableFieldId="2"/>
    <tableColumn id="3" uniqueName="3" name="Codigo" queryTableFieldId="3"/>
    <tableColumn id="4" uniqueName="4" name="Descripcion" queryTableFieldId="4"/>
    <tableColumn id="5" uniqueName="5" name="Grupo" queryTableFieldId="5"/>
    <tableColumn id="6" uniqueName="6" name="Linea" queryTableFieldId="6"/>
    <tableColumn id="7" uniqueName="7" name="CTV" queryTableFieldId="7" dataDxfId="2"/>
    <tableColumn id="8" uniqueName="8" name="PV" queryTableFieldId="8" dataDxfId="1"/>
    <tableColumn id="9" uniqueName="9" name="Buff Act" queryTableFieldId="9"/>
    <tableColumn id="10" uniqueName="10" name="Inv Fís Act" queryTableFieldId="10"/>
    <tableColumn id="11" uniqueName="11" name="Exceso Unid" queryTableFieldId="14"/>
    <tableColumn id="12" uniqueName="12" name="Exceso Valorado" queryTableFieldId="15" dataDxfId="0">
      <calculatedColumnFormula>Tabla_Esfuerzo_Ventas_Valorado[[#This Row],[Exceso Unid]]*Tabla_Esfuerzo_Ventas_Valorado[[#This Row],[CTV]]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2" name="Tabla_Items_Inactivos" displayName="Tabla_Items_Inactivos" ref="A1:H3488" tableType="queryTable" totalsRowShown="0">
  <autoFilter ref="A1:H3488"/>
  <tableColumns count="8">
    <tableColumn id="8" uniqueName="8" name="EMPRESA" queryTableFieldId="10"/>
    <tableColumn id="1" uniqueName="1" name="CODIGO" queryTableFieldId="1"/>
    <tableColumn id="2" uniqueName="2" name="DESCRIPCION" queryTableFieldId="2"/>
    <tableColumn id="6" uniqueName="6" name="GRUPO" queryTableFieldId="6"/>
    <tableColumn id="7" uniqueName="7" name="LINEA" queryTableFieldId="7"/>
    <tableColumn id="3" uniqueName="3" name="COSTO" queryTableFieldId="3" dataDxfId="4"/>
    <tableColumn id="4" uniqueName="4" name="EXISTENCIA" queryTableFieldId="4"/>
    <tableColumn id="5" uniqueName="5" name="COSTO TOTAL" queryTableFieldId="5" dataDxfId="3">
      <calculatedColumnFormula>Tabla_Items_Inactivos[[#This Row],[EXISTENCIA]]*Tabla_Items_Inactivos[[#This Row],[COSTO]]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P2730"/>
  <sheetViews>
    <sheetView showGridLines="0" tabSelected="1" zoomScale="85" zoomScaleNormal="85" workbookViewId="0">
      <selection activeCell="B15" sqref="B15"/>
    </sheetView>
  </sheetViews>
  <sheetFormatPr baseColWidth="10" defaultRowHeight="15"/>
  <cols>
    <col min="1" max="1" width="18.85546875" bestFit="1" customWidth="1"/>
    <col min="2" max="2" width="32.140625" customWidth="1"/>
    <col min="3" max="3" width="40.7109375" customWidth="1"/>
    <col min="4" max="4" width="17" customWidth="1"/>
    <col min="5" max="5" width="10" customWidth="1"/>
    <col min="6" max="6" width="12.140625" customWidth="1"/>
    <col min="7" max="7" width="16" customWidth="1"/>
    <col min="8" max="8" width="5.5703125" customWidth="1"/>
    <col min="9" max="9" width="4.42578125" customWidth="1"/>
    <col min="10" max="10" width="20.42578125" customWidth="1"/>
    <col min="11" max="11" width="21.42578125" customWidth="1"/>
    <col min="12" max="12" width="19.42578125" bestFit="1" customWidth="1"/>
    <col min="13" max="13" width="15.28515625" customWidth="1"/>
    <col min="14" max="14" width="10.85546875" bestFit="1" customWidth="1"/>
    <col min="15" max="15" width="11.5703125" bestFit="1" customWidth="1"/>
    <col min="16" max="16" width="13.42578125" bestFit="1" customWidth="1"/>
  </cols>
  <sheetData>
    <row r="1" spans="1:16" ht="22.5">
      <c r="A1" s="4" t="s">
        <v>26</v>
      </c>
      <c r="J1" s="4" t="s">
        <v>25</v>
      </c>
    </row>
    <row r="2" spans="1:16" ht="15" customHeight="1">
      <c r="A2" s="3" t="s">
        <v>0</v>
      </c>
      <c r="B2" t="s">
        <v>5545</v>
      </c>
    </row>
    <row r="3" spans="1:16">
      <c r="A3" s="3" t="s">
        <v>1</v>
      </c>
      <c r="B3" t="s">
        <v>5546</v>
      </c>
      <c r="J3" s="3" t="s">
        <v>24</v>
      </c>
      <c r="K3" t="s">
        <v>15</v>
      </c>
    </row>
    <row r="5" spans="1:16">
      <c r="E5" s="3" t="s">
        <v>12</v>
      </c>
      <c r="N5" s="3" t="s">
        <v>12</v>
      </c>
    </row>
    <row r="6" spans="1:16">
      <c r="A6" s="3" t="s">
        <v>2</v>
      </c>
      <c r="B6" s="3" t="s">
        <v>3</v>
      </c>
      <c r="C6" s="3" t="s">
        <v>4</v>
      </c>
      <c r="D6" s="3" t="s">
        <v>5</v>
      </c>
      <c r="E6" s="2" t="s">
        <v>16</v>
      </c>
      <c r="F6" t="s">
        <v>13</v>
      </c>
      <c r="G6" t="s">
        <v>14</v>
      </c>
      <c r="J6" s="3" t="s">
        <v>17</v>
      </c>
      <c r="K6" s="3" t="s">
        <v>18</v>
      </c>
      <c r="L6" s="3" t="s">
        <v>22</v>
      </c>
      <c r="M6" s="3" t="s">
        <v>23</v>
      </c>
      <c r="N6" s="2" t="s">
        <v>16</v>
      </c>
      <c r="O6" t="s">
        <v>27</v>
      </c>
      <c r="P6" t="s">
        <v>28</v>
      </c>
    </row>
    <row r="7" spans="1:16">
      <c r="A7" t="s">
        <v>5904</v>
      </c>
      <c r="B7" t="s">
        <v>5905</v>
      </c>
      <c r="C7" t="s">
        <v>6124</v>
      </c>
      <c r="D7" t="s">
        <v>5767</v>
      </c>
      <c r="E7" s="2">
        <v>38.17</v>
      </c>
      <c r="F7" s="1">
        <v>293</v>
      </c>
      <c r="G7" s="2">
        <v>11183.810000000001</v>
      </c>
      <c r="J7" s="5" t="s">
        <v>1280</v>
      </c>
      <c r="K7" t="s">
        <v>1281</v>
      </c>
      <c r="L7" t="s">
        <v>5215</v>
      </c>
      <c r="M7" t="s">
        <v>5215</v>
      </c>
      <c r="N7" s="2">
        <v>9022.1936000000005</v>
      </c>
      <c r="O7" s="1">
        <v>26.164999999999999</v>
      </c>
      <c r="P7" s="2">
        <v>118032.84777200001</v>
      </c>
    </row>
    <row r="8" spans="1:16">
      <c r="A8" t="s">
        <v>5776</v>
      </c>
      <c r="B8" t="s">
        <v>5777</v>
      </c>
      <c r="C8" t="s">
        <v>6124</v>
      </c>
      <c r="D8" t="s">
        <v>5767</v>
      </c>
      <c r="E8" s="2">
        <v>21.7</v>
      </c>
      <c r="F8" s="1">
        <v>486</v>
      </c>
      <c r="G8" s="2">
        <v>10546.199999999999</v>
      </c>
      <c r="J8" s="5" t="s">
        <v>3114</v>
      </c>
      <c r="K8" t="s">
        <v>3115</v>
      </c>
      <c r="L8" t="s">
        <v>283</v>
      </c>
      <c r="M8" t="s">
        <v>86</v>
      </c>
      <c r="N8" s="2">
        <v>941.84040000000005</v>
      </c>
      <c r="O8" s="1">
        <v>315</v>
      </c>
      <c r="P8" s="2">
        <v>98893.241999999998</v>
      </c>
    </row>
    <row r="9" spans="1:16">
      <c r="A9" t="s">
        <v>5798</v>
      </c>
      <c r="B9" t="s">
        <v>5799</v>
      </c>
      <c r="C9" t="s">
        <v>6124</v>
      </c>
      <c r="D9" t="s">
        <v>5767</v>
      </c>
      <c r="E9" s="2">
        <v>14.93</v>
      </c>
      <c r="F9" s="1">
        <v>666</v>
      </c>
      <c r="G9" s="2">
        <v>9943.3799999999992</v>
      </c>
      <c r="J9" s="5" t="s">
        <v>5135</v>
      </c>
      <c r="K9" t="s">
        <v>5136</v>
      </c>
      <c r="L9" t="s">
        <v>153</v>
      </c>
      <c r="M9" t="s">
        <v>125</v>
      </c>
      <c r="N9" s="2">
        <v>2830.6196</v>
      </c>
      <c r="O9" s="1">
        <v>46</v>
      </c>
      <c r="P9" s="2">
        <v>65104.250800000002</v>
      </c>
    </row>
    <row r="10" spans="1:16">
      <c r="A10" t="s">
        <v>5796</v>
      </c>
      <c r="B10" t="s">
        <v>5797</v>
      </c>
      <c r="C10" t="s">
        <v>6124</v>
      </c>
      <c r="D10" t="s">
        <v>5767</v>
      </c>
      <c r="E10" s="2">
        <v>13.22</v>
      </c>
      <c r="F10" s="1">
        <v>752</v>
      </c>
      <c r="G10" s="2">
        <v>9941.44</v>
      </c>
      <c r="J10" s="5" t="s">
        <v>5518</v>
      </c>
      <c r="K10" t="s">
        <v>5519</v>
      </c>
      <c r="L10" t="s">
        <v>89</v>
      </c>
      <c r="M10" t="s">
        <v>86</v>
      </c>
      <c r="N10" s="2">
        <v>1100.5761</v>
      </c>
      <c r="O10" s="1">
        <v>147</v>
      </c>
      <c r="P10" s="2">
        <v>53928.228900000002</v>
      </c>
    </row>
    <row r="11" spans="1:16">
      <c r="A11" t="s">
        <v>6025</v>
      </c>
      <c r="B11" t="s">
        <v>6026</v>
      </c>
      <c r="C11" t="s">
        <v>6124</v>
      </c>
      <c r="D11" t="s">
        <v>5922</v>
      </c>
      <c r="E11" s="2">
        <v>2.48</v>
      </c>
      <c r="F11" s="1">
        <v>3927</v>
      </c>
      <c r="G11" s="2">
        <v>9738.9599999999991</v>
      </c>
      <c r="J11" s="5" t="s">
        <v>4039</v>
      </c>
      <c r="K11" t="s">
        <v>3292</v>
      </c>
      <c r="L11" t="s">
        <v>467</v>
      </c>
      <c r="M11" t="s">
        <v>86</v>
      </c>
      <c r="N11" s="2">
        <v>1237.4198999999999</v>
      </c>
      <c r="O11" s="1">
        <v>111</v>
      </c>
      <c r="P11" s="2">
        <v>45784.5363</v>
      </c>
    </row>
    <row r="12" spans="1:16">
      <c r="A12" t="s">
        <v>5912</v>
      </c>
      <c r="B12" t="s">
        <v>5913</v>
      </c>
      <c r="C12" t="s">
        <v>6124</v>
      </c>
      <c r="D12" t="s">
        <v>5767</v>
      </c>
      <c r="E12" s="2">
        <v>17.18</v>
      </c>
      <c r="F12" s="1">
        <v>531</v>
      </c>
      <c r="G12" s="2">
        <v>9122.58</v>
      </c>
      <c r="J12" s="5" t="s">
        <v>3120</v>
      </c>
      <c r="K12" t="s">
        <v>3121</v>
      </c>
      <c r="L12" t="s">
        <v>89</v>
      </c>
      <c r="M12" t="s">
        <v>86</v>
      </c>
      <c r="N12" s="2">
        <v>988.97730000000001</v>
      </c>
      <c r="O12" s="1">
        <v>135</v>
      </c>
      <c r="P12" s="2">
        <v>44503.978500000005</v>
      </c>
    </row>
    <row r="13" spans="1:16">
      <c r="A13" t="s">
        <v>5800</v>
      </c>
      <c r="B13" t="s">
        <v>5801</v>
      </c>
      <c r="C13" t="s">
        <v>6124</v>
      </c>
      <c r="D13" t="s">
        <v>5767</v>
      </c>
      <c r="E13" s="2">
        <v>16.52</v>
      </c>
      <c r="F13" s="1">
        <v>483</v>
      </c>
      <c r="G13" s="2">
        <v>7979.16</v>
      </c>
      <c r="J13" s="5" t="s">
        <v>5510</v>
      </c>
      <c r="K13" t="s">
        <v>5511</v>
      </c>
      <c r="L13" t="s">
        <v>89</v>
      </c>
      <c r="M13" t="s">
        <v>86</v>
      </c>
      <c r="N13" s="2">
        <v>1182.5591999999999</v>
      </c>
      <c r="O13" s="1">
        <v>99</v>
      </c>
      <c r="P13" s="2">
        <v>39024.453600000001</v>
      </c>
    </row>
    <row r="14" spans="1:16">
      <c r="A14" t="s">
        <v>5698</v>
      </c>
      <c r="B14" t="s">
        <v>5699</v>
      </c>
      <c r="C14" t="s">
        <v>6124</v>
      </c>
      <c r="D14" t="s">
        <v>5697</v>
      </c>
      <c r="E14" s="2">
        <v>12.22</v>
      </c>
      <c r="F14" s="1">
        <v>649</v>
      </c>
      <c r="G14" s="2">
        <v>7930.7800000000007</v>
      </c>
      <c r="J14" s="5" t="s">
        <v>5533</v>
      </c>
      <c r="K14" t="s">
        <v>5534</v>
      </c>
      <c r="L14" t="s">
        <v>283</v>
      </c>
      <c r="M14" t="s">
        <v>86</v>
      </c>
      <c r="N14" s="2">
        <v>1215.9231</v>
      </c>
      <c r="O14" s="1">
        <v>96</v>
      </c>
      <c r="P14" s="2">
        <v>38909.539199999999</v>
      </c>
    </row>
    <row r="15" spans="1:16">
      <c r="A15" t="s">
        <v>5872</v>
      </c>
      <c r="B15" t="s">
        <v>5873</v>
      </c>
      <c r="C15" t="s">
        <v>6124</v>
      </c>
      <c r="D15" t="s">
        <v>5767</v>
      </c>
      <c r="E15" s="2">
        <v>14.19</v>
      </c>
      <c r="F15" s="1">
        <v>525</v>
      </c>
      <c r="G15" s="2">
        <v>7449.75</v>
      </c>
      <c r="J15" s="5" t="s">
        <v>5493</v>
      </c>
      <c r="K15" t="s">
        <v>5494</v>
      </c>
      <c r="L15" t="s">
        <v>89</v>
      </c>
      <c r="M15" t="s">
        <v>86</v>
      </c>
      <c r="N15" s="2">
        <v>903.13710000000003</v>
      </c>
      <c r="O15" s="1">
        <v>96</v>
      </c>
      <c r="P15" s="2">
        <v>28900.387200000001</v>
      </c>
    </row>
    <row r="16" spans="1:16">
      <c r="A16" t="s">
        <v>5906</v>
      </c>
      <c r="B16" t="s">
        <v>5907</v>
      </c>
      <c r="C16" t="s">
        <v>6124</v>
      </c>
      <c r="D16" t="s">
        <v>5767</v>
      </c>
      <c r="E16" s="2">
        <v>15.88</v>
      </c>
      <c r="F16" s="1">
        <v>449</v>
      </c>
      <c r="G16" s="2">
        <v>7130.1200000000008</v>
      </c>
      <c r="J16" s="5" t="s">
        <v>1308</v>
      </c>
      <c r="K16" t="s">
        <v>1309</v>
      </c>
      <c r="L16" t="s">
        <v>101</v>
      </c>
      <c r="M16" t="s">
        <v>619</v>
      </c>
      <c r="N16" s="2">
        <v>4.8681999999999999</v>
      </c>
      <c r="O16" s="1">
        <v>11524</v>
      </c>
      <c r="P16" s="2">
        <v>28050.5684</v>
      </c>
    </row>
    <row r="17" spans="1:16">
      <c r="A17" t="s">
        <v>5902</v>
      </c>
      <c r="B17" t="s">
        <v>5903</v>
      </c>
      <c r="C17" t="s">
        <v>6124</v>
      </c>
      <c r="D17" t="s">
        <v>5767</v>
      </c>
      <c r="E17" s="2">
        <v>35.85</v>
      </c>
      <c r="F17" s="1">
        <v>162</v>
      </c>
      <c r="G17" s="2">
        <v>5807.7</v>
      </c>
      <c r="J17" s="5" t="s">
        <v>3194</v>
      </c>
      <c r="K17" t="s">
        <v>3195</v>
      </c>
      <c r="L17" t="s">
        <v>203</v>
      </c>
      <c r="M17" t="s">
        <v>125</v>
      </c>
      <c r="N17" s="2">
        <v>1579.6742999999999</v>
      </c>
      <c r="O17" s="1">
        <v>51</v>
      </c>
      <c r="P17" s="2">
        <v>26854.463100000001</v>
      </c>
    </row>
    <row r="18" spans="1:16">
      <c r="A18" t="s">
        <v>5778</v>
      </c>
      <c r="B18" t="s">
        <v>5779</v>
      </c>
      <c r="C18" t="s">
        <v>6124</v>
      </c>
      <c r="D18" t="s">
        <v>5767</v>
      </c>
      <c r="E18" s="2">
        <v>18.12</v>
      </c>
      <c r="F18" s="1">
        <v>305</v>
      </c>
      <c r="G18" s="2">
        <v>5526.6</v>
      </c>
      <c r="J18" s="5" t="s">
        <v>5512</v>
      </c>
      <c r="K18" t="s">
        <v>5513</v>
      </c>
      <c r="L18" t="s">
        <v>89</v>
      </c>
      <c r="M18" t="s">
        <v>86</v>
      </c>
      <c r="N18" s="2">
        <v>1330.0467000000001</v>
      </c>
      <c r="O18" s="1">
        <v>60</v>
      </c>
      <c r="P18" s="2">
        <v>26600.934000000001</v>
      </c>
    </row>
    <row r="19" spans="1:16">
      <c r="A19" t="s">
        <v>5947</v>
      </c>
      <c r="B19" t="s">
        <v>5948</v>
      </c>
      <c r="C19" t="s">
        <v>6124</v>
      </c>
      <c r="D19" t="s">
        <v>5922</v>
      </c>
      <c r="E19" s="2">
        <v>16.43</v>
      </c>
      <c r="F19" s="1">
        <v>295</v>
      </c>
      <c r="G19" s="2">
        <v>4846.8500000000004</v>
      </c>
      <c r="J19" s="5" t="s">
        <v>755</v>
      </c>
      <c r="K19" t="s">
        <v>756</v>
      </c>
      <c r="L19" t="s">
        <v>618</v>
      </c>
      <c r="M19" t="s">
        <v>626</v>
      </c>
      <c r="N19" s="2">
        <v>46.8934</v>
      </c>
      <c r="O19" s="1">
        <v>1078</v>
      </c>
      <c r="P19" s="2">
        <v>25275.542600000001</v>
      </c>
    </row>
    <row r="20" spans="1:16">
      <c r="A20" t="s">
        <v>5725</v>
      </c>
      <c r="B20" t="s">
        <v>5726</v>
      </c>
      <c r="C20" t="s">
        <v>6124</v>
      </c>
      <c r="D20" t="s">
        <v>5704</v>
      </c>
      <c r="E20" s="2">
        <v>20.58</v>
      </c>
      <c r="F20" s="1">
        <v>221</v>
      </c>
      <c r="G20" s="2">
        <v>4548.1799999999994</v>
      </c>
      <c r="J20" s="5" t="s">
        <v>3190</v>
      </c>
      <c r="K20" t="s">
        <v>3191</v>
      </c>
      <c r="L20" t="s">
        <v>153</v>
      </c>
      <c r="M20" t="s">
        <v>125</v>
      </c>
      <c r="N20" s="2">
        <v>1520.8322000000001</v>
      </c>
      <c r="O20" s="1">
        <v>30</v>
      </c>
      <c r="P20" s="2">
        <v>22812.483</v>
      </c>
    </row>
    <row r="21" spans="1:16">
      <c r="A21" t="s">
        <v>5782</v>
      </c>
      <c r="B21" t="s">
        <v>5783</v>
      </c>
      <c r="C21" t="s">
        <v>6124</v>
      </c>
      <c r="D21" t="s">
        <v>5767</v>
      </c>
      <c r="E21" s="2">
        <v>15.54</v>
      </c>
      <c r="F21" s="1">
        <v>292</v>
      </c>
      <c r="G21" s="2">
        <v>4537.6799999999994</v>
      </c>
      <c r="J21" s="5" t="s">
        <v>1282</v>
      </c>
      <c r="K21" t="s">
        <v>1283</v>
      </c>
      <c r="L21" t="s">
        <v>5215</v>
      </c>
      <c r="M21" t="s">
        <v>5215</v>
      </c>
      <c r="N21" s="2">
        <v>5119.1350000000002</v>
      </c>
      <c r="O21" s="1">
        <v>8.3132000000000001</v>
      </c>
      <c r="P21" s="2">
        <v>21278.196541000001</v>
      </c>
    </row>
    <row r="22" spans="1:16">
      <c r="A22" t="s">
        <v>5914</v>
      </c>
      <c r="B22" t="s">
        <v>5915</v>
      </c>
      <c r="C22" t="s">
        <v>6124</v>
      </c>
      <c r="D22" t="s">
        <v>5767</v>
      </c>
      <c r="E22" s="2">
        <v>3.32</v>
      </c>
      <c r="F22" s="1">
        <v>1236</v>
      </c>
      <c r="G22" s="2">
        <v>4103.5199999999995</v>
      </c>
      <c r="J22" s="5" t="s">
        <v>1314</v>
      </c>
      <c r="K22" t="s">
        <v>1315</v>
      </c>
      <c r="L22" t="s">
        <v>101</v>
      </c>
      <c r="M22" t="s">
        <v>619</v>
      </c>
      <c r="N22" s="2">
        <v>60.194200000000002</v>
      </c>
      <c r="O22" s="1">
        <v>700</v>
      </c>
      <c r="P22" s="2">
        <v>21067.97</v>
      </c>
    </row>
    <row r="23" spans="1:16">
      <c r="A23" t="s">
        <v>5882</v>
      </c>
      <c r="B23" t="s">
        <v>5883</v>
      </c>
      <c r="C23" t="s">
        <v>6124</v>
      </c>
      <c r="D23" t="s">
        <v>5767</v>
      </c>
      <c r="E23" s="2">
        <v>15.89</v>
      </c>
      <c r="F23" s="1">
        <v>258</v>
      </c>
      <c r="G23" s="2">
        <v>4099.62</v>
      </c>
      <c r="J23" s="5" t="s">
        <v>1312</v>
      </c>
      <c r="K23" t="s">
        <v>1313</v>
      </c>
      <c r="L23" t="s">
        <v>101</v>
      </c>
      <c r="M23" t="s">
        <v>619</v>
      </c>
      <c r="N23" s="2">
        <v>1430.3986</v>
      </c>
      <c r="O23" s="1">
        <v>26.1404</v>
      </c>
      <c r="P23" s="2">
        <v>18695.59578172</v>
      </c>
    </row>
    <row r="24" spans="1:16">
      <c r="A24" t="s">
        <v>5862</v>
      </c>
      <c r="B24" t="s">
        <v>5863</v>
      </c>
      <c r="C24" t="s">
        <v>6124</v>
      </c>
      <c r="D24" t="s">
        <v>5767</v>
      </c>
      <c r="E24" s="2">
        <v>16.02</v>
      </c>
      <c r="F24" s="1">
        <v>227</v>
      </c>
      <c r="G24" s="2">
        <v>3636.54</v>
      </c>
      <c r="J24" s="5" t="s">
        <v>5508</v>
      </c>
      <c r="K24" t="s">
        <v>5509</v>
      </c>
      <c r="L24" t="s">
        <v>89</v>
      </c>
      <c r="M24" t="s">
        <v>86</v>
      </c>
      <c r="N24" s="2">
        <v>1137.5600999999999</v>
      </c>
      <c r="O24" s="1">
        <v>48</v>
      </c>
      <c r="P24" s="2">
        <v>18200.961599999999</v>
      </c>
    </row>
    <row r="25" spans="1:16">
      <c r="A25" t="s">
        <v>5711</v>
      </c>
      <c r="B25" t="s">
        <v>5712</v>
      </c>
      <c r="C25" t="s">
        <v>6124</v>
      </c>
      <c r="D25" t="s">
        <v>5704</v>
      </c>
      <c r="E25" s="2">
        <v>20.58</v>
      </c>
      <c r="F25" s="1">
        <v>175</v>
      </c>
      <c r="G25" s="2">
        <v>3601.4999999999995</v>
      </c>
      <c r="J25" s="5" t="s">
        <v>1627</v>
      </c>
      <c r="K25" t="s">
        <v>1628</v>
      </c>
      <c r="L25" t="s">
        <v>101</v>
      </c>
      <c r="M25" t="s">
        <v>626</v>
      </c>
      <c r="N25" s="2">
        <v>217.96199999999999</v>
      </c>
      <c r="O25" s="1">
        <v>79.06</v>
      </c>
      <c r="P25" s="2">
        <v>17232.075720000001</v>
      </c>
    </row>
    <row r="26" spans="1:16">
      <c r="A26" t="s">
        <v>5864</v>
      </c>
      <c r="B26" t="s">
        <v>5865</v>
      </c>
      <c r="C26" t="s">
        <v>6124</v>
      </c>
      <c r="D26" t="s">
        <v>5767</v>
      </c>
      <c r="E26" s="2">
        <v>20.81</v>
      </c>
      <c r="F26" s="1">
        <v>159</v>
      </c>
      <c r="G26" s="2">
        <v>3308.79</v>
      </c>
      <c r="J26" s="5" t="s">
        <v>109</v>
      </c>
      <c r="K26" t="s">
        <v>110</v>
      </c>
      <c r="L26" t="s">
        <v>111</v>
      </c>
      <c r="M26" t="s">
        <v>112</v>
      </c>
      <c r="N26" s="2">
        <v>16870.98</v>
      </c>
      <c r="O26" s="1">
        <v>1</v>
      </c>
      <c r="P26" s="2">
        <v>16870.98</v>
      </c>
    </row>
    <row r="27" spans="1:16">
      <c r="A27" t="s">
        <v>5792</v>
      </c>
      <c r="B27" t="s">
        <v>5793</v>
      </c>
      <c r="C27" t="s">
        <v>6124</v>
      </c>
      <c r="D27" t="s">
        <v>5767</v>
      </c>
      <c r="E27" s="2">
        <v>9.5399999999999991</v>
      </c>
      <c r="F27" s="1">
        <v>342</v>
      </c>
      <c r="G27" s="2">
        <v>3262.68</v>
      </c>
      <c r="J27" s="5" t="s">
        <v>5528</v>
      </c>
      <c r="K27" t="s">
        <v>5529</v>
      </c>
      <c r="L27" t="s">
        <v>474</v>
      </c>
      <c r="M27" t="s">
        <v>86</v>
      </c>
      <c r="N27" s="2">
        <v>1175.6351999999999</v>
      </c>
      <c r="O27" s="1">
        <v>42</v>
      </c>
      <c r="P27" s="2">
        <v>16458.892800000001</v>
      </c>
    </row>
    <row r="28" spans="1:16">
      <c r="A28" t="s">
        <v>5900</v>
      </c>
      <c r="B28" t="s">
        <v>5901</v>
      </c>
      <c r="C28" t="s">
        <v>6124</v>
      </c>
      <c r="D28" t="s">
        <v>5767</v>
      </c>
      <c r="E28" s="2">
        <v>41.13</v>
      </c>
      <c r="F28" s="1">
        <v>70</v>
      </c>
      <c r="G28" s="2">
        <v>2879.1000000000004</v>
      </c>
      <c r="J28" s="5" t="s">
        <v>3293</v>
      </c>
      <c r="K28" t="s">
        <v>3294</v>
      </c>
      <c r="L28" t="s">
        <v>228</v>
      </c>
      <c r="M28" t="s">
        <v>86</v>
      </c>
      <c r="N28" s="2">
        <v>37.832000000000001</v>
      </c>
      <c r="O28" s="1">
        <v>854</v>
      </c>
      <c r="P28" s="2">
        <v>16154.264000000001</v>
      </c>
    </row>
    <row r="29" spans="1:16">
      <c r="A29" t="s">
        <v>5700</v>
      </c>
      <c r="B29" t="s">
        <v>5701</v>
      </c>
      <c r="C29" t="s">
        <v>6124</v>
      </c>
      <c r="D29" t="s">
        <v>5697</v>
      </c>
      <c r="E29" s="2">
        <v>16.989999999999998</v>
      </c>
      <c r="F29" s="1">
        <v>164</v>
      </c>
      <c r="G29" s="2">
        <v>2786.3599999999997</v>
      </c>
      <c r="J29" s="5" t="s">
        <v>4880</v>
      </c>
      <c r="K29" t="s">
        <v>4881</v>
      </c>
      <c r="L29" t="s">
        <v>89</v>
      </c>
      <c r="M29" t="s">
        <v>86</v>
      </c>
      <c r="N29" s="2">
        <v>594.11099999999999</v>
      </c>
      <c r="O29" s="1">
        <v>54</v>
      </c>
      <c r="P29" s="2">
        <v>16040.996999999999</v>
      </c>
    </row>
    <row r="30" spans="1:16">
      <c r="A30" t="s">
        <v>6067</v>
      </c>
      <c r="B30" t="s">
        <v>6068</v>
      </c>
      <c r="C30" t="s">
        <v>6124</v>
      </c>
      <c r="D30" t="s">
        <v>5922</v>
      </c>
      <c r="E30" s="2">
        <v>2.92</v>
      </c>
      <c r="F30" s="1">
        <v>946</v>
      </c>
      <c r="G30" s="2">
        <v>2762.3199999999997</v>
      </c>
      <c r="J30" s="5" t="s">
        <v>3282</v>
      </c>
      <c r="K30" t="s">
        <v>3283</v>
      </c>
      <c r="L30" t="s">
        <v>228</v>
      </c>
      <c r="M30" t="s">
        <v>86</v>
      </c>
      <c r="N30" s="2">
        <v>49.875900000000001</v>
      </c>
      <c r="O30" s="1">
        <v>780</v>
      </c>
      <c r="P30" s="2">
        <v>12967.733999999999</v>
      </c>
    </row>
    <row r="31" spans="1:16">
      <c r="A31" t="s">
        <v>5721</v>
      </c>
      <c r="B31" t="s">
        <v>5722</v>
      </c>
      <c r="C31" t="s">
        <v>6124</v>
      </c>
      <c r="D31" t="s">
        <v>5704</v>
      </c>
      <c r="E31" s="2">
        <v>20.58</v>
      </c>
      <c r="F31" s="1">
        <v>134</v>
      </c>
      <c r="G31" s="2">
        <v>2757.72</v>
      </c>
      <c r="J31" s="5" t="s">
        <v>1291</v>
      </c>
      <c r="K31" t="s">
        <v>1292</v>
      </c>
      <c r="L31" t="s">
        <v>101</v>
      </c>
      <c r="M31" t="s">
        <v>626</v>
      </c>
      <c r="N31" s="2">
        <v>1208.7372</v>
      </c>
      <c r="O31" s="1">
        <v>20.642600000000002</v>
      </c>
      <c r="P31" s="2">
        <v>12475.739262360001</v>
      </c>
    </row>
    <row r="32" spans="1:16">
      <c r="A32" t="s">
        <v>5890</v>
      </c>
      <c r="B32" t="s">
        <v>5891</v>
      </c>
      <c r="C32" t="s">
        <v>6124</v>
      </c>
      <c r="D32" t="s">
        <v>5767</v>
      </c>
      <c r="E32" s="2">
        <v>17.46</v>
      </c>
      <c r="F32" s="1">
        <v>157</v>
      </c>
      <c r="G32" s="2">
        <v>2741.2200000000003</v>
      </c>
      <c r="J32" s="5" t="s">
        <v>5537</v>
      </c>
      <c r="K32" t="s">
        <v>5538</v>
      </c>
      <c r="L32" t="s">
        <v>2095</v>
      </c>
      <c r="M32" t="s">
        <v>86</v>
      </c>
      <c r="N32" s="2">
        <v>1033.2032999999999</v>
      </c>
      <c r="O32" s="1">
        <v>36</v>
      </c>
      <c r="P32" s="2">
        <v>12398.439599999998</v>
      </c>
    </row>
    <row r="33" spans="1:16">
      <c r="A33" t="s">
        <v>6021</v>
      </c>
      <c r="B33" t="s">
        <v>6022</v>
      </c>
      <c r="C33" t="s">
        <v>6124</v>
      </c>
      <c r="D33" t="s">
        <v>5922</v>
      </c>
      <c r="E33" s="2">
        <v>6.45</v>
      </c>
      <c r="F33" s="1">
        <v>420</v>
      </c>
      <c r="G33" s="2">
        <v>2709</v>
      </c>
      <c r="J33" s="5" t="s">
        <v>470</v>
      </c>
      <c r="K33" t="s">
        <v>471</v>
      </c>
      <c r="L33" t="s">
        <v>467</v>
      </c>
      <c r="M33" t="s">
        <v>86</v>
      </c>
      <c r="N33" s="2">
        <v>874.56939999999997</v>
      </c>
      <c r="O33" s="1">
        <v>28</v>
      </c>
      <c r="P33" s="2">
        <v>12243.971599999999</v>
      </c>
    </row>
    <row r="34" spans="1:16">
      <c r="A34" t="s">
        <v>6049</v>
      </c>
      <c r="B34" t="s">
        <v>6050</v>
      </c>
      <c r="C34" t="s">
        <v>6124</v>
      </c>
      <c r="D34" t="s">
        <v>5922</v>
      </c>
      <c r="E34" s="2">
        <v>3.09</v>
      </c>
      <c r="F34" s="1">
        <v>770</v>
      </c>
      <c r="G34" s="2">
        <v>2379.2999999999997</v>
      </c>
      <c r="J34" s="5" t="s">
        <v>5137</v>
      </c>
      <c r="K34" t="s">
        <v>5138</v>
      </c>
      <c r="L34" t="s">
        <v>153</v>
      </c>
      <c r="M34" t="s">
        <v>125</v>
      </c>
      <c r="N34" s="2">
        <v>1350.2021999999999</v>
      </c>
      <c r="O34" s="1">
        <v>18</v>
      </c>
      <c r="P34" s="2">
        <v>12151.819799999999</v>
      </c>
    </row>
    <row r="35" spans="1:16">
      <c r="A35" t="s">
        <v>5759</v>
      </c>
      <c r="B35" t="s">
        <v>5760</v>
      </c>
      <c r="C35" t="s">
        <v>6124</v>
      </c>
      <c r="D35" t="s">
        <v>5704</v>
      </c>
      <c r="E35" s="2">
        <v>19.100000000000001</v>
      </c>
      <c r="F35" s="1">
        <v>124</v>
      </c>
      <c r="G35" s="2">
        <v>2368.4</v>
      </c>
      <c r="J35" s="5" t="s">
        <v>1711</v>
      </c>
      <c r="K35" t="s">
        <v>1712</v>
      </c>
      <c r="L35" t="s">
        <v>5252</v>
      </c>
      <c r="M35" t="s">
        <v>5215</v>
      </c>
      <c r="N35" s="2">
        <v>1.42</v>
      </c>
      <c r="O35" s="1">
        <v>16794</v>
      </c>
      <c r="P35" s="2">
        <v>11923.74</v>
      </c>
    </row>
    <row r="36" spans="1:16">
      <c r="A36" t="s">
        <v>5898</v>
      </c>
      <c r="B36" t="s">
        <v>5899</v>
      </c>
      <c r="C36" t="s">
        <v>6124</v>
      </c>
      <c r="D36" t="s">
        <v>5767</v>
      </c>
      <c r="E36" s="2">
        <v>34.840000000000003</v>
      </c>
      <c r="F36" s="1">
        <v>67</v>
      </c>
      <c r="G36" s="2">
        <v>2334.2800000000002</v>
      </c>
      <c r="J36" s="5" t="s">
        <v>4591</v>
      </c>
      <c r="K36" t="s">
        <v>4592</v>
      </c>
      <c r="L36" t="s">
        <v>467</v>
      </c>
      <c r="M36" t="s">
        <v>86</v>
      </c>
      <c r="N36" s="2">
        <v>1563.5814</v>
      </c>
      <c r="O36" s="1">
        <v>14</v>
      </c>
      <c r="P36" s="2">
        <v>10945.069800000001</v>
      </c>
    </row>
    <row r="37" spans="1:16">
      <c r="A37" t="s">
        <v>5723</v>
      </c>
      <c r="B37" t="s">
        <v>5724</v>
      </c>
      <c r="C37" t="s">
        <v>6124</v>
      </c>
      <c r="D37" t="s">
        <v>5704</v>
      </c>
      <c r="E37" s="2">
        <v>20.58</v>
      </c>
      <c r="F37" s="1">
        <v>113</v>
      </c>
      <c r="G37" s="2">
        <v>2325.54</v>
      </c>
      <c r="J37" s="5" t="s">
        <v>4605</v>
      </c>
      <c r="K37" t="s">
        <v>4606</v>
      </c>
      <c r="L37" t="s">
        <v>467</v>
      </c>
      <c r="M37" t="s">
        <v>86</v>
      </c>
      <c r="N37" s="2">
        <v>1203.3915999999999</v>
      </c>
      <c r="O37" s="1">
        <v>18</v>
      </c>
      <c r="P37" s="2">
        <v>10830.524399999998</v>
      </c>
    </row>
    <row r="38" spans="1:16">
      <c r="A38" t="s">
        <v>5949</v>
      </c>
      <c r="B38" t="s">
        <v>5950</v>
      </c>
      <c r="C38" t="s">
        <v>6124</v>
      </c>
      <c r="D38" t="s">
        <v>5922</v>
      </c>
      <c r="E38" s="2">
        <v>18.98</v>
      </c>
      <c r="F38" s="1">
        <v>120</v>
      </c>
      <c r="G38" s="2">
        <v>2277.6</v>
      </c>
      <c r="J38" s="5" t="s">
        <v>1629</v>
      </c>
      <c r="K38" t="s">
        <v>1630</v>
      </c>
      <c r="L38" t="s">
        <v>101</v>
      </c>
      <c r="M38" t="s">
        <v>619</v>
      </c>
      <c r="N38" s="2">
        <v>2.4918</v>
      </c>
      <c r="O38" s="1">
        <v>8640</v>
      </c>
      <c r="P38" s="2">
        <v>10764.576000000001</v>
      </c>
    </row>
    <row r="39" spans="1:16">
      <c r="A39" t="s">
        <v>5593</v>
      </c>
      <c r="B39" t="s">
        <v>5594</v>
      </c>
      <c r="C39" t="s">
        <v>6124</v>
      </c>
      <c r="D39" t="s">
        <v>3537</v>
      </c>
      <c r="E39" s="2">
        <v>4.66</v>
      </c>
      <c r="F39" s="1">
        <v>483</v>
      </c>
      <c r="G39" s="2">
        <v>2250.7800000000002</v>
      </c>
      <c r="J39" s="5" t="s">
        <v>1310</v>
      </c>
      <c r="K39" t="s">
        <v>1311</v>
      </c>
      <c r="L39" t="s">
        <v>101</v>
      </c>
      <c r="M39" t="s">
        <v>619</v>
      </c>
      <c r="N39" s="2">
        <v>2.4948000000000001</v>
      </c>
      <c r="O39" s="1">
        <v>7800</v>
      </c>
      <c r="P39" s="2">
        <v>9729.7200000000012</v>
      </c>
    </row>
    <row r="40" spans="1:16">
      <c r="A40" t="s">
        <v>5790</v>
      </c>
      <c r="B40" t="s">
        <v>5791</v>
      </c>
      <c r="C40" t="s">
        <v>6124</v>
      </c>
      <c r="D40" t="s">
        <v>5767</v>
      </c>
      <c r="E40" s="2">
        <v>23.21</v>
      </c>
      <c r="F40" s="1">
        <v>91</v>
      </c>
      <c r="G40" s="2">
        <v>2112.11</v>
      </c>
      <c r="J40" s="5" t="s">
        <v>703</v>
      </c>
      <c r="K40" t="s">
        <v>704</v>
      </c>
      <c r="L40" t="s">
        <v>3304</v>
      </c>
      <c r="M40" t="s">
        <v>1931</v>
      </c>
      <c r="N40" s="2">
        <v>3068.4551999999999</v>
      </c>
      <c r="O40" s="1">
        <v>6</v>
      </c>
      <c r="P40" s="2">
        <v>9205.3655999999992</v>
      </c>
    </row>
    <row r="41" spans="1:16">
      <c r="A41" t="s">
        <v>5780</v>
      </c>
      <c r="B41" t="s">
        <v>5781</v>
      </c>
      <c r="C41" t="s">
        <v>6124</v>
      </c>
      <c r="D41" t="s">
        <v>5767</v>
      </c>
      <c r="E41" s="2">
        <v>13.67</v>
      </c>
      <c r="F41" s="1">
        <v>154</v>
      </c>
      <c r="G41" s="2">
        <v>2105.1799999999998</v>
      </c>
      <c r="J41" s="5" t="s">
        <v>1668</v>
      </c>
      <c r="K41" t="s">
        <v>1669</v>
      </c>
      <c r="L41" t="s">
        <v>101</v>
      </c>
      <c r="M41" t="s">
        <v>626</v>
      </c>
      <c r="N41" s="2">
        <v>572.31600000000003</v>
      </c>
      <c r="O41" s="1">
        <v>32</v>
      </c>
      <c r="P41" s="2">
        <v>9157.0560000000005</v>
      </c>
    </row>
    <row r="42" spans="1:16">
      <c r="A42" t="s">
        <v>6005</v>
      </c>
      <c r="B42" t="s">
        <v>6006</v>
      </c>
      <c r="C42" t="s">
        <v>6124</v>
      </c>
      <c r="D42" t="s">
        <v>5922</v>
      </c>
      <c r="E42" s="2">
        <v>2.95</v>
      </c>
      <c r="F42" s="1">
        <v>689</v>
      </c>
      <c r="G42" s="2">
        <v>2032.5500000000002</v>
      </c>
      <c r="J42" s="5" t="s">
        <v>4607</v>
      </c>
      <c r="K42" t="s">
        <v>4608</v>
      </c>
      <c r="L42" t="s">
        <v>474</v>
      </c>
      <c r="M42" t="s">
        <v>86</v>
      </c>
      <c r="N42" s="2">
        <v>1090.0545</v>
      </c>
      <c r="O42" s="1">
        <v>24</v>
      </c>
      <c r="P42" s="2">
        <v>8720.4359999999997</v>
      </c>
    </row>
    <row r="43" spans="1:16">
      <c r="A43" t="s">
        <v>5880</v>
      </c>
      <c r="B43" t="s">
        <v>5881</v>
      </c>
      <c r="C43" t="s">
        <v>6124</v>
      </c>
      <c r="D43" t="s">
        <v>5767</v>
      </c>
      <c r="E43" s="2">
        <v>13.97</v>
      </c>
      <c r="F43" s="1">
        <v>144</v>
      </c>
      <c r="G43" s="2">
        <v>2011.68</v>
      </c>
      <c r="J43" s="5" t="s">
        <v>1284</v>
      </c>
      <c r="K43" t="s">
        <v>1285</v>
      </c>
      <c r="L43" t="s">
        <v>101</v>
      </c>
      <c r="M43" t="s">
        <v>626</v>
      </c>
      <c r="N43" s="2">
        <v>4.6479999999999997</v>
      </c>
      <c r="O43" s="1">
        <v>1802</v>
      </c>
      <c r="P43" s="2">
        <v>8375.6959999999999</v>
      </c>
    </row>
    <row r="44" spans="1:16">
      <c r="A44" t="s">
        <v>5673</v>
      </c>
      <c r="B44" t="s">
        <v>5674</v>
      </c>
      <c r="C44" t="s">
        <v>6124</v>
      </c>
      <c r="D44" t="s">
        <v>3537</v>
      </c>
      <c r="E44" s="2">
        <v>9.1300000000000008</v>
      </c>
      <c r="F44" s="1">
        <v>219</v>
      </c>
      <c r="G44" s="2">
        <v>1999.4700000000003</v>
      </c>
      <c r="J44" s="5" t="s">
        <v>1459</v>
      </c>
      <c r="K44" t="s">
        <v>1460</v>
      </c>
      <c r="L44" t="s">
        <v>101</v>
      </c>
      <c r="M44" t="s">
        <v>626</v>
      </c>
      <c r="N44" s="2">
        <v>4.7309999999999999</v>
      </c>
      <c r="O44" s="1">
        <v>1760</v>
      </c>
      <c r="P44" s="2">
        <v>8326.56</v>
      </c>
    </row>
    <row r="45" spans="1:16">
      <c r="A45" t="s">
        <v>5826</v>
      </c>
      <c r="B45" t="s">
        <v>5827</v>
      </c>
      <c r="C45" t="s">
        <v>6124</v>
      </c>
      <c r="D45" t="s">
        <v>5767</v>
      </c>
      <c r="E45" s="2">
        <v>33.549999999999997</v>
      </c>
      <c r="F45" s="1">
        <v>59</v>
      </c>
      <c r="G45" s="2">
        <v>1979.4499999999998</v>
      </c>
      <c r="J45" s="5" t="s">
        <v>3116</v>
      </c>
      <c r="K45" t="s">
        <v>3117</v>
      </c>
      <c r="L45" t="s">
        <v>283</v>
      </c>
      <c r="M45" t="s">
        <v>86</v>
      </c>
      <c r="N45" s="2">
        <v>156.80459999999999</v>
      </c>
      <c r="O45" s="1">
        <v>159</v>
      </c>
      <c r="P45" s="2">
        <v>8310.6437999999998</v>
      </c>
    </row>
    <row r="46" spans="1:16">
      <c r="A46" t="s">
        <v>5695</v>
      </c>
      <c r="B46" t="s">
        <v>5696</v>
      </c>
      <c r="C46" t="s">
        <v>6124</v>
      </c>
      <c r="D46" t="s">
        <v>5697</v>
      </c>
      <c r="E46" s="2">
        <v>15.95</v>
      </c>
      <c r="F46" s="1">
        <v>119</v>
      </c>
      <c r="G46" s="2">
        <v>1898.05</v>
      </c>
      <c r="J46" s="5" t="s">
        <v>815</v>
      </c>
      <c r="K46" t="s">
        <v>5112</v>
      </c>
      <c r="L46" t="s">
        <v>580</v>
      </c>
      <c r="M46" t="s">
        <v>581</v>
      </c>
      <c r="N46" s="2">
        <v>5.1340000000000003</v>
      </c>
      <c r="O46" s="1">
        <v>3208</v>
      </c>
      <c r="P46" s="2">
        <v>8234.9359999999997</v>
      </c>
    </row>
    <row r="47" spans="1:16">
      <c r="A47" t="s">
        <v>5617</v>
      </c>
      <c r="B47" t="s">
        <v>5618</v>
      </c>
      <c r="C47" t="s">
        <v>6124</v>
      </c>
      <c r="D47" t="s">
        <v>3537</v>
      </c>
      <c r="E47" s="2">
        <v>7.41</v>
      </c>
      <c r="F47" s="1">
        <v>254</v>
      </c>
      <c r="G47" s="2">
        <v>1882.14</v>
      </c>
      <c r="J47" s="5" t="s">
        <v>5498</v>
      </c>
      <c r="K47" t="s">
        <v>5499</v>
      </c>
      <c r="L47" t="s">
        <v>153</v>
      </c>
      <c r="M47" t="s">
        <v>125</v>
      </c>
      <c r="N47" s="2">
        <v>1632.9002</v>
      </c>
      <c r="O47" s="1">
        <v>10</v>
      </c>
      <c r="P47" s="2">
        <v>8164.5010000000002</v>
      </c>
    </row>
    <row r="48" spans="1:16">
      <c r="A48" t="s">
        <v>5870</v>
      </c>
      <c r="B48" t="s">
        <v>5871</v>
      </c>
      <c r="C48" t="s">
        <v>6124</v>
      </c>
      <c r="D48" t="s">
        <v>5767</v>
      </c>
      <c r="E48" s="2">
        <v>15.05</v>
      </c>
      <c r="F48" s="1">
        <v>124</v>
      </c>
      <c r="G48" s="2">
        <v>1866.2</v>
      </c>
      <c r="J48" s="5" t="s">
        <v>4876</v>
      </c>
      <c r="K48" t="s">
        <v>4877</v>
      </c>
      <c r="L48" t="s">
        <v>228</v>
      </c>
      <c r="M48" t="s">
        <v>86</v>
      </c>
      <c r="N48" s="2">
        <v>30.2592</v>
      </c>
      <c r="O48" s="1">
        <v>777</v>
      </c>
      <c r="P48" s="2">
        <v>7837.1327999999994</v>
      </c>
    </row>
    <row r="49" spans="1:16">
      <c r="A49" t="s">
        <v>5836</v>
      </c>
      <c r="B49" t="s">
        <v>5837</v>
      </c>
      <c r="C49" t="s">
        <v>6124</v>
      </c>
      <c r="D49" t="s">
        <v>5767</v>
      </c>
      <c r="E49" s="2">
        <v>49.33</v>
      </c>
      <c r="F49" s="1">
        <v>36</v>
      </c>
      <c r="G49" s="2">
        <v>1775.8799999999999</v>
      </c>
      <c r="J49" s="5" t="s">
        <v>1295</v>
      </c>
      <c r="K49" t="s">
        <v>1296</v>
      </c>
      <c r="L49" t="s">
        <v>101</v>
      </c>
      <c r="M49" t="s">
        <v>626</v>
      </c>
      <c r="N49" s="2">
        <v>1.3668</v>
      </c>
      <c r="O49" s="1">
        <v>11208</v>
      </c>
      <c r="P49" s="2">
        <v>7659.5472</v>
      </c>
    </row>
    <row r="50" spans="1:16">
      <c r="A50" t="s">
        <v>5786</v>
      </c>
      <c r="B50" t="s">
        <v>5787</v>
      </c>
      <c r="C50" t="s">
        <v>6124</v>
      </c>
      <c r="D50" t="s">
        <v>5767</v>
      </c>
      <c r="E50" s="2">
        <v>12.17</v>
      </c>
      <c r="F50" s="1">
        <v>144</v>
      </c>
      <c r="G50" s="2">
        <v>1752.48</v>
      </c>
      <c r="J50" s="5" t="s">
        <v>635</v>
      </c>
      <c r="K50" t="s">
        <v>636</v>
      </c>
      <c r="L50" t="s">
        <v>101</v>
      </c>
      <c r="M50" t="s">
        <v>581</v>
      </c>
      <c r="N50" s="2">
        <v>5100</v>
      </c>
      <c r="O50" s="1">
        <v>1.49</v>
      </c>
      <c r="P50" s="2">
        <v>7599</v>
      </c>
    </row>
    <row r="51" spans="1:16">
      <c r="A51" t="s">
        <v>5868</v>
      </c>
      <c r="B51" t="s">
        <v>5869</v>
      </c>
      <c r="C51" t="s">
        <v>6124</v>
      </c>
      <c r="D51" t="s">
        <v>5767</v>
      </c>
      <c r="E51" s="2">
        <v>15.69</v>
      </c>
      <c r="F51" s="1">
        <v>110</v>
      </c>
      <c r="G51" s="2">
        <v>1725.8999999999999</v>
      </c>
      <c r="J51" s="5" t="s">
        <v>5340</v>
      </c>
      <c r="K51" t="s">
        <v>5341</v>
      </c>
      <c r="L51" t="s">
        <v>2499</v>
      </c>
      <c r="M51" t="s">
        <v>1931</v>
      </c>
      <c r="N51" s="2">
        <v>58.558199999999999</v>
      </c>
      <c r="O51" s="1">
        <v>258</v>
      </c>
      <c r="P51" s="2">
        <v>7554.0078000000003</v>
      </c>
    </row>
    <row r="52" spans="1:16">
      <c r="A52" t="s">
        <v>6001</v>
      </c>
      <c r="B52" t="s">
        <v>6002</v>
      </c>
      <c r="C52" t="s">
        <v>6124</v>
      </c>
      <c r="D52" t="s">
        <v>5922</v>
      </c>
      <c r="E52" s="2">
        <v>19.72</v>
      </c>
      <c r="F52" s="1">
        <v>87</v>
      </c>
      <c r="G52" s="2">
        <v>1715.6399999999999</v>
      </c>
      <c r="J52" s="5" t="s">
        <v>777</v>
      </c>
      <c r="K52" t="s">
        <v>778</v>
      </c>
      <c r="L52" t="s">
        <v>618</v>
      </c>
      <c r="M52" t="s">
        <v>626</v>
      </c>
      <c r="N52" s="2">
        <v>7.4374000000000002</v>
      </c>
      <c r="O52" s="1">
        <v>2030</v>
      </c>
      <c r="P52" s="2">
        <v>7548.9610000000002</v>
      </c>
    </row>
    <row r="53" spans="1:16">
      <c r="A53" t="s">
        <v>5599</v>
      </c>
      <c r="B53" t="s">
        <v>5600</v>
      </c>
      <c r="C53" t="s">
        <v>6124</v>
      </c>
      <c r="D53" t="s">
        <v>3537</v>
      </c>
      <c r="E53" s="2">
        <v>7.41</v>
      </c>
      <c r="F53" s="1">
        <v>226</v>
      </c>
      <c r="G53" s="2">
        <v>1674.66</v>
      </c>
      <c r="J53" s="5" t="s">
        <v>5477</v>
      </c>
      <c r="K53" t="s">
        <v>5478</v>
      </c>
      <c r="L53" t="s">
        <v>5473</v>
      </c>
      <c r="M53" t="s">
        <v>125</v>
      </c>
      <c r="N53" s="2">
        <v>3772.9848000000002</v>
      </c>
      <c r="O53" s="1">
        <v>4</v>
      </c>
      <c r="P53" s="2">
        <v>7545.9696000000004</v>
      </c>
    </row>
    <row r="54" spans="1:16">
      <c r="A54" t="s">
        <v>5757</v>
      </c>
      <c r="B54" t="s">
        <v>5758</v>
      </c>
      <c r="C54" t="s">
        <v>6124</v>
      </c>
      <c r="D54" t="s">
        <v>5704</v>
      </c>
      <c r="E54" s="2">
        <v>19.100000000000001</v>
      </c>
      <c r="F54" s="1">
        <v>86</v>
      </c>
      <c r="G54" s="2">
        <v>1642.6000000000001</v>
      </c>
      <c r="J54" s="5" t="s">
        <v>4603</v>
      </c>
      <c r="K54" t="s">
        <v>4604</v>
      </c>
      <c r="L54" t="s">
        <v>467</v>
      </c>
      <c r="M54" t="s">
        <v>86</v>
      </c>
      <c r="N54" s="2">
        <v>873.3886</v>
      </c>
      <c r="O54" s="1">
        <v>16</v>
      </c>
      <c r="P54" s="2">
        <v>6987.1088</v>
      </c>
    </row>
    <row r="55" spans="1:16">
      <c r="A55" t="s">
        <v>5828</v>
      </c>
      <c r="B55" t="s">
        <v>5829</v>
      </c>
      <c r="C55" t="s">
        <v>6124</v>
      </c>
      <c r="D55" t="s">
        <v>5767</v>
      </c>
      <c r="E55" s="2">
        <v>20.45</v>
      </c>
      <c r="F55" s="1">
        <v>79</v>
      </c>
      <c r="G55" s="2">
        <v>1615.55</v>
      </c>
      <c r="J55" s="5" t="s">
        <v>3118</v>
      </c>
      <c r="K55" t="s">
        <v>3119</v>
      </c>
      <c r="L55" t="s">
        <v>283</v>
      </c>
      <c r="M55" t="s">
        <v>86</v>
      </c>
      <c r="N55" s="2">
        <v>94.061400000000006</v>
      </c>
      <c r="O55" s="1">
        <v>148</v>
      </c>
      <c r="P55" s="2">
        <v>6960.5436000000009</v>
      </c>
    </row>
    <row r="56" spans="1:16">
      <c r="A56" t="s">
        <v>5983</v>
      </c>
      <c r="B56" t="s">
        <v>5984</v>
      </c>
      <c r="C56" t="s">
        <v>6124</v>
      </c>
      <c r="D56" t="s">
        <v>5922</v>
      </c>
      <c r="E56" s="2">
        <v>0.18</v>
      </c>
      <c r="F56" s="1">
        <v>8857</v>
      </c>
      <c r="G56" s="2">
        <v>1594.26</v>
      </c>
      <c r="J56" s="5" t="s">
        <v>5242</v>
      </c>
      <c r="K56" t="s">
        <v>5243</v>
      </c>
      <c r="L56" t="s">
        <v>101</v>
      </c>
      <c r="M56" t="s">
        <v>619</v>
      </c>
      <c r="N56" s="2">
        <v>2.3199999999999998</v>
      </c>
      <c r="O56" s="1">
        <v>5868</v>
      </c>
      <c r="P56" s="2">
        <v>6806.8799999999992</v>
      </c>
    </row>
    <row r="57" spans="1:16">
      <c r="A57" t="s">
        <v>5770</v>
      </c>
      <c r="B57" t="s">
        <v>5771</v>
      </c>
      <c r="C57" t="s">
        <v>6124</v>
      </c>
      <c r="D57" t="s">
        <v>5767</v>
      </c>
      <c r="E57" s="2">
        <v>62.78</v>
      </c>
      <c r="F57" s="1">
        <v>25</v>
      </c>
      <c r="G57" s="2">
        <v>1569.5</v>
      </c>
      <c r="J57" s="5" t="s">
        <v>5516</v>
      </c>
      <c r="K57" t="s">
        <v>5517</v>
      </c>
      <c r="L57" t="s">
        <v>89</v>
      </c>
      <c r="M57" t="s">
        <v>86</v>
      </c>
      <c r="N57" s="2">
        <v>735.30240000000003</v>
      </c>
      <c r="O57" s="1">
        <v>27</v>
      </c>
      <c r="P57" s="2">
        <v>6617.7216000000008</v>
      </c>
    </row>
    <row r="58" spans="1:16">
      <c r="A58" t="s">
        <v>5717</v>
      </c>
      <c r="B58" t="s">
        <v>5718</v>
      </c>
      <c r="C58" t="s">
        <v>6124</v>
      </c>
      <c r="D58" t="s">
        <v>5704</v>
      </c>
      <c r="E58" s="2">
        <v>20.58</v>
      </c>
      <c r="F58" s="1">
        <v>75</v>
      </c>
      <c r="G58" s="2">
        <v>1543.4999999999998</v>
      </c>
      <c r="J58" s="5" t="s">
        <v>2023</v>
      </c>
      <c r="K58" t="s">
        <v>2024</v>
      </c>
      <c r="L58" t="s">
        <v>580</v>
      </c>
      <c r="M58" t="s">
        <v>619</v>
      </c>
      <c r="N58" s="2">
        <v>21.8278</v>
      </c>
      <c r="O58" s="1">
        <v>580</v>
      </c>
      <c r="P58" s="2">
        <v>6330.0619999999999</v>
      </c>
    </row>
    <row r="59" spans="1:16">
      <c r="A59" t="s">
        <v>5876</v>
      </c>
      <c r="B59" t="s">
        <v>5877</v>
      </c>
      <c r="C59" t="s">
        <v>6124</v>
      </c>
      <c r="D59" t="s">
        <v>5767</v>
      </c>
      <c r="E59" s="2">
        <v>23.57</v>
      </c>
      <c r="F59" s="1">
        <v>65</v>
      </c>
      <c r="G59" s="2">
        <v>1532.05</v>
      </c>
      <c r="J59" s="5" t="s">
        <v>2021</v>
      </c>
      <c r="K59" t="s">
        <v>2022</v>
      </c>
      <c r="L59" t="s">
        <v>580</v>
      </c>
      <c r="M59" t="s">
        <v>619</v>
      </c>
      <c r="N59" s="2">
        <v>4.9589999999999996</v>
      </c>
      <c r="O59" s="1">
        <v>2552</v>
      </c>
      <c r="P59" s="2">
        <v>6327.6839999999993</v>
      </c>
    </row>
    <row r="60" spans="1:16">
      <c r="A60" t="s">
        <v>5731</v>
      </c>
      <c r="B60" t="s">
        <v>5732</v>
      </c>
      <c r="C60" t="s">
        <v>6124</v>
      </c>
      <c r="D60" t="s">
        <v>5704</v>
      </c>
      <c r="E60" s="2">
        <v>20.58</v>
      </c>
      <c r="F60" s="1">
        <v>74</v>
      </c>
      <c r="G60" s="2">
        <v>1522.9199999999998</v>
      </c>
      <c r="J60" s="5" t="s">
        <v>1819</v>
      </c>
      <c r="K60" t="s">
        <v>1820</v>
      </c>
      <c r="L60" t="s">
        <v>1821</v>
      </c>
      <c r="M60" t="s">
        <v>125</v>
      </c>
      <c r="N60" s="2">
        <v>1561.1744000000001</v>
      </c>
      <c r="O60" s="1">
        <v>8</v>
      </c>
      <c r="P60" s="2">
        <v>6244.6976000000004</v>
      </c>
    </row>
    <row r="61" spans="1:16">
      <c r="A61" t="s">
        <v>5874</v>
      </c>
      <c r="B61" t="s">
        <v>5875</v>
      </c>
      <c r="C61" t="s">
        <v>6124</v>
      </c>
      <c r="D61" t="s">
        <v>5767</v>
      </c>
      <c r="E61" s="2">
        <v>16.87</v>
      </c>
      <c r="F61" s="1">
        <v>79</v>
      </c>
      <c r="G61" s="2">
        <v>1332.73</v>
      </c>
      <c r="J61" s="5" t="s">
        <v>1823</v>
      </c>
      <c r="K61" t="s">
        <v>1824</v>
      </c>
      <c r="L61" t="s">
        <v>994</v>
      </c>
      <c r="M61" t="s">
        <v>125</v>
      </c>
      <c r="N61" s="2">
        <v>2066.991</v>
      </c>
      <c r="O61" s="1">
        <v>6</v>
      </c>
      <c r="P61" s="2">
        <v>6200.973</v>
      </c>
    </row>
    <row r="62" spans="1:16">
      <c r="A62" t="s">
        <v>5854</v>
      </c>
      <c r="B62" t="s">
        <v>5855</v>
      </c>
      <c r="C62" t="s">
        <v>6124</v>
      </c>
      <c r="D62" t="s">
        <v>5767</v>
      </c>
      <c r="E62" s="2">
        <v>8.49</v>
      </c>
      <c r="F62" s="1">
        <v>151</v>
      </c>
      <c r="G62" s="2">
        <v>1281.99</v>
      </c>
      <c r="J62" s="5" t="s">
        <v>4595</v>
      </c>
      <c r="K62" t="s">
        <v>4596</v>
      </c>
      <c r="L62" t="s">
        <v>467</v>
      </c>
      <c r="M62" t="s">
        <v>86</v>
      </c>
      <c r="N62" s="2">
        <v>409.13159999999999</v>
      </c>
      <c r="O62" s="1">
        <v>30</v>
      </c>
      <c r="P62" s="2">
        <v>6136.9740000000002</v>
      </c>
    </row>
    <row r="63" spans="1:16">
      <c r="A63" t="s">
        <v>5729</v>
      </c>
      <c r="B63" t="s">
        <v>5730</v>
      </c>
      <c r="C63" t="s">
        <v>6124</v>
      </c>
      <c r="D63" t="s">
        <v>5704</v>
      </c>
      <c r="E63" s="2">
        <v>20.58</v>
      </c>
      <c r="F63" s="1">
        <v>62</v>
      </c>
      <c r="G63" s="2">
        <v>1275.9599999999998</v>
      </c>
      <c r="J63" s="5" t="s">
        <v>820</v>
      </c>
      <c r="K63" t="s">
        <v>821</v>
      </c>
      <c r="L63" t="s">
        <v>618</v>
      </c>
      <c r="M63" t="s">
        <v>626</v>
      </c>
      <c r="N63" s="2">
        <v>10.792199999999999</v>
      </c>
      <c r="O63" s="1">
        <v>1114</v>
      </c>
      <c r="P63" s="2">
        <v>6011.2554</v>
      </c>
    </row>
    <row r="64" spans="1:16">
      <c r="A64" t="s">
        <v>5601</v>
      </c>
      <c r="B64" t="s">
        <v>5602</v>
      </c>
      <c r="C64" t="s">
        <v>6124</v>
      </c>
      <c r="D64" t="s">
        <v>3537</v>
      </c>
      <c r="E64" s="2">
        <v>7.41</v>
      </c>
      <c r="F64" s="1">
        <v>171</v>
      </c>
      <c r="G64" s="2">
        <v>1267.1100000000001</v>
      </c>
      <c r="J64" s="5" t="s">
        <v>5117</v>
      </c>
      <c r="K64" t="s">
        <v>5118</v>
      </c>
      <c r="L64" t="s">
        <v>618</v>
      </c>
      <c r="M64" t="s">
        <v>711</v>
      </c>
      <c r="N64" s="2">
        <v>11.200699999999999</v>
      </c>
      <c r="O64" s="1">
        <v>526</v>
      </c>
      <c r="P64" s="2">
        <v>5891.5681999999997</v>
      </c>
    </row>
    <row r="65" spans="1:16">
      <c r="A65" t="s">
        <v>5878</v>
      </c>
      <c r="B65" t="s">
        <v>5879</v>
      </c>
      <c r="C65" t="s">
        <v>6124</v>
      </c>
      <c r="D65" t="s">
        <v>5767</v>
      </c>
      <c r="E65" s="2">
        <v>17.059999999999999</v>
      </c>
      <c r="F65" s="1">
        <v>73</v>
      </c>
      <c r="G65" s="2">
        <v>1245.3799999999999</v>
      </c>
      <c r="J65" s="5" t="s">
        <v>2027</v>
      </c>
      <c r="K65" t="s">
        <v>2028</v>
      </c>
      <c r="L65" t="s">
        <v>580</v>
      </c>
      <c r="M65" t="s">
        <v>619</v>
      </c>
      <c r="N65" s="2">
        <v>11.847</v>
      </c>
      <c r="O65" s="1">
        <v>972</v>
      </c>
      <c r="P65" s="2">
        <v>5757.6419999999998</v>
      </c>
    </row>
    <row r="66" spans="1:16">
      <c r="A66" t="s">
        <v>5804</v>
      </c>
      <c r="B66" t="s">
        <v>5805</v>
      </c>
      <c r="C66" t="s">
        <v>6124</v>
      </c>
      <c r="D66" t="s">
        <v>5767</v>
      </c>
      <c r="E66" s="2">
        <v>22.36</v>
      </c>
      <c r="F66" s="1">
        <v>55</v>
      </c>
      <c r="G66" s="2">
        <v>1229.8</v>
      </c>
      <c r="J66" s="5" t="s">
        <v>1029</v>
      </c>
      <c r="K66" t="s">
        <v>1030</v>
      </c>
      <c r="L66" t="s">
        <v>2574</v>
      </c>
      <c r="M66" t="s">
        <v>125</v>
      </c>
      <c r="N66" s="2">
        <v>796.38699999999994</v>
      </c>
      <c r="O66" s="1">
        <v>14</v>
      </c>
      <c r="P66" s="2">
        <v>5574.7089999999998</v>
      </c>
    </row>
    <row r="67" spans="1:16">
      <c r="A67" t="s">
        <v>5765</v>
      </c>
      <c r="B67" t="s">
        <v>5766</v>
      </c>
      <c r="C67" t="s">
        <v>6124</v>
      </c>
      <c r="D67" t="s">
        <v>5767</v>
      </c>
      <c r="E67" s="2">
        <v>26.39</v>
      </c>
      <c r="F67" s="1">
        <v>46</v>
      </c>
      <c r="G67" s="2">
        <v>1213.94</v>
      </c>
      <c r="J67" s="5" t="s">
        <v>4599</v>
      </c>
      <c r="K67" t="s">
        <v>4600</v>
      </c>
      <c r="L67" t="s">
        <v>467</v>
      </c>
      <c r="M67" t="s">
        <v>86</v>
      </c>
      <c r="N67" s="2">
        <v>789.61659999999995</v>
      </c>
      <c r="O67" s="1">
        <v>14</v>
      </c>
      <c r="P67" s="2">
        <v>5527.3161999999993</v>
      </c>
    </row>
    <row r="68" spans="1:16">
      <c r="A68" t="s">
        <v>5884</v>
      </c>
      <c r="B68" t="s">
        <v>5885</v>
      </c>
      <c r="C68" t="s">
        <v>6124</v>
      </c>
      <c r="D68" t="s">
        <v>5767</v>
      </c>
      <c r="E68" s="2">
        <v>14.22</v>
      </c>
      <c r="F68" s="1">
        <v>85</v>
      </c>
      <c r="G68" s="2">
        <v>1208.7</v>
      </c>
      <c r="J68" s="5" t="s">
        <v>4069</v>
      </c>
      <c r="K68" t="s">
        <v>4070</v>
      </c>
      <c r="L68" t="s">
        <v>228</v>
      </c>
      <c r="M68" t="s">
        <v>86</v>
      </c>
      <c r="N68" s="2">
        <v>16.961400000000001</v>
      </c>
      <c r="O68" s="1">
        <v>960</v>
      </c>
      <c r="P68" s="2">
        <v>5427.6480000000001</v>
      </c>
    </row>
    <row r="69" spans="1:16">
      <c r="A69" t="s">
        <v>5802</v>
      </c>
      <c r="B69" t="s">
        <v>5803</v>
      </c>
      <c r="C69" t="s">
        <v>6124</v>
      </c>
      <c r="D69" t="s">
        <v>5767</v>
      </c>
      <c r="E69" s="2">
        <v>23.91</v>
      </c>
      <c r="F69" s="1">
        <v>50</v>
      </c>
      <c r="G69" s="2">
        <v>1195.5</v>
      </c>
      <c r="J69" s="5" t="s">
        <v>2045</v>
      </c>
      <c r="K69" t="s">
        <v>2046</v>
      </c>
      <c r="L69" t="s">
        <v>618</v>
      </c>
      <c r="M69" t="s">
        <v>626</v>
      </c>
      <c r="N69" s="2">
        <v>10.3172</v>
      </c>
      <c r="O69" s="1">
        <v>1022</v>
      </c>
      <c r="P69" s="2">
        <v>5272.0891999999994</v>
      </c>
    </row>
    <row r="70" spans="1:16">
      <c r="A70" t="s">
        <v>5866</v>
      </c>
      <c r="B70" t="s">
        <v>5867</v>
      </c>
      <c r="C70" t="s">
        <v>6124</v>
      </c>
      <c r="D70" t="s">
        <v>5767</v>
      </c>
      <c r="E70" s="2">
        <v>13.34</v>
      </c>
      <c r="F70" s="1">
        <v>89</v>
      </c>
      <c r="G70" s="2">
        <v>1187.26</v>
      </c>
      <c r="J70" s="5" t="s">
        <v>333</v>
      </c>
      <c r="K70" t="s">
        <v>334</v>
      </c>
      <c r="L70" t="s">
        <v>228</v>
      </c>
      <c r="M70" t="s">
        <v>86</v>
      </c>
      <c r="N70" s="2">
        <v>19.091200000000001</v>
      </c>
      <c r="O70" s="1">
        <v>546</v>
      </c>
      <c r="P70" s="2">
        <v>5211.8976000000002</v>
      </c>
    </row>
    <row r="71" spans="1:16">
      <c r="A71" t="s">
        <v>6099</v>
      </c>
      <c r="B71" t="s">
        <v>6100</v>
      </c>
      <c r="C71" t="s">
        <v>6124</v>
      </c>
      <c r="D71" t="s">
        <v>5922</v>
      </c>
      <c r="E71" s="2">
        <v>2.27</v>
      </c>
      <c r="F71" s="1">
        <v>496</v>
      </c>
      <c r="G71" s="2">
        <v>1125.92</v>
      </c>
      <c r="J71" s="5" t="s">
        <v>237</v>
      </c>
      <c r="K71" t="s">
        <v>3637</v>
      </c>
      <c r="L71" t="s">
        <v>228</v>
      </c>
      <c r="M71" t="s">
        <v>86</v>
      </c>
      <c r="N71" s="2">
        <v>156.49260000000001</v>
      </c>
      <c r="O71" s="1">
        <v>99</v>
      </c>
      <c r="P71" s="2">
        <v>5164.2557999999999</v>
      </c>
    </row>
    <row r="72" spans="1:16">
      <c r="A72" t="s">
        <v>5987</v>
      </c>
      <c r="B72" t="s">
        <v>5988</v>
      </c>
      <c r="C72" t="s">
        <v>6124</v>
      </c>
      <c r="D72" t="s">
        <v>5922</v>
      </c>
      <c r="E72" s="2">
        <v>1.46</v>
      </c>
      <c r="F72" s="1">
        <v>767</v>
      </c>
      <c r="G72" s="2">
        <v>1119.82</v>
      </c>
      <c r="J72" s="5" t="s">
        <v>5133</v>
      </c>
      <c r="K72" t="s">
        <v>5134</v>
      </c>
      <c r="L72" t="s">
        <v>115</v>
      </c>
      <c r="M72" t="s">
        <v>1931</v>
      </c>
      <c r="N72" s="2">
        <v>1.119</v>
      </c>
      <c r="O72" s="1">
        <v>13626</v>
      </c>
      <c r="P72" s="2">
        <v>5082.4979999999996</v>
      </c>
    </row>
    <row r="73" spans="1:16">
      <c r="A73" t="s">
        <v>5611</v>
      </c>
      <c r="B73" t="s">
        <v>5612</v>
      </c>
      <c r="C73" t="s">
        <v>6124</v>
      </c>
      <c r="D73" t="s">
        <v>3537</v>
      </c>
      <c r="E73" s="2">
        <v>7.41</v>
      </c>
      <c r="F73" s="1">
        <v>140</v>
      </c>
      <c r="G73" s="2">
        <v>1037.4000000000001</v>
      </c>
      <c r="J73" s="5" t="s">
        <v>3296</v>
      </c>
      <c r="K73" t="s">
        <v>3297</v>
      </c>
      <c r="L73" t="s">
        <v>228</v>
      </c>
      <c r="M73" t="s">
        <v>86</v>
      </c>
      <c r="N73" s="2">
        <v>4.1060999999999996</v>
      </c>
      <c r="O73" s="1">
        <v>3708</v>
      </c>
      <c r="P73" s="2">
        <v>5075.1396000000004</v>
      </c>
    </row>
    <row r="74" spans="1:16">
      <c r="A74" t="s">
        <v>5549</v>
      </c>
      <c r="B74" t="s">
        <v>5550</v>
      </c>
      <c r="C74" t="s">
        <v>6124</v>
      </c>
      <c r="D74" t="s">
        <v>3537</v>
      </c>
      <c r="E74" s="2">
        <v>6.87</v>
      </c>
      <c r="F74" s="1">
        <v>149</v>
      </c>
      <c r="G74" s="2">
        <v>1023.63</v>
      </c>
      <c r="J74" s="5" t="s">
        <v>480</v>
      </c>
      <c r="K74" t="s">
        <v>4621</v>
      </c>
      <c r="L74" t="s">
        <v>481</v>
      </c>
      <c r="M74" t="s">
        <v>86</v>
      </c>
      <c r="N74" s="2">
        <v>425.29840000000002</v>
      </c>
      <c r="O74" s="1">
        <v>22</v>
      </c>
      <c r="P74" s="2">
        <v>4678.2824000000001</v>
      </c>
    </row>
    <row r="75" spans="1:16">
      <c r="A75" t="s">
        <v>5850</v>
      </c>
      <c r="B75" t="s">
        <v>5851</v>
      </c>
      <c r="C75" t="s">
        <v>6124</v>
      </c>
      <c r="D75" t="s">
        <v>5767</v>
      </c>
      <c r="E75" s="2">
        <v>3.1</v>
      </c>
      <c r="F75" s="1">
        <v>328</v>
      </c>
      <c r="G75" s="2">
        <v>1016.8000000000001</v>
      </c>
      <c r="J75" s="5" t="s">
        <v>900</v>
      </c>
      <c r="K75" t="s">
        <v>901</v>
      </c>
      <c r="L75" t="s">
        <v>944</v>
      </c>
      <c r="M75" t="s">
        <v>125</v>
      </c>
      <c r="N75" s="2">
        <v>259.13900000000001</v>
      </c>
      <c r="O75" s="1">
        <v>18</v>
      </c>
      <c r="P75" s="2">
        <v>4664.5020000000004</v>
      </c>
    </row>
    <row r="76" spans="1:16">
      <c r="A76" t="s">
        <v>6045</v>
      </c>
      <c r="B76" t="s">
        <v>6046</v>
      </c>
      <c r="C76" t="s">
        <v>6124</v>
      </c>
      <c r="D76" t="s">
        <v>5922</v>
      </c>
      <c r="E76" s="2">
        <v>8.85</v>
      </c>
      <c r="F76" s="1">
        <v>114</v>
      </c>
      <c r="G76" s="2">
        <v>1008.9</v>
      </c>
      <c r="J76" s="5" t="s">
        <v>1614</v>
      </c>
      <c r="K76" t="s">
        <v>5253</v>
      </c>
      <c r="L76" t="s">
        <v>101</v>
      </c>
      <c r="M76" t="s">
        <v>711</v>
      </c>
      <c r="N76" s="2">
        <v>3.5931999999999999</v>
      </c>
      <c r="O76" s="1">
        <v>2566</v>
      </c>
      <c r="P76" s="2">
        <v>4610.0756000000001</v>
      </c>
    </row>
    <row r="77" spans="1:16">
      <c r="A77" t="s">
        <v>6085</v>
      </c>
      <c r="B77" t="s">
        <v>6086</v>
      </c>
      <c r="C77" t="s">
        <v>6124</v>
      </c>
      <c r="D77" t="s">
        <v>5922</v>
      </c>
      <c r="E77" s="2">
        <v>2.41</v>
      </c>
      <c r="F77" s="1">
        <v>414</v>
      </c>
      <c r="G77" s="2">
        <v>997.74</v>
      </c>
      <c r="J77" s="5" t="s">
        <v>5065</v>
      </c>
      <c r="K77" t="s">
        <v>5066</v>
      </c>
      <c r="L77" t="s">
        <v>101</v>
      </c>
      <c r="M77" t="s">
        <v>581</v>
      </c>
      <c r="N77" s="2">
        <v>5.93</v>
      </c>
      <c r="O77" s="1">
        <v>770.9</v>
      </c>
      <c r="P77" s="2">
        <v>4571.4369999999999</v>
      </c>
    </row>
    <row r="78" spans="1:16">
      <c r="A78" t="s">
        <v>6087</v>
      </c>
      <c r="B78" t="s">
        <v>6088</v>
      </c>
      <c r="C78" t="s">
        <v>6124</v>
      </c>
      <c r="D78" t="s">
        <v>5922</v>
      </c>
      <c r="E78" s="2">
        <v>0.54</v>
      </c>
      <c r="F78" s="1">
        <v>1830</v>
      </c>
      <c r="G78" s="2">
        <v>988.2</v>
      </c>
      <c r="J78" s="5" t="s">
        <v>793</v>
      </c>
      <c r="K78" t="s">
        <v>794</v>
      </c>
      <c r="L78" t="s">
        <v>580</v>
      </c>
      <c r="M78" t="s">
        <v>581</v>
      </c>
      <c r="N78" s="2">
        <v>7.9207999999999998</v>
      </c>
      <c r="O78" s="1">
        <v>1126</v>
      </c>
      <c r="P78" s="2">
        <v>4459.4103999999998</v>
      </c>
    </row>
    <row r="79" spans="1:16">
      <c r="A79" t="s">
        <v>6003</v>
      </c>
      <c r="B79" t="s">
        <v>6004</v>
      </c>
      <c r="C79" t="s">
        <v>6124</v>
      </c>
      <c r="D79" t="s">
        <v>5922</v>
      </c>
      <c r="E79" s="2">
        <v>11.02</v>
      </c>
      <c r="F79" s="1">
        <v>88</v>
      </c>
      <c r="G79" s="2">
        <v>969.76</v>
      </c>
      <c r="J79" s="5" t="s">
        <v>2039</v>
      </c>
      <c r="K79" t="s">
        <v>2040</v>
      </c>
      <c r="L79" t="s">
        <v>580</v>
      </c>
      <c r="M79" t="s">
        <v>619</v>
      </c>
      <c r="N79" s="2">
        <v>5.9748000000000001</v>
      </c>
      <c r="O79" s="1">
        <v>1470</v>
      </c>
      <c r="P79" s="2">
        <v>4391.4780000000001</v>
      </c>
    </row>
    <row r="80" spans="1:16">
      <c r="A80" t="s">
        <v>5625</v>
      </c>
      <c r="B80" t="s">
        <v>5626</v>
      </c>
      <c r="C80" t="s">
        <v>6124</v>
      </c>
      <c r="D80" t="s">
        <v>3537</v>
      </c>
      <c r="E80" s="2">
        <v>4.93</v>
      </c>
      <c r="F80" s="1">
        <v>195</v>
      </c>
      <c r="G80" s="2">
        <v>961.34999999999991</v>
      </c>
      <c r="J80" s="5" t="s">
        <v>637</v>
      </c>
      <c r="K80" t="s">
        <v>638</v>
      </c>
      <c r="L80" t="s">
        <v>618</v>
      </c>
      <c r="M80" t="s">
        <v>626</v>
      </c>
      <c r="N80" s="2">
        <v>26.518000000000001</v>
      </c>
      <c r="O80" s="1">
        <v>163</v>
      </c>
      <c r="P80" s="2">
        <v>4322.4340000000002</v>
      </c>
    </row>
    <row r="81" spans="1:16">
      <c r="A81" t="s">
        <v>5812</v>
      </c>
      <c r="B81" t="s">
        <v>5813</v>
      </c>
      <c r="C81" t="s">
        <v>6124</v>
      </c>
      <c r="D81" t="s">
        <v>5767</v>
      </c>
      <c r="E81" s="2">
        <v>43.17</v>
      </c>
      <c r="F81" s="1">
        <v>22</v>
      </c>
      <c r="G81" s="2">
        <v>949.74</v>
      </c>
      <c r="J81" s="5" t="s">
        <v>3208</v>
      </c>
      <c r="K81" t="s">
        <v>3209</v>
      </c>
      <c r="L81" t="s">
        <v>1821</v>
      </c>
      <c r="M81" t="s">
        <v>125</v>
      </c>
      <c r="N81" s="2">
        <v>856.05679999999995</v>
      </c>
      <c r="O81" s="1">
        <v>10</v>
      </c>
      <c r="P81" s="2">
        <v>4280.2839999999997</v>
      </c>
    </row>
    <row r="82" spans="1:16">
      <c r="A82" t="s">
        <v>5943</v>
      </c>
      <c r="B82" t="s">
        <v>5944</v>
      </c>
      <c r="C82" t="s">
        <v>6124</v>
      </c>
      <c r="D82" t="s">
        <v>5922</v>
      </c>
      <c r="E82" s="2">
        <v>17.600000000000001</v>
      </c>
      <c r="F82" s="1">
        <v>53</v>
      </c>
      <c r="G82" s="2">
        <v>932.80000000000007</v>
      </c>
      <c r="J82" s="5" t="s">
        <v>3200</v>
      </c>
      <c r="K82" t="s">
        <v>3201</v>
      </c>
      <c r="L82" t="s">
        <v>1852</v>
      </c>
      <c r="M82" t="s">
        <v>125</v>
      </c>
      <c r="N82" s="2">
        <v>711.74760000000003</v>
      </c>
      <c r="O82" s="1">
        <v>12</v>
      </c>
      <c r="P82" s="2">
        <v>4270.4856</v>
      </c>
    </row>
    <row r="83" spans="1:16">
      <c r="A83" t="s">
        <v>5623</v>
      </c>
      <c r="B83" t="s">
        <v>5624</v>
      </c>
      <c r="C83" t="s">
        <v>6124</v>
      </c>
      <c r="D83" t="s">
        <v>3537</v>
      </c>
      <c r="E83" s="2">
        <v>4.93</v>
      </c>
      <c r="F83" s="1">
        <v>187</v>
      </c>
      <c r="G83" s="2">
        <v>921.91</v>
      </c>
      <c r="J83" s="5" t="s">
        <v>2031</v>
      </c>
      <c r="K83" t="s">
        <v>2032</v>
      </c>
      <c r="L83" t="s">
        <v>580</v>
      </c>
      <c r="M83" t="s">
        <v>619</v>
      </c>
      <c r="N83" s="2">
        <v>3.1459999999999999</v>
      </c>
      <c r="O83" s="1">
        <v>2646</v>
      </c>
      <c r="P83" s="2">
        <v>4162.1579999999994</v>
      </c>
    </row>
    <row r="84" spans="1:16">
      <c r="A84" t="s">
        <v>5979</v>
      </c>
      <c r="B84" t="s">
        <v>5980</v>
      </c>
      <c r="C84" t="s">
        <v>6124</v>
      </c>
      <c r="D84" t="s">
        <v>5922</v>
      </c>
      <c r="E84" s="2">
        <v>9.0500000000000007</v>
      </c>
      <c r="F84" s="1">
        <v>101</v>
      </c>
      <c r="G84" s="2">
        <v>914.05000000000007</v>
      </c>
      <c r="J84" s="5" t="s">
        <v>627</v>
      </c>
      <c r="K84" t="s">
        <v>628</v>
      </c>
      <c r="L84" t="s">
        <v>618</v>
      </c>
      <c r="M84" t="s">
        <v>626</v>
      </c>
      <c r="N84" s="2">
        <v>519.351</v>
      </c>
      <c r="O84" s="1">
        <v>8</v>
      </c>
      <c r="P84" s="2">
        <v>4154.808</v>
      </c>
    </row>
    <row r="85" spans="1:16">
      <c r="A85" t="s">
        <v>5908</v>
      </c>
      <c r="B85" t="s">
        <v>5909</v>
      </c>
      <c r="C85" t="s">
        <v>6124</v>
      </c>
      <c r="D85" t="s">
        <v>5767</v>
      </c>
      <c r="E85" s="2">
        <v>23.05</v>
      </c>
      <c r="F85" s="1">
        <v>38</v>
      </c>
      <c r="G85" s="2">
        <v>875.9</v>
      </c>
      <c r="J85" s="5" t="s">
        <v>5278</v>
      </c>
      <c r="K85" t="s">
        <v>1822</v>
      </c>
      <c r="L85" t="s">
        <v>1821</v>
      </c>
      <c r="M85" t="s">
        <v>125</v>
      </c>
      <c r="N85" s="2">
        <v>691.04430000000002</v>
      </c>
      <c r="O85" s="1">
        <v>18</v>
      </c>
      <c r="P85" s="2">
        <v>4146.2658000000001</v>
      </c>
    </row>
    <row r="86" spans="1:16">
      <c r="A86" t="s">
        <v>5575</v>
      </c>
      <c r="B86" t="s">
        <v>5576</v>
      </c>
      <c r="C86" t="s">
        <v>6124</v>
      </c>
      <c r="D86" t="s">
        <v>3537</v>
      </c>
      <c r="E86" s="2">
        <v>10.53</v>
      </c>
      <c r="F86" s="1">
        <v>79</v>
      </c>
      <c r="G86" s="2">
        <v>831.87</v>
      </c>
      <c r="J86" s="5" t="s">
        <v>5514</v>
      </c>
      <c r="K86" t="s">
        <v>5515</v>
      </c>
      <c r="L86" t="s">
        <v>89</v>
      </c>
      <c r="M86" t="s">
        <v>86</v>
      </c>
      <c r="N86" s="2">
        <v>690.13699999999994</v>
      </c>
      <c r="O86" s="1">
        <v>12</v>
      </c>
      <c r="P86" s="2">
        <v>4140.8220000000001</v>
      </c>
    </row>
    <row r="87" spans="1:16">
      <c r="A87" t="s">
        <v>5603</v>
      </c>
      <c r="B87" t="s">
        <v>5604</v>
      </c>
      <c r="C87" t="s">
        <v>6124</v>
      </c>
      <c r="D87" t="s">
        <v>3537</v>
      </c>
      <c r="E87" s="2">
        <v>7.41</v>
      </c>
      <c r="F87" s="1">
        <v>112</v>
      </c>
      <c r="G87" s="2">
        <v>829.92000000000007</v>
      </c>
      <c r="J87" s="5" t="s">
        <v>3418</v>
      </c>
      <c r="K87" t="s">
        <v>3419</v>
      </c>
      <c r="L87" t="s">
        <v>203</v>
      </c>
      <c r="M87" t="s">
        <v>125</v>
      </c>
      <c r="N87" s="2">
        <v>1374.1632</v>
      </c>
      <c r="O87" s="1">
        <v>6</v>
      </c>
      <c r="P87" s="2">
        <v>4122.4895999999999</v>
      </c>
    </row>
    <row r="88" spans="1:16">
      <c r="A88" t="s">
        <v>5619</v>
      </c>
      <c r="B88" t="s">
        <v>5620</v>
      </c>
      <c r="C88" t="s">
        <v>6124</v>
      </c>
      <c r="D88" t="s">
        <v>3537</v>
      </c>
      <c r="E88" s="2">
        <v>7.41</v>
      </c>
      <c r="F88" s="1">
        <v>110</v>
      </c>
      <c r="G88" s="2">
        <v>815.1</v>
      </c>
      <c r="J88" s="5" t="s">
        <v>271</v>
      </c>
      <c r="K88" t="s">
        <v>272</v>
      </c>
      <c r="L88" t="s">
        <v>467</v>
      </c>
      <c r="M88" t="s">
        <v>86</v>
      </c>
      <c r="N88" s="2">
        <v>583.84619999999995</v>
      </c>
      <c r="O88" s="1">
        <v>14</v>
      </c>
      <c r="P88" s="2">
        <v>4086.9233999999997</v>
      </c>
    </row>
    <row r="89" spans="1:16">
      <c r="A89" t="s">
        <v>5689</v>
      </c>
      <c r="B89" t="s">
        <v>5690</v>
      </c>
      <c r="C89" t="s">
        <v>6124</v>
      </c>
      <c r="D89" t="s">
        <v>3537</v>
      </c>
      <c r="E89" s="2">
        <v>22.64</v>
      </c>
      <c r="F89" s="1">
        <v>36</v>
      </c>
      <c r="G89" s="2">
        <v>815.04</v>
      </c>
      <c r="J89" s="5" t="s">
        <v>4238</v>
      </c>
      <c r="K89" t="s">
        <v>4239</v>
      </c>
      <c r="L89" t="s">
        <v>85</v>
      </c>
      <c r="M89" t="s">
        <v>86</v>
      </c>
      <c r="N89" s="2">
        <v>36.599800000000002</v>
      </c>
      <c r="O89" s="1">
        <v>222</v>
      </c>
      <c r="P89" s="2">
        <v>4062.5778</v>
      </c>
    </row>
    <row r="90" spans="1:16">
      <c r="A90" t="s">
        <v>6117</v>
      </c>
      <c r="B90" t="s">
        <v>6118</v>
      </c>
      <c r="C90" t="s">
        <v>6124</v>
      </c>
      <c r="D90" t="s">
        <v>5922</v>
      </c>
      <c r="E90" s="2">
        <v>9.14</v>
      </c>
      <c r="F90" s="1">
        <v>88</v>
      </c>
      <c r="G90" s="2">
        <v>804.32</v>
      </c>
      <c r="J90" s="5" t="s">
        <v>3222</v>
      </c>
      <c r="K90" t="s">
        <v>3223</v>
      </c>
      <c r="L90" t="s">
        <v>263</v>
      </c>
      <c r="M90" t="s">
        <v>86</v>
      </c>
      <c r="N90" s="2">
        <v>89.598600000000005</v>
      </c>
      <c r="O90" s="1">
        <v>132</v>
      </c>
      <c r="P90" s="2">
        <v>3942.3383999999996</v>
      </c>
    </row>
    <row r="91" spans="1:16">
      <c r="A91" t="s">
        <v>5772</v>
      </c>
      <c r="B91" t="s">
        <v>5773</v>
      </c>
      <c r="C91" t="s">
        <v>6124</v>
      </c>
      <c r="D91" t="s">
        <v>5767</v>
      </c>
      <c r="E91" s="2">
        <v>65.239999999999995</v>
      </c>
      <c r="F91" s="1">
        <v>12</v>
      </c>
      <c r="G91" s="2">
        <v>782.87999999999988</v>
      </c>
      <c r="J91" s="5" t="s">
        <v>3198</v>
      </c>
      <c r="K91" t="s">
        <v>3199</v>
      </c>
      <c r="L91" t="s">
        <v>153</v>
      </c>
      <c r="M91" t="s">
        <v>125</v>
      </c>
      <c r="N91" s="2">
        <v>656.7894</v>
      </c>
      <c r="O91" s="1">
        <v>12</v>
      </c>
      <c r="P91" s="2">
        <v>3940.7363999999998</v>
      </c>
    </row>
    <row r="92" spans="1:16">
      <c r="A92" t="s">
        <v>5565</v>
      </c>
      <c r="B92" t="s">
        <v>5566</v>
      </c>
      <c r="C92" t="s">
        <v>6124</v>
      </c>
      <c r="D92" t="s">
        <v>3537</v>
      </c>
      <c r="E92" s="2">
        <v>8.66</v>
      </c>
      <c r="F92" s="1">
        <v>88</v>
      </c>
      <c r="G92" s="2">
        <v>762.08</v>
      </c>
      <c r="J92" s="5" t="s">
        <v>2035</v>
      </c>
      <c r="K92" t="s">
        <v>2036</v>
      </c>
      <c r="L92" t="s">
        <v>618</v>
      </c>
      <c r="M92" t="s">
        <v>626</v>
      </c>
      <c r="N92" s="2">
        <v>3.5655999999999999</v>
      </c>
      <c r="O92" s="1">
        <v>2206</v>
      </c>
      <c r="P92" s="2">
        <v>3932.8568</v>
      </c>
    </row>
    <row r="93" spans="1:16">
      <c r="A93" t="s">
        <v>5551</v>
      </c>
      <c r="B93" t="s">
        <v>5552</v>
      </c>
      <c r="C93" t="s">
        <v>6124</v>
      </c>
      <c r="D93" t="s">
        <v>3537</v>
      </c>
      <c r="E93" s="2">
        <v>6.87</v>
      </c>
      <c r="F93" s="1">
        <v>110</v>
      </c>
      <c r="G93" s="2">
        <v>755.7</v>
      </c>
      <c r="J93" s="5" t="s">
        <v>3356</v>
      </c>
      <c r="K93" t="s">
        <v>3357</v>
      </c>
      <c r="L93" t="s">
        <v>3353</v>
      </c>
      <c r="M93" t="s">
        <v>86</v>
      </c>
      <c r="N93" s="2">
        <v>559.41060000000004</v>
      </c>
      <c r="O93" s="1">
        <v>14</v>
      </c>
      <c r="P93" s="2">
        <v>3915.8742000000002</v>
      </c>
    </row>
    <row r="94" spans="1:16">
      <c r="A94" t="s">
        <v>5818</v>
      </c>
      <c r="B94" t="s">
        <v>5819</v>
      </c>
      <c r="C94" t="s">
        <v>6124</v>
      </c>
      <c r="D94" t="s">
        <v>5767</v>
      </c>
      <c r="E94" s="2">
        <v>12.93</v>
      </c>
      <c r="F94" s="1">
        <v>58</v>
      </c>
      <c r="G94" s="2">
        <v>749.93999999999994</v>
      </c>
      <c r="J94" s="5" t="s">
        <v>5444</v>
      </c>
      <c r="K94" t="s">
        <v>5445</v>
      </c>
      <c r="L94" t="s">
        <v>481</v>
      </c>
      <c r="M94" t="s">
        <v>86</v>
      </c>
      <c r="N94" s="2">
        <v>535.82119999999998</v>
      </c>
      <c r="O94" s="1">
        <v>14</v>
      </c>
      <c r="P94" s="2">
        <v>3750.7483999999999</v>
      </c>
    </row>
    <row r="95" spans="1:16">
      <c r="A95" t="s">
        <v>5941</v>
      </c>
      <c r="B95" t="s">
        <v>5942</v>
      </c>
      <c r="C95" t="s">
        <v>6124</v>
      </c>
      <c r="D95" t="s">
        <v>5922</v>
      </c>
      <c r="E95" s="2">
        <v>15.6</v>
      </c>
      <c r="F95" s="1">
        <v>48</v>
      </c>
      <c r="G95" s="2">
        <v>748.8</v>
      </c>
      <c r="J95" s="5" t="s">
        <v>2047</v>
      </c>
      <c r="K95" t="s">
        <v>2048</v>
      </c>
      <c r="L95" t="s">
        <v>618</v>
      </c>
      <c r="M95" t="s">
        <v>626</v>
      </c>
      <c r="N95" s="2">
        <v>5.4904000000000002</v>
      </c>
      <c r="O95" s="1">
        <v>1366</v>
      </c>
      <c r="P95" s="2">
        <v>3749.9432000000002</v>
      </c>
    </row>
    <row r="96" spans="1:16">
      <c r="A96" t="s">
        <v>5629</v>
      </c>
      <c r="B96" t="s">
        <v>5630</v>
      </c>
      <c r="C96" t="s">
        <v>6124</v>
      </c>
      <c r="D96" t="s">
        <v>3537</v>
      </c>
      <c r="E96" s="2">
        <v>6.64</v>
      </c>
      <c r="F96" s="1">
        <v>112</v>
      </c>
      <c r="G96" s="2">
        <v>743.68</v>
      </c>
      <c r="J96" s="5" t="s">
        <v>1701</v>
      </c>
      <c r="K96" t="s">
        <v>1702</v>
      </c>
      <c r="L96" t="s">
        <v>5252</v>
      </c>
      <c r="M96" t="s">
        <v>5215</v>
      </c>
      <c r="N96" s="2">
        <v>1.0862000000000001</v>
      </c>
      <c r="O96" s="1">
        <v>6826</v>
      </c>
      <c r="P96" s="2">
        <v>3707.2006000000001</v>
      </c>
    </row>
    <row r="97" spans="1:16">
      <c r="A97" t="s">
        <v>5852</v>
      </c>
      <c r="B97" t="s">
        <v>5853</v>
      </c>
      <c r="C97" t="s">
        <v>6124</v>
      </c>
      <c r="D97" t="s">
        <v>5767</v>
      </c>
      <c r="E97" s="2">
        <v>7.46</v>
      </c>
      <c r="F97" s="1">
        <v>99</v>
      </c>
      <c r="G97" s="2">
        <v>738.54</v>
      </c>
      <c r="J97" s="5" t="s">
        <v>578</v>
      </c>
      <c r="K97" t="s">
        <v>579</v>
      </c>
      <c r="L97" t="s">
        <v>580</v>
      </c>
      <c r="M97" t="s">
        <v>581</v>
      </c>
      <c r="N97" s="2">
        <v>6.5091999999999999</v>
      </c>
      <c r="O97" s="1">
        <v>1112</v>
      </c>
      <c r="P97" s="2">
        <v>3619.1151999999997</v>
      </c>
    </row>
    <row r="98" spans="1:16">
      <c r="A98" t="s">
        <v>6077</v>
      </c>
      <c r="B98" t="s">
        <v>6078</v>
      </c>
      <c r="C98" t="s">
        <v>6124</v>
      </c>
      <c r="D98" t="s">
        <v>5922</v>
      </c>
      <c r="E98" s="2">
        <v>1.57</v>
      </c>
      <c r="F98" s="1">
        <v>469</v>
      </c>
      <c r="G98" s="2">
        <v>736.33</v>
      </c>
      <c r="J98" s="5" t="s">
        <v>749</v>
      </c>
      <c r="K98" t="s">
        <v>750</v>
      </c>
      <c r="L98" t="s">
        <v>618</v>
      </c>
      <c r="M98" t="s">
        <v>626</v>
      </c>
      <c r="N98" s="2">
        <v>9.5914000000000001</v>
      </c>
      <c r="O98" s="1">
        <v>752</v>
      </c>
      <c r="P98" s="2">
        <v>3606.3663999999999</v>
      </c>
    </row>
    <row r="99" spans="1:16">
      <c r="A99" t="s">
        <v>5832</v>
      </c>
      <c r="B99" t="s">
        <v>5833</v>
      </c>
      <c r="C99" t="s">
        <v>6124</v>
      </c>
      <c r="D99" t="s">
        <v>5767</v>
      </c>
      <c r="E99" s="2">
        <v>48.32</v>
      </c>
      <c r="F99" s="1">
        <v>15</v>
      </c>
      <c r="G99" s="2">
        <v>724.8</v>
      </c>
      <c r="J99" s="5" t="s">
        <v>472</v>
      </c>
      <c r="K99" t="s">
        <v>473</v>
      </c>
      <c r="L99" t="s">
        <v>467</v>
      </c>
      <c r="M99" t="s">
        <v>86</v>
      </c>
      <c r="N99" s="2">
        <v>1177.8969999999999</v>
      </c>
      <c r="O99" s="1">
        <v>6</v>
      </c>
      <c r="P99" s="2">
        <v>3533.6909999999998</v>
      </c>
    </row>
    <row r="100" spans="1:16">
      <c r="A100" t="s">
        <v>5774</v>
      </c>
      <c r="B100" t="s">
        <v>5775</v>
      </c>
      <c r="C100" t="s">
        <v>6124</v>
      </c>
      <c r="D100" t="s">
        <v>5767</v>
      </c>
      <c r="E100" s="2">
        <v>71.94</v>
      </c>
      <c r="F100" s="1">
        <v>10</v>
      </c>
      <c r="G100" s="2">
        <v>719.4</v>
      </c>
      <c r="J100" s="5" t="s">
        <v>5438</v>
      </c>
      <c r="K100" t="s">
        <v>238</v>
      </c>
      <c r="L100" t="s">
        <v>228</v>
      </c>
      <c r="M100" t="s">
        <v>86</v>
      </c>
      <c r="N100" s="2">
        <v>1.778</v>
      </c>
      <c r="O100" s="1">
        <v>3952</v>
      </c>
      <c r="P100" s="2">
        <v>3513.328</v>
      </c>
    </row>
    <row r="101" spans="1:16">
      <c r="A101" t="s">
        <v>6017</v>
      </c>
      <c r="B101" t="s">
        <v>6018</v>
      </c>
      <c r="C101" t="s">
        <v>6124</v>
      </c>
      <c r="D101" t="s">
        <v>5922</v>
      </c>
      <c r="E101" s="2">
        <v>0.87</v>
      </c>
      <c r="F101" s="1">
        <v>820</v>
      </c>
      <c r="G101" s="2">
        <v>713.4</v>
      </c>
      <c r="J101" s="5" t="s">
        <v>622</v>
      </c>
      <c r="K101" t="s">
        <v>623</v>
      </c>
      <c r="L101" t="s">
        <v>618</v>
      </c>
      <c r="M101" t="s">
        <v>619</v>
      </c>
      <c r="N101" s="2">
        <v>40.319000000000003</v>
      </c>
      <c r="O101" s="1">
        <v>87</v>
      </c>
      <c r="P101" s="2">
        <v>3507.7530000000002</v>
      </c>
    </row>
    <row r="102" spans="1:16">
      <c r="A102" t="s">
        <v>5886</v>
      </c>
      <c r="B102" t="s">
        <v>5887</v>
      </c>
      <c r="C102" t="s">
        <v>6124</v>
      </c>
      <c r="D102" t="s">
        <v>5767</v>
      </c>
      <c r="E102" s="2">
        <v>15.66</v>
      </c>
      <c r="F102" s="1">
        <v>45</v>
      </c>
      <c r="G102" s="2">
        <v>704.7</v>
      </c>
      <c r="J102" s="5" t="s">
        <v>3202</v>
      </c>
      <c r="K102" t="s">
        <v>3203</v>
      </c>
      <c r="L102" t="s">
        <v>263</v>
      </c>
      <c r="M102" t="s">
        <v>86</v>
      </c>
      <c r="N102" s="2">
        <v>1.0089999999999999</v>
      </c>
      <c r="O102" s="1">
        <v>6836</v>
      </c>
      <c r="P102" s="2">
        <v>3448.7619999999997</v>
      </c>
    </row>
    <row r="103" spans="1:16">
      <c r="A103" t="s">
        <v>6081</v>
      </c>
      <c r="B103" t="s">
        <v>6082</v>
      </c>
      <c r="C103" t="s">
        <v>6124</v>
      </c>
      <c r="D103" t="s">
        <v>5922</v>
      </c>
      <c r="E103" s="2">
        <v>2.41</v>
      </c>
      <c r="F103" s="1">
        <v>292</v>
      </c>
      <c r="G103" s="2">
        <v>703.72</v>
      </c>
      <c r="J103" s="5" t="s">
        <v>5524</v>
      </c>
      <c r="K103" t="s">
        <v>5525</v>
      </c>
      <c r="L103" t="s">
        <v>467</v>
      </c>
      <c r="M103" t="s">
        <v>86</v>
      </c>
      <c r="N103" s="2">
        <v>492.59480000000002</v>
      </c>
      <c r="O103" s="1">
        <v>14</v>
      </c>
      <c r="P103" s="2">
        <v>3448.1636000000003</v>
      </c>
    </row>
    <row r="104" spans="1:16">
      <c r="A104" t="s">
        <v>5838</v>
      </c>
      <c r="B104" t="s">
        <v>5839</v>
      </c>
      <c r="C104" t="s">
        <v>6124</v>
      </c>
      <c r="D104" t="s">
        <v>5767</v>
      </c>
      <c r="E104" s="2">
        <v>18.97</v>
      </c>
      <c r="F104" s="1">
        <v>37</v>
      </c>
      <c r="G104" s="2">
        <v>701.89</v>
      </c>
      <c r="J104" s="5" t="s">
        <v>5495</v>
      </c>
      <c r="K104" t="s">
        <v>5496</v>
      </c>
      <c r="L104" t="s">
        <v>5497</v>
      </c>
      <c r="M104" t="s">
        <v>86</v>
      </c>
      <c r="N104" s="2">
        <v>480.52859999999998</v>
      </c>
      <c r="O104" s="1">
        <v>14</v>
      </c>
      <c r="P104" s="2">
        <v>3363.7001999999998</v>
      </c>
    </row>
    <row r="105" spans="1:16">
      <c r="A105" t="s">
        <v>5977</v>
      </c>
      <c r="B105" t="s">
        <v>5978</v>
      </c>
      <c r="C105" t="s">
        <v>6124</v>
      </c>
      <c r="D105" t="s">
        <v>5922</v>
      </c>
      <c r="E105" s="2">
        <v>6.13</v>
      </c>
      <c r="F105" s="1">
        <v>113</v>
      </c>
      <c r="G105" s="2">
        <v>692.68999999999994</v>
      </c>
      <c r="J105" s="5" t="s">
        <v>1273</v>
      </c>
      <c r="K105" t="s">
        <v>5210</v>
      </c>
      <c r="L105" t="s">
        <v>101</v>
      </c>
      <c r="M105" t="s">
        <v>581</v>
      </c>
      <c r="N105" s="2">
        <v>8.2921999999999993</v>
      </c>
      <c r="O105" s="1">
        <v>400.10250000000002</v>
      </c>
      <c r="P105" s="2">
        <v>3317.7299505000001</v>
      </c>
    </row>
    <row r="106" spans="1:16">
      <c r="A106" t="s">
        <v>5579</v>
      </c>
      <c r="B106" t="s">
        <v>5580</v>
      </c>
      <c r="C106" t="s">
        <v>6124</v>
      </c>
      <c r="D106" t="s">
        <v>3537</v>
      </c>
      <c r="E106" s="2">
        <v>10.53</v>
      </c>
      <c r="F106" s="1">
        <v>65</v>
      </c>
      <c r="G106" s="2">
        <v>684.44999999999993</v>
      </c>
      <c r="J106" s="5" t="s">
        <v>1509</v>
      </c>
      <c r="K106" t="s">
        <v>1510</v>
      </c>
      <c r="L106" t="s">
        <v>101</v>
      </c>
      <c r="M106" t="s">
        <v>102</v>
      </c>
      <c r="N106" s="2">
        <v>0.28139999999999998</v>
      </c>
      <c r="O106" s="1">
        <v>11596</v>
      </c>
      <c r="P106" s="2">
        <v>3263.1143999999999</v>
      </c>
    </row>
    <row r="107" spans="1:16">
      <c r="A107" t="s">
        <v>5844</v>
      </c>
      <c r="B107" t="s">
        <v>5845</v>
      </c>
      <c r="C107" t="s">
        <v>6124</v>
      </c>
      <c r="D107" t="s">
        <v>5767</v>
      </c>
      <c r="E107" s="2">
        <v>169.49</v>
      </c>
      <c r="F107" s="1">
        <v>4</v>
      </c>
      <c r="G107" s="2">
        <v>677.96</v>
      </c>
      <c r="J107" s="5" t="s">
        <v>1479</v>
      </c>
      <c r="K107" t="s">
        <v>1480</v>
      </c>
      <c r="L107" t="s">
        <v>101</v>
      </c>
      <c r="M107" t="s">
        <v>619</v>
      </c>
      <c r="N107" s="2">
        <v>2.4388999999999998</v>
      </c>
      <c r="O107" s="1">
        <v>1334</v>
      </c>
      <c r="P107" s="2">
        <v>3253.4925999999996</v>
      </c>
    </row>
    <row r="108" spans="1:16">
      <c r="A108" t="s">
        <v>5621</v>
      </c>
      <c r="B108" t="s">
        <v>5622</v>
      </c>
      <c r="C108" t="s">
        <v>6124</v>
      </c>
      <c r="D108" t="s">
        <v>3537</v>
      </c>
      <c r="E108" s="2">
        <v>8.9</v>
      </c>
      <c r="F108" s="1">
        <v>76</v>
      </c>
      <c r="G108" s="2">
        <v>676.4</v>
      </c>
      <c r="J108" s="5" t="s">
        <v>4151</v>
      </c>
      <c r="K108" t="s">
        <v>4152</v>
      </c>
      <c r="L108" t="s">
        <v>85</v>
      </c>
      <c r="M108" t="s">
        <v>86</v>
      </c>
      <c r="N108" s="2">
        <v>43.898800000000001</v>
      </c>
      <c r="O108" s="1">
        <v>148</v>
      </c>
      <c r="P108" s="2">
        <v>3248.5111999999999</v>
      </c>
    </row>
    <row r="109" spans="1:16">
      <c r="A109" t="s">
        <v>5955</v>
      </c>
      <c r="B109" t="s">
        <v>5956</v>
      </c>
      <c r="C109" t="s">
        <v>6124</v>
      </c>
      <c r="D109" t="s">
        <v>5922</v>
      </c>
      <c r="E109" s="2">
        <v>6.43</v>
      </c>
      <c r="F109" s="1">
        <v>105</v>
      </c>
      <c r="G109" s="2">
        <v>675.15</v>
      </c>
      <c r="J109" s="5" t="s">
        <v>5526</v>
      </c>
      <c r="K109" t="s">
        <v>5527</v>
      </c>
      <c r="L109" t="s">
        <v>467</v>
      </c>
      <c r="M109" t="s">
        <v>86</v>
      </c>
      <c r="N109" s="2">
        <v>359.8</v>
      </c>
      <c r="O109" s="1">
        <v>18</v>
      </c>
      <c r="P109" s="2">
        <v>3238.2000000000003</v>
      </c>
    </row>
    <row r="110" spans="1:16">
      <c r="A110" t="s">
        <v>5577</v>
      </c>
      <c r="B110" t="s">
        <v>5578</v>
      </c>
      <c r="C110" t="s">
        <v>6124</v>
      </c>
      <c r="D110" t="s">
        <v>3537</v>
      </c>
      <c r="E110" s="2">
        <v>10.53</v>
      </c>
      <c r="F110" s="1">
        <v>64</v>
      </c>
      <c r="G110" s="2">
        <v>673.92</v>
      </c>
      <c r="J110" s="5" t="s">
        <v>818</v>
      </c>
      <c r="K110" t="s">
        <v>819</v>
      </c>
      <c r="L110" t="s">
        <v>618</v>
      </c>
      <c r="M110" t="s">
        <v>626</v>
      </c>
      <c r="N110" s="2">
        <v>5.6554000000000002</v>
      </c>
      <c r="O110" s="1">
        <v>1128</v>
      </c>
      <c r="P110" s="2">
        <v>3189.6456000000003</v>
      </c>
    </row>
    <row r="111" spans="1:16">
      <c r="A111" t="s">
        <v>5788</v>
      </c>
      <c r="B111" t="s">
        <v>5789</v>
      </c>
      <c r="C111" t="s">
        <v>6124</v>
      </c>
      <c r="D111" t="s">
        <v>5767</v>
      </c>
      <c r="E111" s="2">
        <v>17.09</v>
      </c>
      <c r="F111" s="1">
        <v>39</v>
      </c>
      <c r="G111" s="2">
        <v>666.51</v>
      </c>
      <c r="J111" s="5" t="s">
        <v>2011</v>
      </c>
      <c r="K111" t="s">
        <v>2012</v>
      </c>
      <c r="L111" t="s">
        <v>618</v>
      </c>
      <c r="M111" t="s">
        <v>626</v>
      </c>
      <c r="N111" s="2">
        <v>7.9058000000000002</v>
      </c>
      <c r="O111" s="1">
        <v>804</v>
      </c>
      <c r="P111" s="2">
        <v>3178.1316000000002</v>
      </c>
    </row>
    <row r="112" spans="1:16">
      <c r="A112" t="s">
        <v>5709</v>
      </c>
      <c r="B112" t="s">
        <v>5710</v>
      </c>
      <c r="C112" t="s">
        <v>6124</v>
      </c>
      <c r="D112" t="s">
        <v>5704</v>
      </c>
      <c r="E112" s="2">
        <v>20.58</v>
      </c>
      <c r="F112" s="1">
        <v>32</v>
      </c>
      <c r="G112" s="2">
        <v>658.56</v>
      </c>
      <c r="J112" s="5" t="s">
        <v>3362</v>
      </c>
      <c r="K112" t="s">
        <v>3363</v>
      </c>
      <c r="L112" t="s">
        <v>3364</v>
      </c>
      <c r="M112" t="s">
        <v>112</v>
      </c>
      <c r="N112" s="2">
        <v>3152.5</v>
      </c>
      <c r="O112" s="1">
        <v>1</v>
      </c>
      <c r="P112" s="2">
        <v>3152.5</v>
      </c>
    </row>
    <row r="113" spans="1:16">
      <c r="A113" t="s">
        <v>5737</v>
      </c>
      <c r="B113" t="s">
        <v>5738</v>
      </c>
      <c r="C113" t="s">
        <v>6124</v>
      </c>
      <c r="D113" t="s">
        <v>5704</v>
      </c>
      <c r="E113" s="2">
        <v>0.77</v>
      </c>
      <c r="F113" s="1">
        <v>855</v>
      </c>
      <c r="G113" s="2">
        <v>658.35</v>
      </c>
      <c r="J113" s="5" t="s">
        <v>5541</v>
      </c>
      <c r="K113" t="s">
        <v>5542</v>
      </c>
      <c r="L113" t="s">
        <v>89</v>
      </c>
      <c r="M113" t="s">
        <v>86</v>
      </c>
      <c r="N113" s="2">
        <v>349.21499999999997</v>
      </c>
      <c r="O113" s="1">
        <v>18</v>
      </c>
      <c r="P113" s="2">
        <v>3142.9349999999999</v>
      </c>
    </row>
    <row r="114" spans="1:16">
      <c r="A114" t="s">
        <v>6091</v>
      </c>
      <c r="B114" t="s">
        <v>6092</v>
      </c>
      <c r="C114" t="s">
        <v>6124</v>
      </c>
      <c r="D114" t="s">
        <v>5922</v>
      </c>
      <c r="E114" s="2">
        <v>0.28000000000000003</v>
      </c>
      <c r="F114" s="1">
        <v>2302</v>
      </c>
      <c r="G114" s="2">
        <v>644.56000000000006</v>
      </c>
      <c r="J114" s="5" t="s">
        <v>4247</v>
      </c>
      <c r="K114" t="s">
        <v>4248</v>
      </c>
      <c r="L114" t="s">
        <v>85</v>
      </c>
      <c r="M114" t="s">
        <v>86</v>
      </c>
      <c r="N114" s="2">
        <v>40.321800000000003</v>
      </c>
      <c r="O114" s="1">
        <v>154</v>
      </c>
      <c r="P114" s="2">
        <v>3104.7786000000001</v>
      </c>
    </row>
    <row r="115" spans="1:16">
      <c r="A115" t="s">
        <v>6051</v>
      </c>
      <c r="B115" t="s">
        <v>6052</v>
      </c>
      <c r="C115" t="s">
        <v>6124</v>
      </c>
      <c r="D115" t="s">
        <v>5922</v>
      </c>
      <c r="E115" s="2">
        <v>3.05</v>
      </c>
      <c r="F115" s="1">
        <v>211</v>
      </c>
      <c r="G115" s="2">
        <v>643.54999999999995</v>
      </c>
      <c r="J115" s="5" t="s">
        <v>4153</v>
      </c>
      <c r="K115" t="s">
        <v>4154</v>
      </c>
      <c r="L115" t="s">
        <v>85</v>
      </c>
      <c r="M115" t="s">
        <v>86</v>
      </c>
      <c r="N115" s="2">
        <v>39.192799999999998</v>
      </c>
      <c r="O115" s="1">
        <v>152</v>
      </c>
      <c r="P115" s="2">
        <v>2978.6527999999998</v>
      </c>
    </row>
    <row r="116" spans="1:16">
      <c r="A116" t="s">
        <v>6089</v>
      </c>
      <c r="B116" t="s">
        <v>6090</v>
      </c>
      <c r="C116" t="s">
        <v>6124</v>
      </c>
      <c r="D116" t="s">
        <v>5922</v>
      </c>
      <c r="E116" s="2">
        <v>1.34</v>
      </c>
      <c r="F116" s="1">
        <v>478</v>
      </c>
      <c r="G116" s="2">
        <v>640.52</v>
      </c>
      <c r="J116" s="5" t="s">
        <v>5435</v>
      </c>
      <c r="K116" t="s">
        <v>5436</v>
      </c>
      <c r="L116" t="s">
        <v>3980</v>
      </c>
      <c r="M116" t="s">
        <v>86</v>
      </c>
      <c r="N116" s="2">
        <v>12.569699999999999</v>
      </c>
      <c r="O116" s="1">
        <v>696</v>
      </c>
      <c r="P116" s="2">
        <v>2916.1704</v>
      </c>
    </row>
    <row r="117" spans="1:16">
      <c r="A117" t="s">
        <v>5679</v>
      </c>
      <c r="B117" t="s">
        <v>5680</v>
      </c>
      <c r="C117" t="s">
        <v>6124</v>
      </c>
      <c r="D117" t="s">
        <v>3537</v>
      </c>
      <c r="E117" s="2">
        <v>10.82</v>
      </c>
      <c r="F117" s="1">
        <v>58</v>
      </c>
      <c r="G117" s="2">
        <v>627.56000000000006</v>
      </c>
      <c r="J117" s="5" t="s">
        <v>5539</v>
      </c>
      <c r="K117" t="s">
        <v>5540</v>
      </c>
      <c r="L117" t="s">
        <v>283</v>
      </c>
      <c r="M117" t="s">
        <v>86</v>
      </c>
      <c r="N117" s="2">
        <v>578.30780000000004</v>
      </c>
      <c r="O117" s="1">
        <v>10</v>
      </c>
      <c r="P117" s="2">
        <v>2891.5390000000002</v>
      </c>
    </row>
    <row r="118" spans="1:16">
      <c r="A118" t="s">
        <v>5858</v>
      </c>
      <c r="B118" t="s">
        <v>5859</v>
      </c>
      <c r="C118" t="s">
        <v>6124</v>
      </c>
      <c r="D118" t="s">
        <v>5767</v>
      </c>
      <c r="E118" s="2">
        <v>11.79</v>
      </c>
      <c r="F118" s="1">
        <v>53</v>
      </c>
      <c r="G118" s="2">
        <v>624.87</v>
      </c>
      <c r="J118" s="5" t="s">
        <v>4624</v>
      </c>
      <c r="K118" t="s">
        <v>4625</v>
      </c>
      <c r="L118" t="s">
        <v>4626</v>
      </c>
      <c r="M118" t="s">
        <v>86</v>
      </c>
      <c r="N118" s="2">
        <v>410.56060000000002</v>
      </c>
      <c r="O118" s="1">
        <v>14</v>
      </c>
      <c r="P118" s="2">
        <v>2873.9242000000004</v>
      </c>
    </row>
    <row r="119" spans="1:16">
      <c r="A119" t="s">
        <v>5691</v>
      </c>
      <c r="B119" t="s">
        <v>5692</v>
      </c>
      <c r="C119" t="s">
        <v>6124</v>
      </c>
      <c r="D119" t="s">
        <v>3537</v>
      </c>
      <c r="E119" s="2">
        <v>22.64</v>
      </c>
      <c r="F119" s="1">
        <v>27</v>
      </c>
      <c r="G119" s="2">
        <v>611.28</v>
      </c>
      <c r="J119" s="5" t="s">
        <v>1633</v>
      </c>
      <c r="K119" t="s">
        <v>1634</v>
      </c>
      <c r="L119" t="s">
        <v>101</v>
      </c>
      <c r="M119" t="s">
        <v>626</v>
      </c>
      <c r="N119" s="2">
        <v>24</v>
      </c>
      <c r="O119" s="1">
        <v>118</v>
      </c>
      <c r="P119" s="2">
        <v>2832</v>
      </c>
    </row>
    <row r="120" spans="1:16">
      <c r="A120" t="s">
        <v>6115</v>
      </c>
      <c r="B120" t="s">
        <v>6116</v>
      </c>
      <c r="C120" t="s">
        <v>6124</v>
      </c>
      <c r="D120" t="s">
        <v>5922</v>
      </c>
      <c r="E120" s="2">
        <v>9.2899999999999991</v>
      </c>
      <c r="F120" s="1">
        <v>65</v>
      </c>
      <c r="G120" s="2">
        <v>603.84999999999991</v>
      </c>
      <c r="J120" s="5" t="s">
        <v>1981</v>
      </c>
      <c r="K120" t="s">
        <v>1982</v>
      </c>
      <c r="L120" t="s">
        <v>101</v>
      </c>
      <c r="M120" t="s">
        <v>102</v>
      </c>
      <c r="N120" s="2">
        <v>0.83930000000000005</v>
      </c>
      <c r="O120" s="1">
        <v>3354</v>
      </c>
      <c r="P120" s="2">
        <v>2815.0122000000001</v>
      </c>
    </row>
    <row r="121" spans="1:16">
      <c r="A121" t="s">
        <v>5687</v>
      </c>
      <c r="B121" t="s">
        <v>5688</v>
      </c>
      <c r="C121" t="s">
        <v>6124</v>
      </c>
      <c r="D121" t="s">
        <v>3537</v>
      </c>
      <c r="E121" s="2">
        <v>4.34</v>
      </c>
      <c r="F121" s="1">
        <v>132</v>
      </c>
      <c r="G121" s="2">
        <v>572.88</v>
      </c>
      <c r="J121" s="5" t="s">
        <v>722</v>
      </c>
      <c r="K121" t="s">
        <v>723</v>
      </c>
      <c r="L121" t="s">
        <v>618</v>
      </c>
      <c r="M121" t="s">
        <v>626</v>
      </c>
      <c r="N121" s="2">
        <v>4.2653999999999996</v>
      </c>
      <c r="O121" s="1">
        <v>1312</v>
      </c>
      <c r="P121" s="2">
        <v>2798.1023999999998</v>
      </c>
    </row>
    <row r="122" spans="1:16">
      <c r="A122" t="s">
        <v>5910</v>
      </c>
      <c r="B122" t="s">
        <v>5911</v>
      </c>
      <c r="C122" t="s">
        <v>6124</v>
      </c>
      <c r="D122" t="s">
        <v>5767</v>
      </c>
      <c r="E122" s="2">
        <v>16.32</v>
      </c>
      <c r="F122" s="1">
        <v>35</v>
      </c>
      <c r="G122" s="2">
        <v>571.20000000000005</v>
      </c>
      <c r="J122" s="5" t="s">
        <v>4517</v>
      </c>
      <c r="K122" t="s">
        <v>4518</v>
      </c>
      <c r="L122" t="s">
        <v>228</v>
      </c>
      <c r="M122" t="s">
        <v>86</v>
      </c>
      <c r="N122" s="2">
        <v>59.444600000000001</v>
      </c>
      <c r="O122" s="1">
        <v>92</v>
      </c>
      <c r="P122" s="2">
        <v>2734.4515999999999</v>
      </c>
    </row>
    <row r="123" spans="1:16">
      <c r="A123" t="s">
        <v>6103</v>
      </c>
      <c r="B123" t="s">
        <v>6104</v>
      </c>
      <c r="C123" t="s">
        <v>6124</v>
      </c>
      <c r="D123" t="s">
        <v>5922</v>
      </c>
      <c r="E123" s="2">
        <v>1.19</v>
      </c>
      <c r="F123" s="1">
        <v>473</v>
      </c>
      <c r="G123" s="2">
        <v>562.87</v>
      </c>
      <c r="J123" s="5" t="s">
        <v>791</v>
      </c>
      <c r="K123" t="s">
        <v>792</v>
      </c>
      <c r="L123" t="s">
        <v>580</v>
      </c>
      <c r="M123" t="s">
        <v>581</v>
      </c>
      <c r="N123" s="2">
        <v>4.3116000000000003</v>
      </c>
      <c r="O123" s="1">
        <v>1264</v>
      </c>
      <c r="P123" s="2">
        <v>2724.9312</v>
      </c>
    </row>
    <row r="124" spans="1:16">
      <c r="A124" t="s">
        <v>6101</v>
      </c>
      <c r="B124" t="s">
        <v>6102</v>
      </c>
      <c r="C124" t="s">
        <v>6124</v>
      </c>
      <c r="D124" t="s">
        <v>5922</v>
      </c>
      <c r="E124" s="2">
        <v>1.19</v>
      </c>
      <c r="F124" s="1">
        <v>471</v>
      </c>
      <c r="G124" s="2">
        <v>560.49</v>
      </c>
      <c r="J124" s="5" t="s">
        <v>3216</v>
      </c>
      <c r="K124" t="s">
        <v>3217</v>
      </c>
      <c r="L124" t="s">
        <v>3375</v>
      </c>
      <c r="M124" t="s">
        <v>125</v>
      </c>
      <c r="N124" s="2">
        <v>1350.9464</v>
      </c>
      <c r="O124" s="1">
        <v>4</v>
      </c>
      <c r="P124" s="2">
        <v>2701.8928000000001</v>
      </c>
    </row>
    <row r="125" spans="1:16">
      <c r="A125" t="s">
        <v>5715</v>
      </c>
      <c r="B125" t="s">
        <v>5716</v>
      </c>
      <c r="C125" t="s">
        <v>6124</v>
      </c>
      <c r="D125" t="s">
        <v>5704</v>
      </c>
      <c r="E125" s="2">
        <v>20.58</v>
      </c>
      <c r="F125" s="1">
        <v>27</v>
      </c>
      <c r="G125" s="2">
        <v>555.66</v>
      </c>
      <c r="J125" s="5" t="s">
        <v>1901</v>
      </c>
      <c r="K125" t="s">
        <v>1902</v>
      </c>
      <c r="L125" t="s">
        <v>219</v>
      </c>
      <c r="M125" t="s">
        <v>86</v>
      </c>
      <c r="N125" s="2">
        <v>0.66800000000000004</v>
      </c>
      <c r="O125" s="1">
        <v>8012</v>
      </c>
      <c r="P125" s="2">
        <v>2676.0080000000003</v>
      </c>
    </row>
    <row r="126" spans="1:16">
      <c r="A126" t="s">
        <v>5920</v>
      </c>
      <c r="B126" t="s">
        <v>5921</v>
      </c>
      <c r="C126" t="s">
        <v>6124</v>
      </c>
      <c r="D126" t="s">
        <v>5922</v>
      </c>
      <c r="E126" s="2">
        <v>6.29</v>
      </c>
      <c r="F126" s="1">
        <v>88</v>
      </c>
      <c r="G126" s="2">
        <v>553.52</v>
      </c>
      <c r="J126" s="5" t="s">
        <v>337</v>
      </c>
      <c r="K126" t="s">
        <v>4076</v>
      </c>
      <c r="L126" t="s">
        <v>228</v>
      </c>
      <c r="M126" t="s">
        <v>86</v>
      </c>
      <c r="N126" s="2">
        <v>11.6106</v>
      </c>
      <c r="O126" s="1">
        <v>687</v>
      </c>
      <c r="P126" s="2">
        <v>2658.8274000000001</v>
      </c>
    </row>
    <row r="127" spans="1:16">
      <c r="A127" t="s">
        <v>5768</v>
      </c>
      <c r="B127" t="s">
        <v>5769</v>
      </c>
      <c r="C127" t="s">
        <v>6124</v>
      </c>
      <c r="D127" t="s">
        <v>5767</v>
      </c>
      <c r="E127" s="2">
        <v>78.42</v>
      </c>
      <c r="F127" s="1">
        <v>7</v>
      </c>
      <c r="G127" s="2">
        <v>548.94000000000005</v>
      </c>
      <c r="J127" s="5" t="s">
        <v>2884</v>
      </c>
      <c r="K127" t="s">
        <v>2885</v>
      </c>
      <c r="L127" t="s">
        <v>263</v>
      </c>
      <c r="M127" t="s">
        <v>86</v>
      </c>
      <c r="N127" s="2">
        <v>80.010999999999996</v>
      </c>
      <c r="O127" s="1">
        <v>66</v>
      </c>
      <c r="P127" s="2">
        <v>2640.3629999999998</v>
      </c>
    </row>
    <row r="128" spans="1:16">
      <c r="A128" t="s">
        <v>5975</v>
      </c>
      <c r="B128" t="s">
        <v>5976</v>
      </c>
      <c r="C128" t="s">
        <v>6124</v>
      </c>
      <c r="D128" t="s">
        <v>5922</v>
      </c>
      <c r="E128" s="2">
        <v>8.67</v>
      </c>
      <c r="F128" s="1">
        <v>63</v>
      </c>
      <c r="G128" s="2">
        <v>546.21</v>
      </c>
      <c r="J128" s="5" t="s">
        <v>560</v>
      </c>
      <c r="K128" t="s">
        <v>561</v>
      </c>
      <c r="L128" t="s">
        <v>5063</v>
      </c>
      <c r="M128" t="s">
        <v>125</v>
      </c>
      <c r="N128" s="2">
        <v>2636.8422</v>
      </c>
      <c r="O128" s="1">
        <v>2</v>
      </c>
      <c r="P128" s="2">
        <v>2636.8422</v>
      </c>
    </row>
    <row r="129" spans="1:16">
      <c r="A129" t="s">
        <v>5808</v>
      </c>
      <c r="B129" t="s">
        <v>5809</v>
      </c>
      <c r="C129" t="s">
        <v>6124</v>
      </c>
      <c r="D129" t="s">
        <v>5767</v>
      </c>
      <c r="E129" s="2">
        <v>18.100000000000001</v>
      </c>
      <c r="F129" s="1">
        <v>30</v>
      </c>
      <c r="G129" s="2">
        <v>543</v>
      </c>
      <c r="J129" s="5" t="s">
        <v>3416</v>
      </c>
      <c r="K129" t="s">
        <v>3417</v>
      </c>
      <c r="L129" t="s">
        <v>203</v>
      </c>
      <c r="M129" t="s">
        <v>125</v>
      </c>
      <c r="N129" s="2">
        <v>870.10839999999996</v>
      </c>
      <c r="O129" s="1">
        <v>6</v>
      </c>
      <c r="P129" s="2">
        <v>2610.3251999999998</v>
      </c>
    </row>
    <row r="130" spans="1:16">
      <c r="A130" t="s">
        <v>5935</v>
      </c>
      <c r="B130" t="s">
        <v>5936</v>
      </c>
      <c r="C130" t="s">
        <v>6124</v>
      </c>
      <c r="D130" t="s">
        <v>5922</v>
      </c>
      <c r="E130" s="2">
        <v>17.87</v>
      </c>
      <c r="F130" s="1">
        <v>29</v>
      </c>
      <c r="G130" s="2">
        <v>518.23</v>
      </c>
      <c r="J130" s="5" t="s">
        <v>759</v>
      </c>
      <c r="K130" t="s">
        <v>760</v>
      </c>
      <c r="L130" t="s">
        <v>580</v>
      </c>
      <c r="M130" t="s">
        <v>581</v>
      </c>
      <c r="N130" s="2">
        <v>10.5098</v>
      </c>
      <c r="O130" s="1">
        <v>496</v>
      </c>
      <c r="P130" s="2">
        <v>2606.4304000000002</v>
      </c>
    </row>
    <row r="131" spans="1:16">
      <c r="A131" t="s">
        <v>5840</v>
      </c>
      <c r="B131" t="s">
        <v>5841</v>
      </c>
      <c r="C131" t="s">
        <v>6124</v>
      </c>
      <c r="D131" t="s">
        <v>5767</v>
      </c>
      <c r="E131" s="2">
        <v>103.09</v>
      </c>
      <c r="F131" s="1">
        <v>5</v>
      </c>
      <c r="G131" s="2">
        <v>515.45000000000005</v>
      </c>
      <c r="J131" s="5" t="s">
        <v>4509</v>
      </c>
      <c r="K131" t="s">
        <v>4510</v>
      </c>
      <c r="L131" t="s">
        <v>85</v>
      </c>
      <c r="M131" t="s">
        <v>86</v>
      </c>
      <c r="N131" s="2">
        <v>116.45440000000001</v>
      </c>
      <c r="O131" s="1">
        <v>44</v>
      </c>
      <c r="P131" s="2">
        <v>2561.9968000000003</v>
      </c>
    </row>
    <row r="132" spans="1:16">
      <c r="A132" t="s">
        <v>5733</v>
      </c>
      <c r="B132" t="s">
        <v>5734</v>
      </c>
      <c r="C132" t="s">
        <v>6124</v>
      </c>
      <c r="D132" t="s">
        <v>5704</v>
      </c>
      <c r="E132" s="2">
        <v>20.58</v>
      </c>
      <c r="F132" s="1">
        <v>25</v>
      </c>
      <c r="G132" s="2">
        <v>514.5</v>
      </c>
      <c r="J132" s="5" t="s">
        <v>741</v>
      </c>
      <c r="K132" t="s">
        <v>742</v>
      </c>
      <c r="L132" t="s">
        <v>618</v>
      </c>
      <c r="M132" t="s">
        <v>626</v>
      </c>
      <c r="N132" s="2">
        <v>13.3102</v>
      </c>
      <c r="O132" s="1">
        <v>384</v>
      </c>
      <c r="P132" s="2">
        <v>2555.5583999999999</v>
      </c>
    </row>
    <row r="133" spans="1:16">
      <c r="A133" t="s">
        <v>5735</v>
      </c>
      <c r="B133" t="s">
        <v>5736</v>
      </c>
      <c r="C133" t="s">
        <v>6124</v>
      </c>
      <c r="D133" t="s">
        <v>5704</v>
      </c>
      <c r="E133" s="2">
        <v>20.58</v>
      </c>
      <c r="F133" s="1">
        <v>24</v>
      </c>
      <c r="G133" s="2">
        <v>493.91999999999996</v>
      </c>
      <c r="J133" s="5" t="s">
        <v>3192</v>
      </c>
      <c r="K133" t="s">
        <v>3193</v>
      </c>
      <c r="L133" t="s">
        <v>203</v>
      </c>
      <c r="M133" t="s">
        <v>125</v>
      </c>
      <c r="N133" s="2">
        <v>1276.434</v>
      </c>
      <c r="O133" s="1">
        <v>4</v>
      </c>
      <c r="P133" s="2">
        <v>2552.8679999999999</v>
      </c>
    </row>
    <row r="134" spans="1:16">
      <c r="A134" t="s">
        <v>5751</v>
      </c>
      <c r="B134" t="s">
        <v>5752</v>
      </c>
      <c r="C134" t="s">
        <v>6124</v>
      </c>
      <c r="D134" t="s">
        <v>5704</v>
      </c>
      <c r="E134" s="2">
        <v>15.24</v>
      </c>
      <c r="F134" s="1">
        <v>32</v>
      </c>
      <c r="G134" s="2">
        <v>487.68</v>
      </c>
      <c r="J134" s="5" t="s">
        <v>1654</v>
      </c>
      <c r="K134" t="s">
        <v>1655</v>
      </c>
      <c r="L134" t="s">
        <v>101</v>
      </c>
      <c r="M134" t="s">
        <v>581</v>
      </c>
      <c r="N134" s="2">
        <v>81.599999999999994</v>
      </c>
      <c r="O134" s="1">
        <v>31</v>
      </c>
      <c r="P134" s="2">
        <v>2529.6</v>
      </c>
    </row>
    <row r="135" spans="1:16">
      <c r="A135" t="s">
        <v>5597</v>
      </c>
      <c r="B135" t="s">
        <v>5598</v>
      </c>
      <c r="C135" t="s">
        <v>6124</v>
      </c>
      <c r="D135" t="s">
        <v>3537</v>
      </c>
      <c r="E135" s="2">
        <v>7.14</v>
      </c>
      <c r="F135" s="1">
        <v>68</v>
      </c>
      <c r="G135" s="2">
        <v>485.52</v>
      </c>
      <c r="J135" s="5" t="s">
        <v>936</v>
      </c>
      <c r="K135" t="s">
        <v>937</v>
      </c>
      <c r="L135" t="s">
        <v>944</v>
      </c>
      <c r="M135" t="s">
        <v>125</v>
      </c>
      <c r="N135" s="2">
        <v>354.4</v>
      </c>
      <c r="O135" s="1">
        <v>14</v>
      </c>
      <c r="P135" s="2">
        <v>2480.7999999999997</v>
      </c>
    </row>
    <row r="136" spans="1:16">
      <c r="A136" t="s">
        <v>5585</v>
      </c>
      <c r="B136" t="s">
        <v>5586</v>
      </c>
      <c r="C136" t="s">
        <v>6124</v>
      </c>
      <c r="D136" t="s">
        <v>3537</v>
      </c>
      <c r="E136" s="2">
        <v>17.07</v>
      </c>
      <c r="F136" s="1">
        <v>28</v>
      </c>
      <c r="G136" s="2">
        <v>477.96000000000004</v>
      </c>
      <c r="J136" s="5" t="s">
        <v>2015</v>
      </c>
      <c r="K136" t="s">
        <v>2016</v>
      </c>
      <c r="L136" t="s">
        <v>618</v>
      </c>
      <c r="M136" t="s">
        <v>626</v>
      </c>
      <c r="N136" s="2">
        <v>7.8132000000000001</v>
      </c>
      <c r="O136" s="1">
        <v>626</v>
      </c>
      <c r="P136" s="2">
        <v>2445.5316000000003</v>
      </c>
    </row>
    <row r="137" spans="1:16">
      <c r="A137" t="s">
        <v>5567</v>
      </c>
      <c r="B137" t="s">
        <v>5568</v>
      </c>
      <c r="C137" t="s">
        <v>6124</v>
      </c>
      <c r="D137" t="s">
        <v>3537</v>
      </c>
      <c r="E137" s="2">
        <v>12.51</v>
      </c>
      <c r="F137" s="1">
        <v>38</v>
      </c>
      <c r="G137" s="2">
        <v>475.38</v>
      </c>
      <c r="J137" s="5" t="s">
        <v>439</v>
      </c>
      <c r="K137" t="s">
        <v>4511</v>
      </c>
      <c r="L137" t="s">
        <v>85</v>
      </c>
      <c r="M137" t="s">
        <v>86</v>
      </c>
      <c r="N137" s="2">
        <v>115.96080000000001</v>
      </c>
      <c r="O137" s="1">
        <v>42</v>
      </c>
      <c r="P137" s="2">
        <v>2435.1768000000002</v>
      </c>
    </row>
    <row r="138" spans="1:16">
      <c r="A138" t="s">
        <v>5573</v>
      </c>
      <c r="B138" t="s">
        <v>5574</v>
      </c>
      <c r="C138" t="s">
        <v>6124</v>
      </c>
      <c r="D138" t="s">
        <v>3537</v>
      </c>
      <c r="E138" s="2">
        <v>8.32</v>
      </c>
      <c r="F138" s="1">
        <v>56</v>
      </c>
      <c r="G138" s="2">
        <v>465.92</v>
      </c>
      <c r="J138" s="5" t="s">
        <v>3388</v>
      </c>
      <c r="K138" t="s">
        <v>3389</v>
      </c>
      <c r="L138" t="s">
        <v>203</v>
      </c>
      <c r="M138" t="s">
        <v>125</v>
      </c>
      <c r="N138" s="2">
        <v>808.83019999999999</v>
      </c>
      <c r="O138" s="1">
        <v>6</v>
      </c>
      <c r="P138" s="2">
        <v>2426.4906000000001</v>
      </c>
    </row>
    <row r="139" spans="1:16">
      <c r="A139" t="s">
        <v>5923</v>
      </c>
      <c r="B139" t="s">
        <v>5924</v>
      </c>
      <c r="C139" t="s">
        <v>6124</v>
      </c>
      <c r="D139" t="s">
        <v>5922</v>
      </c>
      <c r="E139" s="2">
        <v>5.12</v>
      </c>
      <c r="F139" s="1">
        <v>91</v>
      </c>
      <c r="G139" s="2">
        <v>465.92</v>
      </c>
      <c r="J139" s="5" t="s">
        <v>2043</v>
      </c>
      <c r="K139" t="s">
        <v>2044</v>
      </c>
      <c r="L139" t="s">
        <v>580</v>
      </c>
      <c r="M139" t="s">
        <v>619</v>
      </c>
      <c r="N139" s="2">
        <v>7.1403999999999996</v>
      </c>
      <c r="O139" s="1">
        <v>674</v>
      </c>
      <c r="P139" s="2">
        <v>2406.3148000000001</v>
      </c>
    </row>
    <row r="140" spans="1:16">
      <c r="A140" t="s">
        <v>5581</v>
      </c>
      <c r="B140" t="s">
        <v>5582</v>
      </c>
      <c r="C140" t="s">
        <v>6124</v>
      </c>
      <c r="D140" t="s">
        <v>3537</v>
      </c>
      <c r="E140" s="2">
        <v>17.07</v>
      </c>
      <c r="F140" s="1">
        <v>27</v>
      </c>
      <c r="G140" s="2">
        <v>460.89</v>
      </c>
      <c r="J140" s="5" t="s">
        <v>1560</v>
      </c>
      <c r="K140" t="s">
        <v>5244</v>
      </c>
      <c r="L140" t="s">
        <v>101</v>
      </c>
      <c r="M140" t="s">
        <v>581</v>
      </c>
      <c r="N140" s="2">
        <v>2.6002999999999998</v>
      </c>
      <c r="O140" s="1">
        <v>915.1</v>
      </c>
      <c r="P140" s="2">
        <v>2379.5345299999999</v>
      </c>
    </row>
    <row r="141" spans="1:16">
      <c r="A141" t="s">
        <v>6071</v>
      </c>
      <c r="B141" t="s">
        <v>6072</v>
      </c>
      <c r="C141" t="s">
        <v>6124</v>
      </c>
      <c r="D141" t="s">
        <v>5922</v>
      </c>
      <c r="E141" s="2">
        <v>1.3</v>
      </c>
      <c r="F141" s="1">
        <v>354</v>
      </c>
      <c r="G141" s="2">
        <v>460.2</v>
      </c>
      <c r="J141" s="5" t="s">
        <v>1286</v>
      </c>
      <c r="K141" t="s">
        <v>5216</v>
      </c>
      <c r="L141" t="s">
        <v>5215</v>
      </c>
      <c r="M141" t="s">
        <v>5215</v>
      </c>
      <c r="N141" s="2">
        <v>7176.3266000000003</v>
      </c>
      <c r="O141" s="1">
        <v>0.66300000000000003</v>
      </c>
      <c r="P141" s="2">
        <v>2378.9522679000002</v>
      </c>
    </row>
    <row r="142" spans="1:16">
      <c r="A142" t="s">
        <v>5649</v>
      </c>
      <c r="B142" t="s">
        <v>5650</v>
      </c>
      <c r="C142" t="s">
        <v>6124</v>
      </c>
      <c r="D142" t="s">
        <v>3537</v>
      </c>
      <c r="E142" s="2">
        <v>9.39</v>
      </c>
      <c r="F142" s="1">
        <v>48</v>
      </c>
      <c r="G142" s="2">
        <v>450.72</v>
      </c>
      <c r="J142" s="5" t="s">
        <v>3204</v>
      </c>
      <c r="K142" t="s">
        <v>3205</v>
      </c>
      <c r="L142" t="s">
        <v>85</v>
      </c>
      <c r="M142" t="s">
        <v>86</v>
      </c>
      <c r="N142" s="2">
        <v>106.80759999999999</v>
      </c>
      <c r="O142" s="1">
        <v>44</v>
      </c>
      <c r="P142" s="2">
        <v>2349.7671999999998</v>
      </c>
    </row>
    <row r="143" spans="1:16">
      <c r="A143" t="s">
        <v>5595</v>
      </c>
      <c r="B143" t="s">
        <v>5596</v>
      </c>
      <c r="C143" t="s">
        <v>6124</v>
      </c>
      <c r="D143" t="s">
        <v>3537</v>
      </c>
      <c r="E143" s="2">
        <v>7.14</v>
      </c>
      <c r="F143" s="1">
        <v>63</v>
      </c>
      <c r="G143" s="2">
        <v>449.82</v>
      </c>
      <c r="J143" s="5" t="s">
        <v>2017</v>
      </c>
      <c r="K143" t="s">
        <v>2018</v>
      </c>
      <c r="L143" t="s">
        <v>618</v>
      </c>
      <c r="M143" t="s">
        <v>626</v>
      </c>
      <c r="N143" s="2">
        <v>6.0670999999999999</v>
      </c>
      <c r="O143" s="1">
        <v>387</v>
      </c>
      <c r="P143" s="2">
        <v>2347.9677000000001</v>
      </c>
    </row>
    <row r="144" spans="1:16">
      <c r="A144" t="s">
        <v>5747</v>
      </c>
      <c r="B144" t="s">
        <v>5748</v>
      </c>
      <c r="C144" t="s">
        <v>6124</v>
      </c>
      <c r="D144" t="s">
        <v>5704</v>
      </c>
      <c r="E144" s="2">
        <v>17.98</v>
      </c>
      <c r="F144" s="1">
        <v>25</v>
      </c>
      <c r="G144" s="2">
        <v>449.5</v>
      </c>
      <c r="J144" s="5" t="s">
        <v>807</v>
      </c>
      <c r="K144" t="s">
        <v>808</v>
      </c>
      <c r="L144" t="s">
        <v>580</v>
      </c>
      <c r="M144" t="s">
        <v>581</v>
      </c>
      <c r="N144" s="2">
        <v>3.6396000000000002</v>
      </c>
      <c r="O144" s="1">
        <v>1264</v>
      </c>
      <c r="P144" s="2">
        <v>2300.2272000000003</v>
      </c>
    </row>
    <row r="145" spans="1:16">
      <c r="A145" t="s">
        <v>5663</v>
      </c>
      <c r="B145" t="s">
        <v>5664</v>
      </c>
      <c r="C145" t="s">
        <v>6124</v>
      </c>
      <c r="D145" t="s">
        <v>3537</v>
      </c>
      <c r="E145" s="2">
        <v>5.75</v>
      </c>
      <c r="F145" s="1">
        <v>78</v>
      </c>
      <c r="G145" s="2">
        <v>448.5</v>
      </c>
      <c r="J145" s="5" t="s">
        <v>2665</v>
      </c>
      <c r="K145" t="s">
        <v>2666</v>
      </c>
      <c r="L145" t="s">
        <v>3375</v>
      </c>
      <c r="M145" t="s">
        <v>125</v>
      </c>
      <c r="N145" s="2">
        <v>285.25439999999998</v>
      </c>
      <c r="O145" s="1">
        <v>16</v>
      </c>
      <c r="P145" s="2">
        <v>2282.0351999999998</v>
      </c>
    </row>
    <row r="146" spans="1:16">
      <c r="A146" t="s">
        <v>5627</v>
      </c>
      <c r="B146" t="s">
        <v>5628</v>
      </c>
      <c r="C146" t="s">
        <v>6124</v>
      </c>
      <c r="D146" t="s">
        <v>3537</v>
      </c>
      <c r="E146" s="2">
        <v>4.96</v>
      </c>
      <c r="F146" s="1">
        <v>90</v>
      </c>
      <c r="G146" s="2">
        <v>446.4</v>
      </c>
      <c r="J146" s="5" t="s">
        <v>1983</v>
      </c>
      <c r="K146" t="s">
        <v>1984</v>
      </c>
      <c r="L146" t="s">
        <v>101</v>
      </c>
      <c r="M146" t="s">
        <v>102</v>
      </c>
      <c r="N146" s="2">
        <v>0.92020000000000002</v>
      </c>
      <c r="O146" s="1">
        <v>2459</v>
      </c>
      <c r="P146" s="2">
        <v>2262.7718</v>
      </c>
    </row>
    <row r="147" spans="1:16">
      <c r="A147" t="s">
        <v>5613</v>
      </c>
      <c r="B147" t="s">
        <v>5614</v>
      </c>
      <c r="C147" t="s">
        <v>6124</v>
      </c>
      <c r="D147" t="s">
        <v>3537</v>
      </c>
      <c r="E147" s="2">
        <v>7.41</v>
      </c>
      <c r="F147" s="1">
        <v>59</v>
      </c>
      <c r="G147" s="2">
        <v>437.19</v>
      </c>
      <c r="J147" s="5" t="s">
        <v>751</v>
      </c>
      <c r="K147" t="s">
        <v>752</v>
      </c>
      <c r="L147" t="s">
        <v>618</v>
      </c>
      <c r="M147" t="s">
        <v>626</v>
      </c>
      <c r="N147" s="2">
        <v>17.252199999999998</v>
      </c>
      <c r="O147" s="1">
        <v>262</v>
      </c>
      <c r="P147" s="2">
        <v>2260.0382</v>
      </c>
    </row>
    <row r="148" spans="1:16">
      <c r="A148" t="s">
        <v>5927</v>
      </c>
      <c r="B148" t="s">
        <v>5928</v>
      </c>
      <c r="C148" t="s">
        <v>6124</v>
      </c>
      <c r="D148" t="s">
        <v>5922</v>
      </c>
      <c r="E148" s="2">
        <v>6.19</v>
      </c>
      <c r="F148" s="1">
        <v>70</v>
      </c>
      <c r="G148" s="2">
        <v>433.3</v>
      </c>
      <c r="J148" s="5" t="s">
        <v>4194</v>
      </c>
      <c r="K148" t="s">
        <v>4195</v>
      </c>
      <c r="L148" t="s">
        <v>85</v>
      </c>
      <c r="M148" t="s">
        <v>86</v>
      </c>
      <c r="N148" s="2">
        <v>62.419400000000003</v>
      </c>
      <c r="O148" s="1">
        <v>72</v>
      </c>
      <c r="P148" s="2">
        <v>2247.0984000000003</v>
      </c>
    </row>
    <row r="149" spans="1:16">
      <c r="A149" t="s">
        <v>6047</v>
      </c>
      <c r="B149" t="s">
        <v>6048</v>
      </c>
      <c r="C149" t="s">
        <v>6124</v>
      </c>
      <c r="D149" t="s">
        <v>5922</v>
      </c>
      <c r="E149" s="2">
        <v>1.87</v>
      </c>
      <c r="F149" s="1">
        <v>231</v>
      </c>
      <c r="G149" s="2">
        <v>431.97</v>
      </c>
      <c r="J149" s="5" t="s">
        <v>842</v>
      </c>
      <c r="K149" t="s">
        <v>843</v>
      </c>
      <c r="L149" t="s">
        <v>618</v>
      </c>
      <c r="M149" t="s">
        <v>626</v>
      </c>
      <c r="N149" s="2">
        <v>13.135400000000001</v>
      </c>
      <c r="O149" s="1">
        <v>171</v>
      </c>
      <c r="P149" s="2">
        <v>2246.1534000000001</v>
      </c>
    </row>
    <row r="150" spans="1:16">
      <c r="A150" t="s">
        <v>5969</v>
      </c>
      <c r="B150" t="s">
        <v>5970</v>
      </c>
      <c r="C150" t="s">
        <v>6124</v>
      </c>
      <c r="D150" t="s">
        <v>5922</v>
      </c>
      <c r="E150" s="2">
        <v>17.100000000000001</v>
      </c>
      <c r="F150" s="1">
        <v>25</v>
      </c>
      <c r="G150" s="2">
        <v>427.50000000000006</v>
      </c>
      <c r="J150" s="5" t="s">
        <v>5396</v>
      </c>
      <c r="K150" t="s">
        <v>5397</v>
      </c>
      <c r="L150" t="s">
        <v>228</v>
      </c>
      <c r="M150" t="s">
        <v>86</v>
      </c>
      <c r="N150" s="2">
        <v>57.924899999999994</v>
      </c>
      <c r="O150" s="1">
        <v>114</v>
      </c>
      <c r="P150" s="2">
        <v>2201.1461999999997</v>
      </c>
    </row>
    <row r="151" spans="1:16">
      <c r="A151" t="s">
        <v>5583</v>
      </c>
      <c r="B151" t="s">
        <v>5584</v>
      </c>
      <c r="C151" t="s">
        <v>6124</v>
      </c>
      <c r="D151" t="s">
        <v>3537</v>
      </c>
      <c r="E151" s="2">
        <v>17.07</v>
      </c>
      <c r="F151" s="1">
        <v>25</v>
      </c>
      <c r="G151" s="2">
        <v>426.75</v>
      </c>
      <c r="J151" s="5" t="s">
        <v>443</v>
      </c>
      <c r="K151" t="s">
        <v>444</v>
      </c>
      <c r="L151" t="s">
        <v>89</v>
      </c>
      <c r="M151" t="s">
        <v>86</v>
      </c>
      <c r="N151" s="2">
        <v>546.14959999999996</v>
      </c>
      <c r="O151" s="1">
        <v>8</v>
      </c>
      <c r="P151" s="2">
        <v>2184.5983999999999</v>
      </c>
    </row>
    <row r="152" spans="1:16">
      <c r="A152" t="s">
        <v>5563</v>
      </c>
      <c r="B152" t="s">
        <v>5564</v>
      </c>
      <c r="C152" t="s">
        <v>6124</v>
      </c>
      <c r="D152" t="s">
        <v>3537</v>
      </c>
      <c r="E152" s="2">
        <v>8.66</v>
      </c>
      <c r="F152" s="1">
        <v>49</v>
      </c>
      <c r="G152" s="2">
        <v>424.34000000000003</v>
      </c>
      <c r="J152" s="5" t="s">
        <v>1602</v>
      </c>
      <c r="K152" t="s">
        <v>1603</v>
      </c>
      <c r="L152" t="s">
        <v>115</v>
      </c>
      <c r="M152" t="s">
        <v>102</v>
      </c>
      <c r="N152" s="2">
        <v>0.19700000000000001</v>
      </c>
      <c r="O152" s="1">
        <v>11012</v>
      </c>
      <c r="P152" s="2">
        <v>2169.364</v>
      </c>
    </row>
    <row r="153" spans="1:16">
      <c r="A153" t="s">
        <v>5951</v>
      </c>
      <c r="B153" t="s">
        <v>5952</v>
      </c>
      <c r="C153" t="s">
        <v>6124</v>
      </c>
      <c r="D153" t="s">
        <v>5922</v>
      </c>
      <c r="E153" s="2">
        <v>21.19</v>
      </c>
      <c r="F153" s="1">
        <v>20</v>
      </c>
      <c r="G153" s="2">
        <v>423.8</v>
      </c>
      <c r="J153" s="5" t="s">
        <v>5191</v>
      </c>
      <c r="K153" t="s">
        <v>5192</v>
      </c>
      <c r="L153" t="s">
        <v>1852</v>
      </c>
      <c r="M153" t="s">
        <v>125</v>
      </c>
      <c r="N153" s="2">
        <v>1078.021</v>
      </c>
      <c r="O153" s="1">
        <v>4</v>
      </c>
      <c r="P153" s="2">
        <v>2156.0419999999999</v>
      </c>
    </row>
    <row r="154" spans="1:16">
      <c r="A154" t="s">
        <v>5739</v>
      </c>
      <c r="B154" t="s">
        <v>5740</v>
      </c>
      <c r="C154" t="s">
        <v>6124</v>
      </c>
      <c r="D154" t="s">
        <v>5704</v>
      </c>
      <c r="E154" s="2">
        <v>1.38</v>
      </c>
      <c r="F154" s="1">
        <v>305</v>
      </c>
      <c r="G154" s="2">
        <v>420.9</v>
      </c>
      <c r="J154" s="5" t="s">
        <v>2013</v>
      </c>
      <c r="K154" t="s">
        <v>2014</v>
      </c>
      <c r="L154" t="s">
        <v>580</v>
      </c>
      <c r="M154" t="s">
        <v>619</v>
      </c>
      <c r="N154" s="2">
        <v>7.1588000000000003</v>
      </c>
      <c r="O154" s="1">
        <v>598</v>
      </c>
      <c r="P154" s="2">
        <v>2140.4812000000002</v>
      </c>
    </row>
    <row r="155" spans="1:16">
      <c r="A155" t="s">
        <v>6093</v>
      </c>
      <c r="B155" t="s">
        <v>6094</v>
      </c>
      <c r="C155" t="s">
        <v>6124</v>
      </c>
      <c r="D155" t="s">
        <v>5922</v>
      </c>
      <c r="E155" s="2">
        <v>5.56</v>
      </c>
      <c r="F155" s="1">
        <v>73</v>
      </c>
      <c r="G155" s="2">
        <v>405.88</v>
      </c>
      <c r="J155" s="5" t="s">
        <v>5240</v>
      </c>
      <c r="K155" t="s">
        <v>5241</v>
      </c>
      <c r="L155" t="s">
        <v>101</v>
      </c>
      <c r="M155" t="s">
        <v>102</v>
      </c>
      <c r="N155" s="2">
        <v>0.64219999999999999</v>
      </c>
      <c r="O155" s="1">
        <v>3327</v>
      </c>
      <c r="P155" s="2">
        <v>2136.5994000000001</v>
      </c>
    </row>
    <row r="156" spans="1:16">
      <c r="A156" t="s">
        <v>5929</v>
      </c>
      <c r="B156" t="s">
        <v>5930</v>
      </c>
      <c r="C156" t="s">
        <v>6124</v>
      </c>
      <c r="D156" t="s">
        <v>5922</v>
      </c>
      <c r="E156" s="2">
        <v>4.5199999999999996</v>
      </c>
      <c r="F156" s="1">
        <v>88</v>
      </c>
      <c r="G156" s="2">
        <v>397.76</v>
      </c>
      <c r="J156" s="5" t="s">
        <v>5314</v>
      </c>
      <c r="K156" t="s">
        <v>5315</v>
      </c>
      <c r="L156" t="s">
        <v>101</v>
      </c>
      <c r="M156" t="s">
        <v>102</v>
      </c>
      <c r="N156" s="2">
        <v>0.37159999999999999</v>
      </c>
      <c r="O156" s="1">
        <v>5709</v>
      </c>
      <c r="P156" s="2">
        <v>2121.4643999999998</v>
      </c>
    </row>
    <row r="157" spans="1:16">
      <c r="A157" t="s">
        <v>5763</v>
      </c>
      <c r="B157" t="s">
        <v>5764</v>
      </c>
      <c r="C157" t="s">
        <v>6124</v>
      </c>
      <c r="D157" t="s">
        <v>5704</v>
      </c>
      <c r="E157" s="2">
        <v>20.56</v>
      </c>
      <c r="F157" s="1">
        <v>19</v>
      </c>
      <c r="G157" s="2">
        <v>390.64</v>
      </c>
      <c r="J157" s="5" t="s">
        <v>1604</v>
      </c>
      <c r="K157" t="s">
        <v>1605</v>
      </c>
      <c r="L157" t="s">
        <v>115</v>
      </c>
      <c r="M157" t="s">
        <v>102</v>
      </c>
      <c r="N157" s="2">
        <v>0.187</v>
      </c>
      <c r="O157" s="1">
        <v>11343</v>
      </c>
      <c r="P157" s="2">
        <v>2121.1410000000001</v>
      </c>
    </row>
    <row r="158" spans="1:16">
      <c r="A158" t="s">
        <v>5999</v>
      </c>
      <c r="B158" t="s">
        <v>6000</v>
      </c>
      <c r="C158" t="s">
        <v>6124</v>
      </c>
      <c r="D158" t="s">
        <v>5922</v>
      </c>
      <c r="E158" s="2">
        <v>0.17</v>
      </c>
      <c r="F158" s="1">
        <v>2278</v>
      </c>
      <c r="G158" s="2">
        <v>387.26000000000005</v>
      </c>
      <c r="J158" s="5" t="s">
        <v>4882</v>
      </c>
      <c r="K158" t="s">
        <v>4883</v>
      </c>
      <c r="L158" t="s">
        <v>89</v>
      </c>
      <c r="M158" t="s">
        <v>86</v>
      </c>
      <c r="N158" s="2">
        <v>423.51319999999998</v>
      </c>
      <c r="O158" s="1">
        <v>10</v>
      </c>
      <c r="P158" s="2">
        <v>2117.5659999999998</v>
      </c>
    </row>
    <row r="159" spans="1:16">
      <c r="A159" t="s">
        <v>5896</v>
      </c>
      <c r="B159" t="s">
        <v>5897</v>
      </c>
      <c r="C159" t="s">
        <v>6124</v>
      </c>
      <c r="D159" t="s">
        <v>5767</v>
      </c>
      <c r="E159" s="2">
        <v>15.39</v>
      </c>
      <c r="F159" s="1">
        <v>25</v>
      </c>
      <c r="G159" s="2">
        <v>384.75</v>
      </c>
      <c r="J159" s="5" t="s">
        <v>3386</v>
      </c>
      <c r="K159" t="s">
        <v>3387</v>
      </c>
      <c r="L159" t="s">
        <v>3375</v>
      </c>
      <c r="M159" t="s">
        <v>125</v>
      </c>
      <c r="N159" s="2">
        <v>705.31460000000004</v>
      </c>
      <c r="O159" s="1">
        <v>6</v>
      </c>
      <c r="P159" s="2">
        <v>2115.9438</v>
      </c>
    </row>
    <row r="160" spans="1:16">
      <c r="A160" t="s">
        <v>5587</v>
      </c>
      <c r="B160" t="s">
        <v>5588</v>
      </c>
      <c r="C160" t="s">
        <v>6124</v>
      </c>
      <c r="D160" t="s">
        <v>3537</v>
      </c>
      <c r="E160" s="2">
        <v>6.38</v>
      </c>
      <c r="F160" s="1">
        <v>60</v>
      </c>
      <c r="G160" s="2">
        <v>382.8</v>
      </c>
      <c r="J160" s="5" t="s">
        <v>4236</v>
      </c>
      <c r="K160" t="s">
        <v>4237</v>
      </c>
      <c r="L160" t="s">
        <v>85</v>
      </c>
      <c r="M160" t="s">
        <v>86</v>
      </c>
      <c r="N160" s="2">
        <v>31.5792</v>
      </c>
      <c r="O160" s="1">
        <v>134</v>
      </c>
      <c r="P160" s="2">
        <v>2115.8063999999999</v>
      </c>
    </row>
    <row r="161" spans="1:16">
      <c r="A161" t="s">
        <v>6053</v>
      </c>
      <c r="B161" t="s">
        <v>6054</v>
      </c>
      <c r="C161" t="s">
        <v>6124</v>
      </c>
      <c r="D161" t="s">
        <v>5922</v>
      </c>
      <c r="E161" s="2">
        <v>0.3</v>
      </c>
      <c r="F161" s="1">
        <v>1273</v>
      </c>
      <c r="G161" s="2">
        <v>381.9</v>
      </c>
      <c r="J161" s="5" t="s">
        <v>5530</v>
      </c>
      <c r="K161" t="s">
        <v>5531</v>
      </c>
      <c r="L161" t="s">
        <v>5532</v>
      </c>
      <c r="M161" t="s">
        <v>86</v>
      </c>
      <c r="N161" s="2">
        <v>527.2654</v>
      </c>
      <c r="O161" s="1">
        <v>8</v>
      </c>
      <c r="P161" s="2">
        <v>2109.0616</v>
      </c>
    </row>
    <row r="162" spans="1:16">
      <c r="A162" t="s">
        <v>5937</v>
      </c>
      <c r="B162" t="s">
        <v>5938</v>
      </c>
      <c r="C162" t="s">
        <v>6124</v>
      </c>
      <c r="D162" t="s">
        <v>5922</v>
      </c>
      <c r="E162" s="2">
        <v>20.59</v>
      </c>
      <c r="F162" s="1">
        <v>18</v>
      </c>
      <c r="G162" s="2">
        <v>370.62</v>
      </c>
      <c r="J162" s="5" t="s">
        <v>5471</v>
      </c>
      <c r="K162" t="s">
        <v>5472</v>
      </c>
      <c r="L162" t="s">
        <v>5473</v>
      </c>
      <c r="M162" t="s">
        <v>125</v>
      </c>
      <c r="N162" s="2">
        <v>1052.9558</v>
      </c>
      <c r="O162" s="1">
        <v>4</v>
      </c>
      <c r="P162" s="2">
        <v>2105.9115999999999</v>
      </c>
    </row>
    <row r="163" spans="1:16">
      <c r="A163" t="s">
        <v>5892</v>
      </c>
      <c r="B163" t="s">
        <v>5893</v>
      </c>
      <c r="C163" t="s">
        <v>6124</v>
      </c>
      <c r="D163" t="s">
        <v>5767</v>
      </c>
      <c r="E163" s="2">
        <v>26.46</v>
      </c>
      <c r="F163" s="1">
        <v>14</v>
      </c>
      <c r="G163" s="2">
        <v>370.44</v>
      </c>
      <c r="J163" s="5" t="s">
        <v>4348</v>
      </c>
      <c r="K163" t="s">
        <v>4349</v>
      </c>
      <c r="L163" t="s">
        <v>85</v>
      </c>
      <c r="M163" t="s">
        <v>86</v>
      </c>
      <c r="N163" s="2">
        <v>31.625</v>
      </c>
      <c r="O163" s="1">
        <v>132</v>
      </c>
      <c r="P163" s="2">
        <v>2087.25</v>
      </c>
    </row>
    <row r="164" spans="1:16">
      <c r="A164" t="s">
        <v>5860</v>
      </c>
      <c r="B164" t="s">
        <v>5861</v>
      </c>
      <c r="C164" t="s">
        <v>6124</v>
      </c>
      <c r="D164" t="s">
        <v>5767</v>
      </c>
      <c r="E164" s="2">
        <v>13.45</v>
      </c>
      <c r="F164" s="1">
        <v>27</v>
      </c>
      <c r="G164" s="2">
        <v>363.15</v>
      </c>
      <c r="J164" s="5" t="s">
        <v>629</v>
      </c>
      <c r="K164" t="s">
        <v>630</v>
      </c>
      <c r="L164" t="s">
        <v>618</v>
      </c>
      <c r="M164" t="s">
        <v>619</v>
      </c>
      <c r="N164" s="2">
        <v>39.78</v>
      </c>
      <c r="O164" s="1">
        <v>52</v>
      </c>
      <c r="P164" s="2">
        <v>2068.56</v>
      </c>
    </row>
    <row r="165" spans="1:16">
      <c r="A165" t="s">
        <v>5647</v>
      </c>
      <c r="B165" t="s">
        <v>5648</v>
      </c>
      <c r="C165" t="s">
        <v>6124</v>
      </c>
      <c r="D165" t="s">
        <v>3537</v>
      </c>
      <c r="E165" s="2">
        <v>5.44</v>
      </c>
      <c r="F165" s="1">
        <v>66</v>
      </c>
      <c r="G165" s="2">
        <v>359.04</v>
      </c>
      <c r="J165" s="5" t="s">
        <v>2025</v>
      </c>
      <c r="K165" t="s">
        <v>2026</v>
      </c>
      <c r="L165" t="s">
        <v>580</v>
      </c>
      <c r="M165" t="s">
        <v>619</v>
      </c>
      <c r="N165" s="2">
        <v>2.6676000000000002</v>
      </c>
      <c r="O165" s="1">
        <v>1538</v>
      </c>
      <c r="P165" s="2">
        <v>2051.3844000000004</v>
      </c>
    </row>
    <row r="166" spans="1:16">
      <c r="A166" t="s">
        <v>6073</v>
      </c>
      <c r="B166" t="s">
        <v>6074</v>
      </c>
      <c r="C166" t="s">
        <v>6124</v>
      </c>
      <c r="D166" t="s">
        <v>5922</v>
      </c>
      <c r="E166" s="2">
        <v>6.29</v>
      </c>
      <c r="F166" s="1">
        <v>57</v>
      </c>
      <c r="G166" s="2">
        <v>358.53000000000003</v>
      </c>
      <c r="J166" s="5" t="s">
        <v>5327</v>
      </c>
      <c r="K166" t="s">
        <v>5328</v>
      </c>
      <c r="L166" t="s">
        <v>3375</v>
      </c>
      <c r="M166" t="s">
        <v>125</v>
      </c>
      <c r="N166" s="2">
        <v>1015.151</v>
      </c>
      <c r="O166" s="1">
        <v>4</v>
      </c>
      <c r="P166" s="2">
        <v>2030.3019999999999</v>
      </c>
    </row>
    <row r="167" spans="1:16">
      <c r="A167" t="s">
        <v>5719</v>
      </c>
      <c r="B167" t="s">
        <v>5720</v>
      </c>
      <c r="C167" t="s">
        <v>6124</v>
      </c>
      <c r="D167" t="s">
        <v>5704</v>
      </c>
      <c r="E167" s="2">
        <v>20.58</v>
      </c>
      <c r="F167" s="1">
        <v>17</v>
      </c>
      <c r="G167" s="2">
        <v>349.85999999999996</v>
      </c>
      <c r="J167" s="5" t="s">
        <v>838</v>
      </c>
      <c r="K167" t="s">
        <v>839</v>
      </c>
      <c r="L167" t="s">
        <v>618</v>
      </c>
      <c r="M167" t="s">
        <v>626</v>
      </c>
      <c r="N167" s="2">
        <v>7.49</v>
      </c>
      <c r="O167" s="1">
        <v>542</v>
      </c>
      <c r="P167" s="2">
        <v>2029.79</v>
      </c>
    </row>
    <row r="168" spans="1:16">
      <c r="A168" t="s">
        <v>5971</v>
      </c>
      <c r="B168" t="s">
        <v>5972</v>
      </c>
      <c r="C168" t="s">
        <v>6124</v>
      </c>
      <c r="D168" t="s">
        <v>5922</v>
      </c>
      <c r="E168" s="2">
        <v>13.23</v>
      </c>
      <c r="F168" s="1">
        <v>26</v>
      </c>
      <c r="G168" s="2">
        <v>343.98</v>
      </c>
      <c r="J168" s="5" t="s">
        <v>1691</v>
      </c>
      <c r="K168" t="s">
        <v>1692</v>
      </c>
      <c r="L168" t="s">
        <v>101</v>
      </c>
      <c r="M168" t="s">
        <v>626</v>
      </c>
      <c r="N168" s="2">
        <v>2040.29</v>
      </c>
      <c r="O168" s="1">
        <v>0.99</v>
      </c>
      <c r="P168" s="2">
        <v>2019.8870999999999</v>
      </c>
    </row>
    <row r="169" spans="1:16">
      <c r="A169" t="s">
        <v>5755</v>
      </c>
      <c r="B169" t="s">
        <v>5756</v>
      </c>
      <c r="C169" t="s">
        <v>6124</v>
      </c>
      <c r="D169" t="s">
        <v>5704</v>
      </c>
      <c r="E169" s="2">
        <v>26.4</v>
      </c>
      <c r="F169" s="1">
        <v>13</v>
      </c>
      <c r="G169" s="2">
        <v>343.2</v>
      </c>
      <c r="J169" s="5" t="s">
        <v>1563</v>
      </c>
      <c r="K169" t="s">
        <v>1564</v>
      </c>
      <c r="L169" t="s">
        <v>101</v>
      </c>
      <c r="M169" t="s">
        <v>626</v>
      </c>
      <c r="N169" s="2">
        <v>287.80799999999999</v>
      </c>
      <c r="O169" s="1">
        <v>14.000999999999999</v>
      </c>
      <c r="P169" s="2">
        <v>2014.799904</v>
      </c>
    </row>
    <row r="170" spans="1:16">
      <c r="A170" t="s">
        <v>5693</v>
      </c>
      <c r="B170" t="s">
        <v>5694</v>
      </c>
      <c r="C170" t="s">
        <v>6124</v>
      </c>
      <c r="D170" t="s">
        <v>3537</v>
      </c>
      <c r="E170" s="2">
        <v>22.64</v>
      </c>
      <c r="F170" s="1">
        <v>15</v>
      </c>
      <c r="G170" s="2">
        <v>339.6</v>
      </c>
      <c r="J170" s="5" t="s">
        <v>568</v>
      </c>
      <c r="K170" t="s">
        <v>569</v>
      </c>
      <c r="L170" t="s">
        <v>580</v>
      </c>
      <c r="M170" t="s">
        <v>581</v>
      </c>
      <c r="N170" s="2">
        <v>37.918999999999997</v>
      </c>
      <c r="O170" s="1">
        <v>53</v>
      </c>
      <c r="P170" s="2">
        <v>2009.7069999999999</v>
      </c>
    </row>
    <row r="171" spans="1:16">
      <c r="A171" t="s">
        <v>5643</v>
      </c>
      <c r="B171" t="s">
        <v>5644</v>
      </c>
      <c r="C171" t="s">
        <v>6124</v>
      </c>
      <c r="D171" t="s">
        <v>3537</v>
      </c>
      <c r="E171" s="2">
        <v>5.44</v>
      </c>
      <c r="F171" s="1">
        <v>62</v>
      </c>
      <c r="G171" s="2">
        <v>337.28000000000003</v>
      </c>
      <c r="J171" s="5" t="s">
        <v>705</v>
      </c>
      <c r="K171" t="s">
        <v>706</v>
      </c>
      <c r="L171" t="s">
        <v>580</v>
      </c>
      <c r="M171" t="s">
        <v>581</v>
      </c>
      <c r="N171" s="2">
        <v>1.7418</v>
      </c>
      <c r="O171" s="1">
        <v>2290</v>
      </c>
      <c r="P171" s="2">
        <v>1994.3610000000001</v>
      </c>
    </row>
    <row r="172" spans="1:16">
      <c r="A172" t="s">
        <v>5685</v>
      </c>
      <c r="B172" t="s">
        <v>5686</v>
      </c>
      <c r="C172" t="s">
        <v>6124</v>
      </c>
      <c r="D172" t="s">
        <v>3537</v>
      </c>
      <c r="E172" s="2">
        <v>4.34</v>
      </c>
      <c r="F172" s="1">
        <v>77</v>
      </c>
      <c r="G172" s="2">
        <v>334.18</v>
      </c>
      <c r="J172" s="5" t="s">
        <v>188</v>
      </c>
      <c r="K172" t="s">
        <v>189</v>
      </c>
      <c r="L172" t="s">
        <v>1821</v>
      </c>
      <c r="M172" t="s">
        <v>125</v>
      </c>
      <c r="N172" s="2">
        <v>248.92400000000001</v>
      </c>
      <c r="O172" s="1">
        <v>16</v>
      </c>
      <c r="P172" s="2">
        <v>1991.3920000000001</v>
      </c>
    </row>
    <row r="173" spans="1:16">
      <c r="A173" t="s">
        <v>5822</v>
      </c>
      <c r="B173" t="s">
        <v>5823</v>
      </c>
      <c r="C173" t="s">
        <v>6124</v>
      </c>
      <c r="D173" t="s">
        <v>5767</v>
      </c>
      <c r="E173" s="2">
        <v>14.37</v>
      </c>
      <c r="F173" s="1">
        <v>23</v>
      </c>
      <c r="G173" s="2">
        <v>330.51</v>
      </c>
      <c r="J173" s="5" t="s">
        <v>1259</v>
      </c>
      <c r="K173" t="s">
        <v>1260</v>
      </c>
      <c r="L173" t="s">
        <v>101</v>
      </c>
      <c r="M173" t="s">
        <v>711</v>
      </c>
      <c r="N173" s="2">
        <v>20001</v>
      </c>
      <c r="O173" s="1">
        <v>9.9500000000000005E-2</v>
      </c>
      <c r="P173" s="2">
        <v>1990.0995</v>
      </c>
    </row>
    <row r="174" spans="1:16">
      <c r="A174" t="s">
        <v>5939</v>
      </c>
      <c r="B174" t="s">
        <v>5940</v>
      </c>
      <c r="C174" t="s">
        <v>6124</v>
      </c>
      <c r="D174" t="s">
        <v>5922</v>
      </c>
      <c r="E174" s="2">
        <v>2.59</v>
      </c>
      <c r="F174" s="1">
        <v>125</v>
      </c>
      <c r="G174" s="2">
        <v>323.75</v>
      </c>
      <c r="J174" s="5" t="s">
        <v>5165</v>
      </c>
      <c r="K174" t="s">
        <v>5166</v>
      </c>
      <c r="L174" t="s">
        <v>3304</v>
      </c>
      <c r="M174" t="s">
        <v>1931</v>
      </c>
      <c r="N174" s="2">
        <v>659.29</v>
      </c>
      <c r="O174" s="1">
        <v>3</v>
      </c>
      <c r="P174" s="2">
        <v>1977.87</v>
      </c>
    </row>
    <row r="175" spans="1:16">
      <c r="A175" t="s">
        <v>5557</v>
      </c>
      <c r="B175" t="s">
        <v>5558</v>
      </c>
      <c r="C175" t="s">
        <v>6124</v>
      </c>
      <c r="D175" t="s">
        <v>3537</v>
      </c>
      <c r="E175" s="2">
        <v>6.87</v>
      </c>
      <c r="F175" s="1">
        <v>47</v>
      </c>
      <c r="G175" s="2">
        <v>322.89</v>
      </c>
      <c r="J175" s="5" t="s">
        <v>99</v>
      </c>
      <c r="K175" t="s">
        <v>100</v>
      </c>
      <c r="L175" t="s">
        <v>101</v>
      </c>
      <c r="M175" t="s">
        <v>102</v>
      </c>
      <c r="N175" s="2">
        <v>0.80869999999999997</v>
      </c>
      <c r="O175" s="1">
        <v>2425</v>
      </c>
      <c r="P175" s="2">
        <v>1961.0974999999999</v>
      </c>
    </row>
    <row r="176" spans="1:16">
      <c r="A176" t="s">
        <v>6015</v>
      </c>
      <c r="B176" t="s">
        <v>6016</v>
      </c>
      <c r="C176" t="s">
        <v>6124</v>
      </c>
      <c r="D176" t="s">
        <v>5922</v>
      </c>
      <c r="E176" s="2">
        <v>1.93</v>
      </c>
      <c r="F176" s="1">
        <v>167</v>
      </c>
      <c r="G176" s="2">
        <v>322.31</v>
      </c>
      <c r="J176" s="5" t="s">
        <v>5520</v>
      </c>
      <c r="K176" t="s">
        <v>5521</v>
      </c>
      <c r="L176" t="s">
        <v>467</v>
      </c>
      <c r="M176" t="s">
        <v>86</v>
      </c>
      <c r="N176" s="2">
        <v>322.09480000000002</v>
      </c>
      <c r="O176" s="1">
        <v>12</v>
      </c>
      <c r="P176" s="2">
        <v>1932.5688</v>
      </c>
    </row>
    <row r="177" spans="1:16">
      <c r="A177" t="s">
        <v>5713</v>
      </c>
      <c r="B177" t="s">
        <v>5714</v>
      </c>
      <c r="C177" t="s">
        <v>6124</v>
      </c>
      <c r="D177" t="s">
        <v>5704</v>
      </c>
      <c r="E177" s="2">
        <v>20.58</v>
      </c>
      <c r="F177" s="1">
        <v>15</v>
      </c>
      <c r="G177" s="2">
        <v>308.7</v>
      </c>
      <c r="J177" s="5" t="s">
        <v>803</v>
      </c>
      <c r="K177" t="s">
        <v>804</v>
      </c>
      <c r="L177" t="s">
        <v>580</v>
      </c>
      <c r="M177" t="s">
        <v>581</v>
      </c>
      <c r="N177" s="2">
        <v>6.4301000000000004</v>
      </c>
      <c r="O177" s="1">
        <v>300</v>
      </c>
      <c r="P177" s="2">
        <v>1929.0300000000002</v>
      </c>
    </row>
    <row r="178" spans="1:16">
      <c r="A178" t="s">
        <v>6121</v>
      </c>
      <c r="B178" t="s">
        <v>6122</v>
      </c>
      <c r="C178" t="s">
        <v>6124</v>
      </c>
      <c r="D178" t="s">
        <v>6123</v>
      </c>
      <c r="E178" s="2">
        <v>18.670000000000002</v>
      </c>
      <c r="F178" s="1">
        <v>16</v>
      </c>
      <c r="G178" s="2">
        <v>298.72000000000003</v>
      </c>
      <c r="J178" s="5" t="s">
        <v>3091</v>
      </c>
      <c r="K178" t="s">
        <v>4716</v>
      </c>
      <c r="L178" t="s">
        <v>228</v>
      </c>
      <c r="M178" t="s">
        <v>86</v>
      </c>
      <c r="N178" s="2">
        <v>26.191199999999998</v>
      </c>
      <c r="O178" s="1">
        <v>146</v>
      </c>
      <c r="P178" s="2">
        <v>1911.9576</v>
      </c>
    </row>
    <row r="179" spans="1:16">
      <c r="A179" t="s">
        <v>6029</v>
      </c>
      <c r="B179" t="s">
        <v>6030</v>
      </c>
      <c r="C179" t="s">
        <v>6124</v>
      </c>
      <c r="D179" t="s">
        <v>5922</v>
      </c>
      <c r="E179" s="2">
        <v>4.79</v>
      </c>
      <c r="F179" s="1">
        <v>62</v>
      </c>
      <c r="G179" s="2">
        <v>296.98</v>
      </c>
      <c r="J179" s="5" t="s">
        <v>1975</v>
      </c>
      <c r="K179" t="s">
        <v>1976</v>
      </c>
      <c r="L179" t="s">
        <v>1821</v>
      </c>
      <c r="M179" t="s">
        <v>125</v>
      </c>
      <c r="N179" s="2">
        <v>930.94740000000002</v>
      </c>
      <c r="O179" s="1">
        <v>4</v>
      </c>
      <c r="P179" s="2">
        <v>1861.8948</v>
      </c>
    </row>
    <row r="180" spans="1:16">
      <c r="A180" t="s">
        <v>6097</v>
      </c>
      <c r="B180" t="s">
        <v>6098</v>
      </c>
      <c r="C180" t="s">
        <v>6124</v>
      </c>
      <c r="D180" t="s">
        <v>5922</v>
      </c>
      <c r="E180" s="2">
        <v>1.46</v>
      </c>
      <c r="F180" s="1">
        <v>201</v>
      </c>
      <c r="G180" s="2">
        <v>293.45999999999998</v>
      </c>
      <c r="J180" s="5" t="s">
        <v>1517</v>
      </c>
      <c r="K180" t="s">
        <v>1518</v>
      </c>
      <c r="L180" t="s">
        <v>101</v>
      </c>
      <c r="M180" t="s">
        <v>102</v>
      </c>
      <c r="N180" s="2">
        <v>0.1512</v>
      </c>
      <c r="O180" s="1">
        <v>12307</v>
      </c>
      <c r="P180" s="2">
        <v>1860.8184000000001</v>
      </c>
    </row>
    <row r="181" spans="1:16">
      <c r="A181" t="s">
        <v>5989</v>
      </c>
      <c r="B181" t="s">
        <v>5990</v>
      </c>
      <c r="C181" t="s">
        <v>6124</v>
      </c>
      <c r="D181" t="s">
        <v>5922</v>
      </c>
      <c r="E181" s="2">
        <v>6.52</v>
      </c>
      <c r="F181" s="1">
        <v>45</v>
      </c>
      <c r="G181" s="2">
        <v>293.39999999999998</v>
      </c>
      <c r="J181" s="5" t="s">
        <v>4878</v>
      </c>
      <c r="K181" t="s">
        <v>4879</v>
      </c>
      <c r="L181" t="s">
        <v>89</v>
      </c>
      <c r="M181" t="s">
        <v>86</v>
      </c>
      <c r="N181" s="2">
        <v>369.13119999999998</v>
      </c>
      <c r="O181" s="1">
        <v>10</v>
      </c>
      <c r="P181" s="2">
        <v>1845.6559999999999</v>
      </c>
    </row>
    <row r="182" spans="1:16">
      <c r="A182" t="s">
        <v>5816</v>
      </c>
      <c r="B182" t="s">
        <v>5817</v>
      </c>
      <c r="C182" t="s">
        <v>6124</v>
      </c>
      <c r="D182" t="s">
        <v>5767</v>
      </c>
      <c r="E182" s="2">
        <v>12.62</v>
      </c>
      <c r="F182" s="1">
        <v>23</v>
      </c>
      <c r="G182" s="2">
        <v>290.26</v>
      </c>
      <c r="J182" s="5" t="s">
        <v>5092</v>
      </c>
      <c r="K182" t="s">
        <v>5093</v>
      </c>
      <c r="L182" t="s">
        <v>618</v>
      </c>
      <c r="M182" t="s">
        <v>626</v>
      </c>
      <c r="N182" s="2">
        <v>18.0396</v>
      </c>
      <c r="O182" s="1">
        <v>204</v>
      </c>
      <c r="P182" s="2">
        <v>1840.0391999999999</v>
      </c>
    </row>
    <row r="183" spans="1:16">
      <c r="A183" t="s">
        <v>5761</v>
      </c>
      <c r="B183" t="s">
        <v>5762</v>
      </c>
      <c r="C183" t="s">
        <v>6124</v>
      </c>
      <c r="D183" t="s">
        <v>5704</v>
      </c>
      <c r="E183" s="2">
        <v>20.56</v>
      </c>
      <c r="F183" s="1">
        <v>14</v>
      </c>
      <c r="G183" s="2">
        <v>287.83999999999997</v>
      </c>
      <c r="J183" s="5" t="s">
        <v>1998</v>
      </c>
      <c r="K183" t="s">
        <v>1999</v>
      </c>
      <c r="L183" t="s">
        <v>101</v>
      </c>
      <c r="M183" t="s">
        <v>102</v>
      </c>
      <c r="N183" s="2">
        <v>0.879</v>
      </c>
      <c r="O183" s="1">
        <v>2092</v>
      </c>
      <c r="P183" s="2">
        <v>1838.8679999999999</v>
      </c>
    </row>
    <row r="184" spans="1:16">
      <c r="A184" t="s">
        <v>6061</v>
      </c>
      <c r="B184" t="s">
        <v>6062</v>
      </c>
      <c r="C184" t="s">
        <v>6124</v>
      </c>
      <c r="D184" t="s">
        <v>5922</v>
      </c>
      <c r="E184" s="2">
        <v>0.99</v>
      </c>
      <c r="F184" s="1">
        <v>288</v>
      </c>
      <c r="G184" s="2">
        <v>285.12</v>
      </c>
      <c r="J184" s="5" t="s">
        <v>3414</v>
      </c>
      <c r="K184" t="s">
        <v>3415</v>
      </c>
      <c r="L184" t="s">
        <v>203</v>
      </c>
      <c r="M184" t="s">
        <v>125</v>
      </c>
      <c r="N184" s="2">
        <v>1810.8378</v>
      </c>
      <c r="O184" s="1">
        <v>2</v>
      </c>
      <c r="P184" s="2">
        <v>1810.8378</v>
      </c>
    </row>
    <row r="185" spans="1:16">
      <c r="A185" t="s">
        <v>5888</v>
      </c>
      <c r="B185" t="s">
        <v>5889</v>
      </c>
      <c r="C185" t="s">
        <v>6124</v>
      </c>
      <c r="D185" t="s">
        <v>5767</v>
      </c>
      <c r="E185" s="2">
        <v>31.27</v>
      </c>
      <c r="F185" s="1">
        <v>9</v>
      </c>
      <c r="G185" s="2">
        <v>281.43</v>
      </c>
      <c r="J185" s="5" t="s">
        <v>3168</v>
      </c>
      <c r="K185" t="s">
        <v>5047</v>
      </c>
      <c r="L185" t="s">
        <v>228</v>
      </c>
      <c r="M185" t="s">
        <v>86</v>
      </c>
      <c r="N185" s="2">
        <v>17.2164</v>
      </c>
      <c r="O185" s="1">
        <v>210</v>
      </c>
      <c r="P185" s="2">
        <v>1807.722</v>
      </c>
    </row>
    <row r="186" spans="1:16">
      <c r="A186" t="s">
        <v>5671</v>
      </c>
      <c r="B186" t="s">
        <v>5672</v>
      </c>
      <c r="C186" t="s">
        <v>6124</v>
      </c>
      <c r="D186" t="s">
        <v>3537</v>
      </c>
      <c r="E186" s="2">
        <v>2.21</v>
      </c>
      <c r="F186" s="1">
        <v>127</v>
      </c>
      <c r="G186" s="2">
        <v>280.67</v>
      </c>
      <c r="J186" s="5" t="s">
        <v>2616</v>
      </c>
      <c r="K186" t="s">
        <v>2617</v>
      </c>
      <c r="L186" t="s">
        <v>5479</v>
      </c>
      <c r="M186" t="s">
        <v>125</v>
      </c>
      <c r="N186" s="2">
        <v>442.96</v>
      </c>
      <c r="O186" s="1">
        <v>4</v>
      </c>
      <c r="P186" s="2">
        <v>1771.84</v>
      </c>
    </row>
    <row r="187" spans="1:16">
      <c r="A187" t="s">
        <v>5967</v>
      </c>
      <c r="B187" t="s">
        <v>5968</v>
      </c>
      <c r="C187" t="s">
        <v>6124</v>
      </c>
      <c r="D187" t="s">
        <v>5922</v>
      </c>
      <c r="E187" s="2">
        <v>18.63</v>
      </c>
      <c r="F187" s="1">
        <v>15</v>
      </c>
      <c r="G187" s="2">
        <v>279.45</v>
      </c>
      <c r="J187" s="5" t="s">
        <v>5102</v>
      </c>
      <c r="K187" t="s">
        <v>5103</v>
      </c>
      <c r="L187" t="s">
        <v>618</v>
      </c>
      <c r="M187" t="s">
        <v>626</v>
      </c>
      <c r="N187" s="2">
        <v>6.5823999999999998</v>
      </c>
      <c r="O187" s="1">
        <v>264</v>
      </c>
      <c r="P187" s="2">
        <v>1737.7536</v>
      </c>
    </row>
    <row r="188" spans="1:16">
      <c r="A188" t="s">
        <v>5814</v>
      </c>
      <c r="B188" t="s">
        <v>5815</v>
      </c>
      <c r="C188" t="s">
        <v>6124</v>
      </c>
      <c r="D188" t="s">
        <v>5767</v>
      </c>
      <c r="E188" s="2">
        <v>30.06</v>
      </c>
      <c r="F188" s="1">
        <v>9</v>
      </c>
      <c r="G188" s="2">
        <v>270.53999999999996</v>
      </c>
      <c r="J188" s="5" t="s">
        <v>5543</v>
      </c>
      <c r="K188" t="s">
        <v>5544</v>
      </c>
      <c r="L188" t="s">
        <v>89</v>
      </c>
      <c r="M188" t="s">
        <v>86</v>
      </c>
      <c r="N188" s="2">
        <v>576.78200000000004</v>
      </c>
      <c r="O188" s="1">
        <v>6</v>
      </c>
      <c r="P188" s="2">
        <v>1730.346</v>
      </c>
    </row>
    <row r="189" spans="1:16">
      <c r="A189" t="s">
        <v>5743</v>
      </c>
      <c r="B189" t="s">
        <v>5744</v>
      </c>
      <c r="C189" t="s">
        <v>6124</v>
      </c>
      <c r="D189" t="s">
        <v>5704</v>
      </c>
      <c r="E189" s="2">
        <v>17.98</v>
      </c>
      <c r="F189" s="1">
        <v>15</v>
      </c>
      <c r="G189" s="2">
        <v>269.7</v>
      </c>
      <c r="J189" s="5" t="s">
        <v>2936</v>
      </c>
      <c r="K189" t="s">
        <v>2937</v>
      </c>
      <c r="L189" t="s">
        <v>373</v>
      </c>
      <c r="M189" t="s">
        <v>86</v>
      </c>
      <c r="N189" s="2">
        <v>18.2592</v>
      </c>
      <c r="O189" s="1">
        <v>188</v>
      </c>
      <c r="P189" s="2">
        <v>1716.3648000000001</v>
      </c>
    </row>
    <row r="190" spans="1:16">
      <c r="A190" t="s">
        <v>5727</v>
      </c>
      <c r="B190" t="s">
        <v>5728</v>
      </c>
      <c r="C190" t="s">
        <v>6124</v>
      </c>
      <c r="D190" t="s">
        <v>5704</v>
      </c>
      <c r="E190" s="2">
        <v>20.58</v>
      </c>
      <c r="F190" s="1">
        <v>13</v>
      </c>
      <c r="G190" s="2">
        <v>267.53999999999996</v>
      </c>
      <c r="J190" s="5" t="s">
        <v>773</v>
      </c>
      <c r="K190" t="s">
        <v>774</v>
      </c>
      <c r="L190" t="s">
        <v>580</v>
      </c>
      <c r="M190" t="s">
        <v>581</v>
      </c>
      <c r="N190" s="2">
        <v>2.1989999999999998</v>
      </c>
      <c r="O190" s="1">
        <v>1550</v>
      </c>
      <c r="P190" s="2">
        <v>1704.2249999999999</v>
      </c>
    </row>
    <row r="191" spans="1:16">
      <c r="A191" t="s">
        <v>5605</v>
      </c>
      <c r="B191" t="s">
        <v>5606</v>
      </c>
      <c r="C191" t="s">
        <v>6124</v>
      </c>
      <c r="D191" t="s">
        <v>3537</v>
      </c>
      <c r="E191" s="2">
        <v>7.41</v>
      </c>
      <c r="F191" s="1">
        <v>36</v>
      </c>
      <c r="G191" s="2">
        <v>266.76</v>
      </c>
      <c r="J191" s="5" t="s">
        <v>2029</v>
      </c>
      <c r="K191" t="s">
        <v>2030</v>
      </c>
      <c r="L191" t="s">
        <v>580</v>
      </c>
      <c r="M191" t="s">
        <v>619</v>
      </c>
      <c r="N191" s="2">
        <v>5.6184000000000003</v>
      </c>
      <c r="O191" s="1">
        <v>606</v>
      </c>
      <c r="P191" s="2">
        <v>1702.3752000000002</v>
      </c>
    </row>
    <row r="192" spans="1:16">
      <c r="A192" t="s">
        <v>5794</v>
      </c>
      <c r="B192" t="s">
        <v>5795</v>
      </c>
      <c r="C192" t="s">
        <v>6124</v>
      </c>
      <c r="D192" t="s">
        <v>5767</v>
      </c>
      <c r="E192" s="2">
        <v>12.57</v>
      </c>
      <c r="F192" s="1">
        <v>21</v>
      </c>
      <c r="G192" s="2">
        <v>263.97000000000003</v>
      </c>
      <c r="J192" s="5" t="s">
        <v>1893</v>
      </c>
      <c r="K192" t="s">
        <v>1894</v>
      </c>
      <c r="L192" t="s">
        <v>580</v>
      </c>
      <c r="M192" t="s">
        <v>581</v>
      </c>
      <c r="N192" s="2">
        <v>8.2376000000000005</v>
      </c>
      <c r="O192" s="1">
        <v>410</v>
      </c>
      <c r="P192" s="2">
        <v>1688.7080000000001</v>
      </c>
    </row>
    <row r="193" spans="1:16">
      <c r="A193" t="s">
        <v>6057</v>
      </c>
      <c r="B193" t="s">
        <v>6058</v>
      </c>
      <c r="C193" t="s">
        <v>6124</v>
      </c>
      <c r="D193" t="s">
        <v>5922</v>
      </c>
      <c r="E193" s="2">
        <v>1.0900000000000001</v>
      </c>
      <c r="F193" s="1">
        <v>236</v>
      </c>
      <c r="G193" s="2">
        <v>257.24</v>
      </c>
      <c r="J193" s="5" t="s">
        <v>1817</v>
      </c>
      <c r="K193" t="s">
        <v>1818</v>
      </c>
      <c r="L193" t="s">
        <v>124</v>
      </c>
      <c r="M193" t="s">
        <v>125</v>
      </c>
      <c r="N193" s="2">
        <v>1686.9474</v>
      </c>
      <c r="O193" s="1">
        <v>2</v>
      </c>
      <c r="P193" s="2">
        <v>1686.9474</v>
      </c>
    </row>
    <row r="194" spans="1:16">
      <c r="A194" t="s">
        <v>5894</v>
      </c>
      <c r="B194" t="s">
        <v>5895</v>
      </c>
      <c r="C194" t="s">
        <v>6124</v>
      </c>
      <c r="D194" t="s">
        <v>5767</v>
      </c>
      <c r="E194" s="2">
        <v>19.14</v>
      </c>
      <c r="F194" s="1">
        <v>13</v>
      </c>
      <c r="G194" s="2">
        <v>248.82</v>
      </c>
      <c r="J194" s="5" t="s">
        <v>1915</v>
      </c>
      <c r="K194" t="s">
        <v>1916</v>
      </c>
      <c r="L194" t="s">
        <v>3411</v>
      </c>
      <c r="M194" t="s">
        <v>125</v>
      </c>
      <c r="N194" s="2">
        <v>49.524000000000001</v>
      </c>
      <c r="O194" s="1">
        <v>102</v>
      </c>
      <c r="P194" s="2">
        <v>1683.8159999999998</v>
      </c>
    </row>
    <row r="195" spans="1:16">
      <c r="A195" t="s">
        <v>5834</v>
      </c>
      <c r="B195" t="s">
        <v>5835</v>
      </c>
      <c r="C195" t="s">
        <v>6124</v>
      </c>
      <c r="D195" t="s">
        <v>5767</v>
      </c>
      <c r="E195" s="2">
        <v>41.34</v>
      </c>
      <c r="F195" s="1">
        <v>6</v>
      </c>
      <c r="G195" s="2">
        <v>248.04000000000002</v>
      </c>
      <c r="J195" s="5" t="s">
        <v>4276</v>
      </c>
      <c r="K195" t="s">
        <v>4277</v>
      </c>
      <c r="L195" t="s">
        <v>85</v>
      </c>
      <c r="M195" t="s">
        <v>86</v>
      </c>
      <c r="N195" s="2">
        <v>9.4245999999999999</v>
      </c>
      <c r="O195" s="1">
        <v>356</v>
      </c>
      <c r="P195" s="2">
        <v>1677.5788</v>
      </c>
    </row>
    <row r="196" spans="1:16">
      <c r="A196" t="s">
        <v>5931</v>
      </c>
      <c r="B196" t="s">
        <v>5932</v>
      </c>
      <c r="C196" t="s">
        <v>6124</v>
      </c>
      <c r="D196" t="s">
        <v>5922</v>
      </c>
      <c r="E196" s="2">
        <v>17.600000000000001</v>
      </c>
      <c r="F196" s="1">
        <v>14</v>
      </c>
      <c r="G196" s="2">
        <v>246.40000000000003</v>
      </c>
      <c r="J196" s="5" t="s">
        <v>260</v>
      </c>
      <c r="K196" t="s">
        <v>3831</v>
      </c>
      <c r="L196" t="s">
        <v>228</v>
      </c>
      <c r="M196" t="s">
        <v>86</v>
      </c>
      <c r="N196" s="2">
        <v>52.185200000000002</v>
      </c>
      <c r="O196" s="1">
        <v>64</v>
      </c>
      <c r="P196" s="2">
        <v>1669.9264000000001</v>
      </c>
    </row>
    <row r="197" spans="1:16">
      <c r="A197" t="s">
        <v>6075</v>
      </c>
      <c r="B197" t="s">
        <v>6076</v>
      </c>
      <c r="C197" t="s">
        <v>6124</v>
      </c>
      <c r="D197" t="s">
        <v>5922</v>
      </c>
      <c r="E197" s="2">
        <v>1.59</v>
      </c>
      <c r="F197" s="1">
        <v>154</v>
      </c>
      <c r="G197" s="2">
        <v>244.86</v>
      </c>
      <c r="J197" s="5" t="s">
        <v>5113</v>
      </c>
      <c r="K197" t="s">
        <v>5114</v>
      </c>
      <c r="L197" t="s">
        <v>580</v>
      </c>
      <c r="M197" t="s">
        <v>619</v>
      </c>
      <c r="N197" s="2">
        <v>15.289400000000001</v>
      </c>
      <c r="O197" s="1">
        <v>108</v>
      </c>
      <c r="P197" s="2">
        <v>1651.2552000000001</v>
      </c>
    </row>
    <row r="198" spans="1:16">
      <c r="A198" t="s">
        <v>5741</v>
      </c>
      <c r="B198" t="s">
        <v>5742</v>
      </c>
      <c r="C198" t="s">
        <v>6124</v>
      </c>
      <c r="D198" t="s">
        <v>5704</v>
      </c>
      <c r="E198" s="2">
        <v>1.38</v>
      </c>
      <c r="F198" s="1">
        <v>174</v>
      </c>
      <c r="G198" s="2">
        <v>240.11999999999998</v>
      </c>
      <c r="J198" s="5" t="s">
        <v>399</v>
      </c>
      <c r="K198" t="s">
        <v>4242</v>
      </c>
      <c r="L198" t="s">
        <v>85</v>
      </c>
      <c r="M198" t="s">
        <v>86</v>
      </c>
      <c r="N198" s="2">
        <v>33.613799999999998</v>
      </c>
      <c r="O198" s="1">
        <v>98</v>
      </c>
      <c r="P198" s="2">
        <v>1647.0762</v>
      </c>
    </row>
    <row r="199" spans="1:16">
      <c r="A199" t="s">
        <v>5657</v>
      </c>
      <c r="B199" t="s">
        <v>5658</v>
      </c>
      <c r="C199" t="s">
        <v>6124</v>
      </c>
      <c r="D199" t="s">
        <v>3537</v>
      </c>
      <c r="E199" s="2">
        <v>5.84</v>
      </c>
      <c r="F199" s="1">
        <v>41</v>
      </c>
      <c r="G199" s="2">
        <v>239.44</v>
      </c>
      <c r="J199" s="5" t="s">
        <v>5189</v>
      </c>
      <c r="K199" t="s">
        <v>5190</v>
      </c>
      <c r="L199" t="s">
        <v>124</v>
      </c>
      <c r="M199" t="s">
        <v>125</v>
      </c>
      <c r="N199" s="2">
        <v>408.06439999999998</v>
      </c>
      <c r="O199" s="1">
        <v>8</v>
      </c>
      <c r="P199" s="2">
        <v>1632.2575999999999</v>
      </c>
    </row>
    <row r="200" spans="1:16">
      <c r="A200" t="s">
        <v>5842</v>
      </c>
      <c r="B200" t="s">
        <v>5843</v>
      </c>
      <c r="C200" t="s">
        <v>6124</v>
      </c>
      <c r="D200" t="s">
        <v>5767</v>
      </c>
      <c r="E200" s="2">
        <v>118.74</v>
      </c>
      <c r="F200" s="1">
        <v>2</v>
      </c>
      <c r="G200" s="2">
        <v>237.48</v>
      </c>
      <c r="J200" s="5" t="s">
        <v>813</v>
      </c>
      <c r="K200" t="s">
        <v>814</v>
      </c>
      <c r="L200" t="s">
        <v>618</v>
      </c>
      <c r="M200" t="s">
        <v>626</v>
      </c>
      <c r="N200" s="2">
        <v>2.9655999999999998</v>
      </c>
      <c r="O200" s="1">
        <v>1100</v>
      </c>
      <c r="P200" s="2">
        <v>1631.08</v>
      </c>
    </row>
    <row r="201" spans="1:16">
      <c r="A201" t="s">
        <v>5806</v>
      </c>
      <c r="B201" t="s">
        <v>5807</v>
      </c>
      <c r="C201" t="s">
        <v>6124</v>
      </c>
      <c r="D201" t="s">
        <v>5767</v>
      </c>
      <c r="E201" s="2">
        <v>46.85</v>
      </c>
      <c r="F201" s="1">
        <v>5</v>
      </c>
      <c r="G201" s="2">
        <v>234.25</v>
      </c>
      <c r="J201" s="5" t="s">
        <v>718</v>
      </c>
      <c r="K201" t="s">
        <v>719</v>
      </c>
      <c r="L201" t="s">
        <v>580</v>
      </c>
      <c r="M201" t="s">
        <v>581</v>
      </c>
      <c r="N201" s="2">
        <v>4.2628000000000004</v>
      </c>
      <c r="O201" s="1">
        <v>752</v>
      </c>
      <c r="P201" s="2">
        <v>1602.8128000000002</v>
      </c>
    </row>
    <row r="202" spans="1:16">
      <c r="A202" t="s">
        <v>5957</v>
      </c>
      <c r="B202" t="s">
        <v>5958</v>
      </c>
      <c r="C202" t="s">
        <v>6124</v>
      </c>
      <c r="D202" t="s">
        <v>5922</v>
      </c>
      <c r="E202" s="2">
        <v>0.73</v>
      </c>
      <c r="F202" s="1">
        <v>314</v>
      </c>
      <c r="G202" s="2">
        <v>229.22</v>
      </c>
      <c r="J202" s="5" t="s">
        <v>1598</v>
      </c>
      <c r="K202" t="s">
        <v>1599</v>
      </c>
      <c r="L202" t="s">
        <v>115</v>
      </c>
      <c r="M202" t="s">
        <v>102</v>
      </c>
      <c r="N202" s="2">
        <v>0.13700000000000001</v>
      </c>
      <c r="O202" s="1">
        <v>11607</v>
      </c>
      <c r="P202" s="2">
        <v>1590.1590000000001</v>
      </c>
    </row>
    <row r="203" spans="1:16">
      <c r="A203" t="s">
        <v>5959</v>
      </c>
      <c r="B203" t="s">
        <v>5960</v>
      </c>
      <c r="C203" t="s">
        <v>6124</v>
      </c>
      <c r="D203" t="s">
        <v>5922</v>
      </c>
      <c r="E203" s="2">
        <v>0.73</v>
      </c>
      <c r="F203" s="1">
        <v>313</v>
      </c>
      <c r="G203" s="2">
        <v>228.48999999999998</v>
      </c>
      <c r="J203" s="5" t="s">
        <v>1997</v>
      </c>
      <c r="K203" t="s">
        <v>5313</v>
      </c>
      <c r="L203" t="s">
        <v>101</v>
      </c>
      <c r="M203" t="s">
        <v>102</v>
      </c>
      <c r="N203" s="2">
        <v>0.745</v>
      </c>
      <c r="O203" s="1">
        <v>2128</v>
      </c>
      <c r="P203" s="2">
        <v>1585.36</v>
      </c>
    </row>
    <row r="204" spans="1:16">
      <c r="A204" t="s">
        <v>5918</v>
      </c>
      <c r="B204" t="s">
        <v>5919</v>
      </c>
      <c r="C204" t="s">
        <v>6124</v>
      </c>
      <c r="D204" t="s">
        <v>5767</v>
      </c>
      <c r="E204" s="2">
        <v>6.71</v>
      </c>
      <c r="F204" s="1">
        <v>34</v>
      </c>
      <c r="G204" s="2">
        <v>228.14</v>
      </c>
      <c r="J204" s="5" t="s">
        <v>4499</v>
      </c>
      <c r="K204" t="s">
        <v>4500</v>
      </c>
      <c r="L204" t="s">
        <v>85</v>
      </c>
      <c r="M204" t="s">
        <v>86</v>
      </c>
      <c r="N204" s="2">
        <v>38.366599999999998</v>
      </c>
      <c r="O204" s="1">
        <v>82</v>
      </c>
      <c r="P204" s="2">
        <v>1573.0305999999998</v>
      </c>
    </row>
    <row r="205" spans="1:16">
      <c r="A205" t="s">
        <v>5993</v>
      </c>
      <c r="B205" t="s">
        <v>5994</v>
      </c>
      <c r="C205" t="s">
        <v>6124</v>
      </c>
      <c r="D205" t="s">
        <v>5922</v>
      </c>
      <c r="E205" s="2">
        <v>0.37</v>
      </c>
      <c r="F205" s="1">
        <v>610</v>
      </c>
      <c r="G205" s="2">
        <v>225.7</v>
      </c>
      <c r="J205" s="5" t="s">
        <v>2041</v>
      </c>
      <c r="K205" t="s">
        <v>2042</v>
      </c>
      <c r="L205" t="s">
        <v>580</v>
      </c>
      <c r="M205" t="s">
        <v>619</v>
      </c>
      <c r="N205" s="2">
        <v>2.5838000000000001</v>
      </c>
      <c r="O205" s="1">
        <v>1216</v>
      </c>
      <c r="P205" s="2">
        <v>1570.9504000000002</v>
      </c>
    </row>
    <row r="206" spans="1:16">
      <c r="A206" t="s">
        <v>6031</v>
      </c>
      <c r="B206" t="s">
        <v>6032</v>
      </c>
      <c r="C206" t="s">
        <v>6124</v>
      </c>
      <c r="D206" t="s">
        <v>5922</v>
      </c>
      <c r="E206" s="2">
        <v>5.18</v>
      </c>
      <c r="F206" s="1">
        <v>42</v>
      </c>
      <c r="G206" s="2">
        <v>217.56</v>
      </c>
      <c r="J206" s="5" t="s">
        <v>2647</v>
      </c>
      <c r="K206" t="s">
        <v>2648</v>
      </c>
      <c r="L206" t="s">
        <v>5474</v>
      </c>
      <c r="M206" t="s">
        <v>125</v>
      </c>
      <c r="N206" s="2">
        <v>173.74</v>
      </c>
      <c r="O206" s="1">
        <v>9</v>
      </c>
      <c r="P206" s="2">
        <v>1563.66</v>
      </c>
    </row>
    <row r="207" spans="1:16">
      <c r="A207" t="s">
        <v>5553</v>
      </c>
      <c r="B207" t="s">
        <v>5554</v>
      </c>
      <c r="C207" t="s">
        <v>6124</v>
      </c>
      <c r="D207" t="s">
        <v>3537</v>
      </c>
      <c r="E207" s="2">
        <v>8</v>
      </c>
      <c r="F207" s="1">
        <v>27</v>
      </c>
      <c r="G207" s="2">
        <v>216</v>
      </c>
      <c r="J207" s="5" t="s">
        <v>850</v>
      </c>
      <c r="K207" t="s">
        <v>851</v>
      </c>
      <c r="L207" t="s">
        <v>618</v>
      </c>
      <c r="M207" t="s">
        <v>711</v>
      </c>
      <c r="N207" s="2">
        <v>7.1863999999999999</v>
      </c>
      <c r="O207" s="1">
        <v>434</v>
      </c>
      <c r="P207" s="2">
        <v>1559.4487999999999</v>
      </c>
    </row>
    <row r="208" spans="1:16">
      <c r="A208" t="s">
        <v>6079</v>
      </c>
      <c r="B208" t="s">
        <v>6080</v>
      </c>
      <c r="C208" t="s">
        <v>6124</v>
      </c>
      <c r="D208" t="s">
        <v>5922</v>
      </c>
      <c r="E208" s="2">
        <v>1.1599999999999999</v>
      </c>
      <c r="F208" s="1">
        <v>180</v>
      </c>
      <c r="G208" s="2">
        <v>208.79999999999998</v>
      </c>
      <c r="J208" s="5" t="s">
        <v>5426</v>
      </c>
      <c r="K208" t="s">
        <v>5427</v>
      </c>
      <c r="L208" t="s">
        <v>228</v>
      </c>
      <c r="M208" t="s">
        <v>86</v>
      </c>
      <c r="N208" s="2">
        <v>86.404600000000002</v>
      </c>
      <c r="O208" s="1">
        <v>36</v>
      </c>
      <c r="P208" s="2">
        <v>1555.2828</v>
      </c>
    </row>
    <row r="209" spans="1:16">
      <c r="A209" t="s">
        <v>6039</v>
      </c>
      <c r="B209" t="s">
        <v>6040</v>
      </c>
      <c r="C209" t="s">
        <v>6124</v>
      </c>
      <c r="D209" t="s">
        <v>5922</v>
      </c>
      <c r="E209" s="2">
        <v>12.28</v>
      </c>
      <c r="F209" s="1">
        <v>17</v>
      </c>
      <c r="G209" s="2">
        <v>208.76</v>
      </c>
      <c r="J209" s="5" t="s">
        <v>3097</v>
      </c>
      <c r="K209" t="s">
        <v>2373</v>
      </c>
      <c r="L209" t="s">
        <v>85</v>
      </c>
      <c r="M209" t="s">
        <v>86</v>
      </c>
      <c r="N209" s="2">
        <v>51.616199999999999</v>
      </c>
      <c r="O209" s="1">
        <v>60</v>
      </c>
      <c r="P209" s="2">
        <v>1548.4859999999999</v>
      </c>
    </row>
    <row r="210" spans="1:16">
      <c r="A210" t="s">
        <v>6065</v>
      </c>
      <c r="B210" t="s">
        <v>6066</v>
      </c>
      <c r="C210" t="s">
        <v>6124</v>
      </c>
      <c r="D210" t="s">
        <v>5922</v>
      </c>
      <c r="E210" s="2">
        <v>0.84</v>
      </c>
      <c r="F210" s="1">
        <v>247</v>
      </c>
      <c r="G210" s="2">
        <v>207.48</v>
      </c>
      <c r="J210" s="5" t="s">
        <v>3935</v>
      </c>
      <c r="K210" t="s">
        <v>3936</v>
      </c>
      <c r="L210" t="s">
        <v>467</v>
      </c>
      <c r="M210" t="s">
        <v>86</v>
      </c>
      <c r="N210" s="2">
        <v>507.91379999999998</v>
      </c>
      <c r="O210" s="1">
        <v>6</v>
      </c>
      <c r="P210" s="2">
        <v>1523.7413999999999</v>
      </c>
    </row>
    <row r="211" spans="1:16">
      <c r="A211" t="s">
        <v>5661</v>
      </c>
      <c r="B211" t="s">
        <v>5662</v>
      </c>
      <c r="C211" t="s">
        <v>6124</v>
      </c>
      <c r="D211" t="s">
        <v>3537</v>
      </c>
      <c r="E211" s="2">
        <v>12.96</v>
      </c>
      <c r="F211" s="1">
        <v>16</v>
      </c>
      <c r="G211" s="2">
        <v>207.36</v>
      </c>
      <c r="J211" s="5" t="s">
        <v>1255</v>
      </c>
      <c r="K211" t="s">
        <v>1256</v>
      </c>
      <c r="L211" t="s">
        <v>101</v>
      </c>
      <c r="M211" t="s">
        <v>581</v>
      </c>
      <c r="N211" s="2">
        <v>1.56</v>
      </c>
      <c r="O211" s="1">
        <v>976</v>
      </c>
      <c r="P211" s="2">
        <v>1522.56</v>
      </c>
    </row>
    <row r="212" spans="1:16">
      <c r="A212" t="s">
        <v>6041</v>
      </c>
      <c r="B212" t="s">
        <v>6042</v>
      </c>
      <c r="C212" t="s">
        <v>6124</v>
      </c>
      <c r="D212" t="s">
        <v>5922</v>
      </c>
      <c r="E212" s="2">
        <v>0.6</v>
      </c>
      <c r="F212" s="1">
        <v>343</v>
      </c>
      <c r="G212" s="2">
        <v>205.79999999999998</v>
      </c>
      <c r="J212" s="5" t="s">
        <v>667</v>
      </c>
      <c r="K212" t="s">
        <v>668</v>
      </c>
      <c r="L212" t="s">
        <v>208</v>
      </c>
      <c r="M212" t="s">
        <v>125</v>
      </c>
      <c r="N212" s="2">
        <v>749.26739999999995</v>
      </c>
      <c r="O212" s="1">
        <v>4</v>
      </c>
      <c r="P212" s="2">
        <v>1498.5347999999999</v>
      </c>
    </row>
    <row r="213" spans="1:16">
      <c r="A213" t="s">
        <v>5925</v>
      </c>
      <c r="B213" t="s">
        <v>5926</v>
      </c>
      <c r="C213" t="s">
        <v>6124</v>
      </c>
      <c r="D213" t="s">
        <v>5922</v>
      </c>
      <c r="E213" s="2">
        <v>6.05</v>
      </c>
      <c r="F213" s="1">
        <v>34</v>
      </c>
      <c r="G213" s="2">
        <v>205.7</v>
      </c>
      <c r="J213" s="5" t="s">
        <v>2010</v>
      </c>
      <c r="K213" t="s">
        <v>5329</v>
      </c>
      <c r="L213" t="s">
        <v>618</v>
      </c>
      <c r="M213" t="s">
        <v>626</v>
      </c>
      <c r="N213" s="2">
        <v>15.4168</v>
      </c>
      <c r="O213" s="1">
        <v>194</v>
      </c>
      <c r="P213" s="2">
        <v>1495.4295999999999</v>
      </c>
    </row>
    <row r="214" spans="1:16">
      <c r="A214" t="s">
        <v>6013</v>
      </c>
      <c r="B214" t="s">
        <v>6014</v>
      </c>
      <c r="C214" t="s">
        <v>6124</v>
      </c>
      <c r="D214" t="s">
        <v>5922</v>
      </c>
      <c r="E214" s="2">
        <v>1.78</v>
      </c>
      <c r="F214" s="1">
        <v>115</v>
      </c>
      <c r="G214" s="2">
        <v>204.70000000000002</v>
      </c>
      <c r="J214" s="5" t="s">
        <v>3210</v>
      </c>
      <c r="K214" t="s">
        <v>3211</v>
      </c>
      <c r="L214" t="s">
        <v>228</v>
      </c>
      <c r="M214" t="s">
        <v>86</v>
      </c>
      <c r="N214" s="2">
        <v>91.554000000000002</v>
      </c>
      <c r="O214" s="1">
        <v>48</v>
      </c>
      <c r="P214" s="2">
        <v>1464.864</v>
      </c>
    </row>
    <row r="215" spans="1:16">
      <c r="A215" t="s">
        <v>5961</v>
      </c>
      <c r="B215" t="s">
        <v>5962</v>
      </c>
      <c r="C215" t="s">
        <v>6124</v>
      </c>
      <c r="D215" t="s">
        <v>5922</v>
      </c>
      <c r="E215" s="2">
        <v>0.73</v>
      </c>
      <c r="F215" s="1">
        <v>279</v>
      </c>
      <c r="G215" s="2">
        <v>203.67</v>
      </c>
      <c r="J215" s="5" t="s">
        <v>781</v>
      </c>
      <c r="K215" t="s">
        <v>782</v>
      </c>
      <c r="L215" t="s">
        <v>580</v>
      </c>
      <c r="M215" t="s">
        <v>581</v>
      </c>
      <c r="N215" s="2">
        <v>4.6707999999999998</v>
      </c>
      <c r="O215" s="1">
        <v>626</v>
      </c>
      <c r="P215" s="2">
        <v>1461.9603999999999</v>
      </c>
    </row>
    <row r="216" spans="1:16">
      <c r="A216" t="s">
        <v>5784</v>
      </c>
      <c r="B216" t="s">
        <v>5785</v>
      </c>
      <c r="C216" t="s">
        <v>6124</v>
      </c>
      <c r="D216" t="s">
        <v>5767</v>
      </c>
      <c r="E216" s="2">
        <v>24.81</v>
      </c>
      <c r="F216" s="1">
        <v>8</v>
      </c>
      <c r="G216" s="2">
        <v>198.48</v>
      </c>
      <c r="J216" s="5" t="s">
        <v>4071</v>
      </c>
      <c r="K216" t="s">
        <v>4072</v>
      </c>
      <c r="L216" t="s">
        <v>228</v>
      </c>
      <c r="M216" t="s">
        <v>86</v>
      </c>
      <c r="N216" s="2">
        <v>19.727399999999999</v>
      </c>
      <c r="O216" s="1">
        <v>222</v>
      </c>
      <c r="P216" s="2">
        <v>1459.8276000000001</v>
      </c>
    </row>
    <row r="217" spans="1:16">
      <c r="A217" t="s">
        <v>5848</v>
      </c>
      <c r="B217" t="s">
        <v>5849</v>
      </c>
      <c r="C217" t="s">
        <v>6124</v>
      </c>
      <c r="D217" t="s">
        <v>5767</v>
      </c>
      <c r="E217" s="2">
        <v>3.88</v>
      </c>
      <c r="F217" s="1">
        <v>51</v>
      </c>
      <c r="G217" s="2">
        <v>197.88</v>
      </c>
      <c r="J217" s="5" t="s">
        <v>1995</v>
      </c>
      <c r="K217" t="s">
        <v>1996</v>
      </c>
      <c r="L217" t="s">
        <v>101</v>
      </c>
      <c r="M217" t="s">
        <v>102</v>
      </c>
      <c r="N217" s="2">
        <v>0.50180000000000002</v>
      </c>
      <c r="O217" s="1">
        <v>2896</v>
      </c>
      <c r="P217" s="2">
        <v>1453.2128</v>
      </c>
    </row>
    <row r="218" spans="1:16">
      <c r="A218" t="s">
        <v>6033</v>
      </c>
      <c r="B218" t="s">
        <v>6034</v>
      </c>
      <c r="C218" t="s">
        <v>6124</v>
      </c>
      <c r="D218" t="s">
        <v>5922</v>
      </c>
      <c r="E218" s="2">
        <v>4.91</v>
      </c>
      <c r="F218" s="1">
        <v>40</v>
      </c>
      <c r="G218" s="2">
        <v>196.4</v>
      </c>
      <c r="J218" s="5" t="s">
        <v>1924</v>
      </c>
      <c r="K218" t="s">
        <v>1925</v>
      </c>
      <c r="L218" t="s">
        <v>31</v>
      </c>
      <c r="M218" t="s">
        <v>1931</v>
      </c>
      <c r="N218" s="2">
        <v>2.5499999999999998</v>
      </c>
      <c r="O218" s="1">
        <v>565</v>
      </c>
      <c r="P218" s="2">
        <v>1440.75</v>
      </c>
    </row>
    <row r="219" spans="1:16">
      <c r="A219" t="s">
        <v>5615</v>
      </c>
      <c r="B219" t="s">
        <v>5616</v>
      </c>
      <c r="C219" t="s">
        <v>6124</v>
      </c>
      <c r="D219" t="s">
        <v>3537</v>
      </c>
      <c r="E219" s="2">
        <v>7.41</v>
      </c>
      <c r="F219" s="1">
        <v>26</v>
      </c>
      <c r="G219" s="2">
        <v>192.66</v>
      </c>
      <c r="J219" s="5" t="s">
        <v>2372</v>
      </c>
      <c r="K219" t="s">
        <v>2373</v>
      </c>
      <c r="L219" t="s">
        <v>85</v>
      </c>
      <c r="M219" t="s">
        <v>86</v>
      </c>
      <c r="N219" s="2">
        <v>49.180399999999999</v>
      </c>
      <c r="O219" s="1">
        <v>58</v>
      </c>
      <c r="P219" s="2">
        <v>1426.2316000000001</v>
      </c>
    </row>
    <row r="220" spans="1:16">
      <c r="A220" t="s">
        <v>6083</v>
      </c>
      <c r="B220" t="s">
        <v>6084</v>
      </c>
      <c r="C220" t="s">
        <v>6124</v>
      </c>
      <c r="D220" t="s">
        <v>5922</v>
      </c>
      <c r="E220" s="2">
        <v>2.0299999999999998</v>
      </c>
      <c r="F220" s="1">
        <v>92</v>
      </c>
      <c r="G220" s="2">
        <v>186.76</v>
      </c>
      <c r="J220" s="5" t="s">
        <v>1257</v>
      </c>
      <c r="K220" t="s">
        <v>1258</v>
      </c>
      <c r="L220" t="s">
        <v>101</v>
      </c>
      <c r="M220" t="s">
        <v>581</v>
      </c>
      <c r="N220" s="2">
        <v>1.5599000000000001</v>
      </c>
      <c r="O220" s="1">
        <v>914</v>
      </c>
      <c r="P220" s="2">
        <v>1425.7486000000001</v>
      </c>
    </row>
    <row r="221" spans="1:16">
      <c r="A221" t="s">
        <v>6105</v>
      </c>
      <c r="B221" t="s">
        <v>6106</v>
      </c>
      <c r="C221" t="s">
        <v>6124</v>
      </c>
      <c r="D221" t="s">
        <v>5922</v>
      </c>
      <c r="E221" s="2">
        <v>1.19</v>
      </c>
      <c r="F221" s="1">
        <v>153</v>
      </c>
      <c r="G221" s="2">
        <v>182.07</v>
      </c>
      <c r="J221" s="5" t="s">
        <v>1267</v>
      </c>
      <c r="K221" t="s">
        <v>1268</v>
      </c>
      <c r="L221" t="s">
        <v>101</v>
      </c>
      <c r="M221" t="s">
        <v>581</v>
      </c>
      <c r="N221" s="2">
        <v>773.87030000000004</v>
      </c>
      <c r="O221" s="1">
        <v>1.8306</v>
      </c>
      <c r="P221" s="2">
        <v>1416.64697118</v>
      </c>
    </row>
    <row r="222" spans="1:16">
      <c r="A222" t="s">
        <v>6027</v>
      </c>
      <c r="B222" t="s">
        <v>6028</v>
      </c>
      <c r="C222" t="s">
        <v>6124</v>
      </c>
      <c r="D222" t="s">
        <v>5922</v>
      </c>
      <c r="E222" s="2">
        <v>2.12</v>
      </c>
      <c r="F222" s="1">
        <v>85</v>
      </c>
      <c r="G222" s="2">
        <v>180.20000000000002</v>
      </c>
      <c r="J222" s="5" t="s">
        <v>4589</v>
      </c>
      <c r="K222" t="s">
        <v>4590</v>
      </c>
      <c r="L222" t="s">
        <v>467</v>
      </c>
      <c r="M222" t="s">
        <v>86</v>
      </c>
      <c r="N222" s="2">
        <v>702.74519999999995</v>
      </c>
      <c r="O222" s="1">
        <v>4</v>
      </c>
      <c r="P222" s="2">
        <v>1405.4903999999999</v>
      </c>
    </row>
    <row r="223" spans="1:16">
      <c r="A223" t="s">
        <v>5607</v>
      </c>
      <c r="B223" t="s">
        <v>5608</v>
      </c>
      <c r="C223" t="s">
        <v>6124</v>
      </c>
      <c r="D223" t="s">
        <v>3537</v>
      </c>
      <c r="E223" s="2">
        <v>7.41</v>
      </c>
      <c r="F223" s="1">
        <v>24</v>
      </c>
      <c r="G223" s="2">
        <v>177.84</v>
      </c>
      <c r="J223" s="5" t="s">
        <v>1717</v>
      </c>
      <c r="K223" t="s">
        <v>1718</v>
      </c>
      <c r="L223" t="s">
        <v>5252</v>
      </c>
      <c r="M223" t="s">
        <v>5215</v>
      </c>
      <c r="N223" s="2">
        <v>0.72</v>
      </c>
      <c r="O223" s="1">
        <v>3894</v>
      </c>
      <c r="P223" s="2">
        <v>1401.84</v>
      </c>
    </row>
    <row r="224" spans="1:16">
      <c r="A224" t="s">
        <v>5655</v>
      </c>
      <c r="B224" t="s">
        <v>5656</v>
      </c>
      <c r="C224" t="s">
        <v>6124</v>
      </c>
      <c r="D224" t="s">
        <v>3537</v>
      </c>
      <c r="E224" s="2">
        <v>5.84</v>
      </c>
      <c r="F224" s="1">
        <v>30</v>
      </c>
      <c r="G224" s="2">
        <v>175.2</v>
      </c>
      <c r="J224" s="5" t="s">
        <v>620</v>
      </c>
      <c r="K224" t="s">
        <v>621</v>
      </c>
      <c r="L224" t="s">
        <v>580</v>
      </c>
      <c r="M224" t="s">
        <v>619</v>
      </c>
      <c r="N224" s="2">
        <v>36.632199999999997</v>
      </c>
      <c r="O224" s="1">
        <v>76</v>
      </c>
      <c r="P224" s="2">
        <v>1392.0236</v>
      </c>
    </row>
    <row r="225" spans="1:16">
      <c r="A225" t="s">
        <v>5569</v>
      </c>
      <c r="B225" t="s">
        <v>5570</v>
      </c>
      <c r="C225" t="s">
        <v>6124</v>
      </c>
      <c r="D225" t="s">
        <v>3537</v>
      </c>
      <c r="E225" s="2">
        <v>12.51</v>
      </c>
      <c r="F225" s="1">
        <v>14</v>
      </c>
      <c r="G225" s="2">
        <v>175.14</v>
      </c>
      <c r="J225" s="5" t="s">
        <v>3258</v>
      </c>
      <c r="K225" t="s">
        <v>3259</v>
      </c>
      <c r="L225" t="s">
        <v>263</v>
      </c>
      <c r="M225" t="s">
        <v>86</v>
      </c>
      <c r="N225" s="2">
        <v>53.469200000000001</v>
      </c>
      <c r="O225" s="1">
        <v>52</v>
      </c>
      <c r="P225" s="2">
        <v>1390.1992</v>
      </c>
    </row>
    <row r="226" spans="1:16">
      <c r="A226" t="s">
        <v>5651</v>
      </c>
      <c r="B226" t="s">
        <v>5652</v>
      </c>
      <c r="C226" t="s">
        <v>6124</v>
      </c>
      <c r="D226" t="s">
        <v>3537</v>
      </c>
      <c r="E226" s="2">
        <v>9.39</v>
      </c>
      <c r="F226" s="1">
        <v>18</v>
      </c>
      <c r="G226" s="2">
        <v>169.02</v>
      </c>
      <c r="J226" s="5" t="s">
        <v>797</v>
      </c>
      <c r="K226" t="s">
        <v>798</v>
      </c>
      <c r="L226" t="s">
        <v>580</v>
      </c>
      <c r="M226" t="s">
        <v>619</v>
      </c>
      <c r="N226" s="2">
        <v>2.4020999999999999</v>
      </c>
      <c r="O226" s="1">
        <v>577</v>
      </c>
      <c r="P226" s="2">
        <v>1386.0117</v>
      </c>
    </row>
    <row r="227" spans="1:16">
      <c r="A227" t="s">
        <v>5559</v>
      </c>
      <c r="B227" t="s">
        <v>5560</v>
      </c>
      <c r="C227" t="s">
        <v>6124</v>
      </c>
      <c r="D227" t="s">
        <v>3537</v>
      </c>
      <c r="E227" s="2">
        <v>6.87</v>
      </c>
      <c r="F227" s="1">
        <v>24</v>
      </c>
      <c r="G227" s="2">
        <v>164.88</v>
      </c>
      <c r="J227" s="5" t="s">
        <v>1289</v>
      </c>
      <c r="K227" t="s">
        <v>1290</v>
      </c>
      <c r="L227" t="s">
        <v>101</v>
      </c>
      <c r="M227" t="s">
        <v>626</v>
      </c>
      <c r="N227" s="2">
        <v>1200.9903999999999</v>
      </c>
      <c r="O227" s="1">
        <v>1.1468</v>
      </c>
      <c r="P227" s="2">
        <v>1377.29579072</v>
      </c>
    </row>
    <row r="228" spans="1:16">
      <c r="A228" t="s">
        <v>5659</v>
      </c>
      <c r="B228" t="s">
        <v>5660</v>
      </c>
      <c r="C228" t="s">
        <v>6124</v>
      </c>
      <c r="D228" t="s">
        <v>3537</v>
      </c>
      <c r="E228" s="2">
        <v>5.84</v>
      </c>
      <c r="F228" s="1">
        <v>28</v>
      </c>
      <c r="G228" s="2">
        <v>163.51999999999998</v>
      </c>
      <c r="J228" s="5" t="s">
        <v>1979</v>
      </c>
      <c r="K228" t="s">
        <v>1980</v>
      </c>
      <c r="L228" t="s">
        <v>101</v>
      </c>
      <c r="M228" t="s">
        <v>102</v>
      </c>
      <c r="N228" s="2">
        <v>0.9375</v>
      </c>
      <c r="O228" s="1">
        <v>1469</v>
      </c>
      <c r="P228" s="2">
        <v>1377.1875</v>
      </c>
    </row>
    <row r="229" spans="1:16">
      <c r="A229" t="s">
        <v>5997</v>
      </c>
      <c r="B229" t="s">
        <v>5998</v>
      </c>
      <c r="C229" t="s">
        <v>6124</v>
      </c>
      <c r="D229" t="s">
        <v>5922</v>
      </c>
      <c r="E229" s="2">
        <v>0.43</v>
      </c>
      <c r="F229" s="1">
        <v>377</v>
      </c>
      <c r="G229" s="2">
        <v>162.10999999999999</v>
      </c>
      <c r="J229" s="5" t="s">
        <v>4765</v>
      </c>
      <c r="K229" t="s">
        <v>4766</v>
      </c>
      <c r="L229" t="s">
        <v>85</v>
      </c>
      <c r="M229" t="s">
        <v>86</v>
      </c>
      <c r="N229" s="2">
        <v>111.9794</v>
      </c>
      <c r="O229" s="1">
        <v>24</v>
      </c>
      <c r="P229" s="2">
        <v>1343.7528</v>
      </c>
    </row>
    <row r="230" spans="1:16">
      <c r="A230" t="s">
        <v>6035</v>
      </c>
      <c r="B230" t="s">
        <v>6036</v>
      </c>
      <c r="C230" t="s">
        <v>6124</v>
      </c>
      <c r="D230" t="s">
        <v>5922</v>
      </c>
      <c r="E230" s="2">
        <v>2.5499999999999998</v>
      </c>
      <c r="F230" s="1">
        <v>63</v>
      </c>
      <c r="G230" s="2">
        <v>160.64999999999998</v>
      </c>
      <c r="J230" s="5" t="s">
        <v>3400</v>
      </c>
      <c r="K230" t="s">
        <v>3401</v>
      </c>
      <c r="L230" t="s">
        <v>1847</v>
      </c>
      <c r="M230" t="s">
        <v>125</v>
      </c>
      <c r="N230" s="2">
        <v>1340.8422</v>
      </c>
      <c r="O230" s="1">
        <v>2</v>
      </c>
      <c r="P230" s="2">
        <v>1340.8422</v>
      </c>
    </row>
    <row r="231" spans="1:16">
      <c r="A231" t="s">
        <v>5639</v>
      </c>
      <c r="B231" t="s">
        <v>5640</v>
      </c>
      <c r="C231" t="s">
        <v>6124</v>
      </c>
      <c r="D231" t="s">
        <v>3537</v>
      </c>
      <c r="E231" s="2">
        <v>3.41</v>
      </c>
      <c r="F231" s="1">
        <v>47</v>
      </c>
      <c r="G231" s="2">
        <v>160.27000000000001</v>
      </c>
      <c r="J231" s="5" t="s">
        <v>4033</v>
      </c>
      <c r="K231" t="s">
        <v>4034</v>
      </c>
      <c r="L231" t="s">
        <v>263</v>
      </c>
      <c r="M231" t="s">
        <v>86</v>
      </c>
      <c r="N231" s="2">
        <v>44.661000000000001</v>
      </c>
      <c r="O231" s="1">
        <v>60</v>
      </c>
      <c r="P231" s="2">
        <v>1339.83</v>
      </c>
    </row>
    <row r="232" spans="1:16">
      <c r="A232" t="s">
        <v>5953</v>
      </c>
      <c r="B232" t="s">
        <v>5954</v>
      </c>
      <c r="C232" t="s">
        <v>6124</v>
      </c>
      <c r="D232" t="s">
        <v>5922</v>
      </c>
      <c r="E232" s="2">
        <v>2.4500000000000002</v>
      </c>
      <c r="F232" s="1">
        <v>65</v>
      </c>
      <c r="G232" s="2">
        <v>159.25</v>
      </c>
      <c r="J232" s="5" t="s">
        <v>3676</v>
      </c>
      <c r="K232" t="s">
        <v>3677</v>
      </c>
      <c r="L232" t="s">
        <v>3678</v>
      </c>
      <c r="M232" t="s">
        <v>86</v>
      </c>
      <c r="N232" s="2">
        <v>10.492000000000001</v>
      </c>
      <c r="O232" s="1">
        <v>252</v>
      </c>
      <c r="P232" s="2">
        <v>1321.9920000000002</v>
      </c>
    </row>
    <row r="233" spans="1:16">
      <c r="A233" t="s">
        <v>5609</v>
      </c>
      <c r="B233" t="s">
        <v>5610</v>
      </c>
      <c r="C233" t="s">
        <v>6124</v>
      </c>
      <c r="D233" t="s">
        <v>3537</v>
      </c>
      <c r="E233" s="2">
        <v>7.41</v>
      </c>
      <c r="F233" s="1">
        <v>21</v>
      </c>
      <c r="G233" s="2">
        <v>155.61000000000001</v>
      </c>
      <c r="J233" s="5" t="s">
        <v>3280</v>
      </c>
      <c r="K233" t="s">
        <v>3281</v>
      </c>
      <c r="L233" t="s">
        <v>228</v>
      </c>
      <c r="M233" t="s">
        <v>86</v>
      </c>
      <c r="N233" s="2">
        <v>33.774000000000001</v>
      </c>
      <c r="O233" s="1">
        <v>78</v>
      </c>
      <c r="P233" s="2">
        <v>1317.1860000000001</v>
      </c>
    </row>
    <row r="234" spans="1:16">
      <c r="A234" t="s">
        <v>5965</v>
      </c>
      <c r="B234" t="s">
        <v>5966</v>
      </c>
      <c r="C234" t="s">
        <v>6124</v>
      </c>
      <c r="D234" t="s">
        <v>5922</v>
      </c>
      <c r="E234" s="2">
        <v>1.17</v>
      </c>
      <c r="F234" s="1">
        <v>133</v>
      </c>
      <c r="G234" s="2">
        <v>155.60999999999999</v>
      </c>
      <c r="J234" s="5" t="s">
        <v>3231</v>
      </c>
      <c r="K234" t="s">
        <v>3232</v>
      </c>
      <c r="L234" t="s">
        <v>85</v>
      </c>
      <c r="M234" t="s">
        <v>86</v>
      </c>
      <c r="N234" s="2">
        <v>65.442400000000006</v>
      </c>
      <c r="O234" s="1">
        <v>40</v>
      </c>
      <c r="P234" s="2">
        <v>1308.8480000000002</v>
      </c>
    </row>
    <row r="235" spans="1:16">
      <c r="A235" t="s">
        <v>5637</v>
      </c>
      <c r="B235" t="s">
        <v>5638</v>
      </c>
      <c r="C235" t="s">
        <v>6124</v>
      </c>
      <c r="D235" t="s">
        <v>3537</v>
      </c>
      <c r="E235" s="2">
        <v>5.34</v>
      </c>
      <c r="F235" s="1">
        <v>28</v>
      </c>
      <c r="G235" s="2">
        <v>149.51999999999998</v>
      </c>
      <c r="J235" s="5" t="s">
        <v>201</v>
      </c>
      <c r="K235" t="s">
        <v>202</v>
      </c>
      <c r="L235" t="s">
        <v>203</v>
      </c>
      <c r="M235" t="s">
        <v>125</v>
      </c>
      <c r="N235" s="2">
        <v>1306.9367999999999</v>
      </c>
      <c r="O235" s="1">
        <v>2</v>
      </c>
      <c r="P235" s="2">
        <v>1306.9367999999999</v>
      </c>
    </row>
    <row r="236" spans="1:16">
      <c r="A236" t="s">
        <v>6095</v>
      </c>
      <c r="B236" t="s">
        <v>6096</v>
      </c>
      <c r="C236" t="s">
        <v>6124</v>
      </c>
      <c r="D236" t="s">
        <v>5922</v>
      </c>
      <c r="E236" s="2">
        <v>2.78</v>
      </c>
      <c r="F236" s="1">
        <v>52</v>
      </c>
      <c r="G236" s="2">
        <v>144.56</v>
      </c>
      <c r="J236" s="5" t="s">
        <v>322</v>
      </c>
      <c r="K236" t="s">
        <v>323</v>
      </c>
      <c r="L236" t="s">
        <v>263</v>
      </c>
      <c r="M236" t="s">
        <v>86</v>
      </c>
      <c r="N236" s="2">
        <v>29.688400000000001</v>
      </c>
      <c r="O236" s="1">
        <v>88</v>
      </c>
      <c r="P236" s="2">
        <v>1306.2896000000001</v>
      </c>
    </row>
    <row r="237" spans="1:16">
      <c r="A237" t="s">
        <v>5561</v>
      </c>
      <c r="B237" t="s">
        <v>5562</v>
      </c>
      <c r="C237" t="s">
        <v>6124</v>
      </c>
      <c r="D237" t="s">
        <v>3537</v>
      </c>
      <c r="E237" s="2">
        <v>6.87</v>
      </c>
      <c r="F237" s="1">
        <v>21</v>
      </c>
      <c r="G237" s="2">
        <v>144.27000000000001</v>
      </c>
      <c r="J237" s="5" t="s">
        <v>3448</v>
      </c>
      <c r="K237" t="s">
        <v>3295</v>
      </c>
      <c r="L237" t="s">
        <v>228</v>
      </c>
      <c r="M237" t="s">
        <v>86</v>
      </c>
      <c r="N237" s="2">
        <v>93.120800000000003</v>
      </c>
      <c r="O237" s="1">
        <v>28</v>
      </c>
      <c r="P237" s="2">
        <v>1303.6912</v>
      </c>
    </row>
    <row r="238" spans="1:16">
      <c r="A238" t="s">
        <v>6023</v>
      </c>
      <c r="B238" t="s">
        <v>6024</v>
      </c>
      <c r="C238" t="s">
        <v>6124</v>
      </c>
      <c r="D238" t="s">
        <v>5922</v>
      </c>
      <c r="E238" s="2">
        <v>3.14</v>
      </c>
      <c r="F238" s="1">
        <v>45</v>
      </c>
      <c r="G238" s="2">
        <v>141.30000000000001</v>
      </c>
      <c r="J238" s="5" t="s">
        <v>1538</v>
      </c>
      <c r="K238" t="s">
        <v>1539</v>
      </c>
      <c r="L238" t="s">
        <v>115</v>
      </c>
      <c r="M238" t="s">
        <v>102</v>
      </c>
      <c r="N238" s="2">
        <v>0.11700000000000001</v>
      </c>
      <c r="O238" s="1">
        <v>11125</v>
      </c>
      <c r="P238" s="2">
        <v>1301.625</v>
      </c>
    </row>
    <row r="239" spans="1:16">
      <c r="A239" t="s">
        <v>5681</v>
      </c>
      <c r="B239" t="s">
        <v>5682</v>
      </c>
      <c r="C239" t="s">
        <v>6124</v>
      </c>
      <c r="D239" t="s">
        <v>3537</v>
      </c>
      <c r="E239" s="2">
        <v>10.82</v>
      </c>
      <c r="F239" s="1">
        <v>13</v>
      </c>
      <c r="G239" s="2">
        <v>140.66</v>
      </c>
      <c r="J239" s="5" t="s">
        <v>1521</v>
      </c>
      <c r="K239" t="s">
        <v>1522</v>
      </c>
      <c r="L239" t="s">
        <v>115</v>
      </c>
      <c r="M239" t="s">
        <v>102</v>
      </c>
      <c r="N239" s="2">
        <v>0.18</v>
      </c>
      <c r="O239" s="1">
        <v>7230</v>
      </c>
      <c r="P239" s="2">
        <v>1301.3999999999999</v>
      </c>
    </row>
    <row r="240" spans="1:16">
      <c r="A240" t="s">
        <v>5830</v>
      </c>
      <c r="B240" t="s">
        <v>5831</v>
      </c>
      <c r="C240" t="s">
        <v>6124</v>
      </c>
      <c r="D240" t="s">
        <v>5767</v>
      </c>
      <c r="E240" s="2">
        <v>17.25</v>
      </c>
      <c r="F240" s="1">
        <v>8</v>
      </c>
      <c r="G240" s="2">
        <v>138</v>
      </c>
      <c r="J240" s="5" t="s">
        <v>5185</v>
      </c>
      <c r="K240" t="s">
        <v>5186</v>
      </c>
      <c r="L240" t="s">
        <v>3304</v>
      </c>
      <c r="M240" t="s">
        <v>1931</v>
      </c>
      <c r="N240" s="2">
        <v>433.34</v>
      </c>
      <c r="O240" s="1">
        <v>3</v>
      </c>
      <c r="P240" s="2">
        <v>1300.02</v>
      </c>
    </row>
    <row r="241" spans="1:16">
      <c r="A241" t="s">
        <v>6037</v>
      </c>
      <c r="B241" t="s">
        <v>6038</v>
      </c>
      <c r="C241" t="s">
        <v>6124</v>
      </c>
      <c r="D241" t="s">
        <v>5922</v>
      </c>
      <c r="E241" s="2">
        <v>1.08</v>
      </c>
      <c r="F241" s="1">
        <v>127</v>
      </c>
      <c r="G241" s="2">
        <v>137.16</v>
      </c>
      <c r="J241" s="5" t="s">
        <v>1523</v>
      </c>
      <c r="K241" t="s">
        <v>1524</v>
      </c>
      <c r="L241" t="s">
        <v>115</v>
      </c>
      <c r="M241" t="s">
        <v>102</v>
      </c>
      <c r="N241" s="2">
        <v>0.156</v>
      </c>
      <c r="O241" s="1">
        <v>8320</v>
      </c>
      <c r="P241" s="2">
        <v>1297.92</v>
      </c>
    </row>
    <row r="242" spans="1:16">
      <c r="A242" t="s">
        <v>5933</v>
      </c>
      <c r="B242" t="s">
        <v>5934</v>
      </c>
      <c r="C242" t="s">
        <v>6124</v>
      </c>
      <c r="D242" t="s">
        <v>5922</v>
      </c>
      <c r="E242" s="2">
        <v>6.89</v>
      </c>
      <c r="F242" s="1">
        <v>19</v>
      </c>
      <c r="G242" s="2">
        <v>130.91</v>
      </c>
      <c r="J242" s="5" t="s">
        <v>229</v>
      </c>
      <c r="K242" t="s">
        <v>230</v>
      </c>
      <c r="L242" t="s">
        <v>228</v>
      </c>
      <c r="M242" t="s">
        <v>86</v>
      </c>
      <c r="N242" s="2">
        <v>53.602200000000003</v>
      </c>
      <c r="O242" s="1">
        <v>48</v>
      </c>
      <c r="P242" s="2">
        <v>1286.4528</v>
      </c>
    </row>
    <row r="243" spans="1:16">
      <c r="A243" t="s">
        <v>5633</v>
      </c>
      <c r="B243" t="s">
        <v>5634</v>
      </c>
      <c r="C243" t="s">
        <v>6124</v>
      </c>
      <c r="D243" t="s">
        <v>3537</v>
      </c>
      <c r="E243" s="2">
        <v>3.52</v>
      </c>
      <c r="F243" s="1">
        <v>34</v>
      </c>
      <c r="G243" s="2">
        <v>119.68</v>
      </c>
      <c r="J243" s="5" t="s">
        <v>320</v>
      </c>
      <c r="K243" t="s">
        <v>321</v>
      </c>
      <c r="L243" t="s">
        <v>263</v>
      </c>
      <c r="M243" t="s">
        <v>86</v>
      </c>
      <c r="N243" s="2">
        <v>38.901800000000001</v>
      </c>
      <c r="O243" s="1">
        <v>66</v>
      </c>
      <c r="P243" s="2">
        <v>1283.7594000000001</v>
      </c>
    </row>
    <row r="244" spans="1:16">
      <c r="A244" t="s">
        <v>5856</v>
      </c>
      <c r="B244" t="s">
        <v>5857</v>
      </c>
      <c r="C244" t="s">
        <v>6124</v>
      </c>
      <c r="D244" t="s">
        <v>5767</v>
      </c>
      <c r="E244" s="2">
        <v>19.79</v>
      </c>
      <c r="F244" s="1">
        <v>6</v>
      </c>
      <c r="G244" s="2">
        <v>118.74</v>
      </c>
      <c r="J244" s="5" t="s">
        <v>1055</v>
      </c>
      <c r="K244" t="s">
        <v>1056</v>
      </c>
      <c r="L244" t="s">
        <v>979</v>
      </c>
      <c r="M244" t="s">
        <v>125</v>
      </c>
      <c r="N244" s="2">
        <v>1282.4639999999999</v>
      </c>
      <c r="O244" s="1">
        <v>1</v>
      </c>
      <c r="P244" s="2">
        <v>1282.4639999999999</v>
      </c>
    </row>
    <row r="245" spans="1:16">
      <c r="A245" t="s">
        <v>5653</v>
      </c>
      <c r="B245" t="s">
        <v>5654</v>
      </c>
      <c r="C245" t="s">
        <v>6124</v>
      </c>
      <c r="D245" t="s">
        <v>3537</v>
      </c>
      <c r="E245" s="2">
        <v>9.39</v>
      </c>
      <c r="F245" s="1">
        <v>12</v>
      </c>
      <c r="G245" s="2">
        <v>112.68</v>
      </c>
      <c r="J245" s="5" t="s">
        <v>2037</v>
      </c>
      <c r="K245" t="s">
        <v>2038</v>
      </c>
      <c r="L245" t="s">
        <v>618</v>
      </c>
      <c r="M245" t="s">
        <v>626</v>
      </c>
      <c r="N245" s="2">
        <v>13.443199999999999</v>
      </c>
      <c r="O245" s="1">
        <v>94</v>
      </c>
      <c r="P245" s="2">
        <v>1263.6607999999999</v>
      </c>
    </row>
    <row r="246" spans="1:16">
      <c r="A246" t="s">
        <v>5547</v>
      </c>
      <c r="B246" t="s">
        <v>5548</v>
      </c>
      <c r="C246" t="s">
        <v>6124</v>
      </c>
      <c r="D246" t="s">
        <v>3537</v>
      </c>
      <c r="E246" s="2">
        <v>1.35</v>
      </c>
      <c r="F246" s="1">
        <v>80</v>
      </c>
      <c r="G246" s="2">
        <v>108</v>
      </c>
      <c r="J246" s="5" t="s">
        <v>747</v>
      </c>
      <c r="K246" t="s">
        <v>748</v>
      </c>
      <c r="L246" t="s">
        <v>618</v>
      </c>
      <c r="M246" t="s">
        <v>626</v>
      </c>
      <c r="N246" s="2">
        <v>4.2682000000000002</v>
      </c>
      <c r="O246" s="1">
        <v>592</v>
      </c>
      <c r="P246" s="2">
        <v>1263.3872000000001</v>
      </c>
    </row>
    <row r="247" spans="1:16">
      <c r="A247" t="s">
        <v>5753</v>
      </c>
      <c r="B247" t="s">
        <v>5754</v>
      </c>
      <c r="C247" t="s">
        <v>6124</v>
      </c>
      <c r="D247" t="s">
        <v>5704</v>
      </c>
      <c r="E247" s="2">
        <v>26.4</v>
      </c>
      <c r="F247" s="1">
        <v>4</v>
      </c>
      <c r="G247" s="2">
        <v>105.6</v>
      </c>
      <c r="J247" s="5" t="s">
        <v>2651</v>
      </c>
      <c r="K247" t="s">
        <v>2652</v>
      </c>
      <c r="L247" t="s">
        <v>5474</v>
      </c>
      <c r="M247" t="s">
        <v>125</v>
      </c>
      <c r="N247" s="2">
        <v>90.167000000000002</v>
      </c>
      <c r="O247" s="1">
        <v>28</v>
      </c>
      <c r="P247" s="2">
        <v>1262.338</v>
      </c>
    </row>
    <row r="248" spans="1:16">
      <c r="A248" t="s">
        <v>5981</v>
      </c>
      <c r="B248" t="s">
        <v>5982</v>
      </c>
      <c r="C248" t="s">
        <v>6124</v>
      </c>
      <c r="D248" t="s">
        <v>5922</v>
      </c>
      <c r="E248" s="2">
        <v>0.53</v>
      </c>
      <c r="F248" s="1">
        <v>190</v>
      </c>
      <c r="G248" s="2">
        <v>100.7</v>
      </c>
      <c r="J248" s="5" t="s">
        <v>5522</v>
      </c>
      <c r="K248" t="s">
        <v>5523</v>
      </c>
      <c r="L248" t="s">
        <v>467</v>
      </c>
      <c r="M248" t="s">
        <v>86</v>
      </c>
      <c r="N248" s="2">
        <v>419.68639999999999</v>
      </c>
      <c r="O248" s="1">
        <v>6</v>
      </c>
      <c r="P248" s="2">
        <v>1259.0591999999999</v>
      </c>
    </row>
    <row r="249" spans="1:16">
      <c r="A249" t="s">
        <v>5683</v>
      </c>
      <c r="B249" t="s">
        <v>5684</v>
      </c>
      <c r="C249" t="s">
        <v>6124</v>
      </c>
      <c r="D249" t="s">
        <v>3537</v>
      </c>
      <c r="E249" s="2">
        <v>10.82</v>
      </c>
      <c r="F249" s="1">
        <v>9</v>
      </c>
      <c r="G249" s="2">
        <v>97.38</v>
      </c>
      <c r="J249" s="5" t="s">
        <v>1729</v>
      </c>
      <c r="K249" t="s">
        <v>1730</v>
      </c>
      <c r="L249" t="s">
        <v>101</v>
      </c>
      <c r="M249" t="s">
        <v>626</v>
      </c>
      <c r="N249" s="2">
        <v>418.87040000000002</v>
      </c>
      <c r="O249" s="1">
        <v>6</v>
      </c>
      <c r="P249" s="2">
        <v>1256.6112000000001</v>
      </c>
    </row>
    <row r="250" spans="1:16">
      <c r="A250" t="s">
        <v>5635</v>
      </c>
      <c r="B250" t="s">
        <v>5636</v>
      </c>
      <c r="C250" t="s">
        <v>6124</v>
      </c>
      <c r="D250" t="s">
        <v>3537</v>
      </c>
      <c r="E250" s="2">
        <v>3.87</v>
      </c>
      <c r="F250" s="1">
        <v>25</v>
      </c>
      <c r="G250" s="2">
        <v>96.75</v>
      </c>
      <c r="J250" s="5" t="s">
        <v>1304</v>
      </c>
      <c r="K250" t="s">
        <v>1305</v>
      </c>
      <c r="L250" t="s">
        <v>101</v>
      </c>
      <c r="M250" t="s">
        <v>619</v>
      </c>
      <c r="N250" s="2">
        <v>1600.557</v>
      </c>
      <c r="O250" s="1">
        <v>1.5656000000000001</v>
      </c>
      <c r="P250" s="2">
        <v>1252.9160196</v>
      </c>
    </row>
    <row r="251" spans="1:16">
      <c r="A251" t="s">
        <v>5916</v>
      </c>
      <c r="B251" t="s">
        <v>5917</v>
      </c>
      <c r="C251" t="s">
        <v>6124</v>
      </c>
      <c r="D251" t="s">
        <v>5767</v>
      </c>
      <c r="E251" s="2">
        <v>3.91</v>
      </c>
      <c r="F251" s="1">
        <v>24</v>
      </c>
      <c r="G251" s="2">
        <v>93.84</v>
      </c>
      <c r="J251" s="5" t="s">
        <v>4507</v>
      </c>
      <c r="K251" t="s">
        <v>4508</v>
      </c>
      <c r="L251" t="s">
        <v>85</v>
      </c>
      <c r="M251" t="s">
        <v>86</v>
      </c>
      <c r="N251" s="2">
        <v>113.6296</v>
      </c>
      <c r="O251" s="1">
        <v>22</v>
      </c>
      <c r="P251" s="2">
        <v>1249.9256</v>
      </c>
    </row>
    <row r="252" spans="1:16">
      <c r="A252" t="s">
        <v>5810</v>
      </c>
      <c r="B252" t="s">
        <v>5811</v>
      </c>
      <c r="C252" t="s">
        <v>6124</v>
      </c>
      <c r="D252" t="s">
        <v>5767</v>
      </c>
      <c r="E252" s="2">
        <v>18.739999999999998</v>
      </c>
      <c r="F252" s="1">
        <v>5</v>
      </c>
      <c r="G252" s="2">
        <v>93.699999999999989</v>
      </c>
      <c r="J252" s="5" t="s">
        <v>4835</v>
      </c>
      <c r="K252" t="s">
        <v>4836</v>
      </c>
      <c r="L252" t="s">
        <v>85</v>
      </c>
      <c r="M252" t="s">
        <v>86</v>
      </c>
      <c r="N252" s="2">
        <v>176.36619999999999</v>
      </c>
      <c r="O252" s="1">
        <v>14</v>
      </c>
      <c r="P252" s="2">
        <v>1234.5634</v>
      </c>
    </row>
    <row r="253" spans="1:16">
      <c r="A253" t="s">
        <v>6059</v>
      </c>
      <c r="B253" t="s">
        <v>6060</v>
      </c>
      <c r="C253" t="s">
        <v>6124</v>
      </c>
      <c r="D253" t="s">
        <v>5922</v>
      </c>
      <c r="E253" s="2">
        <v>0.79</v>
      </c>
      <c r="F253" s="1">
        <v>117</v>
      </c>
      <c r="G253" s="2">
        <v>92.43</v>
      </c>
      <c r="J253" s="5" t="s">
        <v>5173</v>
      </c>
      <c r="K253" t="s">
        <v>5174</v>
      </c>
      <c r="L253" t="s">
        <v>3304</v>
      </c>
      <c r="M253" t="s">
        <v>1931</v>
      </c>
      <c r="N253" s="2">
        <v>410.66</v>
      </c>
      <c r="O253" s="1">
        <v>3</v>
      </c>
      <c r="P253" s="2">
        <v>1231.98</v>
      </c>
    </row>
    <row r="254" spans="1:16">
      <c r="A254" t="s">
        <v>6055</v>
      </c>
      <c r="B254" t="s">
        <v>6056</v>
      </c>
      <c r="C254" t="s">
        <v>6124</v>
      </c>
      <c r="D254" t="s">
        <v>5922</v>
      </c>
      <c r="E254" s="2">
        <v>5.23</v>
      </c>
      <c r="F254" s="1">
        <v>17</v>
      </c>
      <c r="G254" s="2">
        <v>88.910000000000011</v>
      </c>
      <c r="J254" s="5" t="s">
        <v>716</v>
      </c>
      <c r="K254" t="s">
        <v>717</v>
      </c>
      <c r="L254" t="s">
        <v>580</v>
      </c>
      <c r="M254" t="s">
        <v>581</v>
      </c>
      <c r="N254" s="2">
        <v>5.8070000000000004</v>
      </c>
      <c r="O254" s="1">
        <v>420</v>
      </c>
      <c r="P254" s="2">
        <v>1219.47</v>
      </c>
    </row>
    <row r="255" spans="1:16">
      <c r="A255" t="s">
        <v>5571</v>
      </c>
      <c r="B255" t="s">
        <v>5572</v>
      </c>
      <c r="C255" t="s">
        <v>6124</v>
      </c>
      <c r="D255" t="s">
        <v>3537</v>
      </c>
      <c r="E255" s="2">
        <v>12.51</v>
      </c>
      <c r="F255" s="1">
        <v>7</v>
      </c>
      <c r="G255" s="2">
        <v>87.57</v>
      </c>
      <c r="J255" s="5" t="s">
        <v>495</v>
      </c>
      <c r="K255" t="s">
        <v>4789</v>
      </c>
      <c r="L255" t="s">
        <v>219</v>
      </c>
      <c r="M255" t="s">
        <v>86</v>
      </c>
      <c r="N255" s="2">
        <v>52.173200000000001</v>
      </c>
      <c r="O255" s="1">
        <v>46</v>
      </c>
      <c r="P255" s="2">
        <v>1199.9836</v>
      </c>
    </row>
    <row r="256" spans="1:16">
      <c r="A256" t="s">
        <v>5985</v>
      </c>
      <c r="B256" t="s">
        <v>5986</v>
      </c>
      <c r="C256" t="s">
        <v>6124</v>
      </c>
      <c r="D256" t="s">
        <v>5922</v>
      </c>
      <c r="E256" s="2">
        <v>0.34</v>
      </c>
      <c r="F256" s="1">
        <v>251</v>
      </c>
      <c r="G256" s="2">
        <v>85.34</v>
      </c>
      <c r="J256" s="5" t="s">
        <v>144</v>
      </c>
      <c r="K256" t="s">
        <v>145</v>
      </c>
      <c r="L256" t="s">
        <v>146</v>
      </c>
      <c r="M256" t="s">
        <v>125</v>
      </c>
      <c r="N256" s="2">
        <v>1199.7886000000001</v>
      </c>
      <c r="O256" s="1">
        <v>2</v>
      </c>
      <c r="P256" s="2">
        <v>1199.7886000000001</v>
      </c>
    </row>
    <row r="257" spans="1:16">
      <c r="A257" t="s">
        <v>5973</v>
      </c>
      <c r="B257" t="s">
        <v>5974</v>
      </c>
      <c r="C257" t="s">
        <v>6124</v>
      </c>
      <c r="D257" t="s">
        <v>5922</v>
      </c>
      <c r="E257" s="2">
        <v>3.65</v>
      </c>
      <c r="F257" s="1">
        <v>23</v>
      </c>
      <c r="G257" s="2">
        <v>83.95</v>
      </c>
      <c r="J257" s="5" t="s">
        <v>5108</v>
      </c>
      <c r="K257" t="s">
        <v>5109</v>
      </c>
      <c r="L257" t="s">
        <v>580</v>
      </c>
      <c r="M257" t="s">
        <v>581</v>
      </c>
      <c r="N257" s="2">
        <v>5.7542</v>
      </c>
      <c r="O257" s="1">
        <v>416</v>
      </c>
      <c r="P257" s="2">
        <v>1196.8735999999999</v>
      </c>
    </row>
    <row r="258" spans="1:16">
      <c r="A258" t="s">
        <v>6069</v>
      </c>
      <c r="B258" t="s">
        <v>6070</v>
      </c>
      <c r="C258" t="s">
        <v>6124</v>
      </c>
      <c r="D258" t="s">
        <v>5922</v>
      </c>
      <c r="E258" s="2">
        <v>3.43</v>
      </c>
      <c r="F258" s="1">
        <v>24</v>
      </c>
      <c r="G258" s="2">
        <v>82.320000000000007</v>
      </c>
      <c r="J258" s="5" t="s">
        <v>624</v>
      </c>
      <c r="K258" t="s">
        <v>625</v>
      </c>
      <c r="L258" t="s">
        <v>618</v>
      </c>
      <c r="M258" t="s">
        <v>626</v>
      </c>
      <c r="N258" s="2">
        <v>98.302000000000007</v>
      </c>
      <c r="O258" s="1">
        <v>12</v>
      </c>
      <c r="P258" s="2">
        <v>1179.624</v>
      </c>
    </row>
    <row r="259" spans="1:16">
      <c r="A259" t="s">
        <v>5645</v>
      </c>
      <c r="B259" t="s">
        <v>5646</v>
      </c>
      <c r="C259" t="s">
        <v>6124</v>
      </c>
      <c r="D259" t="s">
        <v>3537</v>
      </c>
      <c r="E259" s="2">
        <v>5.44</v>
      </c>
      <c r="F259" s="1">
        <v>15</v>
      </c>
      <c r="G259" s="2">
        <v>81.600000000000009</v>
      </c>
      <c r="J259" s="5" t="s">
        <v>3437</v>
      </c>
      <c r="K259" t="s">
        <v>3438</v>
      </c>
      <c r="L259" t="s">
        <v>89</v>
      </c>
      <c r="M259" t="s">
        <v>86</v>
      </c>
      <c r="N259" s="2">
        <v>588</v>
      </c>
      <c r="O259" s="1">
        <v>2</v>
      </c>
      <c r="P259" s="2">
        <v>1176</v>
      </c>
    </row>
    <row r="260" spans="1:16">
      <c r="A260" t="s">
        <v>6011</v>
      </c>
      <c r="B260" t="s">
        <v>6012</v>
      </c>
      <c r="C260" t="s">
        <v>6124</v>
      </c>
      <c r="D260" t="s">
        <v>5922</v>
      </c>
      <c r="E260" s="2">
        <v>0.45</v>
      </c>
      <c r="F260" s="1">
        <v>181</v>
      </c>
      <c r="G260" s="2">
        <v>81.45</v>
      </c>
      <c r="J260" s="5" t="s">
        <v>1306</v>
      </c>
      <c r="K260" t="s">
        <v>1307</v>
      </c>
      <c r="L260" t="s">
        <v>101</v>
      </c>
      <c r="M260" t="s">
        <v>619</v>
      </c>
      <c r="N260" s="2">
        <v>1.9359999999999999</v>
      </c>
      <c r="O260" s="1">
        <v>1198</v>
      </c>
      <c r="P260" s="2">
        <v>1159.664</v>
      </c>
    </row>
    <row r="261" spans="1:16">
      <c r="A261" t="s">
        <v>6119</v>
      </c>
      <c r="B261" t="s">
        <v>6120</v>
      </c>
      <c r="C261" t="s">
        <v>6124</v>
      </c>
      <c r="D261" t="s">
        <v>5922</v>
      </c>
      <c r="E261" s="2">
        <v>1.1399999999999999</v>
      </c>
      <c r="F261" s="1">
        <v>69</v>
      </c>
      <c r="G261" s="2">
        <v>78.66</v>
      </c>
      <c r="J261" s="5" t="s">
        <v>1505</v>
      </c>
      <c r="K261" t="s">
        <v>1506</v>
      </c>
      <c r="L261" t="s">
        <v>101</v>
      </c>
      <c r="M261" t="s">
        <v>102</v>
      </c>
      <c r="N261" s="2">
        <v>0.3997</v>
      </c>
      <c r="O261" s="1">
        <v>2883</v>
      </c>
      <c r="P261" s="2">
        <v>1152.3351</v>
      </c>
    </row>
    <row r="262" spans="1:16">
      <c r="A262" t="s">
        <v>6111</v>
      </c>
      <c r="B262" t="s">
        <v>6112</v>
      </c>
      <c r="C262" t="s">
        <v>6124</v>
      </c>
      <c r="D262" t="s">
        <v>5922</v>
      </c>
      <c r="E262" s="2">
        <v>3.23</v>
      </c>
      <c r="F262" s="1">
        <v>24</v>
      </c>
      <c r="G262" s="2">
        <v>77.52</v>
      </c>
      <c r="J262" s="5" t="s">
        <v>5446</v>
      </c>
      <c r="K262" t="s">
        <v>5447</v>
      </c>
      <c r="L262" t="s">
        <v>228</v>
      </c>
      <c r="M262" t="s">
        <v>86</v>
      </c>
      <c r="N262" s="2">
        <v>81.538399999999996</v>
      </c>
      <c r="O262" s="1">
        <v>28</v>
      </c>
      <c r="P262" s="2">
        <v>1141.5375999999999</v>
      </c>
    </row>
    <row r="263" spans="1:16">
      <c r="A263" t="s">
        <v>5702</v>
      </c>
      <c r="B263" t="s">
        <v>5703</v>
      </c>
      <c r="C263" t="s">
        <v>6124</v>
      </c>
      <c r="D263" t="s">
        <v>5704</v>
      </c>
      <c r="E263" s="2">
        <v>12.3</v>
      </c>
      <c r="F263" s="1">
        <v>6</v>
      </c>
      <c r="G263" s="2">
        <v>73.800000000000011</v>
      </c>
      <c r="J263" s="5" t="s">
        <v>633</v>
      </c>
      <c r="K263" t="s">
        <v>634</v>
      </c>
      <c r="L263" t="s">
        <v>101</v>
      </c>
      <c r="M263" t="s">
        <v>581</v>
      </c>
      <c r="N263" s="2">
        <v>37.57</v>
      </c>
      <c r="O263" s="1">
        <v>30</v>
      </c>
      <c r="P263" s="2">
        <v>1127.0999999999999</v>
      </c>
    </row>
    <row r="264" spans="1:16">
      <c r="A264" t="s">
        <v>6109</v>
      </c>
      <c r="B264" t="s">
        <v>6110</v>
      </c>
      <c r="C264" t="s">
        <v>6124</v>
      </c>
      <c r="D264" t="s">
        <v>5922</v>
      </c>
      <c r="E264" s="2">
        <v>0.12</v>
      </c>
      <c r="F264" s="1">
        <v>610</v>
      </c>
      <c r="G264" s="2">
        <v>73.2</v>
      </c>
      <c r="J264" s="5" t="s">
        <v>1527</v>
      </c>
      <c r="K264" t="s">
        <v>1528</v>
      </c>
      <c r="L264" t="s">
        <v>115</v>
      </c>
      <c r="M264" t="s">
        <v>102</v>
      </c>
      <c r="N264" s="2">
        <v>0.08</v>
      </c>
      <c r="O264" s="1">
        <v>14008</v>
      </c>
      <c r="P264" s="2">
        <v>1120.6400000000001</v>
      </c>
    </row>
    <row r="265" spans="1:16">
      <c r="A265" t="s">
        <v>5641</v>
      </c>
      <c r="B265" t="s">
        <v>5642</v>
      </c>
      <c r="C265" t="s">
        <v>6124</v>
      </c>
      <c r="D265" t="s">
        <v>3537</v>
      </c>
      <c r="E265" s="2">
        <v>3.41</v>
      </c>
      <c r="F265" s="1">
        <v>21</v>
      </c>
      <c r="G265" s="2">
        <v>71.61</v>
      </c>
      <c r="J265" s="5" t="s">
        <v>1674</v>
      </c>
      <c r="K265" t="s">
        <v>1675</v>
      </c>
      <c r="L265" t="s">
        <v>101</v>
      </c>
      <c r="M265" t="s">
        <v>102</v>
      </c>
      <c r="N265" s="2">
        <v>0.98199999999999998</v>
      </c>
      <c r="O265" s="1">
        <v>1135</v>
      </c>
      <c r="P265" s="2">
        <v>1114.57</v>
      </c>
    </row>
    <row r="266" spans="1:16">
      <c r="A266" t="s">
        <v>6063</v>
      </c>
      <c r="B266" t="s">
        <v>6064</v>
      </c>
      <c r="C266" t="s">
        <v>6124</v>
      </c>
      <c r="D266" t="s">
        <v>5922</v>
      </c>
      <c r="E266" s="2">
        <v>0.69</v>
      </c>
      <c r="F266" s="1">
        <v>98</v>
      </c>
      <c r="G266" s="2">
        <v>67.61999999999999</v>
      </c>
      <c r="J266" s="5" t="s">
        <v>3277</v>
      </c>
      <c r="K266" t="s">
        <v>3278</v>
      </c>
      <c r="L266" t="s">
        <v>263</v>
      </c>
      <c r="M266" t="s">
        <v>86</v>
      </c>
      <c r="N266" s="2">
        <v>29.0943</v>
      </c>
      <c r="O266" s="1">
        <v>114</v>
      </c>
      <c r="P266" s="2">
        <v>1105.5834</v>
      </c>
    </row>
    <row r="267" spans="1:16">
      <c r="A267" t="s">
        <v>5669</v>
      </c>
      <c r="B267" t="s">
        <v>5670</v>
      </c>
      <c r="C267" t="s">
        <v>6124</v>
      </c>
      <c r="D267" t="s">
        <v>3537</v>
      </c>
      <c r="E267" s="2">
        <v>7.3</v>
      </c>
      <c r="F267" s="1">
        <v>9</v>
      </c>
      <c r="G267" s="2">
        <v>65.7</v>
      </c>
      <c r="J267" s="5" t="s">
        <v>5050</v>
      </c>
      <c r="K267" t="s">
        <v>5051</v>
      </c>
      <c r="L267" t="s">
        <v>85</v>
      </c>
      <c r="M267" t="s">
        <v>86</v>
      </c>
      <c r="N267" s="2">
        <v>3.2038000000000002</v>
      </c>
      <c r="O267" s="1">
        <v>689.8</v>
      </c>
      <c r="P267" s="2">
        <v>1104.99062</v>
      </c>
    </row>
    <row r="268" spans="1:16">
      <c r="A268" t="s">
        <v>5963</v>
      </c>
      <c r="B268" t="s">
        <v>5964</v>
      </c>
      <c r="C268" t="s">
        <v>6124</v>
      </c>
      <c r="D268" t="s">
        <v>5922</v>
      </c>
      <c r="E268" s="2">
        <v>0.73</v>
      </c>
      <c r="F268" s="1">
        <v>89</v>
      </c>
      <c r="G268" s="2">
        <v>64.97</v>
      </c>
      <c r="J268" s="5" t="s">
        <v>695</v>
      </c>
      <c r="K268" t="s">
        <v>696</v>
      </c>
      <c r="L268" t="s">
        <v>208</v>
      </c>
      <c r="M268" t="s">
        <v>125</v>
      </c>
      <c r="N268" s="2">
        <v>155.96880000000002</v>
      </c>
      <c r="O268" s="1">
        <v>21</v>
      </c>
      <c r="P268" s="2">
        <v>1091.7816</v>
      </c>
    </row>
    <row r="269" spans="1:16">
      <c r="A269" t="s">
        <v>5665</v>
      </c>
      <c r="B269" t="s">
        <v>5666</v>
      </c>
      <c r="C269" t="s">
        <v>6124</v>
      </c>
      <c r="D269" t="s">
        <v>3537</v>
      </c>
      <c r="E269" s="2">
        <v>5.27</v>
      </c>
      <c r="F269" s="1">
        <v>12</v>
      </c>
      <c r="G269" s="2">
        <v>63.239999999999995</v>
      </c>
      <c r="J269" s="5" t="s">
        <v>3220</v>
      </c>
      <c r="K269" t="s">
        <v>3221</v>
      </c>
      <c r="L269" t="s">
        <v>263</v>
      </c>
      <c r="M269" t="s">
        <v>86</v>
      </c>
      <c r="N269" s="2">
        <v>77.982200000000006</v>
      </c>
      <c r="O269" s="1">
        <v>28</v>
      </c>
      <c r="P269" s="2">
        <v>1091.7508</v>
      </c>
    </row>
    <row r="270" spans="1:16">
      <c r="A270" t="s">
        <v>5675</v>
      </c>
      <c r="B270" t="s">
        <v>5676</v>
      </c>
      <c r="C270" t="s">
        <v>6124</v>
      </c>
      <c r="D270" t="s">
        <v>3537</v>
      </c>
      <c r="E270" s="2">
        <v>2.61</v>
      </c>
      <c r="F270" s="1">
        <v>24</v>
      </c>
      <c r="G270" s="2">
        <v>62.64</v>
      </c>
      <c r="J270" s="5" t="s">
        <v>1546</v>
      </c>
      <c r="K270" t="s">
        <v>1547</v>
      </c>
      <c r="L270" t="s">
        <v>101</v>
      </c>
      <c r="M270" t="s">
        <v>626</v>
      </c>
      <c r="N270" s="2">
        <v>2400</v>
      </c>
      <c r="O270" s="1">
        <v>0.4541</v>
      </c>
      <c r="P270" s="2">
        <v>1089.8399999999999</v>
      </c>
    </row>
    <row r="271" spans="1:16">
      <c r="A271" t="s">
        <v>5707</v>
      </c>
      <c r="B271" t="s">
        <v>5708</v>
      </c>
      <c r="C271" t="s">
        <v>6124</v>
      </c>
      <c r="D271" t="s">
        <v>5704</v>
      </c>
      <c r="E271" s="2">
        <v>12.3</v>
      </c>
      <c r="F271" s="1">
        <v>5</v>
      </c>
      <c r="G271" s="2">
        <v>61.5</v>
      </c>
      <c r="J271" s="5" t="s">
        <v>1779</v>
      </c>
      <c r="K271" t="s">
        <v>1780</v>
      </c>
      <c r="L271" t="s">
        <v>4611</v>
      </c>
      <c r="M271" t="s">
        <v>86</v>
      </c>
      <c r="N271" s="2">
        <v>41.88</v>
      </c>
      <c r="O271" s="1">
        <v>26</v>
      </c>
      <c r="P271" s="2">
        <v>1088.8800000000001</v>
      </c>
    </row>
    <row r="272" spans="1:16">
      <c r="A272" t="s">
        <v>5945</v>
      </c>
      <c r="B272" t="s">
        <v>5946</v>
      </c>
      <c r="C272" t="s">
        <v>6124</v>
      </c>
      <c r="D272" t="s">
        <v>5922</v>
      </c>
      <c r="E272" s="2">
        <v>29.15</v>
      </c>
      <c r="F272" s="1">
        <v>2</v>
      </c>
      <c r="G272" s="2">
        <v>58.3</v>
      </c>
      <c r="J272" s="5" t="s">
        <v>5084</v>
      </c>
      <c r="K272" t="s">
        <v>5085</v>
      </c>
      <c r="L272" t="s">
        <v>580</v>
      </c>
      <c r="M272" t="s">
        <v>581</v>
      </c>
      <c r="N272" s="2">
        <v>3.5226000000000002</v>
      </c>
      <c r="O272" s="1">
        <v>612</v>
      </c>
      <c r="P272" s="2">
        <v>1077.9156</v>
      </c>
    </row>
    <row r="273" spans="1:16">
      <c r="A273" t="s">
        <v>6107</v>
      </c>
      <c r="B273" t="s">
        <v>6108</v>
      </c>
      <c r="C273" t="s">
        <v>6124</v>
      </c>
      <c r="D273" t="s">
        <v>5922</v>
      </c>
      <c r="E273" s="2">
        <v>0.06</v>
      </c>
      <c r="F273" s="1">
        <v>929</v>
      </c>
      <c r="G273" s="2">
        <v>55.739999999999995</v>
      </c>
      <c r="J273" s="5" t="s">
        <v>4793</v>
      </c>
      <c r="K273" t="s">
        <v>4794</v>
      </c>
      <c r="L273" t="s">
        <v>85</v>
      </c>
      <c r="M273" t="s">
        <v>86</v>
      </c>
      <c r="N273" s="2">
        <v>39.680599999999998</v>
      </c>
      <c r="O273" s="1">
        <v>54</v>
      </c>
      <c r="P273" s="2">
        <v>1071.3761999999999</v>
      </c>
    </row>
    <row r="274" spans="1:16">
      <c r="A274" t="s">
        <v>5824</v>
      </c>
      <c r="B274" t="s">
        <v>5825</v>
      </c>
      <c r="C274" t="s">
        <v>6124</v>
      </c>
      <c r="D274" t="s">
        <v>5767</v>
      </c>
      <c r="E274" s="2">
        <v>55.63</v>
      </c>
      <c r="F274" s="1">
        <v>1</v>
      </c>
      <c r="G274" s="2">
        <v>55.63</v>
      </c>
      <c r="J274" s="5" t="s">
        <v>1278</v>
      </c>
      <c r="K274" t="s">
        <v>1279</v>
      </c>
      <c r="L274" t="s">
        <v>101</v>
      </c>
      <c r="M274" t="s">
        <v>581</v>
      </c>
      <c r="N274" s="2">
        <v>2.4220999999999999</v>
      </c>
      <c r="O274" s="1">
        <v>442.286</v>
      </c>
      <c r="P274" s="2">
        <v>1071.2609206</v>
      </c>
    </row>
    <row r="275" spans="1:16">
      <c r="A275" t="s">
        <v>5749</v>
      </c>
      <c r="B275" t="s">
        <v>5750</v>
      </c>
      <c r="C275" t="s">
        <v>6124</v>
      </c>
      <c r="D275" t="s">
        <v>5704</v>
      </c>
      <c r="E275" s="2">
        <v>17.98</v>
      </c>
      <c r="F275" s="1">
        <v>3</v>
      </c>
      <c r="G275" s="2">
        <v>53.94</v>
      </c>
      <c r="J275" s="5" t="s">
        <v>4183</v>
      </c>
      <c r="K275" t="s">
        <v>4184</v>
      </c>
      <c r="L275" t="s">
        <v>85</v>
      </c>
      <c r="M275" t="s">
        <v>86</v>
      </c>
      <c r="N275" s="2">
        <v>48.518599999999999</v>
      </c>
      <c r="O275" s="1">
        <v>44</v>
      </c>
      <c r="P275" s="2">
        <v>1067.4092000000001</v>
      </c>
    </row>
    <row r="276" spans="1:16">
      <c r="A276" t="s">
        <v>6009</v>
      </c>
      <c r="B276" t="s">
        <v>6010</v>
      </c>
      <c r="C276" t="s">
        <v>6124</v>
      </c>
      <c r="D276" t="s">
        <v>5922</v>
      </c>
      <c r="E276" s="2">
        <v>1.33</v>
      </c>
      <c r="F276" s="1">
        <v>40</v>
      </c>
      <c r="G276" s="2">
        <v>53.2</v>
      </c>
      <c r="J276" s="5" t="s">
        <v>5161</v>
      </c>
      <c r="K276" t="s">
        <v>5162</v>
      </c>
      <c r="L276" t="s">
        <v>128</v>
      </c>
      <c r="M276" t="s">
        <v>125</v>
      </c>
      <c r="N276" s="2">
        <v>355.71499999999997</v>
      </c>
      <c r="O276" s="1">
        <v>3</v>
      </c>
      <c r="P276" s="2">
        <v>1067.145</v>
      </c>
    </row>
    <row r="277" spans="1:16">
      <c r="A277" t="s">
        <v>5677</v>
      </c>
      <c r="B277" t="s">
        <v>5678</v>
      </c>
      <c r="C277" t="s">
        <v>6124</v>
      </c>
      <c r="D277" t="s">
        <v>3537</v>
      </c>
      <c r="E277" s="2">
        <v>2.61</v>
      </c>
      <c r="F277" s="1">
        <v>19</v>
      </c>
      <c r="G277" s="2">
        <v>49.589999999999996</v>
      </c>
      <c r="J277" s="5" t="s">
        <v>2006</v>
      </c>
      <c r="K277" t="s">
        <v>2007</v>
      </c>
      <c r="L277" t="s">
        <v>580</v>
      </c>
      <c r="M277" t="s">
        <v>619</v>
      </c>
      <c r="N277" s="2">
        <v>5.7922000000000002</v>
      </c>
      <c r="O277" s="1">
        <v>364</v>
      </c>
      <c r="P277" s="2">
        <v>1054.1804</v>
      </c>
    </row>
    <row r="278" spans="1:16">
      <c r="A278" t="s">
        <v>6043</v>
      </c>
      <c r="B278" t="s">
        <v>6044</v>
      </c>
      <c r="C278" t="s">
        <v>6124</v>
      </c>
      <c r="D278" t="s">
        <v>5922</v>
      </c>
      <c r="E278" s="2">
        <v>2.0299999999999998</v>
      </c>
      <c r="F278" s="1">
        <v>20</v>
      </c>
      <c r="G278" s="2">
        <v>40.599999999999994</v>
      </c>
      <c r="J278" s="5" t="s">
        <v>2872</v>
      </c>
      <c r="K278" t="s">
        <v>3769</v>
      </c>
      <c r="L278" t="s">
        <v>98</v>
      </c>
      <c r="M278" t="s">
        <v>86</v>
      </c>
      <c r="N278" s="2">
        <v>7.6268000000000002</v>
      </c>
      <c r="O278" s="1">
        <v>276</v>
      </c>
      <c r="P278" s="2">
        <v>1052.4983999999999</v>
      </c>
    </row>
    <row r="279" spans="1:16">
      <c r="A279" t="s">
        <v>5820</v>
      </c>
      <c r="B279" t="s">
        <v>5821</v>
      </c>
      <c r="C279" t="s">
        <v>6124</v>
      </c>
      <c r="D279" t="s">
        <v>5767</v>
      </c>
      <c r="E279" s="2">
        <v>18.29</v>
      </c>
      <c r="F279" s="1">
        <v>2</v>
      </c>
      <c r="G279" s="2">
        <v>36.58</v>
      </c>
      <c r="J279" s="5" t="s">
        <v>4403</v>
      </c>
      <c r="K279" t="s">
        <v>4404</v>
      </c>
      <c r="L279" t="s">
        <v>85</v>
      </c>
      <c r="M279" t="s">
        <v>86</v>
      </c>
      <c r="N279" s="2">
        <v>47.644199999999998</v>
      </c>
      <c r="O279" s="1">
        <v>44</v>
      </c>
      <c r="P279" s="2">
        <v>1048.1723999999999</v>
      </c>
    </row>
    <row r="280" spans="1:16">
      <c r="A280" t="s">
        <v>5745</v>
      </c>
      <c r="B280" t="s">
        <v>5746</v>
      </c>
      <c r="C280" t="s">
        <v>6124</v>
      </c>
      <c r="D280" t="s">
        <v>5704</v>
      </c>
      <c r="E280" s="2">
        <v>17.98</v>
      </c>
      <c r="F280" s="1">
        <v>2</v>
      </c>
      <c r="G280" s="2">
        <v>35.96</v>
      </c>
      <c r="J280" s="5" t="s">
        <v>1192</v>
      </c>
      <c r="K280" t="s">
        <v>1193</v>
      </c>
      <c r="L280" t="s">
        <v>31</v>
      </c>
      <c r="M280" t="s">
        <v>1931</v>
      </c>
      <c r="N280" s="2">
        <v>349.22219999999999</v>
      </c>
      <c r="O280" s="1">
        <v>6</v>
      </c>
      <c r="P280" s="2">
        <v>1047.6666</v>
      </c>
    </row>
    <row r="281" spans="1:16">
      <c r="A281" t="s">
        <v>5555</v>
      </c>
      <c r="B281" t="s">
        <v>5556</v>
      </c>
      <c r="C281" t="s">
        <v>6124</v>
      </c>
      <c r="D281" t="s">
        <v>3537</v>
      </c>
      <c r="E281" s="2">
        <v>8</v>
      </c>
      <c r="F281" s="1">
        <v>4</v>
      </c>
      <c r="G281" s="2">
        <v>32</v>
      </c>
      <c r="J281" s="5" t="s">
        <v>5266</v>
      </c>
      <c r="K281" t="s">
        <v>5267</v>
      </c>
      <c r="L281" t="s">
        <v>580</v>
      </c>
      <c r="M281" t="s">
        <v>619</v>
      </c>
      <c r="N281" s="2">
        <v>4.0407999999999999</v>
      </c>
      <c r="O281" s="1">
        <v>514</v>
      </c>
      <c r="P281" s="2">
        <v>1038.4856</v>
      </c>
    </row>
    <row r="282" spans="1:16">
      <c r="A282" t="s">
        <v>5589</v>
      </c>
      <c r="B282" t="s">
        <v>5590</v>
      </c>
      <c r="C282" t="s">
        <v>6124</v>
      </c>
      <c r="D282" t="s">
        <v>3537</v>
      </c>
      <c r="E282" s="2">
        <v>6.38</v>
      </c>
      <c r="F282" s="1">
        <v>5</v>
      </c>
      <c r="G282" s="2">
        <v>31.9</v>
      </c>
      <c r="J282" s="5" t="s">
        <v>771</v>
      </c>
      <c r="K282" t="s">
        <v>772</v>
      </c>
      <c r="L282" t="s">
        <v>618</v>
      </c>
      <c r="M282" t="s">
        <v>711</v>
      </c>
      <c r="N282" s="2">
        <v>24.708400000000001</v>
      </c>
      <c r="O282" s="1">
        <v>84</v>
      </c>
      <c r="P282" s="2">
        <v>1037.7528</v>
      </c>
    </row>
    <row r="283" spans="1:16">
      <c r="A283" t="s">
        <v>5667</v>
      </c>
      <c r="B283" t="s">
        <v>5668</v>
      </c>
      <c r="C283" t="s">
        <v>6124</v>
      </c>
      <c r="D283" t="s">
        <v>3537</v>
      </c>
      <c r="E283" s="2">
        <v>5.27</v>
      </c>
      <c r="F283" s="1">
        <v>5</v>
      </c>
      <c r="G283" s="2">
        <v>26.349999999999998</v>
      </c>
      <c r="J283" s="5" t="s">
        <v>2886</v>
      </c>
      <c r="K283" t="s">
        <v>2887</v>
      </c>
      <c r="L283" t="s">
        <v>263</v>
      </c>
      <c r="M283" t="s">
        <v>86</v>
      </c>
      <c r="N283" s="2">
        <v>69.058999999999997</v>
      </c>
      <c r="O283" s="1">
        <v>30</v>
      </c>
      <c r="P283" s="2">
        <v>1035.885</v>
      </c>
    </row>
    <row r="284" spans="1:16">
      <c r="A284" t="s">
        <v>5991</v>
      </c>
      <c r="B284" t="s">
        <v>5992</v>
      </c>
      <c r="C284" t="s">
        <v>6124</v>
      </c>
      <c r="D284" t="s">
        <v>5922</v>
      </c>
      <c r="E284" s="2">
        <v>0.37</v>
      </c>
      <c r="F284" s="1">
        <v>63</v>
      </c>
      <c r="G284" s="2">
        <v>23.31</v>
      </c>
      <c r="J284" s="5" t="s">
        <v>4761</v>
      </c>
      <c r="K284" t="s">
        <v>4762</v>
      </c>
      <c r="L284" t="s">
        <v>85</v>
      </c>
      <c r="M284" t="s">
        <v>86</v>
      </c>
      <c r="N284" s="2">
        <v>102.3522</v>
      </c>
      <c r="O284" s="1">
        <v>20</v>
      </c>
      <c r="P284" s="2">
        <v>1023.5219999999999</v>
      </c>
    </row>
    <row r="285" spans="1:16">
      <c r="A285" t="s">
        <v>6019</v>
      </c>
      <c r="B285" t="s">
        <v>6020</v>
      </c>
      <c r="C285" t="s">
        <v>6124</v>
      </c>
      <c r="D285" t="s">
        <v>5922</v>
      </c>
      <c r="E285" s="2">
        <v>0.92</v>
      </c>
      <c r="F285" s="1">
        <v>23</v>
      </c>
      <c r="G285" s="2">
        <v>21.16</v>
      </c>
      <c r="J285" s="5" t="s">
        <v>3441</v>
      </c>
      <c r="K285" t="s">
        <v>3442</v>
      </c>
      <c r="L285" t="s">
        <v>3443</v>
      </c>
      <c r="M285" t="s">
        <v>112</v>
      </c>
      <c r="N285" s="2">
        <v>506.66669999999999</v>
      </c>
      <c r="O285" s="1">
        <v>6</v>
      </c>
      <c r="P285" s="2">
        <v>1013.3334</v>
      </c>
    </row>
    <row r="286" spans="1:16">
      <c r="A286" t="s">
        <v>6113</v>
      </c>
      <c r="B286" t="s">
        <v>6114</v>
      </c>
      <c r="C286" t="s">
        <v>6124</v>
      </c>
      <c r="D286" t="s">
        <v>5922</v>
      </c>
      <c r="E286" s="2">
        <v>1</v>
      </c>
      <c r="F286" s="1">
        <v>21</v>
      </c>
      <c r="G286" s="2">
        <v>21</v>
      </c>
      <c r="J286" s="5" t="s">
        <v>477</v>
      </c>
      <c r="K286" t="s">
        <v>478</v>
      </c>
      <c r="L286" t="s">
        <v>479</v>
      </c>
      <c r="M286" t="s">
        <v>86</v>
      </c>
      <c r="N286" s="2">
        <v>506.44479999999999</v>
      </c>
      <c r="O286" s="1">
        <v>4</v>
      </c>
      <c r="P286" s="2">
        <v>1012.8896</v>
      </c>
    </row>
    <row r="287" spans="1:16">
      <c r="A287" t="s">
        <v>5846</v>
      </c>
      <c r="B287" t="s">
        <v>5847</v>
      </c>
      <c r="C287" t="s">
        <v>6124</v>
      </c>
      <c r="D287" t="s">
        <v>5767</v>
      </c>
      <c r="E287" s="2">
        <v>1.25</v>
      </c>
      <c r="F287" s="1">
        <v>16</v>
      </c>
      <c r="G287" s="2">
        <v>20</v>
      </c>
      <c r="J287" s="5" t="s">
        <v>714</v>
      </c>
      <c r="K287" t="s">
        <v>715</v>
      </c>
      <c r="L287" t="s">
        <v>580</v>
      </c>
      <c r="M287" t="s">
        <v>581</v>
      </c>
      <c r="N287" s="2">
        <v>3.7498</v>
      </c>
      <c r="O287" s="1">
        <v>528</v>
      </c>
      <c r="P287" s="2">
        <v>989.94719999999995</v>
      </c>
    </row>
    <row r="288" spans="1:16">
      <c r="A288" t="s">
        <v>6007</v>
      </c>
      <c r="B288" t="s">
        <v>6008</v>
      </c>
      <c r="C288" t="s">
        <v>6124</v>
      </c>
      <c r="D288" t="s">
        <v>5922</v>
      </c>
      <c r="E288" s="2">
        <v>0.08</v>
      </c>
      <c r="F288" s="1">
        <v>227</v>
      </c>
      <c r="G288" s="2">
        <v>18.16</v>
      </c>
      <c r="J288" s="5" t="s">
        <v>5309</v>
      </c>
      <c r="K288" t="s">
        <v>5310</v>
      </c>
      <c r="L288" t="s">
        <v>101</v>
      </c>
      <c r="M288" t="s">
        <v>102</v>
      </c>
      <c r="N288" s="2">
        <v>0.64080000000000004</v>
      </c>
      <c r="O288" s="1">
        <v>1541</v>
      </c>
      <c r="P288" s="2">
        <v>987.47280000000001</v>
      </c>
    </row>
    <row r="289" spans="1:16">
      <c r="A289" t="s">
        <v>5591</v>
      </c>
      <c r="B289" t="s">
        <v>5592</v>
      </c>
      <c r="C289" t="s">
        <v>6124</v>
      </c>
      <c r="D289" t="s">
        <v>3537</v>
      </c>
      <c r="E289" s="2">
        <v>1.05</v>
      </c>
      <c r="F289" s="1">
        <v>17</v>
      </c>
      <c r="G289" s="2">
        <v>17.850000000000001</v>
      </c>
      <c r="J289" s="5" t="s">
        <v>805</v>
      </c>
      <c r="K289" t="s">
        <v>806</v>
      </c>
      <c r="L289" t="s">
        <v>580</v>
      </c>
      <c r="M289" t="s">
        <v>581</v>
      </c>
      <c r="N289" s="2">
        <v>4.0613999999999999</v>
      </c>
      <c r="O289" s="1">
        <v>486</v>
      </c>
      <c r="P289" s="2">
        <v>986.92020000000002</v>
      </c>
    </row>
    <row r="290" spans="1:16">
      <c r="A290" t="s">
        <v>5631</v>
      </c>
      <c r="B290" t="s">
        <v>5632</v>
      </c>
      <c r="C290" t="s">
        <v>6124</v>
      </c>
      <c r="D290" t="s">
        <v>3537</v>
      </c>
      <c r="E290" s="2">
        <v>1.64</v>
      </c>
      <c r="F290" s="1">
        <v>8</v>
      </c>
      <c r="G290" s="2">
        <v>13.12</v>
      </c>
      <c r="J290" s="5" t="s">
        <v>2575</v>
      </c>
      <c r="K290" t="s">
        <v>2576</v>
      </c>
      <c r="L290" t="s">
        <v>5473</v>
      </c>
      <c r="M290" t="s">
        <v>125</v>
      </c>
      <c r="N290" s="2">
        <v>986.26499999999999</v>
      </c>
      <c r="O290" s="1">
        <v>1</v>
      </c>
      <c r="P290" s="2">
        <v>986.26499999999999</v>
      </c>
    </row>
    <row r="291" spans="1:16">
      <c r="A291" t="s">
        <v>5705</v>
      </c>
      <c r="B291" t="s">
        <v>5706</v>
      </c>
      <c r="C291" t="s">
        <v>6124</v>
      </c>
      <c r="D291" t="s">
        <v>5704</v>
      </c>
      <c r="E291" s="2">
        <v>12.3</v>
      </c>
      <c r="F291" s="1">
        <v>1</v>
      </c>
      <c r="G291" s="2">
        <v>12.3</v>
      </c>
      <c r="J291" s="5" t="s">
        <v>5229</v>
      </c>
      <c r="K291" t="s">
        <v>5230</v>
      </c>
      <c r="L291" t="s">
        <v>101</v>
      </c>
      <c r="M291" t="s">
        <v>581</v>
      </c>
      <c r="N291" s="2">
        <v>49</v>
      </c>
      <c r="O291" s="1">
        <v>20</v>
      </c>
      <c r="P291" s="2">
        <v>980</v>
      </c>
    </row>
    <row r="292" spans="1:16">
      <c r="A292" t="s">
        <v>5995</v>
      </c>
      <c r="B292" t="s">
        <v>5996</v>
      </c>
      <c r="C292" t="s">
        <v>6124</v>
      </c>
      <c r="D292" t="s">
        <v>5922</v>
      </c>
      <c r="E292" s="2">
        <v>0.36</v>
      </c>
      <c r="F292" s="1">
        <v>5</v>
      </c>
      <c r="G292" s="2">
        <v>1.7999999999999998</v>
      </c>
      <c r="J292" s="5" t="s">
        <v>1242</v>
      </c>
      <c r="K292" t="s">
        <v>5201</v>
      </c>
      <c r="L292" t="s">
        <v>101</v>
      </c>
      <c r="M292" t="s">
        <v>581</v>
      </c>
      <c r="N292" s="2">
        <v>2.0438000000000001</v>
      </c>
      <c r="O292" s="1">
        <v>474.99</v>
      </c>
      <c r="P292" s="2">
        <v>970.78456200000005</v>
      </c>
    </row>
    <row r="293" spans="1:16">
      <c r="J293" s="5" t="s">
        <v>4619</v>
      </c>
      <c r="K293" t="s">
        <v>4620</v>
      </c>
      <c r="L293" t="s">
        <v>479</v>
      </c>
      <c r="M293" t="s">
        <v>86</v>
      </c>
      <c r="N293" s="2">
        <v>317.85019999999997</v>
      </c>
      <c r="O293" s="1">
        <v>6</v>
      </c>
      <c r="P293" s="2">
        <v>953.55059999999992</v>
      </c>
    </row>
    <row r="294" spans="1:16">
      <c r="J294" s="5" t="s">
        <v>809</v>
      </c>
      <c r="K294" t="s">
        <v>810</v>
      </c>
      <c r="L294" t="s">
        <v>580</v>
      </c>
      <c r="M294" t="s">
        <v>581</v>
      </c>
      <c r="N294" s="2">
        <v>3.5931999999999999</v>
      </c>
      <c r="O294" s="1">
        <v>530</v>
      </c>
      <c r="P294" s="2">
        <v>952.19799999999998</v>
      </c>
    </row>
    <row r="295" spans="1:16">
      <c r="J295" s="5" t="s">
        <v>5131</v>
      </c>
      <c r="K295" t="s">
        <v>5132</v>
      </c>
      <c r="L295" t="s">
        <v>994</v>
      </c>
      <c r="M295" t="s">
        <v>125</v>
      </c>
      <c r="N295" s="2">
        <v>950.07</v>
      </c>
      <c r="O295" s="1">
        <v>1</v>
      </c>
      <c r="P295" s="2">
        <v>950.07</v>
      </c>
    </row>
    <row r="296" spans="1:16">
      <c r="J296" s="5" t="s">
        <v>3435</v>
      </c>
      <c r="K296" t="s">
        <v>3436</v>
      </c>
      <c r="L296" t="s">
        <v>89</v>
      </c>
      <c r="M296" t="s">
        <v>86</v>
      </c>
      <c r="N296" s="2">
        <v>470.9</v>
      </c>
      <c r="O296" s="1">
        <v>2</v>
      </c>
      <c r="P296" s="2">
        <v>941.8</v>
      </c>
    </row>
    <row r="297" spans="1:16">
      <c r="J297" s="5" t="s">
        <v>1293</v>
      </c>
      <c r="K297" t="s">
        <v>1294</v>
      </c>
      <c r="L297" t="s">
        <v>101</v>
      </c>
      <c r="M297" t="s">
        <v>626</v>
      </c>
      <c r="N297" s="2">
        <v>6.2270000000000003</v>
      </c>
      <c r="O297" s="1">
        <v>151</v>
      </c>
      <c r="P297" s="2">
        <v>940.27700000000004</v>
      </c>
    </row>
    <row r="298" spans="1:16">
      <c r="J298" s="5" t="s">
        <v>2497</v>
      </c>
      <c r="K298" t="s">
        <v>2498</v>
      </c>
      <c r="L298" t="s">
        <v>2499</v>
      </c>
      <c r="M298" t="s">
        <v>1931</v>
      </c>
      <c r="N298" s="2">
        <v>469.87</v>
      </c>
      <c r="O298" s="1">
        <v>2</v>
      </c>
      <c r="P298" s="2">
        <v>939.74</v>
      </c>
    </row>
    <row r="299" spans="1:16">
      <c r="J299" s="5" t="s">
        <v>2783</v>
      </c>
      <c r="K299" t="s">
        <v>2784</v>
      </c>
      <c r="L299" t="s">
        <v>373</v>
      </c>
      <c r="M299" t="s">
        <v>86</v>
      </c>
      <c r="N299" s="2">
        <v>31.2578</v>
      </c>
      <c r="O299" s="1">
        <v>60</v>
      </c>
      <c r="P299" s="2">
        <v>937.73400000000004</v>
      </c>
    </row>
    <row r="300" spans="1:16">
      <c r="J300" s="5" t="s">
        <v>5483</v>
      </c>
      <c r="K300" t="s">
        <v>2625</v>
      </c>
      <c r="L300" t="s">
        <v>5479</v>
      </c>
      <c r="M300" t="s">
        <v>125</v>
      </c>
      <c r="N300" s="2">
        <v>936.82</v>
      </c>
      <c r="O300" s="1">
        <v>1</v>
      </c>
      <c r="P300" s="2">
        <v>936.82</v>
      </c>
    </row>
    <row r="301" spans="1:16">
      <c r="J301" s="5" t="s">
        <v>1765</v>
      </c>
      <c r="K301" t="s">
        <v>1766</v>
      </c>
      <c r="L301" t="s">
        <v>31</v>
      </c>
      <c r="M301" t="s">
        <v>1931</v>
      </c>
      <c r="N301" s="2">
        <v>234</v>
      </c>
      <c r="O301" s="1">
        <v>4</v>
      </c>
      <c r="P301" s="2">
        <v>936</v>
      </c>
    </row>
    <row r="302" spans="1:16">
      <c r="J302" s="5" t="s">
        <v>3167</v>
      </c>
      <c r="K302" t="s">
        <v>5046</v>
      </c>
      <c r="L302" t="s">
        <v>228</v>
      </c>
      <c r="M302" t="s">
        <v>86</v>
      </c>
      <c r="N302" s="2">
        <v>20.755400000000002</v>
      </c>
      <c r="O302" s="1">
        <v>90</v>
      </c>
      <c r="P302" s="2">
        <v>933.99300000000005</v>
      </c>
    </row>
    <row r="303" spans="1:16">
      <c r="J303" s="5" t="s">
        <v>4869</v>
      </c>
      <c r="K303" t="s">
        <v>4870</v>
      </c>
      <c r="L303" t="s">
        <v>85</v>
      </c>
      <c r="M303" t="s">
        <v>86</v>
      </c>
      <c r="N303" s="2">
        <v>35.8962</v>
      </c>
      <c r="O303" s="1">
        <v>52</v>
      </c>
      <c r="P303" s="2">
        <v>933.30119999999999</v>
      </c>
    </row>
    <row r="304" spans="1:16">
      <c r="J304" s="5" t="s">
        <v>1977</v>
      </c>
      <c r="K304" t="s">
        <v>1978</v>
      </c>
      <c r="L304" t="s">
        <v>101</v>
      </c>
      <c r="M304" t="s">
        <v>102</v>
      </c>
      <c r="N304" s="2">
        <v>1.1499999999999999</v>
      </c>
      <c r="O304" s="1">
        <v>800</v>
      </c>
      <c r="P304" s="2">
        <v>919.99999999999989</v>
      </c>
    </row>
    <row r="305" spans="10:16">
      <c r="J305" s="5" t="s">
        <v>5401</v>
      </c>
      <c r="K305" t="s">
        <v>5402</v>
      </c>
      <c r="L305" t="s">
        <v>85</v>
      </c>
      <c r="M305" t="s">
        <v>86</v>
      </c>
      <c r="N305" s="2">
        <v>33.994</v>
      </c>
      <c r="O305" s="1">
        <v>54</v>
      </c>
      <c r="P305" s="2">
        <v>917.83799999999997</v>
      </c>
    </row>
    <row r="306" spans="10:16">
      <c r="J306" s="5" t="s">
        <v>5129</v>
      </c>
      <c r="K306" t="s">
        <v>5130</v>
      </c>
      <c r="L306" t="s">
        <v>1847</v>
      </c>
      <c r="M306" t="s">
        <v>125</v>
      </c>
      <c r="N306" s="2">
        <v>913.7</v>
      </c>
      <c r="O306" s="1">
        <v>1</v>
      </c>
      <c r="P306" s="2">
        <v>913.7</v>
      </c>
    </row>
    <row r="307" spans="10:16">
      <c r="J307" s="5" t="s">
        <v>977</v>
      </c>
      <c r="K307" t="s">
        <v>978</v>
      </c>
      <c r="L307" t="s">
        <v>1972</v>
      </c>
      <c r="M307" t="s">
        <v>125</v>
      </c>
      <c r="N307" s="2">
        <v>15.7094</v>
      </c>
      <c r="O307" s="1">
        <v>116</v>
      </c>
      <c r="P307" s="2">
        <v>911.14520000000005</v>
      </c>
    </row>
    <row r="308" spans="10:16">
      <c r="J308" s="5" t="s">
        <v>1850</v>
      </c>
      <c r="K308" t="s">
        <v>1851</v>
      </c>
      <c r="L308" t="s">
        <v>1852</v>
      </c>
      <c r="M308" t="s">
        <v>125</v>
      </c>
      <c r="N308" s="2">
        <v>907.08219999999994</v>
      </c>
      <c r="O308" s="1">
        <v>2</v>
      </c>
      <c r="P308" s="2">
        <v>907.08219999999994</v>
      </c>
    </row>
    <row r="309" spans="10:16">
      <c r="J309" s="5" t="s">
        <v>631</v>
      </c>
      <c r="K309" t="s">
        <v>632</v>
      </c>
      <c r="L309" t="s">
        <v>101</v>
      </c>
      <c r="M309" t="s">
        <v>581</v>
      </c>
      <c r="N309" s="2">
        <v>14.293200000000001</v>
      </c>
      <c r="O309" s="1">
        <v>63.25</v>
      </c>
      <c r="P309" s="2">
        <v>904.04489999999998</v>
      </c>
    </row>
    <row r="310" spans="10:16">
      <c r="J310" s="5" t="s">
        <v>5098</v>
      </c>
      <c r="K310" t="s">
        <v>5099</v>
      </c>
      <c r="L310" t="s">
        <v>618</v>
      </c>
      <c r="M310" t="s">
        <v>626</v>
      </c>
      <c r="N310" s="2">
        <v>5.0826000000000002</v>
      </c>
      <c r="O310" s="1">
        <v>354</v>
      </c>
      <c r="P310" s="2">
        <v>899.62020000000007</v>
      </c>
    </row>
    <row r="311" spans="10:16">
      <c r="J311" s="5" t="s">
        <v>675</v>
      </c>
      <c r="K311" t="s">
        <v>676</v>
      </c>
      <c r="L311" t="s">
        <v>3304</v>
      </c>
      <c r="M311" t="s">
        <v>1931</v>
      </c>
      <c r="N311" s="2">
        <v>887.23260000000005</v>
      </c>
      <c r="O311" s="1">
        <v>2</v>
      </c>
      <c r="P311" s="2">
        <v>887.23260000000005</v>
      </c>
    </row>
    <row r="312" spans="10:16">
      <c r="J312" s="5" t="s">
        <v>2946</v>
      </c>
      <c r="K312" t="s">
        <v>2947</v>
      </c>
      <c r="L312" t="s">
        <v>219</v>
      </c>
      <c r="M312" t="s">
        <v>86</v>
      </c>
      <c r="N312" s="2">
        <v>110.8494</v>
      </c>
      <c r="O312" s="1">
        <v>16</v>
      </c>
      <c r="P312" s="2">
        <v>886.79520000000002</v>
      </c>
    </row>
    <row r="313" spans="10:16">
      <c r="J313" s="5" t="s">
        <v>779</v>
      </c>
      <c r="K313" t="s">
        <v>780</v>
      </c>
      <c r="L313" t="s">
        <v>580</v>
      </c>
      <c r="M313" t="s">
        <v>581</v>
      </c>
      <c r="N313" s="2">
        <v>0.76670000000000005</v>
      </c>
      <c r="O313" s="1">
        <v>1156</v>
      </c>
      <c r="P313" s="2">
        <v>886.30520000000001</v>
      </c>
    </row>
    <row r="314" spans="10:16">
      <c r="J314" s="5" t="s">
        <v>5258</v>
      </c>
      <c r="K314" t="s">
        <v>5259</v>
      </c>
      <c r="L314" t="s">
        <v>101</v>
      </c>
      <c r="M314" t="s">
        <v>626</v>
      </c>
      <c r="N314" s="2">
        <v>1.1608000000000001</v>
      </c>
      <c r="O314" s="1">
        <v>763</v>
      </c>
      <c r="P314" s="2">
        <v>885.69040000000007</v>
      </c>
    </row>
    <row r="315" spans="10:16">
      <c r="J315" s="5" t="s">
        <v>5535</v>
      </c>
      <c r="K315" t="s">
        <v>5536</v>
      </c>
      <c r="L315" t="s">
        <v>89</v>
      </c>
      <c r="M315" t="s">
        <v>86</v>
      </c>
      <c r="N315" s="2">
        <v>292.46379999999999</v>
      </c>
      <c r="O315" s="1">
        <v>6</v>
      </c>
      <c r="P315" s="2">
        <v>877.39139999999998</v>
      </c>
    </row>
    <row r="316" spans="10:16">
      <c r="J316" s="5" t="s">
        <v>683</v>
      </c>
      <c r="K316" t="s">
        <v>684</v>
      </c>
      <c r="L316" t="s">
        <v>31</v>
      </c>
      <c r="M316" t="s">
        <v>1931</v>
      </c>
      <c r="N316" s="2">
        <v>438.31580000000002</v>
      </c>
      <c r="O316" s="1">
        <v>4</v>
      </c>
      <c r="P316" s="2">
        <v>876.63160000000005</v>
      </c>
    </row>
    <row r="317" spans="10:16">
      <c r="J317" s="5" t="s">
        <v>5235</v>
      </c>
      <c r="K317" t="s">
        <v>5236</v>
      </c>
      <c r="L317" t="s">
        <v>101</v>
      </c>
      <c r="M317" t="s">
        <v>102</v>
      </c>
      <c r="N317" s="2">
        <v>0.153</v>
      </c>
      <c r="O317" s="1">
        <v>5620</v>
      </c>
      <c r="P317" s="2">
        <v>859.86</v>
      </c>
    </row>
    <row r="318" spans="10:16">
      <c r="J318" s="5" t="s">
        <v>383</v>
      </c>
      <c r="K318" t="s">
        <v>384</v>
      </c>
      <c r="L318" t="s">
        <v>85</v>
      </c>
      <c r="M318" t="s">
        <v>86</v>
      </c>
      <c r="N318" s="2">
        <v>30.537600000000001</v>
      </c>
      <c r="O318" s="1">
        <v>28</v>
      </c>
      <c r="P318" s="2">
        <v>855.05280000000005</v>
      </c>
    </row>
    <row r="319" spans="10:16">
      <c r="J319" s="5" t="s">
        <v>516</v>
      </c>
      <c r="K319" t="s">
        <v>517</v>
      </c>
      <c r="L319" t="s">
        <v>228</v>
      </c>
      <c r="M319" t="s">
        <v>86</v>
      </c>
      <c r="N319" s="2">
        <v>21.188100000000002</v>
      </c>
      <c r="O319" s="1">
        <v>120</v>
      </c>
      <c r="P319" s="2">
        <v>847.52400000000011</v>
      </c>
    </row>
    <row r="320" spans="10:16">
      <c r="J320" s="5" t="s">
        <v>3051</v>
      </c>
      <c r="K320" t="s">
        <v>4561</v>
      </c>
      <c r="L320" t="s">
        <v>85</v>
      </c>
      <c r="M320" t="s">
        <v>86</v>
      </c>
      <c r="N320" s="2">
        <v>24.557200000000002</v>
      </c>
      <c r="O320" s="1">
        <v>68</v>
      </c>
      <c r="P320" s="2">
        <v>834.9448000000001</v>
      </c>
    </row>
    <row r="321" spans="10:16">
      <c r="J321" s="5" t="s">
        <v>3285</v>
      </c>
      <c r="K321" t="s">
        <v>5428</v>
      </c>
      <c r="L321" t="s">
        <v>476</v>
      </c>
      <c r="M321" t="s">
        <v>86</v>
      </c>
      <c r="N321" s="2">
        <v>138.9375</v>
      </c>
      <c r="O321" s="1">
        <v>18</v>
      </c>
      <c r="P321" s="2">
        <v>833.625</v>
      </c>
    </row>
    <row r="322" spans="10:16">
      <c r="J322" s="5" t="s">
        <v>974</v>
      </c>
      <c r="K322" t="s">
        <v>5126</v>
      </c>
      <c r="L322" t="s">
        <v>944</v>
      </c>
      <c r="M322" t="s">
        <v>125</v>
      </c>
      <c r="N322" s="2">
        <v>17.463200000000001</v>
      </c>
      <c r="O322" s="1">
        <v>95</v>
      </c>
      <c r="P322" s="2">
        <v>829.50200000000007</v>
      </c>
    </row>
    <row r="323" spans="10:16">
      <c r="J323" s="5" t="s">
        <v>1196</v>
      </c>
      <c r="K323" t="s">
        <v>1197</v>
      </c>
      <c r="L323" t="s">
        <v>31</v>
      </c>
      <c r="M323" t="s">
        <v>1931</v>
      </c>
      <c r="N323" s="2">
        <v>413.23779999999999</v>
      </c>
      <c r="O323" s="1">
        <v>4</v>
      </c>
      <c r="P323" s="2">
        <v>826.47559999999999</v>
      </c>
    </row>
    <row r="324" spans="10:16">
      <c r="J324" s="5" t="s">
        <v>5127</v>
      </c>
      <c r="K324" t="s">
        <v>5128</v>
      </c>
      <c r="L324" t="s">
        <v>1847</v>
      </c>
      <c r="M324" t="s">
        <v>125</v>
      </c>
      <c r="N324" s="2">
        <v>824.58</v>
      </c>
      <c r="O324" s="1">
        <v>1</v>
      </c>
      <c r="P324" s="2">
        <v>824.58</v>
      </c>
    </row>
    <row r="325" spans="10:16">
      <c r="J325" s="5" t="s">
        <v>811</v>
      </c>
      <c r="K325" t="s">
        <v>812</v>
      </c>
      <c r="L325" t="s">
        <v>580</v>
      </c>
      <c r="M325" t="s">
        <v>581</v>
      </c>
      <c r="N325" s="2">
        <v>4.0026000000000002</v>
      </c>
      <c r="O325" s="1">
        <v>412</v>
      </c>
      <c r="P325" s="2">
        <v>824.53560000000004</v>
      </c>
    </row>
    <row r="326" spans="10:16">
      <c r="J326" s="5" t="s">
        <v>1297</v>
      </c>
      <c r="K326" t="s">
        <v>1298</v>
      </c>
      <c r="L326" t="s">
        <v>101</v>
      </c>
      <c r="M326" t="s">
        <v>626</v>
      </c>
      <c r="N326" s="2">
        <v>794.00139999999999</v>
      </c>
      <c r="O326" s="1">
        <v>1.0378000000000001</v>
      </c>
      <c r="P326" s="2">
        <v>824.01465292</v>
      </c>
    </row>
    <row r="327" spans="10:16">
      <c r="J327" s="5" t="s">
        <v>5169</v>
      </c>
      <c r="K327" t="s">
        <v>5170</v>
      </c>
      <c r="L327" t="s">
        <v>3304</v>
      </c>
      <c r="M327" t="s">
        <v>1931</v>
      </c>
      <c r="N327" s="2">
        <v>272.64</v>
      </c>
      <c r="O327" s="1">
        <v>3</v>
      </c>
      <c r="P327" s="2">
        <v>817.92</v>
      </c>
    </row>
    <row r="328" spans="10:16">
      <c r="J328" s="5" t="s">
        <v>1813</v>
      </c>
      <c r="K328" t="s">
        <v>1814</v>
      </c>
      <c r="L328" t="s">
        <v>2574</v>
      </c>
      <c r="M328" t="s">
        <v>125</v>
      </c>
      <c r="N328" s="2">
        <v>816.15779999999995</v>
      </c>
      <c r="O328" s="1">
        <v>2</v>
      </c>
      <c r="P328" s="2">
        <v>816.15779999999995</v>
      </c>
    </row>
    <row r="329" spans="10:16">
      <c r="J329" s="5" t="s">
        <v>1991</v>
      </c>
      <c r="K329" t="s">
        <v>1992</v>
      </c>
      <c r="L329" t="s">
        <v>101</v>
      </c>
      <c r="M329" t="s">
        <v>102</v>
      </c>
      <c r="N329" s="2">
        <v>0.86</v>
      </c>
      <c r="O329" s="1">
        <v>940</v>
      </c>
      <c r="P329" s="2">
        <v>808.4</v>
      </c>
    </row>
    <row r="330" spans="10:16">
      <c r="J330" s="5" t="s">
        <v>5183</v>
      </c>
      <c r="K330" t="s">
        <v>5184</v>
      </c>
      <c r="L330" t="s">
        <v>3304</v>
      </c>
      <c r="M330" t="s">
        <v>1931</v>
      </c>
      <c r="N330" s="2">
        <v>269.33999999999997</v>
      </c>
      <c r="O330" s="1">
        <v>3</v>
      </c>
      <c r="P330" s="2">
        <v>808.02</v>
      </c>
    </row>
    <row r="331" spans="10:16">
      <c r="J331" s="5" t="s">
        <v>848</v>
      </c>
      <c r="K331" t="s">
        <v>849</v>
      </c>
      <c r="L331" t="s">
        <v>618</v>
      </c>
      <c r="M331" t="s">
        <v>626</v>
      </c>
      <c r="N331" s="2">
        <v>11.4969</v>
      </c>
      <c r="O331" s="1">
        <v>70</v>
      </c>
      <c r="P331" s="2">
        <v>804.78300000000002</v>
      </c>
    </row>
    <row r="332" spans="10:16">
      <c r="J332" s="5" t="s">
        <v>614</v>
      </c>
      <c r="K332" t="s">
        <v>615</v>
      </c>
      <c r="L332" t="s">
        <v>31</v>
      </c>
      <c r="M332" t="s">
        <v>31</v>
      </c>
      <c r="N332" s="2">
        <v>267</v>
      </c>
      <c r="O332" s="1">
        <v>3</v>
      </c>
      <c r="P332" s="2">
        <v>801</v>
      </c>
    </row>
    <row r="333" spans="10:16">
      <c r="J333" s="5" t="s">
        <v>1785</v>
      </c>
      <c r="K333" t="s">
        <v>1786</v>
      </c>
      <c r="L333" t="s">
        <v>31</v>
      </c>
      <c r="M333" t="s">
        <v>125</v>
      </c>
      <c r="N333" s="2">
        <v>798.38300000000004</v>
      </c>
      <c r="O333" s="1">
        <v>1</v>
      </c>
      <c r="P333" s="2">
        <v>798.38300000000004</v>
      </c>
    </row>
    <row r="334" spans="10:16">
      <c r="J334" s="5" t="s">
        <v>4383</v>
      </c>
      <c r="K334" t="s">
        <v>4384</v>
      </c>
      <c r="L334" t="s">
        <v>219</v>
      </c>
      <c r="M334" t="s">
        <v>86</v>
      </c>
      <c r="N334" s="2">
        <v>10.2254</v>
      </c>
      <c r="O334" s="1">
        <v>156</v>
      </c>
      <c r="P334" s="2">
        <v>797.58120000000008</v>
      </c>
    </row>
    <row r="335" spans="10:16">
      <c r="J335" s="5" t="s">
        <v>2486</v>
      </c>
      <c r="K335" t="s">
        <v>2487</v>
      </c>
      <c r="L335" t="s">
        <v>85</v>
      </c>
      <c r="M335" t="s">
        <v>86</v>
      </c>
      <c r="N335" s="2">
        <v>48.857399999999998</v>
      </c>
      <c r="O335" s="1">
        <v>32</v>
      </c>
      <c r="P335" s="2">
        <v>781.71839999999997</v>
      </c>
    </row>
    <row r="336" spans="10:16">
      <c r="J336" s="5" t="s">
        <v>2000</v>
      </c>
      <c r="K336" t="s">
        <v>2001</v>
      </c>
      <c r="L336" t="s">
        <v>580</v>
      </c>
      <c r="M336" t="s">
        <v>581</v>
      </c>
      <c r="N336" s="2">
        <v>38.896999999999998</v>
      </c>
      <c r="O336" s="1">
        <v>20</v>
      </c>
      <c r="P336" s="2">
        <v>777.93999999999994</v>
      </c>
    </row>
    <row r="337" spans="10:16">
      <c r="J337" s="5" t="s">
        <v>4601</v>
      </c>
      <c r="K337" t="s">
        <v>4602</v>
      </c>
      <c r="L337" t="s">
        <v>467</v>
      </c>
      <c r="M337" t="s">
        <v>86</v>
      </c>
      <c r="N337" s="2">
        <v>775.64359999999999</v>
      </c>
      <c r="O337" s="1">
        <v>2</v>
      </c>
      <c r="P337" s="2">
        <v>775.64359999999999</v>
      </c>
    </row>
    <row r="338" spans="10:16">
      <c r="J338" s="5" t="s">
        <v>5167</v>
      </c>
      <c r="K338" t="s">
        <v>5168</v>
      </c>
      <c r="L338" t="s">
        <v>3430</v>
      </c>
      <c r="M338" t="s">
        <v>1931</v>
      </c>
      <c r="N338" s="2">
        <v>771.6</v>
      </c>
      <c r="O338" s="1">
        <v>1</v>
      </c>
      <c r="P338" s="2">
        <v>771.6</v>
      </c>
    </row>
    <row r="339" spans="10:16">
      <c r="J339" s="5" t="s">
        <v>3428</v>
      </c>
      <c r="K339" t="s">
        <v>3429</v>
      </c>
      <c r="L339" t="s">
        <v>3430</v>
      </c>
      <c r="M339" t="s">
        <v>1931</v>
      </c>
      <c r="N339" s="2">
        <v>770.02</v>
      </c>
      <c r="O339" s="1">
        <v>1</v>
      </c>
      <c r="P339" s="2">
        <v>770.02</v>
      </c>
    </row>
    <row r="340" spans="10:16">
      <c r="J340" s="5" t="s">
        <v>3396</v>
      </c>
      <c r="K340" t="s">
        <v>3397</v>
      </c>
      <c r="L340" t="s">
        <v>131</v>
      </c>
      <c r="M340" t="s">
        <v>125</v>
      </c>
      <c r="N340" s="2">
        <v>255.96700000000001</v>
      </c>
      <c r="O340" s="1">
        <v>3</v>
      </c>
      <c r="P340" s="2">
        <v>767.90100000000007</v>
      </c>
    </row>
    <row r="341" spans="10:16">
      <c r="J341" s="5" t="s">
        <v>332</v>
      </c>
      <c r="K341" t="s">
        <v>4068</v>
      </c>
      <c r="L341" t="s">
        <v>228</v>
      </c>
      <c r="M341" t="s">
        <v>86</v>
      </c>
      <c r="N341" s="2">
        <v>1.2344999999999999</v>
      </c>
      <c r="O341" s="1">
        <v>1845</v>
      </c>
      <c r="P341" s="2">
        <v>759.21749999999997</v>
      </c>
    </row>
    <row r="342" spans="10:16">
      <c r="J342" s="5" t="s">
        <v>291</v>
      </c>
      <c r="K342" t="s">
        <v>292</v>
      </c>
      <c r="L342" t="s">
        <v>3980</v>
      </c>
      <c r="M342" t="s">
        <v>86</v>
      </c>
      <c r="N342" s="2">
        <v>8.0060000000000002</v>
      </c>
      <c r="O342" s="1">
        <v>188</v>
      </c>
      <c r="P342" s="2">
        <v>752.56400000000008</v>
      </c>
    </row>
    <row r="343" spans="10:16">
      <c r="J343" s="5" t="s">
        <v>5181</v>
      </c>
      <c r="K343" t="s">
        <v>5182</v>
      </c>
      <c r="L343" t="s">
        <v>3304</v>
      </c>
      <c r="M343" t="s">
        <v>1931</v>
      </c>
      <c r="N343" s="2">
        <v>250.15</v>
      </c>
      <c r="O343" s="1">
        <v>3</v>
      </c>
      <c r="P343" s="2">
        <v>750.45</v>
      </c>
    </row>
    <row r="344" spans="10:16">
      <c r="J344" s="5" t="s">
        <v>258</v>
      </c>
      <c r="K344" t="s">
        <v>259</v>
      </c>
      <c r="L344" t="s">
        <v>228</v>
      </c>
      <c r="M344" t="s">
        <v>86</v>
      </c>
      <c r="N344" s="2">
        <v>32.533200000000001</v>
      </c>
      <c r="O344" s="1">
        <v>46</v>
      </c>
      <c r="P344" s="2">
        <v>748.2636</v>
      </c>
    </row>
    <row r="345" spans="10:16">
      <c r="J345" s="5" t="s">
        <v>4157</v>
      </c>
      <c r="K345" t="s">
        <v>4158</v>
      </c>
      <c r="L345" t="s">
        <v>3980</v>
      </c>
      <c r="M345" t="s">
        <v>86</v>
      </c>
      <c r="N345" s="2">
        <v>1.5267999999999999</v>
      </c>
      <c r="O345" s="1">
        <v>970</v>
      </c>
      <c r="P345" s="2">
        <v>740.49799999999993</v>
      </c>
    </row>
    <row r="346" spans="10:16">
      <c r="J346" s="5" t="s">
        <v>4702</v>
      </c>
      <c r="K346" t="s">
        <v>4703</v>
      </c>
      <c r="L346" t="s">
        <v>85</v>
      </c>
      <c r="M346" t="s">
        <v>86</v>
      </c>
      <c r="N346" s="2">
        <v>51.908999999999999</v>
      </c>
      <c r="O346" s="1">
        <v>14</v>
      </c>
      <c r="P346" s="2">
        <v>726.726</v>
      </c>
    </row>
    <row r="347" spans="10:16">
      <c r="J347" s="5" t="s">
        <v>724</v>
      </c>
      <c r="K347" t="s">
        <v>725</v>
      </c>
      <c r="L347" t="s">
        <v>618</v>
      </c>
      <c r="M347" t="s">
        <v>626</v>
      </c>
      <c r="N347" s="2">
        <v>7.9561999999999999</v>
      </c>
      <c r="O347" s="1">
        <v>182</v>
      </c>
      <c r="P347" s="2">
        <v>724.01419999999996</v>
      </c>
    </row>
    <row r="348" spans="10:16">
      <c r="J348" s="5" t="s">
        <v>5330</v>
      </c>
      <c r="K348" t="s">
        <v>5331</v>
      </c>
      <c r="L348" t="s">
        <v>3430</v>
      </c>
      <c r="M348" t="s">
        <v>1931</v>
      </c>
      <c r="N348" s="2">
        <v>721.79</v>
      </c>
      <c r="O348" s="1">
        <v>1</v>
      </c>
      <c r="P348" s="2">
        <v>721.79</v>
      </c>
    </row>
    <row r="349" spans="10:16">
      <c r="J349" s="5" t="s">
        <v>765</v>
      </c>
      <c r="K349" t="s">
        <v>766</v>
      </c>
      <c r="L349" t="s">
        <v>618</v>
      </c>
      <c r="M349" t="s">
        <v>626</v>
      </c>
      <c r="N349" s="2">
        <v>9.0091999999999999</v>
      </c>
      <c r="O349" s="1">
        <v>160</v>
      </c>
      <c r="P349" s="2">
        <v>720.73599999999999</v>
      </c>
    </row>
    <row r="350" spans="10:16">
      <c r="J350" s="5" t="s">
        <v>728</v>
      </c>
      <c r="K350" t="s">
        <v>729</v>
      </c>
      <c r="L350" t="s">
        <v>618</v>
      </c>
      <c r="M350" t="s">
        <v>626</v>
      </c>
      <c r="N350" s="2">
        <v>9.5833999999999993</v>
      </c>
      <c r="O350" s="1">
        <v>150</v>
      </c>
      <c r="P350" s="2">
        <v>718.755</v>
      </c>
    </row>
    <row r="351" spans="10:16">
      <c r="J351" s="5" t="s">
        <v>1783</v>
      </c>
      <c r="K351" t="s">
        <v>1784</v>
      </c>
      <c r="L351" t="s">
        <v>31</v>
      </c>
      <c r="M351" t="s">
        <v>1931</v>
      </c>
      <c r="N351" s="2">
        <v>714.28499999999997</v>
      </c>
      <c r="O351" s="1">
        <v>1</v>
      </c>
      <c r="P351" s="2">
        <v>714.28499999999997</v>
      </c>
    </row>
    <row r="352" spans="10:16">
      <c r="J352" s="5" t="s">
        <v>226</v>
      </c>
      <c r="K352" t="s">
        <v>227</v>
      </c>
      <c r="L352" t="s">
        <v>228</v>
      </c>
      <c r="M352" t="s">
        <v>86</v>
      </c>
      <c r="N352" s="2">
        <v>33.937800000000003</v>
      </c>
      <c r="O352" s="1">
        <v>42</v>
      </c>
      <c r="P352" s="2">
        <v>712.69380000000001</v>
      </c>
    </row>
    <row r="353" spans="10:16">
      <c r="J353" s="5" t="s">
        <v>4232</v>
      </c>
      <c r="K353" t="s">
        <v>4233</v>
      </c>
      <c r="L353" t="s">
        <v>98</v>
      </c>
      <c r="M353" t="s">
        <v>86</v>
      </c>
      <c r="N353" s="2">
        <v>20.732800000000001</v>
      </c>
      <c r="O353" s="1">
        <v>34</v>
      </c>
      <c r="P353" s="2">
        <v>704.91520000000003</v>
      </c>
    </row>
    <row r="354" spans="10:16">
      <c r="J354" s="5" t="s">
        <v>5110</v>
      </c>
      <c r="K354" t="s">
        <v>5111</v>
      </c>
      <c r="L354" t="s">
        <v>580</v>
      </c>
      <c r="M354" t="s">
        <v>581</v>
      </c>
      <c r="N354" s="2">
        <v>2.0270000000000001</v>
      </c>
      <c r="O354" s="1">
        <v>694</v>
      </c>
      <c r="P354" s="2">
        <v>703.36900000000003</v>
      </c>
    </row>
    <row r="355" spans="10:16">
      <c r="J355" s="5" t="s">
        <v>2511</v>
      </c>
      <c r="K355" t="s">
        <v>5437</v>
      </c>
      <c r="L355" t="s">
        <v>228</v>
      </c>
      <c r="M355" t="s">
        <v>86</v>
      </c>
      <c r="N355" s="2">
        <v>0.37819999999999998</v>
      </c>
      <c r="O355" s="1">
        <v>3709.56</v>
      </c>
      <c r="P355" s="2">
        <v>701.4777959999999</v>
      </c>
    </row>
    <row r="356" spans="10:16">
      <c r="J356" s="5" t="s">
        <v>105</v>
      </c>
      <c r="K356" t="s">
        <v>106</v>
      </c>
      <c r="L356" t="s">
        <v>101</v>
      </c>
      <c r="M356" t="s">
        <v>102</v>
      </c>
      <c r="N356" s="2">
        <v>0.81320000000000003</v>
      </c>
      <c r="O356" s="1">
        <v>862</v>
      </c>
      <c r="P356" s="2">
        <v>700.97840000000008</v>
      </c>
    </row>
    <row r="357" spans="10:16">
      <c r="J357" s="5" t="s">
        <v>3024</v>
      </c>
      <c r="K357" t="s">
        <v>3025</v>
      </c>
      <c r="L357" t="s">
        <v>85</v>
      </c>
      <c r="M357" t="s">
        <v>86</v>
      </c>
      <c r="N357" s="2">
        <v>58.068600000000004</v>
      </c>
      <c r="O357" s="1">
        <v>24</v>
      </c>
      <c r="P357" s="2">
        <v>696.82320000000004</v>
      </c>
    </row>
    <row r="358" spans="10:16">
      <c r="J358" s="5" t="s">
        <v>707</v>
      </c>
      <c r="K358" t="s">
        <v>708</v>
      </c>
      <c r="L358" t="s">
        <v>580</v>
      </c>
      <c r="M358" t="s">
        <v>581</v>
      </c>
      <c r="N358" s="2">
        <v>2.7258</v>
      </c>
      <c r="O358" s="1">
        <v>255</v>
      </c>
      <c r="P358" s="2">
        <v>695.07899999999995</v>
      </c>
    </row>
    <row r="359" spans="10:16">
      <c r="J359" s="5" t="s">
        <v>4827</v>
      </c>
      <c r="K359" t="s">
        <v>4828</v>
      </c>
      <c r="L359" t="s">
        <v>85</v>
      </c>
      <c r="M359" t="s">
        <v>86</v>
      </c>
      <c r="N359" s="2">
        <v>11.5687</v>
      </c>
      <c r="O359" s="1">
        <v>60</v>
      </c>
      <c r="P359" s="2">
        <v>694.12199999999996</v>
      </c>
    </row>
    <row r="360" spans="10:16">
      <c r="J360" s="5" t="s">
        <v>107</v>
      </c>
      <c r="K360" t="s">
        <v>108</v>
      </c>
      <c r="L360" t="s">
        <v>101</v>
      </c>
      <c r="M360" t="s">
        <v>102</v>
      </c>
      <c r="N360" s="2">
        <v>0.496</v>
      </c>
      <c r="O360" s="1">
        <v>1392</v>
      </c>
      <c r="P360" s="2">
        <v>690.43200000000002</v>
      </c>
    </row>
    <row r="361" spans="10:16">
      <c r="J361" s="5" t="s">
        <v>496</v>
      </c>
      <c r="K361" t="s">
        <v>4790</v>
      </c>
      <c r="L361" t="s">
        <v>219</v>
      </c>
      <c r="M361" t="s">
        <v>86</v>
      </c>
      <c r="N361" s="2">
        <v>62.467399999999998</v>
      </c>
      <c r="O361" s="1">
        <v>22</v>
      </c>
      <c r="P361" s="2">
        <v>687.14139999999998</v>
      </c>
    </row>
    <row r="362" spans="10:16">
      <c r="J362" s="5" t="s">
        <v>1781</v>
      </c>
      <c r="K362" t="s">
        <v>1782</v>
      </c>
      <c r="L362" t="s">
        <v>3375</v>
      </c>
      <c r="M362" t="s">
        <v>125</v>
      </c>
      <c r="N362" s="2">
        <v>686.56539999999995</v>
      </c>
      <c r="O362" s="1">
        <v>2</v>
      </c>
      <c r="P362" s="2">
        <v>686.56539999999995</v>
      </c>
    </row>
    <row r="363" spans="10:16">
      <c r="J363" s="5" t="s">
        <v>4787</v>
      </c>
      <c r="K363" t="s">
        <v>4788</v>
      </c>
      <c r="L363" t="s">
        <v>85</v>
      </c>
      <c r="M363" t="s">
        <v>86</v>
      </c>
      <c r="N363" s="2">
        <v>76.009399999999999</v>
      </c>
      <c r="O363" s="1">
        <v>18</v>
      </c>
      <c r="P363" s="2">
        <v>684.08460000000002</v>
      </c>
    </row>
    <row r="364" spans="10:16">
      <c r="J364" s="5" t="s">
        <v>4221</v>
      </c>
      <c r="K364" t="s">
        <v>4222</v>
      </c>
      <c r="L364" t="s">
        <v>85</v>
      </c>
      <c r="M364" t="s">
        <v>86</v>
      </c>
      <c r="N364" s="2">
        <v>34.162599999999998</v>
      </c>
      <c r="O364" s="1">
        <v>40</v>
      </c>
      <c r="P364" s="2">
        <v>683.25199999999995</v>
      </c>
    </row>
    <row r="365" spans="10:16">
      <c r="J365" s="5" t="s">
        <v>4251</v>
      </c>
      <c r="K365" t="s">
        <v>4252</v>
      </c>
      <c r="L365" t="s">
        <v>85</v>
      </c>
      <c r="M365" t="s">
        <v>86</v>
      </c>
      <c r="N365" s="2">
        <v>11.780200000000001</v>
      </c>
      <c r="O365" s="1">
        <v>58</v>
      </c>
      <c r="P365" s="2">
        <v>683.25160000000005</v>
      </c>
    </row>
    <row r="366" spans="10:16">
      <c r="J366" s="5" t="s">
        <v>1993</v>
      </c>
      <c r="K366" t="s">
        <v>1994</v>
      </c>
      <c r="L366" t="s">
        <v>101</v>
      </c>
      <c r="M366" t="s">
        <v>102</v>
      </c>
      <c r="N366" s="2">
        <v>0.66400000000000003</v>
      </c>
      <c r="O366" s="1">
        <v>1028</v>
      </c>
      <c r="P366" s="2">
        <v>682.59199999999998</v>
      </c>
    </row>
    <row r="367" spans="10:16">
      <c r="J367" s="5" t="s">
        <v>5179</v>
      </c>
      <c r="K367" t="s">
        <v>5180</v>
      </c>
      <c r="L367" t="s">
        <v>3304</v>
      </c>
      <c r="M367" t="s">
        <v>1931</v>
      </c>
      <c r="N367" s="2">
        <v>340.64659999999998</v>
      </c>
      <c r="O367" s="1">
        <v>2</v>
      </c>
      <c r="P367" s="2">
        <v>681.29319999999996</v>
      </c>
    </row>
    <row r="368" spans="10:16">
      <c r="J368" s="5" t="s">
        <v>44</v>
      </c>
      <c r="K368" t="s">
        <v>45</v>
      </c>
      <c r="L368" t="s">
        <v>31</v>
      </c>
      <c r="M368" t="s">
        <v>1931</v>
      </c>
      <c r="N368" s="2">
        <v>673.23</v>
      </c>
      <c r="O368" s="1">
        <v>1</v>
      </c>
      <c r="P368" s="2">
        <v>673.23</v>
      </c>
    </row>
    <row r="369" spans="10:16">
      <c r="J369" s="5" t="s">
        <v>5268</v>
      </c>
      <c r="K369" t="s">
        <v>5269</v>
      </c>
      <c r="L369" t="s">
        <v>101</v>
      </c>
      <c r="M369" t="s">
        <v>102</v>
      </c>
      <c r="N369" s="2">
        <v>0.78920000000000001</v>
      </c>
      <c r="O369" s="1">
        <v>852</v>
      </c>
      <c r="P369" s="2">
        <v>672.39840000000004</v>
      </c>
    </row>
    <row r="370" spans="10:16">
      <c r="J370" s="5" t="s">
        <v>5115</v>
      </c>
      <c r="K370" t="s">
        <v>5116</v>
      </c>
      <c r="L370" t="s">
        <v>618</v>
      </c>
      <c r="M370" t="s">
        <v>626</v>
      </c>
      <c r="N370" s="2">
        <v>6.3890000000000002</v>
      </c>
      <c r="O370" s="1">
        <v>210</v>
      </c>
      <c r="P370" s="2">
        <v>670.84500000000003</v>
      </c>
    </row>
    <row r="371" spans="10:16">
      <c r="J371" s="5" t="s">
        <v>3214</v>
      </c>
      <c r="K371" t="s">
        <v>3215</v>
      </c>
      <c r="L371" t="s">
        <v>228</v>
      </c>
      <c r="M371" t="s">
        <v>86</v>
      </c>
      <c r="N371" s="2">
        <v>6.1281999999999996</v>
      </c>
      <c r="O371" s="1">
        <v>218</v>
      </c>
      <c r="P371" s="2">
        <v>667.97379999999998</v>
      </c>
    </row>
    <row r="372" spans="10:16">
      <c r="J372" s="5" t="s">
        <v>346</v>
      </c>
      <c r="K372" t="s">
        <v>347</v>
      </c>
      <c r="L372" t="s">
        <v>3819</v>
      </c>
      <c r="M372" t="s">
        <v>86</v>
      </c>
      <c r="N372" s="2">
        <v>332.82119999999998</v>
      </c>
      <c r="O372" s="1">
        <v>2</v>
      </c>
      <c r="P372" s="2">
        <v>665.64239999999995</v>
      </c>
    </row>
    <row r="373" spans="10:16">
      <c r="J373" s="5" t="s">
        <v>767</v>
      </c>
      <c r="K373" t="s">
        <v>768</v>
      </c>
      <c r="L373" t="s">
        <v>580</v>
      </c>
      <c r="M373" t="s">
        <v>581</v>
      </c>
      <c r="N373" s="2">
        <v>2.9962</v>
      </c>
      <c r="O373" s="1">
        <v>222</v>
      </c>
      <c r="P373" s="2">
        <v>665.15639999999996</v>
      </c>
    </row>
    <row r="374" spans="10:16">
      <c r="J374" s="5" t="s">
        <v>3173</v>
      </c>
      <c r="K374" t="s">
        <v>3174</v>
      </c>
      <c r="L374" t="s">
        <v>5081</v>
      </c>
      <c r="M374" t="s">
        <v>125</v>
      </c>
      <c r="N374" s="2">
        <v>4.4509999999999996</v>
      </c>
      <c r="O374" s="1">
        <v>298</v>
      </c>
      <c r="P374" s="2">
        <v>663.19899999999996</v>
      </c>
    </row>
    <row r="375" spans="10:16">
      <c r="J375" s="5" t="s">
        <v>5469</v>
      </c>
      <c r="K375" t="s">
        <v>5470</v>
      </c>
      <c r="L375" t="s">
        <v>3304</v>
      </c>
      <c r="M375" t="s">
        <v>1931</v>
      </c>
      <c r="N375" s="2">
        <v>218.43</v>
      </c>
      <c r="O375" s="1">
        <v>3</v>
      </c>
      <c r="P375" s="2">
        <v>655.29</v>
      </c>
    </row>
    <row r="376" spans="10:16">
      <c r="J376" s="5" t="s">
        <v>4576</v>
      </c>
      <c r="K376" t="s">
        <v>4577</v>
      </c>
      <c r="L376" t="s">
        <v>85</v>
      </c>
      <c r="M376" t="s">
        <v>86</v>
      </c>
      <c r="N376" s="2">
        <v>20.368600000000001</v>
      </c>
      <c r="O376" s="1">
        <v>64</v>
      </c>
      <c r="P376" s="2">
        <v>651.79520000000002</v>
      </c>
    </row>
    <row r="377" spans="10:16">
      <c r="J377" s="5" t="s">
        <v>3100</v>
      </c>
      <c r="K377" t="s">
        <v>4781</v>
      </c>
      <c r="L377" t="s">
        <v>219</v>
      </c>
      <c r="M377" t="s">
        <v>86</v>
      </c>
      <c r="N377" s="2">
        <v>215.89699999999999</v>
      </c>
      <c r="O377" s="1">
        <v>6</v>
      </c>
      <c r="P377" s="2">
        <v>647.69100000000003</v>
      </c>
    </row>
    <row r="378" spans="10:16">
      <c r="J378" s="5" t="s">
        <v>4888</v>
      </c>
      <c r="K378" t="s">
        <v>4889</v>
      </c>
      <c r="L378" t="s">
        <v>85</v>
      </c>
      <c r="M378" t="s">
        <v>86</v>
      </c>
      <c r="N378" s="2">
        <v>13.765000000000001</v>
      </c>
      <c r="O378" s="1">
        <v>47</v>
      </c>
      <c r="P378" s="2">
        <v>646.95500000000004</v>
      </c>
    </row>
    <row r="379" spans="10:16">
      <c r="J379" s="5" t="s">
        <v>2199</v>
      </c>
      <c r="K379" t="s">
        <v>2200</v>
      </c>
      <c r="L379" t="s">
        <v>85</v>
      </c>
      <c r="M379" t="s">
        <v>86</v>
      </c>
      <c r="N379" s="2">
        <v>5.9846000000000004</v>
      </c>
      <c r="O379" s="1">
        <v>216</v>
      </c>
      <c r="P379" s="2">
        <v>646.33680000000004</v>
      </c>
    </row>
    <row r="380" spans="10:16">
      <c r="J380" s="5" t="s">
        <v>3540</v>
      </c>
      <c r="K380" t="s">
        <v>3541</v>
      </c>
      <c r="L380" t="s">
        <v>228</v>
      </c>
      <c r="M380" t="s">
        <v>86</v>
      </c>
      <c r="N380" s="2">
        <v>159.98070000000001</v>
      </c>
      <c r="O380" s="1">
        <v>12</v>
      </c>
      <c r="P380" s="2">
        <v>639.92280000000005</v>
      </c>
    </row>
    <row r="381" spans="10:16">
      <c r="J381" s="5" t="s">
        <v>3102</v>
      </c>
      <c r="K381" t="s">
        <v>3103</v>
      </c>
      <c r="L381" t="s">
        <v>85</v>
      </c>
      <c r="M381" t="s">
        <v>86</v>
      </c>
      <c r="N381" s="2">
        <v>42.656399999999998</v>
      </c>
      <c r="O381" s="1">
        <v>30</v>
      </c>
      <c r="P381" s="2">
        <v>639.846</v>
      </c>
    </row>
    <row r="382" spans="10:16">
      <c r="J382" s="5" t="s">
        <v>3864</v>
      </c>
      <c r="K382" t="s">
        <v>3865</v>
      </c>
      <c r="L382" t="s">
        <v>263</v>
      </c>
      <c r="M382" t="s">
        <v>86</v>
      </c>
      <c r="N382" s="2">
        <v>35.409199999999998</v>
      </c>
      <c r="O382" s="1">
        <v>36</v>
      </c>
      <c r="P382" s="2">
        <v>637.36559999999997</v>
      </c>
    </row>
    <row r="383" spans="10:16">
      <c r="J383" s="5" t="s">
        <v>3431</v>
      </c>
      <c r="K383" t="s">
        <v>3432</v>
      </c>
      <c r="L383" t="s">
        <v>89</v>
      </c>
      <c r="M383" t="s">
        <v>86</v>
      </c>
      <c r="N383" s="2">
        <v>318.25</v>
      </c>
      <c r="O383" s="1">
        <v>2</v>
      </c>
      <c r="P383" s="2">
        <v>636.5</v>
      </c>
    </row>
    <row r="384" spans="10:16">
      <c r="J384" s="5" t="s">
        <v>3151</v>
      </c>
      <c r="K384" t="s">
        <v>3152</v>
      </c>
      <c r="L384" t="s">
        <v>85</v>
      </c>
      <c r="M384" t="s">
        <v>86</v>
      </c>
      <c r="N384" s="2">
        <v>15.5238</v>
      </c>
      <c r="O384" s="1">
        <v>82</v>
      </c>
      <c r="P384" s="2">
        <v>636.47579999999994</v>
      </c>
    </row>
    <row r="385" spans="10:16">
      <c r="J385" s="5" t="s">
        <v>4435</v>
      </c>
      <c r="K385" t="s">
        <v>4436</v>
      </c>
      <c r="L385" t="s">
        <v>85</v>
      </c>
      <c r="M385" t="s">
        <v>86</v>
      </c>
      <c r="N385" s="2">
        <v>8.8148</v>
      </c>
      <c r="O385" s="1">
        <v>144</v>
      </c>
      <c r="P385" s="2">
        <v>634.66560000000004</v>
      </c>
    </row>
    <row r="386" spans="10:16">
      <c r="J386" s="5" t="s">
        <v>1019</v>
      </c>
      <c r="K386" t="s">
        <v>1020</v>
      </c>
      <c r="L386" t="s">
        <v>31</v>
      </c>
      <c r="M386" t="s">
        <v>1931</v>
      </c>
      <c r="N386" s="2">
        <v>158.27000000000001</v>
      </c>
      <c r="O386" s="1">
        <v>4</v>
      </c>
      <c r="P386" s="2">
        <v>633.08000000000004</v>
      </c>
    </row>
    <row r="387" spans="10:16">
      <c r="J387" s="5" t="s">
        <v>2333</v>
      </c>
      <c r="K387" t="s">
        <v>5375</v>
      </c>
      <c r="L387" t="s">
        <v>219</v>
      </c>
      <c r="M387" t="s">
        <v>86</v>
      </c>
      <c r="N387" s="2">
        <v>12.6204</v>
      </c>
      <c r="O387" s="1">
        <v>100</v>
      </c>
      <c r="P387" s="2">
        <v>631.02</v>
      </c>
    </row>
    <row r="388" spans="10:16">
      <c r="J388" s="5" t="s">
        <v>836</v>
      </c>
      <c r="K388" t="s">
        <v>837</v>
      </c>
      <c r="L388" t="s">
        <v>618</v>
      </c>
      <c r="M388" t="s">
        <v>626</v>
      </c>
      <c r="N388" s="2">
        <v>3.6030000000000002</v>
      </c>
      <c r="O388" s="1">
        <v>348</v>
      </c>
      <c r="P388" s="2">
        <v>626.92200000000003</v>
      </c>
    </row>
    <row r="389" spans="10:16">
      <c r="J389" s="5" t="s">
        <v>403</v>
      </c>
      <c r="K389" t="s">
        <v>404</v>
      </c>
      <c r="L389" t="s">
        <v>219</v>
      </c>
      <c r="M389" t="s">
        <v>86</v>
      </c>
      <c r="N389" s="2">
        <v>24.065200000000001</v>
      </c>
      <c r="O389" s="1">
        <v>52</v>
      </c>
      <c r="P389" s="2">
        <v>625.6952</v>
      </c>
    </row>
    <row r="390" spans="10:16">
      <c r="J390" s="5" t="s">
        <v>2619</v>
      </c>
      <c r="K390" t="s">
        <v>2620</v>
      </c>
      <c r="L390" t="s">
        <v>5479</v>
      </c>
      <c r="M390" t="s">
        <v>125</v>
      </c>
      <c r="N390" s="2">
        <v>305.77620000000002</v>
      </c>
      <c r="O390" s="1">
        <v>4</v>
      </c>
      <c r="P390" s="2">
        <v>611.55240000000003</v>
      </c>
    </row>
    <row r="391" spans="10:16">
      <c r="J391" s="5" t="s">
        <v>1507</v>
      </c>
      <c r="K391" t="s">
        <v>1508</v>
      </c>
      <c r="L391" t="s">
        <v>101</v>
      </c>
      <c r="M391" t="s">
        <v>102</v>
      </c>
      <c r="N391" s="2">
        <v>0.30370000000000003</v>
      </c>
      <c r="O391" s="1">
        <v>1997</v>
      </c>
      <c r="P391" s="2">
        <v>606.48890000000006</v>
      </c>
    </row>
    <row r="392" spans="10:16">
      <c r="J392" s="5" t="s">
        <v>3433</v>
      </c>
      <c r="K392" t="s">
        <v>3434</v>
      </c>
      <c r="L392" t="s">
        <v>89</v>
      </c>
      <c r="M392" t="s">
        <v>86</v>
      </c>
      <c r="N392" s="2">
        <v>302.39999999999998</v>
      </c>
      <c r="O392" s="1">
        <v>2</v>
      </c>
      <c r="P392" s="2">
        <v>604.79999999999995</v>
      </c>
    </row>
    <row r="393" spans="10:16">
      <c r="J393" s="5" t="s">
        <v>1970</v>
      </c>
      <c r="K393" t="s">
        <v>1971</v>
      </c>
      <c r="L393" t="s">
        <v>1972</v>
      </c>
      <c r="M393" t="s">
        <v>125</v>
      </c>
      <c r="N393" s="2">
        <v>74.275000000000006</v>
      </c>
      <c r="O393" s="1">
        <v>8</v>
      </c>
      <c r="P393" s="2">
        <v>594.20000000000005</v>
      </c>
    </row>
    <row r="394" spans="10:16">
      <c r="J394" s="5" t="s">
        <v>3834</v>
      </c>
      <c r="K394" t="s">
        <v>3257</v>
      </c>
      <c r="L394" t="s">
        <v>263</v>
      </c>
      <c r="M394" t="s">
        <v>86</v>
      </c>
      <c r="N394" s="2">
        <v>19.7638</v>
      </c>
      <c r="O394" s="1">
        <v>60</v>
      </c>
      <c r="P394" s="2">
        <v>592.91399999999999</v>
      </c>
    </row>
    <row r="395" spans="10:16">
      <c r="J395" s="5" t="s">
        <v>5100</v>
      </c>
      <c r="K395" t="s">
        <v>5101</v>
      </c>
      <c r="L395" t="s">
        <v>618</v>
      </c>
      <c r="M395" t="s">
        <v>626</v>
      </c>
      <c r="N395" s="2">
        <v>8.9481999999999999</v>
      </c>
      <c r="O395" s="1">
        <v>132</v>
      </c>
      <c r="P395" s="2">
        <v>590.58119999999997</v>
      </c>
    </row>
    <row r="396" spans="10:16">
      <c r="J396" s="5" t="s">
        <v>1707</v>
      </c>
      <c r="K396" t="s">
        <v>1708</v>
      </c>
      <c r="L396" t="s">
        <v>115</v>
      </c>
      <c r="M396" t="s">
        <v>734</v>
      </c>
      <c r="N396" s="2">
        <v>0.68910000000000005</v>
      </c>
      <c r="O396" s="1">
        <v>857</v>
      </c>
      <c r="P396" s="2">
        <v>590.55870000000004</v>
      </c>
    </row>
    <row r="397" spans="10:16">
      <c r="J397" s="5" t="s">
        <v>600</v>
      </c>
      <c r="K397" t="s">
        <v>601</v>
      </c>
      <c r="L397" t="s">
        <v>31</v>
      </c>
      <c r="M397" t="s">
        <v>1931</v>
      </c>
      <c r="N397" s="2">
        <v>195</v>
      </c>
      <c r="O397" s="1">
        <v>3</v>
      </c>
      <c r="P397" s="2">
        <v>585</v>
      </c>
    </row>
    <row r="398" spans="10:16">
      <c r="J398" s="5" t="s">
        <v>1238</v>
      </c>
      <c r="K398" t="s">
        <v>1239</v>
      </c>
      <c r="L398" t="s">
        <v>1821</v>
      </c>
      <c r="M398" t="s">
        <v>125</v>
      </c>
      <c r="N398" s="2">
        <v>291.61900000000003</v>
      </c>
      <c r="O398" s="1">
        <v>4</v>
      </c>
      <c r="P398" s="2">
        <v>583.23800000000006</v>
      </c>
    </row>
    <row r="399" spans="10:16">
      <c r="J399" s="5" t="s">
        <v>3556</v>
      </c>
      <c r="K399" t="s">
        <v>3557</v>
      </c>
      <c r="L399" t="s">
        <v>85</v>
      </c>
      <c r="M399" t="s">
        <v>86</v>
      </c>
      <c r="N399" s="2">
        <v>64.589799999999997</v>
      </c>
      <c r="O399" s="1">
        <v>18</v>
      </c>
      <c r="P399" s="2">
        <v>581.30819999999994</v>
      </c>
    </row>
    <row r="400" spans="10:16">
      <c r="J400" s="5" t="s">
        <v>1709</v>
      </c>
      <c r="K400" t="s">
        <v>1710</v>
      </c>
      <c r="L400" t="s">
        <v>101</v>
      </c>
      <c r="M400" t="s">
        <v>581</v>
      </c>
      <c r="N400" s="2">
        <v>1.96</v>
      </c>
      <c r="O400" s="1">
        <v>296</v>
      </c>
      <c r="P400" s="2">
        <v>580.16</v>
      </c>
    </row>
    <row r="401" spans="10:16">
      <c r="J401" s="5" t="s">
        <v>4714</v>
      </c>
      <c r="K401" t="s">
        <v>4715</v>
      </c>
      <c r="L401" t="s">
        <v>85</v>
      </c>
      <c r="M401" t="s">
        <v>86</v>
      </c>
      <c r="N401" s="2">
        <v>18.503599999999999</v>
      </c>
      <c r="O401" s="1">
        <v>31</v>
      </c>
      <c r="P401" s="2">
        <v>573.61159999999995</v>
      </c>
    </row>
    <row r="402" spans="10:16">
      <c r="J402" s="5" t="s">
        <v>4578</v>
      </c>
      <c r="K402" t="s">
        <v>4579</v>
      </c>
      <c r="L402" t="s">
        <v>85</v>
      </c>
      <c r="M402" t="s">
        <v>86</v>
      </c>
      <c r="N402" s="2">
        <v>3.3824000000000001</v>
      </c>
      <c r="O402" s="1">
        <v>334</v>
      </c>
      <c r="P402" s="2">
        <v>564.86080000000004</v>
      </c>
    </row>
    <row r="403" spans="10:16">
      <c r="J403" s="5" t="s">
        <v>4293</v>
      </c>
      <c r="K403" t="s">
        <v>4294</v>
      </c>
      <c r="L403" t="s">
        <v>85</v>
      </c>
      <c r="M403" t="s">
        <v>86</v>
      </c>
      <c r="N403" s="2">
        <v>70.532200000000003</v>
      </c>
      <c r="O403" s="1">
        <v>16</v>
      </c>
      <c r="P403" s="2">
        <v>564.25760000000002</v>
      </c>
    </row>
    <row r="404" spans="10:16">
      <c r="J404" s="5" t="s">
        <v>701</v>
      </c>
      <c r="K404" t="s">
        <v>702</v>
      </c>
      <c r="L404" t="s">
        <v>5064</v>
      </c>
      <c r="M404" t="s">
        <v>1931</v>
      </c>
      <c r="N404" s="2">
        <v>187.59360000000001</v>
      </c>
      <c r="O404" s="1">
        <v>6</v>
      </c>
      <c r="P404" s="2">
        <v>562.7808</v>
      </c>
    </row>
    <row r="405" spans="10:16">
      <c r="J405" s="5" t="s">
        <v>4937</v>
      </c>
      <c r="K405" t="s">
        <v>4938</v>
      </c>
      <c r="L405" t="s">
        <v>85</v>
      </c>
      <c r="M405" t="s">
        <v>86</v>
      </c>
      <c r="N405" s="2">
        <v>2.3216000000000001</v>
      </c>
      <c r="O405" s="1">
        <v>484</v>
      </c>
      <c r="P405" s="2">
        <v>561.82720000000006</v>
      </c>
    </row>
    <row r="406" spans="10:16">
      <c r="J406" s="5" t="s">
        <v>1558</v>
      </c>
      <c r="K406" t="s">
        <v>1559</v>
      </c>
      <c r="L406" t="s">
        <v>101</v>
      </c>
      <c r="M406" t="s">
        <v>581</v>
      </c>
      <c r="N406" s="2">
        <v>1.86</v>
      </c>
      <c r="O406" s="1">
        <v>300</v>
      </c>
      <c r="P406" s="2">
        <v>558</v>
      </c>
    </row>
    <row r="407" spans="10:16">
      <c r="J407" s="5" t="s">
        <v>295</v>
      </c>
      <c r="K407" t="s">
        <v>296</v>
      </c>
      <c r="L407" t="s">
        <v>228</v>
      </c>
      <c r="M407" t="s">
        <v>86</v>
      </c>
      <c r="N407" s="2">
        <v>139.29669999999999</v>
      </c>
      <c r="O407" s="1">
        <v>4</v>
      </c>
      <c r="P407" s="2">
        <v>557.18679999999995</v>
      </c>
    </row>
    <row r="408" spans="10:16">
      <c r="J408" s="5" t="s">
        <v>1049</v>
      </c>
      <c r="K408" t="s">
        <v>1050</v>
      </c>
      <c r="L408" t="s">
        <v>1874</v>
      </c>
      <c r="M408" t="s">
        <v>125</v>
      </c>
      <c r="N408" s="2">
        <v>554.66999999999996</v>
      </c>
      <c r="O408" s="1">
        <v>1</v>
      </c>
      <c r="P408" s="2">
        <v>554.66999999999996</v>
      </c>
    </row>
    <row r="409" spans="10:16">
      <c r="J409" s="5" t="s">
        <v>2008</v>
      </c>
      <c r="K409" t="s">
        <v>2009</v>
      </c>
      <c r="L409" t="s">
        <v>580</v>
      </c>
      <c r="M409" t="s">
        <v>619</v>
      </c>
      <c r="N409" s="2">
        <v>8.2664000000000009</v>
      </c>
      <c r="O409" s="1">
        <v>134</v>
      </c>
      <c r="P409" s="2">
        <v>553.8488000000001</v>
      </c>
    </row>
    <row r="410" spans="10:16">
      <c r="J410" s="5" t="s">
        <v>2391</v>
      </c>
      <c r="K410" t="s">
        <v>2392</v>
      </c>
      <c r="L410" t="s">
        <v>85</v>
      </c>
      <c r="M410" t="s">
        <v>86</v>
      </c>
      <c r="N410" s="2">
        <v>39.544400000000003</v>
      </c>
      <c r="O410" s="1">
        <v>28</v>
      </c>
      <c r="P410" s="2">
        <v>553.62160000000006</v>
      </c>
    </row>
    <row r="411" spans="10:16">
      <c r="J411" s="5" t="s">
        <v>2397</v>
      </c>
      <c r="K411" t="s">
        <v>5391</v>
      </c>
      <c r="L411" t="s">
        <v>85</v>
      </c>
      <c r="M411" t="s">
        <v>86</v>
      </c>
      <c r="N411" s="2">
        <v>61.339199999999998</v>
      </c>
      <c r="O411" s="1">
        <v>18</v>
      </c>
      <c r="P411" s="2">
        <v>552.05279999999993</v>
      </c>
    </row>
    <row r="412" spans="10:16">
      <c r="J412" s="5" t="s">
        <v>712</v>
      </c>
      <c r="K412" t="s">
        <v>713</v>
      </c>
      <c r="L412" t="s">
        <v>580</v>
      </c>
      <c r="M412" t="s">
        <v>581</v>
      </c>
      <c r="N412" s="2">
        <v>3.9114</v>
      </c>
      <c r="O412" s="1">
        <v>280</v>
      </c>
      <c r="P412" s="2">
        <v>547.596</v>
      </c>
    </row>
    <row r="413" spans="10:16">
      <c r="J413" s="5" t="s">
        <v>261</v>
      </c>
      <c r="K413" t="s">
        <v>262</v>
      </c>
      <c r="L413" t="s">
        <v>263</v>
      </c>
      <c r="M413" t="s">
        <v>86</v>
      </c>
      <c r="N413" s="2">
        <v>41.974800000000002</v>
      </c>
      <c r="O413" s="1">
        <v>26</v>
      </c>
      <c r="P413" s="2">
        <v>545.67240000000004</v>
      </c>
    </row>
    <row r="414" spans="10:16">
      <c r="J414" s="5" t="s">
        <v>582</v>
      </c>
      <c r="K414" t="s">
        <v>583</v>
      </c>
      <c r="L414" t="s">
        <v>580</v>
      </c>
      <c r="M414" t="s">
        <v>581</v>
      </c>
      <c r="N414" s="2">
        <v>6.5549999999999997</v>
      </c>
      <c r="O414" s="1">
        <v>82</v>
      </c>
      <c r="P414" s="2">
        <v>537.51</v>
      </c>
    </row>
    <row r="415" spans="10:16">
      <c r="J415" s="5" t="s">
        <v>3165</v>
      </c>
      <c r="K415" t="s">
        <v>3166</v>
      </c>
      <c r="L415" t="s">
        <v>263</v>
      </c>
      <c r="M415" t="s">
        <v>86</v>
      </c>
      <c r="N415" s="2">
        <v>76.514300000000006</v>
      </c>
      <c r="O415" s="1">
        <v>7</v>
      </c>
      <c r="P415" s="2">
        <v>535.6001</v>
      </c>
    </row>
    <row r="416" spans="10:16">
      <c r="J416" s="5" t="s">
        <v>326</v>
      </c>
      <c r="K416" t="s">
        <v>327</v>
      </c>
      <c r="L416" t="s">
        <v>98</v>
      </c>
      <c r="M416" t="s">
        <v>86</v>
      </c>
      <c r="N416" s="2">
        <v>35.698500000000003</v>
      </c>
      <c r="O416" s="1">
        <v>15</v>
      </c>
      <c r="P416" s="2">
        <v>535.47750000000008</v>
      </c>
    </row>
    <row r="417" spans="10:16">
      <c r="J417" s="5" t="s">
        <v>1875</v>
      </c>
      <c r="K417" t="s">
        <v>1876</v>
      </c>
      <c r="L417" t="s">
        <v>3411</v>
      </c>
      <c r="M417" t="s">
        <v>125</v>
      </c>
      <c r="N417" s="2">
        <v>53.333399999999997</v>
      </c>
      <c r="O417" s="1">
        <v>30</v>
      </c>
      <c r="P417" s="2">
        <v>533.33399999999995</v>
      </c>
    </row>
    <row r="418" spans="10:16">
      <c r="J418" s="5" t="s">
        <v>5150</v>
      </c>
      <c r="K418" t="s">
        <v>5151</v>
      </c>
      <c r="L418" t="s">
        <v>128</v>
      </c>
      <c r="M418" t="s">
        <v>125</v>
      </c>
      <c r="N418" s="2">
        <v>75.878600000000006</v>
      </c>
      <c r="O418" s="1">
        <v>7</v>
      </c>
      <c r="P418" s="2">
        <v>531.15020000000004</v>
      </c>
    </row>
    <row r="419" spans="10:16">
      <c r="J419" s="5" t="s">
        <v>5484</v>
      </c>
      <c r="K419" t="s">
        <v>5485</v>
      </c>
      <c r="L419" t="s">
        <v>5479</v>
      </c>
      <c r="M419" t="s">
        <v>125</v>
      </c>
      <c r="N419" s="2">
        <v>530.79</v>
      </c>
      <c r="O419" s="1">
        <v>1</v>
      </c>
      <c r="P419" s="2">
        <v>530.79</v>
      </c>
    </row>
    <row r="420" spans="10:16">
      <c r="J420" s="5" t="s">
        <v>5199</v>
      </c>
      <c r="K420" t="s">
        <v>5200</v>
      </c>
      <c r="L420" t="s">
        <v>580</v>
      </c>
      <c r="M420" t="s">
        <v>581</v>
      </c>
      <c r="N420" s="2">
        <v>1.76</v>
      </c>
      <c r="O420" s="1">
        <v>300.39999999999998</v>
      </c>
      <c r="P420" s="2">
        <v>528.70399999999995</v>
      </c>
    </row>
    <row r="421" spans="10:16">
      <c r="J421" s="5" t="s">
        <v>1713</v>
      </c>
      <c r="K421" t="s">
        <v>1714</v>
      </c>
      <c r="L421" t="s">
        <v>5252</v>
      </c>
      <c r="M421" t="s">
        <v>5215</v>
      </c>
      <c r="N421" s="2">
        <v>1.1000000000000001</v>
      </c>
      <c r="O421" s="1">
        <v>960</v>
      </c>
      <c r="P421" s="2">
        <v>528</v>
      </c>
    </row>
    <row r="422" spans="10:16">
      <c r="J422" s="5" t="s">
        <v>730</v>
      </c>
      <c r="K422" t="s">
        <v>731</v>
      </c>
      <c r="L422" t="s">
        <v>618</v>
      </c>
      <c r="M422" t="s">
        <v>626</v>
      </c>
      <c r="N422" s="2">
        <v>5.2717999999999998</v>
      </c>
      <c r="O422" s="1">
        <v>200</v>
      </c>
      <c r="P422" s="2">
        <v>527.17999999999995</v>
      </c>
    </row>
    <row r="423" spans="10:16">
      <c r="J423" s="5" t="s">
        <v>720</v>
      </c>
      <c r="K423" t="s">
        <v>721</v>
      </c>
      <c r="L423" t="s">
        <v>618</v>
      </c>
      <c r="M423" t="s">
        <v>626</v>
      </c>
      <c r="N423" s="2">
        <v>4.9225000000000003</v>
      </c>
      <c r="O423" s="1">
        <v>107</v>
      </c>
      <c r="P423" s="2">
        <v>526.70749999999998</v>
      </c>
    </row>
    <row r="424" spans="10:16">
      <c r="J424" s="5" t="s">
        <v>5325</v>
      </c>
      <c r="K424" t="s">
        <v>5326</v>
      </c>
      <c r="L424" t="s">
        <v>3375</v>
      </c>
      <c r="M424" t="s">
        <v>125</v>
      </c>
      <c r="N424" s="2">
        <v>260.5874</v>
      </c>
      <c r="O424" s="1">
        <v>4</v>
      </c>
      <c r="P424" s="2">
        <v>521.1748</v>
      </c>
    </row>
    <row r="425" spans="10:16">
      <c r="J425" s="5" t="s">
        <v>1987</v>
      </c>
      <c r="K425" t="s">
        <v>1988</v>
      </c>
      <c r="L425" t="s">
        <v>101</v>
      </c>
      <c r="M425" t="s">
        <v>102</v>
      </c>
      <c r="N425" s="2">
        <v>0.65700000000000003</v>
      </c>
      <c r="O425" s="1">
        <v>788</v>
      </c>
      <c r="P425" s="2">
        <v>517.71600000000001</v>
      </c>
    </row>
    <row r="426" spans="10:16">
      <c r="J426" s="5" t="s">
        <v>1839</v>
      </c>
      <c r="K426" t="s">
        <v>1840</v>
      </c>
      <c r="L426" t="s">
        <v>31</v>
      </c>
      <c r="M426" t="s">
        <v>1931</v>
      </c>
      <c r="N426" s="2">
        <v>3.976</v>
      </c>
      <c r="O426" s="1">
        <v>130</v>
      </c>
      <c r="P426" s="2">
        <v>516.88</v>
      </c>
    </row>
    <row r="427" spans="10:16">
      <c r="J427" s="5" t="s">
        <v>2112</v>
      </c>
      <c r="K427" t="s">
        <v>2113</v>
      </c>
      <c r="L427" t="s">
        <v>3537</v>
      </c>
      <c r="M427" t="s">
        <v>86</v>
      </c>
      <c r="N427" s="2">
        <v>39.76</v>
      </c>
      <c r="O427" s="1">
        <v>13</v>
      </c>
      <c r="P427" s="2">
        <v>516.88</v>
      </c>
    </row>
    <row r="428" spans="10:16">
      <c r="J428" s="5" t="s">
        <v>2083</v>
      </c>
      <c r="K428" t="s">
        <v>2084</v>
      </c>
      <c r="L428" t="s">
        <v>31</v>
      </c>
      <c r="M428" t="s">
        <v>1931</v>
      </c>
      <c r="N428" s="2">
        <v>257.92</v>
      </c>
      <c r="O428" s="1">
        <v>2</v>
      </c>
      <c r="P428" s="2">
        <v>515.84</v>
      </c>
    </row>
    <row r="429" spans="10:16">
      <c r="J429" s="5" t="s">
        <v>4831</v>
      </c>
      <c r="K429" t="s">
        <v>4832</v>
      </c>
      <c r="L429" t="s">
        <v>85</v>
      </c>
      <c r="M429" t="s">
        <v>86</v>
      </c>
      <c r="N429" s="2">
        <v>2.9769999999999999</v>
      </c>
      <c r="O429" s="1">
        <v>173</v>
      </c>
      <c r="P429" s="2">
        <v>515.02099999999996</v>
      </c>
    </row>
    <row r="430" spans="10:16">
      <c r="J430" s="5" t="s">
        <v>2976</v>
      </c>
      <c r="K430" t="s">
        <v>4260</v>
      </c>
      <c r="L430" t="s">
        <v>98</v>
      </c>
      <c r="M430" t="s">
        <v>86</v>
      </c>
      <c r="N430" s="2">
        <v>6.9134000000000002</v>
      </c>
      <c r="O430" s="1">
        <v>148</v>
      </c>
      <c r="P430" s="2">
        <v>511.59160000000003</v>
      </c>
    </row>
    <row r="431" spans="10:16">
      <c r="J431" s="5" t="s">
        <v>335</v>
      </c>
      <c r="K431" t="s">
        <v>336</v>
      </c>
      <c r="L431" t="s">
        <v>228</v>
      </c>
      <c r="M431" t="s">
        <v>86</v>
      </c>
      <c r="N431" s="2">
        <v>17.0364</v>
      </c>
      <c r="O431" s="1">
        <v>60</v>
      </c>
      <c r="P431" s="2">
        <v>511.09199999999998</v>
      </c>
    </row>
    <row r="432" spans="10:16">
      <c r="J432" s="5" t="s">
        <v>3856</v>
      </c>
      <c r="K432" t="s">
        <v>3857</v>
      </c>
      <c r="L432" t="s">
        <v>263</v>
      </c>
      <c r="M432" t="s">
        <v>86</v>
      </c>
      <c r="N432" s="2">
        <v>169.9958</v>
      </c>
      <c r="O432" s="1">
        <v>6</v>
      </c>
      <c r="P432" s="2">
        <v>509.98739999999998</v>
      </c>
    </row>
    <row r="433" spans="10:16">
      <c r="J433" s="5" t="s">
        <v>616</v>
      </c>
      <c r="K433" t="s">
        <v>617</v>
      </c>
      <c r="L433" t="s">
        <v>618</v>
      </c>
      <c r="M433" t="s">
        <v>619</v>
      </c>
      <c r="N433" s="2">
        <v>63.359000000000002</v>
      </c>
      <c r="O433" s="1">
        <v>8</v>
      </c>
      <c r="P433" s="2">
        <v>506.87200000000001</v>
      </c>
    </row>
    <row r="434" spans="10:16">
      <c r="J434" s="5" t="s">
        <v>3827</v>
      </c>
      <c r="K434" t="s">
        <v>3828</v>
      </c>
      <c r="L434" t="s">
        <v>85</v>
      </c>
      <c r="M434" t="s">
        <v>86</v>
      </c>
      <c r="N434" s="2">
        <v>101.35760000000001</v>
      </c>
      <c r="O434" s="1">
        <v>10</v>
      </c>
      <c r="P434" s="2">
        <v>506.78800000000001</v>
      </c>
    </row>
    <row r="435" spans="10:16">
      <c r="J435" s="5" t="s">
        <v>4054</v>
      </c>
      <c r="K435" t="s">
        <v>4055</v>
      </c>
      <c r="L435" t="s">
        <v>98</v>
      </c>
      <c r="M435" t="s">
        <v>86</v>
      </c>
      <c r="N435" s="2">
        <v>29.685600000000001</v>
      </c>
      <c r="O435" s="1">
        <v>34</v>
      </c>
      <c r="P435" s="2">
        <v>504.65520000000004</v>
      </c>
    </row>
    <row r="436" spans="10:16">
      <c r="J436" s="5" t="s">
        <v>737</v>
      </c>
      <c r="K436" t="s">
        <v>738</v>
      </c>
      <c r="L436" t="s">
        <v>580</v>
      </c>
      <c r="M436" t="s">
        <v>581</v>
      </c>
      <c r="N436" s="2">
        <v>3.157</v>
      </c>
      <c r="O436" s="1">
        <v>318</v>
      </c>
      <c r="P436" s="2">
        <v>501.96300000000002</v>
      </c>
    </row>
    <row r="437" spans="10:16">
      <c r="J437" s="5" t="s">
        <v>4280</v>
      </c>
      <c r="K437" t="s">
        <v>4281</v>
      </c>
      <c r="L437" t="s">
        <v>85</v>
      </c>
      <c r="M437" t="s">
        <v>86</v>
      </c>
      <c r="N437" s="2">
        <v>7.6707999999999998</v>
      </c>
      <c r="O437" s="1">
        <v>128</v>
      </c>
      <c r="P437" s="2">
        <v>490.93119999999999</v>
      </c>
    </row>
    <row r="438" spans="10:16">
      <c r="J438" s="5" t="s">
        <v>3184</v>
      </c>
      <c r="K438" t="s">
        <v>3185</v>
      </c>
      <c r="L438" t="s">
        <v>128</v>
      </c>
      <c r="M438" t="s">
        <v>125</v>
      </c>
      <c r="N438" s="2">
        <v>37.6158</v>
      </c>
      <c r="O438" s="1">
        <v>26</v>
      </c>
      <c r="P438" s="2">
        <v>489.00540000000001</v>
      </c>
    </row>
    <row r="439" spans="10:16">
      <c r="J439" s="5" t="s">
        <v>5106</v>
      </c>
      <c r="K439" t="s">
        <v>5107</v>
      </c>
      <c r="L439" t="s">
        <v>580</v>
      </c>
      <c r="M439" t="s">
        <v>581</v>
      </c>
      <c r="N439" s="2">
        <v>6.9846000000000004</v>
      </c>
      <c r="O439" s="1">
        <v>140</v>
      </c>
      <c r="P439" s="2">
        <v>488.92200000000003</v>
      </c>
    </row>
    <row r="440" spans="10:16">
      <c r="J440" s="5" t="s">
        <v>4077</v>
      </c>
      <c r="K440" t="s">
        <v>3284</v>
      </c>
      <c r="L440" t="s">
        <v>476</v>
      </c>
      <c r="M440" t="s">
        <v>86</v>
      </c>
      <c r="N440" s="2">
        <v>23.183800000000002</v>
      </c>
      <c r="O440" s="1">
        <v>42</v>
      </c>
      <c r="P440" s="2">
        <v>486.85980000000001</v>
      </c>
    </row>
    <row r="441" spans="10:16">
      <c r="J441" s="5" t="s">
        <v>999</v>
      </c>
      <c r="K441" t="s">
        <v>1000</v>
      </c>
      <c r="L441" t="s">
        <v>618</v>
      </c>
      <c r="M441" t="s">
        <v>626</v>
      </c>
      <c r="N441" s="2">
        <v>2.0097999999999998</v>
      </c>
      <c r="O441" s="1">
        <v>484</v>
      </c>
      <c r="P441" s="2">
        <v>486.37159999999994</v>
      </c>
    </row>
    <row r="442" spans="10:16">
      <c r="J442" s="5" t="s">
        <v>3825</v>
      </c>
      <c r="K442" t="s">
        <v>3826</v>
      </c>
      <c r="L442" t="s">
        <v>263</v>
      </c>
      <c r="M442" t="s">
        <v>86</v>
      </c>
      <c r="N442" s="2">
        <v>96.230599999999995</v>
      </c>
      <c r="O442" s="1">
        <v>10</v>
      </c>
      <c r="P442" s="2">
        <v>481.15299999999996</v>
      </c>
    </row>
    <row r="443" spans="10:16">
      <c r="J443" s="5" t="s">
        <v>3131</v>
      </c>
      <c r="K443" t="s">
        <v>3132</v>
      </c>
      <c r="L443" t="s">
        <v>85</v>
      </c>
      <c r="M443" t="s">
        <v>86</v>
      </c>
      <c r="N443" s="2">
        <v>6.0072000000000001</v>
      </c>
      <c r="O443" s="1">
        <v>160</v>
      </c>
      <c r="P443" s="2">
        <v>480.57600000000002</v>
      </c>
    </row>
    <row r="444" spans="10:16">
      <c r="J444" s="5" t="s">
        <v>4009</v>
      </c>
      <c r="K444" t="s">
        <v>4010</v>
      </c>
      <c r="L444" t="s">
        <v>98</v>
      </c>
      <c r="M444" t="s">
        <v>86</v>
      </c>
      <c r="N444" s="2">
        <v>47.949399999999997</v>
      </c>
      <c r="O444" s="1">
        <v>20</v>
      </c>
      <c r="P444" s="2">
        <v>479.49399999999997</v>
      </c>
    </row>
    <row r="445" spans="10:16">
      <c r="J445" s="5" t="s">
        <v>3858</v>
      </c>
      <c r="K445" t="s">
        <v>3859</v>
      </c>
      <c r="L445" t="s">
        <v>263</v>
      </c>
      <c r="M445" t="s">
        <v>86</v>
      </c>
      <c r="N445" s="2">
        <v>159.0318</v>
      </c>
      <c r="O445" s="1">
        <v>6</v>
      </c>
      <c r="P445" s="2">
        <v>477.09540000000004</v>
      </c>
    </row>
    <row r="446" spans="10:16">
      <c r="J446" s="5" t="s">
        <v>2623</v>
      </c>
      <c r="K446" t="s">
        <v>2624</v>
      </c>
      <c r="L446" t="s">
        <v>5473</v>
      </c>
      <c r="M446" t="s">
        <v>125</v>
      </c>
      <c r="N446" s="2">
        <v>475.72699999999998</v>
      </c>
      <c r="O446" s="1">
        <v>1</v>
      </c>
      <c r="P446" s="2">
        <v>475.72699999999998</v>
      </c>
    </row>
    <row r="447" spans="10:16">
      <c r="J447" s="5" t="s">
        <v>1631</v>
      </c>
      <c r="K447" t="s">
        <v>1632</v>
      </c>
      <c r="L447" t="s">
        <v>101</v>
      </c>
      <c r="M447" t="s">
        <v>619</v>
      </c>
      <c r="N447" s="2">
        <v>0.47360000000000002</v>
      </c>
      <c r="O447" s="1">
        <v>2008</v>
      </c>
      <c r="P447" s="2">
        <v>475.49440000000004</v>
      </c>
    </row>
    <row r="448" spans="10:16">
      <c r="J448" s="5" t="s">
        <v>4867</v>
      </c>
      <c r="K448" t="s">
        <v>4868</v>
      </c>
      <c r="L448" t="s">
        <v>85</v>
      </c>
      <c r="M448" t="s">
        <v>86</v>
      </c>
      <c r="N448" s="2">
        <v>13.5601</v>
      </c>
      <c r="O448" s="1">
        <v>35</v>
      </c>
      <c r="P448" s="2">
        <v>474.6035</v>
      </c>
    </row>
    <row r="449" spans="6:16">
      <c r="J449" s="5" t="s">
        <v>2540</v>
      </c>
      <c r="K449" t="s">
        <v>2541</v>
      </c>
      <c r="L449" t="s">
        <v>3375</v>
      </c>
      <c r="M449" t="s">
        <v>125</v>
      </c>
      <c r="N449" s="2">
        <v>232.48159999999999</v>
      </c>
      <c r="O449" s="1">
        <v>4</v>
      </c>
      <c r="P449" s="2">
        <v>464.96319999999997</v>
      </c>
    </row>
    <row r="450" spans="6:16">
      <c r="J450" s="5" t="s">
        <v>3752</v>
      </c>
      <c r="K450" t="s">
        <v>3753</v>
      </c>
      <c r="L450" t="s">
        <v>85</v>
      </c>
      <c r="M450" t="s">
        <v>86</v>
      </c>
      <c r="N450" s="2">
        <v>7.3662000000000001</v>
      </c>
      <c r="O450" s="1">
        <v>126</v>
      </c>
      <c r="P450" s="2">
        <v>464.07060000000001</v>
      </c>
    </row>
    <row r="451" spans="6:16">
      <c r="J451" s="5" t="s">
        <v>5480</v>
      </c>
      <c r="K451" t="s">
        <v>2618</v>
      </c>
      <c r="L451" t="s">
        <v>5479</v>
      </c>
      <c r="M451" t="s">
        <v>125</v>
      </c>
      <c r="N451" s="2">
        <v>462.99599999999998</v>
      </c>
      <c r="O451" s="1">
        <v>1</v>
      </c>
      <c r="P451" s="2">
        <v>462.99599999999998</v>
      </c>
    </row>
    <row r="452" spans="6:16">
      <c r="J452" s="5" t="s">
        <v>2843</v>
      </c>
      <c r="K452" t="s">
        <v>2844</v>
      </c>
      <c r="L452" t="s">
        <v>85</v>
      </c>
      <c r="M452" t="s">
        <v>86</v>
      </c>
      <c r="N452" s="2">
        <v>15.912000000000001</v>
      </c>
      <c r="O452" s="1">
        <v>29</v>
      </c>
      <c r="P452" s="2">
        <v>461.44800000000004</v>
      </c>
    </row>
    <row r="453" spans="6:16">
      <c r="J453" s="5" t="s">
        <v>2049</v>
      </c>
      <c r="K453" t="s">
        <v>2050</v>
      </c>
      <c r="L453" t="s">
        <v>580</v>
      </c>
      <c r="M453" t="s">
        <v>619</v>
      </c>
      <c r="N453" s="2">
        <v>11.8254</v>
      </c>
      <c r="O453" s="1">
        <v>39</v>
      </c>
      <c r="P453" s="2">
        <v>461.19060000000002</v>
      </c>
    </row>
    <row r="454" spans="6:16">
      <c r="J454" s="5" t="s">
        <v>2952</v>
      </c>
      <c r="K454" t="s">
        <v>2953</v>
      </c>
      <c r="L454" t="s">
        <v>85</v>
      </c>
      <c r="M454" t="s">
        <v>86</v>
      </c>
      <c r="N454" s="2">
        <v>35.170999999999999</v>
      </c>
      <c r="O454" s="1">
        <v>13</v>
      </c>
      <c r="P454" s="2">
        <v>457.22300000000001</v>
      </c>
    </row>
    <row r="455" spans="6:16">
      <c r="J455" s="5" t="s">
        <v>1872</v>
      </c>
      <c r="K455" t="s">
        <v>1873</v>
      </c>
      <c r="L455" t="s">
        <v>3411</v>
      </c>
      <c r="M455" t="s">
        <v>125</v>
      </c>
      <c r="N455" s="2">
        <v>50.526400000000002</v>
      </c>
      <c r="O455" s="1">
        <v>18</v>
      </c>
      <c r="P455" s="2">
        <v>454.73760000000004</v>
      </c>
    </row>
    <row r="456" spans="6:16">
      <c r="F456" s="2"/>
      <c r="J456" s="5" t="s">
        <v>655</v>
      </c>
      <c r="K456" t="s">
        <v>656</v>
      </c>
      <c r="L456" t="s">
        <v>31</v>
      </c>
      <c r="M456" t="s">
        <v>1931</v>
      </c>
      <c r="N456" s="2">
        <v>151.1516</v>
      </c>
      <c r="O456" s="1">
        <v>6</v>
      </c>
      <c r="P456" s="2">
        <v>453.45479999999998</v>
      </c>
    </row>
    <row r="457" spans="6:16">
      <c r="J457" s="5" t="s">
        <v>2178</v>
      </c>
      <c r="K457" t="s">
        <v>2179</v>
      </c>
      <c r="L457" t="s">
        <v>85</v>
      </c>
      <c r="M457" t="s">
        <v>86</v>
      </c>
      <c r="N457" s="2">
        <v>15.0062</v>
      </c>
      <c r="O457" s="1">
        <v>60</v>
      </c>
      <c r="P457" s="2">
        <v>450.18599999999998</v>
      </c>
    </row>
    <row r="458" spans="6:16">
      <c r="J458" s="5" t="s">
        <v>1664</v>
      </c>
      <c r="K458" t="s">
        <v>1665</v>
      </c>
      <c r="L458" t="s">
        <v>115</v>
      </c>
      <c r="M458" t="s">
        <v>102</v>
      </c>
      <c r="N458" s="2">
        <v>0.105</v>
      </c>
      <c r="O458" s="1">
        <v>4274</v>
      </c>
      <c r="P458" s="2">
        <v>448.77</v>
      </c>
    </row>
    <row r="459" spans="6:16">
      <c r="J459" s="5" t="s">
        <v>5344</v>
      </c>
      <c r="K459" t="s">
        <v>5345</v>
      </c>
      <c r="L459" t="s">
        <v>85</v>
      </c>
      <c r="M459" t="s">
        <v>86</v>
      </c>
      <c r="N459" s="2">
        <v>34.229599999999998</v>
      </c>
      <c r="O459" s="1">
        <v>26</v>
      </c>
      <c r="P459" s="2">
        <v>444.98479999999995</v>
      </c>
    </row>
    <row r="460" spans="6:16">
      <c r="J460" s="5" t="s">
        <v>2207</v>
      </c>
      <c r="K460" t="s">
        <v>2208</v>
      </c>
      <c r="L460" t="s">
        <v>85</v>
      </c>
      <c r="M460" t="s">
        <v>86</v>
      </c>
      <c r="N460" s="2">
        <v>36.9328</v>
      </c>
      <c r="O460" s="1">
        <v>24</v>
      </c>
      <c r="P460" s="2">
        <v>443.1936</v>
      </c>
    </row>
    <row r="461" spans="6:16">
      <c r="J461" s="5" t="s">
        <v>5011</v>
      </c>
      <c r="K461" t="s">
        <v>5012</v>
      </c>
      <c r="L461" t="s">
        <v>85</v>
      </c>
      <c r="M461" t="s">
        <v>86</v>
      </c>
      <c r="N461" s="2">
        <v>4.9218000000000002</v>
      </c>
      <c r="O461" s="1">
        <v>180</v>
      </c>
      <c r="P461" s="2">
        <v>442.96199999999999</v>
      </c>
    </row>
    <row r="462" spans="6:16">
      <c r="J462" s="5" t="s">
        <v>2467</v>
      </c>
      <c r="K462" t="s">
        <v>5403</v>
      </c>
      <c r="L462" t="s">
        <v>98</v>
      </c>
      <c r="M462" t="s">
        <v>86</v>
      </c>
      <c r="N462" s="2">
        <v>31.637599999999999</v>
      </c>
      <c r="O462" s="1">
        <v>28</v>
      </c>
      <c r="P462" s="2">
        <v>442.9264</v>
      </c>
    </row>
    <row r="463" spans="6:16">
      <c r="J463" s="5" t="s">
        <v>5225</v>
      </c>
      <c r="K463" t="s">
        <v>5226</v>
      </c>
      <c r="L463" t="s">
        <v>101</v>
      </c>
      <c r="M463" t="s">
        <v>581</v>
      </c>
      <c r="N463" s="2">
        <v>1.76</v>
      </c>
      <c r="O463" s="1">
        <v>250</v>
      </c>
      <c r="P463" s="2">
        <v>440</v>
      </c>
    </row>
    <row r="464" spans="6:16">
      <c r="J464" s="5" t="s">
        <v>4555</v>
      </c>
      <c r="K464" t="s">
        <v>4556</v>
      </c>
      <c r="L464" t="s">
        <v>85</v>
      </c>
      <c r="M464" t="s">
        <v>86</v>
      </c>
      <c r="N464" s="2">
        <v>13.2796</v>
      </c>
      <c r="O464" s="1">
        <v>33</v>
      </c>
      <c r="P464" s="2">
        <v>438.22680000000003</v>
      </c>
    </row>
    <row r="465" spans="10:16">
      <c r="J465" s="5" t="s">
        <v>2568</v>
      </c>
      <c r="K465" t="s">
        <v>2569</v>
      </c>
      <c r="L465" t="s">
        <v>31</v>
      </c>
      <c r="M465" t="s">
        <v>1931</v>
      </c>
      <c r="N465" s="2">
        <v>436.8</v>
      </c>
      <c r="O465" s="1">
        <v>1</v>
      </c>
      <c r="P465" s="2">
        <v>436.8</v>
      </c>
    </row>
    <row r="466" spans="10:16">
      <c r="J466" s="5" t="s">
        <v>5208</v>
      </c>
      <c r="K466" t="s">
        <v>5209</v>
      </c>
      <c r="L466" t="s">
        <v>101</v>
      </c>
      <c r="M466" t="s">
        <v>581</v>
      </c>
      <c r="N466" s="2">
        <v>86.56</v>
      </c>
      <c r="O466" s="1">
        <v>5</v>
      </c>
      <c r="P466" s="2">
        <v>432.8</v>
      </c>
    </row>
    <row r="467" spans="10:16">
      <c r="J467" s="5" t="s">
        <v>2477</v>
      </c>
      <c r="K467" t="s">
        <v>5411</v>
      </c>
      <c r="L467" t="s">
        <v>3819</v>
      </c>
      <c r="M467" t="s">
        <v>86</v>
      </c>
      <c r="N467" s="2">
        <v>86.486999999999995</v>
      </c>
      <c r="O467" s="1">
        <v>5</v>
      </c>
      <c r="P467" s="2">
        <v>432.43499999999995</v>
      </c>
    </row>
    <row r="468" spans="10:16">
      <c r="J468" s="5" t="s">
        <v>3412</v>
      </c>
      <c r="K468" t="s">
        <v>3413</v>
      </c>
      <c r="L468" t="s">
        <v>141</v>
      </c>
      <c r="M468" t="s">
        <v>125</v>
      </c>
      <c r="N468" s="2">
        <v>215.84</v>
      </c>
      <c r="O468" s="1">
        <v>2</v>
      </c>
      <c r="P468" s="2">
        <v>431.68</v>
      </c>
    </row>
    <row r="469" spans="10:16">
      <c r="J469" s="5" t="s">
        <v>5288</v>
      </c>
      <c r="K469" t="s">
        <v>5289</v>
      </c>
      <c r="L469" t="s">
        <v>3375</v>
      </c>
      <c r="M469" t="s">
        <v>125</v>
      </c>
      <c r="N469" s="2">
        <v>431.62099999999998</v>
      </c>
      <c r="O469" s="1">
        <v>2</v>
      </c>
      <c r="P469" s="2">
        <v>431.62099999999998</v>
      </c>
    </row>
    <row r="470" spans="10:16">
      <c r="J470" s="5" t="s">
        <v>699</v>
      </c>
      <c r="K470" t="s">
        <v>700</v>
      </c>
      <c r="L470" t="s">
        <v>31</v>
      </c>
      <c r="M470" t="s">
        <v>1931</v>
      </c>
      <c r="N470" s="2">
        <v>35.833199999999998</v>
      </c>
      <c r="O470" s="1">
        <v>24</v>
      </c>
      <c r="P470" s="2">
        <v>429.99839999999995</v>
      </c>
    </row>
    <row r="471" spans="10:16">
      <c r="J471" s="5" t="s">
        <v>1269</v>
      </c>
      <c r="K471" t="s">
        <v>1270</v>
      </c>
      <c r="L471" t="s">
        <v>101</v>
      </c>
      <c r="M471" t="s">
        <v>581</v>
      </c>
      <c r="N471" s="2">
        <v>539.34249999999997</v>
      </c>
      <c r="O471" s="1">
        <v>0.79659999999999997</v>
      </c>
      <c r="P471" s="2">
        <v>429.64023549999996</v>
      </c>
    </row>
    <row r="472" spans="10:16">
      <c r="J472" s="5" t="s">
        <v>1027</v>
      </c>
      <c r="K472" t="s">
        <v>1028</v>
      </c>
      <c r="L472" t="s">
        <v>31</v>
      </c>
      <c r="M472" t="s">
        <v>1931</v>
      </c>
      <c r="N472" s="2">
        <v>214.35480000000001</v>
      </c>
      <c r="O472" s="1">
        <v>4</v>
      </c>
      <c r="P472" s="2">
        <v>428.70960000000002</v>
      </c>
    </row>
    <row r="473" spans="10:16">
      <c r="J473" s="5" t="s">
        <v>1240</v>
      </c>
      <c r="K473" t="s">
        <v>1241</v>
      </c>
      <c r="L473" t="s">
        <v>1852</v>
      </c>
      <c r="M473" t="s">
        <v>125</v>
      </c>
      <c r="N473" s="2">
        <v>428.57679999999999</v>
      </c>
      <c r="O473" s="1">
        <v>2</v>
      </c>
      <c r="P473" s="2">
        <v>428.57679999999999</v>
      </c>
    </row>
    <row r="474" spans="10:16">
      <c r="J474" s="5" t="s">
        <v>1287</v>
      </c>
      <c r="K474" t="s">
        <v>1288</v>
      </c>
      <c r="L474" t="s">
        <v>101</v>
      </c>
      <c r="M474" t="s">
        <v>626</v>
      </c>
      <c r="N474" s="2">
        <v>5.7009999999999996</v>
      </c>
      <c r="O474" s="1">
        <v>75</v>
      </c>
      <c r="P474" s="2">
        <v>427.57499999999999</v>
      </c>
    </row>
    <row r="475" spans="10:16">
      <c r="J475" s="5" t="s">
        <v>4759</v>
      </c>
      <c r="K475" t="s">
        <v>4760</v>
      </c>
      <c r="L475" t="s">
        <v>85</v>
      </c>
      <c r="M475" t="s">
        <v>86</v>
      </c>
      <c r="N475" s="2">
        <v>9.4760000000000009</v>
      </c>
      <c r="O475" s="1">
        <v>90</v>
      </c>
      <c r="P475" s="2">
        <v>426.42</v>
      </c>
    </row>
    <row r="476" spans="10:16">
      <c r="J476" s="5" t="s">
        <v>2033</v>
      </c>
      <c r="K476" t="s">
        <v>2034</v>
      </c>
      <c r="L476" t="s">
        <v>580</v>
      </c>
      <c r="M476" t="s">
        <v>619</v>
      </c>
      <c r="N476" s="2">
        <v>1.7434000000000001</v>
      </c>
      <c r="O476" s="1">
        <v>486</v>
      </c>
      <c r="P476" s="2">
        <v>423.64620000000002</v>
      </c>
    </row>
    <row r="477" spans="10:16">
      <c r="J477" s="5" t="s">
        <v>1021</v>
      </c>
      <c r="K477" t="s">
        <v>1022</v>
      </c>
      <c r="L477" t="s">
        <v>31</v>
      </c>
      <c r="M477" t="s">
        <v>1931</v>
      </c>
      <c r="N477" s="2">
        <v>210</v>
      </c>
      <c r="O477" s="1">
        <v>2</v>
      </c>
      <c r="P477" s="2">
        <v>420</v>
      </c>
    </row>
    <row r="478" spans="10:16">
      <c r="J478" s="5" t="s">
        <v>3446</v>
      </c>
      <c r="K478" t="s">
        <v>3447</v>
      </c>
      <c r="L478" t="s">
        <v>476</v>
      </c>
      <c r="M478" t="s">
        <v>86</v>
      </c>
      <c r="N478" s="2">
        <v>5.3811</v>
      </c>
      <c r="O478" s="1">
        <v>234</v>
      </c>
      <c r="P478" s="2">
        <v>419.72580000000005</v>
      </c>
    </row>
    <row r="479" spans="10:16">
      <c r="J479" s="5" t="s">
        <v>2418</v>
      </c>
      <c r="K479" t="s">
        <v>5395</v>
      </c>
      <c r="L479" t="s">
        <v>85</v>
      </c>
      <c r="M479" t="s">
        <v>86</v>
      </c>
      <c r="N479" s="2">
        <v>17.445</v>
      </c>
      <c r="O479" s="1">
        <v>24</v>
      </c>
      <c r="P479" s="2">
        <v>418.68</v>
      </c>
    </row>
    <row r="480" spans="10:16">
      <c r="J480" s="5" t="s">
        <v>4044</v>
      </c>
      <c r="K480" t="s">
        <v>4045</v>
      </c>
      <c r="L480" t="s">
        <v>85</v>
      </c>
      <c r="M480" t="s">
        <v>86</v>
      </c>
      <c r="N480" s="2">
        <v>29.542000000000002</v>
      </c>
      <c r="O480" s="1">
        <v>14</v>
      </c>
      <c r="P480" s="2">
        <v>413.58800000000002</v>
      </c>
    </row>
    <row r="481" spans="10:16">
      <c r="J481" s="5" t="s">
        <v>2476</v>
      </c>
      <c r="K481" t="s">
        <v>5408</v>
      </c>
      <c r="L481" t="s">
        <v>85</v>
      </c>
      <c r="M481" t="s">
        <v>86</v>
      </c>
      <c r="N481" s="2">
        <v>21.555</v>
      </c>
      <c r="O481" s="1">
        <v>19</v>
      </c>
      <c r="P481" s="2">
        <v>409.54500000000002</v>
      </c>
    </row>
    <row r="482" spans="10:16">
      <c r="J482" s="5" t="s">
        <v>3094</v>
      </c>
      <c r="K482" t="s">
        <v>3095</v>
      </c>
      <c r="L482" t="s">
        <v>85</v>
      </c>
      <c r="M482" t="s">
        <v>86</v>
      </c>
      <c r="N482" s="2">
        <v>11.297000000000001</v>
      </c>
      <c r="O482" s="1">
        <v>36</v>
      </c>
      <c r="P482" s="2">
        <v>406.69200000000001</v>
      </c>
    </row>
    <row r="483" spans="10:16">
      <c r="J483" s="5" t="s">
        <v>1811</v>
      </c>
      <c r="K483" t="s">
        <v>1812</v>
      </c>
      <c r="L483" t="s">
        <v>31</v>
      </c>
      <c r="M483" t="s">
        <v>1931</v>
      </c>
      <c r="N483" s="2">
        <v>400</v>
      </c>
      <c r="O483" s="1">
        <v>1</v>
      </c>
      <c r="P483" s="2">
        <v>400</v>
      </c>
    </row>
    <row r="484" spans="10:16">
      <c r="J484" s="5" t="s">
        <v>87</v>
      </c>
      <c r="K484" t="s">
        <v>88</v>
      </c>
      <c r="L484" t="s">
        <v>89</v>
      </c>
      <c r="M484" t="s">
        <v>86</v>
      </c>
      <c r="N484" s="2">
        <v>132.91</v>
      </c>
      <c r="O484" s="1">
        <v>3</v>
      </c>
      <c r="P484" s="2">
        <v>398.73</v>
      </c>
    </row>
    <row r="485" spans="10:16">
      <c r="J485" s="5" t="s">
        <v>1386</v>
      </c>
      <c r="K485" t="s">
        <v>1387</v>
      </c>
      <c r="L485" t="s">
        <v>115</v>
      </c>
      <c r="M485" t="s">
        <v>102</v>
      </c>
      <c r="N485" s="2">
        <v>0.1128</v>
      </c>
      <c r="O485" s="1">
        <v>3526</v>
      </c>
      <c r="P485" s="2">
        <v>397.7328</v>
      </c>
    </row>
    <row r="486" spans="10:16">
      <c r="J486" s="5" t="s">
        <v>122</v>
      </c>
      <c r="K486" t="s">
        <v>123</v>
      </c>
      <c r="L486" t="s">
        <v>124</v>
      </c>
      <c r="M486" t="s">
        <v>125</v>
      </c>
      <c r="N486" s="2">
        <v>396.99779999999998</v>
      </c>
      <c r="O486" s="1">
        <v>2</v>
      </c>
      <c r="P486" s="2">
        <v>396.99779999999998</v>
      </c>
    </row>
    <row r="487" spans="10:16">
      <c r="J487" s="5" t="s">
        <v>1652</v>
      </c>
      <c r="K487" t="s">
        <v>1653</v>
      </c>
      <c r="L487" t="s">
        <v>101</v>
      </c>
      <c r="M487" t="s">
        <v>581</v>
      </c>
      <c r="N487" s="2">
        <v>65.599999999999994</v>
      </c>
      <c r="O487" s="1">
        <v>6.0250000000000004</v>
      </c>
      <c r="P487" s="2">
        <v>395.24</v>
      </c>
    </row>
    <row r="488" spans="10:16">
      <c r="J488" s="5" t="s">
        <v>407</v>
      </c>
      <c r="K488" t="s">
        <v>4290</v>
      </c>
      <c r="L488" t="s">
        <v>219</v>
      </c>
      <c r="M488" t="s">
        <v>86</v>
      </c>
      <c r="N488" s="2">
        <v>30.379799999999999</v>
      </c>
      <c r="O488" s="1">
        <v>13</v>
      </c>
      <c r="P488" s="2">
        <v>394.93739999999997</v>
      </c>
    </row>
    <row r="489" spans="10:16">
      <c r="J489" s="5" t="s">
        <v>2955</v>
      </c>
      <c r="K489" t="s">
        <v>2956</v>
      </c>
      <c r="L489" t="s">
        <v>98</v>
      </c>
      <c r="M489" t="s">
        <v>86</v>
      </c>
      <c r="N489" s="2">
        <v>56.408999999999999</v>
      </c>
      <c r="O489" s="1">
        <v>14</v>
      </c>
      <c r="P489" s="2">
        <v>394.863</v>
      </c>
    </row>
    <row r="490" spans="10:16">
      <c r="J490" s="5" t="s">
        <v>4037</v>
      </c>
      <c r="K490" t="s">
        <v>4038</v>
      </c>
      <c r="L490" t="s">
        <v>467</v>
      </c>
      <c r="M490" t="s">
        <v>86</v>
      </c>
      <c r="N490" s="2">
        <v>394.28</v>
      </c>
      <c r="O490" s="1">
        <v>1</v>
      </c>
      <c r="P490" s="2">
        <v>394.28</v>
      </c>
    </row>
    <row r="491" spans="10:16">
      <c r="J491" s="5" t="s">
        <v>1363</v>
      </c>
      <c r="K491" t="s">
        <v>1364</v>
      </c>
      <c r="L491" t="s">
        <v>115</v>
      </c>
      <c r="M491" t="s">
        <v>102</v>
      </c>
      <c r="N491" s="2">
        <v>0.1132</v>
      </c>
      <c r="O491" s="1">
        <v>3464</v>
      </c>
      <c r="P491" s="2">
        <v>392.12479999999999</v>
      </c>
    </row>
    <row r="492" spans="10:16">
      <c r="J492" s="5" t="s">
        <v>2716</v>
      </c>
      <c r="K492" t="s">
        <v>2717</v>
      </c>
      <c r="L492" t="s">
        <v>219</v>
      </c>
      <c r="M492" t="s">
        <v>86</v>
      </c>
      <c r="N492" s="2">
        <v>129.93639999999999</v>
      </c>
      <c r="O492" s="1">
        <v>6</v>
      </c>
      <c r="P492" s="2">
        <v>389.80919999999998</v>
      </c>
    </row>
    <row r="493" spans="10:16">
      <c r="J493" s="5" t="s">
        <v>2722</v>
      </c>
      <c r="K493" t="s">
        <v>3479</v>
      </c>
      <c r="L493" t="s">
        <v>85</v>
      </c>
      <c r="M493" t="s">
        <v>86</v>
      </c>
      <c r="N493" s="2">
        <v>129.80500000000001</v>
      </c>
      <c r="O493" s="1">
        <v>3</v>
      </c>
      <c r="P493" s="2">
        <v>389.41500000000002</v>
      </c>
    </row>
    <row r="494" spans="10:16">
      <c r="J494" s="5" t="s">
        <v>1063</v>
      </c>
      <c r="K494" t="s">
        <v>1064</v>
      </c>
      <c r="L494" t="s">
        <v>128</v>
      </c>
      <c r="M494" t="s">
        <v>125</v>
      </c>
      <c r="N494" s="2">
        <v>386.4</v>
      </c>
      <c r="O494" s="1">
        <v>1</v>
      </c>
      <c r="P494" s="2">
        <v>386.4</v>
      </c>
    </row>
    <row r="495" spans="10:16">
      <c r="J495" s="5" t="s">
        <v>3108</v>
      </c>
      <c r="K495" t="s">
        <v>3109</v>
      </c>
      <c r="L495" t="s">
        <v>85</v>
      </c>
      <c r="M495" t="s">
        <v>86</v>
      </c>
      <c r="N495" s="2">
        <v>6.1</v>
      </c>
      <c r="O495" s="1">
        <v>63</v>
      </c>
      <c r="P495" s="2">
        <v>384.29999999999995</v>
      </c>
    </row>
    <row r="496" spans="10:16">
      <c r="J496" s="5" t="s">
        <v>5467</v>
      </c>
      <c r="K496" t="s">
        <v>5468</v>
      </c>
      <c r="L496" t="s">
        <v>3430</v>
      </c>
      <c r="M496" t="s">
        <v>1931</v>
      </c>
      <c r="N496" s="2">
        <v>383.75299999999999</v>
      </c>
      <c r="O496" s="1">
        <v>1</v>
      </c>
      <c r="P496" s="2">
        <v>383.75299999999999</v>
      </c>
    </row>
    <row r="497" spans="10:16">
      <c r="J497" s="5" t="s">
        <v>4681</v>
      </c>
      <c r="K497" t="s">
        <v>4682</v>
      </c>
      <c r="L497" t="s">
        <v>219</v>
      </c>
      <c r="M497" t="s">
        <v>86</v>
      </c>
      <c r="N497" s="2">
        <v>63.934600000000003</v>
      </c>
      <c r="O497" s="1">
        <v>12</v>
      </c>
      <c r="P497" s="2">
        <v>383.60760000000005</v>
      </c>
    </row>
    <row r="498" spans="10:16">
      <c r="J498" s="5" t="s">
        <v>2509</v>
      </c>
      <c r="K498" t="s">
        <v>2510</v>
      </c>
      <c r="L498" t="s">
        <v>228</v>
      </c>
      <c r="M498" t="s">
        <v>86</v>
      </c>
      <c r="N498" s="2">
        <v>0.16819999999999999</v>
      </c>
      <c r="O498" s="1">
        <v>4556</v>
      </c>
      <c r="P498" s="2">
        <v>383.15959999999995</v>
      </c>
    </row>
    <row r="499" spans="10:16">
      <c r="J499" s="5" t="s">
        <v>5311</v>
      </c>
      <c r="K499" t="s">
        <v>5312</v>
      </c>
      <c r="L499" t="s">
        <v>101</v>
      </c>
      <c r="M499" t="s">
        <v>102</v>
      </c>
      <c r="N499" s="2">
        <v>0.97</v>
      </c>
      <c r="O499" s="1">
        <v>394</v>
      </c>
      <c r="P499" s="2">
        <v>382.18</v>
      </c>
    </row>
    <row r="500" spans="10:16">
      <c r="J500" s="5" t="s">
        <v>1877</v>
      </c>
      <c r="K500" t="s">
        <v>1878</v>
      </c>
      <c r="L500" t="s">
        <v>3411</v>
      </c>
      <c r="M500" t="s">
        <v>125</v>
      </c>
      <c r="N500" s="2">
        <v>38.034999999999997</v>
      </c>
      <c r="O500" s="1">
        <v>20</v>
      </c>
      <c r="P500" s="2">
        <v>380.34999999999997</v>
      </c>
    </row>
    <row r="501" spans="10:16">
      <c r="J501" s="5" t="s">
        <v>468</v>
      </c>
      <c r="K501" t="s">
        <v>469</v>
      </c>
      <c r="L501" t="s">
        <v>467</v>
      </c>
      <c r="M501" t="s">
        <v>86</v>
      </c>
      <c r="N501" s="2">
        <v>189.58</v>
      </c>
      <c r="O501" s="1">
        <v>2</v>
      </c>
      <c r="P501" s="2">
        <v>379.16</v>
      </c>
    </row>
    <row r="502" spans="10:16">
      <c r="J502" s="5" t="s">
        <v>5152</v>
      </c>
      <c r="K502" t="s">
        <v>5153</v>
      </c>
      <c r="L502" t="s">
        <v>128</v>
      </c>
      <c r="M502" t="s">
        <v>125</v>
      </c>
      <c r="N502" s="2">
        <v>94.597999999999999</v>
      </c>
      <c r="O502" s="1">
        <v>4</v>
      </c>
      <c r="P502" s="2">
        <v>378.392</v>
      </c>
    </row>
    <row r="503" spans="10:16">
      <c r="J503" s="5" t="s">
        <v>5034</v>
      </c>
      <c r="K503" t="s">
        <v>5035</v>
      </c>
      <c r="L503" t="s">
        <v>85</v>
      </c>
      <c r="M503" t="s">
        <v>86</v>
      </c>
      <c r="N503" s="2">
        <v>18.855799999999999</v>
      </c>
      <c r="O503" s="1">
        <v>40</v>
      </c>
      <c r="P503" s="2">
        <v>377.11599999999999</v>
      </c>
    </row>
    <row r="504" spans="10:16">
      <c r="J504" s="5" t="s">
        <v>1855</v>
      </c>
      <c r="K504" t="s">
        <v>1856</v>
      </c>
      <c r="L504" t="s">
        <v>31</v>
      </c>
      <c r="M504" t="s">
        <v>1931</v>
      </c>
      <c r="N504" s="2">
        <v>187.96940000000001</v>
      </c>
      <c r="O504" s="1">
        <v>4</v>
      </c>
      <c r="P504" s="2">
        <v>375.93880000000001</v>
      </c>
    </row>
    <row r="505" spans="10:16">
      <c r="J505" s="5" t="s">
        <v>1274</v>
      </c>
      <c r="K505" t="s">
        <v>1275</v>
      </c>
      <c r="L505" t="s">
        <v>101</v>
      </c>
      <c r="M505" t="s">
        <v>581</v>
      </c>
      <c r="N505" s="2">
        <v>459.6121</v>
      </c>
      <c r="O505" s="1">
        <v>0.81610000000000005</v>
      </c>
      <c r="P505" s="2">
        <v>375.08943481</v>
      </c>
    </row>
    <row r="506" spans="10:16">
      <c r="J506" s="5" t="s">
        <v>816</v>
      </c>
      <c r="K506" t="s">
        <v>817</v>
      </c>
      <c r="L506" t="s">
        <v>580</v>
      </c>
      <c r="M506" t="s">
        <v>581</v>
      </c>
      <c r="N506" s="2">
        <v>2.6785999999999999</v>
      </c>
      <c r="O506" s="1">
        <v>280</v>
      </c>
      <c r="P506" s="2">
        <v>375.00399999999996</v>
      </c>
    </row>
    <row r="507" spans="10:16">
      <c r="J507" s="5" t="s">
        <v>94</v>
      </c>
      <c r="K507" t="s">
        <v>95</v>
      </c>
      <c r="L507" t="s">
        <v>31</v>
      </c>
      <c r="M507" t="s">
        <v>1931</v>
      </c>
      <c r="N507" s="2">
        <v>373.37</v>
      </c>
      <c r="O507" s="1">
        <v>1</v>
      </c>
      <c r="P507" s="2">
        <v>373.37</v>
      </c>
    </row>
    <row r="508" spans="10:16">
      <c r="J508" s="5" t="s">
        <v>1837</v>
      </c>
      <c r="K508" t="s">
        <v>1838</v>
      </c>
      <c r="L508" t="s">
        <v>31</v>
      </c>
      <c r="M508" t="s">
        <v>1931</v>
      </c>
      <c r="N508" s="2">
        <v>1.4359999999999999</v>
      </c>
      <c r="O508" s="1">
        <v>260</v>
      </c>
      <c r="P508" s="2">
        <v>373.36</v>
      </c>
    </row>
    <row r="509" spans="10:16">
      <c r="J509" s="5" t="s">
        <v>2581</v>
      </c>
      <c r="K509" t="s">
        <v>2582</v>
      </c>
      <c r="L509" t="s">
        <v>5474</v>
      </c>
      <c r="M509" t="s">
        <v>125</v>
      </c>
      <c r="N509" s="2">
        <v>9.1059999999999999</v>
      </c>
      <c r="O509" s="1">
        <v>41</v>
      </c>
      <c r="P509" s="2">
        <v>373.346</v>
      </c>
    </row>
    <row r="510" spans="10:16">
      <c r="J510" s="5" t="s">
        <v>4871</v>
      </c>
      <c r="K510" t="s">
        <v>2518</v>
      </c>
      <c r="L510" t="s">
        <v>2095</v>
      </c>
      <c r="M510" t="s">
        <v>86</v>
      </c>
      <c r="N510" s="2">
        <v>371.6474</v>
      </c>
      <c r="O510" s="1">
        <v>2</v>
      </c>
      <c r="P510" s="2">
        <v>371.6474</v>
      </c>
    </row>
    <row r="511" spans="10:16">
      <c r="J511" s="5" t="s">
        <v>293</v>
      </c>
      <c r="K511" t="s">
        <v>294</v>
      </c>
      <c r="L511" t="s">
        <v>228</v>
      </c>
      <c r="M511" t="s">
        <v>86</v>
      </c>
      <c r="N511" s="2">
        <v>73.957400000000007</v>
      </c>
      <c r="O511" s="1">
        <v>10</v>
      </c>
      <c r="P511" s="2">
        <v>369.78700000000003</v>
      </c>
    </row>
    <row r="512" spans="10:16">
      <c r="J512" s="5" t="s">
        <v>4818</v>
      </c>
      <c r="K512" t="s">
        <v>4819</v>
      </c>
      <c r="L512" t="s">
        <v>219</v>
      </c>
      <c r="M512" t="s">
        <v>86</v>
      </c>
      <c r="N512" s="2">
        <v>92.31</v>
      </c>
      <c r="O512" s="1">
        <v>4</v>
      </c>
      <c r="P512" s="2">
        <v>369.24</v>
      </c>
    </row>
    <row r="513" spans="10:16">
      <c r="J513" s="5" t="s">
        <v>4273</v>
      </c>
      <c r="K513" t="s">
        <v>4274</v>
      </c>
      <c r="L513" t="s">
        <v>85</v>
      </c>
      <c r="M513" t="s">
        <v>86</v>
      </c>
      <c r="N513" s="2">
        <v>6.0965999999999996</v>
      </c>
      <c r="O513" s="1">
        <v>120</v>
      </c>
      <c r="P513" s="2">
        <v>365.79599999999999</v>
      </c>
    </row>
    <row r="514" spans="10:16">
      <c r="J514" s="5" t="s">
        <v>4807</v>
      </c>
      <c r="K514" t="s">
        <v>4808</v>
      </c>
      <c r="L514" t="s">
        <v>219</v>
      </c>
      <c r="M514" t="s">
        <v>86</v>
      </c>
      <c r="N514" s="2">
        <v>120.905</v>
      </c>
      <c r="O514" s="1">
        <v>6</v>
      </c>
      <c r="P514" s="2">
        <v>362.71500000000003</v>
      </c>
    </row>
    <row r="515" spans="10:16">
      <c r="J515" s="5" t="s">
        <v>1857</v>
      </c>
      <c r="K515" t="s">
        <v>1858</v>
      </c>
      <c r="L515" t="s">
        <v>31</v>
      </c>
      <c r="M515" t="s">
        <v>1931</v>
      </c>
      <c r="N515" s="2">
        <v>362.03</v>
      </c>
      <c r="O515" s="1">
        <v>1</v>
      </c>
      <c r="P515" s="2">
        <v>362.03</v>
      </c>
    </row>
    <row r="516" spans="10:16">
      <c r="J516" s="5" t="s">
        <v>1265</v>
      </c>
      <c r="K516" t="s">
        <v>1266</v>
      </c>
      <c r="L516" t="s">
        <v>101</v>
      </c>
      <c r="M516" t="s">
        <v>581</v>
      </c>
      <c r="N516" s="2">
        <v>1.56</v>
      </c>
      <c r="O516" s="1">
        <v>231</v>
      </c>
      <c r="P516" s="2">
        <v>360.36</v>
      </c>
    </row>
    <row r="517" spans="10:16">
      <c r="J517" s="5" t="s">
        <v>1228</v>
      </c>
      <c r="K517" t="s">
        <v>1229</v>
      </c>
      <c r="L517" t="s">
        <v>31</v>
      </c>
      <c r="M517" t="s">
        <v>1931</v>
      </c>
      <c r="N517" s="2">
        <v>359.55</v>
      </c>
      <c r="O517" s="1">
        <v>1</v>
      </c>
      <c r="P517" s="2">
        <v>359.55</v>
      </c>
    </row>
    <row r="518" spans="10:16">
      <c r="J518" s="5" t="s">
        <v>775</v>
      </c>
      <c r="K518" t="s">
        <v>776</v>
      </c>
      <c r="L518" t="s">
        <v>618</v>
      </c>
      <c r="M518" t="s">
        <v>711</v>
      </c>
      <c r="N518" s="2">
        <v>59.833100000000002</v>
      </c>
      <c r="O518" s="1">
        <v>6</v>
      </c>
      <c r="P518" s="2">
        <v>358.99860000000001</v>
      </c>
    </row>
    <row r="519" spans="10:16">
      <c r="J519" s="5" t="s">
        <v>297</v>
      </c>
      <c r="K519" t="s">
        <v>298</v>
      </c>
      <c r="L519" t="s">
        <v>228</v>
      </c>
      <c r="M519" t="s">
        <v>86</v>
      </c>
      <c r="N519" s="2">
        <v>179.3486</v>
      </c>
      <c r="O519" s="1">
        <v>2</v>
      </c>
      <c r="P519" s="2">
        <v>358.69720000000001</v>
      </c>
    </row>
    <row r="520" spans="10:16">
      <c r="J520" s="5" t="s">
        <v>465</v>
      </c>
      <c r="K520" t="s">
        <v>466</v>
      </c>
      <c r="L520" t="s">
        <v>467</v>
      </c>
      <c r="M520" t="s">
        <v>86</v>
      </c>
      <c r="N520" s="2">
        <v>356.21089999999998</v>
      </c>
      <c r="O520" s="1">
        <v>1</v>
      </c>
      <c r="P520" s="2">
        <v>356.21089999999998</v>
      </c>
    </row>
    <row r="521" spans="10:16">
      <c r="J521" s="5" t="s">
        <v>1365</v>
      </c>
      <c r="K521" t="s">
        <v>1366</v>
      </c>
      <c r="L521" t="s">
        <v>101</v>
      </c>
      <c r="M521" t="s">
        <v>581</v>
      </c>
      <c r="N521" s="2">
        <v>930</v>
      </c>
      <c r="O521" s="1">
        <v>0.38250000000000001</v>
      </c>
      <c r="P521" s="2">
        <v>355.72500000000002</v>
      </c>
    </row>
    <row r="522" spans="10:16">
      <c r="J522" s="5" t="s">
        <v>3402</v>
      </c>
      <c r="K522" t="s">
        <v>3403</v>
      </c>
      <c r="L522" t="s">
        <v>141</v>
      </c>
      <c r="M522" t="s">
        <v>125</v>
      </c>
      <c r="N522" s="2">
        <v>44.420999999999999</v>
      </c>
      <c r="O522" s="1">
        <v>8</v>
      </c>
      <c r="P522" s="2">
        <v>355.36799999999999</v>
      </c>
    </row>
    <row r="523" spans="10:16">
      <c r="J523" s="5" t="s">
        <v>5464</v>
      </c>
      <c r="K523" t="s">
        <v>2535</v>
      </c>
      <c r="L523" t="s">
        <v>3375</v>
      </c>
      <c r="M523" t="s">
        <v>125</v>
      </c>
      <c r="N523" s="2">
        <v>88.711600000000004</v>
      </c>
      <c r="O523" s="1">
        <v>8</v>
      </c>
      <c r="P523" s="2">
        <v>354.84640000000002</v>
      </c>
    </row>
    <row r="524" spans="10:16">
      <c r="J524" s="5" t="s">
        <v>185</v>
      </c>
      <c r="K524" t="s">
        <v>186</v>
      </c>
      <c r="L524" t="s">
        <v>187</v>
      </c>
      <c r="M524" t="s">
        <v>125</v>
      </c>
      <c r="N524" s="2">
        <v>70.819000000000003</v>
      </c>
      <c r="O524" s="1">
        <v>5</v>
      </c>
      <c r="P524" s="2">
        <v>354.09500000000003</v>
      </c>
    </row>
    <row r="525" spans="10:16">
      <c r="J525" s="5" t="s">
        <v>1047</v>
      </c>
      <c r="K525" t="s">
        <v>1048</v>
      </c>
      <c r="L525" t="s">
        <v>128</v>
      </c>
      <c r="M525" t="s">
        <v>125</v>
      </c>
      <c r="N525" s="2">
        <v>70.521000000000001</v>
      </c>
      <c r="O525" s="1">
        <v>5</v>
      </c>
      <c r="P525" s="2">
        <v>352.60500000000002</v>
      </c>
    </row>
    <row r="526" spans="10:16">
      <c r="J526" s="5" t="s">
        <v>5177</v>
      </c>
      <c r="K526" t="s">
        <v>5178</v>
      </c>
      <c r="L526" t="s">
        <v>3304</v>
      </c>
      <c r="M526" t="s">
        <v>1931</v>
      </c>
      <c r="N526" s="2">
        <v>117.26</v>
      </c>
      <c r="O526" s="1">
        <v>3</v>
      </c>
      <c r="P526" s="2">
        <v>351.78000000000003</v>
      </c>
    </row>
    <row r="527" spans="10:16">
      <c r="J527" s="5" t="s">
        <v>4060</v>
      </c>
      <c r="K527" t="s">
        <v>4061</v>
      </c>
      <c r="L527" t="s">
        <v>228</v>
      </c>
      <c r="M527" t="s">
        <v>86</v>
      </c>
      <c r="N527" s="2">
        <v>24.986999999999998</v>
      </c>
      <c r="O527" s="1">
        <v>28</v>
      </c>
      <c r="P527" s="2">
        <v>349.81799999999998</v>
      </c>
    </row>
    <row r="528" spans="10:16">
      <c r="J528" s="5" t="s">
        <v>3704</v>
      </c>
      <c r="K528" t="s">
        <v>3705</v>
      </c>
      <c r="L528" t="s">
        <v>85</v>
      </c>
      <c r="M528" t="s">
        <v>86</v>
      </c>
      <c r="N528" s="2">
        <v>11.226699999999999</v>
      </c>
      <c r="O528" s="1">
        <v>31</v>
      </c>
      <c r="P528" s="2">
        <v>348.02769999999998</v>
      </c>
    </row>
    <row r="529" spans="10:16">
      <c r="J529" s="5" t="s">
        <v>893</v>
      </c>
      <c r="K529" t="s">
        <v>5124</v>
      </c>
      <c r="L529" t="s">
        <v>944</v>
      </c>
      <c r="M529" t="s">
        <v>125</v>
      </c>
      <c r="N529" s="2">
        <v>347.19900000000001</v>
      </c>
      <c r="O529" s="1">
        <v>1</v>
      </c>
      <c r="P529" s="2">
        <v>347.19900000000001</v>
      </c>
    </row>
    <row r="530" spans="10:16">
      <c r="J530" s="5" t="s">
        <v>2703</v>
      </c>
      <c r="K530" t="s">
        <v>2704</v>
      </c>
      <c r="L530" t="s">
        <v>1119</v>
      </c>
      <c r="M530" t="s">
        <v>125</v>
      </c>
      <c r="N530" s="2">
        <v>57.741399999999999</v>
      </c>
      <c r="O530" s="1">
        <v>12</v>
      </c>
      <c r="P530" s="2">
        <v>346.44839999999999</v>
      </c>
    </row>
    <row r="531" spans="10:16">
      <c r="J531" s="5" t="s">
        <v>2641</v>
      </c>
      <c r="K531" t="s">
        <v>2642</v>
      </c>
      <c r="L531" t="s">
        <v>5474</v>
      </c>
      <c r="M531" t="s">
        <v>125</v>
      </c>
      <c r="N531" s="2">
        <v>20.25</v>
      </c>
      <c r="O531" s="1">
        <v>17</v>
      </c>
      <c r="P531" s="2">
        <v>344.25</v>
      </c>
    </row>
    <row r="532" spans="10:16">
      <c r="J532" s="5" t="s">
        <v>3916</v>
      </c>
      <c r="K532" t="s">
        <v>3917</v>
      </c>
      <c r="L532" t="s">
        <v>98</v>
      </c>
      <c r="M532" t="s">
        <v>86</v>
      </c>
      <c r="N532" s="2">
        <v>8.8035999999999994</v>
      </c>
      <c r="O532" s="1">
        <v>78</v>
      </c>
      <c r="P532" s="2">
        <v>343.34039999999999</v>
      </c>
    </row>
    <row r="533" spans="10:16">
      <c r="J533" s="5" t="s">
        <v>574</v>
      </c>
      <c r="K533" t="s">
        <v>575</v>
      </c>
      <c r="L533" t="s">
        <v>580</v>
      </c>
      <c r="M533" t="s">
        <v>581</v>
      </c>
      <c r="N533" s="2">
        <v>10.722099999999999</v>
      </c>
      <c r="O533" s="1">
        <v>32</v>
      </c>
      <c r="P533" s="2">
        <v>343.10719999999998</v>
      </c>
    </row>
    <row r="534" spans="10:16">
      <c r="J534" s="5" t="s">
        <v>2259</v>
      </c>
      <c r="K534" t="s">
        <v>5365</v>
      </c>
      <c r="L534" t="s">
        <v>85</v>
      </c>
      <c r="M534" t="s">
        <v>86</v>
      </c>
      <c r="N534" s="2">
        <v>10.361000000000001</v>
      </c>
      <c r="O534" s="1">
        <v>33</v>
      </c>
      <c r="P534" s="2">
        <v>341.91300000000001</v>
      </c>
    </row>
    <row r="535" spans="10:16">
      <c r="J535" s="5" t="s">
        <v>2633</v>
      </c>
      <c r="K535" t="s">
        <v>2634</v>
      </c>
      <c r="L535" t="s">
        <v>5474</v>
      </c>
      <c r="M535" t="s">
        <v>125</v>
      </c>
      <c r="N535" s="2">
        <v>169.48</v>
      </c>
      <c r="O535" s="1">
        <v>2</v>
      </c>
      <c r="P535" s="2">
        <v>338.96</v>
      </c>
    </row>
    <row r="536" spans="10:16">
      <c r="J536" s="5" t="s">
        <v>475</v>
      </c>
      <c r="K536" t="s">
        <v>4612</v>
      </c>
      <c r="L536" t="s">
        <v>476</v>
      </c>
      <c r="M536" t="s">
        <v>86</v>
      </c>
      <c r="N536" s="2">
        <v>42.16</v>
      </c>
      <c r="O536" s="1">
        <v>16</v>
      </c>
      <c r="P536" s="2">
        <v>337.28</v>
      </c>
    </row>
    <row r="537" spans="10:16">
      <c r="J537" s="5" t="s">
        <v>2903</v>
      </c>
      <c r="K537" t="s">
        <v>3969</v>
      </c>
      <c r="L537" t="s">
        <v>85</v>
      </c>
      <c r="M537" t="s">
        <v>86</v>
      </c>
      <c r="N537" s="2">
        <v>18.7254</v>
      </c>
      <c r="O537" s="1">
        <v>18</v>
      </c>
      <c r="P537" s="2">
        <v>337.05720000000002</v>
      </c>
    </row>
    <row r="538" spans="10:16">
      <c r="J538" s="5" t="s">
        <v>997</v>
      </c>
      <c r="K538" t="s">
        <v>998</v>
      </c>
      <c r="L538" t="s">
        <v>580</v>
      </c>
      <c r="M538" t="s">
        <v>619</v>
      </c>
      <c r="N538" s="2">
        <v>22.457000000000001</v>
      </c>
      <c r="O538" s="1">
        <v>15</v>
      </c>
      <c r="P538" s="2">
        <v>336.85500000000002</v>
      </c>
    </row>
    <row r="539" spans="10:16">
      <c r="J539" s="5" t="s">
        <v>1926</v>
      </c>
      <c r="K539" t="s">
        <v>1927</v>
      </c>
      <c r="L539" t="s">
        <v>31</v>
      </c>
      <c r="M539" t="s">
        <v>1931</v>
      </c>
      <c r="N539" s="2">
        <v>336.61</v>
      </c>
      <c r="O539" s="1">
        <v>1</v>
      </c>
      <c r="P539" s="2">
        <v>336.61</v>
      </c>
    </row>
    <row r="540" spans="10:16">
      <c r="J540" s="5" t="s">
        <v>2019</v>
      </c>
      <c r="K540" t="s">
        <v>2020</v>
      </c>
      <c r="L540" t="s">
        <v>580</v>
      </c>
      <c r="M540" t="s">
        <v>619</v>
      </c>
      <c r="N540" s="2">
        <v>6.1135000000000002</v>
      </c>
      <c r="O540" s="1">
        <v>55</v>
      </c>
      <c r="P540" s="2">
        <v>336.24250000000001</v>
      </c>
    </row>
    <row r="541" spans="10:16">
      <c r="J541" s="5" t="s">
        <v>2519</v>
      </c>
      <c r="K541" t="s">
        <v>2520</v>
      </c>
      <c r="L541" t="s">
        <v>89</v>
      </c>
      <c r="M541" t="s">
        <v>86</v>
      </c>
      <c r="N541" s="2">
        <v>335.89260000000002</v>
      </c>
      <c r="O541" s="1">
        <v>1</v>
      </c>
      <c r="P541" s="2">
        <v>335.89260000000002</v>
      </c>
    </row>
    <row r="542" spans="10:16">
      <c r="J542" s="5" t="s">
        <v>3196</v>
      </c>
      <c r="K542" t="s">
        <v>3197</v>
      </c>
      <c r="L542" t="s">
        <v>141</v>
      </c>
      <c r="M542" t="s">
        <v>125</v>
      </c>
      <c r="N542" s="2">
        <v>47.871000000000002</v>
      </c>
      <c r="O542" s="1">
        <v>14</v>
      </c>
      <c r="P542" s="2">
        <v>335.09700000000004</v>
      </c>
    </row>
    <row r="543" spans="10:16">
      <c r="J543" s="5" t="s">
        <v>2938</v>
      </c>
      <c r="K543" t="s">
        <v>2939</v>
      </c>
      <c r="L543" t="s">
        <v>85</v>
      </c>
      <c r="M543" t="s">
        <v>86</v>
      </c>
      <c r="N543" s="2">
        <v>66.817999999999998</v>
      </c>
      <c r="O543" s="1">
        <v>5</v>
      </c>
      <c r="P543" s="2">
        <v>334.09</v>
      </c>
    </row>
    <row r="544" spans="10:16">
      <c r="J544" s="5" t="s">
        <v>1501</v>
      </c>
      <c r="K544" t="s">
        <v>1502</v>
      </c>
      <c r="L544" t="s">
        <v>115</v>
      </c>
      <c r="M544" t="s">
        <v>102</v>
      </c>
      <c r="N544" s="2">
        <v>0.15040000000000001</v>
      </c>
      <c r="O544" s="1">
        <v>2208</v>
      </c>
      <c r="P544" s="2">
        <v>332.08320000000003</v>
      </c>
    </row>
    <row r="545" spans="10:16">
      <c r="J545" s="5" t="s">
        <v>5148</v>
      </c>
      <c r="K545" t="s">
        <v>5149</v>
      </c>
      <c r="L545" t="s">
        <v>128</v>
      </c>
      <c r="M545" t="s">
        <v>125</v>
      </c>
      <c r="N545" s="2">
        <v>66.37</v>
      </c>
      <c r="O545" s="1">
        <v>5</v>
      </c>
      <c r="P545" s="2">
        <v>331.85</v>
      </c>
    </row>
    <row r="546" spans="10:16">
      <c r="J546" s="5" t="s">
        <v>1491</v>
      </c>
      <c r="K546" t="s">
        <v>1492</v>
      </c>
      <c r="L546" t="s">
        <v>115</v>
      </c>
      <c r="M546" t="s">
        <v>102</v>
      </c>
      <c r="N546" s="2">
        <v>0.14360000000000001</v>
      </c>
      <c r="O546" s="1">
        <v>2300</v>
      </c>
      <c r="P546" s="2">
        <v>330.28000000000003</v>
      </c>
    </row>
    <row r="547" spans="10:16">
      <c r="J547" s="5" t="s">
        <v>4914</v>
      </c>
      <c r="K547" t="s">
        <v>4915</v>
      </c>
      <c r="L547" t="s">
        <v>85</v>
      </c>
      <c r="M547" t="s">
        <v>86</v>
      </c>
      <c r="N547" s="2">
        <v>3.8826000000000001</v>
      </c>
      <c r="O547" s="1">
        <v>170</v>
      </c>
      <c r="P547" s="2">
        <v>330.02100000000002</v>
      </c>
    </row>
    <row r="548" spans="10:16">
      <c r="J548" s="5" t="s">
        <v>2723</v>
      </c>
      <c r="K548" t="s">
        <v>3483</v>
      </c>
      <c r="L548" t="s">
        <v>85</v>
      </c>
      <c r="M548" t="s">
        <v>86</v>
      </c>
      <c r="N548" s="2">
        <v>109.913</v>
      </c>
      <c r="O548" s="1">
        <v>3</v>
      </c>
      <c r="P548" s="2">
        <v>329.73899999999998</v>
      </c>
    </row>
    <row r="549" spans="10:16">
      <c r="J549" s="5" t="s">
        <v>4613</v>
      </c>
      <c r="K549" t="s">
        <v>4614</v>
      </c>
      <c r="L549" t="s">
        <v>98</v>
      </c>
      <c r="M549" t="s">
        <v>86</v>
      </c>
      <c r="N549" s="2">
        <v>15.5884</v>
      </c>
      <c r="O549" s="1">
        <v>42</v>
      </c>
      <c r="P549" s="2">
        <v>327.35640000000001</v>
      </c>
    </row>
    <row r="550" spans="10:16">
      <c r="J550" s="5" t="s">
        <v>3047</v>
      </c>
      <c r="K550" t="s">
        <v>4485</v>
      </c>
      <c r="L550" t="s">
        <v>85</v>
      </c>
      <c r="M550" t="s">
        <v>86</v>
      </c>
      <c r="N550" s="2">
        <v>10.9054</v>
      </c>
      <c r="O550" s="1">
        <v>60</v>
      </c>
      <c r="P550" s="2">
        <v>327.16200000000003</v>
      </c>
    </row>
    <row r="551" spans="10:16">
      <c r="J551" s="5" t="s">
        <v>612</v>
      </c>
      <c r="K551" t="s">
        <v>613</v>
      </c>
      <c r="L551" t="s">
        <v>476</v>
      </c>
      <c r="M551" t="s">
        <v>86</v>
      </c>
      <c r="N551" s="2">
        <v>3.28</v>
      </c>
      <c r="O551" s="1">
        <v>99.73</v>
      </c>
      <c r="P551" s="2">
        <v>327.11439999999999</v>
      </c>
    </row>
    <row r="552" spans="10:16">
      <c r="J552" s="5" t="s">
        <v>1989</v>
      </c>
      <c r="K552" t="s">
        <v>1990</v>
      </c>
      <c r="L552" t="s">
        <v>101</v>
      </c>
      <c r="M552" t="s">
        <v>102</v>
      </c>
      <c r="N552" s="2">
        <v>0.86</v>
      </c>
      <c r="O552" s="1">
        <v>379</v>
      </c>
      <c r="P552" s="2">
        <v>325.94</v>
      </c>
    </row>
    <row r="553" spans="10:16">
      <c r="J553" s="5" t="s">
        <v>4050</v>
      </c>
      <c r="K553" t="s">
        <v>4051</v>
      </c>
      <c r="L553" t="s">
        <v>85</v>
      </c>
      <c r="M553" t="s">
        <v>86</v>
      </c>
      <c r="N553" s="2">
        <v>32.561999999999998</v>
      </c>
      <c r="O553" s="1">
        <v>10</v>
      </c>
      <c r="P553" s="2">
        <v>325.62</v>
      </c>
    </row>
    <row r="554" spans="10:16">
      <c r="J554" s="5" t="s">
        <v>1497</v>
      </c>
      <c r="K554" t="s">
        <v>1498</v>
      </c>
      <c r="L554" t="s">
        <v>115</v>
      </c>
      <c r="M554" t="s">
        <v>102</v>
      </c>
      <c r="N554" s="2">
        <v>7.7399999999999997E-2</v>
      </c>
      <c r="O554" s="1">
        <v>4200</v>
      </c>
      <c r="P554" s="2">
        <v>325.08</v>
      </c>
    </row>
    <row r="555" spans="10:16">
      <c r="J555" s="5" t="s">
        <v>3092</v>
      </c>
      <c r="K555" t="s">
        <v>3093</v>
      </c>
      <c r="L555" t="s">
        <v>219</v>
      </c>
      <c r="M555" t="s">
        <v>86</v>
      </c>
      <c r="N555" s="2">
        <v>20.269400000000001</v>
      </c>
      <c r="O555" s="1">
        <v>16</v>
      </c>
      <c r="P555" s="2">
        <v>324.31040000000002</v>
      </c>
    </row>
    <row r="556" spans="10:16">
      <c r="J556" s="5" t="s">
        <v>4278</v>
      </c>
      <c r="K556" t="s">
        <v>4279</v>
      </c>
      <c r="L556" t="s">
        <v>85</v>
      </c>
      <c r="M556" t="s">
        <v>86</v>
      </c>
      <c r="N556" s="2">
        <v>6.3544</v>
      </c>
      <c r="O556" s="1">
        <v>102</v>
      </c>
      <c r="P556" s="2">
        <v>324.07440000000003</v>
      </c>
    </row>
    <row r="557" spans="10:16">
      <c r="J557" s="5" t="s">
        <v>3074</v>
      </c>
      <c r="K557" t="s">
        <v>4673</v>
      </c>
      <c r="L557" t="s">
        <v>85</v>
      </c>
      <c r="M557" t="s">
        <v>86</v>
      </c>
      <c r="N557" s="2">
        <v>64.69</v>
      </c>
      <c r="O557" s="1">
        <v>5</v>
      </c>
      <c r="P557" s="2">
        <v>323.45</v>
      </c>
    </row>
    <row r="558" spans="10:16">
      <c r="J558" s="5" t="s">
        <v>134</v>
      </c>
      <c r="K558" t="s">
        <v>135</v>
      </c>
      <c r="L558" t="s">
        <v>136</v>
      </c>
      <c r="M558" t="s">
        <v>125</v>
      </c>
      <c r="N558" s="2">
        <v>321.99</v>
      </c>
      <c r="O558" s="1">
        <v>1</v>
      </c>
      <c r="P558" s="2">
        <v>321.99</v>
      </c>
    </row>
    <row r="559" spans="10:16">
      <c r="J559" s="5" t="s">
        <v>545</v>
      </c>
      <c r="K559" t="s">
        <v>546</v>
      </c>
      <c r="L559" t="s">
        <v>219</v>
      </c>
      <c r="M559" t="s">
        <v>86</v>
      </c>
      <c r="N559" s="2">
        <v>7.8381999999999996</v>
      </c>
      <c r="O559" s="1">
        <v>82</v>
      </c>
      <c r="P559" s="2">
        <v>321.36619999999999</v>
      </c>
    </row>
    <row r="560" spans="10:16">
      <c r="J560" s="5" t="s">
        <v>5270</v>
      </c>
      <c r="K560" t="s">
        <v>5271</v>
      </c>
      <c r="L560" t="s">
        <v>263</v>
      </c>
      <c r="M560" t="s">
        <v>86</v>
      </c>
      <c r="N560" s="2">
        <v>1.0636000000000001</v>
      </c>
      <c r="O560" s="1">
        <v>604</v>
      </c>
      <c r="P560" s="2">
        <v>321.20720000000006</v>
      </c>
    </row>
    <row r="561" spans="10:16">
      <c r="J561" s="5" t="s">
        <v>3160</v>
      </c>
      <c r="K561" t="s">
        <v>3161</v>
      </c>
      <c r="L561" t="s">
        <v>85</v>
      </c>
      <c r="M561" t="s">
        <v>86</v>
      </c>
      <c r="N561" s="2">
        <v>21.413</v>
      </c>
      <c r="O561" s="1">
        <v>30</v>
      </c>
      <c r="P561" s="2">
        <v>321.19499999999999</v>
      </c>
    </row>
    <row r="562" spans="10:16">
      <c r="J562" s="5" t="s">
        <v>394</v>
      </c>
      <c r="K562" t="s">
        <v>395</v>
      </c>
      <c r="L562" t="s">
        <v>85</v>
      </c>
      <c r="M562" t="s">
        <v>86</v>
      </c>
      <c r="N562" s="2">
        <v>8.8427000000000007</v>
      </c>
      <c r="O562" s="1">
        <v>36</v>
      </c>
      <c r="P562" s="2">
        <v>318.33720000000005</v>
      </c>
    </row>
    <row r="563" spans="10:16">
      <c r="J563" s="5" t="s">
        <v>2079</v>
      </c>
      <c r="K563" t="s">
        <v>2080</v>
      </c>
      <c r="L563" t="s">
        <v>31</v>
      </c>
      <c r="M563" t="s">
        <v>1931</v>
      </c>
      <c r="N563" s="2">
        <v>318</v>
      </c>
      <c r="O563" s="1">
        <v>1</v>
      </c>
      <c r="P563" s="2">
        <v>318</v>
      </c>
    </row>
    <row r="564" spans="10:16">
      <c r="J564" s="5" t="s">
        <v>2106</v>
      </c>
      <c r="K564" t="s">
        <v>2107</v>
      </c>
      <c r="L564" t="s">
        <v>31</v>
      </c>
      <c r="M564" t="s">
        <v>1931</v>
      </c>
      <c r="N564" s="2">
        <v>318</v>
      </c>
      <c r="O564" s="1">
        <v>1</v>
      </c>
      <c r="P564" s="2">
        <v>318</v>
      </c>
    </row>
    <row r="565" spans="10:16">
      <c r="J565" s="5" t="s">
        <v>4816</v>
      </c>
      <c r="K565" t="s">
        <v>4817</v>
      </c>
      <c r="L565" t="s">
        <v>85</v>
      </c>
      <c r="M565" t="s">
        <v>86</v>
      </c>
      <c r="N565" s="2">
        <v>105.61620000000001</v>
      </c>
      <c r="O565" s="1">
        <v>6</v>
      </c>
      <c r="P565" s="2">
        <v>316.84860000000003</v>
      </c>
    </row>
    <row r="566" spans="10:16">
      <c r="J566" s="5" t="s">
        <v>846</v>
      </c>
      <c r="K566" t="s">
        <v>847</v>
      </c>
      <c r="L566" t="s">
        <v>618</v>
      </c>
      <c r="M566" t="s">
        <v>626</v>
      </c>
      <c r="N566" s="2">
        <v>15.7826</v>
      </c>
      <c r="O566" s="1">
        <v>40</v>
      </c>
      <c r="P566" s="2">
        <v>315.65199999999999</v>
      </c>
    </row>
    <row r="567" spans="10:16">
      <c r="J567" s="5" t="s">
        <v>2826</v>
      </c>
      <c r="K567" t="s">
        <v>2827</v>
      </c>
      <c r="L567" t="s">
        <v>85</v>
      </c>
      <c r="M567" t="s">
        <v>86</v>
      </c>
      <c r="N567" s="2">
        <v>45.029000000000003</v>
      </c>
      <c r="O567" s="1">
        <v>7</v>
      </c>
      <c r="P567" s="2">
        <v>315.20300000000003</v>
      </c>
    </row>
    <row r="568" spans="10:16">
      <c r="J568" s="5" t="s">
        <v>673</v>
      </c>
      <c r="K568" t="s">
        <v>674</v>
      </c>
      <c r="L568" t="s">
        <v>31</v>
      </c>
      <c r="M568" t="s">
        <v>1931</v>
      </c>
      <c r="N568" s="2">
        <v>104.7</v>
      </c>
      <c r="O568" s="1">
        <v>3</v>
      </c>
      <c r="P568" s="2">
        <v>314.10000000000002</v>
      </c>
    </row>
    <row r="569" spans="10:16">
      <c r="J569" s="5" t="s">
        <v>5013</v>
      </c>
      <c r="K569" t="s">
        <v>5014</v>
      </c>
      <c r="L569" t="s">
        <v>219</v>
      </c>
      <c r="M569" t="s">
        <v>86</v>
      </c>
      <c r="N569" s="2">
        <v>6.6782000000000004</v>
      </c>
      <c r="O569" s="1">
        <v>94</v>
      </c>
      <c r="P569" s="2">
        <v>313.87540000000001</v>
      </c>
    </row>
    <row r="570" spans="10:16">
      <c r="J570" s="5" t="s">
        <v>763</v>
      </c>
      <c r="K570" t="s">
        <v>764</v>
      </c>
      <c r="L570" t="s">
        <v>580</v>
      </c>
      <c r="M570" t="s">
        <v>581</v>
      </c>
      <c r="N570" s="2">
        <v>3.2938000000000001</v>
      </c>
      <c r="O570" s="1">
        <v>95</v>
      </c>
      <c r="P570" s="2">
        <v>312.911</v>
      </c>
    </row>
    <row r="571" spans="10:16">
      <c r="J571" s="5" t="s">
        <v>1025</v>
      </c>
      <c r="K571" t="s">
        <v>1026</v>
      </c>
      <c r="L571" t="s">
        <v>31</v>
      </c>
      <c r="M571" t="s">
        <v>1931</v>
      </c>
      <c r="N571" s="2">
        <v>103.76</v>
      </c>
      <c r="O571" s="1">
        <v>3</v>
      </c>
      <c r="P571" s="2">
        <v>311.28000000000003</v>
      </c>
    </row>
    <row r="572" spans="10:16">
      <c r="J572" s="5" t="s">
        <v>4582</v>
      </c>
      <c r="K572" t="s">
        <v>4583</v>
      </c>
      <c r="L572" t="s">
        <v>85</v>
      </c>
      <c r="M572" t="s">
        <v>86</v>
      </c>
      <c r="N572" s="2">
        <v>22.197800000000001</v>
      </c>
      <c r="O572" s="1">
        <v>28</v>
      </c>
      <c r="P572" s="2">
        <v>310.76920000000001</v>
      </c>
    </row>
    <row r="573" spans="10:16">
      <c r="J573" s="5" t="s">
        <v>2501</v>
      </c>
      <c r="K573" t="s">
        <v>5425</v>
      </c>
      <c r="L573" t="s">
        <v>228</v>
      </c>
      <c r="M573" t="s">
        <v>86</v>
      </c>
      <c r="N573" s="2">
        <v>61.912399999999998</v>
      </c>
      <c r="O573" s="1">
        <v>10</v>
      </c>
      <c r="P573" s="2">
        <v>309.56200000000001</v>
      </c>
    </row>
    <row r="574" spans="10:16">
      <c r="J574" s="5" t="s">
        <v>2626</v>
      </c>
      <c r="K574" t="s">
        <v>2627</v>
      </c>
      <c r="L574" t="s">
        <v>5474</v>
      </c>
      <c r="M574" t="s">
        <v>125</v>
      </c>
      <c r="N574" s="2">
        <v>77.108000000000004</v>
      </c>
      <c r="O574" s="1">
        <v>4</v>
      </c>
      <c r="P574" s="2">
        <v>308.43200000000002</v>
      </c>
    </row>
    <row r="575" spans="10:16">
      <c r="J575" s="5" t="s">
        <v>1672</v>
      </c>
      <c r="K575" t="s">
        <v>1673</v>
      </c>
      <c r="L575" t="s">
        <v>101</v>
      </c>
      <c r="M575" t="s">
        <v>711</v>
      </c>
      <c r="N575" s="2">
        <v>11.4183</v>
      </c>
      <c r="O575" s="1">
        <v>27</v>
      </c>
      <c r="P575" s="2">
        <v>308.29410000000001</v>
      </c>
    </row>
    <row r="576" spans="10:16">
      <c r="J576" s="5" t="s">
        <v>4397</v>
      </c>
      <c r="K576" t="s">
        <v>2340</v>
      </c>
      <c r="L576" t="s">
        <v>85</v>
      </c>
      <c r="M576" t="s">
        <v>86</v>
      </c>
      <c r="N576" s="2">
        <v>38.478999999999999</v>
      </c>
      <c r="O576" s="1">
        <v>8</v>
      </c>
      <c r="P576" s="2">
        <v>307.83199999999999</v>
      </c>
    </row>
    <row r="577" spans="10:16">
      <c r="J577" s="5" t="s">
        <v>5377</v>
      </c>
      <c r="K577" t="s">
        <v>5378</v>
      </c>
      <c r="L577" t="s">
        <v>219</v>
      </c>
      <c r="M577" t="s">
        <v>86</v>
      </c>
      <c r="N577" s="2">
        <v>30.627199999999998</v>
      </c>
      <c r="O577" s="1">
        <v>20</v>
      </c>
      <c r="P577" s="2">
        <v>306.27199999999999</v>
      </c>
    </row>
    <row r="578" spans="10:16">
      <c r="J578" s="5" t="s">
        <v>2507</v>
      </c>
      <c r="K578" t="s">
        <v>2508</v>
      </c>
      <c r="L578" t="s">
        <v>481</v>
      </c>
      <c r="M578" t="s">
        <v>86</v>
      </c>
      <c r="N578" s="2">
        <v>306.08269999999999</v>
      </c>
      <c r="O578" s="1">
        <v>1</v>
      </c>
      <c r="P578" s="2">
        <v>306.08269999999999</v>
      </c>
    </row>
    <row r="579" spans="10:16">
      <c r="J579" s="5" t="s">
        <v>4553</v>
      </c>
      <c r="K579" t="s">
        <v>4554</v>
      </c>
      <c r="L579" t="s">
        <v>85</v>
      </c>
      <c r="M579" t="s">
        <v>86</v>
      </c>
      <c r="N579" s="2">
        <v>17.916899999999998</v>
      </c>
      <c r="O579" s="1">
        <v>17</v>
      </c>
      <c r="P579" s="2">
        <v>304.58729999999997</v>
      </c>
    </row>
    <row r="580" spans="10:16">
      <c r="J580" s="5" t="s">
        <v>844</v>
      </c>
      <c r="K580" t="s">
        <v>845</v>
      </c>
      <c r="L580" t="s">
        <v>580</v>
      </c>
      <c r="M580" t="s">
        <v>581</v>
      </c>
      <c r="N580" s="2">
        <v>9.8119999999999994</v>
      </c>
      <c r="O580" s="1">
        <v>31</v>
      </c>
      <c r="P580" s="2">
        <v>304.17199999999997</v>
      </c>
    </row>
    <row r="581" spans="10:16">
      <c r="J581" s="5" t="s">
        <v>5157</v>
      </c>
      <c r="K581" t="s">
        <v>5158</v>
      </c>
      <c r="L581" t="s">
        <v>141</v>
      </c>
      <c r="M581" t="s">
        <v>125</v>
      </c>
      <c r="N581" s="2">
        <v>150.92339999999999</v>
      </c>
      <c r="O581" s="1">
        <v>4</v>
      </c>
      <c r="P581" s="2">
        <v>301.84679999999997</v>
      </c>
    </row>
    <row r="582" spans="10:16">
      <c r="J582" s="5" t="s">
        <v>1985</v>
      </c>
      <c r="K582" t="s">
        <v>1986</v>
      </c>
      <c r="L582" t="s">
        <v>101</v>
      </c>
      <c r="M582" t="s">
        <v>102</v>
      </c>
      <c r="N582" s="2">
        <v>0.73899999999999999</v>
      </c>
      <c r="O582" s="1">
        <v>406</v>
      </c>
      <c r="P582" s="2">
        <v>300.03399999999999</v>
      </c>
    </row>
    <row r="583" spans="10:16">
      <c r="J583" s="5" t="s">
        <v>3035</v>
      </c>
      <c r="K583" t="s">
        <v>4434</v>
      </c>
      <c r="L583" t="s">
        <v>85</v>
      </c>
      <c r="M583" t="s">
        <v>86</v>
      </c>
      <c r="N583" s="2">
        <v>6.9404000000000003</v>
      </c>
      <c r="O583" s="1">
        <v>86</v>
      </c>
      <c r="P583" s="2">
        <v>298.43720000000002</v>
      </c>
    </row>
    <row r="584" spans="10:16">
      <c r="J584" s="5" t="s">
        <v>2182</v>
      </c>
      <c r="K584" t="s">
        <v>2183</v>
      </c>
      <c r="L584" t="s">
        <v>85</v>
      </c>
      <c r="M584" t="s">
        <v>86</v>
      </c>
      <c r="N584" s="2">
        <v>22.9542</v>
      </c>
      <c r="O584" s="1">
        <v>26</v>
      </c>
      <c r="P584" s="2">
        <v>298.40460000000002</v>
      </c>
    </row>
    <row r="585" spans="10:16">
      <c r="J585" s="5" t="s">
        <v>1636</v>
      </c>
      <c r="K585" t="s">
        <v>1637</v>
      </c>
      <c r="L585" t="s">
        <v>115</v>
      </c>
      <c r="M585" t="s">
        <v>102</v>
      </c>
      <c r="N585" s="2">
        <v>0.19</v>
      </c>
      <c r="O585" s="1">
        <v>1569</v>
      </c>
      <c r="P585" s="2">
        <v>298.11</v>
      </c>
    </row>
    <row r="586" spans="10:16">
      <c r="J586" s="5" t="s">
        <v>757</v>
      </c>
      <c r="K586" t="s">
        <v>758</v>
      </c>
      <c r="L586" t="s">
        <v>580</v>
      </c>
      <c r="M586" t="s">
        <v>734</v>
      </c>
      <c r="N586" s="2">
        <v>2.0674999999999999</v>
      </c>
      <c r="O586" s="1">
        <v>144</v>
      </c>
      <c r="P586" s="2">
        <v>297.71999999999997</v>
      </c>
    </row>
    <row r="587" spans="10:16">
      <c r="J587" s="5" t="s">
        <v>1863</v>
      </c>
      <c r="K587" t="s">
        <v>1864</v>
      </c>
      <c r="L587" t="s">
        <v>1865</v>
      </c>
      <c r="M587" t="s">
        <v>125</v>
      </c>
      <c r="N587" s="2">
        <v>49.315800000000003</v>
      </c>
      <c r="O587" s="1">
        <v>12</v>
      </c>
      <c r="P587" s="2">
        <v>295.89480000000003</v>
      </c>
    </row>
    <row r="588" spans="10:16">
      <c r="J588" s="5" t="s">
        <v>2890</v>
      </c>
      <c r="K588" t="s">
        <v>2891</v>
      </c>
      <c r="L588" t="s">
        <v>263</v>
      </c>
      <c r="M588" t="s">
        <v>86</v>
      </c>
      <c r="N588" s="2">
        <v>36.9816</v>
      </c>
      <c r="O588" s="1">
        <v>16</v>
      </c>
      <c r="P588" s="2">
        <v>295.8528</v>
      </c>
    </row>
    <row r="589" spans="10:16">
      <c r="J589" s="5" t="s">
        <v>4580</v>
      </c>
      <c r="K589" t="s">
        <v>3270</v>
      </c>
      <c r="L589" t="s">
        <v>85</v>
      </c>
      <c r="M589" t="s">
        <v>86</v>
      </c>
      <c r="N589" s="2">
        <v>11.37</v>
      </c>
      <c r="O589" s="1">
        <v>26</v>
      </c>
      <c r="P589" s="2">
        <v>295.62</v>
      </c>
    </row>
    <row r="590" spans="10:16">
      <c r="J590" s="5" t="s">
        <v>1023</v>
      </c>
      <c r="K590" t="s">
        <v>1024</v>
      </c>
      <c r="L590" t="s">
        <v>31</v>
      </c>
      <c r="M590" t="s">
        <v>1931</v>
      </c>
      <c r="N590" s="2">
        <v>58.68</v>
      </c>
      <c r="O590" s="1">
        <v>5</v>
      </c>
      <c r="P590" s="2">
        <v>293.39999999999998</v>
      </c>
    </row>
    <row r="591" spans="10:16">
      <c r="J591" s="5" t="s">
        <v>761</v>
      </c>
      <c r="K591" t="s">
        <v>762</v>
      </c>
      <c r="L591" t="s">
        <v>580</v>
      </c>
      <c r="M591" t="s">
        <v>581</v>
      </c>
      <c r="N591" s="2">
        <v>7.3280000000000003</v>
      </c>
      <c r="O591" s="1">
        <v>40</v>
      </c>
      <c r="P591" s="2">
        <v>293.12</v>
      </c>
    </row>
    <row r="592" spans="10:16">
      <c r="J592" s="5" t="s">
        <v>3306</v>
      </c>
      <c r="K592" t="s">
        <v>3307</v>
      </c>
      <c r="L592" t="s">
        <v>3304</v>
      </c>
      <c r="M592" t="s">
        <v>1931</v>
      </c>
      <c r="N592" s="2">
        <v>146.35</v>
      </c>
      <c r="O592" s="1">
        <v>2</v>
      </c>
      <c r="P592" s="2">
        <v>292.7</v>
      </c>
    </row>
    <row r="593" spans="10:16">
      <c r="J593" s="5" t="s">
        <v>2416</v>
      </c>
      <c r="K593" t="s">
        <v>2417</v>
      </c>
      <c r="L593" t="s">
        <v>85</v>
      </c>
      <c r="M593" t="s">
        <v>86</v>
      </c>
      <c r="N593" s="2">
        <v>28.98</v>
      </c>
      <c r="O593" s="1">
        <v>10</v>
      </c>
      <c r="P593" s="2">
        <v>289.8</v>
      </c>
    </row>
    <row r="594" spans="10:16">
      <c r="J594" s="5" t="s">
        <v>3135</v>
      </c>
      <c r="K594" t="s">
        <v>3136</v>
      </c>
      <c r="L594" t="s">
        <v>85</v>
      </c>
      <c r="M594" t="s">
        <v>86</v>
      </c>
      <c r="N594" s="2">
        <v>2.9815999999999998</v>
      </c>
      <c r="O594" s="1">
        <v>194</v>
      </c>
      <c r="P594" s="2">
        <v>289.21519999999998</v>
      </c>
    </row>
    <row r="595" spans="10:16">
      <c r="J595" s="5" t="s">
        <v>3914</v>
      </c>
      <c r="K595" t="s">
        <v>3915</v>
      </c>
      <c r="L595" t="s">
        <v>98</v>
      </c>
      <c r="M595" t="s">
        <v>86</v>
      </c>
      <c r="N595" s="2">
        <v>22.190200000000001</v>
      </c>
      <c r="O595" s="1">
        <v>26</v>
      </c>
      <c r="P595" s="2">
        <v>288.4726</v>
      </c>
    </row>
    <row r="596" spans="10:16">
      <c r="J596" s="5" t="s">
        <v>3273</v>
      </c>
      <c r="K596" t="s">
        <v>3274</v>
      </c>
      <c r="L596" t="s">
        <v>85</v>
      </c>
      <c r="M596" t="s">
        <v>86</v>
      </c>
      <c r="N596" s="2">
        <v>1.3606</v>
      </c>
      <c r="O596" s="1">
        <v>424</v>
      </c>
      <c r="P596" s="2">
        <v>288.44720000000001</v>
      </c>
    </row>
    <row r="597" spans="10:16">
      <c r="J597" s="5" t="s">
        <v>1495</v>
      </c>
      <c r="K597" t="s">
        <v>1496</v>
      </c>
      <c r="L597" t="s">
        <v>115</v>
      </c>
      <c r="M597" t="s">
        <v>102</v>
      </c>
      <c r="N597" s="2">
        <v>0.1016</v>
      </c>
      <c r="O597" s="1">
        <v>2838</v>
      </c>
      <c r="P597" s="2">
        <v>288.3408</v>
      </c>
    </row>
    <row r="598" spans="10:16">
      <c r="J598" s="5" t="s">
        <v>588</v>
      </c>
      <c r="K598" t="s">
        <v>589</v>
      </c>
      <c r="L598" t="s">
        <v>31</v>
      </c>
      <c r="M598" t="s">
        <v>1931</v>
      </c>
      <c r="N598" s="2">
        <v>36</v>
      </c>
      <c r="O598" s="1">
        <v>8</v>
      </c>
      <c r="P598" s="2">
        <v>288</v>
      </c>
    </row>
    <row r="599" spans="10:16">
      <c r="J599" s="5" t="s">
        <v>156</v>
      </c>
      <c r="K599" t="s">
        <v>157</v>
      </c>
      <c r="L599" t="s">
        <v>128</v>
      </c>
      <c r="M599" t="s">
        <v>125</v>
      </c>
      <c r="N599" s="2">
        <v>17.9222</v>
      </c>
      <c r="O599" s="1">
        <v>32</v>
      </c>
      <c r="P599" s="2">
        <v>286.7552</v>
      </c>
    </row>
    <row r="600" spans="10:16">
      <c r="J600" s="5" t="s">
        <v>4829</v>
      </c>
      <c r="K600" t="s">
        <v>4830</v>
      </c>
      <c r="L600" t="s">
        <v>85</v>
      </c>
      <c r="M600" t="s">
        <v>86</v>
      </c>
      <c r="N600" s="2">
        <v>7.9572000000000003</v>
      </c>
      <c r="O600" s="1">
        <v>36</v>
      </c>
      <c r="P600" s="2">
        <v>286.45920000000001</v>
      </c>
    </row>
    <row r="601" spans="10:16">
      <c r="J601" s="5" t="s">
        <v>1577</v>
      </c>
      <c r="K601" t="s">
        <v>1578</v>
      </c>
      <c r="L601" t="s">
        <v>115</v>
      </c>
      <c r="M601" t="s">
        <v>102</v>
      </c>
      <c r="N601" s="2">
        <v>1.238</v>
      </c>
      <c r="O601" s="1">
        <v>230</v>
      </c>
      <c r="P601" s="2">
        <v>284.74</v>
      </c>
    </row>
    <row r="602" spans="10:16">
      <c r="J602" s="5" t="s">
        <v>2857</v>
      </c>
      <c r="K602" t="s">
        <v>2858</v>
      </c>
      <c r="L602" t="s">
        <v>219</v>
      </c>
      <c r="M602" t="s">
        <v>86</v>
      </c>
      <c r="N602" s="2">
        <v>28.412199999999999</v>
      </c>
      <c r="O602" s="1">
        <v>20</v>
      </c>
      <c r="P602" s="2">
        <v>284.12199999999996</v>
      </c>
    </row>
    <row r="603" spans="10:16">
      <c r="J603" s="5" t="s">
        <v>4424</v>
      </c>
      <c r="K603" t="s">
        <v>4425</v>
      </c>
      <c r="L603" t="s">
        <v>85</v>
      </c>
      <c r="M603" t="s">
        <v>86</v>
      </c>
      <c r="N603" s="2">
        <v>10.910399999999999</v>
      </c>
      <c r="O603" s="1">
        <v>52</v>
      </c>
      <c r="P603" s="2">
        <v>283.67039999999997</v>
      </c>
    </row>
    <row r="604" spans="10:16">
      <c r="J604" s="5" t="s">
        <v>3302</v>
      </c>
      <c r="K604" t="s">
        <v>3303</v>
      </c>
      <c r="L604" t="s">
        <v>3304</v>
      </c>
      <c r="M604" t="s">
        <v>1931</v>
      </c>
      <c r="N604" s="2">
        <v>93.86</v>
      </c>
      <c r="O604" s="1">
        <v>3</v>
      </c>
      <c r="P604" s="2">
        <v>281.58</v>
      </c>
    </row>
    <row r="605" spans="10:16">
      <c r="J605" s="5" t="s">
        <v>2613</v>
      </c>
      <c r="K605" t="s">
        <v>2614</v>
      </c>
      <c r="L605" t="s">
        <v>5479</v>
      </c>
      <c r="M605" t="s">
        <v>125</v>
      </c>
      <c r="N605" s="2">
        <v>281.55200000000002</v>
      </c>
      <c r="O605" s="1">
        <v>1</v>
      </c>
      <c r="P605" s="2">
        <v>281.55200000000002</v>
      </c>
    </row>
    <row r="606" spans="10:16">
      <c r="J606" s="5" t="s">
        <v>1117</v>
      </c>
      <c r="K606" t="s">
        <v>1118</v>
      </c>
      <c r="L606" t="s">
        <v>1119</v>
      </c>
      <c r="M606" t="s">
        <v>125</v>
      </c>
      <c r="N606" s="2">
        <v>46.728000000000002</v>
      </c>
      <c r="O606" s="1">
        <v>12</v>
      </c>
      <c r="P606" s="2">
        <v>280.36799999999999</v>
      </c>
    </row>
    <row r="607" spans="10:16">
      <c r="J607" s="5" t="s">
        <v>1845</v>
      </c>
      <c r="K607" t="s">
        <v>1846</v>
      </c>
      <c r="L607" t="s">
        <v>5279</v>
      </c>
      <c r="M607" t="s">
        <v>125</v>
      </c>
      <c r="N607" s="2">
        <v>40</v>
      </c>
      <c r="O607" s="1">
        <v>7</v>
      </c>
      <c r="P607" s="2">
        <v>280</v>
      </c>
    </row>
    <row r="608" spans="10:16">
      <c r="J608" s="5" t="s">
        <v>5481</v>
      </c>
      <c r="K608" t="s">
        <v>5482</v>
      </c>
      <c r="L608" t="s">
        <v>5474</v>
      </c>
      <c r="M608" t="s">
        <v>125</v>
      </c>
      <c r="N608" s="2">
        <v>69.944199999999995</v>
      </c>
      <c r="O608" s="1">
        <v>8</v>
      </c>
      <c r="P608" s="2">
        <v>279.77679999999998</v>
      </c>
    </row>
    <row r="609" spans="10:16">
      <c r="J609" s="5" t="s">
        <v>132</v>
      </c>
      <c r="K609" t="s">
        <v>133</v>
      </c>
      <c r="L609" t="s">
        <v>131</v>
      </c>
      <c r="M609" t="s">
        <v>125</v>
      </c>
      <c r="N609" s="2">
        <v>139.18</v>
      </c>
      <c r="O609" s="1">
        <v>2</v>
      </c>
      <c r="P609" s="2">
        <v>278.36</v>
      </c>
    </row>
    <row r="610" spans="10:16">
      <c r="J610" s="5" t="s">
        <v>3927</v>
      </c>
      <c r="K610" t="s">
        <v>3852</v>
      </c>
      <c r="L610" t="s">
        <v>98</v>
      </c>
      <c r="M610" t="s">
        <v>86</v>
      </c>
      <c r="N610" s="2">
        <v>19.876200000000001</v>
      </c>
      <c r="O610" s="1">
        <v>28</v>
      </c>
      <c r="P610" s="2">
        <v>278.26679999999999</v>
      </c>
    </row>
    <row r="611" spans="10:16">
      <c r="J611" s="5" t="s">
        <v>4199</v>
      </c>
      <c r="K611" t="s">
        <v>4200</v>
      </c>
      <c r="L611" t="s">
        <v>219</v>
      </c>
      <c r="M611" t="s">
        <v>86</v>
      </c>
      <c r="N611" s="2">
        <v>69.489400000000003</v>
      </c>
      <c r="O611" s="1">
        <v>8</v>
      </c>
      <c r="P611" s="2">
        <v>277.95760000000001</v>
      </c>
    </row>
    <row r="612" spans="10:16">
      <c r="J612" s="5" t="s">
        <v>2981</v>
      </c>
      <c r="K612" t="s">
        <v>2982</v>
      </c>
      <c r="L612" t="s">
        <v>85</v>
      </c>
      <c r="M612" t="s">
        <v>86</v>
      </c>
      <c r="N612" s="2">
        <v>34.627099999999999</v>
      </c>
      <c r="O612" s="1">
        <v>8</v>
      </c>
      <c r="P612" s="2">
        <v>277.01679999999999</v>
      </c>
    </row>
    <row r="613" spans="10:16">
      <c r="J613" s="5" t="s">
        <v>826</v>
      </c>
      <c r="K613" t="s">
        <v>827</v>
      </c>
      <c r="L613" t="s">
        <v>618</v>
      </c>
      <c r="M613" t="s">
        <v>626</v>
      </c>
      <c r="N613" s="2">
        <v>1.8182</v>
      </c>
      <c r="O613" s="1">
        <v>304</v>
      </c>
      <c r="P613" s="2">
        <v>276.3664</v>
      </c>
    </row>
    <row r="614" spans="10:16">
      <c r="J614" s="5" t="s">
        <v>2635</v>
      </c>
      <c r="K614" t="s">
        <v>2636</v>
      </c>
      <c r="L614" t="s">
        <v>5474</v>
      </c>
      <c r="M614" t="s">
        <v>125</v>
      </c>
      <c r="N614" s="2">
        <v>46.024999999999999</v>
      </c>
      <c r="O614" s="1">
        <v>6</v>
      </c>
      <c r="P614" s="2">
        <v>276.14999999999998</v>
      </c>
    </row>
    <row r="615" spans="10:16">
      <c r="J615" s="5" t="s">
        <v>3611</v>
      </c>
      <c r="K615" t="s">
        <v>3612</v>
      </c>
      <c r="L615" t="s">
        <v>85</v>
      </c>
      <c r="M615" t="s">
        <v>86</v>
      </c>
      <c r="N615" s="2">
        <v>10.227399999999999</v>
      </c>
      <c r="O615" s="1">
        <v>54</v>
      </c>
      <c r="P615" s="2">
        <v>276.13979999999998</v>
      </c>
    </row>
    <row r="616" spans="10:16">
      <c r="J616" s="5" t="s">
        <v>369</v>
      </c>
      <c r="K616" t="s">
        <v>4160</v>
      </c>
      <c r="L616" t="s">
        <v>370</v>
      </c>
      <c r="M616" t="s">
        <v>86</v>
      </c>
      <c r="N616" s="2">
        <v>91.816800000000001</v>
      </c>
      <c r="O616" s="1">
        <v>6</v>
      </c>
      <c r="P616" s="2">
        <v>275.4504</v>
      </c>
    </row>
    <row r="617" spans="10:16">
      <c r="J617" s="5" t="s">
        <v>2769</v>
      </c>
      <c r="K617" t="s">
        <v>2770</v>
      </c>
      <c r="L617" t="s">
        <v>98</v>
      </c>
      <c r="M617" t="s">
        <v>86</v>
      </c>
      <c r="N617" s="2">
        <v>45.685000000000002</v>
      </c>
      <c r="O617" s="1">
        <v>6</v>
      </c>
      <c r="P617" s="2">
        <v>274.11</v>
      </c>
    </row>
    <row r="618" spans="10:16">
      <c r="J618" s="5" t="s">
        <v>4284</v>
      </c>
      <c r="K618" t="s">
        <v>4285</v>
      </c>
      <c r="L618" t="s">
        <v>219</v>
      </c>
      <c r="M618" t="s">
        <v>86</v>
      </c>
      <c r="N618" s="2">
        <v>7.6116000000000001</v>
      </c>
      <c r="O618" s="1">
        <v>72</v>
      </c>
      <c r="P618" s="2">
        <v>274.01760000000002</v>
      </c>
    </row>
    <row r="619" spans="10:16">
      <c r="J619" s="5" t="s">
        <v>2871</v>
      </c>
      <c r="K619" t="s">
        <v>3764</v>
      </c>
      <c r="L619" t="s">
        <v>85</v>
      </c>
      <c r="M619" t="s">
        <v>86</v>
      </c>
      <c r="N619" s="2">
        <v>4.1496000000000004</v>
      </c>
      <c r="O619" s="1">
        <v>66</v>
      </c>
      <c r="P619" s="2">
        <v>273.87360000000001</v>
      </c>
    </row>
    <row r="620" spans="10:16">
      <c r="J620" s="5" t="s">
        <v>92</v>
      </c>
      <c r="K620" t="s">
        <v>93</v>
      </c>
      <c r="L620" t="s">
        <v>31</v>
      </c>
      <c r="M620" t="s">
        <v>1931</v>
      </c>
      <c r="N620" s="2">
        <v>136.5</v>
      </c>
      <c r="O620" s="1">
        <v>2</v>
      </c>
      <c r="P620" s="2">
        <v>273</v>
      </c>
    </row>
    <row r="621" spans="10:16">
      <c r="J621" s="5" t="s">
        <v>1166</v>
      </c>
      <c r="K621" t="s">
        <v>1167</v>
      </c>
      <c r="L621" t="s">
        <v>31</v>
      </c>
      <c r="M621" t="s">
        <v>1931</v>
      </c>
      <c r="N621" s="2">
        <v>21</v>
      </c>
      <c r="O621" s="1">
        <v>13</v>
      </c>
      <c r="P621" s="2">
        <v>273</v>
      </c>
    </row>
    <row r="622" spans="10:16">
      <c r="J622" s="5" t="s">
        <v>745</v>
      </c>
      <c r="K622" t="s">
        <v>746</v>
      </c>
      <c r="L622" t="s">
        <v>618</v>
      </c>
      <c r="M622" t="s">
        <v>626</v>
      </c>
      <c r="N622" s="2">
        <v>2.8134000000000001</v>
      </c>
      <c r="O622" s="1">
        <v>194</v>
      </c>
      <c r="P622" s="2">
        <v>272.89980000000003</v>
      </c>
    </row>
    <row r="623" spans="10:16">
      <c r="J623" s="5" t="s">
        <v>5094</v>
      </c>
      <c r="K623" t="s">
        <v>5095</v>
      </c>
      <c r="L623" t="s">
        <v>580</v>
      </c>
      <c r="M623" t="s">
        <v>734</v>
      </c>
      <c r="N623" s="2">
        <v>1.1618999999999999</v>
      </c>
      <c r="O623" s="1">
        <v>234</v>
      </c>
      <c r="P623" s="2">
        <v>271.88459999999998</v>
      </c>
    </row>
    <row r="624" spans="10:16">
      <c r="J624" s="5" t="s">
        <v>4304</v>
      </c>
      <c r="K624" t="s">
        <v>4305</v>
      </c>
      <c r="L624" t="s">
        <v>85</v>
      </c>
      <c r="M624" t="s">
        <v>86</v>
      </c>
      <c r="N624" s="2">
        <v>14.273</v>
      </c>
      <c r="O624" s="1">
        <v>19</v>
      </c>
      <c r="P624" s="2">
        <v>271.18700000000001</v>
      </c>
    </row>
    <row r="625" spans="10:16">
      <c r="J625" s="5" t="s">
        <v>5307</v>
      </c>
      <c r="K625" t="s">
        <v>5308</v>
      </c>
      <c r="L625" t="s">
        <v>3375</v>
      </c>
      <c r="M625" t="s">
        <v>125</v>
      </c>
      <c r="N625" s="2">
        <v>270.89</v>
      </c>
      <c r="O625" s="1">
        <v>1</v>
      </c>
      <c r="P625" s="2">
        <v>270.89</v>
      </c>
    </row>
    <row r="626" spans="10:16">
      <c r="J626" s="5" t="s">
        <v>3535</v>
      </c>
      <c r="K626" t="s">
        <v>3536</v>
      </c>
      <c r="L626" t="s">
        <v>3537</v>
      </c>
      <c r="M626" t="s">
        <v>86</v>
      </c>
      <c r="N626" s="2">
        <v>4.2830000000000004</v>
      </c>
      <c r="O626" s="1">
        <v>126</v>
      </c>
      <c r="P626" s="2">
        <v>269.82900000000001</v>
      </c>
    </row>
    <row r="627" spans="10:16">
      <c r="J627" s="5" t="s">
        <v>2845</v>
      </c>
      <c r="K627" t="s">
        <v>2846</v>
      </c>
      <c r="L627" t="s">
        <v>85</v>
      </c>
      <c r="M627" t="s">
        <v>86</v>
      </c>
      <c r="N627" s="2">
        <v>15.795999999999999</v>
      </c>
      <c r="O627" s="1">
        <v>17</v>
      </c>
      <c r="P627" s="2">
        <v>268.53199999999998</v>
      </c>
    </row>
    <row r="628" spans="10:16">
      <c r="J628" s="5" t="s">
        <v>1455</v>
      </c>
      <c r="K628" t="s">
        <v>1456</v>
      </c>
      <c r="L628" t="s">
        <v>115</v>
      </c>
      <c r="M628" t="s">
        <v>102</v>
      </c>
      <c r="N628" s="2">
        <v>6.0900000000000003E-2</v>
      </c>
      <c r="O628" s="1">
        <v>4407</v>
      </c>
      <c r="P628" s="2">
        <v>268.38630000000001</v>
      </c>
    </row>
    <row r="629" spans="10:16">
      <c r="J629" s="5" t="s">
        <v>4219</v>
      </c>
      <c r="K629" t="s">
        <v>4220</v>
      </c>
      <c r="L629" t="s">
        <v>85</v>
      </c>
      <c r="M629" t="s">
        <v>86</v>
      </c>
      <c r="N629" s="2">
        <v>38.327800000000003</v>
      </c>
      <c r="O629" s="1">
        <v>14</v>
      </c>
      <c r="P629" s="2">
        <v>268.2946</v>
      </c>
    </row>
    <row r="630" spans="10:16">
      <c r="J630" s="5" t="s">
        <v>824</v>
      </c>
      <c r="K630" t="s">
        <v>825</v>
      </c>
      <c r="L630" t="s">
        <v>618</v>
      </c>
      <c r="M630" t="s">
        <v>626</v>
      </c>
      <c r="N630" s="2">
        <v>1.9705999999999999</v>
      </c>
      <c r="O630" s="1">
        <v>272</v>
      </c>
      <c r="P630" s="2">
        <v>268.0016</v>
      </c>
    </row>
    <row r="631" spans="10:16">
      <c r="J631" s="5" t="s">
        <v>3847</v>
      </c>
      <c r="K631" t="s">
        <v>3848</v>
      </c>
      <c r="L631" t="s">
        <v>98</v>
      </c>
      <c r="M631" t="s">
        <v>86</v>
      </c>
      <c r="N631" s="2">
        <v>38.054600000000001</v>
      </c>
      <c r="O631" s="1">
        <v>14</v>
      </c>
      <c r="P631" s="2">
        <v>266.38220000000001</v>
      </c>
    </row>
    <row r="632" spans="10:16">
      <c r="J632" s="5" t="s">
        <v>4543</v>
      </c>
      <c r="K632" t="s">
        <v>3241</v>
      </c>
      <c r="L632" t="s">
        <v>85</v>
      </c>
      <c r="M632" t="s">
        <v>86</v>
      </c>
      <c r="N632" s="2">
        <v>2.1654</v>
      </c>
      <c r="O632" s="1">
        <v>246</v>
      </c>
      <c r="P632" s="2">
        <v>266.3442</v>
      </c>
    </row>
    <row r="633" spans="10:16">
      <c r="J633" s="5" t="s">
        <v>4727</v>
      </c>
      <c r="K633" t="s">
        <v>4728</v>
      </c>
      <c r="L633" t="s">
        <v>85</v>
      </c>
      <c r="M633" t="s">
        <v>86</v>
      </c>
      <c r="N633" s="2">
        <v>17.702999999999999</v>
      </c>
      <c r="O633" s="1">
        <v>15</v>
      </c>
      <c r="P633" s="2">
        <v>265.54500000000002</v>
      </c>
    </row>
    <row r="634" spans="10:16">
      <c r="J634" s="5" t="s">
        <v>4282</v>
      </c>
      <c r="K634" t="s">
        <v>4283</v>
      </c>
      <c r="L634" t="s">
        <v>85</v>
      </c>
      <c r="M634" t="s">
        <v>86</v>
      </c>
      <c r="N634" s="2">
        <v>3.6354000000000002</v>
      </c>
      <c r="O634" s="1">
        <v>146</v>
      </c>
      <c r="P634" s="2">
        <v>265.38420000000002</v>
      </c>
    </row>
    <row r="635" spans="10:16">
      <c r="J635" s="5" t="s">
        <v>5303</v>
      </c>
      <c r="K635" t="s">
        <v>5304</v>
      </c>
      <c r="L635" t="s">
        <v>5081</v>
      </c>
      <c r="M635" t="s">
        <v>125</v>
      </c>
      <c r="N635" s="2">
        <v>10.1892</v>
      </c>
      <c r="O635" s="1">
        <v>78</v>
      </c>
      <c r="P635" s="2">
        <v>264.91919999999999</v>
      </c>
    </row>
    <row r="636" spans="10:16">
      <c r="J636" s="5" t="s">
        <v>2287</v>
      </c>
      <c r="K636" t="s">
        <v>2288</v>
      </c>
      <c r="L636" t="s">
        <v>85</v>
      </c>
      <c r="M636" t="s">
        <v>86</v>
      </c>
      <c r="N636" s="2">
        <v>29.3596</v>
      </c>
      <c r="O636" s="1">
        <v>18</v>
      </c>
      <c r="P636" s="2">
        <v>264.2364</v>
      </c>
    </row>
    <row r="637" spans="10:16">
      <c r="J637" s="5" t="s">
        <v>4890</v>
      </c>
      <c r="K637" t="s">
        <v>4891</v>
      </c>
      <c r="L637" t="s">
        <v>85</v>
      </c>
      <c r="M637" t="s">
        <v>86</v>
      </c>
      <c r="N637" s="2">
        <v>43.657800000000002</v>
      </c>
      <c r="O637" s="1">
        <v>12</v>
      </c>
      <c r="P637" s="2">
        <v>261.9468</v>
      </c>
    </row>
    <row r="638" spans="10:16">
      <c r="J638" s="5" t="s">
        <v>4749</v>
      </c>
      <c r="K638" t="s">
        <v>2330</v>
      </c>
      <c r="L638" t="s">
        <v>219</v>
      </c>
      <c r="M638" t="s">
        <v>86</v>
      </c>
      <c r="N638" s="2">
        <v>65.394999999999996</v>
      </c>
      <c r="O638" s="1">
        <v>4</v>
      </c>
      <c r="P638" s="2">
        <v>261.58</v>
      </c>
    </row>
    <row r="639" spans="10:16">
      <c r="J639" s="5" t="s">
        <v>5282</v>
      </c>
      <c r="K639" t="s">
        <v>5283</v>
      </c>
      <c r="L639" t="s">
        <v>1972</v>
      </c>
      <c r="M639" t="s">
        <v>125</v>
      </c>
      <c r="N639" s="2">
        <v>29.046800000000001</v>
      </c>
      <c r="O639" s="1">
        <v>18</v>
      </c>
      <c r="P639" s="2">
        <v>261.4212</v>
      </c>
    </row>
    <row r="640" spans="10:16">
      <c r="J640" s="5" t="s">
        <v>5187</v>
      </c>
      <c r="K640" t="s">
        <v>5188</v>
      </c>
      <c r="L640" t="s">
        <v>3304</v>
      </c>
      <c r="M640" t="s">
        <v>1931</v>
      </c>
      <c r="N640" s="2">
        <v>260.57</v>
      </c>
      <c r="O640" s="1">
        <v>1</v>
      </c>
      <c r="P640" s="2">
        <v>260.57</v>
      </c>
    </row>
    <row r="641" spans="10:16">
      <c r="J641" s="5" t="s">
        <v>3406</v>
      </c>
      <c r="K641" t="s">
        <v>3407</v>
      </c>
      <c r="L641" t="s">
        <v>3375</v>
      </c>
      <c r="M641" t="s">
        <v>125</v>
      </c>
      <c r="N641" s="2">
        <v>258.45479999999998</v>
      </c>
      <c r="O641" s="1">
        <v>2</v>
      </c>
      <c r="P641" s="2">
        <v>258.45479999999998</v>
      </c>
    </row>
    <row r="642" spans="10:16">
      <c r="J642" s="5" t="s">
        <v>1300</v>
      </c>
      <c r="K642" t="s">
        <v>1301</v>
      </c>
      <c r="L642" t="s">
        <v>101</v>
      </c>
      <c r="M642" t="s">
        <v>711</v>
      </c>
      <c r="N642" s="2">
        <v>518.0145</v>
      </c>
      <c r="O642" s="1">
        <v>0.49740000000000001</v>
      </c>
      <c r="P642" s="2">
        <v>257.66041230000002</v>
      </c>
    </row>
    <row r="643" spans="10:16">
      <c r="J643" s="5" t="s">
        <v>4597</v>
      </c>
      <c r="K643" t="s">
        <v>4598</v>
      </c>
      <c r="L643" t="s">
        <v>467</v>
      </c>
      <c r="M643" t="s">
        <v>86</v>
      </c>
      <c r="N643" s="2">
        <v>257.1574</v>
      </c>
      <c r="O643" s="1">
        <v>1</v>
      </c>
      <c r="P643" s="2">
        <v>257.1574</v>
      </c>
    </row>
    <row r="644" spans="10:16">
      <c r="J644" s="5" t="s">
        <v>5323</v>
      </c>
      <c r="K644" t="s">
        <v>5324</v>
      </c>
      <c r="L644" t="s">
        <v>3304</v>
      </c>
      <c r="M644" t="s">
        <v>1931</v>
      </c>
      <c r="N644" s="2">
        <v>85.71</v>
      </c>
      <c r="O644" s="1">
        <v>3</v>
      </c>
      <c r="P644" s="2">
        <v>257.13</v>
      </c>
    </row>
    <row r="645" spans="10:16">
      <c r="J645" s="5" t="s">
        <v>103</v>
      </c>
      <c r="K645" t="s">
        <v>104</v>
      </c>
      <c r="L645" t="s">
        <v>101</v>
      </c>
      <c r="M645" t="s">
        <v>102</v>
      </c>
      <c r="N645" s="2">
        <v>0.35</v>
      </c>
      <c r="O645" s="1">
        <v>733</v>
      </c>
      <c r="P645" s="2">
        <v>256.55</v>
      </c>
    </row>
    <row r="646" spans="10:16">
      <c r="J646" s="5" t="s">
        <v>2533</v>
      </c>
      <c r="K646" t="s">
        <v>2534</v>
      </c>
      <c r="L646" t="s">
        <v>3375</v>
      </c>
      <c r="M646" t="s">
        <v>125</v>
      </c>
      <c r="N646" s="2">
        <v>127.7306</v>
      </c>
      <c r="O646" s="1">
        <v>4</v>
      </c>
      <c r="P646" s="2">
        <v>255.46119999999999</v>
      </c>
    </row>
    <row r="647" spans="10:16">
      <c r="J647" s="5" t="s">
        <v>1548</v>
      </c>
      <c r="K647" t="s">
        <v>1549</v>
      </c>
      <c r="L647" t="s">
        <v>115</v>
      </c>
      <c r="M647" t="s">
        <v>102</v>
      </c>
      <c r="N647" s="2">
        <v>9.5000000000000001E-2</v>
      </c>
      <c r="O647" s="1">
        <v>2687</v>
      </c>
      <c r="P647" s="2">
        <v>255.26500000000001</v>
      </c>
    </row>
    <row r="648" spans="10:16">
      <c r="J648" s="5" t="s">
        <v>5439</v>
      </c>
      <c r="K648" t="s">
        <v>5440</v>
      </c>
      <c r="L648" t="s">
        <v>228</v>
      </c>
      <c r="M648" t="s">
        <v>86</v>
      </c>
      <c r="N648" s="2">
        <v>25.490400000000001</v>
      </c>
      <c r="O648" s="1">
        <v>30</v>
      </c>
      <c r="P648" s="2">
        <v>254.904</v>
      </c>
    </row>
    <row r="649" spans="10:16">
      <c r="J649" s="5" t="s">
        <v>801</v>
      </c>
      <c r="K649" t="s">
        <v>802</v>
      </c>
      <c r="L649" t="s">
        <v>618</v>
      </c>
      <c r="M649" t="s">
        <v>626</v>
      </c>
      <c r="N649" s="2">
        <v>1.2682</v>
      </c>
      <c r="O649" s="1">
        <v>200</v>
      </c>
      <c r="P649" s="2">
        <v>253.64</v>
      </c>
    </row>
    <row r="650" spans="10:16">
      <c r="J650" s="5" t="s">
        <v>5159</v>
      </c>
      <c r="K650" t="s">
        <v>5160</v>
      </c>
      <c r="L650" t="s">
        <v>141</v>
      </c>
      <c r="M650" t="s">
        <v>125</v>
      </c>
      <c r="N650" s="2">
        <v>63.317999999999998</v>
      </c>
      <c r="O650" s="1">
        <v>4</v>
      </c>
      <c r="P650" s="2">
        <v>253.27199999999999</v>
      </c>
    </row>
    <row r="651" spans="10:16">
      <c r="J651" s="5" t="s">
        <v>4980</v>
      </c>
      <c r="K651" t="s">
        <v>4981</v>
      </c>
      <c r="L651" t="s">
        <v>85</v>
      </c>
      <c r="M651" t="s">
        <v>86</v>
      </c>
      <c r="N651" s="2">
        <v>12.037000000000001</v>
      </c>
      <c r="O651" s="1">
        <v>42</v>
      </c>
      <c r="P651" s="2">
        <v>252.77700000000002</v>
      </c>
    </row>
    <row r="652" spans="10:16">
      <c r="J652" s="5" t="s">
        <v>592</v>
      </c>
      <c r="K652" t="s">
        <v>593</v>
      </c>
      <c r="L652" t="s">
        <v>31</v>
      </c>
      <c r="M652" t="s">
        <v>1931</v>
      </c>
      <c r="N652" s="2">
        <v>252.56</v>
      </c>
      <c r="O652" s="1">
        <v>1</v>
      </c>
      <c r="P652" s="2">
        <v>252.56</v>
      </c>
    </row>
    <row r="653" spans="10:16">
      <c r="J653" s="5" t="s">
        <v>3900</v>
      </c>
      <c r="K653" t="s">
        <v>3901</v>
      </c>
      <c r="L653" t="s">
        <v>98</v>
      </c>
      <c r="M653" t="s">
        <v>86</v>
      </c>
      <c r="N653" s="2">
        <v>19.405799999999999</v>
      </c>
      <c r="O653" s="1">
        <v>26</v>
      </c>
      <c r="P653" s="2">
        <v>252.27539999999999</v>
      </c>
    </row>
    <row r="654" spans="10:16">
      <c r="J654" s="5" t="s">
        <v>2901</v>
      </c>
      <c r="K654" t="s">
        <v>2902</v>
      </c>
      <c r="L654" t="s">
        <v>85</v>
      </c>
      <c r="M654" t="s">
        <v>86</v>
      </c>
      <c r="N654" s="2">
        <v>62.703000000000003</v>
      </c>
      <c r="O654" s="1">
        <v>4</v>
      </c>
      <c r="P654" s="2">
        <v>250.81200000000001</v>
      </c>
    </row>
    <row r="655" spans="10:16">
      <c r="J655" s="5" t="s">
        <v>423</v>
      </c>
      <c r="K655" t="s">
        <v>4421</v>
      </c>
      <c r="L655" t="s">
        <v>85</v>
      </c>
      <c r="M655" t="s">
        <v>86</v>
      </c>
      <c r="N655" s="2">
        <v>5.9661999999999997</v>
      </c>
      <c r="O655" s="1">
        <v>84</v>
      </c>
      <c r="P655" s="2">
        <v>250.5804</v>
      </c>
    </row>
    <row r="656" spans="10:16">
      <c r="J656" s="5" t="s">
        <v>405</v>
      </c>
      <c r="K656" t="s">
        <v>4256</v>
      </c>
      <c r="L656" t="s">
        <v>85</v>
      </c>
      <c r="M656" t="s">
        <v>86</v>
      </c>
      <c r="N656" s="2">
        <v>20.854600000000001</v>
      </c>
      <c r="O656" s="1">
        <v>24</v>
      </c>
      <c r="P656" s="2">
        <v>250.2552</v>
      </c>
    </row>
    <row r="657" spans="10:16">
      <c r="J657" s="5" t="s">
        <v>46</v>
      </c>
      <c r="K657" t="s">
        <v>47</v>
      </c>
      <c r="L657" t="s">
        <v>31</v>
      </c>
      <c r="M657" t="s">
        <v>1931</v>
      </c>
      <c r="N657" s="2">
        <v>250</v>
      </c>
      <c r="O657" s="1">
        <v>1</v>
      </c>
      <c r="P657" s="2">
        <v>250</v>
      </c>
    </row>
    <row r="658" spans="10:16">
      <c r="J658" s="5" t="s">
        <v>795</v>
      </c>
      <c r="K658" t="s">
        <v>796</v>
      </c>
      <c r="L658" t="s">
        <v>580</v>
      </c>
      <c r="M658" t="s">
        <v>581</v>
      </c>
      <c r="N658" s="2">
        <v>12.454000000000001</v>
      </c>
      <c r="O658" s="1">
        <v>20.002300000000002</v>
      </c>
      <c r="P658" s="2">
        <v>249.10864420000004</v>
      </c>
    </row>
    <row r="659" spans="10:16">
      <c r="J659" s="5" t="s">
        <v>1359</v>
      </c>
      <c r="K659" t="s">
        <v>1360</v>
      </c>
      <c r="L659" t="s">
        <v>115</v>
      </c>
      <c r="M659" t="s">
        <v>102</v>
      </c>
      <c r="N659" s="2">
        <v>4.7800000000000002E-2</v>
      </c>
      <c r="O659" s="1">
        <v>5198</v>
      </c>
      <c r="P659" s="2">
        <v>248.46440000000001</v>
      </c>
    </row>
    <row r="660" spans="10:16">
      <c r="J660" s="5" t="s">
        <v>3602</v>
      </c>
      <c r="K660" t="s">
        <v>3233</v>
      </c>
      <c r="L660" t="s">
        <v>85</v>
      </c>
      <c r="M660" t="s">
        <v>86</v>
      </c>
      <c r="N660" s="2">
        <v>11.2102</v>
      </c>
      <c r="O660" s="1">
        <v>44</v>
      </c>
      <c r="P660" s="2">
        <v>246.62440000000001</v>
      </c>
    </row>
    <row r="661" spans="10:16">
      <c r="J661" s="5" t="s">
        <v>1727</v>
      </c>
      <c r="K661" t="s">
        <v>1728</v>
      </c>
      <c r="L661" t="s">
        <v>115</v>
      </c>
      <c r="M661" t="s">
        <v>102</v>
      </c>
      <c r="N661" s="2">
        <v>0.24</v>
      </c>
      <c r="O661" s="1">
        <v>1027</v>
      </c>
      <c r="P661" s="2">
        <v>246.48</v>
      </c>
    </row>
    <row r="662" spans="10:16">
      <c r="J662" s="5" t="s">
        <v>1660</v>
      </c>
      <c r="K662" t="s">
        <v>1661</v>
      </c>
      <c r="L662" t="s">
        <v>101</v>
      </c>
      <c r="M662" t="s">
        <v>581</v>
      </c>
      <c r="N662" s="2">
        <v>123</v>
      </c>
      <c r="O662" s="1">
        <v>2</v>
      </c>
      <c r="P662" s="2">
        <v>246</v>
      </c>
    </row>
    <row r="663" spans="10:16">
      <c r="J663" s="5" t="s">
        <v>74</v>
      </c>
      <c r="K663" t="s">
        <v>75</v>
      </c>
      <c r="L663" t="s">
        <v>31</v>
      </c>
      <c r="M663" t="s">
        <v>1931</v>
      </c>
      <c r="N663" s="2">
        <v>30.7</v>
      </c>
      <c r="O663" s="1">
        <v>8</v>
      </c>
      <c r="P663" s="2">
        <v>245.6</v>
      </c>
    </row>
    <row r="664" spans="10:16">
      <c r="J664" s="5" t="s">
        <v>224</v>
      </c>
      <c r="K664" t="s">
        <v>225</v>
      </c>
      <c r="L664" t="s">
        <v>98</v>
      </c>
      <c r="M664" t="s">
        <v>86</v>
      </c>
      <c r="N664" s="2">
        <v>61.25</v>
      </c>
      <c r="O664" s="1">
        <v>4</v>
      </c>
      <c r="P664" s="2">
        <v>245</v>
      </c>
    </row>
    <row r="665" spans="10:16">
      <c r="J665" s="5" t="s">
        <v>2869</v>
      </c>
      <c r="K665" t="s">
        <v>2870</v>
      </c>
      <c r="L665" t="s">
        <v>219</v>
      </c>
      <c r="M665" t="s">
        <v>86</v>
      </c>
      <c r="N665" s="2">
        <v>13.4984</v>
      </c>
      <c r="O665" s="1">
        <v>36</v>
      </c>
      <c r="P665" s="2">
        <v>242.97120000000001</v>
      </c>
    </row>
    <row r="666" spans="10:16">
      <c r="J666" s="5" t="s">
        <v>4744</v>
      </c>
      <c r="K666" t="s">
        <v>2310</v>
      </c>
      <c r="L666" t="s">
        <v>219</v>
      </c>
      <c r="M666" t="s">
        <v>86</v>
      </c>
      <c r="N666" s="2">
        <v>24.151</v>
      </c>
      <c r="O666" s="1">
        <v>10</v>
      </c>
      <c r="P666" s="2">
        <v>241.51</v>
      </c>
    </row>
    <row r="667" spans="10:16">
      <c r="J667" s="5" t="s">
        <v>2389</v>
      </c>
      <c r="K667" t="s">
        <v>2390</v>
      </c>
      <c r="L667" t="s">
        <v>85</v>
      </c>
      <c r="M667" t="s">
        <v>86</v>
      </c>
      <c r="N667" s="2">
        <v>60.1554</v>
      </c>
      <c r="O667" s="1">
        <v>8</v>
      </c>
      <c r="P667" s="2">
        <v>240.6216</v>
      </c>
    </row>
    <row r="668" spans="10:16">
      <c r="J668" s="5" t="s">
        <v>5204</v>
      </c>
      <c r="K668" t="s">
        <v>5205</v>
      </c>
      <c r="L668" t="s">
        <v>101</v>
      </c>
      <c r="M668" t="s">
        <v>102</v>
      </c>
      <c r="N668" s="2">
        <v>0.20649999999999999</v>
      </c>
      <c r="O668" s="1">
        <v>1165</v>
      </c>
      <c r="P668" s="2">
        <v>240.57249999999999</v>
      </c>
    </row>
    <row r="669" spans="10:16">
      <c r="J669" s="5" t="s">
        <v>5488</v>
      </c>
      <c r="K669" t="s">
        <v>2632</v>
      </c>
      <c r="L669" t="s">
        <v>5479</v>
      </c>
      <c r="M669" t="s">
        <v>125</v>
      </c>
      <c r="N669" s="2">
        <v>240</v>
      </c>
      <c r="O669" s="1">
        <v>1</v>
      </c>
      <c r="P669" s="2">
        <v>240</v>
      </c>
    </row>
    <row r="670" spans="10:16">
      <c r="J670" s="5" t="s">
        <v>5213</v>
      </c>
      <c r="K670" t="s">
        <v>5214</v>
      </c>
      <c r="L670" t="s">
        <v>101</v>
      </c>
      <c r="M670" t="s">
        <v>581</v>
      </c>
      <c r="N670" s="2">
        <v>48</v>
      </c>
      <c r="O670" s="1">
        <v>5</v>
      </c>
      <c r="P670" s="2">
        <v>240</v>
      </c>
    </row>
    <row r="671" spans="10:16">
      <c r="J671" s="5" t="s">
        <v>64</v>
      </c>
      <c r="K671" t="s">
        <v>65</v>
      </c>
      <c r="L671" t="s">
        <v>31</v>
      </c>
      <c r="M671" t="s">
        <v>1931</v>
      </c>
      <c r="N671" s="2">
        <v>0.59699999999999998</v>
      </c>
      <c r="O671" s="1">
        <v>402</v>
      </c>
      <c r="P671" s="2">
        <v>239.994</v>
      </c>
    </row>
    <row r="672" spans="10:16">
      <c r="J672" s="5" t="s">
        <v>4799</v>
      </c>
      <c r="K672" t="s">
        <v>4800</v>
      </c>
      <c r="L672" t="s">
        <v>85</v>
      </c>
      <c r="M672" t="s">
        <v>86</v>
      </c>
      <c r="N672" s="2">
        <v>17.062999999999999</v>
      </c>
      <c r="O672" s="1">
        <v>14</v>
      </c>
      <c r="P672" s="2">
        <v>238.88199999999998</v>
      </c>
    </row>
    <row r="673" spans="10:16">
      <c r="J673" s="5" t="s">
        <v>5218</v>
      </c>
      <c r="K673" t="s">
        <v>5219</v>
      </c>
      <c r="L673" t="s">
        <v>101</v>
      </c>
      <c r="M673" t="s">
        <v>711</v>
      </c>
      <c r="N673" s="2">
        <v>59.72</v>
      </c>
      <c r="O673" s="1">
        <v>4</v>
      </c>
      <c r="P673" s="2">
        <v>238.88</v>
      </c>
    </row>
    <row r="674" spans="10:16">
      <c r="J674" s="5" t="s">
        <v>2744</v>
      </c>
      <c r="K674" t="s">
        <v>2745</v>
      </c>
      <c r="L674" t="s">
        <v>85</v>
      </c>
      <c r="M674" t="s">
        <v>86</v>
      </c>
      <c r="N674" s="2">
        <v>29.754999999999999</v>
      </c>
      <c r="O674" s="1">
        <v>8</v>
      </c>
      <c r="P674" s="2">
        <v>238.04</v>
      </c>
    </row>
    <row r="675" spans="10:16">
      <c r="J675" s="5" t="s">
        <v>1427</v>
      </c>
      <c r="K675" t="s">
        <v>1428</v>
      </c>
      <c r="L675" t="s">
        <v>115</v>
      </c>
      <c r="M675" t="s">
        <v>102</v>
      </c>
      <c r="N675" s="2">
        <v>7.2300000000000003E-2</v>
      </c>
      <c r="O675" s="1">
        <v>3282</v>
      </c>
      <c r="P675" s="2">
        <v>237.2886</v>
      </c>
    </row>
    <row r="676" spans="10:16">
      <c r="J676" s="5" t="s">
        <v>1650</v>
      </c>
      <c r="K676" t="s">
        <v>1651</v>
      </c>
      <c r="L676" t="s">
        <v>115</v>
      </c>
      <c r="M676" t="s">
        <v>102</v>
      </c>
      <c r="N676" s="2">
        <v>0.11700000000000001</v>
      </c>
      <c r="O676" s="1">
        <v>2028</v>
      </c>
      <c r="P676" s="2">
        <v>237.27600000000001</v>
      </c>
    </row>
    <row r="677" spans="10:16">
      <c r="J677" s="5" t="s">
        <v>2863</v>
      </c>
      <c r="K677" t="s">
        <v>2864</v>
      </c>
      <c r="L677" t="s">
        <v>85</v>
      </c>
      <c r="M677" t="s">
        <v>86</v>
      </c>
      <c r="N677" s="2">
        <v>29.588999999999999</v>
      </c>
      <c r="O677" s="1">
        <v>8</v>
      </c>
      <c r="P677" s="2">
        <v>236.71199999999999</v>
      </c>
    </row>
    <row r="678" spans="10:16">
      <c r="J678" s="5" t="s">
        <v>2471</v>
      </c>
      <c r="K678" t="s">
        <v>2472</v>
      </c>
      <c r="L678" t="s">
        <v>85</v>
      </c>
      <c r="M678" t="s">
        <v>86</v>
      </c>
      <c r="N678" s="2">
        <v>78.229100000000003</v>
      </c>
      <c r="O678" s="1">
        <v>3</v>
      </c>
      <c r="P678" s="2">
        <v>234.68729999999999</v>
      </c>
    </row>
    <row r="679" spans="10:16">
      <c r="J679" s="5" t="s">
        <v>2388</v>
      </c>
      <c r="K679" t="s">
        <v>5390</v>
      </c>
      <c r="L679" t="s">
        <v>85</v>
      </c>
      <c r="M679" t="s">
        <v>86</v>
      </c>
      <c r="N679" s="2">
        <v>13.8</v>
      </c>
      <c r="O679" s="1">
        <v>34</v>
      </c>
      <c r="P679" s="2">
        <v>234.60000000000002</v>
      </c>
    </row>
    <row r="680" spans="10:16">
      <c r="J680" s="5" t="s">
        <v>1374</v>
      </c>
      <c r="K680" t="s">
        <v>1375</v>
      </c>
      <c r="L680" t="s">
        <v>101</v>
      </c>
      <c r="M680" t="s">
        <v>581</v>
      </c>
      <c r="N680" s="2">
        <v>11.7</v>
      </c>
      <c r="O680" s="1">
        <v>20.024000000000001</v>
      </c>
      <c r="P680" s="2">
        <v>234.2808</v>
      </c>
    </row>
    <row r="681" spans="10:16">
      <c r="J681" s="5" t="s">
        <v>2718</v>
      </c>
      <c r="K681" t="s">
        <v>2719</v>
      </c>
      <c r="L681" t="s">
        <v>85</v>
      </c>
      <c r="M681" t="s">
        <v>86</v>
      </c>
      <c r="N681" s="2">
        <v>77.747</v>
      </c>
      <c r="O681" s="1">
        <v>3</v>
      </c>
      <c r="P681" s="2">
        <v>233.24099999999999</v>
      </c>
    </row>
    <row r="682" spans="10:16">
      <c r="J682" s="5" t="s">
        <v>402</v>
      </c>
      <c r="K682" t="s">
        <v>4249</v>
      </c>
      <c r="L682" t="s">
        <v>85</v>
      </c>
      <c r="M682" t="s">
        <v>86</v>
      </c>
      <c r="N682" s="2">
        <v>9.3251000000000008</v>
      </c>
      <c r="O682" s="1">
        <v>25</v>
      </c>
      <c r="P682" s="2">
        <v>233.12750000000003</v>
      </c>
    </row>
    <row r="683" spans="10:16">
      <c r="J683" s="5" t="s">
        <v>1417</v>
      </c>
      <c r="K683" t="s">
        <v>1418</v>
      </c>
      <c r="L683" t="s">
        <v>115</v>
      </c>
      <c r="M683" t="s">
        <v>102</v>
      </c>
      <c r="N683" s="2">
        <v>0.22600000000000001</v>
      </c>
      <c r="O683" s="1">
        <v>1031</v>
      </c>
      <c r="P683" s="2">
        <v>233.006</v>
      </c>
    </row>
    <row r="684" spans="10:16">
      <c r="J684" s="5" t="s">
        <v>4225</v>
      </c>
      <c r="K684" t="s">
        <v>4226</v>
      </c>
      <c r="L684" t="s">
        <v>85</v>
      </c>
      <c r="M684" t="s">
        <v>86</v>
      </c>
      <c r="N684" s="2">
        <v>16.604900000000001</v>
      </c>
      <c r="O684" s="1">
        <v>14</v>
      </c>
      <c r="P684" s="2">
        <v>232.46860000000001</v>
      </c>
    </row>
    <row r="685" spans="10:16">
      <c r="J685" s="5" t="s">
        <v>1437</v>
      </c>
      <c r="K685" t="s">
        <v>1438</v>
      </c>
      <c r="L685" t="s">
        <v>115</v>
      </c>
      <c r="M685" t="s">
        <v>102</v>
      </c>
      <c r="N685" s="2">
        <v>0.128</v>
      </c>
      <c r="O685" s="1">
        <v>1815</v>
      </c>
      <c r="P685" s="2">
        <v>232.32</v>
      </c>
    </row>
    <row r="686" spans="10:16">
      <c r="J686" s="5" t="s">
        <v>4709</v>
      </c>
      <c r="K686" t="s">
        <v>4710</v>
      </c>
      <c r="L686" t="s">
        <v>85</v>
      </c>
      <c r="M686" t="s">
        <v>86</v>
      </c>
      <c r="N686" s="2">
        <v>25.773599999999998</v>
      </c>
      <c r="O686" s="1">
        <v>9</v>
      </c>
      <c r="P686" s="2">
        <v>231.96239999999997</v>
      </c>
    </row>
    <row r="687" spans="10:16">
      <c r="J687" s="5" t="s">
        <v>4078</v>
      </c>
      <c r="K687" t="s">
        <v>4079</v>
      </c>
      <c r="L687" t="s">
        <v>98</v>
      </c>
      <c r="M687" t="s">
        <v>86</v>
      </c>
      <c r="N687" s="2">
        <v>7.2380000000000004</v>
      </c>
      <c r="O687" s="1">
        <v>64</v>
      </c>
      <c r="P687" s="2">
        <v>231.61600000000001</v>
      </c>
    </row>
    <row r="688" spans="10:16">
      <c r="J688" s="5" t="s">
        <v>982</v>
      </c>
      <c r="K688" t="s">
        <v>983</v>
      </c>
      <c r="L688" t="s">
        <v>131</v>
      </c>
      <c r="M688" t="s">
        <v>125</v>
      </c>
      <c r="N688" s="2">
        <v>231.40799999999999</v>
      </c>
      <c r="O688" s="1">
        <v>1</v>
      </c>
      <c r="P688" s="2">
        <v>231.40799999999999</v>
      </c>
    </row>
    <row r="689" spans="10:16">
      <c r="J689" s="5" t="s">
        <v>2711</v>
      </c>
      <c r="K689" t="s">
        <v>2712</v>
      </c>
      <c r="L689" t="s">
        <v>219</v>
      </c>
      <c r="M689" t="s">
        <v>86</v>
      </c>
      <c r="N689" s="2">
        <v>28.908999999999999</v>
      </c>
      <c r="O689" s="1">
        <v>8</v>
      </c>
      <c r="P689" s="2">
        <v>231.27199999999999</v>
      </c>
    </row>
    <row r="690" spans="10:16">
      <c r="J690" s="5" t="s">
        <v>1489</v>
      </c>
      <c r="K690" t="s">
        <v>1490</v>
      </c>
      <c r="L690" t="s">
        <v>115</v>
      </c>
      <c r="M690" t="s">
        <v>102</v>
      </c>
      <c r="N690" s="2">
        <v>0.112</v>
      </c>
      <c r="O690" s="1">
        <v>2060</v>
      </c>
      <c r="P690" s="2">
        <v>230.72</v>
      </c>
    </row>
    <row r="691" spans="10:16">
      <c r="J691" s="5" t="s">
        <v>3314</v>
      </c>
      <c r="K691" t="s">
        <v>3315</v>
      </c>
      <c r="L691" t="s">
        <v>3179</v>
      </c>
      <c r="M691" t="s">
        <v>125</v>
      </c>
      <c r="N691" s="2">
        <v>230</v>
      </c>
      <c r="O691" s="1">
        <v>1</v>
      </c>
      <c r="P691" s="2">
        <v>230</v>
      </c>
    </row>
    <row r="692" spans="10:16">
      <c r="J692" s="5" t="s">
        <v>3072</v>
      </c>
      <c r="K692" t="s">
        <v>3073</v>
      </c>
      <c r="L692" t="s">
        <v>223</v>
      </c>
      <c r="M692" t="s">
        <v>86</v>
      </c>
      <c r="N692" s="2">
        <v>25.435199999999998</v>
      </c>
      <c r="O692" s="1">
        <v>9</v>
      </c>
      <c r="P692" s="2">
        <v>228.91679999999999</v>
      </c>
    </row>
    <row r="693" spans="10:16">
      <c r="J693" s="5" t="s">
        <v>4300</v>
      </c>
      <c r="K693" t="s">
        <v>4301</v>
      </c>
      <c r="L693" t="s">
        <v>85</v>
      </c>
      <c r="M693" t="s">
        <v>86</v>
      </c>
      <c r="N693" s="2">
        <v>57.16</v>
      </c>
      <c r="O693" s="1">
        <v>4</v>
      </c>
      <c r="P693" s="2">
        <v>228.64</v>
      </c>
    </row>
    <row r="694" spans="10:16">
      <c r="J694" s="5" t="s">
        <v>4512</v>
      </c>
      <c r="K694" t="s">
        <v>4513</v>
      </c>
      <c r="L694" t="s">
        <v>85</v>
      </c>
      <c r="M694" t="s">
        <v>86</v>
      </c>
      <c r="N694" s="2">
        <v>25.12</v>
      </c>
      <c r="O694" s="1">
        <v>9</v>
      </c>
      <c r="P694" s="2">
        <v>226.08</v>
      </c>
    </row>
    <row r="695" spans="10:16">
      <c r="J695" s="5" t="s">
        <v>2715</v>
      </c>
      <c r="K695" t="s">
        <v>3456</v>
      </c>
      <c r="L695" t="s">
        <v>219</v>
      </c>
      <c r="M695" t="s">
        <v>86</v>
      </c>
      <c r="N695" s="2">
        <v>7.4862000000000002</v>
      </c>
      <c r="O695" s="1">
        <v>60</v>
      </c>
      <c r="P695" s="2">
        <v>224.58600000000001</v>
      </c>
    </row>
    <row r="696" spans="10:16">
      <c r="J696" s="5" t="s">
        <v>854</v>
      </c>
      <c r="K696" t="s">
        <v>855</v>
      </c>
      <c r="L696" t="s">
        <v>1972</v>
      </c>
      <c r="M696" t="s">
        <v>125</v>
      </c>
      <c r="N696" s="2">
        <v>1.8928</v>
      </c>
      <c r="O696" s="1">
        <v>236</v>
      </c>
      <c r="P696" s="2">
        <v>223.35040000000001</v>
      </c>
    </row>
    <row r="697" spans="10:16">
      <c r="J697" s="5" t="s">
        <v>1087</v>
      </c>
      <c r="K697" t="s">
        <v>1088</v>
      </c>
      <c r="L697" t="s">
        <v>136</v>
      </c>
      <c r="M697" t="s">
        <v>125</v>
      </c>
      <c r="N697" s="2">
        <v>222.88</v>
      </c>
      <c r="O697" s="1">
        <v>1</v>
      </c>
      <c r="P697" s="2">
        <v>222.88</v>
      </c>
    </row>
    <row r="698" spans="10:16">
      <c r="J698" s="5" t="s">
        <v>4704</v>
      </c>
      <c r="K698" t="s">
        <v>4705</v>
      </c>
      <c r="L698" t="s">
        <v>85</v>
      </c>
      <c r="M698" t="s">
        <v>86</v>
      </c>
      <c r="N698" s="2">
        <v>74.254000000000005</v>
      </c>
      <c r="O698" s="1">
        <v>3</v>
      </c>
      <c r="P698" s="2">
        <v>222.762</v>
      </c>
    </row>
    <row r="699" spans="10:16">
      <c r="J699" s="5" t="s">
        <v>3542</v>
      </c>
      <c r="K699" t="s">
        <v>3543</v>
      </c>
      <c r="L699" t="s">
        <v>219</v>
      </c>
      <c r="M699" t="s">
        <v>86</v>
      </c>
      <c r="N699" s="2">
        <v>111.27</v>
      </c>
      <c r="O699" s="1">
        <v>2</v>
      </c>
      <c r="P699" s="2">
        <v>222.54</v>
      </c>
    </row>
    <row r="700" spans="10:16">
      <c r="J700" s="5" t="s">
        <v>2897</v>
      </c>
      <c r="K700" t="s">
        <v>2898</v>
      </c>
      <c r="L700" t="s">
        <v>85</v>
      </c>
      <c r="M700" t="s">
        <v>86</v>
      </c>
      <c r="N700" s="2">
        <v>37.082999999999998</v>
      </c>
      <c r="O700" s="1">
        <v>6</v>
      </c>
      <c r="P700" s="2">
        <v>222.49799999999999</v>
      </c>
    </row>
    <row r="701" spans="10:16">
      <c r="J701" s="5" t="s">
        <v>4223</v>
      </c>
      <c r="K701" t="s">
        <v>4224</v>
      </c>
      <c r="L701" t="s">
        <v>85</v>
      </c>
      <c r="M701" t="s">
        <v>86</v>
      </c>
      <c r="N701" s="2">
        <v>22.0945</v>
      </c>
      <c r="O701" s="1">
        <v>10</v>
      </c>
      <c r="P701" s="2">
        <v>220.94499999999999</v>
      </c>
    </row>
    <row r="702" spans="10:16">
      <c r="J702" s="5" t="s">
        <v>2621</v>
      </c>
      <c r="K702" t="s">
        <v>2622</v>
      </c>
      <c r="L702" t="s">
        <v>2615</v>
      </c>
      <c r="M702" t="s">
        <v>125</v>
      </c>
      <c r="N702" s="2">
        <v>109.9592</v>
      </c>
      <c r="O702" s="1">
        <v>4</v>
      </c>
      <c r="P702" s="2">
        <v>219.91839999999999</v>
      </c>
    </row>
    <row r="703" spans="10:16">
      <c r="J703" s="5" t="s">
        <v>3252</v>
      </c>
      <c r="K703" t="s">
        <v>3253</v>
      </c>
      <c r="L703" t="s">
        <v>219</v>
      </c>
      <c r="M703" t="s">
        <v>86</v>
      </c>
      <c r="N703" s="2">
        <v>36.616999999999997</v>
      </c>
      <c r="O703" s="1">
        <v>6</v>
      </c>
      <c r="P703" s="2">
        <v>219.702</v>
      </c>
    </row>
    <row r="704" spans="10:16">
      <c r="J704" s="5" t="s">
        <v>2667</v>
      </c>
      <c r="K704" t="s">
        <v>2668</v>
      </c>
      <c r="L704" t="s">
        <v>128</v>
      </c>
      <c r="M704" t="s">
        <v>125</v>
      </c>
      <c r="N704" s="2">
        <v>27.439599999999999</v>
      </c>
      <c r="O704" s="1">
        <v>16</v>
      </c>
      <c r="P704" s="2">
        <v>219.51679999999999</v>
      </c>
    </row>
    <row r="705" spans="10:16">
      <c r="J705" s="5" t="s">
        <v>2907</v>
      </c>
      <c r="K705" t="s">
        <v>2908</v>
      </c>
      <c r="L705" t="s">
        <v>85</v>
      </c>
      <c r="M705" t="s">
        <v>86</v>
      </c>
      <c r="N705" s="2">
        <v>1.1257999999999999</v>
      </c>
      <c r="O705" s="1">
        <v>388</v>
      </c>
      <c r="P705" s="2">
        <v>218.40519999999998</v>
      </c>
    </row>
    <row r="706" spans="10:16">
      <c r="J706" s="5" t="s">
        <v>5245</v>
      </c>
      <c r="K706" t="s">
        <v>5246</v>
      </c>
      <c r="L706" t="s">
        <v>101</v>
      </c>
      <c r="M706" t="s">
        <v>581</v>
      </c>
      <c r="N706" s="2">
        <v>1.0900000000000001</v>
      </c>
      <c r="O706" s="1">
        <v>200</v>
      </c>
      <c r="P706" s="2">
        <v>218.00000000000003</v>
      </c>
    </row>
    <row r="707" spans="10:16">
      <c r="J707" s="5" t="s">
        <v>324</v>
      </c>
      <c r="K707" t="s">
        <v>325</v>
      </c>
      <c r="L707" t="s">
        <v>85</v>
      </c>
      <c r="M707" t="s">
        <v>86</v>
      </c>
      <c r="N707" s="2">
        <v>21.626000000000001</v>
      </c>
      <c r="O707" s="1">
        <v>10</v>
      </c>
      <c r="P707" s="2">
        <v>216.26000000000002</v>
      </c>
    </row>
    <row r="708" spans="10:16">
      <c r="J708" s="5" t="s">
        <v>972</v>
      </c>
      <c r="K708" t="s">
        <v>973</v>
      </c>
      <c r="L708" t="s">
        <v>944</v>
      </c>
      <c r="M708" t="s">
        <v>125</v>
      </c>
      <c r="N708" s="2">
        <v>27.017399999999999</v>
      </c>
      <c r="O708" s="1">
        <v>16</v>
      </c>
      <c r="P708" s="2">
        <v>216.13919999999999</v>
      </c>
    </row>
    <row r="709" spans="10:16">
      <c r="J709" s="5" t="s">
        <v>4115</v>
      </c>
      <c r="K709" t="s">
        <v>4116</v>
      </c>
      <c r="L709" t="s">
        <v>3819</v>
      </c>
      <c r="M709" t="s">
        <v>86</v>
      </c>
      <c r="N709" s="2">
        <v>71.703299999999999</v>
      </c>
      <c r="O709" s="1">
        <v>3</v>
      </c>
      <c r="P709" s="2">
        <v>215.10989999999998</v>
      </c>
    </row>
    <row r="710" spans="10:16">
      <c r="J710" s="5" t="s">
        <v>2538</v>
      </c>
      <c r="K710" t="s">
        <v>2539</v>
      </c>
      <c r="L710" t="s">
        <v>3375</v>
      </c>
      <c r="M710" t="s">
        <v>125</v>
      </c>
      <c r="N710" s="2">
        <v>215.10319999999999</v>
      </c>
      <c r="O710" s="1">
        <v>2</v>
      </c>
      <c r="P710" s="2">
        <v>215.10319999999999</v>
      </c>
    </row>
    <row r="711" spans="10:16">
      <c r="J711" s="5" t="s">
        <v>3926</v>
      </c>
      <c r="K711" t="s">
        <v>3262</v>
      </c>
      <c r="L711" t="s">
        <v>98</v>
      </c>
      <c r="M711" t="s">
        <v>86</v>
      </c>
      <c r="N711" s="2">
        <v>30.545999999999999</v>
      </c>
      <c r="O711" s="1">
        <v>7</v>
      </c>
      <c r="P711" s="2">
        <v>213.822</v>
      </c>
    </row>
    <row r="712" spans="10:16">
      <c r="J712" s="5" t="s">
        <v>2742</v>
      </c>
      <c r="K712" t="s">
        <v>2743</v>
      </c>
      <c r="L712" t="s">
        <v>219</v>
      </c>
      <c r="M712" t="s">
        <v>86</v>
      </c>
      <c r="N712" s="2">
        <v>53.430199999999999</v>
      </c>
      <c r="O712" s="1">
        <v>4</v>
      </c>
      <c r="P712" s="2">
        <v>213.7208</v>
      </c>
    </row>
    <row r="713" spans="10:16">
      <c r="J713" s="5" t="s">
        <v>5254</v>
      </c>
      <c r="K713" t="s">
        <v>5255</v>
      </c>
      <c r="L713" t="s">
        <v>115</v>
      </c>
      <c r="M713" t="s">
        <v>102</v>
      </c>
      <c r="N713" s="2">
        <v>9.5200000000000007E-2</v>
      </c>
      <c r="O713" s="1">
        <v>2242</v>
      </c>
      <c r="P713" s="2">
        <v>213.4384</v>
      </c>
    </row>
    <row r="714" spans="10:16">
      <c r="J714" s="5" t="s">
        <v>5256</v>
      </c>
      <c r="K714" t="s">
        <v>5257</v>
      </c>
      <c r="L714" t="s">
        <v>115</v>
      </c>
      <c r="M714" t="s">
        <v>102</v>
      </c>
      <c r="N714" s="2">
        <v>9.5500000000000002E-2</v>
      </c>
      <c r="O714" s="1">
        <v>2231</v>
      </c>
      <c r="P714" s="2">
        <v>213.06049999999999</v>
      </c>
    </row>
    <row r="715" spans="10:16">
      <c r="J715" s="5" t="s">
        <v>5146</v>
      </c>
      <c r="K715" t="s">
        <v>5147</v>
      </c>
      <c r="L715" t="s">
        <v>128</v>
      </c>
      <c r="M715" t="s">
        <v>125</v>
      </c>
      <c r="N715" s="2">
        <v>42.392000000000003</v>
      </c>
      <c r="O715" s="1">
        <v>5</v>
      </c>
      <c r="P715" s="2">
        <v>211.96</v>
      </c>
    </row>
    <row r="716" spans="10:16">
      <c r="J716" s="5" t="s">
        <v>4855</v>
      </c>
      <c r="K716" t="s">
        <v>4856</v>
      </c>
      <c r="L716" t="s">
        <v>85</v>
      </c>
      <c r="M716" t="s">
        <v>86</v>
      </c>
      <c r="N716" s="2">
        <v>21.177800000000001</v>
      </c>
      <c r="O716" s="1">
        <v>10</v>
      </c>
      <c r="P716" s="2">
        <v>211.77800000000002</v>
      </c>
    </row>
    <row r="717" spans="10:16">
      <c r="J717" s="5" t="s">
        <v>5090</v>
      </c>
      <c r="K717" t="s">
        <v>5091</v>
      </c>
      <c r="L717" t="s">
        <v>618</v>
      </c>
      <c r="M717" t="s">
        <v>626</v>
      </c>
      <c r="N717" s="2">
        <v>2.4883999999999999</v>
      </c>
      <c r="O717" s="1">
        <v>170</v>
      </c>
      <c r="P717" s="2">
        <v>211.51399999999998</v>
      </c>
    </row>
    <row r="718" spans="10:16">
      <c r="J718" s="5" t="s">
        <v>4117</v>
      </c>
      <c r="K718" t="s">
        <v>4118</v>
      </c>
      <c r="L718" t="s">
        <v>263</v>
      </c>
      <c r="M718" t="s">
        <v>86</v>
      </c>
      <c r="N718" s="2">
        <v>17.6252</v>
      </c>
      <c r="O718" s="1">
        <v>24</v>
      </c>
      <c r="P718" s="2">
        <v>211.50239999999999</v>
      </c>
    </row>
    <row r="719" spans="10:16">
      <c r="J719" s="5" t="s">
        <v>3028</v>
      </c>
      <c r="K719" t="s">
        <v>3029</v>
      </c>
      <c r="L719" t="s">
        <v>85</v>
      </c>
      <c r="M719" t="s">
        <v>86</v>
      </c>
      <c r="N719" s="2">
        <v>19.170100000000001</v>
      </c>
      <c r="O719" s="1">
        <v>11</v>
      </c>
      <c r="P719" s="2">
        <v>210.87110000000001</v>
      </c>
    </row>
    <row r="720" spans="10:16">
      <c r="J720" s="5" t="s">
        <v>1392</v>
      </c>
      <c r="K720" t="s">
        <v>1393</v>
      </c>
      <c r="L720" t="s">
        <v>115</v>
      </c>
      <c r="M720" t="s">
        <v>102</v>
      </c>
      <c r="N720" s="2">
        <v>7.1900000000000006E-2</v>
      </c>
      <c r="O720" s="1">
        <v>2928</v>
      </c>
      <c r="P720" s="2">
        <v>210.5232</v>
      </c>
    </row>
    <row r="721" spans="10:16">
      <c r="J721" s="5" t="s">
        <v>1357</v>
      </c>
      <c r="K721" t="s">
        <v>1358</v>
      </c>
      <c r="L721" t="s">
        <v>115</v>
      </c>
      <c r="M721" t="s">
        <v>102</v>
      </c>
      <c r="N721" s="2">
        <v>0.255</v>
      </c>
      <c r="O721" s="1">
        <v>824</v>
      </c>
      <c r="P721" s="2">
        <v>210.12</v>
      </c>
    </row>
    <row r="722" spans="10:16">
      <c r="J722" s="5" t="s">
        <v>2405</v>
      </c>
      <c r="K722" t="s">
        <v>2406</v>
      </c>
      <c r="L722" t="s">
        <v>85</v>
      </c>
      <c r="M722" t="s">
        <v>86</v>
      </c>
      <c r="N722" s="2">
        <v>42.004800000000003</v>
      </c>
      <c r="O722" s="1">
        <v>10</v>
      </c>
      <c r="P722" s="2">
        <v>210.024</v>
      </c>
    </row>
    <row r="723" spans="10:16">
      <c r="J723" s="5" t="s">
        <v>1170</v>
      </c>
      <c r="K723" t="s">
        <v>1171</v>
      </c>
      <c r="L723" t="s">
        <v>31</v>
      </c>
      <c r="M723" t="s">
        <v>1931</v>
      </c>
      <c r="N723" s="2">
        <v>15</v>
      </c>
      <c r="O723" s="1">
        <v>14</v>
      </c>
      <c r="P723" s="2">
        <v>210</v>
      </c>
    </row>
    <row r="724" spans="10:16">
      <c r="J724" s="5" t="s">
        <v>2930</v>
      </c>
      <c r="K724" t="s">
        <v>2931</v>
      </c>
      <c r="L724" t="s">
        <v>98</v>
      </c>
      <c r="M724" t="s">
        <v>86</v>
      </c>
      <c r="N724" s="2">
        <v>23.297999999999998</v>
      </c>
      <c r="O724" s="1">
        <v>18</v>
      </c>
      <c r="P724" s="2">
        <v>209.68199999999999</v>
      </c>
    </row>
    <row r="725" spans="10:16">
      <c r="J725" s="5" t="s">
        <v>4859</v>
      </c>
      <c r="K725" t="s">
        <v>4860</v>
      </c>
      <c r="L725" t="s">
        <v>85</v>
      </c>
      <c r="M725" t="s">
        <v>86</v>
      </c>
      <c r="N725" s="2">
        <v>2.3736999999999999</v>
      </c>
      <c r="O725" s="1">
        <v>88</v>
      </c>
      <c r="P725" s="2">
        <v>208.88559999999998</v>
      </c>
    </row>
    <row r="726" spans="10:16">
      <c r="J726" s="5" t="s">
        <v>4469</v>
      </c>
      <c r="K726" t="s">
        <v>252</v>
      </c>
      <c r="L726" t="s">
        <v>85</v>
      </c>
      <c r="M726" t="s">
        <v>86</v>
      </c>
      <c r="N726" s="2">
        <v>11.5953</v>
      </c>
      <c r="O726" s="1">
        <v>18</v>
      </c>
      <c r="P726" s="2">
        <v>208.71539999999999</v>
      </c>
    </row>
    <row r="727" spans="10:16">
      <c r="J727" s="5" t="s">
        <v>2971</v>
      </c>
      <c r="K727" t="s">
        <v>2972</v>
      </c>
      <c r="L727" t="s">
        <v>219</v>
      </c>
      <c r="M727" t="s">
        <v>86</v>
      </c>
      <c r="N727" s="2">
        <v>23.122399999999999</v>
      </c>
      <c r="O727" s="1">
        <v>9</v>
      </c>
      <c r="P727" s="2">
        <v>208.10159999999999</v>
      </c>
    </row>
    <row r="728" spans="10:16">
      <c r="J728" s="5" t="s">
        <v>2693</v>
      </c>
      <c r="K728" t="s">
        <v>2694</v>
      </c>
      <c r="L728" t="s">
        <v>131</v>
      </c>
      <c r="M728" t="s">
        <v>125</v>
      </c>
      <c r="N728" s="2">
        <v>207.02</v>
      </c>
      <c r="O728" s="1">
        <v>1</v>
      </c>
      <c r="P728" s="2">
        <v>207.02</v>
      </c>
    </row>
    <row r="729" spans="10:16">
      <c r="J729" s="5" t="s">
        <v>1463</v>
      </c>
      <c r="K729" t="s">
        <v>1464</v>
      </c>
      <c r="L729" t="s">
        <v>115</v>
      </c>
      <c r="M729" t="s">
        <v>102</v>
      </c>
      <c r="N729" s="2">
        <v>9.5600000000000004E-2</v>
      </c>
      <c r="O729" s="1">
        <v>2165</v>
      </c>
      <c r="P729" s="2">
        <v>206.97400000000002</v>
      </c>
    </row>
    <row r="730" spans="10:16">
      <c r="J730" s="5" t="s">
        <v>2482</v>
      </c>
      <c r="K730" t="s">
        <v>2483</v>
      </c>
      <c r="L730" t="s">
        <v>85</v>
      </c>
      <c r="M730" t="s">
        <v>86</v>
      </c>
      <c r="N730" s="2">
        <v>34.456000000000003</v>
      </c>
      <c r="O730" s="1">
        <v>6</v>
      </c>
      <c r="P730" s="2">
        <v>206.73600000000002</v>
      </c>
    </row>
    <row r="731" spans="10:16">
      <c r="J731" s="5" t="s">
        <v>5237</v>
      </c>
      <c r="K731" t="s">
        <v>5238</v>
      </c>
      <c r="L731" t="s">
        <v>101</v>
      </c>
      <c r="M731" t="s">
        <v>102</v>
      </c>
      <c r="N731" s="2">
        <v>8.5300000000000001E-2</v>
      </c>
      <c r="O731" s="1">
        <v>2418</v>
      </c>
      <c r="P731" s="2">
        <v>206.25540000000001</v>
      </c>
    </row>
    <row r="732" spans="10:16">
      <c r="J732" s="5" t="s">
        <v>3444</v>
      </c>
      <c r="K732" t="s">
        <v>3445</v>
      </c>
      <c r="L732" t="s">
        <v>3443</v>
      </c>
      <c r="M732" t="s">
        <v>112</v>
      </c>
      <c r="N732" s="2">
        <v>206.11109999999999</v>
      </c>
      <c r="O732" s="1">
        <v>3</v>
      </c>
      <c r="P732" s="2">
        <v>206.11109999999999</v>
      </c>
    </row>
    <row r="733" spans="10:16">
      <c r="J733" s="5" t="s">
        <v>2746</v>
      </c>
      <c r="K733" t="s">
        <v>2747</v>
      </c>
      <c r="L733" t="s">
        <v>85</v>
      </c>
      <c r="M733" t="s">
        <v>86</v>
      </c>
      <c r="N733" s="2">
        <v>29.276</v>
      </c>
      <c r="O733" s="1">
        <v>7</v>
      </c>
      <c r="P733" s="2">
        <v>204.93199999999999</v>
      </c>
    </row>
    <row r="734" spans="10:16">
      <c r="J734" s="5" t="s">
        <v>5409</v>
      </c>
      <c r="K734" t="s">
        <v>5410</v>
      </c>
      <c r="L734" t="s">
        <v>85</v>
      </c>
      <c r="M734" t="s">
        <v>86</v>
      </c>
      <c r="N734" s="2">
        <v>29.2484</v>
      </c>
      <c r="O734" s="1">
        <v>14</v>
      </c>
      <c r="P734" s="2">
        <v>204.7388</v>
      </c>
    </row>
    <row r="735" spans="10:16">
      <c r="J735" s="5" t="s">
        <v>3212</v>
      </c>
      <c r="K735" t="s">
        <v>3213</v>
      </c>
      <c r="L735" t="s">
        <v>208</v>
      </c>
      <c r="M735" t="s">
        <v>125</v>
      </c>
      <c r="N735" s="2">
        <v>29.2178</v>
      </c>
      <c r="O735" s="1">
        <v>14</v>
      </c>
      <c r="P735" s="2">
        <v>204.52459999999999</v>
      </c>
    </row>
    <row r="736" spans="10:16">
      <c r="J736" s="5" t="s">
        <v>4747</v>
      </c>
      <c r="K736" t="s">
        <v>4748</v>
      </c>
      <c r="L736" t="s">
        <v>219</v>
      </c>
      <c r="M736" t="s">
        <v>86</v>
      </c>
      <c r="N736" s="2">
        <v>102.21680000000001</v>
      </c>
      <c r="O736" s="1">
        <v>4</v>
      </c>
      <c r="P736" s="2">
        <v>204.43360000000001</v>
      </c>
    </row>
    <row r="737" spans="10:16">
      <c r="J737" s="5" t="s">
        <v>158</v>
      </c>
      <c r="K737" t="s">
        <v>159</v>
      </c>
      <c r="L737" t="s">
        <v>160</v>
      </c>
      <c r="M737" t="s">
        <v>125</v>
      </c>
      <c r="N737" s="2">
        <v>11.96</v>
      </c>
      <c r="O737" s="1">
        <v>17</v>
      </c>
      <c r="P737" s="2">
        <v>203.32000000000002</v>
      </c>
    </row>
    <row r="738" spans="10:16">
      <c r="J738" s="5" t="s">
        <v>2695</v>
      </c>
      <c r="K738" t="s">
        <v>2696</v>
      </c>
      <c r="L738" t="s">
        <v>128</v>
      </c>
      <c r="M738" t="s">
        <v>125</v>
      </c>
      <c r="N738" s="2">
        <v>10.1654</v>
      </c>
      <c r="O738" s="1">
        <v>40</v>
      </c>
      <c r="P738" s="2">
        <v>203.30799999999999</v>
      </c>
    </row>
    <row r="739" spans="10:16">
      <c r="J739" s="5" t="s">
        <v>1236</v>
      </c>
      <c r="K739" t="s">
        <v>1237</v>
      </c>
      <c r="L739" t="s">
        <v>1821</v>
      </c>
      <c r="M739" t="s">
        <v>125</v>
      </c>
      <c r="N739" s="2">
        <v>203.00219999999999</v>
      </c>
      <c r="O739" s="1">
        <v>2</v>
      </c>
      <c r="P739" s="2">
        <v>203.00219999999999</v>
      </c>
    </row>
    <row r="740" spans="10:16">
      <c r="J740" s="5" t="s">
        <v>5502</v>
      </c>
      <c r="K740" t="s">
        <v>5503</v>
      </c>
      <c r="L740" t="s">
        <v>85</v>
      </c>
      <c r="M740" t="s">
        <v>86</v>
      </c>
      <c r="N740" s="2">
        <v>2.8837000000000002</v>
      </c>
      <c r="O740" s="1">
        <v>70</v>
      </c>
      <c r="P740" s="2">
        <v>201.85900000000001</v>
      </c>
    </row>
    <row r="741" spans="10:16">
      <c r="J741" s="5" t="s">
        <v>4653</v>
      </c>
      <c r="K741" t="s">
        <v>4654</v>
      </c>
      <c r="L741" t="s">
        <v>85</v>
      </c>
      <c r="M741" t="s">
        <v>86</v>
      </c>
      <c r="N741" s="2">
        <v>13.401199999999999</v>
      </c>
      <c r="O741" s="1">
        <v>15</v>
      </c>
      <c r="P741" s="2">
        <v>201.018</v>
      </c>
    </row>
    <row r="742" spans="10:16">
      <c r="J742" s="5" t="s">
        <v>3122</v>
      </c>
      <c r="K742" t="s">
        <v>3123</v>
      </c>
      <c r="L742" t="s">
        <v>85</v>
      </c>
      <c r="M742" t="s">
        <v>86</v>
      </c>
      <c r="N742" s="2">
        <v>18.151800000000001</v>
      </c>
      <c r="O742" s="1">
        <v>22</v>
      </c>
      <c r="P742" s="2">
        <v>199.66980000000001</v>
      </c>
    </row>
    <row r="743" spans="10:16">
      <c r="J743" s="5" t="s">
        <v>5079</v>
      </c>
      <c r="K743" t="s">
        <v>5080</v>
      </c>
      <c r="L743" t="s">
        <v>3304</v>
      </c>
      <c r="M743" t="s">
        <v>1931</v>
      </c>
      <c r="N743" s="2">
        <v>66.540000000000006</v>
      </c>
      <c r="O743" s="1">
        <v>3</v>
      </c>
      <c r="P743" s="2">
        <v>199.62</v>
      </c>
    </row>
    <row r="744" spans="10:16">
      <c r="J744" s="5" t="s">
        <v>1369</v>
      </c>
      <c r="K744" t="s">
        <v>1370</v>
      </c>
      <c r="L744" t="s">
        <v>115</v>
      </c>
      <c r="M744" t="s">
        <v>102</v>
      </c>
      <c r="N744" s="2">
        <v>7.1900000000000006E-2</v>
      </c>
      <c r="O744" s="1">
        <v>2775</v>
      </c>
      <c r="P744" s="2">
        <v>199.52250000000001</v>
      </c>
    </row>
    <row r="745" spans="10:16">
      <c r="J745" s="5" t="s">
        <v>1640</v>
      </c>
      <c r="K745" t="s">
        <v>1641</v>
      </c>
      <c r="L745" t="s">
        <v>115</v>
      </c>
      <c r="M745" t="s">
        <v>102</v>
      </c>
      <c r="N745" s="2">
        <v>0.17810000000000001</v>
      </c>
      <c r="O745" s="1">
        <v>1119</v>
      </c>
      <c r="P745" s="2">
        <v>199.29390000000001</v>
      </c>
    </row>
    <row r="746" spans="10:16">
      <c r="J746" s="5" t="s">
        <v>4106</v>
      </c>
      <c r="K746" t="s">
        <v>4107</v>
      </c>
      <c r="L746" t="s">
        <v>85</v>
      </c>
      <c r="M746" t="s">
        <v>86</v>
      </c>
      <c r="N746" s="2">
        <v>7.9390000000000001</v>
      </c>
      <c r="O746" s="1">
        <v>50</v>
      </c>
      <c r="P746" s="2">
        <v>198.47499999999999</v>
      </c>
    </row>
    <row r="747" spans="10:16">
      <c r="J747" s="5" t="s">
        <v>2750</v>
      </c>
      <c r="K747" t="s">
        <v>2751</v>
      </c>
      <c r="L747" t="s">
        <v>219</v>
      </c>
      <c r="M747" t="s">
        <v>86</v>
      </c>
      <c r="N747" s="2">
        <v>49.57</v>
      </c>
      <c r="O747" s="1">
        <v>4</v>
      </c>
      <c r="P747" s="2">
        <v>198.28</v>
      </c>
    </row>
    <row r="748" spans="10:16">
      <c r="J748" s="5" t="s">
        <v>584</v>
      </c>
      <c r="K748" t="s">
        <v>585</v>
      </c>
      <c r="L748" t="s">
        <v>580</v>
      </c>
      <c r="M748" t="s">
        <v>581</v>
      </c>
      <c r="N748" s="2">
        <v>24.733000000000001</v>
      </c>
      <c r="O748" s="1">
        <v>8</v>
      </c>
      <c r="P748" s="2">
        <v>197.864</v>
      </c>
    </row>
    <row r="749" spans="10:16">
      <c r="J749" s="5" t="s">
        <v>1866</v>
      </c>
      <c r="K749" t="s">
        <v>1867</v>
      </c>
      <c r="L749" t="s">
        <v>3411</v>
      </c>
      <c r="M749" t="s">
        <v>125</v>
      </c>
      <c r="N749" s="2">
        <v>65.631600000000006</v>
      </c>
      <c r="O749" s="1">
        <v>6</v>
      </c>
      <c r="P749" s="2">
        <v>196.89480000000003</v>
      </c>
    </row>
    <row r="750" spans="10:16">
      <c r="J750" s="5" t="s">
        <v>3086</v>
      </c>
      <c r="K750" t="s">
        <v>3087</v>
      </c>
      <c r="L750" t="s">
        <v>85</v>
      </c>
      <c r="M750" t="s">
        <v>86</v>
      </c>
      <c r="N750" s="2">
        <v>28.102</v>
      </c>
      <c r="O750" s="1">
        <v>7</v>
      </c>
      <c r="P750" s="2">
        <v>196.714</v>
      </c>
    </row>
    <row r="751" spans="10:16">
      <c r="J751" s="5" t="s">
        <v>785</v>
      </c>
      <c r="K751" t="s">
        <v>786</v>
      </c>
      <c r="L751" t="s">
        <v>580</v>
      </c>
      <c r="M751" t="s">
        <v>619</v>
      </c>
      <c r="N751" s="2">
        <v>15.127800000000001</v>
      </c>
      <c r="O751" s="1">
        <v>13</v>
      </c>
      <c r="P751" s="2">
        <v>196.66140000000001</v>
      </c>
    </row>
    <row r="752" spans="10:16">
      <c r="J752" s="5" t="s">
        <v>5286</v>
      </c>
      <c r="K752" t="s">
        <v>5287</v>
      </c>
      <c r="L752" t="s">
        <v>3411</v>
      </c>
      <c r="M752" t="s">
        <v>125</v>
      </c>
      <c r="N752" s="2">
        <v>39.298400000000001</v>
      </c>
      <c r="O752" s="1">
        <v>10</v>
      </c>
      <c r="P752" s="2">
        <v>196.49200000000002</v>
      </c>
    </row>
    <row r="753" spans="10:16">
      <c r="J753" s="5" t="s">
        <v>4322</v>
      </c>
      <c r="K753" t="s">
        <v>4323</v>
      </c>
      <c r="L753" t="s">
        <v>85</v>
      </c>
      <c r="M753" t="s">
        <v>86</v>
      </c>
      <c r="N753" s="2">
        <v>10.903600000000001</v>
      </c>
      <c r="O753" s="1">
        <v>36</v>
      </c>
      <c r="P753" s="2">
        <v>196.26480000000001</v>
      </c>
    </row>
    <row r="754" spans="10:16">
      <c r="J754" s="5" t="s">
        <v>960</v>
      </c>
      <c r="K754" t="s">
        <v>961</v>
      </c>
      <c r="L754" t="s">
        <v>944</v>
      </c>
      <c r="M754" t="s">
        <v>125</v>
      </c>
      <c r="N754" s="2">
        <v>24.5108</v>
      </c>
      <c r="O754" s="1">
        <v>16</v>
      </c>
      <c r="P754" s="2">
        <v>196.0864</v>
      </c>
    </row>
    <row r="755" spans="10:16">
      <c r="J755" s="5" t="s">
        <v>3907</v>
      </c>
      <c r="K755" t="s">
        <v>3908</v>
      </c>
      <c r="L755" t="s">
        <v>476</v>
      </c>
      <c r="M755" t="s">
        <v>86</v>
      </c>
      <c r="N755" s="2">
        <v>24.494199999999999</v>
      </c>
      <c r="O755" s="1">
        <v>16</v>
      </c>
      <c r="P755" s="2">
        <v>195.95359999999999</v>
      </c>
    </row>
    <row r="756" spans="10:16">
      <c r="J756" s="5" t="s">
        <v>4683</v>
      </c>
      <c r="K756" t="s">
        <v>4684</v>
      </c>
      <c r="L756" t="s">
        <v>85</v>
      </c>
      <c r="M756" t="s">
        <v>86</v>
      </c>
      <c r="N756" s="2">
        <v>8.8910999999999998</v>
      </c>
      <c r="O756" s="1">
        <v>22</v>
      </c>
      <c r="P756" s="2">
        <v>195.60419999999999</v>
      </c>
    </row>
    <row r="757" spans="10:16">
      <c r="J757" s="5" t="s">
        <v>1656</v>
      </c>
      <c r="K757" t="s">
        <v>1657</v>
      </c>
      <c r="L757" t="s">
        <v>115</v>
      </c>
      <c r="M757" t="s">
        <v>102</v>
      </c>
      <c r="N757" s="2">
        <v>0.224</v>
      </c>
      <c r="O757" s="1">
        <v>873</v>
      </c>
      <c r="P757" s="2">
        <v>195.55199999999999</v>
      </c>
    </row>
    <row r="758" spans="10:16">
      <c r="J758" s="5" t="s">
        <v>2944</v>
      </c>
      <c r="K758" t="s">
        <v>2945</v>
      </c>
      <c r="L758" t="s">
        <v>85</v>
      </c>
      <c r="M758" t="s">
        <v>86</v>
      </c>
      <c r="N758" s="2">
        <v>48.805999999999997</v>
      </c>
      <c r="O758" s="1">
        <v>4</v>
      </c>
      <c r="P758" s="2">
        <v>195.22399999999999</v>
      </c>
    </row>
    <row r="759" spans="10:16">
      <c r="J759" s="5" t="s">
        <v>1164</v>
      </c>
      <c r="K759" t="s">
        <v>1165</v>
      </c>
      <c r="L759" t="s">
        <v>31</v>
      </c>
      <c r="M759" t="s">
        <v>1931</v>
      </c>
      <c r="N759" s="2">
        <v>15</v>
      </c>
      <c r="O759" s="1">
        <v>13</v>
      </c>
      <c r="P759" s="2">
        <v>195</v>
      </c>
    </row>
    <row r="760" spans="10:16">
      <c r="J760" s="5" t="s">
        <v>5061</v>
      </c>
      <c r="K760" t="s">
        <v>5062</v>
      </c>
      <c r="L760" t="s">
        <v>219</v>
      </c>
      <c r="M760" t="s">
        <v>86</v>
      </c>
      <c r="N760" s="2">
        <v>32.476599999999998</v>
      </c>
      <c r="O760" s="1">
        <v>12</v>
      </c>
      <c r="P760" s="2">
        <v>194.8596</v>
      </c>
    </row>
    <row r="761" spans="10:16">
      <c r="J761" s="5" t="s">
        <v>1705</v>
      </c>
      <c r="K761" t="s">
        <v>1706</v>
      </c>
      <c r="L761" t="s">
        <v>115</v>
      </c>
      <c r="M761" t="s">
        <v>102</v>
      </c>
      <c r="N761" s="2">
        <v>0.17649999999999999</v>
      </c>
      <c r="O761" s="1">
        <v>1101</v>
      </c>
      <c r="P761" s="2">
        <v>194.32649999999998</v>
      </c>
    </row>
    <row r="762" spans="10:16">
      <c r="J762" s="5" t="s">
        <v>4585</v>
      </c>
      <c r="K762" t="s">
        <v>4586</v>
      </c>
      <c r="L762" t="s">
        <v>85</v>
      </c>
      <c r="M762" t="s">
        <v>86</v>
      </c>
      <c r="N762" s="2">
        <v>2.8974000000000002</v>
      </c>
      <c r="O762" s="1">
        <v>134</v>
      </c>
      <c r="P762" s="2">
        <v>194.12580000000003</v>
      </c>
    </row>
    <row r="763" spans="10:16">
      <c r="J763" s="5" t="s">
        <v>1703</v>
      </c>
      <c r="K763" t="s">
        <v>1704</v>
      </c>
      <c r="L763" t="s">
        <v>115</v>
      </c>
      <c r="M763" t="s">
        <v>102</v>
      </c>
      <c r="N763" s="2">
        <v>0.1198</v>
      </c>
      <c r="O763" s="1">
        <v>1619</v>
      </c>
      <c r="P763" s="2">
        <v>193.9562</v>
      </c>
    </row>
    <row r="764" spans="10:16">
      <c r="J764" s="5" t="s">
        <v>2645</v>
      </c>
      <c r="K764" t="s">
        <v>2646</v>
      </c>
      <c r="L764" t="s">
        <v>5474</v>
      </c>
      <c r="M764" t="s">
        <v>125</v>
      </c>
      <c r="N764" s="2">
        <v>17.619</v>
      </c>
      <c r="O764" s="1">
        <v>11</v>
      </c>
      <c r="P764" s="2">
        <v>193.809</v>
      </c>
    </row>
    <row r="765" spans="10:16">
      <c r="J765" s="5" t="s">
        <v>2832</v>
      </c>
      <c r="K765" t="s">
        <v>2833</v>
      </c>
      <c r="L765" t="s">
        <v>223</v>
      </c>
      <c r="M765" t="s">
        <v>86</v>
      </c>
      <c r="N765" s="2">
        <v>48.274999999999999</v>
      </c>
      <c r="O765" s="1">
        <v>4</v>
      </c>
      <c r="P765" s="2">
        <v>193.1</v>
      </c>
    </row>
    <row r="766" spans="10:16">
      <c r="J766" s="5" t="s">
        <v>1150</v>
      </c>
      <c r="K766" t="s">
        <v>1151</v>
      </c>
      <c r="L766" t="s">
        <v>31</v>
      </c>
      <c r="M766" t="s">
        <v>1931</v>
      </c>
      <c r="N766" s="2">
        <v>192</v>
      </c>
      <c r="O766" s="1">
        <v>1</v>
      </c>
      <c r="P766" s="2">
        <v>192</v>
      </c>
    </row>
    <row r="767" spans="10:16">
      <c r="J767" s="5" t="s">
        <v>379</v>
      </c>
      <c r="K767" t="s">
        <v>380</v>
      </c>
      <c r="L767" t="s">
        <v>219</v>
      </c>
      <c r="M767" t="s">
        <v>86</v>
      </c>
      <c r="N767" s="2">
        <v>63.686500000000002</v>
      </c>
      <c r="O767" s="1">
        <v>3</v>
      </c>
      <c r="P767" s="2">
        <v>191.05950000000001</v>
      </c>
    </row>
    <row r="768" spans="10:16">
      <c r="J768" s="5" t="s">
        <v>4723</v>
      </c>
      <c r="K768" t="s">
        <v>4724</v>
      </c>
      <c r="L768" t="s">
        <v>219</v>
      </c>
      <c r="M768" t="s">
        <v>86</v>
      </c>
      <c r="N768" s="2">
        <v>23.78</v>
      </c>
      <c r="O768" s="1">
        <v>8</v>
      </c>
      <c r="P768" s="2">
        <v>190.24</v>
      </c>
    </row>
    <row r="769" spans="10:16">
      <c r="J769" s="5" t="s">
        <v>1853</v>
      </c>
      <c r="K769" t="s">
        <v>1854</v>
      </c>
      <c r="L769" t="s">
        <v>31</v>
      </c>
      <c r="M769" t="s">
        <v>1931</v>
      </c>
      <c r="N769" s="2">
        <v>95.004999999999995</v>
      </c>
      <c r="O769" s="1">
        <v>2</v>
      </c>
      <c r="P769" s="2">
        <v>190.01</v>
      </c>
    </row>
    <row r="770" spans="10:16">
      <c r="J770" s="5" t="s">
        <v>4767</v>
      </c>
      <c r="K770" t="s">
        <v>4768</v>
      </c>
      <c r="L770" t="s">
        <v>85</v>
      </c>
      <c r="M770" t="s">
        <v>86</v>
      </c>
      <c r="N770" s="2">
        <v>47.43</v>
      </c>
      <c r="O770" s="1">
        <v>4</v>
      </c>
      <c r="P770" s="2">
        <v>189.72</v>
      </c>
    </row>
    <row r="771" spans="10:16">
      <c r="J771" s="5" t="s">
        <v>2983</v>
      </c>
      <c r="K771" t="s">
        <v>2984</v>
      </c>
      <c r="L771" t="s">
        <v>85</v>
      </c>
      <c r="M771" t="s">
        <v>86</v>
      </c>
      <c r="N771" s="2">
        <v>37.878</v>
      </c>
      <c r="O771" s="1">
        <v>5</v>
      </c>
      <c r="P771" s="2">
        <v>189.39</v>
      </c>
    </row>
    <row r="772" spans="10:16">
      <c r="J772" s="5" t="s">
        <v>1410</v>
      </c>
      <c r="K772" t="s">
        <v>5228</v>
      </c>
      <c r="L772" t="s">
        <v>115</v>
      </c>
      <c r="M772" t="s">
        <v>102</v>
      </c>
      <c r="N772" s="2">
        <v>0.1077</v>
      </c>
      <c r="O772" s="1">
        <v>1749</v>
      </c>
      <c r="P772" s="2">
        <v>188.3673</v>
      </c>
    </row>
    <row r="773" spans="10:16">
      <c r="J773" s="5" t="s">
        <v>4332</v>
      </c>
      <c r="K773" t="s">
        <v>4333</v>
      </c>
      <c r="L773" t="s">
        <v>85</v>
      </c>
      <c r="M773" t="s">
        <v>86</v>
      </c>
      <c r="N773" s="2">
        <v>9.9027999999999992</v>
      </c>
      <c r="O773" s="1">
        <v>38</v>
      </c>
      <c r="P773" s="2">
        <v>188.15319999999997</v>
      </c>
    </row>
    <row r="774" spans="10:16">
      <c r="J774" s="5" t="s">
        <v>891</v>
      </c>
      <c r="K774" t="s">
        <v>892</v>
      </c>
      <c r="L774" t="s">
        <v>31</v>
      </c>
      <c r="M774" t="s">
        <v>125</v>
      </c>
      <c r="N774" s="2">
        <v>4.5860000000000003</v>
      </c>
      <c r="O774" s="1">
        <v>41</v>
      </c>
      <c r="P774" s="2">
        <v>188.02600000000001</v>
      </c>
    </row>
    <row r="775" spans="10:16">
      <c r="J775" s="5" t="s">
        <v>5489</v>
      </c>
      <c r="K775" t="s">
        <v>5490</v>
      </c>
      <c r="L775" t="s">
        <v>5474</v>
      </c>
      <c r="M775" t="s">
        <v>125</v>
      </c>
      <c r="N775" s="2">
        <v>15.635</v>
      </c>
      <c r="O775" s="1">
        <v>12</v>
      </c>
      <c r="P775" s="2">
        <v>187.62</v>
      </c>
    </row>
    <row r="776" spans="10:16">
      <c r="J776" s="5" t="s">
        <v>2740</v>
      </c>
      <c r="K776" t="s">
        <v>2741</v>
      </c>
      <c r="L776" t="s">
        <v>85</v>
      </c>
      <c r="M776" t="s">
        <v>86</v>
      </c>
      <c r="N776" s="2">
        <v>46.802999999999997</v>
      </c>
      <c r="O776" s="1">
        <v>4</v>
      </c>
      <c r="P776" s="2">
        <v>187.21199999999999</v>
      </c>
    </row>
    <row r="777" spans="10:16">
      <c r="J777" s="5" t="s">
        <v>2679</v>
      </c>
      <c r="K777" t="s">
        <v>2680</v>
      </c>
      <c r="L777" t="s">
        <v>128</v>
      </c>
      <c r="M777" t="s">
        <v>125</v>
      </c>
      <c r="N777" s="2">
        <v>31.151399999999999</v>
      </c>
      <c r="O777" s="1">
        <v>12</v>
      </c>
      <c r="P777" s="2">
        <v>186.9084</v>
      </c>
    </row>
    <row r="778" spans="10:16">
      <c r="J778" s="5" t="s">
        <v>342</v>
      </c>
      <c r="K778" t="s">
        <v>343</v>
      </c>
      <c r="L778" t="s">
        <v>85</v>
      </c>
      <c r="M778" t="s">
        <v>86</v>
      </c>
      <c r="N778" s="2">
        <v>3.5124</v>
      </c>
      <c r="O778" s="1">
        <v>106</v>
      </c>
      <c r="P778" s="2">
        <v>186.15719999999999</v>
      </c>
    </row>
    <row r="779" spans="10:16">
      <c r="J779" s="5" t="s">
        <v>1499</v>
      </c>
      <c r="K779" t="s">
        <v>1500</v>
      </c>
      <c r="L779" t="s">
        <v>115</v>
      </c>
      <c r="M779" t="s">
        <v>102</v>
      </c>
      <c r="N779" s="2">
        <v>5.5E-2</v>
      </c>
      <c r="O779" s="1">
        <v>3370</v>
      </c>
      <c r="P779" s="2">
        <v>185.35</v>
      </c>
    </row>
    <row r="780" spans="10:16">
      <c r="J780" s="5" t="s">
        <v>3071</v>
      </c>
      <c r="K780" t="s">
        <v>4670</v>
      </c>
      <c r="L780" t="s">
        <v>219</v>
      </c>
      <c r="M780" t="s">
        <v>86</v>
      </c>
      <c r="N780" s="2">
        <v>61.627000000000002</v>
      </c>
      <c r="O780" s="1">
        <v>3</v>
      </c>
      <c r="P780" s="2">
        <v>184.881</v>
      </c>
    </row>
    <row r="781" spans="10:16">
      <c r="J781" s="5" t="s">
        <v>3229</v>
      </c>
      <c r="K781" t="s">
        <v>3230</v>
      </c>
      <c r="L781" t="s">
        <v>85</v>
      </c>
      <c r="M781" t="s">
        <v>86</v>
      </c>
      <c r="N781" s="2">
        <v>15.398999999999999</v>
      </c>
      <c r="O781" s="1">
        <v>12</v>
      </c>
      <c r="P781" s="2">
        <v>184.78799999999998</v>
      </c>
    </row>
    <row r="782" spans="10:16">
      <c r="J782" s="5" t="s">
        <v>1347</v>
      </c>
      <c r="K782" t="s">
        <v>1348</v>
      </c>
      <c r="L782" t="s">
        <v>115</v>
      </c>
      <c r="M782" t="s">
        <v>102</v>
      </c>
      <c r="N782" s="2">
        <v>6.7599999999999993E-2</v>
      </c>
      <c r="O782" s="1">
        <v>2731</v>
      </c>
      <c r="P782" s="2">
        <v>184.61559999999997</v>
      </c>
    </row>
    <row r="783" spans="10:16">
      <c r="J783" s="5" t="s">
        <v>570</v>
      </c>
      <c r="K783" t="s">
        <v>571</v>
      </c>
      <c r="L783" t="s">
        <v>618</v>
      </c>
      <c r="M783" t="s">
        <v>626</v>
      </c>
      <c r="N783" s="2">
        <v>511.09399999999999</v>
      </c>
      <c r="O783" s="1">
        <v>0.36</v>
      </c>
      <c r="P783" s="2">
        <v>183.99383999999998</v>
      </c>
    </row>
    <row r="784" spans="10:16">
      <c r="J784" s="5" t="s">
        <v>4062</v>
      </c>
      <c r="K784" t="s">
        <v>4063</v>
      </c>
      <c r="L784" t="s">
        <v>219</v>
      </c>
      <c r="M784" t="s">
        <v>86</v>
      </c>
      <c r="N784" s="2">
        <v>15.322800000000001</v>
      </c>
      <c r="O784" s="1">
        <v>24</v>
      </c>
      <c r="P784" s="2">
        <v>183.87360000000001</v>
      </c>
    </row>
    <row r="785" spans="10:16">
      <c r="J785" s="5" t="s">
        <v>4783</v>
      </c>
      <c r="K785" t="s">
        <v>4784</v>
      </c>
      <c r="L785" t="s">
        <v>436</v>
      </c>
      <c r="M785" t="s">
        <v>86</v>
      </c>
      <c r="N785" s="2">
        <v>16.703299999999999</v>
      </c>
      <c r="O785" s="1">
        <v>11</v>
      </c>
      <c r="P785" s="2">
        <v>183.73629999999997</v>
      </c>
    </row>
    <row r="786" spans="10:16">
      <c r="J786" s="5" t="s">
        <v>3473</v>
      </c>
      <c r="K786" t="s">
        <v>3474</v>
      </c>
      <c r="L786" t="s">
        <v>98</v>
      </c>
      <c r="M786" t="s">
        <v>86</v>
      </c>
      <c r="N786" s="2">
        <v>61.226700000000001</v>
      </c>
      <c r="O786" s="1">
        <v>3</v>
      </c>
      <c r="P786" s="2">
        <v>183.68010000000001</v>
      </c>
    </row>
    <row r="787" spans="10:16">
      <c r="J787" s="5" t="s">
        <v>832</v>
      </c>
      <c r="K787" t="s">
        <v>833</v>
      </c>
      <c r="L787" t="s">
        <v>618</v>
      </c>
      <c r="M787" t="s">
        <v>626</v>
      </c>
      <c r="N787" s="2">
        <v>14.1212</v>
      </c>
      <c r="O787" s="1">
        <v>26</v>
      </c>
      <c r="P787" s="2">
        <v>183.57560000000001</v>
      </c>
    </row>
    <row r="788" spans="10:16">
      <c r="J788" s="5" t="s">
        <v>5211</v>
      </c>
      <c r="K788" t="s">
        <v>5212</v>
      </c>
      <c r="L788" t="s">
        <v>101</v>
      </c>
      <c r="M788" t="s">
        <v>102</v>
      </c>
      <c r="N788" s="2">
        <v>0.57779999999999998</v>
      </c>
      <c r="O788" s="1">
        <v>317</v>
      </c>
      <c r="P788" s="2">
        <v>183.1626</v>
      </c>
    </row>
    <row r="789" spans="10:16">
      <c r="J789" s="5" t="s">
        <v>497</v>
      </c>
      <c r="K789" t="s">
        <v>4815</v>
      </c>
      <c r="L789" t="s">
        <v>85</v>
      </c>
      <c r="M789" t="s">
        <v>86</v>
      </c>
      <c r="N789" s="2">
        <v>30.3</v>
      </c>
      <c r="O789" s="1">
        <v>6</v>
      </c>
      <c r="P789" s="2">
        <v>181.8</v>
      </c>
    </row>
    <row r="790" spans="10:16">
      <c r="J790" s="5" t="s">
        <v>1390</v>
      </c>
      <c r="K790" t="s">
        <v>1391</v>
      </c>
      <c r="L790" t="s">
        <v>115</v>
      </c>
      <c r="M790" t="s">
        <v>102</v>
      </c>
      <c r="N790" s="2">
        <v>6.4899999999999999E-2</v>
      </c>
      <c r="O790" s="1">
        <v>2799</v>
      </c>
      <c r="P790" s="2">
        <v>181.6551</v>
      </c>
    </row>
    <row r="791" spans="10:16">
      <c r="J791" s="5" t="s">
        <v>2436</v>
      </c>
      <c r="K791" t="s">
        <v>2437</v>
      </c>
      <c r="L791" t="s">
        <v>85</v>
      </c>
      <c r="M791" t="s">
        <v>86</v>
      </c>
      <c r="N791" s="2">
        <v>25.899799999999999</v>
      </c>
      <c r="O791" s="1">
        <v>14</v>
      </c>
      <c r="P791" s="2">
        <v>181.29859999999999</v>
      </c>
    </row>
    <row r="792" spans="10:16">
      <c r="J792" s="5" t="s">
        <v>1536</v>
      </c>
      <c r="K792" t="s">
        <v>1537</v>
      </c>
      <c r="L792" t="s">
        <v>115</v>
      </c>
      <c r="M792" t="s">
        <v>102</v>
      </c>
      <c r="N792" s="2">
        <v>0.1552</v>
      </c>
      <c r="O792" s="1">
        <v>1165</v>
      </c>
      <c r="P792" s="2">
        <v>180.80799999999999</v>
      </c>
    </row>
    <row r="793" spans="10:16">
      <c r="J793" s="5" t="s">
        <v>1473</v>
      </c>
      <c r="K793" t="s">
        <v>1474</v>
      </c>
      <c r="L793" t="s">
        <v>115</v>
      </c>
      <c r="M793" t="s">
        <v>102</v>
      </c>
      <c r="N793" s="2">
        <v>0.10929999999999999</v>
      </c>
      <c r="O793" s="1">
        <v>1654</v>
      </c>
      <c r="P793" s="2">
        <v>180.78219999999999</v>
      </c>
    </row>
    <row r="794" spans="10:16">
      <c r="J794" s="5" t="s">
        <v>2415</v>
      </c>
      <c r="K794" t="s">
        <v>5394</v>
      </c>
      <c r="L794" t="s">
        <v>85</v>
      </c>
      <c r="M794" t="s">
        <v>86</v>
      </c>
      <c r="N794" s="2">
        <v>25.720600000000001</v>
      </c>
      <c r="O794" s="1">
        <v>14</v>
      </c>
      <c r="P794" s="2">
        <v>180.04420000000002</v>
      </c>
    </row>
    <row r="795" spans="10:16">
      <c r="J795" s="5" t="s">
        <v>1176</v>
      </c>
      <c r="K795" t="s">
        <v>1177</v>
      </c>
      <c r="L795" t="s">
        <v>31</v>
      </c>
      <c r="M795" t="s">
        <v>1931</v>
      </c>
      <c r="N795" s="2">
        <v>30</v>
      </c>
      <c r="O795" s="1">
        <v>6</v>
      </c>
      <c r="P795" s="2">
        <v>180</v>
      </c>
    </row>
    <row r="796" spans="10:16">
      <c r="J796" s="5" t="s">
        <v>3533</v>
      </c>
      <c r="K796" t="s">
        <v>3534</v>
      </c>
      <c r="L796" t="s">
        <v>98</v>
      </c>
      <c r="M796" t="s">
        <v>86</v>
      </c>
      <c r="N796" s="2">
        <v>44.93</v>
      </c>
      <c r="O796" s="1">
        <v>4</v>
      </c>
      <c r="P796" s="2">
        <v>179.72</v>
      </c>
    </row>
    <row r="797" spans="10:16">
      <c r="J797" s="5" t="s">
        <v>1433</v>
      </c>
      <c r="K797" t="s">
        <v>1434</v>
      </c>
      <c r="L797" t="s">
        <v>115</v>
      </c>
      <c r="M797" t="s">
        <v>102</v>
      </c>
      <c r="N797" s="2">
        <v>0.158</v>
      </c>
      <c r="O797" s="1">
        <v>1137</v>
      </c>
      <c r="P797" s="2">
        <v>179.64600000000002</v>
      </c>
    </row>
    <row r="798" spans="10:16">
      <c r="J798" s="5" t="s">
        <v>1619</v>
      </c>
      <c r="K798" t="s">
        <v>1620</v>
      </c>
      <c r="L798" t="s">
        <v>115</v>
      </c>
      <c r="M798" t="s">
        <v>102</v>
      </c>
      <c r="N798" s="2">
        <v>0.215</v>
      </c>
      <c r="O798" s="1">
        <v>831</v>
      </c>
      <c r="P798" s="2">
        <v>178.66499999999999</v>
      </c>
    </row>
    <row r="799" spans="10:16">
      <c r="J799" s="5" t="s">
        <v>5336</v>
      </c>
      <c r="K799" t="s">
        <v>5337</v>
      </c>
      <c r="L799" t="s">
        <v>5081</v>
      </c>
      <c r="M799" t="s">
        <v>125</v>
      </c>
      <c r="N799" s="2">
        <v>6.8472</v>
      </c>
      <c r="O799" s="1">
        <v>52</v>
      </c>
      <c r="P799" s="2">
        <v>178.02719999999999</v>
      </c>
    </row>
    <row r="800" spans="10:16">
      <c r="J800" s="5" t="s">
        <v>1623</v>
      </c>
      <c r="K800" t="s">
        <v>1624</v>
      </c>
      <c r="L800" t="s">
        <v>115</v>
      </c>
      <c r="M800" t="s">
        <v>102</v>
      </c>
      <c r="N800" s="2">
        <v>0.19600000000000001</v>
      </c>
      <c r="O800" s="1">
        <v>907</v>
      </c>
      <c r="P800" s="2">
        <v>177.77200000000002</v>
      </c>
    </row>
    <row r="801" spans="10:16">
      <c r="J801" s="5" t="s">
        <v>2990</v>
      </c>
      <c r="K801" t="s">
        <v>412</v>
      </c>
      <c r="L801" t="s">
        <v>219</v>
      </c>
      <c r="M801" t="s">
        <v>86</v>
      </c>
      <c r="N801" s="2">
        <v>88.003299999999996</v>
      </c>
      <c r="O801" s="1">
        <v>2</v>
      </c>
      <c r="P801" s="2">
        <v>176.00659999999999</v>
      </c>
    </row>
    <row r="802" spans="10:16">
      <c r="J802" s="5" t="s">
        <v>653</v>
      </c>
      <c r="K802" t="s">
        <v>654</v>
      </c>
      <c r="L802" t="s">
        <v>31</v>
      </c>
      <c r="M802" t="s">
        <v>1931</v>
      </c>
      <c r="N802" s="2">
        <v>87.863200000000006</v>
      </c>
      <c r="O802" s="1">
        <v>4</v>
      </c>
      <c r="P802" s="2">
        <v>175.72640000000001</v>
      </c>
    </row>
    <row r="803" spans="10:16">
      <c r="J803" s="5" t="s">
        <v>2360</v>
      </c>
      <c r="K803" t="s">
        <v>2361</v>
      </c>
      <c r="L803" t="s">
        <v>85</v>
      </c>
      <c r="M803" t="s">
        <v>86</v>
      </c>
      <c r="N803" s="2">
        <v>4.875</v>
      </c>
      <c r="O803" s="1">
        <v>36</v>
      </c>
      <c r="P803" s="2">
        <v>175.5</v>
      </c>
    </row>
    <row r="804" spans="10:16">
      <c r="J804" s="5" t="s">
        <v>1425</v>
      </c>
      <c r="K804" t="s">
        <v>1426</v>
      </c>
      <c r="L804" t="s">
        <v>115</v>
      </c>
      <c r="M804" t="s">
        <v>102</v>
      </c>
      <c r="N804" s="2">
        <v>0.12870000000000001</v>
      </c>
      <c r="O804" s="1">
        <v>1362</v>
      </c>
      <c r="P804" s="2">
        <v>175.2894</v>
      </c>
    </row>
    <row r="805" spans="10:16">
      <c r="J805" s="5" t="s">
        <v>5171</v>
      </c>
      <c r="K805" t="s">
        <v>5172</v>
      </c>
      <c r="L805" t="s">
        <v>3304</v>
      </c>
      <c r="M805" t="s">
        <v>1931</v>
      </c>
      <c r="N805" s="2">
        <v>174.42500000000001</v>
      </c>
      <c r="O805" s="1">
        <v>1</v>
      </c>
      <c r="P805" s="2">
        <v>174.42500000000001</v>
      </c>
    </row>
    <row r="806" spans="10:16">
      <c r="J806" s="5" t="s">
        <v>2989</v>
      </c>
      <c r="K806" t="s">
        <v>2450</v>
      </c>
      <c r="L806" t="s">
        <v>85</v>
      </c>
      <c r="M806" t="s">
        <v>86</v>
      </c>
      <c r="N806" s="2">
        <v>21.777999999999999</v>
      </c>
      <c r="O806" s="1">
        <v>8</v>
      </c>
      <c r="P806" s="2">
        <v>174.22399999999999</v>
      </c>
    </row>
    <row r="807" spans="10:16">
      <c r="J807" s="5" t="s">
        <v>1367</v>
      </c>
      <c r="K807" t="s">
        <v>1368</v>
      </c>
      <c r="L807" t="s">
        <v>115</v>
      </c>
      <c r="M807" t="s">
        <v>102</v>
      </c>
      <c r="N807" s="2">
        <v>8.2400000000000001E-2</v>
      </c>
      <c r="O807" s="1">
        <v>2111</v>
      </c>
      <c r="P807" s="2">
        <v>173.94640000000001</v>
      </c>
    </row>
    <row r="808" spans="10:16">
      <c r="J808" s="5" t="s">
        <v>1567</v>
      </c>
      <c r="K808" t="s">
        <v>1568</v>
      </c>
      <c r="L808" t="s">
        <v>115</v>
      </c>
      <c r="M808" t="s">
        <v>102</v>
      </c>
      <c r="N808" s="2">
        <v>7.3300000000000004E-2</v>
      </c>
      <c r="O808" s="1">
        <v>2373</v>
      </c>
      <c r="P808" s="2">
        <v>173.9409</v>
      </c>
    </row>
    <row r="809" spans="10:16">
      <c r="J809" s="5" t="s">
        <v>1958</v>
      </c>
      <c r="K809" t="s">
        <v>1959</v>
      </c>
      <c r="L809" t="s">
        <v>5081</v>
      </c>
      <c r="M809" t="s">
        <v>125</v>
      </c>
      <c r="N809" s="2">
        <v>5.9926000000000004</v>
      </c>
      <c r="O809" s="1">
        <v>58</v>
      </c>
      <c r="P809" s="2">
        <v>173.78540000000001</v>
      </c>
    </row>
    <row r="810" spans="10:16">
      <c r="J810" s="5" t="s">
        <v>3529</v>
      </c>
      <c r="K810" t="s">
        <v>3530</v>
      </c>
      <c r="L810" t="s">
        <v>85</v>
      </c>
      <c r="M810" t="s">
        <v>86</v>
      </c>
      <c r="N810" s="2">
        <v>28.9602</v>
      </c>
      <c r="O810" s="1">
        <v>6</v>
      </c>
      <c r="P810" s="2">
        <v>173.7612</v>
      </c>
    </row>
    <row r="811" spans="10:16">
      <c r="J811" s="5" t="s">
        <v>498</v>
      </c>
      <c r="K811" t="s">
        <v>499</v>
      </c>
      <c r="L811" t="s">
        <v>85</v>
      </c>
      <c r="M811" t="s">
        <v>86</v>
      </c>
      <c r="N811" s="2">
        <v>11.5708</v>
      </c>
      <c r="O811" s="1">
        <v>15</v>
      </c>
      <c r="P811" s="2">
        <v>173.56200000000001</v>
      </c>
    </row>
    <row r="812" spans="10:16">
      <c r="J812" s="5" t="s">
        <v>1188</v>
      </c>
      <c r="K812" t="s">
        <v>1189</v>
      </c>
      <c r="L812" t="s">
        <v>31</v>
      </c>
      <c r="M812" t="s">
        <v>1931</v>
      </c>
      <c r="N812" s="2">
        <v>171.75</v>
      </c>
      <c r="O812" s="1">
        <v>1</v>
      </c>
      <c r="P812" s="2">
        <v>171.75</v>
      </c>
    </row>
    <row r="813" spans="10:16">
      <c r="J813" s="5" t="s">
        <v>1519</v>
      </c>
      <c r="K813" t="s">
        <v>1520</v>
      </c>
      <c r="L813" t="s">
        <v>101</v>
      </c>
      <c r="M813" t="s">
        <v>102</v>
      </c>
      <c r="N813" s="2">
        <v>7.9000000000000001E-2</v>
      </c>
      <c r="O813" s="1">
        <v>2173</v>
      </c>
      <c r="P813" s="2">
        <v>171.667</v>
      </c>
    </row>
    <row r="814" spans="10:16">
      <c r="J814" s="5" t="s">
        <v>4419</v>
      </c>
      <c r="K814" t="s">
        <v>4420</v>
      </c>
      <c r="L814" t="s">
        <v>85</v>
      </c>
      <c r="M814" t="s">
        <v>86</v>
      </c>
      <c r="N814" s="2">
        <v>3.7286000000000001</v>
      </c>
      <c r="O814" s="1">
        <v>46</v>
      </c>
      <c r="P814" s="2">
        <v>171.51560000000001</v>
      </c>
    </row>
    <row r="815" spans="10:16">
      <c r="J815" s="5" t="s">
        <v>2940</v>
      </c>
      <c r="K815" t="s">
        <v>2941</v>
      </c>
      <c r="L815" t="s">
        <v>219</v>
      </c>
      <c r="M815" t="s">
        <v>86</v>
      </c>
      <c r="N815" s="2">
        <v>57.145000000000003</v>
      </c>
      <c r="O815" s="1">
        <v>3</v>
      </c>
      <c r="P815" s="2">
        <v>171.435</v>
      </c>
    </row>
    <row r="816" spans="10:16">
      <c r="J816" s="5" t="s">
        <v>1465</v>
      </c>
      <c r="K816" t="s">
        <v>1466</v>
      </c>
      <c r="L816" t="s">
        <v>115</v>
      </c>
      <c r="M816" t="s">
        <v>102</v>
      </c>
      <c r="N816" s="2">
        <v>8.6499999999999994E-2</v>
      </c>
      <c r="O816" s="1">
        <v>1979</v>
      </c>
      <c r="P816" s="2">
        <v>171.18349999999998</v>
      </c>
    </row>
    <row r="817" spans="10:16">
      <c r="J817" s="5" t="s">
        <v>586</v>
      </c>
      <c r="K817" t="s">
        <v>587</v>
      </c>
      <c r="L817" t="s">
        <v>580</v>
      </c>
      <c r="M817" t="s">
        <v>581</v>
      </c>
      <c r="N817" s="2">
        <v>2.6122000000000001</v>
      </c>
      <c r="O817" s="1">
        <v>65</v>
      </c>
      <c r="P817" s="2">
        <v>169.79300000000001</v>
      </c>
    </row>
    <row r="818" spans="10:16">
      <c r="J818" s="5" t="s">
        <v>3941</v>
      </c>
      <c r="K818" t="s">
        <v>3942</v>
      </c>
      <c r="L818" t="s">
        <v>85</v>
      </c>
      <c r="M818" t="s">
        <v>86</v>
      </c>
      <c r="N818" s="2">
        <v>7.3685999999999998</v>
      </c>
      <c r="O818" s="1">
        <v>23</v>
      </c>
      <c r="P818" s="2">
        <v>169.4778</v>
      </c>
    </row>
    <row r="819" spans="10:16">
      <c r="J819" s="5" t="s">
        <v>5044</v>
      </c>
      <c r="K819" t="s">
        <v>5045</v>
      </c>
      <c r="L819" t="s">
        <v>219</v>
      </c>
      <c r="M819" t="s">
        <v>86</v>
      </c>
      <c r="N819" s="2">
        <v>9.4117999999999995</v>
      </c>
      <c r="O819" s="1">
        <v>36</v>
      </c>
      <c r="P819" s="2">
        <v>169.41239999999999</v>
      </c>
    </row>
    <row r="820" spans="10:16">
      <c r="J820" s="5" t="s">
        <v>2778</v>
      </c>
      <c r="K820" t="s">
        <v>2779</v>
      </c>
      <c r="L820" t="s">
        <v>98</v>
      </c>
      <c r="M820" t="s">
        <v>86</v>
      </c>
      <c r="N820" s="2">
        <v>2.6419999999999999</v>
      </c>
      <c r="O820" s="1">
        <v>64</v>
      </c>
      <c r="P820" s="2">
        <v>169.08799999999999</v>
      </c>
    </row>
    <row r="821" spans="10:16">
      <c r="J821" s="5" t="s">
        <v>5104</v>
      </c>
      <c r="K821" t="s">
        <v>5105</v>
      </c>
      <c r="L821" t="s">
        <v>618</v>
      </c>
      <c r="M821" t="s">
        <v>626</v>
      </c>
      <c r="N821" s="2">
        <v>2.2502</v>
      </c>
      <c r="O821" s="1">
        <v>150</v>
      </c>
      <c r="P821" s="2">
        <v>168.76499999999999</v>
      </c>
    </row>
    <row r="822" spans="10:16">
      <c r="J822" s="5" t="s">
        <v>1322</v>
      </c>
      <c r="K822" t="s">
        <v>1323</v>
      </c>
      <c r="L822" t="s">
        <v>115</v>
      </c>
      <c r="M822" t="s">
        <v>102</v>
      </c>
      <c r="N822" s="2">
        <v>0.249</v>
      </c>
      <c r="O822" s="1">
        <v>675</v>
      </c>
      <c r="P822" s="2">
        <v>168.07499999999999</v>
      </c>
    </row>
    <row r="823" spans="10:16">
      <c r="J823" s="5" t="s">
        <v>2834</v>
      </c>
      <c r="K823" t="s">
        <v>2835</v>
      </c>
      <c r="L823" t="s">
        <v>219</v>
      </c>
      <c r="M823" t="s">
        <v>86</v>
      </c>
      <c r="N823" s="2">
        <v>83.822199999999995</v>
      </c>
      <c r="O823" s="1">
        <v>4</v>
      </c>
      <c r="P823" s="2">
        <v>167.64439999999999</v>
      </c>
    </row>
    <row r="824" spans="10:16">
      <c r="J824" s="5" t="s">
        <v>2839</v>
      </c>
      <c r="K824" t="s">
        <v>2840</v>
      </c>
      <c r="L824" t="s">
        <v>219</v>
      </c>
      <c r="M824" t="s">
        <v>86</v>
      </c>
      <c r="N824" s="2">
        <v>27.847999999999999</v>
      </c>
      <c r="O824" s="1">
        <v>6</v>
      </c>
      <c r="P824" s="2">
        <v>167.08799999999999</v>
      </c>
    </row>
    <row r="825" spans="10:16">
      <c r="J825" s="5" t="s">
        <v>951</v>
      </c>
      <c r="K825" t="s">
        <v>952</v>
      </c>
      <c r="L825" t="s">
        <v>944</v>
      </c>
      <c r="M825" t="s">
        <v>125</v>
      </c>
      <c r="N825" s="2">
        <v>41.572800000000001</v>
      </c>
      <c r="O825" s="1">
        <v>8</v>
      </c>
      <c r="P825" s="2">
        <v>166.2912</v>
      </c>
    </row>
    <row r="826" spans="10:16">
      <c r="J826" s="5" t="s">
        <v>3408</v>
      </c>
      <c r="K826" t="s">
        <v>2542</v>
      </c>
      <c r="L826" t="s">
        <v>128</v>
      </c>
      <c r="M826" t="s">
        <v>125</v>
      </c>
      <c r="N826" s="2">
        <v>5.5359999999999996</v>
      </c>
      <c r="O826" s="1">
        <v>30</v>
      </c>
      <c r="P826" s="2">
        <v>166.07999999999998</v>
      </c>
    </row>
    <row r="827" spans="10:16">
      <c r="J827" s="5" t="s">
        <v>3004</v>
      </c>
      <c r="K827" t="s">
        <v>419</v>
      </c>
      <c r="L827" t="s">
        <v>85</v>
      </c>
      <c r="M827" t="s">
        <v>86</v>
      </c>
      <c r="N827" s="2">
        <v>6.3719999999999999</v>
      </c>
      <c r="O827" s="1">
        <v>26</v>
      </c>
      <c r="P827" s="2">
        <v>165.672</v>
      </c>
    </row>
    <row r="828" spans="10:16">
      <c r="J828" s="5" t="s">
        <v>4501</v>
      </c>
      <c r="K828" t="s">
        <v>4502</v>
      </c>
      <c r="L828" t="s">
        <v>85</v>
      </c>
      <c r="M828" t="s">
        <v>86</v>
      </c>
      <c r="N828" s="2">
        <v>33.095199999999998</v>
      </c>
      <c r="O828" s="1">
        <v>5</v>
      </c>
      <c r="P828" s="2">
        <v>165.476</v>
      </c>
    </row>
    <row r="829" spans="10:16">
      <c r="J829" s="5" t="s">
        <v>213</v>
      </c>
      <c r="K829" t="s">
        <v>214</v>
      </c>
      <c r="L829" t="s">
        <v>31</v>
      </c>
      <c r="M829" t="s">
        <v>125</v>
      </c>
      <c r="N829" s="2">
        <v>9.1902000000000008</v>
      </c>
      <c r="O829" s="1">
        <v>36</v>
      </c>
      <c r="P829" s="2">
        <v>165.42360000000002</v>
      </c>
    </row>
    <row r="830" spans="10:16">
      <c r="J830" s="5" t="s">
        <v>1600</v>
      </c>
      <c r="K830" t="s">
        <v>1601</v>
      </c>
      <c r="L830" t="s">
        <v>101</v>
      </c>
      <c r="M830" t="s">
        <v>626</v>
      </c>
      <c r="N830" s="2">
        <v>147.39169999999999</v>
      </c>
      <c r="O830" s="1">
        <v>1.1200000000000001</v>
      </c>
      <c r="P830" s="2">
        <v>165.07870399999999</v>
      </c>
    </row>
    <row r="831" spans="10:16">
      <c r="J831" s="5" t="s">
        <v>1642</v>
      </c>
      <c r="K831" t="s">
        <v>1643</v>
      </c>
      <c r="L831" t="s">
        <v>115</v>
      </c>
      <c r="M831" t="s">
        <v>102</v>
      </c>
      <c r="N831" s="2">
        <v>9.4899999999999998E-2</v>
      </c>
      <c r="O831" s="1">
        <v>1738</v>
      </c>
      <c r="P831" s="2">
        <v>164.93619999999999</v>
      </c>
    </row>
    <row r="832" spans="10:16">
      <c r="J832" s="5" t="s">
        <v>2975</v>
      </c>
      <c r="K832" t="s">
        <v>503</v>
      </c>
      <c r="L832" t="s">
        <v>85</v>
      </c>
      <c r="M832" t="s">
        <v>86</v>
      </c>
      <c r="N832" s="2">
        <v>41.234000000000002</v>
      </c>
      <c r="O832" s="1">
        <v>4</v>
      </c>
      <c r="P832" s="2">
        <v>164.93600000000001</v>
      </c>
    </row>
    <row r="833" spans="10:16">
      <c r="J833" s="5" t="s">
        <v>4853</v>
      </c>
      <c r="K833" t="s">
        <v>4854</v>
      </c>
      <c r="L833" t="s">
        <v>85</v>
      </c>
      <c r="M833" t="s">
        <v>86</v>
      </c>
      <c r="N833" s="2">
        <v>16.48</v>
      </c>
      <c r="O833" s="1">
        <v>10</v>
      </c>
      <c r="P833" s="2">
        <v>164.8</v>
      </c>
    </row>
    <row r="834" spans="10:16">
      <c r="J834" s="5" t="s">
        <v>2004</v>
      </c>
      <c r="K834" t="s">
        <v>2005</v>
      </c>
      <c r="L834" t="s">
        <v>101</v>
      </c>
      <c r="M834" t="s">
        <v>581</v>
      </c>
      <c r="N834" s="2">
        <v>23.504000000000001</v>
      </c>
      <c r="O834" s="1">
        <v>7</v>
      </c>
      <c r="P834" s="2">
        <v>164.52800000000002</v>
      </c>
    </row>
    <row r="835" spans="10:16">
      <c r="J835" s="5" t="s">
        <v>424</v>
      </c>
      <c r="K835" t="s">
        <v>425</v>
      </c>
      <c r="L835" t="s">
        <v>219</v>
      </c>
      <c r="M835" t="s">
        <v>86</v>
      </c>
      <c r="N835" s="2">
        <v>10.8942</v>
      </c>
      <c r="O835" s="1">
        <v>30</v>
      </c>
      <c r="P835" s="2">
        <v>163.41299999999998</v>
      </c>
    </row>
    <row r="836" spans="10:16">
      <c r="J836" s="5" t="s">
        <v>4900</v>
      </c>
      <c r="K836" t="s">
        <v>4901</v>
      </c>
      <c r="L836" t="s">
        <v>85</v>
      </c>
      <c r="M836" t="s">
        <v>86</v>
      </c>
      <c r="N836" s="2">
        <v>1.3472</v>
      </c>
      <c r="O836" s="1">
        <v>242</v>
      </c>
      <c r="P836" s="2">
        <v>163.0112</v>
      </c>
    </row>
    <row r="837" spans="10:16">
      <c r="J837" s="5" t="s">
        <v>1045</v>
      </c>
      <c r="K837" t="s">
        <v>1046</v>
      </c>
      <c r="L837" t="s">
        <v>131</v>
      </c>
      <c r="M837" t="s">
        <v>125</v>
      </c>
      <c r="N837" s="2">
        <v>81.481999999999999</v>
      </c>
      <c r="O837" s="1">
        <v>2</v>
      </c>
      <c r="P837" s="2">
        <v>162.964</v>
      </c>
    </row>
    <row r="838" spans="10:16">
      <c r="J838" s="5" t="s">
        <v>518</v>
      </c>
      <c r="K838" t="s">
        <v>519</v>
      </c>
      <c r="L838" t="s">
        <v>85</v>
      </c>
      <c r="M838" t="s">
        <v>86</v>
      </c>
      <c r="N838" s="2">
        <v>8.5722000000000005</v>
      </c>
      <c r="O838" s="1">
        <v>38</v>
      </c>
      <c r="P838" s="2">
        <v>162.87180000000001</v>
      </c>
    </row>
    <row r="839" spans="10:16">
      <c r="J839" s="5" t="s">
        <v>2830</v>
      </c>
      <c r="K839" t="s">
        <v>2831</v>
      </c>
      <c r="L839" t="s">
        <v>85</v>
      </c>
      <c r="M839" t="s">
        <v>86</v>
      </c>
      <c r="N839" s="2">
        <v>32.438000000000002</v>
      </c>
      <c r="O839" s="1">
        <v>5</v>
      </c>
      <c r="P839" s="2">
        <v>162.19</v>
      </c>
    </row>
    <row r="840" spans="10:16">
      <c r="J840" s="5" t="s">
        <v>3937</v>
      </c>
      <c r="K840" t="s">
        <v>3938</v>
      </c>
      <c r="L840" t="s">
        <v>3482</v>
      </c>
      <c r="M840" t="s">
        <v>86</v>
      </c>
      <c r="N840" s="2">
        <v>40.54</v>
      </c>
      <c r="O840" s="1">
        <v>4</v>
      </c>
      <c r="P840" s="2">
        <v>162.16</v>
      </c>
    </row>
    <row r="841" spans="10:16">
      <c r="J841" s="5" t="s">
        <v>4074</v>
      </c>
      <c r="K841" t="s">
        <v>4075</v>
      </c>
      <c r="L841" t="s">
        <v>98</v>
      </c>
      <c r="M841" t="s">
        <v>86</v>
      </c>
      <c r="N841" s="2">
        <v>26.9739</v>
      </c>
      <c r="O841" s="1">
        <v>6</v>
      </c>
      <c r="P841" s="2">
        <v>161.8434</v>
      </c>
    </row>
    <row r="842" spans="10:16">
      <c r="J842" s="5" t="s">
        <v>190</v>
      </c>
      <c r="K842" t="s">
        <v>191</v>
      </c>
      <c r="L842" t="s">
        <v>141</v>
      </c>
      <c r="M842" t="s">
        <v>125</v>
      </c>
      <c r="N842" s="2">
        <v>32.228000000000002</v>
      </c>
      <c r="O842" s="1">
        <v>5</v>
      </c>
      <c r="P842" s="2">
        <v>161.14000000000001</v>
      </c>
    </row>
    <row r="843" spans="10:16">
      <c r="J843" s="5" t="s">
        <v>2689</v>
      </c>
      <c r="K843" t="s">
        <v>2690</v>
      </c>
      <c r="L843" t="s">
        <v>31</v>
      </c>
      <c r="M843" t="s">
        <v>125</v>
      </c>
      <c r="N843" s="2">
        <v>32.228000000000002</v>
      </c>
      <c r="O843" s="1">
        <v>5</v>
      </c>
      <c r="P843" s="2">
        <v>161.14000000000001</v>
      </c>
    </row>
    <row r="844" spans="10:16">
      <c r="J844" s="5" t="s">
        <v>5175</v>
      </c>
      <c r="K844" t="s">
        <v>5176</v>
      </c>
      <c r="L844" t="s">
        <v>3304</v>
      </c>
      <c r="M844" t="s">
        <v>1931</v>
      </c>
      <c r="N844" s="2">
        <v>160.93</v>
      </c>
      <c r="O844" s="1">
        <v>1</v>
      </c>
      <c r="P844" s="2">
        <v>160.93</v>
      </c>
    </row>
    <row r="845" spans="10:16">
      <c r="J845" s="5" t="s">
        <v>1065</v>
      </c>
      <c r="K845" t="s">
        <v>1066</v>
      </c>
      <c r="L845" t="s">
        <v>141</v>
      </c>
      <c r="M845" t="s">
        <v>125</v>
      </c>
      <c r="N845" s="2">
        <v>53.533200000000001</v>
      </c>
      <c r="O845" s="1">
        <v>6</v>
      </c>
      <c r="P845" s="2">
        <v>160.59960000000001</v>
      </c>
    </row>
    <row r="846" spans="10:16">
      <c r="J846" s="5" t="s">
        <v>2639</v>
      </c>
      <c r="K846" t="s">
        <v>2640</v>
      </c>
      <c r="L846" t="s">
        <v>5474</v>
      </c>
      <c r="M846" t="s">
        <v>125</v>
      </c>
      <c r="N846" s="2">
        <v>10.02</v>
      </c>
      <c r="O846" s="1">
        <v>16</v>
      </c>
      <c r="P846" s="2">
        <v>160.32</v>
      </c>
    </row>
    <row r="847" spans="10:16">
      <c r="J847" s="5" t="s">
        <v>3909</v>
      </c>
      <c r="K847" t="s">
        <v>3910</v>
      </c>
      <c r="L847" t="s">
        <v>476</v>
      </c>
      <c r="M847" t="s">
        <v>86</v>
      </c>
      <c r="N847" s="2">
        <v>26.717600000000001</v>
      </c>
      <c r="O847" s="1">
        <v>12</v>
      </c>
      <c r="P847" s="2">
        <v>160.3056</v>
      </c>
    </row>
    <row r="848" spans="10:16">
      <c r="J848" s="5" t="s">
        <v>2755</v>
      </c>
      <c r="K848" t="s">
        <v>3575</v>
      </c>
      <c r="L848" t="s">
        <v>85</v>
      </c>
      <c r="M848" t="s">
        <v>86</v>
      </c>
      <c r="N848" s="2">
        <v>4.8575999999999997</v>
      </c>
      <c r="O848" s="1">
        <v>66</v>
      </c>
      <c r="P848" s="2">
        <v>160.30079999999998</v>
      </c>
    </row>
    <row r="849" spans="10:16">
      <c r="J849" s="5" t="s">
        <v>564</v>
      </c>
      <c r="K849" t="s">
        <v>565</v>
      </c>
      <c r="L849" t="s">
        <v>115</v>
      </c>
      <c r="M849" t="s">
        <v>1931</v>
      </c>
      <c r="N849" s="2">
        <v>16.013999999999999</v>
      </c>
      <c r="O849" s="1">
        <v>10</v>
      </c>
      <c r="P849" s="2">
        <v>160.13999999999999</v>
      </c>
    </row>
    <row r="850" spans="10:16">
      <c r="J850" s="5" t="s">
        <v>2836</v>
      </c>
      <c r="K850" t="s">
        <v>3691</v>
      </c>
      <c r="L850" t="s">
        <v>219</v>
      </c>
      <c r="M850" t="s">
        <v>86</v>
      </c>
      <c r="N850" s="2">
        <v>31.977399999999999</v>
      </c>
      <c r="O850" s="1">
        <v>5</v>
      </c>
      <c r="P850" s="2">
        <v>159.887</v>
      </c>
    </row>
    <row r="851" spans="10:16">
      <c r="J851" s="5" t="s">
        <v>375</v>
      </c>
      <c r="K851" t="s">
        <v>376</v>
      </c>
      <c r="L851" t="s">
        <v>85</v>
      </c>
      <c r="M851" t="s">
        <v>86</v>
      </c>
      <c r="N851" s="2">
        <v>31.9741</v>
      </c>
      <c r="O851" s="1">
        <v>5</v>
      </c>
      <c r="P851" s="2">
        <v>159.87049999999999</v>
      </c>
    </row>
    <row r="852" spans="10:16">
      <c r="J852" s="5" t="s">
        <v>1540</v>
      </c>
      <c r="K852" t="s">
        <v>1541</v>
      </c>
      <c r="L852" t="s">
        <v>115</v>
      </c>
      <c r="M852" t="s">
        <v>102</v>
      </c>
      <c r="N852" s="2">
        <v>0.14480000000000001</v>
      </c>
      <c r="O852" s="1">
        <v>1104</v>
      </c>
      <c r="P852" s="2">
        <v>159.85920000000002</v>
      </c>
    </row>
    <row r="853" spans="10:16">
      <c r="J853" s="5" t="s">
        <v>2828</v>
      </c>
      <c r="K853" t="s">
        <v>2829</v>
      </c>
      <c r="L853" t="s">
        <v>98</v>
      </c>
      <c r="M853" t="s">
        <v>86</v>
      </c>
      <c r="N853" s="2">
        <v>26.635999999999999</v>
      </c>
      <c r="O853" s="1">
        <v>6</v>
      </c>
      <c r="P853" s="2">
        <v>159.816</v>
      </c>
    </row>
    <row r="854" spans="10:16">
      <c r="J854" s="5" t="s">
        <v>2374</v>
      </c>
      <c r="K854" t="s">
        <v>2375</v>
      </c>
      <c r="L854" t="s">
        <v>85</v>
      </c>
      <c r="M854" t="s">
        <v>86</v>
      </c>
      <c r="N854" s="2">
        <v>39.884</v>
      </c>
      <c r="O854" s="1">
        <v>4</v>
      </c>
      <c r="P854" s="2">
        <v>159.536</v>
      </c>
    </row>
    <row r="855" spans="10:16">
      <c r="J855" s="5" t="s">
        <v>151</v>
      </c>
      <c r="K855" t="s">
        <v>152</v>
      </c>
      <c r="L855" t="s">
        <v>31</v>
      </c>
      <c r="M855" t="s">
        <v>125</v>
      </c>
      <c r="N855" s="2">
        <v>159.12530000000001</v>
      </c>
      <c r="O855" s="1">
        <v>1</v>
      </c>
      <c r="P855" s="2">
        <v>159.12530000000001</v>
      </c>
    </row>
    <row r="856" spans="10:16">
      <c r="J856" s="5" t="s">
        <v>572</v>
      </c>
      <c r="K856" t="s">
        <v>573</v>
      </c>
      <c r="L856" t="s">
        <v>31</v>
      </c>
      <c r="M856" t="s">
        <v>31</v>
      </c>
      <c r="N856" s="2">
        <v>39.78</v>
      </c>
      <c r="O856" s="1">
        <v>4</v>
      </c>
      <c r="P856" s="2">
        <v>159.12</v>
      </c>
    </row>
    <row r="857" spans="10:16">
      <c r="J857" s="5" t="s">
        <v>1525</v>
      </c>
      <c r="K857" t="s">
        <v>1526</v>
      </c>
      <c r="L857" t="s">
        <v>115</v>
      </c>
      <c r="M857" t="s">
        <v>102</v>
      </c>
      <c r="N857" s="2">
        <v>0.34200000000000003</v>
      </c>
      <c r="O857" s="1">
        <v>465</v>
      </c>
      <c r="P857" s="2">
        <v>159.03</v>
      </c>
    </row>
    <row r="858" spans="10:16">
      <c r="J858" s="5" t="s">
        <v>4190</v>
      </c>
      <c r="K858" t="s">
        <v>4191</v>
      </c>
      <c r="L858" t="s">
        <v>85</v>
      </c>
      <c r="M858" t="s">
        <v>86</v>
      </c>
      <c r="N858" s="2">
        <v>22.64</v>
      </c>
      <c r="O858" s="1">
        <v>7</v>
      </c>
      <c r="P858" s="2">
        <v>158.48000000000002</v>
      </c>
    </row>
    <row r="859" spans="10:16">
      <c r="J859" s="5" t="s">
        <v>377</v>
      </c>
      <c r="K859" t="s">
        <v>378</v>
      </c>
      <c r="L859" t="s">
        <v>85</v>
      </c>
      <c r="M859" t="s">
        <v>86</v>
      </c>
      <c r="N859" s="2">
        <v>31.655799999999999</v>
      </c>
      <c r="O859" s="1">
        <v>5</v>
      </c>
      <c r="P859" s="2">
        <v>158.279</v>
      </c>
    </row>
    <row r="860" spans="10:16">
      <c r="J860" s="5" t="s">
        <v>856</v>
      </c>
      <c r="K860" t="s">
        <v>5121</v>
      </c>
      <c r="L860" t="s">
        <v>98</v>
      </c>
      <c r="M860" t="s">
        <v>86</v>
      </c>
      <c r="N860" s="2">
        <v>15.7942</v>
      </c>
      <c r="O860" s="1">
        <v>20</v>
      </c>
      <c r="P860" s="2">
        <v>157.94200000000001</v>
      </c>
    </row>
    <row r="861" spans="10:16">
      <c r="J861" s="5" t="s">
        <v>3477</v>
      </c>
      <c r="K861" t="s">
        <v>3478</v>
      </c>
      <c r="L861" t="s">
        <v>219</v>
      </c>
      <c r="M861" t="s">
        <v>86</v>
      </c>
      <c r="N861" s="2">
        <v>157.29</v>
      </c>
      <c r="O861" s="1">
        <v>1</v>
      </c>
      <c r="P861" s="2">
        <v>157.29</v>
      </c>
    </row>
    <row r="862" spans="10:16">
      <c r="J862" s="5" t="s">
        <v>4551</v>
      </c>
      <c r="K862" t="s">
        <v>4552</v>
      </c>
      <c r="L862" t="s">
        <v>85</v>
      </c>
      <c r="M862" t="s">
        <v>86</v>
      </c>
      <c r="N862" s="2">
        <v>31.428000000000001</v>
      </c>
      <c r="O862" s="1">
        <v>5</v>
      </c>
      <c r="P862" s="2">
        <v>157.14000000000001</v>
      </c>
    </row>
    <row r="863" spans="10:16">
      <c r="J863" s="5" t="s">
        <v>4297</v>
      </c>
      <c r="K863" t="s">
        <v>2449</v>
      </c>
      <c r="L863" t="s">
        <v>85</v>
      </c>
      <c r="M863" t="s">
        <v>86</v>
      </c>
      <c r="N863" s="2">
        <v>26.114899999999999</v>
      </c>
      <c r="O863" s="1">
        <v>6</v>
      </c>
      <c r="P863" s="2">
        <v>156.68939999999998</v>
      </c>
    </row>
    <row r="864" spans="10:16">
      <c r="J864" s="5" t="s">
        <v>610</v>
      </c>
      <c r="K864" t="s">
        <v>611</v>
      </c>
      <c r="L864" t="s">
        <v>31</v>
      </c>
      <c r="M864" t="s">
        <v>1931</v>
      </c>
      <c r="N864" s="2">
        <v>52.172600000000003</v>
      </c>
      <c r="O864" s="1">
        <v>6</v>
      </c>
      <c r="P864" s="2">
        <v>156.51780000000002</v>
      </c>
    </row>
    <row r="865" spans="10:16">
      <c r="J865" s="5" t="s">
        <v>523</v>
      </c>
      <c r="K865" t="s">
        <v>4926</v>
      </c>
      <c r="L865" t="s">
        <v>85</v>
      </c>
      <c r="M865" t="s">
        <v>86</v>
      </c>
      <c r="N865" s="2">
        <v>5.1962000000000002</v>
      </c>
      <c r="O865" s="1">
        <v>60</v>
      </c>
      <c r="P865" s="2">
        <v>155.886</v>
      </c>
    </row>
    <row r="866" spans="10:16">
      <c r="J866" s="5" t="s">
        <v>3005</v>
      </c>
      <c r="K866" t="s">
        <v>3006</v>
      </c>
      <c r="L866" t="s">
        <v>85</v>
      </c>
      <c r="M866" t="s">
        <v>86</v>
      </c>
      <c r="N866" s="2">
        <v>5.3650000000000002</v>
      </c>
      <c r="O866" s="1">
        <v>29</v>
      </c>
      <c r="P866" s="2">
        <v>155.58500000000001</v>
      </c>
    </row>
    <row r="867" spans="10:16">
      <c r="J867" s="5" t="s">
        <v>142</v>
      </c>
      <c r="K867" t="s">
        <v>143</v>
      </c>
      <c r="L867" t="s">
        <v>141</v>
      </c>
      <c r="M867" t="s">
        <v>125</v>
      </c>
      <c r="N867" s="2">
        <v>77.767399999999995</v>
      </c>
      <c r="O867" s="1">
        <v>4</v>
      </c>
      <c r="P867" s="2">
        <v>155.53479999999999</v>
      </c>
    </row>
    <row r="868" spans="10:16">
      <c r="J868" s="5" t="s">
        <v>175</v>
      </c>
      <c r="K868" t="s">
        <v>176</v>
      </c>
      <c r="L868" t="s">
        <v>3375</v>
      </c>
      <c r="M868" t="s">
        <v>125</v>
      </c>
      <c r="N868" s="2">
        <v>155.04640000000001</v>
      </c>
      <c r="O868" s="1">
        <v>2</v>
      </c>
      <c r="P868" s="2">
        <v>155.04640000000001</v>
      </c>
    </row>
    <row r="869" spans="10:16">
      <c r="J869" s="5" t="s">
        <v>5384</v>
      </c>
      <c r="K869" t="s">
        <v>5385</v>
      </c>
      <c r="L869" t="s">
        <v>228</v>
      </c>
      <c r="M869" t="s">
        <v>86</v>
      </c>
      <c r="N869" s="2">
        <v>19.3766</v>
      </c>
      <c r="O869" s="1">
        <v>16</v>
      </c>
      <c r="P869" s="2">
        <v>155.0128</v>
      </c>
    </row>
    <row r="870" spans="10:16">
      <c r="J870" s="5" t="s">
        <v>697</v>
      </c>
      <c r="K870" t="s">
        <v>698</v>
      </c>
      <c r="L870" t="s">
        <v>31</v>
      </c>
      <c r="M870" t="s">
        <v>1931</v>
      </c>
      <c r="N870" s="2">
        <v>30.916599999999999</v>
      </c>
      <c r="O870" s="1">
        <v>10</v>
      </c>
      <c r="P870" s="2">
        <v>154.583</v>
      </c>
    </row>
    <row r="871" spans="10:16">
      <c r="J871" s="5" t="s">
        <v>1061</v>
      </c>
      <c r="K871" t="s">
        <v>1062</v>
      </c>
      <c r="L871" t="s">
        <v>128</v>
      </c>
      <c r="M871" t="s">
        <v>125</v>
      </c>
      <c r="N871" s="2">
        <v>38.515999999999998</v>
      </c>
      <c r="O871" s="1">
        <v>4</v>
      </c>
      <c r="P871" s="2">
        <v>154.06399999999999</v>
      </c>
    </row>
    <row r="872" spans="10:16">
      <c r="J872" s="5" t="s">
        <v>1429</v>
      </c>
      <c r="K872" t="s">
        <v>1430</v>
      </c>
      <c r="L872" t="s">
        <v>101</v>
      </c>
      <c r="M872" t="s">
        <v>102</v>
      </c>
      <c r="N872" s="2">
        <v>0.14799999999999999</v>
      </c>
      <c r="O872" s="1">
        <v>1040</v>
      </c>
      <c r="P872" s="2">
        <v>153.91999999999999</v>
      </c>
    </row>
    <row r="873" spans="10:16">
      <c r="J873" s="5" t="s">
        <v>1699</v>
      </c>
      <c r="K873" t="s">
        <v>1700</v>
      </c>
      <c r="L873" t="s">
        <v>115</v>
      </c>
      <c r="M873" t="s">
        <v>102</v>
      </c>
      <c r="N873" s="2">
        <v>0.254</v>
      </c>
      <c r="O873" s="1">
        <v>604</v>
      </c>
      <c r="P873" s="2">
        <v>153.416</v>
      </c>
    </row>
    <row r="874" spans="10:16">
      <c r="J874" s="5" t="s">
        <v>1610</v>
      </c>
      <c r="K874" t="s">
        <v>1611</v>
      </c>
      <c r="L874" t="s">
        <v>115</v>
      </c>
      <c r="M874" t="s">
        <v>102</v>
      </c>
      <c r="N874" s="2">
        <v>0.30299999999999999</v>
      </c>
      <c r="O874" s="1">
        <v>506</v>
      </c>
      <c r="P874" s="2">
        <v>153.31799999999998</v>
      </c>
    </row>
    <row r="875" spans="10:16">
      <c r="J875" s="5" t="s">
        <v>4046</v>
      </c>
      <c r="K875" t="s">
        <v>4047</v>
      </c>
      <c r="L875" t="s">
        <v>85</v>
      </c>
      <c r="M875" t="s">
        <v>86</v>
      </c>
      <c r="N875" s="2">
        <v>38.293999999999997</v>
      </c>
      <c r="O875" s="1">
        <v>4</v>
      </c>
      <c r="P875" s="2">
        <v>153.17599999999999</v>
      </c>
    </row>
    <row r="876" spans="10:16">
      <c r="J876" s="5" t="s">
        <v>5284</v>
      </c>
      <c r="K876" t="s">
        <v>5285</v>
      </c>
      <c r="L876" t="s">
        <v>3411</v>
      </c>
      <c r="M876" t="s">
        <v>125</v>
      </c>
      <c r="N876" s="2">
        <v>76.465199999999996</v>
      </c>
      <c r="O876" s="1">
        <v>4</v>
      </c>
      <c r="P876" s="2">
        <v>152.93039999999999</v>
      </c>
    </row>
    <row r="877" spans="10:16">
      <c r="J877" s="5" t="s">
        <v>4005</v>
      </c>
      <c r="K877" t="s">
        <v>4006</v>
      </c>
      <c r="L877" t="s">
        <v>98</v>
      </c>
      <c r="M877" t="s">
        <v>86</v>
      </c>
      <c r="N877" s="2">
        <v>12.650600000000001</v>
      </c>
      <c r="O877" s="1">
        <v>24</v>
      </c>
      <c r="P877" s="2">
        <v>151.80720000000002</v>
      </c>
    </row>
    <row r="878" spans="10:16">
      <c r="J878" s="5" t="s">
        <v>1503</v>
      </c>
      <c r="K878" t="s">
        <v>1504</v>
      </c>
      <c r="L878" t="s">
        <v>115</v>
      </c>
      <c r="M878" t="s">
        <v>102</v>
      </c>
      <c r="N878" s="2">
        <v>9.1300000000000006E-2</v>
      </c>
      <c r="O878" s="1">
        <v>1660</v>
      </c>
      <c r="P878" s="2">
        <v>151.55800000000002</v>
      </c>
    </row>
    <row r="879" spans="10:16">
      <c r="J879" s="5" t="s">
        <v>671</v>
      </c>
      <c r="K879" t="s">
        <v>672</v>
      </c>
      <c r="L879" t="s">
        <v>31</v>
      </c>
      <c r="M879" t="s">
        <v>1931</v>
      </c>
      <c r="N879" s="2">
        <v>151.47</v>
      </c>
      <c r="O879" s="1">
        <v>1</v>
      </c>
      <c r="P879" s="2">
        <v>151.47</v>
      </c>
    </row>
    <row r="880" spans="10:16">
      <c r="J880" s="5" t="s">
        <v>3069</v>
      </c>
      <c r="K880" t="s">
        <v>3070</v>
      </c>
      <c r="L880" t="s">
        <v>85</v>
      </c>
      <c r="M880" t="s">
        <v>86</v>
      </c>
      <c r="N880" s="2">
        <v>18.88</v>
      </c>
      <c r="O880" s="1">
        <v>8</v>
      </c>
      <c r="P880" s="2">
        <v>151.04</v>
      </c>
    </row>
    <row r="881" spans="10:16">
      <c r="J881" s="5" t="s">
        <v>2935</v>
      </c>
      <c r="K881" t="s">
        <v>4112</v>
      </c>
      <c r="L881" t="s">
        <v>373</v>
      </c>
      <c r="M881" t="s">
        <v>86</v>
      </c>
      <c r="N881" s="2">
        <v>11.596</v>
      </c>
      <c r="O881" s="1">
        <v>26</v>
      </c>
      <c r="P881" s="2">
        <v>150.74799999999999</v>
      </c>
    </row>
    <row r="882" spans="10:16">
      <c r="J882" s="5" t="s">
        <v>1680</v>
      </c>
      <c r="K882" t="s">
        <v>1681</v>
      </c>
      <c r="L882" t="s">
        <v>115</v>
      </c>
      <c r="M882" t="s">
        <v>102</v>
      </c>
      <c r="N882" s="2">
        <v>0.189</v>
      </c>
      <c r="O882" s="1">
        <v>797</v>
      </c>
      <c r="P882" s="2">
        <v>150.63300000000001</v>
      </c>
    </row>
    <row r="883" spans="10:16">
      <c r="J883" s="5" t="s">
        <v>2419</v>
      </c>
      <c r="K883" t="s">
        <v>2420</v>
      </c>
      <c r="L883" t="s">
        <v>85</v>
      </c>
      <c r="M883" t="s">
        <v>86</v>
      </c>
      <c r="N883" s="2">
        <v>15.061</v>
      </c>
      <c r="O883" s="1">
        <v>10</v>
      </c>
      <c r="P883" s="2">
        <v>150.61000000000001</v>
      </c>
    </row>
    <row r="884" spans="10:16">
      <c r="J884" s="5" t="s">
        <v>3084</v>
      </c>
      <c r="K884" t="s">
        <v>3085</v>
      </c>
      <c r="L884" t="s">
        <v>219</v>
      </c>
      <c r="M884" t="s">
        <v>86</v>
      </c>
      <c r="N884" s="2">
        <v>15.0548</v>
      </c>
      <c r="O884" s="1">
        <v>10</v>
      </c>
      <c r="P884" s="2">
        <v>150.548</v>
      </c>
    </row>
    <row r="885" spans="10:16">
      <c r="J885" s="5" t="s">
        <v>4939</v>
      </c>
      <c r="K885" t="s">
        <v>4940</v>
      </c>
      <c r="L885" t="s">
        <v>85</v>
      </c>
      <c r="M885" t="s">
        <v>86</v>
      </c>
      <c r="N885" s="2">
        <v>1.5833999999999999</v>
      </c>
      <c r="O885" s="1">
        <v>190</v>
      </c>
      <c r="P885" s="2">
        <v>150.423</v>
      </c>
    </row>
    <row r="886" spans="10:16">
      <c r="J886" s="5" t="s">
        <v>3933</v>
      </c>
      <c r="K886" t="s">
        <v>3934</v>
      </c>
      <c r="L886" t="s">
        <v>98</v>
      </c>
      <c r="M886" t="s">
        <v>86</v>
      </c>
      <c r="N886" s="2">
        <v>50.094999999999999</v>
      </c>
      <c r="O886" s="1">
        <v>3</v>
      </c>
      <c r="P886" s="2">
        <v>150.285</v>
      </c>
    </row>
    <row r="887" spans="10:16">
      <c r="J887" s="5" t="s">
        <v>693</v>
      </c>
      <c r="K887" t="s">
        <v>694</v>
      </c>
      <c r="L887" t="s">
        <v>31</v>
      </c>
      <c r="M887" t="s">
        <v>1931</v>
      </c>
      <c r="N887" s="2">
        <v>150</v>
      </c>
      <c r="O887" s="1">
        <v>1</v>
      </c>
      <c r="P887" s="2">
        <v>150</v>
      </c>
    </row>
    <row r="888" spans="10:16">
      <c r="J888" s="5" t="s">
        <v>50</v>
      </c>
      <c r="K888" t="s">
        <v>51</v>
      </c>
      <c r="L888" t="s">
        <v>31</v>
      </c>
      <c r="M888" t="s">
        <v>1931</v>
      </c>
      <c r="N888" s="2">
        <v>150</v>
      </c>
      <c r="O888" s="1">
        <v>1</v>
      </c>
      <c r="P888" s="2">
        <v>150</v>
      </c>
    </row>
    <row r="889" spans="10:16">
      <c r="J889" s="5" t="s">
        <v>48</v>
      </c>
      <c r="K889" t="s">
        <v>49</v>
      </c>
      <c r="L889" t="s">
        <v>31</v>
      </c>
      <c r="M889" t="s">
        <v>1931</v>
      </c>
      <c r="N889" s="2">
        <v>150</v>
      </c>
      <c r="O889" s="1">
        <v>1</v>
      </c>
      <c r="P889" s="2">
        <v>150</v>
      </c>
    </row>
    <row r="890" spans="10:16">
      <c r="J890" s="5" t="s">
        <v>4350</v>
      </c>
      <c r="K890" t="s">
        <v>3255</v>
      </c>
      <c r="L890" t="s">
        <v>219</v>
      </c>
      <c r="M890" t="s">
        <v>86</v>
      </c>
      <c r="N890" s="2">
        <v>12.49</v>
      </c>
      <c r="O890" s="1">
        <v>12</v>
      </c>
      <c r="P890" s="2">
        <v>149.88</v>
      </c>
    </row>
    <row r="891" spans="10:16">
      <c r="J891" s="5" t="s">
        <v>118</v>
      </c>
      <c r="K891" t="s">
        <v>119</v>
      </c>
      <c r="L891" t="s">
        <v>115</v>
      </c>
      <c r="M891" t="s">
        <v>102</v>
      </c>
      <c r="N891" s="2">
        <v>4.7100000000000003E-2</v>
      </c>
      <c r="O891" s="1">
        <v>3182</v>
      </c>
      <c r="P891" s="2">
        <v>149.87220000000002</v>
      </c>
    </row>
    <row r="892" spans="10:16">
      <c r="J892" s="5" t="s">
        <v>2906</v>
      </c>
      <c r="K892" t="s">
        <v>3970</v>
      </c>
      <c r="L892" t="s">
        <v>85</v>
      </c>
      <c r="M892" t="s">
        <v>86</v>
      </c>
      <c r="N892" s="2">
        <v>3.8340999999999998</v>
      </c>
      <c r="O892" s="1">
        <v>39</v>
      </c>
      <c r="P892" s="2">
        <v>149.5299</v>
      </c>
    </row>
    <row r="893" spans="10:16">
      <c r="J893" s="5" t="s">
        <v>1666</v>
      </c>
      <c r="K893" t="s">
        <v>1667</v>
      </c>
      <c r="L893" t="s">
        <v>101</v>
      </c>
      <c r="M893" t="s">
        <v>619</v>
      </c>
      <c r="N893" s="2">
        <v>248.5301</v>
      </c>
      <c r="O893" s="1">
        <v>0.6</v>
      </c>
      <c r="P893" s="2">
        <v>149.11805999999999</v>
      </c>
    </row>
    <row r="894" spans="10:16">
      <c r="J894" s="5" t="s">
        <v>4378</v>
      </c>
      <c r="K894" t="s">
        <v>4379</v>
      </c>
      <c r="L894" t="s">
        <v>85</v>
      </c>
      <c r="M894" t="s">
        <v>86</v>
      </c>
      <c r="N894" s="2">
        <v>5.9522000000000004</v>
      </c>
      <c r="O894" s="1">
        <v>50</v>
      </c>
      <c r="P894" s="2">
        <v>148.80500000000001</v>
      </c>
    </row>
    <row r="895" spans="10:16">
      <c r="J895" s="5" t="s">
        <v>3820</v>
      </c>
      <c r="K895" t="s">
        <v>3821</v>
      </c>
      <c r="L895" t="s">
        <v>263</v>
      </c>
      <c r="M895" t="s">
        <v>86</v>
      </c>
      <c r="N895" s="2">
        <v>37.119999999999997</v>
      </c>
      <c r="O895" s="1">
        <v>4</v>
      </c>
      <c r="P895" s="2">
        <v>148.47999999999999</v>
      </c>
    </row>
    <row r="896" spans="10:16">
      <c r="J896" s="5" t="s">
        <v>4795</v>
      </c>
      <c r="K896" t="s">
        <v>4796</v>
      </c>
      <c r="L896" t="s">
        <v>3819</v>
      </c>
      <c r="M896" t="s">
        <v>86</v>
      </c>
      <c r="N896" s="2">
        <v>2.6042999999999998</v>
      </c>
      <c r="O896" s="1">
        <v>57</v>
      </c>
      <c r="P896" s="2">
        <v>148.4451</v>
      </c>
    </row>
    <row r="897" spans="10:16">
      <c r="J897" s="5" t="s">
        <v>942</v>
      </c>
      <c r="K897" t="s">
        <v>943</v>
      </c>
      <c r="L897" t="s">
        <v>944</v>
      </c>
      <c r="M897" t="s">
        <v>125</v>
      </c>
      <c r="N897" s="2">
        <v>49.477800000000002</v>
      </c>
      <c r="O897" s="1">
        <v>6</v>
      </c>
      <c r="P897" s="2">
        <v>148.43340000000001</v>
      </c>
    </row>
    <row r="898" spans="10:16">
      <c r="J898" s="5" t="s">
        <v>4637</v>
      </c>
      <c r="K898" t="s">
        <v>4638</v>
      </c>
      <c r="L898" t="s">
        <v>85</v>
      </c>
      <c r="M898" t="s">
        <v>86</v>
      </c>
      <c r="N898" s="2">
        <v>6.4484000000000004</v>
      </c>
      <c r="O898" s="1">
        <v>46</v>
      </c>
      <c r="P898" s="2">
        <v>148.31319999999999</v>
      </c>
    </row>
    <row r="899" spans="10:16">
      <c r="J899" s="5" t="s">
        <v>1907</v>
      </c>
      <c r="K899" t="s">
        <v>1908</v>
      </c>
      <c r="L899" t="s">
        <v>31</v>
      </c>
      <c r="M899" t="s">
        <v>1931</v>
      </c>
      <c r="N899" s="2">
        <v>147.773</v>
      </c>
      <c r="O899" s="1">
        <v>1</v>
      </c>
      <c r="P899" s="2">
        <v>147.773</v>
      </c>
    </row>
    <row r="900" spans="10:16">
      <c r="J900" s="5" t="s">
        <v>5096</v>
      </c>
      <c r="K900" t="s">
        <v>5097</v>
      </c>
      <c r="L900" t="s">
        <v>580</v>
      </c>
      <c r="M900" t="s">
        <v>619</v>
      </c>
      <c r="N900" s="2">
        <v>1.6519999999999999</v>
      </c>
      <c r="O900" s="1">
        <v>178</v>
      </c>
      <c r="P900" s="2">
        <v>147.02799999999999</v>
      </c>
    </row>
    <row r="901" spans="10:16">
      <c r="J901" s="5" t="s">
        <v>4549</v>
      </c>
      <c r="K901" t="s">
        <v>4550</v>
      </c>
      <c r="L901" t="s">
        <v>85</v>
      </c>
      <c r="M901" t="s">
        <v>86</v>
      </c>
      <c r="N901" s="2">
        <v>16.321899999999999</v>
      </c>
      <c r="O901" s="1">
        <v>9</v>
      </c>
      <c r="P901" s="2">
        <v>146.89709999999999</v>
      </c>
    </row>
    <row r="902" spans="10:16">
      <c r="J902" s="5" t="s">
        <v>1775</v>
      </c>
      <c r="K902" t="s">
        <v>1776</v>
      </c>
      <c r="L902" t="s">
        <v>263</v>
      </c>
      <c r="M902" t="s">
        <v>86</v>
      </c>
      <c r="N902" s="2">
        <v>73.094800000000006</v>
      </c>
      <c r="O902" s="1">
        <v>4</v>
      </c>
      <c r="P902" s="2">
        <v>146.18960000000001</v>
      </c>
    </row>
    <row r="903" spans="10:16">
      <c r="J903" s="5" t="s">
        <v>4155</v>
      </c>
      <c r="K903" t="s">
        <v>4156</v>
      </c>
      <c r="L903" t="s">
        <v>85</v>
      </c>
      <c r="M903" t="s">
        <v>86</v>
      </c>
      <c r="N903" s="2">
        <v>8.1122999999999994</v>
      </c>
      <c r="O903" s="1">
        <v>18</v>
      </c>
      <c r="P903" s="2">
        <v>146.0214</v>
      </c>
    </row>
    <row r="904" spans="10:16">
      <c r="J904" s="5" t="s">
        <v>3110</v>
      </c>
      <c r="K904" t="s">
        <v>3111</v>
      </c>
      <c r="L904" t="s">
        <v>85</v>
      </c>
      <c r="M904" t="s">
        <v>86</v>
      </c>
      <c r="N904" s="2">
        <v>16.2074</v>
      </c>
      <c r="O904" s="1">
        <v>9</v>
      </c>
      <c r="P904" s="2">
        <v>145.86660000000001</v>
      </c>
    </row>
    <row r="905" spans="10:16">
      <c r="J905" s="5" t="s">
        <v>2369</v>
      </c>
      <c r="K905" t="s">
        <v>5386</v>
      </c>
      <c r="L905" t="s">
        <v>85</v>
      </c>
      <c r="M905" t="s">
        <v>86</v>
      </c>
      <c r="N905" s="2">
        <v>72.867800000000003</v>
      </c>
      <c r="O905" s="1">
        <v>4</v>
      </c>
      <c r="P905" s="2">
        <v>145.73560000000001</v>
      </c>
    </row>
    <row r="906" spans="10:16">
      <c r="J906" s="5" t="s">
        <v>2888</v>
      </c>
      <c r="K906" t="s">
        <v>2889</v>
      </c>
      <c r="L906" t="s">
        <v>263</v>
      </c>
      <c r="M906" t="s">
        <v>86</v>
      </c>
      <c r="N906" s="2">
        <v>36.409999999999997</v>
      </c>
      <c r="O906" s="1">
        <v>4</v>
      </c>
      <c r="P906" s="2">
        <v>145.63999999999999</v>
      </c>
    </row>
    <row r="907" spans="10:16">
      <c r="J907" s="5" t="s">
        <v>2998</v>
      </c>
      <c r="K907" t="s">
        <v>4321</v>
      </c>
      <c r="L907" t="s">
        <v>85</v>
      </c>
      <c r="M907" t="s">
        <v>86</v>
      </c>
      <c r="N907" s="2">
        <v>4.2803000000000004</v>
      </c>
      <c r="O907" s="1">
        <v>34</v>
      </c>
      <c r="P907" s="2">
        <v>145.53020000000001</v>
      </c>
    </row>
    <row r="908" spans="10:16">
      <c r="J908" s="5" t="s">
        <v>3023</v>
      </c>
      <c r="K908" t="s">
        <v>4398</v>
      </c>
      <c r="L908" t="s">
        <v>219</v>
      </c>
      <c r="M908" t="s">
        <v>86</v>
      </c>
      <c r="N908" s="2">
        <v>28.998000000000001</v>
      </c>
      <c r="O908" s="1">
        <v>5</v>
      </c>
      <c r="P908" s="2">
        <v>144.99</v>
      </c>
    </row>
    <row r="909" spans="10:16">
      <c r="J909" s="5" t="s">
        <v>4693</v>
      </c>
      <c r="K909" t="s">
        <v>4694</v>
      </c>
      <c r="L909" t="s">
        <v>85</v>
      </c>
      <c r="M909" t="s">
        <v>86</v>
      </c>
      <c r="N909" s="2">
        <v>7.6148999999999996</v>
      </c>
      <c r="O909" s="1">
        <v>19</v>
      </c>
      <c r="P909" s="2">
        <v>144.6831</v>
      </c>
    </row>
    <row r="910" spans="10:16">
      <c r="J910" s="5" t="s">
        <v>2462</v>
      </c>
      <c r="K910" t="s">
        <v>2463</v>
      </c>
      <c r="L910" t="s">
        <v>85</v>
      </c>
      <c r="M910" t="s">
        <v>86</v>
      </c>
      <c r="N910" s="2">
        <v>36.149000000000001</v>
      </c>
      <c r="O910" s="1">
        <v>4</v>
      </c>
      <c r="P910" s="2">
        <v>144.596</v>
      </c>
    </row>
    <row r="911" spans="10:16">
      <c r="J911" s="5" t="s">
        <v>3026</v>
      </c>
      <c r="K911" t="s">
        <v>3027</v>
      </c>
      <c r="L911" t="s">
        <v>219</v>
      </c>
      <c r="M911" t="s">
        <v>86</v>
      </c>
      <c r="N911" s="2">
        <v>28.893999999999998</v>
      </c>
      <c r="O911" s="1">
        <v>5</v>
      </c>
      <c r="P911" s="2">
        <v>144.47</v>
      </c>
    </row>
    <row r="912" spans="10:16">
      <c r="J912" s="5" t="s">
        <v>1345</v>
      </c>
      <c r="K912" t="s">
        <v>1346</v>
      </c>
      <c r="L912" t="s">
        <v>115</v>
      </c>
      <c r="M912" t="s">
        <v>102</v>
      </c>
      <c r="N912" s="2">
        <v>0.2203</v>
      </c>
      <c r="O912" s="1">
        <v>655</v>
      </c>
      <c r="P912" s="2">
        <v>144.29650000000001</v>
      </c>
    </row>
    <row r="913" spans="10:16">
      <c r="J913" s="5" t="s">
        <v>3839</v>
      </c>
      <c r="K913" t="s">
        <v>3840</v>
      </c>
      <c r="L913" t="s">
        <v>85</v>
      </c>
      <c r="M913" t="s">
        <v>86</v>
      </c>
      <c r="N913" s="2">
        <v>9.6037999999999997</v>
      </c>
      <c r="O913" s="1">
        <v>15</v>
      </c>
      <c r="P913" s="2">
        <v>144.05699999999999</v>
      </c>
    </row>
    <row r="914" spans="10:16">
      <c r="J914" s="5" t="s">
        <v>4066</v>
      </c>
      <c r="K914" t="s">
        <v>4067</v>
      </c>
      <c r="L914" t="s">
        <v>85</v>
      </c>
      <c r="M914" t="s">
        <v>86</v>
      </c>
      <c r="N914" s="2">
        <v>0.91739999999999999</v>
      </c>
      <c r="O914" s="1">
        <v>471</v>
      </c>
      <c r="P914" s="2">
        <v>144.0318</v>
      </c>
    </row>
    <row r="915" spans="10:16">
      <c r="J915" s="5" t="s">
        <v>1140</v>
      </c>
      <c r="K915" t="s">
        <v>1141</v>
      </c>
      <c r="L915" t="s">
        <v>31</v>
      </c>
      <c r="M915" t="s">
        <v>1931</v>
      </c>
      <c r="N915" s="2">
        <v>24</v>
      </c>
      <c r="O915" s="1">
        <v>6</v>
      </c>
      <c r="P915" s="2">
        <v>144</v>
      </c>
    </row>
    <row r="916" spans="10:16">
      <c r="J916" s="5" t="s">
        <v>1575</v>
      </c>
      <c r="K916" t="s">
        <v>1576</v>
      </c>
      <c r="L916" t="s">
        <v>115</v>
      </c>
      <c r="M916" t="s">
        <v>102</v>
      </c>
      <c r="N916" s="2">
        <v>9.98E-2</v>
      </c>
      <c r="O916" s="1">
        <v>1442</v>
      </c>
      <c r="P916" s="2">
        <v>143.91159999999999</v>
      </c>
    </row>
    <row r="917" spans="10:16">
      <c r="J917" s="5" t="s">
        <v>116</v>
      </c>
      <c r="K917" t="s">
        <v>117</v>
      </c>
      <c r="L917" t="s">
        <v>115</v>
      </c>
      <c r="M917" t="s">
        <v>102</v>
      </c>
      <c r="N917" s="2">
        <v>4.8899999999999999E-2</v>
      </c>
      <c r="O917" s="1">
        <v>2934</v>
      </c>
      <c r="P917" s="2">
        <v>143.4726</v>
      </c>
    </row>
    <row r="918" spans="10:16">
      <c r="J918" s="5" t="s">
        <v>1625</v>
      </c>
      <c r="K918" t="s">
        <v>1626</v>
      </c>
      <c r="L918" t="s">
        <v>115</v>
      </c>
      <c r="M918" t="s">
        <v>102</v>
      </c>
      <c r="N918" s="2">
        <v>0.36</v>
      </c>
      <c r="O918" s="1">
        <v>396</v>
      </c>
      <c r="P918" s="2">
        <v>142.56</v>
      </c>
    </row>
    <row r="919" spans="10:16">
      <c r="J919" s="5" t="s">
        <v>3832</v>
      </c>
      <c r="K919" t="s">
        <v>3833</v>
      </c>
      <c r="L919" t="s">
        <v>263</v>
      </c>
      <c r="M919" t="s">
        <v>86</v>
      </c>
      <c r="N919" s="2">
        <v>47.47</v>
      </c>
      <c r="O919" s="1">
        <v>3</v>
      </c>
      <c r="P919" s="2">
        <v>142.41</v>
      </c>
    </row>
    <row r="920" spans="10:16">
      <c r="J920" s="5" t="s">
        <v>4187</v>
      </c>
      <c r="K920" t="s">
        <v>4188</v>
      </c>
      <c r="L920" t="s">
        <v>219</v>
      </c>
      <c r="M920" t="s">
        <v>86</v>
      </c>
      <c r="N920" s="2">
        <v>71.180000000000007</v>
      </c>
      <c r="O920" s="1">
        <v>2</v>
      </c>
      <c r="P920" s="2">
        <v>142.36000000000001</v>
      </c>
    </row>
    <row r="921" spans="10:16">
      <c r="J921" s="5" t="s">
        <v>2579</v>
      </c>
      <c r="K921" t="s">
        <v>2580</v>
      </c>
      <c r="L921" t="s">
        <v>5474</v>
      </c>
      <c r="M921" t="s">
        <v>125</v>
      </c>
      <c r="N921" s="2">
        <v>28.456</v>
      </c>
      <c r="O921" s="1">
        <v>5</v>
      </c>
      <c r="P921" s="2">
        <v>142.28</v>
      </c>
    </row>
    <row r="922" spans="10:16">
      <c r="J922" s="5" t="s">
        <v>4052</v>
      </c>
      <c r="K922" t="s">
        <v>4053</v>
      </c>
      <c r="L922" t="s">
        <v>85</v>
      </c>
      <c r="M922" t="s">
        <v>86</v>
      </c>
      <c r="N922" s="2">
        <v>23.706</v>
      </c>
      <c r="O922" s="1">
        <v>6</v>
      </c>
      <c r="P922" s="2">
        <v>142.23599999999999</v>
      </c>
    </row>
    <row r="923" spans="10:16">
      <c r="J923" s="5" t="s">
        <v>3182</v>
      </c>
      <c r="K923" t="s">
        <v>3183</v>
      </c>
      <c r="L923" t="s">
        <v>128</v>
      </c>
      <c r="M923" t="s">
        <v>125</v>
      </c>
      <c r="N923" s="2">
        <v>15.803800000000001</v>
      </c>
      <c r="O923" s="1">
        <v>9</v>
      </c>
      <c r="P923" s="2">
        <v>142.23420000000002</v>
      </c>
    </row>
    <row r="924" spans="10:16">
      <c r="J924" s="5" t="s">
        <v>2195</v>
      </c>
      <c r="K924" t="s">
        <v>2196</v>
      </c>
      <c r="L924" t="s">
        <v>85</v>
      </c>
      <c r="M924" t="s">
        <v>86</v>
      </c>
      <c r="N924" s="2">
        <v>1.3742000000000001</v>
      </c>
      <c r="O924" s="1">
        <v>206</v>
      </c>
      <c r="P924" s="2">
        <v>141.54260000000002</v>
      </c>
    </row>
    <row r="925" spans="10:16">
      <c r="J925" s="5" t="s">
        <v>3422</v>
      </c>
      <c r="K925" t="s">
        <v>3423</v>
      </c>
      <c r="L925" t="s">
        <v>141</v>
      </c>
      <c r="M925" t="s">
        <v>125</v>
      </c>
      <c r="N925" s="2">
        <v>141.51079999999999</v>
      </c>
      <c r="O925" s="1">
        <v>2</v>
      </c>
      <c r="P925" s="2">
        <v>141.51079999999999</v>
      </c>
    </row>
    <row r="926" spans="10:16">
      <c r="J926" s="5" t="s">
        <v>1868</v>
      </c>
      <c r="K926" t="s">
        <v>1869</v>
      </c>
      <c r="L926" t="s">
        <v>3375</v>
      </c>
      <c r="M926" t="s">
        <v>125</v>
      </c>
      <c r="N926" s="2">
        <v>140.98099999999999</v>
      </c>
      <c r="O926" s="1">
        <v>2</v>
      </c>
      <c r="P926" s="2">
        <v>140.98099999999999</v>
      </c>
    </row>
    <row r="927" spans="10:16">
      <c r="J927" s="5" t="s">
        <v>3264</v>
      </c>
      <c r="K927" t="s">
        <v>3265</v>
      </c>
      <c r="L927" t="s">
        <v>85</v>
      </c>
      <c r="M927" t="s">
        <v>86</v>
      </c>
      <c r="N927" s="2">
        <v>11.71</v>
      </c>
      <c r="O927" s="1">
        <v>12</v>
      </c>
      <c r="P927" s="2">
        <v>140.52000000000001</v>
      </c>
    </row>
    <row r="928" spans="10:16">
      <c r="J928" s="5" t="s">
        <v>318</v>
      </c>
      <c r="K928" t="s">
        <v>319</v>
      </c>
      <c r="L928" t="s">
        <v>263</v>
      </c>
      <c r="M928" t="s">
        <v>86</v>
      </c>
      <c r="N928" s="2">
        <v>9.32</v>
      </c>
      <c r="O928" s="1">
        <v>15</v>
      </c>
      <c r="P928" s="2">
        <v>139.80000000000001</v>
      </c>
    </row>
    <row r="929" spans="10:16">
      <c r="J929" s="5" t="s">
        <v>4470</v>
      </c>
      <c r="K929" t="s">
        <v>4471</v>
      </c>
      <c r="L929" t="s">
        <v>219</v>
      </c>
      <c r="M929" t="s">
        <v>86</v>
      </c>
      <c r="N929" s="2">
        <v>27.8932</v>
      </c>
      <c r="O929" s="1">
        <v>10</v>
      </c>
      <c r="P929" s="2">
        <v>139.46600000000001</v>
      </c>
    </row>
    <row r="930" spans="10:16">
      <c r="J930" s="5" t="s">
        <v>3206</v>
      </c>
      <c r="K930" t="s">
        <v>3207</v>
      </c>
      <c r="L930" t="s">
        <v>31</v>
      </c>
      <c r="M930" t="s">
        <v>1931</v>
      </c>
      <c r="N930" s="2">
        <v>7.7480000000000002</v>
      </c>
      <c r="O930" s="1">
        <v>36</v>
      </c>
      <c r="P930" s="2">
        <v>139.464</v>
      </c>
    </row>
    <row r="931" spans="10:16">
      <c r="J931" s="5" t="s">
        <v>3986</v>
      </c>
      <c r="K931" t="s">
        <v>3987</v>
      </c>
      <c r="L931" t="s">
        <v>98</v>
      </c>
      <c r="M931" t="s">
        <v>86</v>
      </c>
      <c r="N931" s="2">
        <v>9.2799999999999994</v>
      </c>
      <c r="O931" s="1">
        <v>15</v>
      </c>
      <c r="P931" s="2">
        <v>139.19999999999999</v>
      </c>
    </row>
    <row r="932" spans="10:16">
      <c r="J932" s="5" t="s">
        <v>3188</v>
      </c>
      <c r="K932" t="s">
        <v>3189</v>
      </c>
      <c r="L932" t="s">
        <v>128</v>
      </c>
      <c r="M932" t="s">
        <v>125</v>
      </c>
      <c r="N932" s="2">
        <v>46.344999999999999</v>
      </c>
      <c r="O932" s="1">
        <v>3</v>
      </c>
      <c r="P932" s="2">
        <v>139.035</v>
      </c>
    </row>
    <row r="933" spans="10:16">
      <c r="J933" s="5" t="s">
        <v>1343</v>
      </c>
      <c r="K933" t="s">
        <v>1344</v>
      </c>
      <c r="L933" t="s">
        <v>115</v>
      </c>
      <c r="M933" t="s">
        <v>102</v>
      </c>
      <c r="N933" s="2">
        <v>0.19400000000000001</v>
      </c>
      <c r="O933" s="1">
        <v>715</v>
      </c>
      <c r="P933" s="2">
        <v>138.71</v>
      </c>
    </row>
    <row r="934" spans="10:16">
      <c r="J934" s="5" t="s">
        <v>732</v>
      </c>
      <c r="K934" t="s">
        <v>733</v>
      </c>
      <c r="L934" t="s">
        <v>580</v>
      </c>
      <c r="M934" t="s">
        <v>734</v>
      </c>
      <c r="N934" s="2">
        <v>0.68149999999999999</v>
      </c>
      <c r="O934" s="1">
        <v>203</v>
      </c>
      <c r="P934" s="2">
        <v>138.34450000000001</v>
      </c>
    </row>
    <row r="935" spans="10:16">
      <c r="J935" s="5" t="s">
        <v>594</v>
      </c>
      <c r="K935" t="s">
        <v>595</v>
      </c>
      <c r="L935" t="s">
        <v>31</v>
      </c>
      <c r="M935" t="s">
        <v>1931</v>
      </c>
      <c r="N935" s="2">
        <v>34.5</v>
      </c>
      <c r="O935" s="1">
        <v>4</v>
      </c>
      <c r="P935" s="2">
        <v>138</v>
      </c>
    </row>
    <row r="936" spans="10:16">
      <c r="J936" s="5" t="s">
        <v>532</v>
      </c>
      <c r="K936" t="s">
        <v>533</v>
      </c>
      <c r="L936" t="s">
        <v>85</v>
      </c>
      <c r="M936" t="s">
        <v>86</v>
      </c>
      <c r="N936" s="2">
        <v>0.78839999999999999</v>
      </c>
      <c r="O936" s="1">
        <v>350</v>
      </c>
      <c r="P936" s="2">
        <v>137.97</v>
      </c>
    </row>
    <row r="937" spans="10:16">
      <c r="J937" s="5" t="s">
        <v>2093</v>
      </c>
      <c r="K937" t="s">
        <v>2094</v>
      </c>
      <c r="L937" t="s">
        <v>2095</v>
      </c>
      <c r="M937" t="s">
        <v>86</v>
      </c>
      <c r="N937" s="2">
        <v>137.863</v>
      </c>
      <c r="O937" s="1">
        <v>1</v>
      </c>
      <c r="P937" s="2">
        <v>137.863</v>
      </c>
    </row>
    <row r="938" spans="10:16">
      <c r="J938" s="5" t="s">
        <v>2954</v>
      </c>
      <c r="K938" t="s">
        <v>4196</v>
      </c>
      <c r="L938" t="s">
        <v>85</v>
      </c>
      <c r="M938" t="s">
        <v>86</v>
      </c>
      <c r="N938" s="2">
        <v>34.409999999999997</v>
      </c>
      <c r="O938" s="1">
        <v>4</v>
      </c>
      <c r="P938" s="2">
        <v>137.63999999999999</v>
      </c>
    </row>
    <row r="939" spans="10:16">
      <c r="J939" s="5" t="s">
        <v>2724</v>
      </c>
      <c r="K939" t="s">
        <v>3484</v>
      </c>
      <c r="L939" t="s">
        <v>85</v>
      </c>
      <c r="M939" t="s">
        <v>86</v>
      </c>
      <c r="N939" s="2">
        <v>45.77</v>
      </c>
      <c r="O939" s="1">
        <v>3</v>
      </c>
      <c r="P939" s="2">
        <v>137.31</v>
      </c>
    </row>
    <row r="940" spans="10:16">
      <c r="J940" s="5" t="s">
        <v>1113</v>
      </c>
      <c r="K940" t="s">
        <v>1114</v>
      </c>
      <c r="L940" t="s">
        <v>131</v>
      </c>
      <c r="M940" t="s">
        <v>125</v>
      </c>
      <c r="N940" s="2">
        <v>136.97999999999999</v>
      </c>
      <c r="O940" s="1">
        <v>1</v>
      </c>
      <c r="P940" s="2">
        <v>136.97999999999999</v>
      </c>
    </row>
    <row r="941" spans="10:16">
      <c r="J941" s="5" t="s">
        <v>1533</v>
      </c>
      <c r="K941" t="s">
        <v>5239</v>
      </c>
      <c r="L941" t="s">
        <v>115</v>
      </c>
      <c r="M941" t="s">
        <v>102</v>
      </c>
      <c r="N941" s="2">
        <v>6.0999999999999999E-2</v>
      </c>
      <c r="O941" s="1">
        <v>2238</v>
      </c>
      <c r="P941" s="2">
        <v>136.518</v>
      </c>
    </row>
    <row r="942" spans="10:16">
      <c r="J942" s="5" t="s">
        <v>1552</v>
      </c>
      <c r="K942" t="s">
        <v>1553</v>
      </c>
      <c r="L942" t="s">
        <v>115</v>
      </c>
      <c r="M942" t="s">
        <v>102</v>
      </c>
      <c r="N942" s="2">
        <v>4.7300000000000002E-2</v>
      </c>
      <c r="O942" s="1">
        <v>2882</v>
      </c>
      <c r="P942" s="2">
        <v>136.3186</v>
      </c>
    </row>
    <row r="943" spans="10:16">
      <c r="J943" s="5" t="s">
        <v>1550</v>
      </c>
      <c r="K943" t="s">
        <v>1551</v>
      </c>
      <c r="L943" t="s">
        <v>115</v>
      </c>
      <c r="M943" t="s">
        <v>102</v>
      </c>
      <c r="N943" s="2">
        <v>4.7300000000000002E-2</v>
      </c>
      <c r="O943" s="1">
        <v>2873</v>
      </c>
      <c r="P943" s="2">
        <v>135.8929</v>
      </c>
    </row>
    <row r="944" spans="10:16">
      <c r="J944" s="5" t="s">
        <v>3365</v>
      </c>
      <c r="K944" t="s">
        <v>3366</v>
      </c>
      <c r="L944" t="s">
        <v>618</v>
      </c>
      <c r="M944" t="s">
        <v>626</v>
      </c>
      <c r="N944" s="2">
        <v>9.69</v>
      </c>
      <c r="O944" s="1">
        <v>14</v>
      </c>
      <c r="P944" s="2">
        <v>135.66</v>
      </c>
    </row>
    <row r="945" spans="10:16">
      <c r="J945" s="5" t="s">
        <v>1809</v>
      </c>
      <c r="K945" t="s">
        <v>1810</v>
      </c>
      <c r="L945" t="s">
        <v>31</v>
      </c>
      <c r="M945" t="s">
        <v>1931</v>
      </c>
      <c r="N945" s="2">
        <v>135.44999999999999</v>
      </c>
      <c r="O945" s="1">
        <v>1</v>
      </c>
      <c r="P945" s="2">
        <v>135.44999999999999</v>
      </c>
    </row>
    <row r="946" spans="10:16">
      <c r="J946" s="5" t="s">
        <v>1400</v>
      </c>
      <c r="K946" t="s">
        <v>1401</v>
      </c>
      <c r="L946" t="s">
        <v>115</v>
      </c>
      <c r="M946" t="s">
        <v>102</v>
      </c>
      <c r="N946" s="2">
        <v>0.1258</v>
      </c>
      <c r="O946" s="1">
        <v>1075</v>
      </c>
      <c r="P946" s="2">
        <v>135.23499999999999</v>
      </c>
    </row>
    <row r="947" spans="10:16">
      <c r="J947" s="5" t="s">
        <v>3124</v>
      </c>
      <c r="K947" t="s">
        <v>3125</v>
      </c>
      <c r="L947" t="s">
        <v>85</v>
      </c>
      <c r="M947" t="s">
        <v>86</v>
      </c>
      <c r="N947" s="2">
        <v>1.6357999999999999</v>
      </c>
      <c r="O947" s="1">
        <v>164</v>
      </c>
      <c r="P947" s="2">
        <v>134.13559999999998</v>
      </c>
    </row>
    <row r="948" spans="10:16">
      <c r="J948" s="5" t="s">
        <v>5017</v>
      </c>
      <c r="K948" t="s">
        <v>2255</v>
      </c>
      <c r="L948" t="s">
        <v>85</v>
      </c>
      <c r="M948" t="s">
        <v>86</v>
      </c>
      <c r="N948" s="2">
        <v>3.6206</v>
      </c>
      <c r="O948" s="1">
        <v>74</v>
      </c>
      <c r="P948" s="2">
        <v>133.9622</v>
      </c>
    </row>
    <row r="949" spans="10:16">
      <c r="J949" s="5" t="s">
        <v>3268</v>
      </c>
      <c r="K949" t="s">
        <v>5393</v>
      </c>
      <c r="L949" t="s">
        <v>85</v>
      </c>
      <c r="M949" t="s">
        <v>86</v>
      </c>
      <c r="N949" s="2">
        <v>4.9611999999999998</v>
      </c>
      <c r="O949" s="1">
        <v>54</v>
      </c>
      <c r="P949" s="2">
        <v>133.95239999999998</v>
      </c>
    </row>
    <row r="950" spans="10:16">
      <c r="J950" s="5" t="s">
        <v>4797</v>
      </c>
      <c r="K950" t="s">
        <v>4798</v>
      </c>
      <c r="L950" t="s">
        <v>85</v>
      </c>
      <c r="M950" t="s">
        <v>86</v>
      </c>
      <c r="N950" s="2">
        <v>33.423999999999999</v>
      </c>
      <c r="O950" s="1">
        <v>4</v>
      </c>
      <c r="P950" s="2">
        <v>133.696</v>
      </c>
    </row>
    <row r="951" spans="10:16">
      <c r="J951" s="5" t="s">
        <v>1461</v>
      </c>
      <c r="K951" t="s">
        <v>1462</v>
      </c>
      <c r="L951" t="s">
        <v>115</v>
      </c>
      <c r="M951" t="s">
        <v>102</v>
      </c>
      <c r="N951" s="2">
        <v>0.16270000000000001</v>
      </c>
      <c r="O951" s="1">
        <v>820</v>
      </c>
      <c r="P951" s="2">
        <v>133.41400000000002</v>
      </c>
    </row>
    <row r="952" spans="10:16">
      <c r="J952" s="5" t="s">
        <v>113</v>
      </c>
      <c r="K952" t="s">
        <v>114</v>
      </c>
      <c r="L952" t="s">
        <v>115</v>
      </c>
      <c r="M952" t="s">
        <v>102</v>
      </c>
      <c r="N952" s="2">
        <v>5.2400000000000002E-2</v>
      </c>
      <c r="O952" s="1">
        <v>5076</v>
      </c>
      <c r="P952" s="2">
        <v>132.99119999999999</v>
      </c>
    </row>
    <row r="953" spans="10:16">
      <c r="J953" s="5" t="s">
        <v>90</v>
      </c>
      <c r="K953" t="s">
        <v>91</v>
      </c>
      <c r="L953" t="s">
        <v>89</v>
      </c>
      <c r="M953" t="s">
        <v>86</v>
      </c>
      <c r="N953" s="2">
        <v>132.91</v>
      </c>
      <c r="O953" s="1">
        <v>1</v>
      </c>
      <c r="P953" s="2">
        <v>132.91</v>
      </c>
    </row>
    <row r="954" spans="10:16">
      <c r="J954" s="5" t="s">
        <v>1883</v>
      </c>
      <c r="K954" t="s">
        <v>1884</v>
      </c>
      <c r="L954" t="s">
        <v>31</v>
      </c>
      <c r="M954" t="s">
        <v>1931</v>
      </c>
      <c r="N954" s="2">
        <v>132.52000000000001</v>
      </c>
      <c r="O954" s="1">
        <v>1</v>
      </c>
      <c r="P954" s="2">
        <v>132.52000000000001</v>
      </c>
    </row>
    <row r="955" spans="10:16">
      <c r="J955" s="5" t="s">
        <v>1402</v>
      </c>
      <c r="K955" t="s">
        <v>1403</v>
      </c>
      <c r="L955" t="s">
        <v>115</v>
      </c>
      <c r="M955" t="s">
        <v>102</v>
      </c>
      <c r="N955" s="2">
        <v>0.17780000000000001</v>
      </c>
      <c r="O955" s="1">
        <v>745</v>
      </c>
      <c r="P955" s="2">
        <v>132.46100000000001</v>
      </c>
    </row>
    <row r="956" spans="10:16">
      <c r="J956" s="5" t="s">
        <v>2536</v>
      </c>
      <c r="K956" t="s">
        <v>2537</v>
      </c>
      <c r="L956" t="s">
        <v>31</v>
      </c>
      <c r="M956" t="s">
        <v>1931</v>
      </c>
      <c r="N956" s="2">
        <v>132.31</v>
      </c>
      <c r="O956" s="1">
        <v>1</v>
      </c>
      <c r="P956" s="2">
        <v>132.31</v>
      </c>
    </row>
    <row r="957" spans="10:16">
      <c r="J957" s="5" t="s">
        <v>4372</v>
      </c>
      <c r="K957" t="s">
        <v>4373</v>
      </c>
      <c r="L957" t="s">
        <v>85</v>
      </c>
      <c r="M957" t="s">
        <v>86</v>
      </c>
      <c r="N957" s="2">
        <v>11.007</v>
      </c>
      <c r="O957" s="1">
        <v>24</v>
      </c>
      <c r="P957" s="2">
        <v>132.084</v>
      </c>
    </row>
    <row r="958" spans="10:16">
      <c r="J958" s="5" t="s">
        <v>4140</v>
      </c>
      <c r="K958" t="s">
        <v>4141</v>
      </c>
      <c r="L958" t="s">
        <v>85</v>
      </c>
      <c r="M958" t="s">
        <v>86</v>
      </c>
      <c r="N958" s="2">
        <v>11.9992</v>
      </c>
      <c r="O958" s="1">
        <v>22</v>
      </c>
      <c r="P958" s="2">
        <v>131.99119999999999</v>
      </c>
    </row>
    <row r="959" spans="10:16">
      <c r="J959" s="5" t="s">
        <v>1245</v>
      </c>
      <c r="K959" t="s">
        <v>1246</v>
      </c>
      <c r="L959" t="s">
        <v>115</v>
      </c>
      <c r="M959" t="s">
        <v>102</v>
      </c>
      <c r="N959" s="2">
        <v>0.11799999999999999</v>
      </c>
      <c r="O959" s="1">
        <v>1116</v>
      </c>
      <c r="P959" s="2">
        <v>131.68799999999999</v>
      </c>
    </row>
    <row r="960" spans="10:16">
      <c r="J960" s="5" t="s">
        <v>2979</v>
      </c>
      <c r="K960" t="s">
        <v>2980</v>
      </c>
      <c r="L960" t="s">
        <v>223</v>
      </c>
      <c r="M960" t="s">
        <v>86</v>
      </c>
      <c r="N960" s="2">
        <v>65.822999999999993</v>
      </c>
      <c r="O960" s="1">
        <v>2</v>
      </c>
      <c r="P960" s="2">
        <v>131.64599999999999</v>
      </c>
    </row>
    <row r="961" spans="10:16">
      <c r="J961" s="5" t="s">
        <v>3527</v>
      </c>
      <c r="K961" t="s">
        <v>3528</v>
      </c>
      <c r="L961" t="s">
        <v>436</v>
      </c>
      <c r="M961" t="s">
        <v>86</v>
      </c>
      <c r="N961" s="2">
        <v>32.9</v>
      </c>
      <c r="O961" s="1">
        <v>4</v>
      </c>
      <c r="P961" s="2">
        <v>131.6</v>
      </c>
    </row>
    <row r="962" spans="10:16">
      <c r="J962" s="5" t="s">
        <v>3404</v>
      </c>
      <c r="K962" t="s">
        <v>3405</v>
      </c>
      <c r="L962" t="s">
        <v>141</v>
      </c>
      <c r="M962" t="s">
        <v>125</v>
      </c>
      <c r="N962" s="2">
        <v>65.608000000000004</v>
      </c>
      <c r="O962" s="1">
        <v>2</v>
      </c>
      <c r="P962" s="2">
        <v>131.21600000000001</v>
      </c>
    </row>
    <row r="963" spans="10:16">
      <c r="J963" s="5" t="s">
        <v>1447</v>
      </c>
      <c r="K963" t="s">
        <v>1448</v>
      </c>
      <c r="L963" t="s">
        <v>115</v>
      </c>
      <c r="M963" t="s">
        <v>102</v>
      </c>
      <c r="N963" s="2">
        <v>9.4500000000000001E-2</v>
      </c>
      <c r="O963" s="1">
        <v>1388</v>
      </c>
      <c r="P963" s="2">
        <v>131.166</v>
      </c>
    </row>
    <row r="964" spans="10:16">
      <c r="J964" s="5" t="s">
        <v>2875</v>
      </c>
      <c r="K964" t="s">
        <v>3788</v>
      </c>
      <c r="L964" t="s">
        <v>85</v>
      </c>
      <c r="M964" t="s">
        <v>86</v>
      </c>
      <c r="N964" s="2">
        <v>3.1991000000000001</v>
      </c>
      <c r="O964" s="1">
        <v>41</v>
      </c>
      <c r="P964" s="2">
        <v>131.16310000000001</v>
      </c>
    </row>
    <row r="965" spans="10:16">
      <c r="J965" s="5" t="s">
        <v>4288</v>
      </c>
      <c r="K965" t="s">
        <v>4289</v>
      </c>
      <c r="L965" t="s">
        <v>219</v>
      </c>
      <c r="M965" t="s">
        <v>86</v>
      </c>
      <c r="N965" s="2">
        <v>65.52</v>
      </c>
      <c r="O965" s="1">
        <v>2</v>
      </c>
      <c r="P965" s="2">
        <v>131.04</v>
      </c>
    </row>
    <row r="966" spans="10:16">
      <c r="J966" s="5" t="s">
        <v>1243</v>
      </c>
      <c r="K966" t="s">
        <v>1244</v>
      </c>
      <c r="L966" t="s">
        <v>115</v>
      </c>
      <c r="M966" t="s">
        <v>102</v>
      </c>
      <c r="N966" s="2">
        <v>0.11600000000000001</v>
      </c>
      <c r="O966" s="1">
        <v>1126</v>
      </c>
      <c r="P966" s="2">
        <v>130.61600000000001</v>
      </c>
    </row>
    <row r="967" spans="10:16">
      <c r="J967" s="5" t="s">
        <v>1320</v>
      </c>
      <c r="K967" t="s">
        <v>1321</v>
      </c>
      <c r="L967" t="s">
        <v>115</v>
      </c>
      <c r="M967" t="s">
        <v>102</v>
      </c>
      <c r="N967" s="2">
        <v>0.248</v>
      </c>
      <c r="O967" s="1">
        <v>526</v>
      </c>
      <c r="P967" s="2">
        <v>130.44800000000001</v>
      </c>
    </row>
    <row r="968" spans="10:16">
      <c r="J968" s="5" t="s">
        <v>1299</v>
      </c>
      <c r="K968" t="s">
        <v>5217</v>
      </c>
      <c r="L968" t="s">
        <v>101</v>
      </c>
      <c r="M968" t="s">
        <v>626</v>
      </c>
      <c r="N968" s="2">
        <v>5.6</v>
      </c>
      <c r="O968" s="1">
        <v>23.25</v>
      </c>
      <c r="P968" s="2">
        <v>130.19999999999999</v>
      </c>
    </row>
    <row r="969" spans="10:16">
      <c r="J969" s="5" t="s">
        <v>1453</v>
      </c>
      <c r="K969" t="s">
        <v>1454</v>
      </c>
      <c r="L969" t="s">
        <v>115</v>
      </c>
      <c r="M969" t="s">
        <v>102</v>
      </c>
      <c r="N969" s="2">
        <v>0.1938</v>
      </c>
      <c r="O969" s="1">
        <v>671</v>
      </c>
      <c r="P969" s="2">
        <v>130.03980000000001</v>
      </c>
    </row>
    <row r="970" spans="10:16">
      <c r="J970" s="5" t="s">
        <v>3082</v>
      </c>
      <c r="K970" t="s">
        <v>3083</v>
      </c>
      <c r="L970" t="s">
        <v>219</v>
      </c>
      <c r="M970" t="s">
        <v>86</v>
      </c>
      <c r="N970" s="2">
        <v>43.29</v>
      </c>
      <c r="O970" s="1">
        <v>3</v>
      </c>
      <c r="P970" s="2">
        <v>129.87</v>
      </c>
    </row>
    <row r="971" spans="10:16">
      <c r="J971" s="5" t="s">
        <v>1247</v>
      </c>
      <c r="K971" t="s">
        <v>1248</v>
      </c>
      <c r="L971" t="s">
        <v>115</v>
      </c>
      <c r="M971" t="s">
        <v>102</v>
      </c>
      <c r="N971" s="2">
        <v>0.04</v>
      </c>
      <c r="O971" s="1">
        <v>3242</v>
      </c>
      <c r="P971" s="2">
        <v>129.68</v>
      </c>
    </row>
    <row r="972" spans="10:16">
      <c r="J972" s="5" t="s">
        <v>2799</v>
      </c>
      <c r="K972" t="s">
        <v>2800</v>
      </c>
      <c r="L972" t="s">
        <v>223</v>
      </c>
      <c r="M972" t="s">
        <v>86</v>
      </c>
      <c r="N972" s="2">
        <v>3.504</v>
      </c>
      <c r="O972" s="1">
        <v>74</v>
      </c>
      <c r="P972" s="2">
        <v>129.648</v>
      </c>
    </row>
    <row r="973" spans="10:16">
      <c r="J973" s="5" t="s">
        <v>1128</v>
      </c>
      <c r="K973" t="s">
        <v>1129</v>
      </c>
      <c r="L973" t="s">
        <v>31</v>
      </c>
      <c r="M973" t="s">
        <v>1931</v>
      </c>
      <c r="N973" s="2">
        <v>7.2</v>
      </c>
      <c r="O973" s="1">
        <v>18</v>
      </c>
      <c r="P973" s="2">
        <v>129.6</v>
      </c>
    </row>
    <row r="974" spans="10:16">
      <c r="J974" s="5" t="s">
        <v>4418</v>
      </c>
      <c r="K974" t="s">
        <v>2441</v>
      </c>
      <c r="L974" t="s">
        <v>85</v>
      </c>
      <c r="M974" t="s">
        <v>86</v>
      </c>
      <c r="N974" s="2">
        <v>16.186800000000002</v>
      </c>
      <c r="O974" s="1">
        <v>16</v>
      </c>
      <c r="P974" s="2">
        <v>129.49440000000001</v>
      </c>
    </row>
    <row r="975" spans="10:16">
      <c r="J975" s="5" t="s">
        <v>3469</v>
      </c>
      <c r="K975" t="s">
        <v>3470</v>
      </c>
      <c r="L975" t="s">
        <v>85</v>
      </c>
      <c r="M975" t="s">
        <v>86</v>
      </c>
      <c r="N975" s="2">
        <v>64.734999999999999</v>
      </c>
      <c r="O975" s="1">
        <v>2</v>
      </c>
      <c r="P975" s="2">
        <v>129.47</v>
      </c>
    </row>
    <row r="976" spans="10:16">
      <c r="J976" s="5" t="s">
        <v>5122</v>
      </c>
      <c r="K976" t="s">
        <v>5123</v>
      </c>
      <c r="L976" t="s">
        <v>1972</v>
      </c>
      <c r="M976" t="s">
        <v>125</v>
      </c>
      <c r="N976" s="2">
        <v>4.7869999999999999</v>
      </c>
      <c r="O976" s="1">
        <v>54</v>
      </c>
      <c r="P976" s="2">
        <v>129.249</v>
      </c>
    </row>
    <row r="977" spans="10:16">
      <c r="J977" s="5" t="s">
        <v>1413</v>
      </c>
      <c r="K977" t="s">
        <v>1414</v>
      </c>
      <c r="L977" t="s">
        <v>115</v>
      </c>
      <c r="M977" t="s">
        <v>102</v>
      </c>
      <c r="N977" s="2">
        <v>0.2016</v>
      </c>
      <c r="O977" s="1">
        <v>641</v>
      </c>
      <c r="P977" s="2">
        <v>129.22560000000001</v>
      </c>
    </row>
    <row r="978" spans="10:16">
      <c r="J978" s="5" t="s">
        <v>1556</v>
      </c>
      <c r="K978" t="s">
        <v>1557</v>
      </c>
      <c r="L978" t="s">
        <v>115</v>
      </c>
      <c r="M978" t="s">
        <v>102</v>
      </c>
      <c r="N978" s="2">
        <v>9.2700000000000005E-2</v>
      </c>
      <c r="O978" s="1">
        <v>1392</v>
      </c>
      <c r="P978" s="2">
        <v>129.0384</v>
      </c>
    </row>
    <row r="979" spans="10:16">
      <c r="J979" s="5" t="s">
        <v>3237</v>
      </c>
      <c r="K979" t="s">
        <v>3238</v>
      </c>
      <c r="L979" t="s">
        <v>85</v>
      </c>
      <c r="M979" t="s">
        <v>86</v>
      </c>
      <c r="N979" s="2">
        <v>16.114799999999999</v>
      </c>
      <c r="O979" s="1">
        <v>16</v>
      </c>
      <c r="P979" s="2">
        <v>128.91839999999999</v>
      </c>
    </row>
    <row r="980" spans="10:16">
      <c r="J980" s="5" t="s">
        <v>1841</v>
      </c>
      <c r="K980" t="s">
        <v>1842</v>
      </c>
      <c r="L980" t="s">
        <v>31</v>
      </c>
      <c r="M980" t="s">
        <v>1931</v>
      </c>
      <c r="N980" s="2">
        <v>4.2859999999999996</v>
      </c>
      <c r="O980" s="1">
        <v>30</v>
      </c>
      <c r="P980" s="2">
        <v>128.57999999999998</v>
      </c>
    </row>
    <row r="981" spans="10:16">
      <c r="J981" s="5" t="s">
        <v>2707</v>
      </c>
      <c r="K981" t="s">
        <v>2708</v>
      </c>
      <c r="L981" t="s">
        <v>187</v>
      </c>
      <c r="M981" t="s">
        <v>125</v>
      </c>
      <c r="N981" s="2">
        <v>42.837000000000003</v>
      </c>
      <c r="O981" s="1">
        <v>3</v>
      </c>
      <c r="P981" s="2">
        <v>128.51100000000002</v>
      </c>
    </row>
    <row r="982" spans="10:16">
      <c r="J982" s="5" t="s">
        <v>1487</v>
      </c>
      <c r="K982" t="s">
        <v>1488</v>
      </c>
      <c r="L982" t="s">
        <v>115</v>
      </c>
      <c r="M982" t="s">
        <v>102</v>
      </c>
      <c r="N982" s="2">
        <v>0.11899999999999999</v>
      </c>
      <c r="O982" s="1">
        <v>1076</v>
      </c>
      <c r="P982" s="2">
        <v>128.04399999999998</v>
      </c>
    </row>
    <row r="983" spans="10:16">
      <c r="J983" s="5" t="s">
        <v>3902</v>
      </c>
      <c r="K983" t="s">
        <v>3903</v>
      </c>
      <c r="L983" t="s">
        <v>98</v>
      </c>
      <c r="M983" t="s">
        <v>86</v>
      </c>
      <c r="N983" s="2">
        <v>8.5120000000000005</v>
      </c>
      <c r="O983" s="1">
        <v>15</v>
      </c>
      <c r="P983" s="2">
        <v>127.68</v>
      </c>
    </row>
    <row r="984" spans="10:16">
      <c r="J984" s="5" t="s">
        <v>2720</v>
      </c>
      <c r="K984" t="s">
        <v>2721</v>
      </c>
      <c r="L984" t="s">
        <v>219</v>
      </c>
      <c r="M984" t="s">
        <v>86</v>
      </c>
      <c r="N984" s="2">
        <v>63.685000000000002</v>
      </c>
      <c r="O984" s="1">
        <v>2</v>
      </c>
      <c r="P984" s="2">
        <v>127.37</v>
      </c>
    </row>
    <row r="985" spans="10:16">
      <c r="J985" s="5" t="s">
        <v>1721</v>
      </c>
      <c r="K985" t="s">
        <v>1722</v>
      </c>
      <c r="L985" t="s">
        <v>115</v>
      </c>
      <c r="M985" t="s">
        <v>102</v>
      </c>
      <c r="N985" s="2">
        <v>5.8599999999999999E-2</v>
      </c>
      <c r="O985" s="1">
        <v>2171</v>
      </c>
      <c r="P985" s="2">
        <v>127.2206</v>
      </c>
    </row>
    <row r="986" spans="10:16">
      <c r="J986" s="5" t="s">
        <v>3712</v>
      </c>
      <c r="K986" t="s">
        <v>3713</v>
      </c>
      <c r="L986" t="s">
        <v>85</v>
      </c>
      <c r="M986" t="s">
        <v>86</v>
      </c>
      <c r="N986" s="2">
        <v>6.0575000000000001</v>
      </c>
      <c r="O986" s="1">
        <v>21</v>
      </c>
      <c r="P986" s="2">
        <v>127.2075</v>
      </c>
    </row>
    <row r="987" spans="10:16">
      <c r="J987" s="5" t="s">
        <v>787</v>
      </c>
      <c r="K987" t="s">
        <v>788</v>
      </c>
      <c r="L987" t="s">
        <v>580</v>
      </c>
      <c r="M987" t="s">
        <v>619</v>
      </c>
      <c r="N987" s="2">
        <v>0.97709999999999997</v>
      </c>
      <c r="O987" s="1">
        <v>130</v>
      </c>
      <c r="P987" s="2">
        <v>127.023</v>
      </c>
    </row>
    <row r="988" spans="10:16">
      <c r="J988" s="5" t="s">
        <v>2355</v>
      </c>
      <c r="K988" t="s">
        <v>5383</v>
      </c>
      <c r="L988" t="s">
        <v>98</v>
      </c>
      <c r="M988" t="s">
        <v>86</v>
      </c>
      <c r="N988" s="2">
        <v>31.7</v>
      </c>
      <c r="O988" s="1">
        <v>4</v>
      </c>
      <c r="P988" s="2">
        <v>126.8</v>
      </c>
    </row>
    <row r="989" spans="10:16">
      <c r="J989" s="5" t="s">
        <v>3014</v>
      </c>
      <c r="K989" t="s">
        <v>4382</v>
      </c>
      <c r="L989" t="s">
        <v>85</v>
      </c>
      <c r="M989" t="s">
        <v>86</v>
      </c>
      <c r="N989" s="2">
        <v>5.2721999999999998</v>
      </c>
      <c r="O989" s="1">
        <v>48</v>
      </c>
      <c r="P989" s="2">
        <v>126.53279999999999</v>
      </c>
    </row>
    <row r="990" spans="10:16">
      <c r="J990" s="5" t="s">
        <v>3562</v>
      </c>
      <c r="K990" t="s">
        <v>3563</v>
      </c>
      <c r="L990" t="s">
        <v>219</v>
      </c>
      <c r="M990" t="s">
        <v>86</v>
      </c>
      <c r="N990" s="2">
        <v>5.4816000000000003</v>
      </c>
      <c r="O990" s="1">
        <v>46</v>
      </c>
      <c r="P990" s="2">
        <v>126.07680000000001</v>
      </c>
    </row>
    <row r="991" spans="10:16">
      <c r="J991" s="5" t="s">
        <v>4189</v>
      </c>
      <c r="K991" t="s">
        <v>2492</v>
      </c>
      <c r="L991" t="s">
        <v>410</v>
      </c>
      <c r="M991" t="s">
        <v>86</v>
      </c>
      <c r="N991" s="2">
        <v>31.32</v>
      </c>
      <c r="O991" s="1">
        <v>4</v>
      </c>
      <c r="P991" s="2">
        <v>125.28</v>
      </c>
    </row>
    <row r="992" spans="10:16">
      <c r="J992" s="5" t="s">
        <v>3496</v>
      </c>
      <c r="K992" t="s">
        <v>3497</v>
      </c>
      <c r="L992" t="s">
        <v>219</v>
      </c>
      <c r="M992" t="s">
        <v>86</v>
      </c>
      <c r="N992" s="2">
        <v>6.2409999999999997</v>
      </c>
      <c r="O992" s="1">
        <v>40</v>
      </c>
      <c r="P992" s="2">
        <v>124.82</v>
      </c>
    </row>
    <row r="993" spans="10:16">
      <c r="J993" s="5" t="s">
        <v>2699</v>
      </c>
      <c r="K993" t="s">
        <v>2700</v>
      </c>
      <c r="L993" t="s">
        <v>128</v>
      </c>
      <c r="M993" t="s">
        <v>125</v>
      </c>
      <c r="N993" s="2">
        <v>20.78</v>
      </c>
      <c r="O993" s="1">
        <v>6</v>
      </c>
      <c r="P993" s="2">
        <v>124.68</v>
      </c>
    </row>
    <row r="994" spans="10:16">
      <c r="J994" s="5" t="s">
        <v>154</v>
      </c>
      <c r="K994" t="s">
        <v>155</v>
      </c>
      <c r="L994" t="s">
        <v>128</v>
      </c>
      <c r="M994" t="s">
        <v>125</v>
      </c>
      <c r="N994" s="2">
        <v>6.92</v>
      </c>
      <c r="O994" s="1">
        <v>18</v>
      </c>
      <c r="P994" s="2">
        <v>124.56</v>
      </c>
    </row>
    <row r="995" spans="10:16">
      <c r="J995" s="5" t="s">
        <v>1635</v>
      </c>
      <c r="K995" t="s">
        <v>5260</v>
      </c>
      <c r="L995" t="s">
        <v>115</v>
      </c>
      <c r="M995" t="s">
        <v>102</v>
      </c>
      <c r="N995" s="2">
        <v>0.13800000000000001</v>
      </c>
      <c r="O995" s="1">
        <v>901</v>
      </c>
      <c r="P995" s="2">
        <v>124.33800000000001</v>
      </c>
    </row>
    <row r="996" spans="10:16">
      <c r="J996" s="5" t="s">
        <v>735</v>
      </c>
      <c r="K996" t="s">
        <v>736</v>
      </c>
      <c r="L996" t="s">
        <v>580</v>
      </c>
      <c r="M996" t="s">
        <v>734</v>
      </c>
      <c r="N996" s="2">
        <v>1.1024</v>
      </c>
      <c r="O996" s="1">
        <v>224</v>
      </c>
      <c r="P996" s="2">
        <v>123.4688</v>
      </c>
    </row>
    <row r="997" spans="10:16">
      <c r="J997" s="5" t="s">
        <v>1329</v>
      </c>
      <c r="K997" t="s">
        <v>1330</v>
      </c>
      <c r="L997" t="s">
        <v>115</v>
      </c>
      <c r="M997" t="s">
        <v>102</v>
      </c>
      <c r="N997" s="2">
        <v>0.1013</v>
      </c>
      <c r="O997" s="1">
        <v>1218</v>
      </c>
      <c r="P997" s="2">
        <v>123.38339999999999</v>
      </c>
    </row>
    <row r="998" spans="10:16">
      <c r="J998" s="5" t="s">
        <v>3928</v>
      </c>
      <c r="K998" t="s">
        <v>3929</v>
      </c>
      <c r="L998" t="s">
        <v>98</v>
      </c>
      <c r="M998" t="s">
        <v>86</v>
      </c>
      <c r="N998" s="2">
        <v>11.209</v>
      </c>
      <c r="O998" s="1">
        <v>22</v>
      </c>
      <c r="P998" s="2">
        <v>123.29899999999999</v>
      </c>
    </row>
    <row r="999" spans="10:16">
      <c r="J999" s="5" t="s">
        <v>4645</v>
      </c>
      <c r="K999" t="s">
        <v>4646</v>
      </c>
      <c r="L999" t="s">
        <v>85</v>
      </c>
      <c r="M999" t="s">
        <v>86</v>
      </c>
      <c r="N999" s="2">
        <v>7.2332000000000001</v>
      </c>
      <c r="O999" s="1">
        <v>34</v>
      </c>
      <c r="P999" s="2">
        <v>122.9644</v>
      </c>
    </row>
    <row r="1000" spans="10:16">
      <c r="J1000" s="5" t="s">
        <v>1059</v>
      </c>
      <c r="K1000" t="s">
        <v>1060</v>
      </c>
      <c r="L1000" t="s">
        <v>128</v>
      </c>
      <c r="M1000" t="s">
        <v>125</v>
      </c>
      <c r="N1000" s="2">
        <v>61.042999999999999</v>
      </c>
      <c r="O1000" s="1">
        <v>2</v>
      </c>
      <c r="P1000" s="2">
        <v>122.086</v>
      </c>
    </row>
    <row r="1001" spans="10:16">
      <c r="J1001" s="5" t="s">
        <v>5036</v>
      </c>
      <c r="K1001" t="s">
        <v>5037</v>
      </c>
      <c r="L1001" t="s">
        <v>85</v>
      </c>
      <c r="M1001" t="s">
        <v>86</v>
      </c>
      <c r="N1001" s="2">
        <v>11.0938</v>
      </c>
      <c r="O1001" s="1">
        <v>22</v>
      </c>
      <c r="P1001" s="2">
        <v>122.0318</v>
      </c>
    </row>
    <row r="1002" spans="10:16">
      <c r="J1002" s="5" t="s">
        <v>576</v>
      </c>
      <c r="K1002" t="s">
        <v>577</v>
      </c>
      <c r="L1002" t="s">
        <v>580</v>
      </c>
      <c r="M1002" t="s">
        <v>581</v>
      </c>
      <c r="N1002" s="2">
        <v>121.78400000000001</v>
      </c>
      <c r="O1002" s="1">
        <v>1</v>
      </c>
      <c r="P1002" s="2">
        <v>121.78400000000001</v>
      </c>
    </row>
    <row r="1003" spans="10:16">
      <c r="J1003" s="5" t="s">
        <v>4208</v>
      </c>
      <c r="K1003" t="s">
        <v>3266</v>
      </c>
      <c r="L1003" t="s">
        <v>85</v>
      </c>
      <c r="M1003" t="s">
        <v>86</v>
      </c>
      <c r="N1003" s="2">
        <v>24.349</v>
      </c>
      <c r="O1003" s="1">
        <v>5</v>
      </c>
      <c r="P1003" s="2">
        <v>121.745</v>
      </c>
    </row>
    <row r="1004" spans="10:16">
      <c r="J1004" s="5" t="s">
        <v>3457</v>
      </c>
      <c r="K1004" t="s">
        <v>3458</v>
      </c>
      <c r="L1004" t="s">
        <v>219</v>
      </c>
      <c r="M1004" t="s">
        <v>86</v>
      </c>
      <c r="N1004" s="2">
        <v>4.0423999999999998</v>
      </c>
      <c r="O1004" s="1">
        <v>30</v>
      </c>
      <c r="P1004" s="2">
        <v>121.27199999999999</v>
      </c>
    </row>
    <row r="1005" spans="10:16">
      <c r="J1005" s="5" t="s">
        <v>2484</v>
      </c>
      <c r="K1005" t="s">
        <v>2485</v>
      </c>
      <c r="L1005" t="s">
        <v>85</v>
      </c>
      <c r="M1005" t="s">
        <v>86</v>
      </c>
      <c r="N1005" s="2">
        <v>30.265799999999999</v>
      </c>
      <c r="O1005" s="1">
        <v>8</v>
      </c>
      <c r="P1005" s="2">
        <v>121.06319999999999</v>
      </c>
    </row>
    <row r="1006" spans="10:16">
      <c r="J1006" s="5" t="s">
        <v>4679</v>
      </c>
      <c r="K1006" t="s">
        <v>4680</v>
      </c>
      <c r="L1006" t="s">
        <v>219</v>
      </c>
      <c r="M1006" t="s">
        <v>86</v>
      </c>
      <c r="N1006" s="2">
        <v>60.39</v>
      </c>
      <c r="O1006" s="1">
        <v>2</v>
      </c>
      <c r="P1006" s="2">
        <v>120.78</v>
      </c>
    </row>
    <row r="1007" spans="10:16">
      <c r="J1007" s="5" t="s">
        <v>2124</v>
      </c>
      <c r="K1007" t="s">
        <v>2125</v>
      </c>
      <c r="L1007" t="s">
        <v>243</v>
      </c>
      <c r="M1007" t="s">
        <v>86</v>
      </c>
      <c r="N1007" s="2">
        <v>40.033000000000001</v>
      </c>
      <c r="O1007" s="1">
        <v>3</v>
      </c>
      <c r="P1007" s="2">
        <v>120.099</v>
      </c>
    </row>
    <row r="1008" spans="10:16">
      <c r="J1008" s="5" t="s">
        <v>1827</v>
      </c>
      <c r="K1008" t="s">
        <v>1828</v>
      </c>
      <c r="L1008" t="s">
        <v>31</v>
      </c>
      <c r="M1008" t="s">
        <v>1931</v>
      </c>
      <c r="N1008" s="2">
        <v>60</v>
      </c>
      <c r="O1008" s="1">
        <v>2</v>
      </c>
      <c r="P1008" s="2">
        <v>120</v>
      </c>
    </row>
    <row r="1009" spans="10:16">
      <c r="J1009" s="5" t="s">
        <v>677</v>
      </c>
      <c r="K1009" t="s">
        <v>678</v>
      </c>
      <c r="L1009" t="s">
        <v>31</v>
      </c>
      <c r="M1009" t="s">
        <v>1931</v>
      </c>
      <c r="N1009" s="2">
        <v>60</v>
      </c>
      <c r="O1009" s="1">
        <v>2</v>
      </c>
      <c r="P1009" s="2">
        <v>120</v>
      </c>
    </row>
    <row r="1010" spans="10:16">
      <c r="J1010" s="5" t="s">
        <v>1423</v>
      </c>
      <c r="K1010" t="s">
        <v>1424</v>
      </c>
      <c r="L1010" t="s">
        <v>115</v>
      </c>
      <c r="M1010" t="s">
        <v>102</v>
      </c>
      <c r="N1010" s="2">
        <v>7.6399999999999996E-2</v>
      </c>
      <c r="O1010" s="1">
        <v>1569</v>
      </c>
      <c r="P1010" s="2">
        <v>119.87159999999999</v>
      </c>
    </row>
    <row r="1011" spans="10:16">
      <c r="J1011" s="5" t="s">
        <v>3531</v>
      </c>
      <c r="K1011" t="s">
        <v>3532</v>
      </c>
      <c r="L1011" t="s">
        <v>219</v>
      </c>
      <c r="M1011" t="s">
        <v>86</v>
      </c>
      <c r="N1011" s="2">
        <v>119.48</v>
      </c>
      <c r="O1011" s="1">
        <v>1</v>
      </c>
      <c r="P1011" s="2">
        <v>119.48</v>
      </c>
    </row>
    <row r="1012" spans="10:16">
      <c r="J1012" s="5" t="s">
        <v>5486</v>
      </c>
      <c r="K1012" t="s">
        <v>5487</v>
      </c>
      <c r="L1012" t="s">
        <v>5474</v>
      </c>
      <c r="M1012" t="s">
        <v>125</v>
      </c>
      <c r="N1012" s="2">
        <v>119.24</v>
      </c>
      <c r="O1012" s="1">
        <v>1</v>
      </c>
      <c r="P1012" s="2">
        <v>119.24</v>
      </c>
    </row>
    <row r="1013" spans="10:16">
      <c r="J1013" s="5" t="s">
        <v>194</v>
      </c>
      <c r="K1013" t="s">
        <v>195</v>
      </c>
      <c r="L1013" t="s">
        <v>141</v>
      </c>
      <c r="M1013" t="s">
        <v>125</v>
      </c>
      <c r="N1013" s="2">
        <v>119.12</v>
      </c>
      <c r="O1013" s="1">
        <v>1</v>
      </c>
      <c r="P1013" s="2">
        <v>119.12</v>
      </c>
    </row>
    <row r="1014" spans="10:16">
      <c r="J1014" s="5" t="s">
        <v>4017</v>
      </c>
      <c r="K1014" t="s">
        <v>4018</v>
      </c>
      <c r="L1014" t="s">
        <v>98</v>
      </c>
      <c r="M1014" t="s">
        <v>86</v>
      </c>
      <c r="N1014" s="2">
        <v>19.848600000000001</v>
      </c>
      <c r="O1014" s="1">
        <v>12</v>
      </c>
      <c r="P1014" s="2">
        <v>119.0916</v>
      </c>
    </row>
    <row r="1015" spans="10:16">
      <c r="J1015" s="5" t="s">
        <v>217</v>
      </c>
      <c r="K1015" t="s">
        <v>218</v>
      </c>
      <c r="L1015" t="s">
        <v>219</v>
      </c>
      <c r="M1015" t="s">
        <v>86</v>
      </c>
      <c r="N1015" s="2">
        <v>39.49</v>
      </c>
      <c r="O1015" s="1">
        <v>3</v>
      </c>
      <c r="P1015" s="2">
        <v>118.47</v>
      </c>
    </row>
    <row r="1016" spans="10:16">
      <c r="J1016" s="5" t="s">
        <v>4108</v>
      </c>
      <c r="K1016" t="s">
        <v>4109</v>
      </c>
      <c r="L1016" t="s">
        <v>85</v>
      </c>
      <c r="M1016" t="s">
        <v>86</v>
      </c>
      <c r="N1016" s="2">
        <v>2.57</v>
      </c>
      <c r="O1016" s="1">
        <v>46</v>
      </c>
      <c r="P1016" s="2">
        <v>118.22</v>
      </c>
    </row>
    <row r="1017" spans="10:16">
      <c r="J1017" s="5" t="s">
        <v>557</v>
      </c>
      <c r="K1017" t="s">
        <v>558</v>
      </c>
      <c r="L1017" t="s">
        <v>228</v>
      </c>
      <c r="M1017" t="s">
        <v>86</v>
      </c>
      <c r="N1017" s="2">
        <v>1.5130999999999999</v>
      </c>
      <c r="O1017" s="1">
        <v>78</v>
      </c>
      <c r="P1017" s="2">
        <v>118.02179999999998</v>
      </c>
    </row>
    <row r="1018" spans="10:16">
      <c r="J1018" s="5" t="s">
        <v>4185</v>
      </c>
      <c r="K1018" t="s">
        <v>4186</v>
      </c>
      <c r="L1018" t="s">
        <v>223</v>
      </c>
      <c r="M1018" t="s">
        <v>86</v>
      </c>
      <c r="N1018" s="2">
        <v>39.168999999999997</v>
      </c>
      <c r="O1018" s="1">
        <v>3</v>
      </c>
      <c r="P1018" s="2">
        <v>117.50699999999999</v>
      </c>
    </row>
    <row r="1019" spans="10:16">
      <c r="J1019" s="5" t="s">
        <v>2911</v>
      </c>
      <c r="K1019" t="s">
        <v>2912</v>
      </c>
      <c r="L1019" t="s">
        <v>85</v>
      </c>
      <c r="M1019" t="s">
        <v>86</v>
      </c>
      <c r="N1019" s="2">
        <v>8.3496000000000006</v>
      </c>
      <c r="O1019" s="1">
        <v>28</v>
      </c>
      <c r="P1019" s="2">
        <v>116.8944</v>
      </c>
    </row>
    <row r="1020" spans="10:16">
      <c r="J1020" s="5" t="s">
        <v>5053</v>
      </c>
      <c r="K1020" t="s">
        <v>5054</v>
      </c>
      <c r="L1020" t="s">
        <v>219</v>
      </c>
      <c r="M1020" t="s">
        <v>86</v>
      </c>
      <c r="N1020" s="2">
        <v>11.6578</v>
      </c>
      <c r="O1020" s="1">
        <v>20</v>
      </c>
      <c r="P1020" s="2">
        <v>116.578</v>
      </c>
    </row>
    <row r="1021" spans="10:16">
      <c r="J1021" s="5" t="s">
        <v>2899</v>
      </c>
      <c r="K1021" t="s">
        <v>2900</v>
      </c>
      <c r="L1021" t="s">
        <v>85</v>
      </c>
      <c r="M1021" t="s">
        <v>86</v>
      </c>
      <c r="N1021" s="2">
        <v>29.117000000000001</v>
      </c>
      <c r="O1021" s="1">
        <v>4</v>
      </c>
      <c r="P1021" s="2">
        <v>116.468</v>
      </c>
    </row>
    <row r="1022" spans="10:16">
      <c r="J1022" s="5" t="s">
        <v>2713</v>
      </c>
      <c r="K1022" t="s">
        <v>2714</v>
      </c>
      <c r="L1022" t="s">
        <v>219</v>
      </c>
      <c r="M1022" t="s">
        <v>86</v>
      </c>
      <c r="N1022" s="2">
        <v>5.5392000000000001</v>
      </c>
      <c r="O1022" s="1">
        <v>42</v>
      </c>
      <c r="P1022" s="2">
        <v>116.3232</v>
      </c>
    </row>
    <row r="1023" spans="10:16">
      <c r="J1023" s="5" t="s">
        <v>2895</v>
      </c>
      <c r="K1023" t="s">
        <v>2896</v>
      </c>
      <c r="L1023" t="s">
        <v>85</v>
      </c>
      <c r="M1023" t="s">
        <v>86</v>
      </c>
      <c r="N1023" s="2">
        <v>12.879</v>
      </c>
      <c r="O1023" s="1">
        <v>9</v>
      </c>
      <c r="P1023" s="2">
        <v>115.911</v>
      </c>
    </row>
    <row r="1024" spans="10:16">
      <c r="J1024" s="5" t="s">
        <v>2577</v>
      </c>
      <c r="K1024" t="s">
        <v>2578</v>
      </c>
      <c r="L1024" t="s">
        <v>5474</v>
      </c>
      <c r="M1024" t="s">
        <v>125</v>
      </c>
      <c r="N1024" s="2">
        <v>4.1360000000000001</v>
      </c>
      <c r="O1024" s="1">
        <v>28</v>
      </c>
      <c r="P1024" s="2">
        <v>115.80800000000001</v>
      </c>
    </row>
    <row r="1025" spans="10:16">
      <c r="J1025" s="5" t="s">
        <v>2796</v>
      </c>
      <c r="K1025" t="s">
        <v>2797</v>
      </c>
      <c r="L1025" t="s">
        <v>219</v>
      </c>
      <c r="M1025" t="s">
        <v>86</v>
      </c>
      <c r="N1025" s="2">
        <v>7.2279999999999998</v>
      </c>
      <c r="O1025" s="1">
        <v>16</v>
      </c>
      <c r="P1025" s="2">
        <v>115.648</v>
      </c>
    </row>
    <row r="1026" spans="10:16">
      <c r="J1026" s="5" t="s">
        <v>96</v>
      </c>
      <c r="K1026" t="s">
        <v>97</v>
      </c>
      <c r="L1026" t="s">
        <v>3318</v>
      </c>
      <c r="M1026" t="s">
        <v>1931</v>
      </c>
      <c r="N1026" s="2">
        <v>57.79</v>
      </c>
      <c r="O1026" s="1">
        <v>2</v>
      </c>
      <c r="P1026" s="2">
        <v>115.58</v>
      </c>
    </row>
    <row r="1027" spans="10:16">
      <c r="J1027" s="5" t="s">
        <v>1443</v>
      </c>
      <c r="K1027" t="s">
        <v>1444</v>
      </c>
      <c r="L1027" t="s">
        <v>115</v>
      </c>
      <c r="M1027" t="s">
        <v>102</v>
      </c>
      <c r="N1027" s="2">
        <v>0.126</v>
      </c>
      <c r="O1027" s="1">
        <v>916</v>
      </c>
      <c r="P1027" s="2">
        <v>115.416</v>
      </c>
    </row>
    <row r="1028" spans="10:16">
      <c r="J1028" s="5" t="s">
        <v>3078</v>
      </c>
      <c r="K1028" t="s">
        <v>3079</v>
      </c>
      <c r="L1028" t="s">
        <v>85</v>
      </c>
      <c r="M1028" t="s">
        <v>86</v>
      </c>
      <c r="N1028" s="2">
        <v>38.466999999999999</v>
      </c>
      <c r="O1028" s="1">
        <v>3</v>
      </c>
      <c r="P1028" s="2">
        <v>115.401</v>
      </c>
    </row>
    <row r="1029" spans="10:16">
      <c r="J1029" s="5" t="s">
        <v>2987</v>
      </c>
      <c r="K1029" t="s">
        <v>2988</v>
      </c>
      <c r="L1029" t="s">
        <v>85</v>
      </c>
      <c r="M1029" t="s">
        <v>86</v>
      </c>
      <c r="N1029" s="2">
        <v>57.674199999999999</v>
      </c>
      <c r="O1029" s="1">
        <v>4</v>
      </c>
      <c r="P1029" s="2">
        <v>115.3484</v>
      </c>
    </row>
    <row r="1030" spans="10:16">
      <c r="J1030" s="5" t="s">
        <v>2190</v>
      </c>
      <c r="K1030" t="s">
        <v>5347</v>
      </c>
      <c r="L1030" t="s">
        <v>85</v>
      </c>
      <c r="M1030" t="s">
        <v>86</v>
      </c>
      <c r="N1030" s="2">
        <v>16.452999999999999</v>
      </c>
      <c r="O1030" s="1">
        <v>7</v>
      </c>
      <c r="P1030" s="2">
        <v>115.17099999999999</v>
      </c>
    </row>
    <row r="1031" spans="10:16">
      <c r="J1031" s="5" t="s">
        <v>1271</v>
      </c>
      <c r="K1031" t="s">
        <v>1272</v>
      </c>
      <c r="L1031" t="s">
        <v>115</v>
      </c>
      <c r="M1031" t="s">
        <v>102</v>
      </c>
      <c r="N1031" s="2">
        <v>8.7300000000000003E-2</v>
      </c>
      <c r="O1031" s="1">
        <v>1319</v>
      </c>
      <c r="P1031" s="2">
        <v>115.14870000000001</v>
      </c>
    </row>
    <row r="1032" spans="10:16">
      <c r="J1032" s="5" t="s">
        <v>4541</v>
      </c>
      <c r="K1032" t="s">
        <v>4542</v>
      </c>
      <c r="L1032" t="s">
        <v>85</v>
      </c>
      <c r="M1032" t="s">
        <v>86</v>
      </c>
      <c r="N1032" s="2">
        <v>2.0175999999999998</v>
      </c>
      <c r="O1032" s="1">
        <v>57</v>
      </c>
      <c r="P1032" s="2">
        <v>115.00319999999999</v>
      </c>
    </row>
    <row r="1033" spans="10:16">
      <c r="J1033" s="5" t="s">
        <v>2859</v>
      </c>
      <c r="K1033" t="s">
        <v>2860</v>
      </c>
      <c r="L1033" t="s">
        <v>219</v>
      </c>
      <c r="M1033" t="s">
        <v>86</v>
      </c>
      <c r="N1033" s="2">
        <v>12.6945</v>
      </c>
      <c r="O1033" s="1">
        <v>9</v>
      </c>
      <c r="P1033" s="2">
        <v>114.2505</v>
      </c>
    </row>
    <row r="1034" spans="10:16">
      <c r="J1034" s="5" t="s">
        <v>2837</v>
      </c>
      <c r="K1034" t="s">
        <v>2838</v>
      </c>
      <c r="L1034" t="s">
        <v>219</v>
      </c>
      <c r="M1034" t="s">
        <v>86</v>
      </c>
      <c r="N1034" s="2">
        <v>28.54</v>
      </c>
      <c r="O1034" s="1">
        <v>4</v>
      </c>
      <c r="P1034" s="2">
        <v>114.16</v>
      </c>
    </row>
    <row r="1035" spans="10:16">
      <c r="J1035" s="5" t="s">
        <v>3485</v>
      </c>
      <c r="K1035" t="s">
        <v>3486</v>
      </c>
      <c r="L1035" t="s">
        <v>263</v>
      </c>
      <c r="M1035" t="s">
        <v>86</v>
      </c>
      <c r="N1035" s="2">
        <v>4.3874000000000004</v>
      </c>
      <c r="O1035" s="1">
        <v>52</v>
      </c>
      <c r="P1035" s="2">
        <v>114.07240000000002</v>
      </c>
    </row>
    <row r="1036" spans="10:16">
      <c r="J1036" s="5" t="s">
        <v>120</v>
      </c>
      <c r="K1036" t="s">
        <v>121</v>
      </c>
      <c r="L1036" t="s">
        <v>3375</v>
      </c>
      <c r="M1036" t="s">
        <v>125</v>
      </c>
      <c r="N1036" s="2">
        <v>113.98480000000001</v>
      </c>
      <c r="O1036" s="1">
        <v>2</v>
      </c>
      <c r="P1036" s="2">
        <v>113.98480000000001</v>
      </c>
    </row>
    <row r="1037" spans="10:16">
      <c r="J1037" s="5" t="s">
        <v>1451</v>
      </c>
      <c r="K1037" t="s">
        <v>1452</v>
      </c>
      <c r="L1037" t="s">
        <v>115</v>
      </c>
      <c r="M1037" t="s">
        <v>102</v>
      </c>
      <c r="N1037" s="2">
        <v>0.154</v>
      </c>
      <c r="O1037" s="1">
        <v>738</v>
      </c>
      <c r="P1037" s="2">
        <v>113.652</v>
      </c>
    </row>
    <row r="1038" spans="10:16">
      <c r="J1038" s="5" t="s">
        <v>2697</v>
      </c>
      <c r="K1038" t="s">
        <v>2698</v>
      </c>
      <c r="L1038" t="s">
        <v>187</v>
      </c>
      <c r="M1038" t="s">
        <v>125</v>
      </c>
      <c r="N1038" s="2">
        <v>22.716000000000001</v>
      </c>
      <c r="O1038" s="1">
        <v>5</v>
      </c>
      <c r="P1038" s="2">
        <v>113.58000000000001</v>
      </c>
    </row>
    <row r="1039" spans="10:16">
      <c r="J1039" s="5" t="s">
        <v>4820</v>
      </c>
      <c r="K1039" t="s">
        <v>4821</v>
      </c>
      <c r="L1039" t="s">
        <v>85</v>
      </c>
      <c r="M1039" t="s">
        <v>86</v>
      </c>
      <c r="N1039" s="2">
        <v>22.67</v>
      </c>
      <c r="O1039" s="1">
        <v>5</v>
      </c>
      <c r="P1039" s="2">
        <v>113.35000000000001</v>
      </c>
    </row>
    <row r="1040" spans="10:16">
      <c r="J1040" s="5" t="s">
        <v>861</v>
      </c>
      <c r="K1040" t="s">
        <v>862</v>
      </c>
      <c r="L1040" t="s">
        <v>1972</v>
      </c>
      <c r="M1040" t="s">
        <v>125</v>
      </c>
      <c r="N1040" s="2">
        <v>14.125999999999999</v>
      </c>
      <c r="O1040" s="1">
        <v>16</v>
      </c>
      <c r="P1040" s="2">
        <v>113.008</v>
      </c>
    </row>
    <row r="1041" spans="10:16">
      <c r="J1041" s="5" t="s">
        <v>209</v>
      </c>
      <c r="K1041" t="s">
        <v>210</v>
      </c>
      <c r="L1041" t="s">
        <v>141</v>
      </c>
      <c r="M1041" t="s">
        <v>125</v>
      </c>
      <c r="N1041" s="2">
        <v>56.466999999999999</v>
      </c>
      <c r="O1041" s="1">
        <v>2</v>
      </c>
      <c r="P1041" s="2">
        <v>112.934</v>
      </c>
    </row>
    <row r="1042" spans="10:16">
      <c r="J1042" s="5" t="s">
        <v>1471</v>
      </c>
      <c r="K1042" t="s">
        <v>1472</v>
      </c>
      <c r="L1042" t="s">
        <v>115</v>
      </c>
      <c r="M1042" t="s">
        <v>102</v>
      </c>
      <c r="N1042" s="2">
        <v>9.7900000000000001E-2</v>
      </c>
      <c r="O1042" s="1">
        <v>1150</v>
      </c>
      <c r="P1042" s="2">
        <v>112.58500000000001</v>
      </c>
    </row>
    <row r="1043" spans="10:16">
      <c r="J1043" s="5" t="s">
        <v>1435</v>
      </c>
      <c r="K1043" t="s">
        <v>1436</v>
      </c>
      <c r="L1043" t="s">
        <v>115</v>
      </c>
      <c r="M1043" t="s">
        <v>102</v>
      </c>
      <c r="N1043" s="2">
        <v>0.192</v>
      </c>
      <c r="O1043" s="1">
        <v>586</v>
      </c>
      <c r="P1043" s="2">
        <v>112.512</v>
      </c>
    </row>
    <row r="1044" spans="10:16">
      <c r="J1044" s="5" t="s">
        <v>5249</v>
      </c>
      <c r="K1044" t="s">
        <v>5250</v>
      </c>
      <c r="L1044" t="s">
        <v>31</v>
      </c>
      <c r="M1044" t="s">
        <v>31</v>
      </c>
      <c r="N1044" s="2">
        <v>7.1300000000000002E-2</v>
      </c>
      <c r="O1044" s="1">
        <v>1574</v>
      </c>
      <c r="P1044" s="2">
        <v>112.22620000000001</v>
      </c>
    </row>
    <row r="1045" spans="10:16">
      <c r="J1045" s="5" t="s">
        <v>5366</v>
      </c>
      <c r="K1045" t="s">
        <v>5367</v>
      </c>
      <c r="L1045" t="s">
        <v>85</v>
      </c>
      <c r="M1045" t="s">
        <v>86</v>
      </c>
      <c r="N1045" s="2">
        <v>0.89</v>
      </c>
      <c r="O1045" s="1">
        <v>252</v>
      </c>
      <c r="P1045" s="2">
        <v>112.14</v>
      </c>
    </row>
    <row r="1046" spans="10:16">
      <c r="J1046" s="5" t="s">
        <v>147</v>
      </c>
      <c r="K1046" t="s">
        <v>148</v>
      </c>
      <c r="L1046" t="s">
        <v>141</v>
      </c>
      <c r="M1046" t="s">
        <v>125</v>
      </c>
      <c r="N1046" s="2">
        <v>112.05</v>
      </c>
      <c r="O1046" s="1">
        <v>1</v>
      </c>
      <c r="P1046" s="2">
        <v>112.05</v>
      </c>
    </row>
    <row r="1047" spans="10:16">
      <c r="J1047" s="5" t="s">
        <v>1232</v>
      </c>
      <c r="K1047" t="s">
        <v>1233</v>
      </c>
      <c r="L1047" t="s">
        <v>85</v>
      </c>
      <c r="M1047" t="s">
        <v>86</v>
      </c>
      <c r="N1047" s="2">
        <v>9.3102</v>
      </c>
      <c r="O1047" s="1">
        <v>24</v>
      </c>
      <c r="P1047" s="2">
        <v>111.72239999999999</v>
      </c>
    </row>
    <row r="1048" spans="10:16">
      <c r="J1048" s="5" t="s">
        <v>3584</v>
      </c>
      <c r="K1048" t="s">
        <v>3585</v>
      </c>
      <c r="L1048" t="s">
        <v>219</v>
      </c>
      <c r="M1048" t="s">
        <v>86</v>
      </c>
      <c r="N1048" s="2">
        <v>5.3045</v>
      </c>
      <c r="O1048" s="1">
        <v>21</v>
      </c>
      <c r="P1048" s="2">
        <v>111.39449999999999</v>
      </c>
    </row>
    <row r="1049" spans="10:16">
      <c r="J1049" s="5" t="s">
        <v>1589</v>
      </c>
      <c r="K1049" t="s">
        <v>1590</v>
      </c>
      <c r="L1049" t="s">
        <v>115</v>
      </c>
      <c r="M1049" t="s">
        <v>102</v>
      </c>
      <c r="N1049" s="2">
        <v>0.252</v>
      </c>
      <c r="O1049" s="1">
        <v>441</v>
      </c>
      <c r="P1049" s="2">
        <v>111.13200000000001</v>
      </c>
    </row>
    <row r="1050" spans="10:16">
      <c r="J1050" s="5" t="s">
        <v>562</v>
      </c>
      <c r="K1050" t="s">
        <v>563</v>
      </c>
      <c r="L1050" t="s">
        <v>618</v>
      </c>
      <c r="M1050" t="s">
        <v>626</v>
      </c>
      <c r="N1050" s="2">
        <v>27.699000000000002</v>
      </c>
      <c r="O1050" s="1">
        <v>4</v>
      </c>
      <c r="P1050" s="2">
        <v>110.79600000000001</v>
      </c>
    </row>
    <row r="1051" spans="10:16">
      <c r="J1051" s="5" t="s">
        <v>830</v>
      </c>
      <c r="K1051" t="s">
        <v>831</v>
      </c>
      <c r="L1051" t="s">
        <v>101</v>
      </c>
      <c r="M1051" t="s">
        <v>626</v>
      </c>
      <c r="N1051" s="2">
        <v>1.5687</v>
      </c>
      <c r="O1051" s="1">
        <v>70</v>
      </c>
      <c r="P1051" s="2">
        <v>109.809</v>
      </c>
    </row>
    <row r="1052" spans="10:16">
      <c r="J1052" s="5" t="s">
        <v>196</v>
      </c>
      <c r="K1052" t="s">
        <v>197</v>
      </c>
      <c r="L1052" t="s">
        <v>141</v>
      </c>
      <c r="M1052" t="s">
        <v>125</v>
      </c>
      <c r="N1052" s="2">
        <v>109.69</v>
      </c>
      <c r="O1052" s="1">
        <v>1</v>
      </c>
      <c r="P1052" s="2">
        <v>109.69</v>
      </c>
    </row>
    <row r="1053" spans="10:16">
      <c r="J1053" s="5" t="s">
        <v>1180</v>
      </c>
      <c r="K1053" t="s">
        <v>1181</v>
      </c>
      <c r="L1053" t="s">
        <v>31</v>
      </c>
      <c r="M1053" t="s">
        <v>1931</v>
      </c>
      <c r="N1053" s="2">
        <v>109.26</v>
      </c>
      <c r="O1053" s="1">
        <v>1</v>
      </c>
      <c r="P1053" s="2">
        <v>109.26</v>
      </c>
    </row>
    <row r="1054" spans="10:16">
      <c r="J1054" s="5" t="s">
        <v>2628</v>
      </c>
      <c r="K1054" t="s">
        <v>2629</v>
      </c>
      <c r="L1054" t="s">
        <v>5474</v>
      </c>
      <c r="M1054" t="s">
        <v>125</v>
      </c>
      <c r="N1054" s="2">
        <v>9.1020000000000003</v>
      </c>
      <c r="O1054" s="1">
        <v>12</v>
      </c>
      <c r="P1054" s="2">
        <v>109.224</v>
      </c>
    </row>
    <row r="1055" spans="10:16">
      <c r="J1055" s="5" t="s">
        <v>2335</v>
      </c>
      <c r="K1055" t="s">
        <v>2336</v>
      </c>
      <c r="L1055" t="s">
        <v>219</v>
      </c>
      <c r="M1055" t="s">
        <v>86</v>
      </c>
      <c r="N1055" s="2">
        <v>7.7538</v>
      </c>
      <c r="O1055" s="1">
        <v>28</v>
      </c>
      <c r="P1055" s="2">
        <v>108.5532</v>
      </c>
    </row>
    <row r="1056" spans="10:16">
      <c r="J1056" s="5" t="s">
        <v>1040</v>
      </c>
      <c r="K1056" t="s">
        <v>1041</v>
      </c>
      <c r="L1056" t="s">
        <v>128</v>
      </c>
      <c r="M1056" t="s">
        <v>125</v>
      </c>
      <c r="N1056" s="2">
        <v>18.062999999999999</v>
      </c>
      <c r="O1056" s="1">
        <v>6</v>
      </c>
      <c r="P1056" s="2">
        <v>108.37799999999999</v>
      </c>
    </row>
    <row r="1057" spans="10:16">
      <c r="J1057" s="5" t="s">
        <v>173</v>
      </c>
      <c r="K1057" t="s">
        <v>174</v>
      </c>
      <c r="L1057" t="s">
        <v>3375</v>
      </c>
      <c r="M1057" t="s">
        <v>125</v>
      </c>
      <c r="N1057" s="2">
        <v>108.2022</v>
      </c>
      <c r="O1057" s="1">
        <v>2</v>
      </c>
      <c r="P1057" s="2">
        <v>108.2022</v>
      </c>
    </row>
    <row r="1058" spans="10:16">
      <c r="J1058" s="5" t="s">
        <v>2861</v>
      </c>
      <c r="K1058" t="s">
        <v>2862</v>
      </c>
      <c r="L1058" t="s">
        <v>223</v>
      </c>
      <c r="M1058" t="s">
        <v>86</v>
      </c>
      <c r="N1058" s="2">
        <v>27.007999999999999</v>
      </c>
      <c r="O1058" s="1">
        <v>4</v>
      </c>
      <c r="P1058" s="2">
        <v>108.032</v>
      </c>
    </row>
    <row r="1059" spans="10:16">
      <c r="J1059" s="5" t="s">
        <v>602</v>
      </c>
      <c r="K1059" t="s">
        <v>603</v>
      </c>
      <c r="L1059" t="s">
        <v>31</v>
      </c>
      <c r="M1059" t="s">
        <v>1931</v>
      </c>
      <c r="N1059" s="2">
        <v>108</v>
      </c>
      <c r="O1059" s="1">
        <v>1</v>
      </c>
      <c r="P1059" s="2">
        <v>108</v>
      </c>
    </row>
    <row r="1060" spans="10:16">
      <c r="J1060" s="5" t="s">
        <v>1591</v>
      </c>
      <c r="K1060" t="s">
        <v>1592</v>
      </c>
      <c r="L1060" t="s">
        <v>115</v>
      </c>
      <c r="M1060" t="s">
        <v>102</v>
      </c>
      <c r="N1060" s="2">
        <v>0.14130000000000001</v>
      </c>
      <c r="O1060" s="1">
        <v>764</v>
      </c>
      <c r="P1060" s="2">
        <v>107.95320000000001</v>
      </c>
    </row>
    <row r="1061" spans="10:16">
      <c r="J1061" s="5" t="s">
        <v>4773</v>
      </c>
      <c r="K1061" t="s">
        <v>4774</v>
      </c>
      <c r="L1061" t="s">
        <v>85</v>
      </c>
      <c r="M1061" t="s">
        <v>86</v>
      </c>
      <c r="N1061" s="2">
        <v>21.516999999999999</v>
      </c>
      <c r="O1061" s="1">
        <v>5</v>
      </c>
      <c r="P1061" s="2">
        <v>107.58499999999999</v>
      </c>
    </row>
    <row r="1062" spans="10:16">
      <c r="J1062" s="5" t="s">
        <v>1648</v>
      </c>
      <c r="K1062" t="s">
        <v>1649</v>
      </c>
      <c r="L1062" t="s">
        <v>115</v>
      </c>
      <c r="M1062" t="s">
        <v>102</v>
      </c>
      <c r="N1062" s="2">
        <v>0.27300000000000002</v>
      </c>
      <c r="O1062" s="1">
        <v>394</v>
      </c>
      <c r="P1062" s="2">
        <v>107.56200000000001</v>
      </c>
    </row>
    <row r="1063" spans="10:16">
      <c r="J1063" s="5" t="s">
        <v>4609</v>
      </c>
      <c r="K1063" t="s">
        <v>4610</v>
      </c>
      <c r="L1063" t="s">
        <v>4611</v>
      </c>
      <c r="M1063" t="s">
        <v>86</v>
      </c>
      <c r="N1063" s="2">
        <v>35.85</v>
      </c>
      <c r="O1063" s="1">
        <v>3</v>
      </c>
      <c r="P1063" s="2">
        <v>107.55000000000001</v>
      </c>
    </row>
    <row r="1064" spans="10:16">
      <c r="J1064" s="5" t="s">
        <v>4950</v>
      </c>
      <c r="K1064" t="s">
        <v>3267</v>
      </c>
      <c r="L1064" t="s">
        <v>219</v>
      </c>
      <c r="M1064" t="s">
        <v>86</v>
      </c>
      <c r="N1064" s="2">
        <v>5.6429999999999998</v>
      </c>
      <c r="O1064" s="1">
        <v>38</v>
      </c>
      <c r="P1064" s="2">
        <v>107.217</v>
      </c>
    </row>
    <row r="1065" spans="10:16">
      <c r="J1065" s="5" t="s">
        <v>3298</v>
      </c>
      <c r="K1065" t="s">
        <v>5441</v>
      </c>
      <c r="L1065" t="s">
        <v>228</v>
      </c>
      <c r="M1065" t="s">
        <v>86</v>
      </c>
      <c r="N1065" s="2">
        <v>1.3062</v>
      </c>
      <c r="O1065" s="1">
        <v>246</v>
      </c>
      <c r="P1065" s="2">
        <v>107.10840000000002</v>
      </c>
    </row>
    <row r="1066" spans="10:16">
      <c r="J1066" s="5" t="s">
        <v>3043</v>
      </c>
      <c r="K1066" t="s">
        <v>3044</v>
      </c>
      <c r="L1066" t="s">
        <v>85</v>
      </c>
      <c r="M1066" t="s">
        <v>86</v>
      </c>
      <c r="N1066" s="2">
        <v>1.5973999999999999</v>
      </c>
      <c r="O1066" s="1">
        <v>134</v>
      </c>
      <c r="P1066" s="2">
        <v>107.02579999999999</v>
      </c>
    </row>
    <row r="1067" spans="10:16">
      <c r="J1067" s="5" t="s">
        <v>3367</v>
      </c>
      <c r="K1067" t="s">
        <v>3368</v>
      </c>
      <c r="L1067" t="s">
        <v>618</v>
      </c>
      <c r="M1067" t="s">
        <v>626</v>
      </c>
      <c r="N1067" s="2">
        <v>10.66</v>
      </c>
      <c r="O1067" s="1">
        <v>10</v>
      </c>
      <c r="P1067" s="2">
        <v>106.6</v>
      </c>
    </row>
    <row r="1068" spans="10:16">
      <c r="J1068" s="5" t="s">
        <v>2709</v>
      </c>
      <c r="K1068" t="s">
        <v>2710</v>
      </c>
      <c r="L1068" t="s">
        <v>219</v>
      </c>
      <c r="M1068" t="s">
        <v>86</v>
      </c>
      <c r="N1068" s="2">
        <v>21.29</v>
      </c>
      <c r="O1068" s="1">
        <v>5</v>
      </c>
      <c r="P1068" s="2">
        <v>106.44999999999999</v>
      </c>
    </row>
    <row r="1069" spans="10:16">
      <c r="J1069" s="5" t="s">
        <v>3912</v>
      </c>
      <c r="K1069" t="s">
        <v>3913</v>
      </c>
      <c r="L1069" t="s">
        <v>98</v>
      </c>
      <c r="M1069" t="s">
        <v>86</v>
      </c>
      <c r="N1069" s="2">
        <v>13.301</v>
      </c>
      <c r="O1069" s="1">
        <v>16</v>
      </c>
      <c r="P1069" s="2">
        <v>106.408</v>
      </c>
    </row>
    <row r="1070" spans="10:16">
      <c r="J1070" s="5" t="s">
        <v>1361</v>
      </c>
      <c r="K1070" t="s">
        <v>1362</v>
      </c>
      <c r="L1070" t="s">
        <v>115</v>
      </c>
      <c r="M1070" t="s">
        <v>102</v>
      </c>
      <c r="N1070" s="2">
        <v>9.0999999999999998E-2</v>
      </c>
      <c r="O1070" s="1">
        <v>1166</v>
      </c>
      <c r="P1070" s="2">
        <v>106.10599999999999</v>
      </c>
    </row>
    <row r="1071" spans="10:16">
      <c r="J1071" s="5" t="s">
        <v>3965</v>
      </c>
      <c r="K1071" t="s">
        <v>3966</v>
      </c>
      <c r="L1071" t="s">
        <v>85</v>
      </c>
      <c r="M1071" t="s">
        <v>86</v>
      </c>
      <c r="N1071" s="2">
        <v>10.521800000000001</v>
      </c>
      <c r="O1071" s="1">
        <v>10</v>
      </c>
      <c r="P1071" s="2">
        <v>105.218</v>
      </c>
    </row>
    <row r="1072" spans="10:16">
      <c r="J1072" s="5" t="s">
        <v>2904</v>
      </c>
      <c r="K1072" t="s">
        <v>2905</v>
      </c>
      <c r="L1072" t="s">
        <v>85</v>
      </c>
      <c r="M1072" t="s">
        <v>86</v>
      </c>
      <c r="N1072" s="2">
        <v>5.5354999999999999</v>
      </c>
      <c r="O1072" s="1">
        <v>19</v>
      </c>
      <c r="P1072" s="2">
        <v>105.17449999999999</v>
      </c>
    </row>
    <row r="1073" spans="10:16">
      <c r="J1073" s="5" t="s">
        <v>691</v>
      </c>
      <c r="K1073" t="s">
        <v>692</v>
      </c>
      <c r="L1073" t="s">
        <v>31</v>
      </c>
      <c r="M1073" t="s">
        <v>1931</v>
      </c>
      <c r="N1073" s="2">
        <v>105</v>
      </c>
      <c r="O1073" s="1">
        <v>1</v>
      </c>
      <c r="P1073" s="2">
        <v>105</v>
      </c>
    </row>
    <row r="1074" spans="10:16">
      <c r="J1074" s="5" t="s">
        <v>1606</v>
      </c>
      <c r="K1074" t="s">
        <v>1607</v>
      </c>
      <c r="L1074" t="s">
        <v>115</v>
      </c>
      <c r="M1074" t="s">
        <v>102</v>
      </c>
      <c r="N1074" s="2">
        <v>0.14499999999999999</v>
      </c>
      <c r="O1074" s="1">
        <v>722</v>
      </c>
      <c r="P1074" s="2">
        <v>104.69</v>
      </c>
    </row>
    <row r="1075" spans="10:16">
      <c r="J1075" s="5" t="s">
        <v>1001</v>
      </c>
      <c r="K1075" t="s">
        <v>1002</v>
      </c>
      <c r="L1075" t="s">
        <v>618</v>
      </c>
      <c r="M1075" t="s">
        <v>626</v>
      </c>
      <c r="N1075" s="2">
        <v>11.621</v>
      </c>
      <c r="O1075" s="1">
        <v>9</v>
      </c>
      <c r="P1075" s="2">
        <v>104.589</v>
      </c>
    </row>
    <row r="1076" spans="10:16">
      <c r="J1076" s="5" t="s">
        <v>1333</v>
      </c>
      <c r="K1076" t="s">
        <v>1334</v>
      </c>
      <c r="L1076" t="s">
        <v>115</v>
      </c>
      <c r="M1076" t="s">
        <v>102</v>
      </c>
      <c r="N1076" s="2">
        <v>0.246</v>
      </c>
      <c r="O1076" s="1">
        <v>424</v>
      </c>
      <c r="P1076" s="2">
        <v>104.304</v>
      </c>
    </row>
    <row r="1077" spans="10:16">
      <c r="J1077" s="5" t="s">
        <v>1057</v>
      </c>
      <c r="K1077" t="s">
        <v>1058</v>
      </c>
      <c r="L1077" t="s">
        <v>128</v>
      </c>
      <c r="M1077" t="s">
        <v>125</v>
      </c>
      <c r="N1077" s="2">
        <v>34.737000000000002</v>
      </c>
      <c r="O1077" s="1">
        <v>3</v>
      </c>
      <c r="P1077" s="2">
        <v>104.21100000000001</v>
      </c>
    </row>
    <row r="1078" spans="10:16">
      <c r="J1078" s="5" t="s">
        <v>5500</v>
      </c>
      <c r="K1078" t="s">
        <v>5501</v>
      </c>
      <c r="L1078" t="s">
        <v>436</v>
      </c>
      <c r="M1078" t="s">
        <v>86</v>
      </c>
      <c r="N1078" s="2">
        <v>20.83</v>
      </c>
      <c r="O1078" s="1">
        <v>5</v>
      </c>
      <c r="P1078" s="2">
        <v>104.14999999999999</v>
      </c>
    </row>
    <row r="1079" spans="10:16">
      <c r="J1079" s="5" t="s">
        <v>1573</v>
      </c>
      <c r="K1079" t="s">
        <v>1574</v>
      </c>
      <c r="L1079" t="s">
        <v>101</v>
      </c>
      <c r="M1079" t="s">
        <v>102</v>
      </c>
      <c r="N1079" s="2">
        <v>0.12</v>
      </c>
      <c r="O1079" s="1">
        <v>865</v>
      </c>
      <c r="P1079" s="2">
        <v>103.8</v>
      </c>
    </row>
    <row r="1080" spans="10:16">
      <c r="J1080" s="5" t="s">
        <v>2701</v>
      </c>
      <c r="K1080" t="s">
        <v>2702</v>
      </c>
      <c r="L1080" t="s">
        <v>160</v>
      </c>
      <c r="M1080" t="s">
        <v>125</v>
      </c>
      <c r="N1080" s="2">
        <v>103.648</v>
      </c>
      <c r="O1080" s="1">
        <v>1</v>
      </c>
      <c r="P1080" s="2">
        <v>103.648</v>
      </c>
    </row>
    <row r="1081" spans="10:16">
      <c r="J1081" s="5" t="s">
        <v>4769</v>
      </c>
      <c r="K1081" t="s">
        <v>4770</v>
      </c>
      <c r="L1081" t="s">
        <v>85</v>
      </c>
      <c r="M1081" t="s">
        <v>86</v>
      </c>
      <c r="N1081" s="2">
        <v>34.543300000000002</v>
      </c>
      <c r="O1081" s="1">
        <v>3</v>
      </c>
      <c r="P1081" s="2">
        <v>103.62990000000001</v>
      </c>
    </row>
    <row r="1082" spans="10:16">
      <c r="J1082" s="5" t="s">
        <v>822</v>
      </c>
      <c r="K1082" t="s">
        <v>823</v>
      </c>
      <c r="L1082" t="s">
        <v>618</v>
      </c>
      <c r="M1082" t="s">
        <v>626</v>
      </c>
      <c r="N1082" s="2">
        <v>20.721</v>
      </c>
      <c r="O1082" s="1">
        <v>5</v>
      </c>
      <c r="P1082" s="2">
        <v>103.605</v>
      </c>
    </row>
    <row r="1083" spans="10:16">
      <c r="J1083" s="5" t="s">
        <v>4048</v>
      </c>
      <c r="K1083" t="s">
        <v>4049</v>
      </c>
      <c r="L1083" t="s">
        <v>98</v>
      </c>
      <c r="M1083" t="s">
        <v>86</v>
      </c>
      <c r="N1083" s="2">
        <v>8.6313999999999993</v>
      </c>
      <c r="O1083" s="1">
        <v>24</v>
      </c>
      <c r="P1083" s="2">
        <v>103.57679999999999</v>
      </c>
    </row>
    <row r="1084" spans="10:16">
      <c r="J1084" s="5" t="s">
        <v>4717</v>
      </c>
      <c r="K1084" t="s">
        <v>4718</v>
      </c>
      <c r="L1084" t="s">
        <v>98</v>
      </c>
      <c r="M1084" t="s">
        <v>86</v>
      </c>
      <c r="N1084" s="2">
        <v>25.855699999999999</v>
      </c>
      <c r="O1084" s="1">
        <v>4</v>
      </c>
      <c r="P1084" s="2">
        <v>103.4228</v>
      </c>
    </row>
    <row r="1085" spans="10:16">
      <c r="J1085" s="5" t="s">
        <v>3463</v>
      </c>
      <c r="K1085" t="s">
        <v>3464</v>
      </c>
      <c r="L1085" t="s">
        <v>85</v>
      </c>
      <c r="M1085" t="s">
        <v>86</v>
      </c>
      <c r="N1085" s="2">
        <v>0.89910000000000001</v>
      </c>
      <c r="O1085" s="1">
        <v>115</v>
      </c>
      <c r="P1085" s="2">
        <v>103.3965</v>
      </c>
    </row>
    <row r="1086" spans="10:16">
      <c r="J1086" s="5" t="s">
        <v>3951</v>
      </c>
      <c r="K1086" t="s">
        <v>3952</v>
      </c>
      <c r="L1086" t="s">
        <v>85</v>
      </c>
      <c r="M1086" t="s">
        <v>86</v>
      </c>
      <c r="N1086" s="2">
        <v>11.47</v>
      </c>
      <c r="O1086" s="1">
        <v>9</v>
      </c>
      <c r="P1086" s="2">
        <v>103.23</v>
      </c>
    </row>
    <row r="1087" spans="10:16">
      <c r="J1087" s="5" t="s">
        <v>1579</v>
      </c>
      <c r="K1087" t="s">
        <v>1580</v>
      </c>
      <c r="L1087" t="s">
        <v>115</v>
      </c>
      <c r="M1087" t="s">
        <v>102</v>
      </c>
      <c r="N1087" s="2">
        <v>0.11799999999999999</v>
      </c>
      <c r="O1087" s="1">
        <v>874</v>
      </c>
      <c r="P1087" s="2">
        <v>103.13199999999999</v>
      </c>
    </row>
    <row r="1088" spans="10:16">
      <c r="J1088" s="5" t="s">
        <v>4805</v>
      </c>
      <c r="K1088" t="s">
        <v>4806</v>
      </c>
      <c r="L1088" t="s">
        <v>85</v>
      </c>
      <c r="M1088" t="s">
        <v>86</v>
      </c>
      <c r="N1088" s="2">
        <v>4.4791999999999996</v>
      </c>
      <c r="O1088" s="1">
        <v>46</v>
      </c>
      <c r="P1088" s="2">
        <v>103.02159999999999</v>
      </c>
    </row>
    <row r="1089" spans="10:16">
      <c r="J1089" s="5" t="s">
        <v>2322</v>
      </c>
      <c r="K1089" t="s">
        <v>2323</v>
      </c>
      <c r="L1089" t="s">
        <v>219</v>
      </c>
      <c r="M1089" t="s">
        <v>86</v>
      </c>
      <c r="N1089" s="2">
        <v>34.207999999999998</v>
      </c>
      <c r="O1089" s="1">
        <v>3</v>
      </c>
      <c r="P1089" s="2">
        <v>102.624</v>
      </c>
    </row>
    <row r="1090" spans="10:16">
      <c r="J1090" s="5" t="s">
        <v>149</v>
      </c>
      <c r="K1090" t="s">
        <v>150</v>
      </c>
      <c r="L1090" t="s">
        <v>141</v>
      </c>
      <c r="M1090" t="s">
        <v>125</v>
      </c>
      <c r="N1090" s="2">
        <v>102.61</v>
      </c>
      <c r="O1090" s="1">
        <v>1</v>
      </c>
      <c r="P1090" s="2">
        <v>102.61</v>
      </c>
    </row>
    <row r="1091" spans="10:16">
      <c r="J1091" s="5" t="s">
        <v>5276</v>
      </c>
      <c r="K1091" t="s">
        <v>5277</v>
      </c>
      <c r="L1091" t="s">
        <v>3411</v>
      </c>
      <c r="M1091" t="s">
        <v>125</v>
      </c>
      <c r="N1091" s="2">
        <v>51.263199999999998</v>
      </c>
      <c r="O1091" s="1">
        <v>4</v>
      </c>
      <c r="P1091" s="2">
        <v>102.5264</v>
      </c>
    </row>
    <row r="1092" spans="10:16">
      <c r="J1092" s="5" t="s">
        <v>2675</v>
      </c>
      <c r="K1092" t="s">
        <v>2676</v>
      </c>
      <c r="L1092" t="s">
        <v>128</v>
      </c>
      <c r="M1092" t="s">
        <v>125</v>
      </c>
      <c r="N1092" s="2">
        <v>17.027799999999999</v>
      </c>
      <c r="O1092" s="1">
        <v>12</v>
      </c>
      <c r="P1092" s="2">
        <v>102.16679999999999</v>
      </c>
    </row>
    <row r="1093" spans="10:16">
      <c r="J1093" s="5" t="s">
        <v>204</v>
      </c>
      <c r="K1093" t="s">
        <v>205</v>
      </c>
      <c r="L1093" t="s">
        <v>187</v>
      </c>
      <c r="M1093" t="s">
        <v>125</v>
      </c>
      <c r="N1093" s="2">
        <v>102.005</v>
      </c>
      <c r="O1093" s="1">
        <v>1</v>
      </c>
      <c r="P1093" s="2">
        <v>102.005</v>
      </c>
    </row>
    <row r="1094" spans="10:16">
      <c r="J1094" s="5" t="s">
        <v>3080</v>
      </c>
      <c r="K1094" t="s">
        <v>3081</v>
      </c>
      <c r="L1094" t="s">
        <v>219</v>
      </c>
      <c r="M1094" t="s">
        <v>86</v>
      </c>
      <c r="N1094" s="2">
        <v>20.399799999999999</v>
      </c>
      <c r="O1094" s="1">
        <v>5</v>
      </c>
      <c r="P1094" s="2">
        <v>101.999</v>
      </c>
    </row>
    <row r="1095" spans="10:16">
      <c r="J1095" s="5" t="s">
        <v>5261</v>
      </c>
      <c r="K1095" t="s">
        <v>1684</v>
      </c>
      <c r="L1095" t="s">
        <v>115</v>
      </c>
      <c r="M1095" t="s">
        <v>102</v>
      </c>
      <c r="N1095" s="2">
        <v>0.13700000000000001</v>
      </c>
      <c r="O1095" s="1">
        <v>744</v>
      </c>
      <c r="P1095" s="2">
        <v>101.92800000000001</v>
      </c>
    </row>
    <row r="1096" spans="10:16">
      <c r="J1096" s="5" t="s">
        <v>3369</v>
      </c>
      <c r="K1096" t="s">
        <v>3370</v>
      </c>
      <c r="L1096" t="s">
        <v>618</v>
      </c>
      <c r="M1096" t="s">
        <v>626</v>
      </c>
      <c r="N1096" s="2">
        <v>11.32</v>
      </c>
      <c r="O1096" s="1">
        <v>9</v>
      </c>
      <c r="P1096" s="2">
        <v>101.88</v>
      </c>
    </row>
    <row r="1097" spans="10:16">
      <c r="J1097" s="5" t="s">
        <v>4643</v>
      </c>
      <c r="K1097" t="s">
        <v>4644</v>
      </c>
      <c r="L1097" t="s">
        <v>85</v>
      </c>
      <c r="M1097" t="s">
        <v>86</v>
      </c>
      <c r="N1097" s="2">
        <v>3.6379999999999999</v>
      </c>
      <c r="O1097" s="1">
        <v>56</v>
      </c>
      <c r="P1097" s="2">
        <v>101.864</v>
      </c>
    </row>
    <row r="1098" spans="10:16">
      <c r="J1098" s="5" t="s">
        <v>4400</v>
      </c>
      <c r="K1098" t="s">
        <v>4401</v>
      </c>
      <c r="L1098" t="s">
        <v>219</v>
      </c>
      <c r="M1098" t="s">
        <v>86</v>
      </c>
      <c r="N1098" s="2">
        <v>33.950000000000003</v>
      </c>
      <c r="O1098" s="1">
        <v>3</v>
      </c>
      <c r="P1098" s="2">
        <v>101.85000000000001</v>
      </c>
    </row>
    <row r="1099" spans="10:16">
      <c r="J1099" s="5" t="s">
        <v>4402</v>
      </c>
      <c r="K1099" t="s">
        <v>3260</v>
      </c>
      <c r="L1099" t="s">
        <v>98</v>
      </c>
      <c r="M1099" t="s">
        <v>86</v>
      </c>
      <c r="N1099" s="2">
        <v>16.963000000000001</v>
      </c>
      <c r="O1099" s="1">
        <v>6</v>
      </c>
      <c r="P1099" s="2">
        <v>101.77800000000001</v>
      </c>
    </row>
    <row r="1100" spans="10:16">
      <c r="J1100" s="5" t="s">
        <v>5280</v>
      </c>
      <c r="K1100" t="s">
        <v>5281</v>
      </c>
      <c r="L1100" t="s">
        <v>3411</v>
      </c>
      <c r="M1100" t="s">
        <v>125</v>
      </c>
      <c r="N1100" s="2">
        <v>50.526400000000002</v>
      </c>
      <c r="O1100" s="1">
        <v>4</v>
      </c>
      <c r="P1100" s="2">
        <v>101.0528</v>
      </c>
    </row>
    <row r="1101" spans="10:16">
      <c r="J1101" s="5" t="s">
        <v>1596</v>
      </c>
      <c r="K1101" t="s">
        <v>1597</v>
      </c>
      <c r="L1101" t="s">
        <v>5252</v>
      </c>
      <c r="M1101" t="s">
        <v>5215</v>
      </c>
      <c r="N1101" s="2">
        <v>1.9392</v>
      </c>
      <c r="O1101" s="1">
        <v>104</v>
      </c>
      <c r="P1101" s="2">
        <v>100.83840000000001</v>
      </c>
    </row>
    <row r="1102" spans="10:16">
      <c r="J1102" s="5" t="s">
        <v>1351</v>
      </c>
      <c r="K1102" t="s">
        <v>1352</v>
      </c>
      <c r="L1102" t="s">
        <v>115</v>
      </c>
      <c r="M1102" t="s">
        <v>102</v>
      </c>
      <c r="N1102" s="2">
        <v>0.10150000000000001</v>
      </c>
      <c r="O1102" s="1">
        <v>993.00009999999997</v>
      </c>
      <c r="P1102" s="2">
        <v>100.78951015</v>
      </c>
    </row>
    <row r="1103" spans="10:16">
      <c r="J1103" s="5" t="s">
        <v>3420</v>
      </c>
      <c r="K1103" t="s">
        <v>3421</v>
      </c>
      <c r="L1103" t="s">
        <v>200</v>
      </c>
      <c r="M1103" t="s">
        <v>125</v>
      </c>
      <c r="N1103" s="2">
        <v>33.512999999999998</v>
      </c>
      <c r="O1103" s="1">
        <v>3</v>
      </c>
      <c r="P1103" s="2">
        <v>100.53899999999999</v>
      </c>
    </row>
    <row r="1104" spans="10:16">
      <c r="J1104" s="5" t="s">
        <v>1415</v>
      </c>
      <c r="K1104" t="s">
        <v>1416</v>
      </c>
      <c r="L1104" t="s">
        <v>115</v>
      </c>
      <c r="M1104" t="s">
        <v>102</v>
      </c>
      <c r="N1104" s="2">
        <v>0.13</v>
      </c>
      <c r="O1104" s="1">
        <v>770</v>
      </c>
      <c r="P1104" s="2">
        <v>100.10000000000001</v>
      </c>
    </row>
    <row r="1105" spans="10:16">
      <c r="J1105" s="5" t="s">
        <v>1825</v>
      </c>
      <c r="K1105" t="s">
        <v>1826</v>
      </c>
      <c r="L1105" t="s">
        <v>31</v>
      </c>
      <c r="M1105" t="s">
        <v>1931</v>
      </c>
      <c r="N1105" s="2">
        <v>100</v>
      </c>
      <c r="O1105" s="1">
        <v>1</v>
      </c>
      <c r="P1105" s="2">
        <v>100</v>
      </c>
    </row>
    <row r="1106" spans="10:16">
      <c r="J1106" s="5" t="s">
        <v>1831</v>
      </c>
      <c r="K1106" t="s">
        <v>1832</v>
      </c>
      <c r="L1106" t="s">
        <v>31</v>
      </c>
      <c r="M1106" t="s">
        <v>1931</v>
      </c>
      <c r="N1106" s="2">
        <v>100</v>
      </c>
      <c r="O1106" s="1">
        <v>1</v>
      </c>
      <c r="P1106" s="2">
        <v>100</v>
      </c>
    </row>
    <row r="1107" spans="10:16">
      <c r="J1107" s="5" t="s">
        <v>1795</v>
      </c>
      <c r="K1107" t="s">
        <v>1796</v>
      </c>
      <c r="L1107" t="s">
        <v>31</v>
      </c>
      <c r="M1107" t="s">
        <v>1931</v>
      </c>
      <c r="N1107" s="2">
        <v>100</v>
      </c>
      <c r="O1107" s="1">
        <v>1</v>
      </c>
      <c r="P1107" s="2">
        <v>100</v>
      </c>
    </row>
    <row r="1108" spans="10:16">
      <c r="J1108" s="5" t="s">
        <v>1182</v>
      </c>
      <c r="K1108" t="s">
        <v>1183</v>
      </c>
      <c r="L1108" t="s">
        <v>31</v>
      </c>
      <c r="M1108" t="s">
        <v>1931</v>
      </c>
      <c r="N1108" s="2">
        <v>49.98</v>
      </c>
      <c r="O1108" s="1">
        <v>2</v>
      </c>
      <c r="P1108" s="2">
        <v>99.96</v>
      </c>
    </row>
    <row r="1109" spans="10:16">
      <c r="J1109" s="5" t="s">
        <v>5220</v>
      </c>
      <c r="K1109" t="s">
        <v>5221</v>
      </c>
      <c r="L1109" t="s">
        <v>101</v>
      </c>
      <c r="M1109" t="s">
        <v>711</v>
      </c>
      <c r="N1109" s="2">
        <v>3.3275999999999999</v>
      </c>
      <c r="O1109" s="1">
        <v>30</v>
      </c>
      <c r="P1109" s="2">
        <v>99.828000000000003</v>
      </c>
    </row>
    <row r="1110" spans="10:16">
      <c r="J1110" s="5" t="s">
        <v>3096</v>
      </c>
      <c r="K1110" t="s">
        <v>2208</v>
      </c>
      <c r="L1110" t="s">
        <v>85</v>
      </c>
      <c r="M1110" t="s">
        <v>86</v>
      </c>
      <c r="N1110" s="2">
        <v>16.587</v>
      </c>
      <c r="O1110" s="1">
        <v>6</v>
      </c>
      <c r="P1110" s="2">
        <v>99.521999999999991</v>
      </c>
    </row>
    <row r="1111" spans="10:16">
      <c r="J1111" s="5" t="s">
        <v>1154</v>
      </c>
      <c r="K1111" t="s">
        <v>1155</v>
      </c>
      <c r="L1111" t="s">
        <v>31</v>
      </c>
      <c r="M1111" t="s">
        <v>1931</v>
      </c>
      <c r="N1111" s="2">
        <v>5.52</v>
      </c>
      <c r="O1111" s="1">
        <v>18</v>
      </c>
      <c r="P1111" s="2">
        <v>99.359999999999985</v>
      </c>
    </row>
    <row r="1112" spans="10:16">
      <c r="J1112" s="5" t="s">
        <v>2216</v>
      </c>
      <c r="K1112" t="s">
        <v>2217</v>
      </c>
      <c r="L1112" t="s">
        <v>85</v>
      </c>
      <c r="M1112" t="s">
        <v>86</v>
      </c>
      <c r="N1112" s="2">
        <v>11.027799999999999</v>
      </c>
      <c r="O1112" s="1">
        <v>18</v>
      </c>
      <c r="P1112" s="2">
        <v>99.250199999999992</v>
      </c>
    </row>
    <row r="1113" spans="10:16">
      <c r="J1113" s="5" t="s">
        <v>5321</v>
      </c>
      <c r="K1113" t="s">
        <v>5322</v>
      </c>
      <c r="L1113" t="s">
        <v>3304</v>
      </c>
      <c r="M1113" t="s">
        <v>1931</v>
      </c>
      <c r="N1113" s="2">
        <v>33.08</v>
      </c>
      <c r="O1113" s="1">
        <v>3</v>
      </c>
      <c r="P1113" s="2">
        <v>99.24</v>
      </c>
    </row>
    <row r="1114" spans="10:16">
      <c r="J1114" s="5" t="s">
        <v>3822</v>
      </c>
      <c r="K1114" t="s">
        <v>257</v>
      </c>
      <c r="L1114" t="s">
        <v>223</v>
      </c>
      <c r="M1114" t="s">
        <v>86</v>
      </c>
      <c r="N1114" s="2">
        <v>49.6</v>
      </c>
      <c r="O1114" s="1">
        <v>2</v>
      </c>
      <c r="P1114" s="2">
        <v>99.2</v>
      </c>
    </row>
    <row r="1115" spans="10:16">
      <c r="J1115" s="5" t="s">
        <v>3738</v>
      </c>
      <c r="K1115" t="s">
        <v>3739</v>
      </c>
      <c r="L1115" t="s">
        <v>85</v>
      </c>
      <c r="M1115" t="s">
        <v>86</v>
      </c>
      <c r="N1115" s="2">
        <v>12.37</v>
      </c>
      <c r="O1115" s="1">
        <v>8</v>
      </c>
      <c r="P1115" s="2">
        <v>98.96</v>
      </c>
    </row>
    <row r="1116" spans="10:16">
      <c r="J1116" s="5" t="s">
        <v>2500</v>
      </c>
      <c r="K1116" t="s">
        <v>5424</v>
      </c>
      <c r="L1116" t="s">
        <v>228</v>
      </c>
      <c r="M1116" t="s">
        <v>86</v>
      </c>
      <c r="N1116" s="2">
        <v>19.780999999999999</v>
      </c>
      <c r="O1116" s="1">
        <v>10</v>
      </c>
      <c r="P1116" s="2">
        <v>98.905000000000001</v>
      </c>
    </row>
    <row r="1117" spans="10:16">
      <c r="J1117" s="5" t="s">
        <v>2496</v>
      </c>
      <c r="K1117" t="s">
        <v>5416</v>
      </c>
      <c r="L1117" t="s">
        <v>228</v>
      </c>
      <c r="M1117" t="s">
        <v>86</v>
      </c>
      <c r="N1117" s="2">
        <v>32.904899999999998</v>
      </c>
      <c r="O1117" s="1">
        <v>9</v>
      </c>
      <c r="P1117" s="2">
        <v>98.714699999999993</v>
      </c>
    </row>
    <row r="1118" spans="10:16">
      <c r="J1118" s="5" t="s">
        <v>502</v>
      </c>
      <c r="K1118" t="s">
        <v>4826</v>
      </c>
      <c r="L1118" t="s">
        <v>85</v>
      </c>
      <c r="M1118" t="s">
        <v>86</v>
      </c>
      <c r="N1118" s="2">
        <v>12.313000000000001</v>
      </c>
      <c r="O1118" s="1">
        <v>8</v>
      </c>
      <c r="P1118" s="2">
        <v>98.504000000000005</v>
      </c>
    </row>
    <row r="1119" spans="10:16">
      <c r="J1119" s="5" t="s">
        <v>2061</v>
      </c>
      <c r="K1119" t="s">
        <v>2062</v>
      </c>
      <c r="L1119" t="s">
        <v>85</v>
      </c>
      <c r="M1119" t="s">
        <v>86</v>
      </c>
      <c r="N1119" s="2">
        <v>2.0954000000000002</v>
      </c>
      <c r="O1119" s="1">
        <v>94</v>
      </c>
      <c r="P1119" s="2">
        <v>98.483800000000002</v>
      </c>
    </row>
    <row r="1120" spans="10:16">
      <c r="J1120" s="5" t="s">
        <v>4411</v>
      </c>
      <c r="K1120" t="s">
        <v>4412</v>
      </c>
      <c r="L1120" t="s">
        <v>85</v>
      </c>
      <c r="M1120" t="s">
        <v>86</v>
      </c>
      <c r="N1120" s="2">
        <v>4.4694000000000003</v>
      </c>
      <c r="O1120" s="1">
        <v>44</v>
      </c>
      <c r="P1120" s="2">
        <v>98.326800000000006</v>
      </c>
    </row>
    <row r="1121" spans="10:16">
      <c r="J1121" s="5" t="s">
        <v>1457</v>
      </c>
      <c r="K1121" t="s">
        <v>1458</v>
      </c>
      <c r="L1121" t="s">
        <v>115</v>
      </c>
      <c r="M1121" t="s">
        <v>102</v>
      </c>
      <c r="N1121" s="2">
        <v>0.154</v>
      </c>
      <c r="O1121" s="1">
        <v>638</v>
      </c>
      <c r="P1121" s="2">
        <v>98.251999999999995</v>
      </c>
    </row>
    <row r="1122" spans="10:16">
      <c r="J1122" s="5" t="s">
        <v>3809</v>
      </c>
      <c r="K1122" t="s">
        <v>3810</v>
      </c>
      <c r="L1122" t="s">
        <v>263</v>
      </c>
      <c r="M1122" t="s">
        <v>86</v>
      </c>
      <c r="N1122" s="2">
        <v>32.6</v>
      </c>
      <c r="O1122" s="1">
        <v>3</v>
      </c>
      <c r="P1122" s="2">
        <v>97.800000000000011</v>
      </c>
    </row>
    <row r="1123" spans="10:16">
      <c r="J1123" s="5" t="s">
        <v>1091</v>
      </c>
      <c r="K1123" t="s">
        <v>1092</v>
      </c>
      <c r="L1123" t="s">
        <v>141</v>
      </c>
      <c r="M1123" t="s">
        <v>125</v>
      </c>
      <c r="N1123" s="2">
        <v>48.683</v>
      </c>
      <c r="O1123" s="1">
        <v>2</v>
      </c>
      <c r="P1123" s="2">
        <v>97.366</v>
      </c>
    </row>
    <row r="1124" spans="10:16">
      <c r="J1124" s="5" t="s">
        <v>5056</v>
      </c>
      <c r="K1124" t="s">
        <v>3244</v>
      </c>
      <c r="L1124" t="s">
        <v>219</v>
      </c>
      <c r="M1124" t="s">
        <v>86</v>
      </c>
      <c r="N1124" s="2">
        <v>6.9146000000000001</v>
      </c>
      <c r="O1124" s="1">
        <v>28</v>
      </c>
      <c r="P1124" s="2">
        <v>96.804400000000001</v>
      </c>
    </row>
    <row r="1125" spans="10:16">
      <c r="J1125" s="5" t="s">
        <v>4811</v>
      </c>
      <c r="K1125" t="s">
        <v>4812</v>
      </c>
      <c r="L1125" t="s">
        <v>85</v>
      </c>
      <c r="M1125" t="s">
        <v>86</v>
      </c>
      <c r="N1125" s="2">
        <v>19.350000000000001</v>
      </c>
      <c r="O1125" s="1">
        <v>5</v>
      </c>
      <c r="P1125" s="2">
        <v>96.75</v>
      </c>
    </row>
    <row r="1126" spans="10:16">
      <c r="J1126" s="5" t="s">
        <v>1017</v>
      </c>
      <c r="K1126" t="s">
        <v>1018</v>
      </c>
      <c r="L1126" t="s">
        <v>31</v>
      </c>
      <c r="M1126" t="s">
        <v>1931</v>
      </c>
      <c r="N1126" s="2">
        <v>48.34</v>
      </c>
      <c r="O1126" s="1">
        <v>2</v>
      </c>
      <c r="P1126" s="2">
        <v>96.68</v>
      </c>
    </row>
    <row r="1127" spans="10:16">
      <c r="J1127" s="5" t="s">
        <v>1689</v>
      </c>
      <c r="K1127" t="s">
        <v>1690</v>
      </c>
      <c r="L1127" t="s">
        <v>115</v>
      </c>
      <c r="M1127" t="s">
        <v>102</v>
      </c>
      <c r="N1127" s="2">
        <v>8.8300000000000003E-2</v>
      </c>
      <c r="O1127" s="1">
        <v>1093</v>
      </c>
      <c r="P1127" s="2">
        <v>96.511899999999997</v>
      </c>
    </row>
    <row r="1128" spans="10:16">
      <c r="J1128" s="5" t="s">
        <v>1646</v>
      </c>
      <c r="K1128" t="s">
        <v>1647</v>
      </c>
      <c r="L1128" t="s">
        <v>115</v>
      </c>
      <c r="M1128" t="s">
        <v>102</v>
      </c>
      <c r="N1128" s="2">
        <v>8.0100000000000005E-2</v>
      </c>
      <c r="O1128" s="1">
        <v>1204</v>
      </c>
      <c r="P1128" s="2">
        <v>96.440400000000011</v>
      </c>
    </row>
    <row r="1129" spans="10:16">
      <c r="J1129" s="5" t="s">
        <v>1421</v>
      </c>
      <c r="K1129" t="s">
        <v>1422</v>
      </c>
      <c r="L1129" t="s">
        <v>115</v>
      </c>
      <c r="M1129" t="s">
        <v>102</v>
      </c>
      <c r="N1129" s="2">
        <v>0.187</v>
      </c>
      <c r="O1129" s="1">
        <v>515</v>
      </c>
      <c r="P1129" s="2">
        <v>96.305000000000007</v>
      </c>
    </row>
    <row r="1130" spans="10:16">
      <c r="J1130" s="5" t="s">
        <v>4791</v>
      </c>
      <c r="K1130" t="s">
        <v>4792</v>
      </c>
      <c r="L1130" t="s">
        <v>85</v>
      </c>
      <c r="M1130" t="s">
        <v>86</v>
      </c>
      <c r="N1130" s="2">
        <v>32.06</v>
      </c>
      <c r="O1130" s="1">
        <v>3</v>
      </c>
      <c r="P1130" s="2">
        <v>96.18</v>
      </c>
    </row>
    <row r="1131" spans="10:16">
      <c r="J1131" s="5" t="s">
        <v>2356</v>
      </c>
      <c r="K1131" t="s">
        <v>2357</v>
      </c>
      <c r="L1131" t="s">
        <v>223</v>
      </c>
      <c r="M1131" t="s">
        <v>86</v>
      </c>
      <c r="N1131" s="2">
        <v>32.036999999999999</v>
      </c>
      <c r="O1131" s="1">
        <v>3</v>
      </c>
      <c r="P1131" s="2">
        <v>96.11099999999999</v>
      </c>
    </row>
    <row r="1132" spans="10:16">
      <c r="J1132" s="5" t="s">
        <v>2748</v>
      </c>
      <c r="K1132" t="s">
        <v>2749</v>
      </c>
      <c r="L1132" t="s">
        <v>219</v>
      </c>
      <c r="M1132" t="s">
        <v>86</v>
      </c>
      <c r="N1132" s="2">
        <v>32.01</v>
      </c>
      <c r="O1132" s="1">
        <v>3</v>
      </c>
      <c r="P1132" s="2">
        <v>96.03</v>
      </c>
    </row>
    <row r="1133" spans="10:16">
      <c r="J1133" s="5" t="s">
        <v>2514</v>
      </c>
      <c r="K1133" t="s">
        <v>2515</v>
      </c>
      <c r="L1133" t="s">
        <v>228</v>
      </c>
      <c r="M1133" t="s">
        <v>86</v>
      </c>
      <c r="N1133" s="2">
        <v>24</v>
      </c>
      <c r="O1133" s="1">
        <v>8</v>
      </c>
      <c r="P1133" s="2">
        <v>96</v>
      </c>
    </row>
    <row r="1134" spans="10:16">
      <c r="J1134" s="5" t="s">
        <v>1089</v>
      </c>
      <c r="K1134" t="s">
        <v>1090</v>
      </c>
      <c r="L1134" t="s">
        <v>131</v>
      </c>
      <c r="M1134" t="s">
        <v>125</v>
      </c>
      <c r="N1134" s="2">
        <v>47.947000000000003</v>
      </c>
      <c r="O1134" s="1">
        <v>2</v>
      </c>
      <c r="P1134" s="2">
        <v>95.894000000000005</v>
      </c>
    </row>
    <row r="1135" spans="10:16">
      <c r="J1135" s="5" t="s">
        <v>1318</v>
      </c>
      <c r="K1135" t="s">
        <v>1319</v>
      </c>
      <c r="L1135" t="s">
        <v>115</v>
      </c>
      <c r="M1135" t="s">
        <v>102</v>
      </c>
      <c r="N1135" s="2">
        <v>0.252</v>
      </c>
      <c r="O1135" s="1">
        <v>380</v>
      </c>
      <c r="P1135" s="2">
        <v>95.76</v>
      </c>
    </row>
    <row r="1136" spans="10:16">
      <c r="J1136" s="5" t="s">
        <v>4040</v>
      </c>
      <c r="K1136" t="s">
        <v>4041</v>
      </c>
      <c r="L1136" t="s">
        <v>228</v>
      </c>
      <c r="M1136" t="s">
        <v>86</v>
      </c>
      <c r="N1136" s="2">
        <v>15.92</v>
      </c>
      <c r="O1136" s="1">
        <v>6</v>
      </c>
      <c r="P1136" s="2">
        <v>95.52</v>
      </c>
    </row>
    <row r="1137" spans="10:16">
      <c r="J1137" s="5" t="s">
        <v>1325</v>
      </c>
      <c r="K1137" t="s">
        <v>1326</v>
      </c>
      <c r="L1137" t="s">
        <v>115</v>
      </c>
      <c r="M1137" t="s">
        <v>102</v>
      </c>
      <c r="N1137" s="2">
        <v>0.106</v>
      </c>
      <c r="O1137" s="1">
        <v>900</v>
      </c>
      <c r="P1137" s="2">
        <v>95.399999999999991</v>
      </c>
    </row>
    <row r="1138" spans="10:16">
      <c r="J1138" s="5" t="s">
        <v>3106</v>
      </c>
      <c r="K1138" t="s">
        <v>3107</v>
      </c>
      <c r="L1138" t="s">
        <v>85</v>
      </c>
      <c r="M1138" t="s">
        <v>86</v>
      </c>
      <c r="N1138" s="2">
        <v>31.728000000000002</v>
      </c>
      <c r="O1138" s="1">
        <v>3</v>
      </c>
      <c r="P1138" s="2">
        <v>95.183999999999997</v>
      </c>
    </row>
    <row r="1139" spans="10:16">
      <c r="J1139" s="5" t="s">
        <v>3239</v>
      </c>
      <c r="K1139" t="s">
        <v>3240</v>
      </c>
      <c r="L1139" t="s">
        <v>85</v>
      </c>
      <c r="M1139" t="s">
        <v>86</v>
      </c>
      <c r="N1139" s="2">
        <v>13.5848</v>
      </c>
      <c r="O1139" s="1">
        <v>14</v>
      </c>
      <c r="P1139" s="2">
        <v>95.093599999999995</v>
      </c>
    </row>
    <row r="1140" spans="10:16">
      <c r="J1140" s="5" t="s">
        <v>2865</v>
      </c>
      <c r="K1140" t="s">
        <v>2866</v>
      </c>
      <c r="L1140" t="s">
        <v>219</v>
      </c>
      <c r="M1140" t="s">
        <v>86</v>
      </c>
      <c r="N1140" s="2">
        <v>13.544</v>
      </c>
      <c r="O1140" s="1">
        <v>14</v>
      </c>
      <c r="P1140" s="2">
        <v>94.808000000000007</v>
      </c>
    </row>
    <row r="1141" spans="10:16">
      <c r="J1141" s="5" t="s">
        <v>4872</v>
      </c>
      <c r="K1141" t="s">
        <v>4873</v>
      </c>
      <c r="L1141" t="s">
        <v>283</v>
      </c>
      <c r="M1141" t="s">
        <v>86</v>
      </c>
      <c r="N1141" s="2">
        <v>47.273400000000002</v>
      </c>
      <c r="O1141" s="1">
        <v>4</v>
      </c>
      <c r="P1141" s="2">
        <v>94.546800000000005</v>
      </c>
    </row>
    <row r="1142" spans="10:16">
      <c r="J1142" s="5" t="s">
        <v>4169</v>
      </c>
      <c r="K1142" t="s">
        <v>4170</v>
      </c>
      <c r="L1142" t="s">
        <v>219</v>
      </c>
      <c r="M1142" t="s">
        <v>86</v>
      </c>
      <c r="N1142" s="2">
        <v>94.52</v>
      </c>
      <c r="O1142" s="1">
        <v>1</v>
      </c>
      <c r="P1142" s="2">
        <v>94.52</v>
      </c>
    </row>
    <row r="1143" spans="10:16">
      <c r="J1143" s="5" t="s">
        <v>4235</v>
      </c>
      <c r="K1143" t="s">
        <v>2442</v>
      </c>
      <c r="L1143" t="s">
        <v>85</v>
      </c>
      <c r="M1143" t="s">
        <v>86</v>
      </c>
      <c r="N1143" s="2">
        <v>5.8974000000000002</v>
      </c>
      <c r="O1143" s="1">
        <v>32</v>
      </c>
      <c r="P1143" s="2">
        <v>94.358400000000003</v>
      </c>
    </row>
    <row r="1144" spans="10:16">
      <c r="J1144" s="5" t="s">
        <v>687</v>
      </c>
      <c r="K1144" t="s">
        <v>688</v>
      </c>
      <c r="L1144" t="s">
        <v>3304</v>
      </c>
      <c r="M1144" t="s">
        <v>1931</v>
      </c>
      <c r="N1144" s="2">
        <v>47.179000000000002</v>
      </c>
      <c r="O1144" s="1">
        <v>4</v>
      </c>
      <c r="P1144" s="2">
        <v>94.358000000000004</v>
      </c>
    </row>
    <row r="1145" spans="10:16">
      <c r="J1145" s="5" t="s">
        <v>3851</v>
      </c>
      <c r="K1145" t="s">
        <v>3852</v>
      </c>
      <c r="L1145" t="s">
        <v>85</v>
      </c>
      <c r="M1145" t="s">
        <v>86</v>
      </c>
      <c r="N1145" s="2">
        <v>18.791</v>
      </c>
      <c r="O1145" s="1">
        <v>10</v>
      </c>
      <c r="P1145" s="2">
        <v>93.954999999999998</v>
      </c>
    </row>
    <row r="1146" spans="10:16">
      <c r="J1146" s="5" t="s">
        <v>743</v>
      </c>
      <c r="K1146" t="s">
        <v>744</v>
      </c>
      <c r="L1146" t="s">
        <v>618</v>
      </c>
      <c r="M1146" t="s">
        <v>626</v>
      </c>
      <c r="N1146" s="2">
        <v>1.7394000000000001</v>
      </c>
      <c r="O1146" s="1">
        <v>108</v>
      </c>
      <c r="P1146" s="2">
        <v>93.927599999999998</v>
      </c>
    </row>
    <row r="1147" spans="10:16">
      <c r="J1147" s="5" t="s">
        <v>1966</v>
      </c>
      <c r="K1147" t="s">
        <v>1967</v>
      </c>
      <c r="L1147" t="s">
        <v>31</v>
      </c>
      <c r="M1147" t="s">
        <v>1931</v>
      </c>
      <c r="N1147" s="2">
        <v>93.81</v>
      </c>
      <c r="O1147" s="1">
        <v>1</v>
      </c>
      <c r="P1147" s="2">
        <v>93.81</v>
      </c>
    </row>
    <row r="1148" spans="10:16">
      <c r="J1148" s="5" t="s">
        <v>5292</v>
      </c>
      <c r="K1148" t="s">
        <v>5293</v>
      </c>
      <c r="L1148" t="s">
        <v>85</v>
      </c>
      <c r="M1148" t="s">
        <v>86</v>
      </c>
      <c r="N1148" s="2">
        <v>2.9032</v>
      </c>
      <c r="O1148" s="1">
        <v>64</v>
      </c>
      <c r="P1148" s="2">
        <v>92.9024</v>
      </c>
    </row>
    <row r="1149" spans="10:16">
      <c r="J1149" s="5" t="s">
        <v>3689</v>
      </c>
      <c r="K1149" t="s">
        <v>3690</v>
      </c>
      <c r="L1149" t="s">
        <v>85</v>
      </c>
      <c r="M1149" t="s">
        <v>86</v>
      </c>
      <c r="N1149" s="2">
        <v>23.2075</v>
      </c>
      <c r="O1149" s="1">
        <v>4</v>
      </c>
      <c r="P1149" s="2">
        <v>92.83</v>
      </c>
    </row>
    <row r="1150" spans="10:16">
      <c r="J1150" s="5" t="s">
        <v>3426</v>
      </c>
      <c r="K1150" t="s">
        <v>3427</v>
      </c>
      <c r="L1150" t="s">
        <v>141</v>
      </c>
      <c r="M1150" t="s">
        <v>125</v>
      </c>
      <c r="N1150" s="2">
        <v>18.450199999999999</v>
      </c>
      <c r="O1150" s="1">
        <v>10</v>
      </c>
      <c r="P1150" s="2">
        <v>92.250999999999991</v>
      </c>
    </row>
    <row r="1151" spans="10:16">
      <c r="J1151" s="5" t="s">
        <v>4771</v>
      </c>
      <c r="K1151" t="s">
        <v>4772</v>
      </c>
      <c r="L1151" t="s">
        <v>85</v>
      </c>
      <c r="M1151" t="s">
        <v>86</v>
      </c>
      <c r="N1151" s="2">
        <v>18.248000000000001</v>
      </c>
      <c r="O1151" s="1">
        <v>5</v>
      </c>
      <c r="P1151" s="2">
        <v>91.240000000000009</v>
      </c>
    </row>
    <row r="1152" spans="10:16">
      <c r="J1152" s="5" t="s">
        <v>3012</v>
      </c>
      <c r="K1152" t="s">
        <v>3013</v>
      </c>
      <c r="L1152" t="s">
        <v>85</v>
      </c>
      <c r="M1152" t="s">
        <v>86</v>
      </c>
      <c r="N1152" s="2">
        <v>13</v>
      </c>
      <c r="O1152" s="1">
        <v>7</v>
      </c>
      <c r="P1152" s="2">
        <v>91</v>
      </c>
    </row>
    <row r="1153" spans="10:16">
      <c r="J1153" s="5" t="s">
        <v>430</v>
      </c>
      <c r="K1153" t="s">
        <v>431</v>
      </c>
      <c r="L1153" t="s">
        <v>85</v>
      </c>
      <c r="M1153" t="s">
        <v>86</v>
      </c>
      <c r="N1153" s="2">
        <v>15.164999999999999</v>
      </c>
      <c r="O1153" s="1">
        <v>6</v>
      </c>
      <c r="P1153" s="2">
        <v>90.99</v>
      </c>
    </row>
    <row r="1154" spans="10:16">
      <c r="J1154" s="5" t="s">
        <v>3175</v>
      </c>
      <c r="K1154" t="s">
        <v>3176</v>
      </c>
      <c r="L1154" t="s">
        <v>944</v>
      </c>
      <c r="M1154" t="s">
        <v>125</v>
      </c>
      <c r="N1154" s="2">
        <v>22.694600000000001</v>
      </c>
      <c r="O1154" s="1">
        <v>8</v>
      </c>
      <c r="P1154" s="2">
        <v>90.778400000000005</v>
      </c>
    </row>
    <row r="1155" spans="10:16">
      <c r="J1155" s="5" t="s">
        <v>1394</v>
      </c>
      <c r="K1155" t="s">
        <v>1395</v>
      </c>
      <c r="L1155" t="s">
        <v>115</v>
      </c>
      <c r="M1155" t="s">
        <v>102</v>
      </c>
      <c r="N1155" s="2">
        <v>0.108</v>
      </c>
      <c r="O1155" s="1">
        <v>840</v>
      </c>
      <c r="P1155" s="2">
        <v>90.72</v>
      </c>
    </row>
    <row r="1156" spans="10:16">
      <c r="J1156" s="5" t="s">
        <v>3720</v>
      </c>
      <c r="K1156" t="s">
        <v>3721</v>
      </c>
      <c r="L1156" t="s">
        <v>85</v>
      </c>
      <c r="M1156" t="s">
        <v>86</v>
      </c>
      <c r="N1156" s="2">
        <v>0.63270000000000004</v>
      </c>
      <c r="O1156" s="1">
        <v>143</v>
      </c>
      <c r="P1156" s="2">
        <v>90.476100000000002</v>
      </c>
    </row>
    <row r="1157" spans="10:16">
      <c r="J1157" s="5" t="s">
        <v>389</v>
      </c>
      <c r="K1157" t="s">
        <v>390</v>
      </c>
      <c r="L1157" t="s">
        <v>85</v>
      </c>
      <c r="M1157" t="s">
        <v>86</v>
      </c>
      <c r="N1157" s="2">
        <v>18.05</v>
      </c>
      <c r="O1157" s="1">
        <v>5</v>
      </c>
      <c r="P1157" s="2">
        <v>90.25</v>
      </c>
    </row>
    <row r="1158" spans="10:16">
      <c r="J1158" s="5" t="s">
        <v>4503</v>
      </c>
      <c r="K1158" t="s">
        <v>4504</v>
      </c>
      <c r="L1158" t="s">
        <v>85</v>
      </c>
      <c r="M1158" t="s">
        <v>86</v>
      </c>
      <c r="N1158" s="2">
        <v>22.535</v>
      </c>
      <c r="O1158" s="1">
        <v>4</v>
      </c>
      <c r="P1158" s="2">
        <v>90.14</v>
      </c>
    </row>
    <row r="1159" spans="10:16">
      <c r="J1159" s="5" t="s">
        <v>1178</v>
      </c>
      <c r="K1159" t="s">
        <v>1179</v>
      </c>
      <c r="L1159" t="s">
        <v>31</v>
      </c>
      <c r="M1159" t="s">
        <v>1931</v>
      </c>
      <c r="N1159" s="2">
        <v>15</v>
      </c>
      <c r="O1159" s="1">
        <v>6</v>
      </c>
      <c r="P1159" s="2">
        <v>90</v>
      </c>
    </row>
    <row r="1160" spans="10:16">
      <c r="J1160" s="5" t="s">
        <v>1534</v>
      </c>
      <c r="K1160" t="s">
        <v>1535</v>
      </c>
      <c r="L1160" t="s">
        <v>115</v>
      </c>
      <c r="M1160" t="s">
        <v>102</v>
      </c>
      <c r="N1160" s="2">
        <v>0.23599999999999999</v>
      </c>
      <c r="O1160" s="1">
        <v>380</v>
      </c>
      <c r="P1160" s="2">
        <v>89.679999999999993</v>
      </c>
    </row>
    <row r="1161" spans="10:16">
      <c r="J1161" s="5" t="s">
        <v>1485</v>
      </c>
      <c r="K1161" t="s">
        <v>1486</v>
      </c>
      <c r="L1161" t="s">
        <v>115</v>
      </c>
      <c r="M1161" t="s">
        <v>102</v>
      </c>
      <c r="N1161" s="2">
        <v>0.158</v>
      </c>
      <c r="O1161" s="1">
        <v>562</v>
      </c>
      <c r="P1161" s="2">
        <v>88.796000000000006</v>
      </c>
    </row>
    <row r="1162" spans="10:16">
      <c r="J1162" s="5" t="s">
        <v>400</v>
      </c>
      <c r="K1162" t="s">
        <v>401</v>
      </c>
      <c r="L1162" t="s">
        <v>219</v>
      </c>
      <c r="M1162" t="s">
        <v>86</v>
      </c>
      <c r="N1162" s="2">
        <v>17.742000000000001</v>
      </c>
      <c r="O1162" s="1">
        <v>5</v>
      </c>
      <c r="P1162" s="2">
        <v>88.710000000000008</v>
      </c>
    </row>
    <row r="1163" spans="10:16">
      <c r="J1163" s="5" t="s">
        <v>5010</v>
      </c>
      <c r="K1163" t="s">
        <v>2127</v>
      </c>
      <c r="L1163" t="s">
        <v>85</v>
      </c>
      <c r="M1163" t="s">
        <v>86</v>
      </c>
      <c r="N1163" s="2">
        <v>1.9703999999999999</v>
      </c>
      <c r="O1163" s="1">
        <v>90</v>
      </c>
      <c r="P1163" s="2">
        <v>88.667999999999992</v>
      </c>
    </row>
    <row r="1164" spans="10:16">
      <c r="J1164" s="5" t="s">
        <v>3618</v>
      </c>
      <c r="K1164" t="s">
        <v>3619</v>
      </c>
      <c r="L1164" t="s">
        <v>85</v>
      </c>
      <c r="M1164" t="s">
        <v>86</v>
      </c>
      <c r="N1164" s="2">
        <v>11.076599999999999</v>
      </c>
      <c r="O1164" s="1">
        <v>16</v>
      </c>
      <c r="P1164" s="2">
        <v>88.612799999999993</v>
      </c>
    </row>
    <row r="1165" spans="10:16">
      <c r="J1165" s="5" t="s">
        <v>457</v>
      </c>
      <c r="K1165" t="s">
        <v>458</v>
      </c>
      <c r="L1165" t="s">
        <v>85</v>
      </c>
      <c r="M1165" t="s">
        <v>86</v>
      </c>
      <c r="N1165" s="2">
        <v>17.639199999999999</v>
      </c>
      <c r="O1165" s="1">
        <v>5</v>
      </c>
      <c r="P1165" s="2">
        <v>88.195999999999998</v>
      </c>
    </row>
    <row r="1166" spans="10:16">
      <c r="J1166" s="5" t="s">
        <v>1431</v>
      </c>
      <c r="K1166" t="s">
        <v>1432</v>
      </c>
      <c r="L1166" t="s">
        <v>115</v>
      </c>
      <c r="M1166" t="s">
        <v>102</v>
      </c>
      <c r="N1166" s="2">
        <v>0.157</v>
      </c>
      <c r="O1166" s="1">
        <v>561</v>
      </c>
      <c r="P1166" s="2">
        <v>88.076999999999998</v>
      </c>
    </row>
    <row r="1167" spans="10:16">
      <c r="J1167" s="5" t="s">
        <v>2794</v>
      </c>
      <c r="K1167" t="s">
        <v>2795</v>
      </c>
      <c r="L1167" t="s">
        <v>98</v>
      </c>
      <c r="M1167" t="s">
        <v>86</v>
      </c>
      <c r="N1167" s="2">
        <v>7.984</v>
      </c>
      <c r="O1167" s="1">
        <v>11</v>
      </c>
      <c r="P1167" s="2">
        <v>87.823999999999998</v>
      </c>
    </row>
    <row r="1168" spans="10:16">
      <c r="J1168" s="5" t="s">
        <v>3101</v>
      </c>
      <c r="K1168" t="s">
        <v>4785</v>
      </c>
      <c r="L1168" t="s">
        <v>85</v>
      </c>
      <c r="M1168" t="s">
        <v>86</v>
      </c>
      <c r="N1168" s="2">
        <v>14.47</v>
      </c>
      <c r="O1168" s="1">
        <v>6</v>
      </c>
      <c r="P1168" s="2">
        <v>86.820000000000007</v>
      </c>
    </row>
    <row r="1169" spans="10:16">
      <c r="J1169" s="5" t="s">
        <v>2413</v>
      </c>
      <c r="K1169" t="s">
        <v>2414</v>
      </c>
      <c r="L1169" t="s">
        <v>85</v>
      </c>
      <c r="M1169" t="s">
        <v>86</v>
      </c>
      <c r="N1169" s="2">
        <v>21.7</v>
      </c>
      <c r="O1169" s="1">
        <v>4</v>
      </c>
      <c r="P1169" s="2">
        <v>86.8</v>
      </c>
    </row>
    <row r="1170" spans="10:16">
      <c r="J1170" s="5" t="s">
        <v>1388</v>
      </c>
      <c r="K1170" t="s">
        <v>1389</v>
      </c>
      <c r="L1170" t="s">
        <v>115</v>
      </c>
      <c r="M1170" t="s">
        <v>102</v>
      </c>
      <c r="N1170" s="2">
        <v>7.0000000000000007E-2</v>
      </c>
      <c r="O1170" s="1">
        <v>1235</v>
      </c>
      <c r="P1170" s="2">
        <v>86.45</v>
      </c>
    </row>
    <row r="1171" spans="10:16">
      <c r="J1171" s="5" t="s">
        <v>2191</v>
      </c>
      <c r="K1171" t="s">
        <v>2192</v>
      </c>
      <c r="L1171" t="s">
        <v>85</v>
      </c>
      <c r="M1171" t="s">
        <v>86</v>
      </c>
      <c r="N1171" s="2">
        <v>42.973799999999997</v>
      </c>
      <c r="O1171" s="1">
        <v>4</v>
      </c>
      <c r="P1171" s="2">
        <v>85.947599999999994</v>
      </c>
    </row>
    <row r="1172" spans="10:16">
      <c r="J1172" s="5" t="s">
        <v>5231</v>
      </c>
      <c r="K1172" t="s">
        <v>5232</v>
      </c>
      <c r="L1172" t="s">
        <v>115</v>
      </c>
      <c r="M1172" t="s">
        <v>102</v>
      </c>
      <c r="N1172" s="2">
        <v>0.19470000000000001</v>
      </c>
      <c r="O1172" s="1">
        <v>441</v>
      </c>
      <c r="P1172" s="2">
        <v>85.862700000000004</v>
      </c>
    </row>
    <row r="1173" spans="10:16">
      <c r="J1173" s="5" t="s">
        <v>4295</v>
      </c>
      <c r="K1173" t="s">
        <v>4296</v>
      </c>
      <c r="L1173" t="s">
        <v>85</v>
      </c>
      <c r="M1173" t="s">
        <v>86</v>
      </c>
      <c r="N1173" s="2">
        <v>42.89</v>
      </c>
      <c r="O1173" s="1">
        <v>2</v>
      </c>
      <c r="P1173" s="2">
        <v>85.78</v>
      </c>
    </row>
    <row r="1174" spans="10:16">
      <c r="J1174" s="5" t="s">
        <v>3835</v>
      </c>
      <c r="K1174" t="s">
        <v>3836</v>
      </c>
      <c r="L1174" t="s">
        <v>85</v>
      </c>
      <c r="M1174" t="s">
        <v>86</v>
      </c>
      <c r="N1174" s="2">
        <v>14.2921</v>
      </c>
      <c r="O1174" s="1">
        <v>6</v>
      </c>
      <c r="P1174" s="2">
        <v>85.752600000000001</v>
      </c>
    </row>
    <row r="1175" spans="10:16">
      <c r="J1175" s="5" t="s">
        <v>4986</v>
      </c>
      <c r="K1175" t="s">
        <v>4987</v>
      </c>
      <c r="L1175" t="s">
        <v>85</v>
      </c>
      <c r="M1175" t="s">
        <v>86</v>
      </c>
      <c r="N1175" s="2">
        <v>2.0897999999999999</v>
      </c>
      <c r="O1175" s="1">
        <v>41</v>
      </c>
      <c r="P1175" s="2">
        <v>85.681799999999996</v>
      </c>
    </row>
    <row r="1176" spans="10:16">
      <c r="J1176" s="5" t="s">
        <v>348</v>
      </c>
      <c r="K1176" t="s">
        <v>349</v>
      </c>
      <c r="L1176" t="s">
        <v>98</v>
      </c>
      <c r="M1176" t="s">
        <v>86</v>
      </c>
      <c r="N1176" s="2">
        <v>8.5299999999999994</v>
      </c>
      <c r="O1176" s="1">
        <v>10</v>
      </c>
      <c r="P1176" s="2">
        <v>85.3</v>
      </c>
    </row>
    <row r="1177" spans="10:16">
      <c r="J1177" s="5" t="s">
        <v>2069</v>
      </c>
      <c r="K1177" t="s">
        <v>2070</v>
      </c>
      <c r="L1177" t="s">
        <v>5081</v>
      </c>
      <c r="M1177" t="s">
        <v>125</v>
      </c>
      <c r="N1177" s="2">
        <v>7.75</v>
      </c>
      <c r="O1177" s="1">
        <v>11</v>
      </c>
      <c r="P1177" s="2">
        <v>85.25</v>
      </c>
    </row>
    <row r="1178" spans="10:16">
      <c r="J1178" s="5" t="s">
        <v>2677</v>
      </c>
      <c r="K1178" t="s">
        <v>2678</v>
      </c>
      <c r="L1178" t="s">
        <v>128</v>
      </c>
      <c r="M1178" t="s">
        <v>125</v>
      </c>
      <c r="N1178" s="2">
        <v>10.594799999999999</v>
      </c>
      <c r="O1178" s="1">
        <v>16</v>
      </c>
      <c r="P1178" s="2">
        <v>84.758399999999995</v>
      </c>
    </row>
    <row r="1179" spans="10:16">
      <c r="J1179" s="5" t="s">
        <v>709</v>
      </c>
      <c r="K1179" t="s">
        <v>710</v>
      </c>
      <c r="L1179" t="s">
        <v>618</v>
      </c>
      <c r="M1179" t="s">
        <v>626</v>
      </c>
      <c r="N1179" s="2">
        <v>16.905999999999999</v>
      </c>
      <c r="O1179" s="1">
        <v>5</v>
      </c>
      <c r="P1179" s="2">
        <v>84.53</v>
      </c>
    </row>
    <row r="1180" spans="10:16">
      <c r="J1180" s="5" t="s">
        <v>4302</v>
      </c>
      <c r="K1180" t="s">
        <v>4303</v>
      </c>
      <c r="L1180" t="s">
        <v>219</v>
      </c>
      <c r="M1180" t="s">
        <v>86</v>
      </c>
      <c r="N1180" s="2">
        <v>42.213299999999997</v>
      </c>
      <c r="O1180" s="1">
        <v>2</v>
      </c>
      <c r="P1180" s="2">
        <v>84.426599999999993</v>
      </c>
    </row>
    <row r="1181" spans="10:16">
      <c r="J1181" s="5" t="s">
        <v>2977</v>
      </c>
      <c r="K1181" t="s">
        <v>4264</v>
      </c>
      <c r="L1181" t="s">
        <v>219</v>
      </c>
      <c r="M1181" t="s">
        <v>86</v>
      </c>
      <c r="N1181" s="2">
        <v>3.3679999999999999</v>
      </c>
      <c r="O1181" s="1">
        <v>25</v>
      </c>
      <c r="P1181" s="2">
        <v>84.2</v>
      </c>
    </row>
    <row r="1182" spans="10:16">
      <c r="J1182" s="5" t="s">
        <v>2649</v>
      </c>
      <c r="K1182" t="s">
        <v>2650</v>
      </c>
      <c r="L1182" t="s">
        <v>5491</v>
      </c>
      <c r="M1182" t="s">
        <v>125</v>
      </c>
      <c r="N1182" s="2">
        <v>13.997999999999999</v>
      </c>
      <c r="O1182" s="1">
        <v>6</v>
      </c>
      <c r="P1182" s="2">
        <v>83.988</v>
      </c>
    </row>
    <row r="1183" spans="10:16">
      <c r="J1183" s="5" t="s">
        <v>374</v>
      </c>
      <c r="K1183" t="s">
        <v>4171</v>
      </c>
      <c r="L1183" t="s">
        <v>85</v>
      </c>
      <c r="M1183" t="s">
        <v>86</v>
      </c>
      <c r="N1183" s="2">
        <v>27.945</v>
      </c>
      <c r="O1183" s="1">
        <v>3</v>
      </c>
      <c r="P1183" s="2">
        <v>83.835000000000008</v>
      </c>
    </row>
    <row r="1184" spans="10:16">
      <c r="J1184" s="5" t="s">
        <v>1071</v>
      </c>
      <c r="K1184" t="s">
        <v>1072</v>
      </c>
      <c r="L1184" t="s">
        <v>131</v>
      </c>
      <c r="M1184" t="s">
        <v>125</v>
      </c>
      <c r="N1184" s="2">
        <v>83.674999999999997</v>
      </c>
      <c r="O1184" s="1">
        <v>1</v>
      </c>
      <c r="P1184" s="2">
        <v>83.674999999999997</v>
      </c>
    </row>
    <row r="1185" spans="10:16">
      <c r="J1185" s="5" t="s">
        <v>3169</v>
      </c>
      <c r="K1185" t="s">
        <v>3170</v>
      </c>
      <c r="L1185" t="s">
        <v>85</v>
      </c>
      <c r="M1185" t="s">
        <v>86</v>
      </c>
      <c r="N1185" s="2">
        <v>41.81</v>
      </c>
      <c r="O1185" s="1">
        <v>2</v>
      </c>
      <c r="P1185" s="2">
        <v>83.62</v>
      </c>
    </row>
    <row r="1186" spans="10:16">
      <c r="J1186" s="5" t="s">
        <v>2683</v>
      </c>
      <c r="K1186" t="s">
        <v>2684</v>
      </c>
      <c r="L1186" t="s">
        <v>131</v>
      </c>
      <c r="M1186" t="s">
        <v>125</v>
      </c>
      <c r="N1186" s="2">
        <v>9.2870000000000008</v>
      </c>
      <c r="O1186" s="1">
        <v>9</v>
      </c>
      <c r="P1186" s="2">
        <v>83.583000000000013</v>
      </c>
    </row>
    <row r="1187" spans="10:16">
      <c r="J1187" s="5" t="s">
        <v>2687</v>
      </c>
      <c r="K1187" t="s">
        <v>2688</v>
      </c>
      <c r="L1187" t="s">
        <v>131</v>
      </c>
      <c r="M1187" t="s">
        <v>125</v>
      </c>
      <c r="N1187" s="2">
        <v>9.2870000000000008</v>
      </c>
      <c r="O1187" s="1">
        <v>9</v>
      </c>
      <c r="P1187" s="2">
        <v>83.583000000000013</v>
      </c>
    </row>
    <row r="1188" spans="10:16">
      <c r="J1188" s="5" t="s">
        <v>440</v>
      </c>
      <c r="K1188" t="s">
        <v>4514</v>
      </c>
      <c r="L1188" t="s">
        <v>85</v>
      </c>
      <c r="M1188" t="s">
        <v>86</v>
      </c>
      <c r="N1188" s="2">
        <v>41.67</v>
      </c>
      <c r="O1188" s="1">
        <v>2</v>
      </c>
      <c r="P1188" s="2">
        <v>83.34</v>
      </c>
    </row>
    <row r="1189" spans="10:16">
      <c r="J1189" s="5" t="s">
        <v>408</v>
      </c>
      <c r="K1189" t="s">
        <v>409</v>
      </c>
      <c r="L1189" t="s">
        <v>410</v>
      </c>
      <c r="M1189" t="s">
        <v>86</v>
      </c>
      <c r="N1189" s="2">
        <v>41.63</v>
      </c>
      <c r="O1189" s="1">
        <v>2</v>
      </c>
      <c r="P1189" s="2">
        <v>83.26</v>
      </c>
    </row>
    <row r="1190" spans="10:16">
      <c r="J1190" s="5" t="s">
        <v>84</v>
      </c>
      <c r="K1190" t="s">
        <v>3305</v>
      </c>
      <c r="L1190" t="s">
        <v>85</v>
      </c>
      <c r="M1190" t="s">
        <v>86</v>
      </c>
      <c r="N1190" s="2">
        <v>2.3769999999999998</v>
      </c>
      <c r="O1190" s="1">
        <v>35</v>
      </c>
      <c r="P1190" s="2">
        <v>83.194999999999993</v>
      </c>
    </row>
    <row r="1191" spans="10:16">
      <c r="J1191" s="5" t="s">
        <v>4494</v>
      </c>
      <c r="K1191" t="s">
        <v>3245</v>
      </c>
      <c r="L1191" t="s">
        <v>219</v>
      </c>
      <c r="M1191" t="s">
        <v>86</v>
      </c>
      <c r="N1191" s="2">
        <v>20.768000000000001</v>
      </c>
      <c r="O1191" s="1">
        <v>4</v>
      </c>
      <c r="P1191" s="2">
        <v>83.072000000000003</v>
      </c>
    </row>
    <row r="1192" spans="10:16">
      <c r="J1192" s="5" t="s">
        <v>2671</v>
      </c>
      <c r="K1192" t="s">
        <v>2672</v>
      </c>
      <c r="L1192" t="s">
        <v>128</v>
      </c>
      <c r="M1192" t="s">
        <v>125</v>
      </c>
      <c r="N1192" s="2">
        <v>20.67</v>
      </c>
      <c r="O1192" s="1">
        <v>4</v>
      </c>
      <c r="P1192" s="2">
        <v>82.68</v>
      </c>
    </row>
    <row r="1193" spans="10:16">
      <c r="J1193" s="5" t="s">
        <v>4803</v>
      </c>
      <c r="K1193" t="s">
        <v>4804</v>
      </c>
      <c r="L1193" t="s">
        <v>85</v>
      </c>
      <c r="M1193" t="s">
        <v>86</v>
      </c>
      <c r="N1193" s="2">
        <v>27.55</v>
      </c>
      <c r="O1193" s="1">
        <v>3</v>
      </c>
      <c r="P1193" s="2">
        <v>82.65</v>
      </c>
    </row>
    <row r="1194" spans="10:16">
      <c r="J1194" s="5" t="s">
        <v>5442</v>
      </c>
      <c r="K1194" t="s">
        <v>5443</v>
      </c>
      <c r="L1194" t="s">
        <v>228</v>
      </c>
      <c r="M1194" t="s">
        <v>86</v>
      </c>
      <c r="N1194" s="2">
        <v>1.5860000000000001</v>
      </c>
      <c r="O1194" s="1">
        <v>52</v>
      </c>
      <c r="P1194" s="2">
        <v>82.472000000000008</v>
      </c>
    </row>
    <row r="1195" spans="10:16">
      <c r="J1195" s="5" t="s">
        <v>211</v>
      </c>
      <c r="K1195" t="s">
        <v>212</v>
      </c>
      <c r="L1195" t="s">
        <v>31</v>
      </c>
      <c r="M1195" t="s">
        <v>125</v>
      </c>
      <c r="N1195" s="2">
        <v>20.587</v>
      </c>
      <c r="O1195" s="1">
        <v>4</v>
      </c>
      <c r="P1195" s="2">
        <v>82.347999999999999</v>
      </c>
    </row>
    <row r="1196" spans="10:16">
      <c r="J1196" s="5" t="s">
        <v>3077</v>
      </c>
      <c r="K1196" t="s">
        <v>401</v>
      </c>
      <c r="L1196" t="s">
        <v>219</v>
      </c>
      <c r="M1196" t="s">
        <v>86</v>
      </c>
      <c r="N1196" s="2">
        <v>11.74</v>
      </c>
      <c r="O1196" s="1">
        <v>7</v>
      </c>
      <c r="P1196" s="2">
        <v>82.18</v>
      </c>
    </row>
    <row r="1197" spans="10:16">
      <c r="J1197" s="5" t="s">
        <v>1695</v>
      </c>
      <c r="K1197" t="s">
        <v>1696</v>
      </c>
      <c r="L1197" t="s">
        <v>115</v>
      </c>
      <c r="M1197" t="s">
        <v>102</v>
      </c>
      <c r="N1197" s="2">
        <v>0.2387</v>
      </c>
      <c r="O1197" s="1">
        <v>344</v>
      </c>
      <c r="P1197" s="2">
        <v>82.112799999999993</v>
      </c>
    </row>
    <row r="1198" spans="10:16">
      <c r="J1198" s="5" t="s">
        <v>368</v>
      </c>
      <c r="K1198" t="s">
        <v>4159</v>
      </c>
      <c r="L1198" t="s">
        <v>228</v>
      </c>
      <c r="M1198" t="s">
        <v>86</v>
      </c>
      <c r="N1198" s="2">
        <v>13.67</v>
      </c>
      <c r="O1198" s="1">
        <v>6</v>
      </c>
      <c r="P1198" s="2">
        <v>82.02</v>
      </c>
    </row>
    <row r="1199" spans="10:16">
      <c r="J1199" s="5" t="s">
        <v>1731</v>
      </c>
      <c r="K1199" t="s">
        <v>1732</v>
      </c>
      <c r="L1199" t="s">
        <v>115</v>
      </c>
      <c r="M1199" t="s">
        <v>102</v>
      </c>
      <c r="N1199" s="2">
        <v>0.14149999999999999</v>
      </c>
      <c r="O1199" s="1">
        <v>579</v>
      </c>
      <c r="P1199" s="2">
        <v>81.928499999999985</v>
      </c>
    </row>
    <row r="1200" spans="10:16">
      <c r="J1200" s="5" t="s">
        <v>3461</v>
      </c>
      <c r="K1200" t="s">
        <v>3462</v>
      </c>
      <c r="L1200" t="s">
        <v>85</v>
      </c>
      <c r="M1200" t="s">
        <v>86</v>
      </c>
      <c r="N1200" s="2">
        <v>1.3424</v>
      </c>
      <c r="O1200" s="1">
        <v>61</v>
      </c>
      <c r="P1200" s="2">
        <v>81.886400000000009</v>
      </c>
    </row>
    <row r="1201" spans="10:16">
      <c r="J1201" s="5" t="s">
        <v>4984</v>
      </c>
      <c r="K1201" t="s">
        <v>4985</v>
      </c>
      <c r="L1201" t="s">
        <v>85</v>
      </c>
      <c r="M1201" t="s">
        <v>86</v>
      </c>
      <c r="N1201" s="2">
        <v>2.1543000000000001</v>
      </c>
      <c r="O1201" s="1">
        <v>38</v>
      </c>
      <c r="P1201" s="2">
        <v>81.863399999999999</v>
      </c>
    </row>
    <row r="1202" spans="10:16">
      <c r="J1202" s="5" t="s">
        <v>2985</v>
      </c>
      <c r="K1202" t="s">
        <v>2986</v>
      </c>
      <c r="L1202" t="s">
        <v>85</v>
      </c>
      <c r="M1202" t="s">
        <v>86</v>
      </c>
      <c r="N1202" s="2">
        <v>40.931199999999997</v>
      </c>
      <c r="O1202" s="1">
        <v>2</v>
      </c>
      <c r="P1202" s="2">
        <v>81.862399999999994</v>
      </c>
    </row>
    <row r="1203" spans="10:16">
      <c r="J1203" s="5" t="s">
        <v>3853</v>
      </c>
      <c r="K1203" t="s">
        <v>3852</v>
      </c>
      <c r="L1203" t="s">
        <v>98</v>
      </c>
      <c r="M1203" t="s">
        <v>86</v>
      </c>
      <c r="N1203" s="2">
        <v>10.196</v>
      </c>
      <c r="O1203" s="1">
        <v>8</v>
      </c>
      <c r="P1203" s="2">
        <v>81.567999999999998</v>
      </c>
    </row>
    <row r="1204" spans="10:16">
      <c r="J1204" s="5" t="s">
        <v>3039</v>
      </c>
      <c r="K1204" t="s">
        <v>3040</v>
      </c>
      <c r="L1204" t="s">
        <v>85</v>
      </c>
      <c r="M1204" t="s">
        <v>86</v>
      </c>
      <c r="N1204" s="2">
        <v>3.3938000000000001</v>
      </c>
      <c r="O1204" s="1">
        <v>48</v>
      </c>
      <c r="P1204" s="2">
        <v>81.4512</v>
      </c>
    </row>
    <row r="1205" spans="10:16">
      <c r="J1205" s="5" t="s">
        <v>657</v>
      </c>
      <c r="K1205" t="s">
        <v>658</v>
      </c>
      <c r="L1205" t="s">
        <v>208</v>
      </c>
      <c r="M1205" t="s">
        <v>125</v>
      </c>
      <c r="N1205" s="2">
        <v>13.5578</v>
      </c>
      <c r="O1205" s="1">
        <v>12</v>
      </c>
      <c r="P1205" s="2">
        <v>81.346800000000002</v>
      </c>
    </row>
    <row r="1206" spans="10:16">
      <c r="J1206" s="5" t="s">
        <v>1678</v>
      </c>
      <c r="K1206" t="s">
        <v>1679</v>
      </c>
      <c r="L1206" t="s">
        <v>115</v>
      </c>
      <c r="M1206" t="s">
        <v>102</v>
      </c>
      <c r="N1206" s="2">
        <v>6.4299999999999996E-2</v>
      </c>
      <c r="O1206" s="1">
        <v>1259</v>
      </c>
      <c r="P1206" s="2">
        <v>80.953699999999998</v>
      </c>
    </row>
    <row r="1207" spans="10:16">
      <c r="J1207" s="5" t="s">
        <v>1565</v>
      </c>
      <c r="K1207" t="s">
        <v>1566</v>
      </c>
      <c r="L1207" t="s">
        <v>115</v>
      </c>
      <c r="M1207" t="s">
        <v>102</v>
      </c>
      <c r="N1207" s="2">
        <v>6.2399999999999997E-2</v>
      </c>
      <c r="O1207" s="1">
        <v>1296</v>
      </c>
      <c r="P1207" s="2">
        <v>80.870399999999989</v>
      </c>
    </row>
    <row r="1208" spans="10:16">
      <c r="J1208" s="5" t="s">
        <v>1053</v>
      </c>
      <c r="K1208" t="s">
        <v>1054</v>
      </c>
      <c r="L1208" t="s">
        <v>5154</v>
      </c>
      <c r="M1208" t="s">
        <v>125</v>
      </c>
      <c r="N1208" s="2">
        <v>40.42</v>
      </c>
      <c r="O1208" s="1">
        <v>2</v>
      </c>
      <c r="P1208" s="2">
        <v>80.84</v>
      </c>
    </row>
    <row r="1209" spans="10:16">
      <c r="J1209" s="5" t="s">
        <v>958</v>
      </c>
      <c r="K1209" t="s">
        <v>959</v>
      </c>
      <c r="L1209" t="s">
        <v>944</v>
      </c>
      <c r="M1209" t="s">
        <v>125</v>
      </c>
      <c r="N1209" s="2">
        <v>8.0836000000000006</v>
      </c>
      <c r="O1209" s="1">
        <v>10</v>
      </c>
      <c r="P1209" s="2">
        <v>80.836000000000013</v>
      </c>
    </row>
    <row r="1210" spans="10:16">
      <c r="J1210" s="5" t="s">
        <v>5262</v>
      </c>
      <c r="K1210" t="s">
        <v>5263</v>
      </c>
      <c r="L1210" t="s">
        <v>115</v>
      </c>
      <c r="M1210" t="s">
        <v>102</v>
      </c>
      <c r="N1210" s="2">
        <v>4.8899999999999999E-2</v>
      </c>
      <c r="O1210" s="1">
        <v>1650</v>
      </c>
      <c r="P1210" s="2">
        <v>80.685000000000002</v>
      </c>
    </row>
    <row r="1211" spans="10:16">
      <c r="J1211" s="5" t="s">
        <v>2264</v>
      </c>
      <c r="K1211" t="s">
        <v>2265</v>
      </c>
      <c r="L1211" t="s">
        <v>85</v>
      </c>
      <c r="M1211" t="s">
        <v>86</v>
      </c>
      <c r="N1211" s="2">
        <v>8.0239999999999991</v>
      </c>
      <c r="O1211" s="1">
        <v>10</v>
      </c>
      <c r="P1211" s="2">
        <v>80.239999999999995</v>
      </c>
    </row>
    <row r="1212" spans="10:16">
      <c r="J1212" s="5" t="s">
        <v>4786</v>
      </c>
      <c r="K1212" t="s">
        <v>2474</v>
      </c>
      <c r="L1212" t="s">
        <v>85</v>
      </c>
      <c r="M1212" t="s">
        <v>86</v>
      </c>
      <c r="N1212" s="2">
        <v>13.313000000000001</v>
      </c>
      <c r="O1212" s="1">
        <v>6</v>
      </c>
      <c r="P1212" s="2">
        <v>79.878</v>
      </c>
    </row>
    <row r="1213" spans="10:16">
      <c r="J1213" s="5" t="s">
        <v>1544</v>
      </c>
      <c r="K1213" t="s">
        <v>1545</v>
      </c>
      <c r="L1213" t="s">
        <v>115</v>
      </c>
      <c r="M1213" t="s">
        <v>102</v>
      </c>
      <c r="N1213" s="2">
        <v>4.5100000000000001E-2</v>
      </c>
      <c r="O1213" s="1">
        <v>1771</v>
      </c>
      <c r="P1213" s="2">
        <v>79.872100000000003</v>
      </c>
    </row>
    <row r="1214" spans="10:16">
      <c r="J1214" s="5" t="s">
        <v>2999</v>
      </c>
      <c r="K1214" t="s">
        <v>3000</v>
      </c>
      <c r="L1214" t="s">
        <v>219</v>
      </c>
      <c r="M1214" t="s">
        <v>86</v>
      </c>
      <c r="N1214" s="2">
        <v>6.6391999999999998</v>
      </c>
      <c r="O1214" s="1">
        <v>12</v>
      </c>
      <c r="P1214" s="2">
        <v>79.670400000000001</v>
      </c>
    </row>
    <row r="1215" spans="10:16">
      <c r="J1215" s="5" t="s">
        <v>2122</v>
      </c>
      <c r="K1215" t="s">
        <v>2123</v>
      </c>
      <c r="L1215" t="s">
        <v>243</v>
      </c>
      <c r="M1215" t="s">
        <v>86</v>
      </c>
      <c r="N1215" s="2">
        <v>39.768999999999998</v>
      </c>
      <c r="O1215" s="1">
        <v>2</v>
      </c>
      <c r="P1215" s="2">
        <v>79.537999999999997</v>
      </c>
    </row>
    <row r="1216" spans="10:16">
      <c r="J1216" s="5" t="s">
        <v>4741</v>
      </c>
      <c r="K1216" t="s">
        <v>4742</v>
      </c>
      <c r="L1216" t="s">
        <v>85</v>
      </c>
      <c r="M1216" t="s">
        <v>86</v>
      </c>
      <c r="N1216" s="2">
        <v>8.8239999999999998</v>
      </c>
      <c r="O1216" s="1">
        <v>9</v>
      </c>
      <c r="P1216" s="2">
        <v>79.415999999999997</v>
      </c>
    </row>
    <row r="1217" spans="10:16">
      <c r="J1217" s="5" t="s">
        <v>1481</v>
      </c>
      <c r="K1217" t="s">
        <v>1482</v>
      </c>
      <c r="L1217" t="s">
        <v>115</v>
      </c>
      <c r="M1217" t="s">
        <v>102</v>
      </c>
      <c r="N1217" s="2">
        <v>0.16</v>
      </c>
      <c r="O1217" s="1">
        <v>496</v>
      </c>
      <c r="P1217" s="2">
        <v>79.36</v>
      </c>
    </row>
    <row r="1218" spans="10:16">
      <c r="J1218" s="5" t="s">
        <v>4257</v>
      </c>
      <c r="K1218" t="s">
        <v>2239</v>
      </c>
      <c r="L1218" t="s">
        <v>85</v>
      </c>
      <c r="M1218" t="s">
        <v>86</v>
      </c>
      <c r="N1218" s="2">
        <v>8.8160000000000007</v>
      </c>
      <c r="O1218" s="1">
        <v>9</v>
      </c>
      <c r="P1218" s="2">
        <v>79.344000000000008</v>
      </c>
    </row>
    <row r="1219" spans="10:16">
      <c r="J1219" s="5" t="s">
        <v>4462</v>
      </c>
      <c r="K1219" t="s">
        <v>3705</v>
      </c>
      <c r="L1219" t="s">
        <v>85</v>
      </c>
      <c r="M1219" t="s">
        <v>86</v>
      </c>
      <c r="N1219" s="2">
        <v>15.8644</v>
      </c>
      <c r="O1219" s="1">
        <v>5</v>
      </c>
      <c r="P1219" s="2">
        <v>79.322000000000003</v>
      </c>
    </row>
    <row r="1220" spans="10:16">
      <c r="J1220" s="5" t="s">
        <v>3360</v>
      </c>
      <c r="K1220" t="s">
        <v>3361</v>
      </c>
      <c r="L1220" t="s">
        <v>89</v>
      </c>
      <c r="M1220" t="s">
        <v>86</v>
      </c>
      <c r="N1220" s="2">
        <v>15.853</v>
      </c>
      <c r="O1220" s="1">
        <v>5</v>
      </c>
      <c r="P1220" s="2">
        <v>79.265000000000001</v>
      </c>
    </row>
    <row r="1221" spans="10:16">
      <c r="J1221" s="5" t="s">
        <v>1913</v>
      </c>
      <c r="K1221" t="s">
        <v>1914</v>
      </c>
      <c r="L1221" t="s">
        <v>31</v>
      </c>
      <c r="M1221" t="s">
        <v>1931</v>
      </c>
      <c r="N1221" s="2">
        <v>39.462000000000003</v>
      </c>
      <c r="O1221" s="1">
        <v>2</v>
      </c>
      <c r="P1221" s="2">
        <v>78.924000000000007</v>
      </c>
    </row>
    <row r="1222" spans="10:16">
      <c r="J1222" s="5" t="s">
        <v>1408</v>
      </c>
      <c r="K1222" t="s">
        <v>1409</v>
      </c>
      <c r="L1222" t="s">
        <v>115</v>
      </c>
      <c r="M1222" t="s">
        <v>102</v>
      </c>
      <c r="N1222" s="2">
        <v>6.8199999999999997E-2</v>
      </c>
      <c r="O1222" s="1">
        <v>1154</v>
      </c>
      <c r="P1222" s="2">
        <v>78.702799999999996</v>
      </c>
    </row>
    <row r="1223" spans="10:16">
      <c r="J1223" s="5" t="s">
        <v>3620</v>
      </c>
      <c r="K1223" t="s">
        <v>3621</v>
      </c>
      <c r="L1223" t="s">
        <v>85</v>
      </c>
      <c r="M1223" t="s">
        <v>86</v>
      </c>
      <c r="N1223" s="2">
        <v>5.2450000000000001</v>
      </c>
      <c r="O1223" s="1">
        <v>15</v>
      </c>
      <c r="P1223" s="2">
        <v>78.674999999999997</v>
      </c>
    </row>
    <row r="1224" spans="10:16">
      <c r="J1224" s="5" t="s">
        <v>4213</v>
      </c>
      <c r="K1224" t="s">
        <v>4214</v>
      </c>
      <c r="L1224" t="s">
        <v>85</v>
      </c>
      <c r="M1224" t="s">
        <v>86</v>
      </c>
      <c r="N1224" s="2">
        <v>15.734</v>
      </c>
      <c r="O1224" s="1">
        <v>5</v>
      </c>
      <c r="P1224" s="2">
        <v>78.67</v>
      </c>
    </row>
    <row r="1225" spans="10:16">
      <c r="J1225" s="5" t="s">
        <v>3939</v>
      </c>
      <c r="K1225" t="s">
        <v>3940</v>
      </c>
      <c r="L1225" t="s">
        <v>2499</v>
      </c>
      <c r="M1225" t="s">
        <v>1931</v>
      </c>
      <c r="N1225" s="2">
        <v>9.8140000000000001</v>
      </c>
      <c r="O1225" s="1">
        <v>8</v>
      </c>
      <c r="P1225" s="2">
        <v>78.512</v>
      </c>
    </row>
    <row r="1226" spans="10:16">
      <c r="J1226" s="5" t="s">
        <v>4298</v>
      </c>
      <c r="K1226" t="s">
        <v>4299</v>
      </c>
      <c r="L1226" t="s">
        <v>219</v>
      </c>
      <c r="M1226" t="s">
        <v>86</v>
      </c>
      <c r="N1226" s="2">
        <v>78.111999999999995</v>
      </c>
      <c r="O1226" s="1">
        <v>1</v>
      </c>
      <c r="P1226" s="2">
        <v>78.111999999999995</v>
      </c>
    </row>
    <row r="1227" spans="10:16">
      <c r="J1227" s="5" t="s">
        <v>3906</v>
      </c>
      <c r="K1227" t="s">
        <v>2367</v>
      </c>
      <c r="L1227" t="s">
        <v>98</v>
      </c>
      <c r="M1227" t="s">
        <v>86</v>
      </c>
      <c r="N1227" s="2">
        <v>38.993299999999998</v>
      </c>
      <c r="O1227" s="1">
        <v>2</v>
      </c>
      <c r="P1227" s="2">
        <v>77.986599999999996</v>
      </c>
    </row>
    <row r="1228" spans="10:16">
      <c r="J1228" s="5" t="s">
        <v>2473</v>
      </c>
      <c r="K1228" t="s">
        <v>5406</v>
      </c>
      <c r="L1228" t="s">
        <v>85</v>
      </c>
      <c r="M1228" t="s">
        <v>86</v>
      </c>
      <c r="N1228" s="2">
        <v>38.839199999999998</v>
      </c>
      <c r="O1228" s="1">
        <v>4</v>
      </c>
      <c r="P1228" s="2">
        <v>77.678399999999996</v>
      </c>
    </row>
    <row r="1229" spans="10:16">
      <c r="J1229" s="5" t="s">
        <v>2380</v>
      </c>
      <c r="K1229" t="s">
        <v>5389</v>
      </c>
      <c r="L1229" t="s">
        <v>85</v>
      </c>
      <c r="M1229" t="s">
        <v>86</v>
      </c>
      <c r="N1229" s="2">
        <v>15.525399999999999</v>
      </c>
      <c r="O1229" s="1">
        <v>10</v>
      </c>
      <c r="P1229" s="2">
        <v>77.626999999999995</v>
      </c>
    </row>
    <row r="1230" spans="10:16">
      <c r="J1230" s="5" t="s">
        <v>3098</v>
      </c>
      <c r="K1230" t="s">
        <v>3099</v>
      </c>
      <c r="L1230" t="s">
        <v>85</v>
      </c>
      <c r="M1230" t="s">
        <v>86</v>
      </c>
      <c r="N1230" s="2">
        <v>38.76</v>
      </c>
      <c r="O1230" s="1">
        <v>4</v>
      </c>
      <c r="P1230" s="2">
        <v>77.52</v>
      </c>
    </row>
    <row r="1231" spans="10:16">
      <c r="J1231" s="5" t="s">
        <v>2339</v>
      </c>
      <c r="K1231" t="s">
        <v>2340</v>
      </c>
      <c r="L1231" t="s">
        <v>219</v>
      </c>
      <c r="M1231" t="s">
        <v>86</v>
      </c>
      <c r="N1231" s="2">
        <v>77.332999999999998</v>
      </c>
      <c r="O1231" s="1">
        <v>2</v>
      </c>
      <c r="P1231" s="2">
        <v>77.332999999999998</v>
      </c>
    </row>
    <row r="1232" spans="10:16">
      <c r="J1232" s="5" t="s">
        <v>2942</v>
      </c>
      <c r="K1232" t="s">
        <v>2943</v>
      </c>
      <c r="L1232" t="s">
        <v>85</v>
      </c>
      <c r="M1232" t="s">
        <v>86</v>
      </c>
      <c r="N1232" s="2">
        <v>25.766999999999999</v>
      </c>
      <c r="O1232" s="1">
        <v>3</v>
      </c>
      <c r="P1232" s="2">
        <v>77.301000000000002</v>
      </c>
    </row>
    <row r="1233" spans="10:16">
      <c r="J1233" s="5" t="s">
        <v>5247</v>
      </c>
      <c r="K1233" t="s">
        <v>5248</v>
      </c>
      <c r="L1233" t="s">
        <v>580</v>
      </c>
      <c r="M1233" t="s">
        <v>734</v>
      </c>
      <c r="N1233" s="2">
        <v>0.10979999999999999</v>
      </c>
      <c r="O1233" s="1">
        <v>702</v>
      </c>
      <c r="P1233" s="2">
        <v>77.079599999999999</v>
      </c>
    </row>
    <row r="1234" spans="10:16">
      <c r="J1234" s="5" t="s">
        <v>4362</v>
      </c>
      <c r="K1234" t="s">
        <v>3256</v>
      </c>
      <c r="L1234" t="s">
        <v>85</v>
      </c>
      <c r="M1234" t="s">
        <v>86</v>
      </c>
      <c r="N1234" s="2">
        <v>3.66</v>
      </c>
      <c r="O1234" s="1">
        <v>42</v>
      </c>
      <c r="P1234" s="2">
        <v>76.86</v>
      </c>
    </row>
    <row r="1235" spans="10:16">
      <c r="J1235" s="5" t="s">
        <v>1753</v>
      </c>
      <c r="K1235" t="s">
        <v>1754</v>
      </c>
      <c r="L1235" t="s">
        <v>98</v>
      </c>
      <c r="M1235" t="s">
        <v>86</v>
      </c>
      <c r="N1235" s="2">
        <v>76.8</v>
      </c>
      <c r="O1235" s="1">
        <v>1</v>
      </c>
      <c r="P1235" s="2">
        <v>76.8</v>
      </c>
    </row>
    <row r="1236" spans="10:16">
      <c r="J1236" s="5" t="s">
        <v>685</v>
      </c>
      <c r="K1236" t="s">
        <v>686</v>
      </c>
      <c r="L1236" t="s">
        <v>131</v>
      </c>
      <c r="M1236" t="s">
        <v>125</v>
      </c>
      <c r="N1236" s="2">
        <v>76.705200000000005</v>
      </c>
      <c r="O1236" s="1">
        <v>2</v>
      </c>
      <c r="P1236" s="2">
        <v>76.705200000000005</v>
      </c>
    </row>
    <row r="1237" spans="10:16">
      <c r="J1237" s="5" t="s">
        <v>3918</v>
      </c>
      <c r="K1237" t="s">
        <v>3919</v>
      </c>
      <c r="L1237" t="s">
        <v>98</v>
      </c>
      <c r="M1237" t="s">
        <v>86</v>
      </c>
      <c r="N1237" s="2">
        <v>15.3226</v>
      </c>
      <c r="O1237" s="1">
        <v>10</v>
      </c>
      <c r="P1237" s="2">
        <v>76.613</v>
      </c>
    </row>
    <row r="1238" spans="10:16">
      <c r="J1238" s="5" t="s">
        <v>639</v>
      </c>
      <c r="K1238" t="s">
        <v>640</v>
      </c>
      <c r="L1238" t="s">
        <v>31</v>
      </c>
      <c r="M1238" t="s">
        <v>1931</v>
      </c>
      <c r="N1238" s="2">
        <v>76.61</v>
      </c>
      <c r="O1238" s="1">
        <v>1</v>
      </c>
      <c r="P1238" s="2">
        <v>76.61</v>
      </c>
    </row>
    <row r="1239" spans="10:16">
      <c r="J1239" s="5" t="s">
        <v>1327</v>
      </c>
      <c r="K1239" t="s">
        <v>1328</v>
      </c>
      <c r="L1239" t="s">
        <v>115</v>
      </c>
      <c r="M1239" t="s">
        <v>102</v>
      </c>
      <c r="N1239" s="2">
        <v>0.153</v>
      </c>
      <c r="O1239" s="1">
        <v>500</v>
      </c>
      <c r="P1239" s="2">
        <v>76.5</v>
      </c>
    </row>
    <row r="1240" spans="10:16">
      <c r="J1240" s="5" t="s">
        <v>543</v>
      </c>
      <c r="K1240" t="s">
        <v>544</v>
      </c>
      <c r="L1240" t="s">
        <v>85</v>
      </c>
      <c r="M1240" t="s">
        <v>86</v>
      </c>
      <c r="N1240" s="2">
        <v>2.3159999999999998</v>
      </c>
      <c r="O1240" s="1">
        <v>66</v>
      </c>
      <c r="P1240" s="2">
        <v>76.427999999999997</v>
      </c>
    </row>
    <row r="1241" spans="10:16">
      <c r="J1241" s="5" t="s">
        <v>4082</v>
      </c>
      <c r="K1241" t="s">
        <v>3818</v>
      </c>
      <c r="L1241" t="s">
        <v>3819</v>
      </c>
      <c r="M1241" t="s">
        <v>86</v>
      </c>
      <c r="N1241" s="2">
        <v>19.09</v>
      </c>
      <c r="O1241" s="1">
        <v>4</v>
      </c>
      <c r="P1241" s="2">
        <v>76.36</v>
      </c>
    </row>
    <row r="1242" spans="10:16">
      <c r="J1242" s="5" t="s">
        <v>3587</v>
      </c>
      <c r="K1242" t="s">
        <v>3269</v>
      </c>
      <c r="L1242" t="s">
        <v>98</v>
      </c>
      <c r="M1242" t="s">
        <v>86</v>
      </c>
      <c r="N1242" s="2">
        <v>5.4509999999999996</v>
      </c>
      <c r="O1242" s="1">
        <v>14</v>
      </c>
      <c r="P1242" s="2">
        <v>76.313999999999993</v>
      </c>
    </row>
    <row r="1243" spans="10:16">
      <c r="J1243" s="5" t="s">
        <v>3104</v>
      </c>
      <c r="K1243" t="s">
        <v>3105</v>
      </c>
      <c r="L1243" t="s">
        <v>85</v>
      </c>
      <c r="M1243" t="s">
        <v>86</v>
      </c>
      <c r="N1243" s="2">
        <v>19.068999999999999</v>
      </c>
      <c r="O1243" s="1">
        <v>4</v>
      </c>
      <c r="P1243" s="2">
        <v>76.275999999999996</v>
      </c>
    </row>
    <row r="1244" spans="10:16">
      <c r="J1244" s="5" t="s">
        <v>3037</v>
      </c>
      <c r="K1244" t="s">
        <v>3038</v>
      </c>
      <c r="L1244" t="s">
        <v>85</v>
      </c>
      <c r="M1244" t="s">
        <v>86</v>
      </c>
      <c r="N1244" s="2">
        <v>7.62</v>
      </c>
      <c r="O1244" s="1">
        <v>10</v>
      </c>
      <c r="P1244" s="2">
        <v>76.2</v>
      </c>
    </row>
    <row r="1245" spans="10:16">
      <c r="J1245" s="5" t="s">
        <v>1889</v>
      </c>
      <c r="K1245" t="s">
        <v>1890</v>
      </c>
      <c r="L1245" t="s">
        <v>31</v>
      </c>
      <c r="M1245" t="s">
        <v>1931</v>
      </c>
      <c r="N1245" s="2">
        <v>76.150000000000006</v>
      </c>
      <c r="O1245" s="1">
        <v>1</v>
      </c>
      <c r="P1245" s="2">
        <v>76.150000000000006</v>
      </c>
    </row>
    <row r="1246" spans="10:16">
      <c r="J1246" s="5" t="s">
        <v>3817</v>
      </c>
      <c r="K1246" t="s">
        <v>3818</v>
      </c>
      <c r="L1246" t="s">
        <v>3819</v>
      </c>
      <c r="M1246" t="s">
        <v>86</v>
      </c>
      <c r="N1246" s="2">
        <v>38.07</v>
      </c>
      <c r="O1246" s="1">
        <v>2</v>
      </c>
      <c r="P1246" s="2">
        <v>76.14</v>
      </c>
    </row>
    <row r="1247" spans="10:16">
      <c r="J1247" s="5" t="s">
        <v>1337</v>
      </c>
      <c r="K1247" t="s">
        <v>1338</v>
      </c>
      <c r="L1247" t="s">
        <v>115</v>
      </c>
      <c r="M1247" t="s">
        <v>102</v>
      </c>
      <c r="N1247" s="2">
        <v>6.54E-2</v>
      </c>
      <c r="O1247" s="1">
        <v>1164</v>
      </c>
      <c r="P1247" s="2">
        <v>76.125600000000006</v>
      </c>
    </row>
    <row r="1248" spans="10:16">
      <c r="J1248" s="5" t="s">
        <v>2400</v>
      </c>
      <c r="K1248" t="s">
        <v>2401</v>
      </c>
      <c r="L1248" t="s">
        <v>85</v>
      </c>
      <c r="M1248" t="s">
        <v>86</v>
      </c>
      <c r="N1248" s="2">
        <v>25.3276</v>
      </c>
      <c r="O1248" s="1">
        <v>6</v>
      </c>
      <c r="P1248" s="2">
        <v>75.982799999999997</v>
      </c>
    </row>
    <row r="1249" spans="10:16">
      <c r="J1249" s="5" t="s">
        <v>1585</v>
      </c>
      <c r="K1249" t="s">
        <v>1586</v>
      </c>
      <c r="L1249" t="s">
        <v>115</v>
      </c>
      <c r="M1249" t="s">
        <v>102</v>
      </c>
      <c r="N1249" s="2">
        <v>7.7600000000000002E-2</v>
      </c>
      <c r="O1249" s="1">
        <v>979</v>
      </c>
      <c r="P1249" s="2">
        <v>75.970399999999998</v>
      </c>
    </row>
    <row r="1250" spans="10:16">
      <c r="J1250" s="5" t="s">
        <v>1587</v>
      </c>
      <c r="K1250" t="s">
        <v>1588</v>
      </c>
      <c r="L1250" t="s">
        <v>115</v>
      </c>
      <c r="M1250" t="s">
        <v>102</v>
      </c>
      <c r="N1250" s="2">
        <v>7.7600000000000002E-2</v>
      </c>
      <c r="O1250" s="1">
        <v>978</v>
      </c>
      <c r="P1250" s="2">
        <v>75.892800000000008</v>
      </c>
    </row>
    <row r="1251" spans="10:16">
      <c r="J1251" s="5" t="s">
        <v>5433</v>
      </c>
      <c r="K1251" t="s">
        <v>5434</v>
      </c>
      <c r="L1251" t="s">
        <v>3980</v>
      </c>
      <c r="M1251" t="s">
        <v>86</v>
      </c>
      <c r="N1251" s="2">
        <v>5.8331999999999997</v>
      </c>
      <c r="O1251" s="1">
        <v>26</v>
      </c>
      <c r="P1251" s="2">
        <v>75.831599999999995</v>
      </c>
    </row>
    <row r="1252" spans="10:16">
      <c r="J1252" s="5" t="s">
        <v>1561</v>
      </c>
      <c r="K1252" t="s">
        <v>1562</v>
      </c>
      <c r="L1252" t="s">
        <v>115</v>
      </c>
      <c r="M1252" t="s">
        <v>102</v>
      </c>
      <c r="N1252" s="2">
        <v>0.13900000000000001</v>
      </c>
      <c r="O1252" s="1">
        <v>545</v>
      </c>
      <c r="P1252" s="2">
        <v>75.75500000000001</v>
      </c>
    </row>
    <row r="1253" spans="10:16">
      <c r="J1253" s="5" t="s">
        <v>4874</v>
      </c>
      <c r="K1253" t="s">
        <v>4875</v>
      </c>
      <c r="L1253" t="s">
        <v>283</v>
      </c>
      <c r="M1253" t="s">
        <v>86</v>
      </c>
      <c r="N1253" s="2">
        <v>75.563199999999995</v>
      </c>
      <c r="O1253" s="1">
        <v>2</v>
      </c>
      <c r="P1253" s="2">
        <v>75.563199999999995</v>
      </c>
    </row>
    <row r="1254" spans="10:16">
      <c r="J1254" s="5" t="s">
        <v>5223</v>
      </c>
      <c r="K1254" t="s">
        <v>5224</v>
      </c>
      <c r="L1254" t="s">
        <v>115</v>
      </c>
      <c r="M1254" t="s">
        <v>102</v>
      </c>
      <c r="N1254" s="2">
        <v>6.54E-2</v>
      </c>
      <c r="O1254" s="1">
        <v>1150</v>
      </c>
      <c r="P1254" s="2">
        <v>75.209999999999994</v>
      </c>
    </row>
    <row r="1255" spans="10:16">
      <c r="J1255" s="5" t="s">
        <v>4422</v>
      </c>
      <c r="K1255" t="s">
        <v>4423</v>
      </c>
      <c r="L1255" t="s">
        <v>85</v>
      </c>
      <c r="M1255" t="s">
        <v>86</v>
      </c>
      <c r="N1255" s="2">
        <v>6.8183999999999996</v>
      </c>
      <c r="O1255" s="1">
        <v>22</v>
      </c>
      <c r="P1255" s="2">
        <v>75.002399999999994</v>
      </c>
    </row>
    <row r="1256" spans="10:16">
      <c r="J1256" s="5" t="s">
        <v>1226</v>
      </c>
      <c r="K1256" t="s">
        <v>1227</v>
      </c>
      <c r="L1256" t="s">
        <v>31</v>
      </c>
      <c r="M1256" t="s">
        <v>1931</v>
      </c>
      <c r="N1256" s="2">
        <v>74.885999999999996</v>
      </c>
      <c r="O1256" s="1">
        <v>1</v>
      </c>
      <c r="P1256" s="2">
        <v>74.885999999999996</v>
      </c>
    </row>
    <row r="1257" spans="10:16">
      <c r="J1257" s="5" t="s">
        <v>4652</v>
      </c>
      <c r="K1257" t="s">
        <v>2364</v>
      </c>
      <c r="L1257" t="s">
        <v>98</v>
      </c>
      <c r="M1257" t="s">
        <v>86</v>
      </c>
      <c r="N1257" s="2">
        <v>14.96</v>
      </c>
      <c r="O1257" s="1">
        <v>5</v>
      </c>
      <c r="P1257" s="2">
        <v>74.800000000000011</v>
      </c>
    </row>
    <row r="1258" spans="10:16">
      <c r="J1258" s="5" t="s">
        <v>1335</v>
      </c>
      <c r="K1258" t="s">
        <v>1336</v>
      </c>
      <c r="L1258" t="s">
        <v>115</v>
      </c>
      <c r="M1258" t="s">
        <v>102</v>
      </c>
      <c r="N1258" s="2">
        <v>0.10340000000000001</v>
      </c>
      <c r="O1258" s="1">
        <v>723</v>
      </c>
      <c r="P1258" s="2">
        <v>74.758200000000002</v>
      </c>
    </row>
    <row r="1259" spans="10:16">
      <c r="J1259" s="5" t="s">
        <v>975</v>
      </c>
      <c r="K1259" t="s">
        <v>976</v>
      </c>
      <c r="L1259" t="s">
        <v>944</v>
      </c>
      <c r="M1259" t="s">
        <v>125</v>
      </c>
      <c r="N1259" s="2">
        <v>9.3000000000000007</v>
      </c>
      <c r="O1259" s="1">
        <v>8</v>
      </c>
      <c r="P1259" s="2">
        <v>74.400000000000006</v>
      </c>
    </row>
    <row r="1260" spans="10:16">
      <c r="J1260" s="5" t="s">
        <v>3390</v>
      </c>
      <c r="K1260" t="s">
        <v>3391</v>
      </c>
      <c r="L1260" t="s">
        <v>128</v>
      </c>
      <c r="M1260" t="s">
        <v>125</v>
      </c>
      <c r="N1260" s="2">
        <v>18.592199999999998</v>
      </c>
      <c r="O1260" s="1">
        <v>8</v>
      </c>
      <c r="P1260" s="2">
        <v>74.368799999999993</v>
      </c>
    </row>
    <row r="1261" spans="10:16">
      <c r="J1261" s="5" t="s">
        <v>1384</v>
      </c>
      <c r="K1261" t="s">
        <v>1385</v>
      </c>
      <c r="L1261" t="s">
        <v>115</v>
      </c>
      <c r="M1261" t="s">
        <v>102</v>
      </c>
      <c r="N1261" s="2">
        <v>0.125</v>
      </c>
      <c r="O1261" s="1">
        <v>594</v>
      </c>
      <c r="P1261" s="2">
        <v>74.25</v>
      </c>
    </row>
    <row r="1262" spans="10:16">
      <c r="J1262" s="5" t="s">
        <v>2205</v>
      </c>
      <c r="K1262" t="s">
        <v>5350</v>
      </c>
      <c r="L1262" t="s">
        <v>85</v>
      </c>
      <c r="M1262" t="s">
        <v>86</v>
      </c>
      <c r="N1262" s="2">
        <v>3.085</v>
      </c>
      <c r="O1262" s="1">
        <v>24</v>
      </c>
      <c r="P1262" s="2">
        <v>74.039999999999992</v>
      </c>
    </row>
    <row r="1263" spans="10:16">
      <c r="J1263" s="5" t="s">
        <v>1439</v>
      </c>
      <c r="K1263" t="s">
        <v>1440</v>
      </c>
      <c r="L1263" t="s">
        <v>115</v>
      </c>
      <c r="M1263" t="s">
        <v>102</v>
      </c>
      <c r="N1263" s="2">
        <v>0.11310000000000001</v>
      </c>
      <c r="O1263" s="1">
        <v>652</v>
      </c>
      <c r="P1263" s="2">
        <v>73.741200000000006</v>
      </c>
    </row>
    <row r="1264" spans="10:16">
      <c r="J1264" s="5" t="s">
        <v>1353</v>
      </c>
      <c r="K1264" t="s">
        <v>1354</v>
      </c>
      <c r="L1264" t="s">
        <v>115</v>
      </c>
      <c r="M1264" t="s">
        <v>102</v>
      </c>
      <c r="N1264" s="2">
        <v>9.8000000000000004E-2</v>
      </c>
      <c r="O1264" s="1">
        <v>751</v>
      </c>
      <c r="P1264" s="2">
        <v>73.597999999999999</v>
      </c>
    </row>
    <row r="1265" spans="10:16">
      <c r="J1265" s="5" t="s">
        <v>4269</v>
      </c>
      <c r="K1265" t="s">
        <v>4270</v>
      </c>
      <c r="L1265" t="s">
        <v>410</v>
      </c>
      <c r="M1265" t="s">
        <v>86</v>
      </c>
      <c r="N1265" s="2">
        <v>3.3422000000000001</v>
      </c>
      <c r="O1265" s="1">
        <v>44</v>
      </c>
      <c r="P1265" s="2">
        <v>73.528400000000005</v>
      </c>
    </row>
    <row r="1266" spans="10:16">
      <c r="J1266" s="5" t="s">
        <v>4023</v>
      </c>
      <c r="K1266" t="s">
        <v>4024</v>
      </c>
      <c r="L1266" t="s">
        <v>98</v>
      </c>
      <c r="M1266" t="s">
        <v>86</v>
      </c>
      <c r="N1266" s="2">
        <v>7.3390000000000004</v>
      </c>
      <c r="O1266" s="1">
        <v>10</v>
      </c>
      <c r="P1266" s="2">
        <v>73.39</v>
      </c>
    </row>
    <row r="1267" spans="10:16">
      <c r="J1267" s="5" t="s">
        <v>2378</v>
      </c>
      <c r="K1267" t="s">
        <v>2379</v>
      </c>
      <c r="L1267" t="s">
        <v>85</v>
      </c>
      <c r="M1267" t="s">
        <v>86</v>
      </c>
      <c r="N1267" s="2">
        <v>24.446999999999999</v>
      </c>
      <c r="O1267" s="1">
        <v>3</v>
      </c>
      <c r="P1267" s="2">
        <v>73.340999999999994</v>
      </c>
    </row>
    <row r="1268" spans="10:16">
      <c r="J1268" s="5" t="s">
        <v>3162</v>
      </c>
      <c r="K1268" t="s">
        <v>5038</v>
      </c>
      <c r="L1268" t="s">
        <v>85</v>
      </c>
      <c r="M1268" t="s">
        <v>86</v>
      </c>
      <c r="N1268" s="2">
        <v>18.3278</v>
      </c>
      <c r="O1268" s="1">
        <v>8</v>
      </c>
      <c r="P1268" s="2">
        <v>73.311199999999999</v>
      </c>
    </row>
    <row r="1269" spans="10:16">
      <c r="J1269" s="5" t="s">
        <v>4179</v>
      </c>
      <c r="K1269" t="s">
        <v>4180</v>
      </c>
      <c r="L1269" t="s">
        <v>219</v>
      </c>
      <c r="M1269" t="s">
        <v>86</v>
      </c>
      <c r="N1269" s="2">
        <v>36.65</v>
      </c>
      <c r="O1269" s="1">
        <v>2</v>
      </c>
      <c r="P1269" s="2">
        <v>73.3</v>
      </c>
    </row>
    <row r="1270" spans="10:16">
      <c r="J1270" s="5" t="s">
        <v>1341</v>
      </c>
      <c r="K1270" t="s">
        <v>1342</v>
      </c>
      <c r="L1270" t="s">
        <v>115</v>
      </c>
      <c r="M1270" t="s">
        <v>102</v>
      </c>
      <c r="N1270" s="2">
        <v>9.5799999999999996E-2</v>
      </c>
      <c r="O1270" s="1">
        <v>765</v>
      </c>
      <c r="P1270" s="2">
        <v>73.286999999999992</v>
      </c>
    </row>
    <row r="1271" spans="10:16">
      <c r="J1271" s="5" t="s">
        <v>1093</v>
      </c>
      <c r="K1271" t="s">
        <v>1094</v>
      </c>
      <c r="L1271" t="s">
        <v>131</v>
      </c>
      <c r="M1271" t="s">
        <v>125</v>
      </c>
      <c r="N1271" s="2">
        <v>36.616999999999997</v>
      </c>
      <c r="O1271" s="1">
        <v>2</v>
      </c>
      <c r="P1271" s="2">
        <v>73.233999999999995</v>
      </c>
    </row>
    <row r="1272" spans="10:16">
      <c r="J1272" s="5" t="s">
        <v>1042</v>
      </c>
      <c r="K1272" t="s">
        <v>1043</v>
      </c>
      <c r="L1272" t="s">
        <v>131</v>
      </c>
      <c r="M1272" t="s">
        <v>125</v>
      </c>
      <c r="N1272" s="2">
        <v>73.19</v>
      </c>
      <c r="O1272" s="1">
        <v>1</v>
      </c>
      <c r="P1272" s="2">
        <v>73.19</v>
      </c>
    </row>
    <row r="1273" spans="10:16">
      <c r="J1273" s="5" t="s">
        <v>1355</v>
      </c>
      <c r="K1273" t="s">
        <v>1356</v>
      </c>
      <c r="L1273" t="s">
        <v>115</v>
      </c>
      <c r="M1273" t="s">
        <v>102</v>
      </c>
      <c r="N1273" s="2">
        <v>0.156</v>
      </c>
      <c r="O1273" s="1">
        <v>469</v>
      </c>
      <c r="P1273" s="2">
        <v>73.164000000000001</v>
      </c>
    </row>
    <row r="1274" spans="10:16">
      <c r="J1274" s="5" t="s">
        <v>1099</v>
      </c>
      <c r="K1274" t="s">
        <v>1100</v>
      </c>
      <c r="L1274" t="s">
        <v>128</v>
      </c>
      <c r="M1274" t="s">
        <v>125</v>
      </c>
      <c r="N1274" s="2">
        <v>24.367000000000001</v>
      </c>
      <c r="O1274" s="1">
        <v>3</v>
      </c>
      <c r="P1274" s="2">
        <v>73.100999999999999</v>
      </c>
    </row>
    <row r="1275" spans="10:16">
      <c r="J1275" s="5" t="s">
        <v>4271</v>
      </c>
      <c r="K1275" t="s">
        <v>4272</v>
      </c>
      <c r="L1275" t="s">
        <v>85</v>
      </c>
      <c r="M1275" t="s">
        <v>86</v>
      </c>
      <c r="N1275" s="2">
        <v>5.6230000000000002</v>
      </c>
      <c r="O1275" s="1">
        <v>26</v>
      </c>
      <c r="P1275" s="2">
        <v>73.099000000000004</v>
      </c>
    </row>
    <row r="1276" spans="10:16">
      <c r="J1276" s="5" t="s">
        <v>857</v>
      </c>
      <c r="K1276" t="s">
        <v>858</v>
      </c>
      <c r="L1276" t="s">
        <v>944</v>
      </c>
      <c r="M1276" t="s">
        <v>125</v>
      </c>
      <c r="N1276" s="2">
        <v>24.355</v>
      </c>
      <c r="O1276" s="1">
        <v>3</v>
      </c>
      <c r="P1276" s="2">
        <v>73.064999999999998</v>
      </c>
    </row>
    <row r="1277" spans="10:16">
      <c r="J1277" s="5" t="s">
        <v>3471</v>
      </c>
      <c r="K1277" t="s">
        <v>3472</v>
      </c>
      <c r="L1277" t="s">
        <v>219</v>
      </c>
      <c r="M1277" t="s">
        <v>86</v>
      </c>
      <c r="N1277" s="2">
        <v>72.88</v>
      </c>
      <c r="O1277" s="1">
        <v>1</v>
      </c>
      <c r="P1277" s="2">
        <v>72.88</v>
      </c>
    </row>
    <row r="1278" spans="10:16">
      <c r="J1278" s="5" t="s">
        <v>4519</v>
      </c>
      <c r="K1278" t="s">
        <v>4520</v>
      </c>
      <c r="L1278" t="s">
        <v>85</v>
      </c>
      <c r="M1278" t="s">
        <v>86</v>
      </c>
      <c r="N1278" s="2">
        <v>5.5701999999999998</v>
      </c>
      <c r="O1278" s="1">
        <v>26</v>
      </c>
      <c r="P1278" s="2">
        <v>72.412599999999998</v>
      </c>
    </row>
    <row r="1279" spans="10:16">
      <c r="J1279" s="5" t="s">
        <v>1594</v>
      </c>
      <c r="K1279" t="s">
        <v>1595</v>
      </c>
      <c r="L1279" t="s">
        <v>115</v>
      </c>
      <c r="M1279" t="s">
        <v>102</v>
      </c>
      <c r="N1279" s="2">
        <v>6.9000000000000006E-2</v>
      </c>
      <c r="O1279" s="1">
        <v>1046</v>
      </c>
      <c r="P1279" s="2">
        <v>72.174000000000007</v>
      </c>
    </row>
    <row r="1280" spans="10:16">
      <c r="J1280" s="5" t="s">
        <v>2562</v>
      </c>
      <c r="K1280" t="s">
        <v>2563</v>
      </c>
      <c r="L1280" t="s">
        <v>1044</v>
      </c>
      <c r="M1280" t="s">
        <v>125</v>
      </c>
      <c r="N1280" s="2">
        <v>2</v>
      </c>
      <c r="O1280" s="1">
        <v>36</v>
      </c>
      <c r="P1280" s="2">
        <v>72</v>
      </c>
    </row>
    <row r="1281" spans="10:16">
      <c r="J1281" s="5" t="s">
        <v>3920</v>
      </c>
      <c r="K1281" t="s">
        <v>3921</v>
      </c>
      <c r="L1281" t="s">
        <v>98</v>
      </c>
      <c r="M1281" t="s">
        <v>86</v>
      </c>
      <c r="N1281" s="2">
        <v>35.963200000000001</v>
      </c>
      <c r="O1281" s="1">
        <v>4</v>
      </c>
      <c r="P1281" s="2">
        <v>71.926400000000001</v>
      </c>
    </row>
    <row r="1282" spans="10:16">
      <c r="J1282" s="5" t="s">
        <v>4354</v>
      </c>
      <c r="K1282" t="s">
        <v>4355</v>
      </c>
      <c r="L1282" t="s">
        <v>85</v>
      </c>
      <c r="M1282" t="s">
        <v>86</v>
      </c>
      <c r="N1282" s="2">
        <v>4.4943999999999997</v>
      </c>
      <c r="O1282" s="1">
        <v>16</v>
      </c>
      <c r="P1282" s="2">
        <v>71.910399999999996</v>
      </c>
    </row>
    <row r="1283" spans="10:16">
      <c r="J1283" s="5" t="s">
        <v>3976</v>
      </c>
      <c r="K1283" t="s">
        <v>3977</v>
      </c>
      <c r="L1283" t="s">
        <v>85</v>
      </c>
      <c r="M1283" t="s">
        <v>86</v>
      </c>
      <c r="N1283" s="2">
        <v>0.29449999999999998</v>
      </c>
      <c r="O1283" s="1">
        <v>244</v>
      </c>
      <c r="P1283" s="2">
        <v>71.85799999999999</v>
      </c>
    </row>
    <row r="1284" spans="10:16">
      <c r="J1284" s="5" t="s">
        <v>1101</v>
      </c>
      <c r="K1284" t="s">
        <v>1102</v>
      </c>
      <c r="L1284" t="s">
        <v>131</v>
      </c>
      <c r="M1284" t="s">
        <v>125</v>
      </c>
      <c r="N1284" s="2">
        <v>17.908000000000001</v>
      </c>
      <c r="O1284" s="1">
        <v>4</v>
      </c>
      <c r="P1284" s="2">
        <v>71.632000000000005</v>
      </c>
    </row>
    <row r="1285" spans="10:16">
      <c r="J1285" s="5" t="s">
        <v>4843</v>
      </c>
      <c r="K1285" t="s">
        <v>4844</v>
      </c>
      <c r="L1285" t="s">
        <v>85</v>
      </c>
      <c r="M1285" t="s">
        <v>86</v>
      </c>
      <c r="N1285" s="2">
        <v>2.54</v>
      </c>
      <c r="O1285" s="1">
        <v>28</v>
      </c>
      <c r="P1285" s="2">
        <v>71.12</v>
      </c>
    </row>
    <row r="1286" spans="10:16">
      <c r="J1286" s="5" t="s">
        <v>4745</v>
      </c>
      <c r="K1286" t="s">
        <v>4746</v>
      </c>
      <c r="L1286" t="s">
        <v>219</v>
      </c>
      <c r="M1286" t="s">
        <v>86</v>
      </c>
      <c r="N1286" s="2">
        <v>35.552999999999997</v>
      </c>
      <c r="O1286" s="1">
        <v>2</v>
      </c>
      <c r="P1286" s="2">
        <v>71.105999999999995</v>
      </c>
    </row>
    <row r="1287" spans="10:16">
      <c r="J1287" s="5" t="s">
        <v>1475</v>
      </c>
      <c r="K1287" t="s">
        <v>1476</v>
      </c>
      <c r="L1287" t="s">
        <v>115</v>
      </c>
      <c r="M1287" t="s">
        <v>102</v>
      </c>
      <c r="N1287" s="2">
        <v>5.28E-2</v>
      </c>
      <c r="O1287" s="1">
        <v>1339</v>
      </c>
      <c r="P1287" s="2">
        <v>70.699200000000005</v>
      </c>
    </row>
    <row r="1288" spans="10:16">
      <c r="J1288" s="5" t="s">
        <v>1477</v>
      </c>
      <c r="K1288" t="s">
        <v>1478</v>
      </c>
      <c r="L1288" t="s">
        <v>115</v>
      </c>
      <c r="M1288" t="s">
        <v>102</v>
      </c>
      <c r="N1288" s="2">
        <v>5.28E-2</v>
      </c>
      <c r="O1288" s="1">
        <v>1339</v>
      </c>
      <c r="P1288" s="2">
        <v>70.699200000000005</v>
      </c>
    </row>
    <row r="1289" spans="10:16">
      <c r="J1289" s="5" t="s">
        <v>4363</v>
      </c>
      <c r="K1289" t="s">
        <v>4364</v>
      </c>
      <c r="L1289" t="s">
        <v>85</v>
      </c>
      <c r="M1289" t="s">
        <v>86</v>
      </c>
      <c r="N1289" s="2">
        <v>2.0198</v>
      </c>
      <c r="O1289" s="1">
        <v>70</v>
      </c>
      <c r="P1289" s="2">
        <v>70.692999999999998</v>
      </c>
    </row>
    <row r="1290" spans="10:16">
      <c r="J1290" s="5" t="s">
        <v>1531</v>
      </c>
      <c r="K1290" t="s">
        <v>1532</v>
      </c>
      <c r="L1290" t="s">
        <v>115</v>
      </c>
      <c r="M1290" t="s">
        <v>102</v>
      </c>
      <c r="N1290" s="2">
        <v>0.115</v>
      </c>
      <c r="O1290" s="1">
        <v>613</v>
      </c>
      <c r="P1290" s="2">
        <v>70.495000000000005</v>
      </c>
    </row>
    <row r="1291" spans="10:16">
      <c r="J1291" s="5" t="s">
        <v>4021</v>
      </c>
      <c r="K1291" t="s">
        <v>4022</v>
      </c>
      <c r="L1291" t="s">
        <v>98</v>
      </c>
      <c r="M1291" t="s">
        <v>86</v>
      </c>
      <c r="N1291" s="2">
        <v>4.6950000000000003</v>
      </c>
      <c r="O1291" s="1">
        <v>15</v>
      </c>
      <c r="P1291" s="2">
        <v>70.425000000000011</v>
      </c>
    </row>
    <row r="1292" spans="10:16">
      <c r="J1292" s="5" t="s">
        <v>4952</v>
      </c>
      <c r="K1292" t="s">
        <v>4953</v>
      </c>
      <c r="L1292" t="s">
        <v>85</v>
      </c>
      <c r="M1292" t="s">
        <v>86</v>
      </c>
      <c r="N1292" s="2">
        <v>0.79120000000000001</v>
      </c>
      <c r="O1292" s="1">
        <v>178</v>
      </c>
      <c r="P1292" s="2">
        <v>70.416799999999995</v>
      </c>
    </row>
    <row r="1293" spans="10:16">
      <c r="J1293" s="5" t="s">
        <v>2892</v>
      </c>
      <c r="K1293" t="s">
        <v>3888</v>
      </c>
      <c r="L1293" t="s">
        <v>219</v>
      </c>
      <c r="M1293" t="s">
        <v>86</v>
      </c>
      <c r="N1293" s="2">
        <v>14.083299999999999</v>
      </c>
      <c r="O1293" s="1">
        <v>5</v>
      </c>
      <c r="P1293" s="2">
        <v>70.416499999999999</v>
      </c>
    </row>
    <row r="1294" spans="10:16">
      <c r="J1294" s="5" t="s">
        <v>3714</v>
      </c>
      <c r="K1294" t="s">
        <v>3715</v>
      </c>
      <c r="L1294" t="s">
        <v>85</v>
      </c>
      <c r="M1294" t="s">
        <v>86</v>
      </c>
      <c r="N1294" s="2">
        <v>4.6900000000000004</v>
      </c>
      <c r="O1294" s="1">
        <v>15</v>
      </c>
      <c r="P1294" s="2">
        <v>70.350000000000009</v>
      </c>
    </row>
    <row r="1295" spans="10:16">
      <c r="J1295" s="5" t="s">
        <v>4255</v>
      </c>
      <c r="K1295" t="s">
        <v>2461</v>
      </c>
      <c r="L1295" t="s">
        <v>85</v>
      </c>
      <c r="M1295" t="s">
        <v>86</v>
      </c>
      <c r="N1295" s="2">
        <v>10.042999999999999</v>
      </c>
      <c r="O1295" s="1">
        <v>7</v>
      </c>
      <c r="P1295" s="2">
        <v>70.300999999999988</v>
      </c>
    </row>
    <row r="1296" spans="10:16">
      <c r="J1296" s="5" t="s">
        <v>1621</v>
      </c>
      <c r="K1296" t="s">
        <v>1622</v>
      </c>
      <c r="L1296" t="s">
        <v>115</v>
      </c>
      <c r="M1296" t="s">
        <v>102</v>
      </c>
      <c r="N1296" s="2">
        <v>9.69E-2</v>
      </c>
      <c r="O1296" s="1">
        <v>723</v>
      </c>
      <c r="P1296" s="2">
        <v>70.058700000000002</v>
      </c>
    </row>
    <row r="1297" spans="10:16">
      <c r="J1297" s="5" t="s">
        <v>4029</v>
      </c>
      <c r="K1297" t="s">
        <v>4030</v>
      </c>
      <c r="L1297" t="s">
        <v>98</v>
      </c>
      <c r="M1297" t="s">
        <v>86</v>
      </c>
      <c r="N1297" s="2">
        <v>2.1844000000000001</v>
      </c>
      <c r="O1297" s="1">
        <v>32</v>
      </c>
      <c r="P1297" s="2">
        <v>69.900800000000004</v>
      </c>
    </row>
    <row r="1298" spans="10:16">
      <c r="J1298" s="5" t="s">
        <v>5371</v>
      </c>
      <c r="K1298" t="s">
        <v>5372</v>
      </c>
      <c r="L1298" t="s">
        <v>219</v>
      </c>
      <c r="M1298" t="s">
        <v>86</v>
      </c>
      <c r="N1298" s="2">
        <v>9.9844000000000008</v>
      </c>
      <c r="O1298" s="1">
        <v>14</v>
      </c>
      <c r="P1298" s="2">
        <v>69.890800000000013</v>
      </c>
    </row>
    <row r="1299" spans="10:16">
      <c r="J1299" s="5" t="s">
        <v>4857</v>
      </c>
      <c r="K1299" t="s">
        <v>4858</v>
      </c>
      <c r="L1299" t="s">
        <v>85</v>
      </c>
      <c r="M1299" t="s">
        <v>86</v>
      </c>
      <c r="N1299" s="2">
        <v>0.50629999999999997</v>
      </c>
      <c r="O1299" s="1">
        <v>138</v>
      </c>
      <c r="P1299" s="2">
        <v>69.869399999999999</v>
      </c>
    </row>
    <row r="1300" spans="10:16">
      <c r="J1300" s="5" t="s">
        <v>1469</v>
      </c>
      <c r="K1300" t="s">
        <v>1470</v>
      </c>
      <c r="L1300" t="s">
        <v>115</v>
      </c>
      <c r="M1300" t="s">
        <v>102</v>
      </c>
      <c r="N1300" s="2">
        <v>0.1125</v>
      </c>
      <c r="O1300" s="1">
        <v>620</v>
      </c>
      <c r="P1300" s="2">
        <v>69.75</v>
      </c>
    </row>
    <row r="1301" spans="10:16">
      <c r="J1301" s="5" t="s">
        <v>5264</v>
      </c>
      <c r="K1301" t="s">
        <v>5265</v>
      </c>
      <c r="L1301" t="s">
        <v>115</v>
      </c>
      <c r="M1301" t="s">
        <v>102</v>
      </c>
      <c r="N1301" s="2">
        <v>5.74E-2</v>
      </c>
      <c r="O1301" s="1">
        <v>1212</v>
      </c>
      <c r="P1301" s="2">
        <v>69.568799999999996</v>
      </c>
    </row>
    <row r="1302" spans="10:16">
      <c r="J1302" s="5" t="s">
        <v>2841</v>
      </c>
      <c r="K1302" t="s">
        <v>2842</v>
      </c>
      <c r="L1302" t="s">
        <v>219</v>
      </c>
      <c r="M1302" t="s">
        <v>86</v>
      </c>
      <c r="N1302" s="2">
        <v>34.761200000000002</v>
      </c>
      <c r="O1302" s="1">
        <v>2</v>
      </c>
      <c r="P1302" s="2">
        <v>69.522400000000005</v>
      </c>
    </row>
    <row r="1303" spans="10:16">
      <c r="J1303" s="5" t="s">
        <v>1398</v>
      </c>
      <c r="K1303" t="s">
        <v>1399</v>
      </c>
      <c r="L1303" t="s">
        <v>115</v>
      </c>
      <c r="M1303" t="s">
        <v>102</v>
      </c>
      <c r="N1303" s="2">
        <v>0.48599999999999999</v>
      </c>
      <c r="O1303" s="1">
        <v>143</v>
      </c>
      <c r="P1303" s="2">
        <v>69.498000000000005</v>
      </c>
    </row>
    <row r="1304" spans="10:16">
      <c r="J1304" s="5" t="s">
        <v>29</v>
      </c>
      <c r="K1304" t="s">
        <v>30</v>
      </c>
      <c r="L1304" t="s">
        <v>618</v>
      </c>
      <c r="M1304" t="s">
        <v>626</v>
      </c>
      <c r="N1304" s="2">
        <v>6.9470000000000001</v>
      </c>
      <c r="O1304" s="1">
        <v>10</v>
      </c>
      <c r="P1304" s="2">
        <v>69.47</v>
      </c>
    </row>
    <row r="1305" spans="10:16">
      <c r="J1305" s="5" t="s">
        <v>3955</v>
      </c>
      <c r="K1305" t="s">
        <v>3956</v>
      </c>
      <c r="L1305" t="s">
        <v>436</v>
      </c>
      <c r="M1305" t="s">
        <v>86</v>
      </c>
      <c r="N1305" s="2">
        <v>34.71</v>
      </c>
      <c r="O1305" s="1">
        <v>2</v>
      </c>
      <c r="P1305" s="2">
        <v>69.42</v>
      </c>
    </row>
    <row r="1306" spans="10:16">
      <c r="J1306" s="5" t="s">
        <v>2133</v>
      </c>
      <c r="K1306" t="s">
        <v>2134</v>
      </c>
      <c r="L1306" t="s">
        <v>85</v>
      </c>
      <c r="M1306" t="s">
        <v>86</v>
      </c>
      <c r="N1306" s="2">
        <v>1.9156</v>
      </c>
      <c r="O1306" s="1">
        <v>72</v>
      </c>
      <c r="P1306" s="2">
        <v>68.961600000000004</v>
      </c>
    </row>
    <row r="1307" spans="10:16">
      <c r="J1307" s="5" t="s">
        <v>3491</v>
      </c>
      <c r="K1307" t="s">
        <v>3492</v>
      </c>
      <c r="L1307" t="s">
        <v>85</v>
      </c>
      <c r="M1307" t="s">
        <v>86</v>
      </c>
      <c r="N1307" s="2">
        <v>1.4666999999999999</v>
      </c>
      <c r="O1307" s="1">
        <v>47</v>
      </c>
      <c r="P1307" s="2">
        <v>68.934899999999999</v>
      </c>
    </row>
    <row r="1308" spans="10:16">
      <c r="J1308" s="5" t="s">
        <v>3710</v>
      </c>
      <c r="K1308" t="s">
        <v>3711</v>
      </c>
      <c r="L1308" t="s">
        <v>85</v>
      </c>
      <c r="M1308" t="s">
        <v>86</v>
      </c>
      <c r="N1308" s="2">
        <v>4.0529000000000002</v>
      </c>
      <c r="O1308" s="1">
        <v>17</v>
      </c>
      <c r="P1308" s="2">
        <v>68.899299999999997</v>
      </c>
    </row>
    <row r="1309" spans="10:16">
      <c r="J1309" s="5" t="s">
        <v>3967</v>
      </c>
      <c r="K1309" t="s">
        <v>3968</v>
      </c>
      <c r="L1309" t="s">
        <v>85</v>
      </c>
      <c r="M1309" t="s">
        <v>86</v>
      </c>
      <c r="N1309" s="2">
        <v>13.77</v>
      </c>
      <c r="O1309" s="1">
        <v>10</v>
      </c>
      <c r="P1309" s="2">
        <v>68.849999999999994</v>
      </c>
    </row>
    <row r="1310" spans="10:16">
      <c r="J1310" s="5" t="s">
        <v>4902</v>
      </c>
      <c r="K1310" t="s">
        <v>4903</v>
      </c>
      <c r="L1310" t="s">
        <v>85</v>
      </c>
      <c r="M1310" t="s">
        <v>86</v>
      </c>
      <c r="N1310" s="2">
        <v>1.5287999999999999</v>
      </c>
      <c r="O1310" s="1">
        <v>90</v>
      </c>
      <c r="P1310" s="2">
        <v>68.795999999999992</v>
      </c>
    </row>
    <row r="1311" spans="10:16">
      <c r="J1311" s="5" t="s">
        <v>4813</v>
      </c>
      <c r="K1311" t="s">
        <v>4814</v>
      </c>
      <c r="L1311" t="s">
        <v>85</v>
      </c>
      <c r="M1311" t="s">
        <v>86</v>
      </c>
      <c r="N1311" s="2">
        <v>34.347999999999999</v>
      </c>
      <c r="O1311" s="1">
        <v>2</v>
      </c>
      <c r="P1311" s="2">
        <v>68.695999999999998</v>
      </c>
    </row>
    <row r="1312" spans="10:16">
      <c r="J1312" s="5" t="s">
        <v>437</v>
      </c>
      <c r="K1312" t="s">
        <v>438</v>
      </c>
      <c r="L1312" t="s">
        <v>85</v>
      </c>
      <c r="M1312" t="s">
        <v>86</v>
      </c>
      <c r="N1312" s="2">
        <v>34.340000000000003</v>
      </c>
      <c r="O1312" s="1">
        <v>2</v>
      </c>
      <c r="P1312" s="2">
        <v>68.680000000000007</v>
      </c>
    </row>
    <row r="1313" spans="10:16">
      <c r="J1313" s="5" t="s">
        <v>1581</v>
      </c>
      <c r="K1313" t="s">
        <v>1582</v>
      </c>
      <c r="L1313" t="s">
        <v>115</v>
      </c>
      <c r="M1313" t="s">
        <v>102</v>
      </c>
      <c r="N1313" s="2">
        <v>0.16400000000000001</v>
      </c>
      <c r="O1313" s="1">
        <v>417</v>
      </c>
      <c r="P1313" s="2">
        <v>68.388000000000005</v>
      </c>
    </row>
    <row r="1314" spans="10:16">
      <c r="J1314" s="5" t="s">
        <v>3075</v>
      </c>
      <c r="K1314" t="s">
        <v>3076</v>
      </c>
      <c r="L1314" t="s">
        <v>219</v>
      </c>
      <c r="M1314" t="s">
        <v>86</v>
      </c>
      <c r="N1314" s="2">
        <v>68.198499999999996</v>
      </c>
      <c r="O1314" s="1">
        <v>1</v>
      </c>
      <c r="P1314" s="2">
        <v>68.198499999999996</v>
      </c>
    </row>
    <row r="1315" spans="10:16">
      <c r="J1315" s="5" t="s">
        <v>1733</v>
      </c>
      <c r="K1315" t="s">
        <v>1734</v>
      </c>
      <c r="L1315" t="s">
        <v>85</v>
      </c>
      <c r="M1315" t="s">
        <v>86</v>
      </c>
      <c r="N1315" s="2">
        <v>68</v>
      </c>
      <c r="O1315" s="1">
        <v>1</v>
      </c>
      <c r="P1315" s="2">
        <v>68</v>
      </c>
    </row>
    <row r="1316" spans="10:16">
      <c r="J1316" s="5" t="s">
        <v>4988</v>
      </c>
      <c r="K1316" t="s">
        <v>4989</v>
      </c>
      <c r="L1316" t="s">
        <v>434</v>
      </c>
      <c r="M1316" t="s">
        <v>86</v>
      </c>
      <c r="N1316" s="2">
        <v>16.944199999999999</v>
      </c>
      <c r="O1316" s="1">
        <v>8</v>
      </c>
      <c r="P1316" s="2">
        <v>67.776799999999994</v>
      </c>
    </row>
    <row r="1317" spans="10:16">
      <c r="J1317" s="5" t="s">
        <v>3450</v>
      </c>
      <c r="K1317" t="s">
        <v>3451</v>
      </c>
      <c r="L1317" t="s">
        <v>223</v>
      </c>
      <c r="M1317" t="s">
        <v>86</v>
      </c>
      <c r="N1317" s="2">
        <v>3.2212000000000001</v>
      </c>
      <c r="O1317" s="1">
        <v>21</v>
      </c>
      <c r="P1317" s="2">
        <v>67.645200000000003</v>
      </c>
    </row>
    <row r="1318" spans="10:16">
      <c r="J1318" s="5" t="s">
        <v>1162</v>
      </c>
      <c r="K1318" t="s">
        <v>1163</v>
      </c>
      <c r="L1318" t="s">
        <v>31</v>
      </c>
      <c r="M1318" t="s">
        <v>1931</v>
      </c>
      <c r="N1318" s="2">
        <v>22.5</v>
      </c>
      <c r="O1318" s="1">
        <v>3</v>
      </c>
      <c r="P1318" s="2">
        <v>67.5</v>
      </c>
    </row>
    <row r="1319" spans="10:16">
      <c r="J1319" s="5" t="s">
        <v>1569</v>
      </c>
      <c r="K1319" t="s">
        <v>1570</v>
      </c>
      <c r="L1319" t="s">
        <v>115</v>
      </c>
      <c r="M1319" t="s">
        <v>102</v>
      </c>
      <c r="N1319" s="2">
        <v>0.17699999999999999</v>
      </c>
      <c r="O1319" s="1">
        <v>380</v>
      </c>
      <c r="P1319" s="2">
        <v>67.259999999999991</v>
      </c>
    </row>
    <row r="1320" spans="10:16">
      <c r="J1320" s="5" t="s">
        <v>2992</v>
      </c>
      <c r="K1320" t="s">
        <v>2993</v>
      </c>
      <c r="L1320" t="s">
        <v>85</v>
      </c>
      <c r="M1320" t="s">
        <v>86</v>
      </c>
      <c r="N1320" s="2">
        <v>4.8019999999999996</v>
      </c>
      <c r="O1320" s="1">
        <v>14</v>
      </c>
      <c r="P1320" s="2">
        <v>67.227999999999994</v>
      </c>
    </row>
    <row r="1321" spans="10:16">
      <c r="J1321" s="5" t="s">
        <v>789</v>
      </c>
      <c r="K1321" t="s">
        <v>790</v>
      </c>
      <c r="L1321" t="s">
        <v>618</v>
      </c>
      <c r="M1321" t="s">
        <v>626</v>
      </c>
      <c r="N1321" s="2">
        <v>13.419</v>
      </c>
      <c r="O1321" s="1">
        <v>5</v>
      </c>
      <c r="P1321" s="2">
        <v>67.094999999999999</v>
      </c>
    </row>
    <row r="1322" spans="10:16">
      <c r="J1322" s="5" t="s">
        <v>330</v>
      </c>
      <c r="K1322" t="s">
        <v>331</v>
      </c>
      <c r="L1322" t="s">
        <v>85</v>
      </c>
      <c r="M1322" t="s">
        <v>86</v>
      </c>
      <c r="N1322" s="2">
        <v>1.5972</v>
      </c>
      <c r="O1322" s="1">
        <v>84</v>
      </c>
      <c r="P1322" s="2">
        <v>67.082399999999993</v>
      </c>
    </row>
    <row r="1323" spans="10:16">
      <c r="J1323" s="5" t="s">
        <v>1670</v>
      </c>
      <c r="K1323" t="s">
        <v>1671</v>
      </c>
      <c r="L1323" t="s">
        <v>115</v>
      </c>
      <c r="M1323" t="s">
        <v>102</v>
      </c>
      <c r="N1323" s="2">
        <v>0.13100000000000001</v>
      </c>
      <c r="O1323" s="1">
        <v>511</v>
      </c>
      <c r="P1323" s="2">
        <v>66.941000000000003</v>
      </c>
    </row>
    <row r="1324" spans="10:16">
      <c r="J1324" s="5" t="s">
        <v>4719</v>
      </c>
      <c r="K1324" t="s">
        <v>4720</v>
      </c>
      <c r="L1324" t="s">
        <v>219</v>
      </c>
      <c r="M1324" t="s">
        <v>86</v>
      </c>
      <c r="N1324" s="2">
        <v>66.91</v>
      </c>
      <c r="O1324" s="1">
        <v>1</v>
      </c>
      <c r="P1324" s="2">
        <v>66.91</v>
      </c>
    </row>
    <row r="1325" spans="10:16">
      <c r="J1325" s="5" t="s">
        <v>4706</v>
      </c>
      <c r="K1325" t="s">
        <v>492</v>
      </c>
      <c r="L1325" t="s">
        <v>85</v>
      </c>
      <c r="M1325" t="s">
        <v>86</v>
      </c>
      <c r="N1325" s="2">
        <v>9.5299999999999994</v>
      </c>
      <c r="O1325" s="1">
        <v>7</v>
      </c>
      <c r="P1325" s="2">
        <v>66.709999999999994</v>
      </c>
    </row>
    <row r="1326" spans="10:16">
      <c r="J1326" s="5" t="s">
        <v>608</v>
      </c>
      <c r="K1326" t="s">
        <v>609</v>
      </c>
      <c r="L1326" t="s">
        <v>98</v>
      </c>
      <c r="M1326" t="s">
        <v>86</v>
      </c>
      <c r="N1326" s="2">
        <v>4.7649999999999997</v>
      </c>
      <c r="O1326" s="1">
        <v>14</v>
      </c>
      <c r="P1326" s="2">
        <v>66.709999999999994</v>
      </c>
    </row>
    <row r="1327" spans="10:16">
      <c r="J1327" s="5" t="s">
        <v>1693</v>
      </c>
      <c r="K1327" t="s">
        <v>1694</v>
      </c>
      <c r="L1327" t="s">
        <v>115</v>
      </c>
      <c r="M1327" t="s">
        <v>102</v>
      </c>
      <c r="N1327" s="2">
        <v>0.10199999999999999</v>
      </c>
      <c r="O1327" s="1">
        <v>654</v>
      </c>
      <c r="P1327" s="2">
        <v>66.707999999999998</v>
      </c>
    </row>
    <row r="1328" spans="10:16">
      <c r="J1328" s="5" t="s">
        <v>4647</v>
      </c>
      <c r="K1328" t="s">
        <v>3228</v>
      </c>
      <c r="L1328" t="s">
        <v>85</v>
      </c>
      <c r="M1328" t="s">
        <v>86</v>
      </c>
      <c r="N1328" s="2">
        <v>8.3376000000000001</v>
      </c>
      <c r="O1328" s="1">
        <v>16</v>
      </c>
      <c r="P1328" s="2">
        <v>66.700800000000001</v>
      </c>
    </row>
    <row r="1329" spans="10:16">
      <c r="J1329" s="5" t="s">
        <v>286</v>
      </c>
      <c r="K1329" t="s">
        <v>287</v>
      </c>
      <c r="L1329" t="s">
        <v>85</v>
      </c>
      <c r="M1329" t="s">
        <v>86</v>
      </c>
      <c r="N1329" s="2">
        <v>16.667000000000002</v>
      </c>
      <c r="O1329" s="1">
        <v>4</v>
      </c>
      <c r="P1329" s="2">
        <v>66.668000000000006</v>
      </c>
    </row>
    <row r="1330" spans="10:16">
      <c r="J1330" s="5" t="s">
        <v>371</v>
      </c>
      <c r="K1330" t="s">
        <v>372</v>
      </c>
      <c r="L1330" t="s">
        <v>373</v>
      </c>
      <c r="M1330" t="s">
        <v>86</v>
      </c>
      <c r="N1330" s="2">
        <v>66.650000000000006</v>
      </c>
      <c r="O1330" s="1">
        <v>1</v>
      </c>
      <c r="P1330" s="2">
        <v>66.650000000000006</v>
      </c>
    </row>
    <row r="1331" spans="10:16">
      <c r="J1331" s="5" t="s">
        <v>2506</v>
      </c>
      <c r="K1331" t="s">
        <v>5432</v>
      </c>
      <c r="L1331" t="s">
        <v>263</v>
      </c>
      <c r="M1331" t="s">
        <v>86</v>
      </c>
      <c r="N1331" s="2">
        <v>33.103999999999999</v>
      </c>
      <c r="O1331" s="1">
        <v>2</v>
      </c>
      <c r="P1331" s="2">
        <v>66.207999999999998</v>
      </c>
    </row>
    <row r="1332" spans="10:16">
      <c r="J1332" s="5" t="s">
        <v>2559</v>
      </c>
      <c r="K1332" t="s">
        <v>2560</v>
      </c>
      <c r="L1332" t="s">
        <v>2561</v>
      </c>
      <c r="M1332" t="s">
        <v>125</v>
      </c>
      <c r="N1332" s="2">
        <v>16.53</v>
      </c>
      <c r="O1332" s="1">
        <v>4</v>
      </c>
      <c r="P1332" s="2">
        <v>66.12</v>
      </c>
    </row>
    <row r="1333" spans="10:16">
      <c r="J1333" s="5" t="s">
        <v>2880</v>
      </c>
      <c r="K1333" t="s">
        <v>2881</v>
      </c>
      <c r="L1333" t="s">
        <v>85</v>
      </c>
      <c r="M1333" t="s">
        <v>86</v>
      </c>
      <c r="N1333" s="2">
        <v>9.4290000000000003</v>
      </c>
      <c r="O1333" s="1">
        <v>7</v>
      </c>
      <c r="P1333" s="2">
        <v>66.003</v>
      </c>
    </row>
    <row r="1334" spans="10:16">
      <c r="J1334" s="5" t="s">
        <v>4209</v>
      </c>
      <c r="K1334" t="s">
        <v>4210</v>
      </c>
      <c r="L1334" t="s">
        <v>219</v>
      </c>
      <c r="M1334" t="s">
        <v>86</v>
      </c>
      <c r="N1334" s="2">
        <v>16.420000000000002</v>
      </c>
      <c r="O1334" s="1">
        <v>4</v>
      </c>
      <c r="P1334" s="2">
        <v>65.680000000000007</v>
      </c>
    </row>
    <row r="1335" spans="10:16">
      <c r="J1335" s="5" t="s">
        <v>2341</v>
      </c>
      <c r="K1335" t="s">
        <v>2342</v>
      </c>
      <c r="L1335" t="s">
        <v>219</v>
      </c>
      <c r="M1335" t="s">
        <v>86</v>
      </c>
      <c r="N1335" s="2">
        <v>13.132999999999999</v>
      </c>
      <c r="O1335" s="1">
        <v>5</v>
      </c>
      <c r="P1335" s="2">
        <v>65.664999999999992</v>
      </c>
    </row>
    <row r="1336" spans="10:16">
      <c r="J1336" s="5" t="s">
        <v>2772</v>
      </c>
      <c r="K1336" t="s">
        <v>2773</v>
      </c>
      <c r="L1336" t="s">
        <v>98</v>
      </c>
      <c r="M1336" t="s">
        <v>86</v>
      </c>
      <c r="N1336" s="2">
        <v>5.0350000000000001</v>
      </c>
      <c r="O1336" s="1">
        <v>13</v>
      </c>
      <c r="P1336" s="2">
        <v>65.454999999999998</v>
      </c>
    </row>
    <row r="1337" spans="10:16">
      <c r="J1337" s="5" t="s">
        <v>896</v>
      </c>
      <c r="K1337" t="s">
        <v>897</v>
      </c>
      <c r="L1337" t="s">
        <v>160</v>
      </c>
      <c r="M1337" t="s">
        <v>125</v>
      </c>
      <c r="N1337" s="2">
        <v>1.4501999999999999</v>
      </c>
      <c r="O1337" s="1">
        <v>90</v>
      </c>
      <c r="P1337" s="2">
        <v>65.259</v>
      </c>
    </row>
    <row r="1338" spans="10:16">
      <c r="J1338" s="5" t="s">
        <v>2691</v>
      </c>
      <c r="K1338" t="s">
        <v>2692</v>
      </c>
      <c r="L1338" t="s">
        <v>141</v>
      </c>
      <c r="M1338" t="s">
        <v>125</v>
      </c>
      <c r="N1338" s="2">
        <v>4.3410000000000002</v>
      </c>
      <c r="O1338" s="1">
        <v>30</v>
      </c>
      <c r="P1338" s="2">
        <v>65.115000000000009</v>
      </c>
    </row>
    <row r="1339" spans="10:16">
      <c r="J1339" s="5" t="s">
        <v>2928</v>
      </c>
      <c r="K1339" t="s">
        <v>2929</v>
      </c>
      <c r="L1339" t="s">
        <v>98</v>
      </c>
      <c r="M1339" t="s">
        <v>86</v>
      </c>
      <c r="N1339" s="2">
        <v>4.6429999999999998</v>
      </c>
      <c r="O1339" s="1">
        <v>14</v>
      </c>
      <c r="P1339" s="2">
        <v>65.001999999999995</v>
      </c>
    </row>
    <row r="1340" spans="10:16">
      <c r="J1340" s="5" t="s">
        <v>2376</v>
      </c>
      <c r="K1340" t="s">
        <v>2377</v>
      </c>
      <c r="L1340" t="s">
        <v>85</v>
      </c>
      <c r="M1340" t="s">
        <v>86</v>
      </c>
      <c r="N1340" s="2">
        <v>4.0473999999999997</v>
      </c>
      <c r="O1340" s="1">
        <v>32</v>
      </c>
      <c r="P1340" s="2">
        <v>64.758399999999995</v>
      </c>
    </row>
    <row r="1341" spans="10:16">
      <c r="J1341" s="5" t="s">
        <v>1687</v>
      </c>
      <c r="K1341" t="s">
        <v>1688</v>
      </c>
      <c r="L1341" t="s">
        <v>115</v>
      </c>
      <c r="M1341" t="s">
        <v>102</v>
      </c>
      <c r="N1341" s="2">
        <v>0.10299999999999999</v>
      </c>
      <c r="O1341" s="1">
        <v>627</v>
      </c>
      <c r="P1341" s="2">
        <v>64.581000000000003</v>
      </c>
    </row>
    <row r="1342" spans="10:16">
      <c r="J1342" s="5" t="s">
        <v>871</v>
      </c>
      <c r="K1342" t="s">
        <v>872</v>
      </c>
      <c r="L1342" t="s">
        <v>944</v>
      </c>
      <c r="M1342" t="s">
        <v>125</v>
      </c>
      <c r="N1342" s="2">
        <v>2.7919999999999998</v>
      </c>
      <c r="O1342" s="1">
        <v>23</v>
      </c>
      <c r="P1342" s="2">
        <v>64.215999999999994</v>
      </c>
    </row>
    <row r="1343" spans="10:16">
      <c r="J1343" s="5" t="s">
        <v>4316</v>
      </c>
      <c r="K1343" t="s">
        <v>4317</v>
      </c>
      <c r="L1343" t="s">
        <v>85</v>
      </c>
      <c r="M1343" t="s">
        <v>86</v>
      </c>
      <c r="N1343" s="2">
        <v>9.1494</v>
      </c>
      <c r="O1343" s="1">
        <v>14</v>
      </c>
      <c r="P1343" s="2">
        <v>64.0458</v>
      </c>
    </row>
    <row r="1344" spans="10:16">
      <c r="J1344" s="5" t="s">
        <v>4564</v>
      </c>
      <c r="K1344" t="s">
        <v>4565</v>
      </c>
      <c r="L1344" t="s">
        <v>85</v>
      </c>
      <c r="M1344" t="s">
        <v>86</v>
      </c>
      <c r="N1344" s="2">
        <v>7.1102999999999996</v>
      </c>
      <c r="O1344" s="1">
        <v>9</v>
      </c>
      <c r="P1344" s="2">
        <v>63.992699999999999</v>
      </c>
    </row>
    <row r="1345" spans="10:16">
      <c r="J1345" s="5" t="s">
        <v>2235</v>
      </c>
      <c r="K1345" t="s">
        <v>2236</v>
      </c>
      <c r="L1345" t="s">
        <v>85</v>
      </c>
      <c r="M1345" t="s">
        <v>86</v>
      </c>
      <c r="N1345" s="2">
        <v>7.9947999999999997</v>
      </c>
      <c r="O1345" s="1">
        <v>16</v>
      </c>
      <c r="P1345" s="2">
        <v>63.958399999999997</v>
      </c>
    </row>
    <row r="1346" spans="10:16">
      <c r="J1346" s="5" t="s">
        <v>2809</v>
      </c>
      <c r="K1346" t="s">
        <v>2810</v>
      </c>
      <c r="L1346" t="s">
        <v>219</v>
      </c>
      <c r="M1346" t="s">
        <v>86</v>
      </c>
      <c r="N1346" s="2">
        <v>7.9809999999999999</v>
      </c>
      <c r="O1346" s="1">
        <v>8</v>
      </c>
      <c r="P1346" s="2">
        <v>63.847999999999999</v>
      </c>
    </row>
    <row r="1347" spans="10:16">
      <c r="J1347" s="5" t="s">
        <v>2337</v>
      </c>
      <c r="K1347" t="s">
        <v>2338</v>
      </c>
      <c r="L1347" t="s">
        <v>219</v>
      </c>
      <c r="M1347" t="s">
        <v>86</v>
      </c>
      <c r="N1347" s="2">
        <v>31.874400000000001</v>
      </c>
      <c r="O1347" s="1">
        <v>4</v>
      </c>
      <c r="P1347" s="2">
        <v>63.748800000000003</v>
      </c>
    </row>
    <row r="1348" spans="10:16">
      <c r="J1348" s="5" t="s">
        <v>1593</v>
      </c>
      <c r="K1348" t="s">
        <v>5251</v>
      </c>
      <c r="L1348" t="s">
        <v>115</v>
      </c>
      <c r="M1348" t="s">
        <v>102</v>
      </c>
      <c r="N1348" s="2">
        <v>9.0999999999999998E-2</v>
      </c>
      <c r="O1348" s="1">
        <v>699</v>
      </c>
      <c r="P1348" s="2">
        <v>63.609000000000002</v>
      </c>
    </row>
    <row r="1349" spans="10:16">
      <c r="J1349" s="5" t="s">
        <v>1483</v>
      </c>
      <c r="K1349" t="s">
        <v>1484</v>
      </c>
      <c r="L1349" t="s">
        <v>115</v>
      </c>
      <c r="M1349" t="s">
        <v>102</v>
      </c>
      <c r="N1349" s="2">
        <v>0.12</v>
      </c>
      <c r="O1349" s="1">
        <v>529</v>
      </c>
      <c r="P1349" s="2">
        <v>63.48</v>
      </c>
    </row>
    <row r="1350" spans="10:16">
      <c r="J1350" s="5" t="s">
        <v>305</v>
      </c>
      <c r="K1350" t="s">
        <v>306</v>
      </c>
      <c r="L1350" t="s">
        <v>98</v>
      </c>
      <c r="M1350" t="s">
        <v>86</v>
      </c>
      <c r="N1350" s="2">
        <v>9.0564</v>
      </c>
      <c r="O1350" s="1">
        <v>14</v>
      </c>
      <c r="P1350" s="2">
        <v>63.394800000000004</v>
      </c>
    </row>
    <row r="1351" spans="10:16">
      <c r="J1351" s="5" t="s">
        <v>5418</v>
      </c>
      <c r="K1351" t="s">
        <v>5419</v>
      </c>
      <c r="L1351" t="s">
        <v>98</v>
      </c>
      <c r="M1351" t="s">
        <v>86</v>
      </c>
      <c r="N1351" s="2">
        <v>31.625</v>
      </c>
      <c r="O1351" s="1">
        <v>2</v>
      </c>
      <c r="P1351" s="2">
        <v>63.25</v>
      </c>
    </row>
    <row r="1352" spans="10:16">
      <c r="J1352" s="5" t="s">
        <v>314</v>
      </c>
      <c r="K1352" t="s">
        <v>315</v>
      </c>
      <c r="L1352" t="s">
        <v>98</v>
      </c>
      <c r="M1352" t="s">
        <v>86</v>
      </c>
      <c r="N1352" s="2">
        <v>12.6342</v>
      </c>
      <c r="O1352" s="1">
        <v>10</v>
      </c>
      <c r="P1352" s="2">
        <v>63.170999999999999</v>
      </c>
    </row>
    <row r="1353" spans="10:16">
      <c r="J1353" s="5" t="s">
        <v>5206</v>
      </c>
      <c r="K1353" t="s">
        <v>5207</v>
      </c>
      <c r="L1353" t="s">
        <v>115</v>
      </c>
      <c r="M1353" t="s">
        <v>102</v>
      </c>
      <c r="N1353" s="2">
        <v>0.2185</v>
      </c>
      <c r="O1353" s="1">
        <v>289</v>
      </c>
      <c r="P1353" s="2">
        <v>63.146500000000003</v>
      </c>
    </row>
    <row r="1354" spans="10:16">
      <c r="J1354" s="5" t="s">
        <v>1542</v>
      </c>
      <c r="K1354" t="s">
        <v>1543</v>
      </c>
      <c r="L1354" t="s">
        <v>115</v>
      </c>
      <c r="M1354" t="s">
        <v>102</v>
      </c>
      <c r="N1354" s="2">
        <v>0.111</v>
      </c>
      <c r="O1354" s="1">
        <v>568</v>
      </c>
      <c r="P1354" s="2">
        <v>63.048000000000002</v>
      </c>
    </row>
    <row r="1355" spans="10:16">
      <c r="J1355" s="5" t="s">
        <v>3129</v>
      </c>
      <c r="K1355" t="s">
        <v>3130</v>
      </c>
      <c r="L1355" t="s">
        <v>85</v>
      </c>
      <c r="M1355" t="s">
        <v>86</v>
      </c>
      <c r="N1355" s="2">
        <v>3.3159999999999998</v>
      </c>
      <c r="O1355" s="1">
        <v>19</v>
      </c>
      <c r="P1355" s="2">
        <v>63.003999999999998</v>
      </c>
    </row>
    <row r="1356" spans="10:16">
      <c r="J1356" s="5" t="s">
        <v>1445</v>
      </c>
      <c r="K1356" t="s">
        <v>1446</v>
      </c>
      <c r="L1356" t="s">
        <v>115</v>
      </c>
      <c r="M1356" t="s">
        <v>102</v>
      </c>
      <c r="N1356" s="2">
        <v>0.17499999999999999</v>
      </c>
      <c r="O1356" s="1">
        <v>360</v>
      </c>
      <c r="P1356" s="2">
        <v>62.999999999999993</v>
      </c>
    </row>
    <row r="1357" spans="10:16">
      <c r="J1357" s="5" t="s">
        <v>435</v>
      </c>
      <c r="K1357" t="s">
        <v>4493</v>
      </c>
      <c r="L1357" t="s">
        <v>436</v>
      </c>
      <c r="M1357" t="s">
        <v>86</v>
      </c>
      <c r="N1357" s="2">
        <v>20.97</v>
      </c>
      <c r="O1357" s="1">
        <v>3</v>
      </c>
      <c r="P1357" s="2">
        <v>62.91</v>
      </c>
    </row>
    <row r="1358" spans="10:16">
      <c r="J1358" s="5" t="s">
        <v>4149</v>
      </c>
      <c r="K1358" t="s">
        <v>4150</v>
      </c>
      <c r="L1358" t="s">
        <v>85</v>
      </c>
      <c r="M1358" t="s">
        <v>86</v>
      </c>
      <c r="N1358" s="2">
        <v>12.548999999999999</v>
      </c>
      <c r="O1358" s="1">
        <v>5</v>
      </c>
      <c r="P1358" s="2">
        <v>62.744999999999997</v>
      </c>
    </row>
    <row r="1359" spans="10:16">
      <c r="J1359" s="5" t="s">
        <v>2075</v>
      </c>
      <c r="K1359" t="s">
        <v>2076</v>
      </c>
      <c r="L1359" t="s">
        <v>5081</v>
      </c>
      <c r="M1359" t="s">
        <v>125</v>
      </c>
      <c r="N1359" s="2">
        <v>6.9640000000000004</v>
      </c>
      <c r="O1359" s="1">
        <v>9</v>
      </c>
      <c r="P1359" s="2">
        <v>62.676000000000002</v>
      </c>
    </row>
    <row r="1360" spans="10:16">
      <c r="J1360" s="5" t="s">
        <v>867</v>
      </c>
      <c r="K1360" t="s">
        <v>868</v>
      </c>
      <c r="L1360" t="s">
        <v>944</v>
      </c>
      <c r="M1360" t="s">
        <v>125</v>
      </c>
      <c r="N1360" s="2">
        <v>7.8170000000000002</v>
      </c>
      <c r="O1360" s="1">
        <v>16</v>
      </c>
      <c r="P1360" s="2">
        <v>62.536000000000001</v>
      </c>
    </row>
    <row r="1361" spans="10:16">
      <c r="J1361" s="5" t="s">
        <v>5301</v>
      </c>
      <c r="K1361" t="s">
        <v>5302</v>
      </c>
      <c r="L1361" t="s">
        <v>5081</v>
      </c>
      <c r="M1361" t="s">
        <v>125</v>
      </c>
      <c r="N1361" s="2">
        <v>3.677</v>
      </c>
      <c r="O1361" s="1">
        <v>34</v>
      </c>
      <c r="P1361" s="2">
        <v>62.509</v>
      </c>
    </row>
    <row r="1362" spans="10:16">
      <c r="J1362" s="5" t="s">
        <v>3137</v>
      </c>
      <c r="K1362" t="s">
        <v>4945</v>
      </c>
      <c r="L1362" t="s">
        <v>219</v>
      </c>
      <c r="M1362" t="s">
        <v>86</v>
      </c>
      <c r="N1362" s="2">
        <v>2.4022000000000001</v>
      </c>
      <c r="O1362" s="1">
        <v>52</v>
      </c>
      <c r="P1362" s="2">
        <v>62.4572</v>
      </c>
    </row>
    <row r="1363" spans="10:16">
      <c r="J1363" s="5" t="s">
        <v>3003</v>
      </c>
      <c r="K1363" t="s">
        <v>4340</v>
      </c>
      <c r="L1363" t="s">
        <v>219</v>
      </c>
      <c r="M1363" t="s">
        <v>86</v>
      </c>
      <c r="N1363" s="2">
        <v>7.79</v>
      </c>
      <c r="O1363" s="1">
        <v>8</v>
      </c>
      <c r="P1363" s="2">
        <v>62.32</v>
      </c>
    </row>
    <row r="1364" spans="10:16">
      <c r="J1364" s="5" t="s">
        <v>3692</v>
      </c>
      <c r="K1364" t="s">
        <v>3693</v>
      </c>
      <c r="L1364" t="s">
        <v>436</v>
      </c>
      <c r="M1364" t="s">
        <v>86</v>
      </c>
      <c r="N1364" s="2">
        <v>30.78</v>
      </c>
      <c r="O1364" s="1">
        <v>2</v>
      </c>
      <c r="P1364" s="2">
        <v>61.56</v>
      </c>
    </row>
    <row r="1365" spans="10:16">
      <c r="J1365" s="5" t="s">
        <v>3052</v>
      </c>
      <c r="K1365" t="s">
        <v>4568</v>
      </c>
      <c r="L1365" t="s">
        <v>219</v>
      </c>
      <c r="M1365" t="s">
        <v>86</v>
      </c>
      <c r="N1365" s="2">
        <v>7.6947000000000001</v>
      </c>
      <c r="O1365" s="1">
        <v>8</v>
      </c>
      <c r="P1365" s="2">
        <v>61.557600000000001</v>
      </c>
    </row>
    <row r="1366" spans="10:16">
      <c r="J1366" s="5" t="s">
        <v>4752</v>
      </c>
      <c r="K1366" t="s">
        <v>2334</v>
      </c>
      <c r="L1366" t="s">
        <v>219</v>
      </c>
      <c r="M1366" t="s">
        <v>86</v>
      </c>
      <c r="N1366" s="2">
        <v>61.49</v>
      </c>
      <c r="O1366" s="1">
        <v>1</v>
      </c>
      <c r="P1366" s="2">
        <v>61.49</v>
      </c>
    </row>
    <row r="1367" spans="10:16">
      <c r="J1367" s="5" t="s">
        <v>2669</v>
      </c>
      <c r="K1367" t="s">
        <v>2670</v>
      </c>
      <c r="L1367" t="s">
        <v>128</v>
      </c>
      <c r="M1367" t="s">
        <v>125</v>
      </c>
      <c r="N1367" s="2">
        <v>10.247999999999999</v>
      </c>
      <c r="O1367" s="1">
        <v>12</v>
      </c>
      <c r="P1367" s="2">
        <v>61.488</v>
      </c>
    </row>
    <row r="1368" spans="10:16">
      <c r="J1368" s="5" t="s">
        <v>1069</v>
      </c>
      <c r="K1368" t="s">
        <v>1070</v>
      </c>
      <c r="L1368" t="s">
        <v>141</v>
      </c>
      <c r="M1368" t="s">
        <v>125</v>
      </c>
      <c r="N1368" s="2">
        <v>61.295000000000002</v>
      </c>
      <c r="O1368" s="1">
        <v>1</v>
      </c>
      <c r="P1368" s="2">
        <v>61.295000000000002</v>
      </c>
    </row>
    <row r="1369" spans="10:16">
      <c r="J1369" s="5" t="s">
        <v>3990</v>
      </c>
      <c r="K1369" t="s">
        <v>3991</v>
      </c>
      <c r="L1369" t="s">
        <v>98</v>
      </c>
      <c r="M1369" t="s">
        <v>86</v>
      </c>
      <c r="N1369" s="2">
        <v>6.1205999999999996</v>
      </c>
      <c r="O1369" s="1">
        <v>10</v>
      </c>
      <c r="P1369" s="2">
        <v>61.205999999999996</v>
      </c>
    </row>
    <row r="1370" spans="10:16">
      <c r="J1370" s="5" t="s">
        <v>1404</v>
      </c>
      <c r="K1370" t="s">
        <v>1405</v>
      </c>
      <c r="L1370" t="s">
        <v>115</v>
      </c>
      <c r="M1370" t="s">
        <v>102</v>
      </c>
      <c r="N1370" s="2">
        <v>0.151</v>
      </c>
      <c r="O1370" s="1">
        <v>405</v>
      </c>
      <c r="P1370" s="2">
        <v>61.155000000000001</v>
      </c>
    </row>
    <row r="1371" spans="10:16">
      <c r="J1371" s="5" t="s">
        <v>328</v>
      </c>
      <c r="K1371" t="s">
        <v>329</v>
      </c>
      <c r="L1371" t="s">
        <v>98</v>
      </c>
      <c r="M1371" t="s">
        <v>86</v>
      </c>
      <c r="N1371" s="2">
        <v>6.1059999999999999</v>
      </c>
      <c r="O1371" s="1">
        <v>10</v>
      </c>
      <c r="P1371" s="2">
        <v>61.06</v>
      </c>
    </row>
    <row r="1372" spans="10:16">
      <c r="J1372" s="5" t="s">
        <v>2197</v>
      </c>
      <c r="K1372" t="s">
        <v>2198</v>
      </c>
      <c r="L1372" t="s">
        <v>85</v>
      </c>
      <c r="M1372" t="s">
        <v>86</v>
      </c>
      <c r="N1372" s="2">
        <v>6.7633999999999999</v>
      </c>
      <c r="O1372" s="1">
        <v>18</v>
      </c>
      <c r="P1372" s="2">
        <v>60.870599999999996</v>
      </c>
    </row>
    <row r="1373" spans="10:16">
      <c r="J1373" s="5" t="s">
        <v>3687</v>
      </c>
      <c r="K1373" t="s">
        <v>3688</v>
      </c>
      <c r="L1373" t="s">
        <v>219</v>
      </c>
      <c r="M1373" t="s">
        <v>86</v>
      </c>
      <c r="N1373" s="2">
        <v>30.4</v>
      </c>
      <c r="O1373" s="1">
        <v>2</v>
      </c>
      <c r="P1373" s="2">
        <v>60.8</v>
      </c>
    </row>
    <row r="1374" spans="10:16">
      <c r="J1374" s="5" t="s">
        <v>1583</v>
      </c>
      <c r="K1374" t="s">
        <v>1584</v>
      </c>
      <c r="L1374" t="s">
        <v>115</v>
      </c>
      <c r="M1374" t="s">
        <v>102</v>
      </c>
      <c r="N1374" s="2">
        <v>0.10199999999999999</v>
      </c>
      <c r="O1374" s="1">
        <v>594</v>
      </c>
      <c r="P1374" s="2">
        <v>60.587999999999994</v>
      </c>
    </row>
    <row r="1375" spans="10:16">
      <c r="J1375" s="5" t="s">
        <v>3494</v>
      </c>
      <c r="K1375" t="s">
        <v>3495</v>
      </c>
      <c r="L1375" t="s">
        <v>85</v>
      </c>
      <c r="M1375" t="s">
        <v>86</v>
      </c>
      <c r="N1375" s="2">
        <v>1.0972</v>
      </c>
      <c r="O1375" s="1">
        <v>55</v>
      </c>
      <c r="P1375" s="2">
        <v>60.345999999999997</v>
      </c>
    </row>
    <row r="1376" spans="10:16">
      <c r="J1376" s="5" t="s">
        <v>2926</v>
      </c>
      <c r="K1376" t="s">
        <v>2927</v>
      </c>
      <c r="L1376" t="s">
        <v>98</v>
      </c>
      <c r="M1376" t="s">
        <v>86</v>
      </c>
      <c r="N1376" s="2">
        <v>15.083</v>
      </c>
      <c r="O1376" s="1">
        <v>4</v>
      </c>
      <c r="P1376" s="2">
        <v>60.332000000000001</v>
      </c>
    </row>
    <row r="1377" spans="10:16">
      <c r="J1377" s="5" t="s">
        <v>4177</v>
      </c>
      <c r="K1377" t="s">
        <v>4178</v>
      </c>
      <c r="L1377" t="s">
        <v>85</v>
      </c>
      <c r="M1377" t="s">
        <v>86</v>
      </c>
      <c r="N1377" s="2">
        <v>30.1096</v>
      </c>
      <c r="O1377" s="1">
        <v>2</v>
      </c>
      <c r="P1377" s="2">
        <v>60.219200000000001</v>
      </c>
    </row>
    <row r="1378" spans="10:16">
      <c r="J1378" s="5" t="s">
        <v>2525</v>
      </c>
      <c r="K1378" t="s">
        <v>2526</v>
      </c>
      <c r="L1378" t="s">
        <v>85</v>
      </c>
      <c r="M1378" t="s">
        <v>86</v>
      </c>
      <c r="N1378" s="2">
        <v>60.06</v>
      </c>
      <c r="O1378" s="1">
        <v>1</v>
      </c>
      <c r="P1378" s="2">
        <v>60.06</v>
      </c>
    </row>
    <row r="1379" spans="10:16">
      <c r="J1379" s="5" t="s">
        <v>1148</v>
      </c>
      <c r="K1379" t="s">
        <v>1149</v>
      </c>
      <c r="L1379" t="s">
        <v>31</v>
      </c>
      <c r="M1379" t="s">
        <v>1931</v>
      </c>
      <c r="N1379" s="2">
        <v>60</v>
      </c>
      <c r="O1379" s="1">
        <v>1</v>
      </c>
      <c r="P1379" s="2">
        <v>60</v>
      </c>
    </row>
    <row r="1380" spans="10:16">
      <c r="J1380" s="5" t="s">
        <v>4841</v>
      </c>
      <c r="K1380" t="s">
        <v>4842</v>
      </c>
      <c r="L1380" t="s">
        <v>85</v>
      </c>
      <c r="M1380" t="s">
        <v>86</v>
      </c>
      <c r="N1380" s="2">
        <v>2.4</v>
      </c>
      <c r="O1380" s="1">
        <v>25</v>
      </c>
      <c r="P1380" s="2">
        <v>60</v>
      </c>
    </row>
    <row r="1381" spans="10:16">
      <c r="J1381" s="5" t="s">
        <v>984</v>
      </c>
      <c r="K1381" t="s">
        <v>985</v>
      </c>
      <c r="L1381" t="s">
        <v>944</v>
      </c>
      <c r="M1381" t="s">
        <v>125</v>
      </c>
      <c r="N1381" s="2">
        <v>10</v>
      </c>
      <c r="O1381" s="1">
        <v>6</v>
      </c>
      <c r="P1381" s="2">
        <v>60</v>
      </c>
    </row>
    <row r="1382" spans="10:16">
      <c r="J1382" s="5" t="s">
        <v>3999</v>
      </c>
      <c r="K1382" t="s">
        <v>4000</v>
      </c>
      <c r="L1382" t="s">
        <v>98</v>
      </c>
      <c r="M1382" t="s">
        <v>86</v>
      </c>
      <c r="N1382" s="2">
        <v>8.5626999999999995</v>
      </c>
      <c r="O1382" s="1">
        <v>7</v>
      </c>
      <c r="P1382" s="2">
        <v>59.938899999999997</v>
      </c>
    </row>
    <row r="1383" spans="10:16">
      <c r="J1383" s="5" t="s">
        <v>459</v>
      </c>
      <c r="K1383" t="s">
        <v>460</v>
      </c>
      <c r="L1383" t="s">
        <v>85</v>
      </c>
      <c r="M1383" t="s">
        <v>86</v>
      </c>
      <c r="N1383" s="2">
        <v>7.4886999999999997</v>
      </c>
      <c r="O1383" s="1">
        <v>8</v>
      </c>
      <c r="P1383" s="2">
        <v>59.909599999999998</v>
      </c>
    </row>
    <row r="1384" spans="10:16">
      <c r="J1384" s="5" t="s">
        <v>4385</v>
      </c>
      <c r="K1384" t="s">
        <v>4386</v>
      </c>
      <c r="L1384" t="s">
        <v>85</v>
      </c>
      <c r="M1384" t="s">
        <v>86</v>
      </c>
      <c r="N1384" s="2">
        <v>1.2990999999999999</v>
      </c>
      <c r="O1384" s="1">
        <v>46</v>
      </c>
      <c r="P1384" s="2">
        <v>59.758599999999994</v>
      </c>
    </row>
    <row r="1385" spans="10:16">
      <c r="J1385" s="5" t="s">
        <v>799</v>
      </c>
      <c r="K1385" t="s">
        <v>800</v>
      </c>
      <c r="L1385" t="s">
        <v>580</v>
      </c>
      <c r="M1385" t="s">
        <v>619</v>
      </c>
      <c r="N1385" s="2">
        <v>2.5693999999999999</v>
      </c>
      <c r="O1385" s="1">
        <v>23</v>
      </c>
      <c r="P1385" s="2">
        <v>59.096199999999996</v>
      </c>
    </row>
    <row r="1386" spans="10:16">
      <c r="J1386" s="5" t="s">
        <v>2272</v>
      </c>
      <c r="K1386" t="s">
        <v>2273</v>
      </c>
      <c r="L1386" t="s">
        <v>85</v>
      </c>
      <c r="M1386" t="s">
        <v>86</v>
      </c>
      <c r="N1386" s="2">
        <v>14.7736</v>
      </c>
      <c r="O1386" s="1">
        <v>8</v>
      </c>
      <c r="P1386" s="2">
        <v>59.0944</v>
      </c>
    </row>
    <row r="1387" spans="10:16">
      <c r="J1387" s="5" t="s">
        <v>493</v>
      </c>
      <c r="K1387" t="s">
        <v>494</v>
      </c>
      <c r="L1387" t="s">
        <v>85</v>
      </c>
      <c r="M1387" t="s">
        <v>86</v>
      </c>
      <c r="N1387" s="2">
        <v>29.53</v>
      </c>
      <c r="O1387" s="1">
        <v>2</v>
      </c>
      <c r="P1387" s="2">
        <v>59.06</v>
      </c>
    </row>
    <row r="1388" spans="10:16">
      <c r="J1388" s="5" t="s">
        <v>4927</v>
      </c>
      <c r="K1388" t="s">
        <v>4928</v>
      </c>
      <c r="L1388" t="s">
        <v>85</v>
      </c>
      <c r="M1388" t="s">
        <v>86</v>
      </c>
      <c r="N1388" s="2">
        <v>5.3624000000000001</v>
      </c>
      <c r="O1388" s="1">
        <v>22</v>
      </c>
      <c r="P1388" s="2">
        <v>58.986400000000003</v>
      </c>
    </row>
    <row r="1389" spans="10:16">
      <c r="J1389" s="5" t="s">
        <v>2172</v>
      </c>
      <c r="K1389" t="s">
        <v>2173</v>
      </c>
      <c r="L1389" t="s">
        <v>85</v>
      </c>
      <c r="M1389" t="s">
        <v>86</v>
      </c>
      <c r="N1389" s="2">
        <v>0.9304</v>
      </c>
      <c r="O1389" s="1">
        <v>126</v>
      </c>
      <c r="P1389" s="2">
        <v>58.615200000000002</v>
      </c>
    </row>
    <row r="1390" spans="10:16">
      <c r="J1390" s="5" t="s">
        <v>4467</v>
      </c>
      <c r="K1390" t="s">
        <v>4468</v>
      </c>
      <c r="L1390" t="s">
        <v>85</v>
      </c>
      <c r="M1390" t="s">
        <v>86</v>
      </c>
      <c r="N1390" s="2">
        <v>6.47</v>
      </c>
      <c r="O1390" s="1">
        <v>9</v>
      </c>
      <c r="P1390" s="2">
        <v>58.23</v>
      </c>
    </row>
    <row r="1391" spans="10:16">
      <c r="J1391" s="5" t="s">
        <v>4562</v>
      </c>
      <c r="K1391" t="s">
        <v>4563</v>
      </c>
      <c r="L1391" t="s">
        <v>85</v>
      </c>
      <c r="M1391" t="s">
        <v>86</v>
      </c>
      <c r="N1391" s="2">
        <v>9.6856000000000009</v>
      </c>
      <c r="O1391" s="1">
        <v>6</v>
      </c>
      <c r="P1391" s="2">
        <v>58.113600000000005</v>
      </c>
    </row>
    <row r="1392" spans="10:16">
      <c r="J1392" s="5" t="s">
        <v>2128</v>
      </c>
      <c r="K1392" t="s">
        <v>4283</v>
      </c>
      <c r="L1392" t="s">
        <v>85</v>
      </c>
      <c r="M1392" t="s">
        <v>86</v>
      </c>
      <c r="N1392" s="2">
        <v>6.4424000000000001</v>
      </c>
      <c r="O1392" s="1">
        <v>18</v>
      </c>
      <c r="P1392" s="2">
        <v>57.9816</v>
      </c>
    </row>
    <row r="1393" spans="10:16">
      <c r="J1393" s="5" t="s">
        <v>3694</v>
      </c>
      <c r="K1393" t="s">
        <v>3695</v>
      </c>
      <c r="L1393" t="s">
        <v>85</v>
      </c>
      <c r="M1393" t="s">
        <v>86</v>
      </c>
      <c r="N1393" s="2">
        <v>28.984999999999999</v>
      </c>
      <c r="O1393" s="1">
        <v>2</v>
      </c>
      <c r="P1393" s="2">
        <v>57.97</v>
      </c>
    </row>
    <row r="1394" spans="10:16">
      <c r="J1394" s="5" t="s">
        <v>3090</v>
      </c>
      <c r="K1394" t="s">
        <v>4711</v>
      </c>
      <c r="L1394" t="s">
        <v>219</v>
      </c>
      <c r="M1394" t="s">
        <v>86</v>
      </c>
      <c r="N1394" s="2">
        <v>28.93</v>
      </c>
      <c r="O1394" s="1">
        <v>2</v>
      </c>
      <c r="P1394" s="2">
        <v>57.86</v>
      </c>
    </row>
    <row r="1395" spans="10:16">
      <c r="J1395" s="5" t="s">
        <v>5073</v>
      </c>
      <c r="K1395" t="s">
        <v>5074</v>
      </c>
      <c r="L1395" t="s">
        <v>3304</v>
      </c>
      <c r="M1395" t="s">
        <v>1931</v>
      </c>
      <c r="N1395" s="2">
        <v>28.92</v>
      </c>
      <c r="O1395" s="1">
        <v>2</v>
      </c>
      <c r="P1395" s="2">
        <v>57.84</v>
      </c>
    </row>
    <row r="1396" spans="10:16">
      <c r="J1396" s="5" t="s">
        <v>5071</v>
      </c>
      <c r="K1396" t="s">
        <v>5072</v>
      </c>
      <c r="L1396" t="s">
        <v>3304</v>
      </c>
      <c r="M1396" t="s">
        <v>1931</v>
      </c>
      <c r="N1396" s="2">
        <v>28.92</v>
      </c>
      <c r="O1396" s="1">
        <v>2</v>
      </c>
      <c r="P1396" s="2">
        <v>57.84</v>
      </c>
    </row>
    <row r="1397" spans="10:16">
      <c r="J1397" s="5" t="s">
        <v>3732</v>
      </c>
      <c r="K1397" t="s">
        <v>3733</v>
      </c>
      <c r="L1397" t="s">
        <v>219</v>
      </c>
      <c r="M1397" t="s">
        <v>86</v>
      </c>
      <c r="N1397" s="2">
        <v>57.62</v>
      </c>
      <c r="O1397" s="1">
        <v>1</v>
      </c>
      <c r="P1397" s="2">
        <v>57.62</v>
      </c>
    </row>
    <row r="1398" spans="10:16">
      <c r="J1398" s="5" t="s">
        <v>3186</v>
      </c>
      <c r="K1398" t="s">
        <v>3187</v>
      </c>
      <c r="L1398" t="s">
        <v>128</v>
      </c>
      <c r="M1398" t="s">
        <v>125</v>
      </c>
      <c r="N1398" s="2">
        <v>19.172999999999998</v>
      </c>
      <c r="O1398" s="1">
        <v>3</v>
      </c>
      <c r="P1398" s="2">
        <v>57.518999999999991</v>
      </c>
    </row>
    <row r="1399" spans="10:16">
      <c r="J1399" s="5" t="s">
        <v>2219</v>
      </c>
      <c r="K1399" t="s">
        <v>2220</v>
      </c>
      <c r="L1399" t="s">
        <v>85</v>
      </c>
      <c r="M1399" t="s">
        <v>86</v>
      </c>
      <c r="N1399" s="2">
        <v>28.734999999999999</v>
      </c>
      <c r="O1399" s="1">
        <v>2</v>
      </c>
      <c r="P1399" s="2">
        <v>57.47</v>
      </c>
    </row>
    <row r="1400" spans="10:16">
      <c r="J1400" s="5" t="s">
        <v>4863</v>
      </c>
      <c r="K1400" t="s">
        <v>4864</v>
      </c>
      <c r="L1400" t="s">
        <v>85</v>
      </c>
      <c r="M1400" t="s">
        <v>86</v>
      </c>
      <c r="N1400" s="2">
        <v>3.0213999999999999</v>
      </c>
      <c r="O1400" s="1">
        <v>19</v>
      </c>
      <c r="P1400" s="2">
        <v>57.406599999999997</v>
      </c>
    </row>
    <row r="1401" spans="10:16">
      <c r="J1401" s="5" t="s">
        <v>2849</v>
      </c>
      <c r="K1401" t="s">
        <v>2850</v>
      </c>
      <c r="L1401" t="s">
        <v>85</v>
      </c>
      <c r="M1401" t="s">
        <v>86</v>
      </c>
      <c r="N1401" s="2">
        <v>3.0179999999999998</v>
      </c>
      <c r="O1401" s="1">
        <v>19</v>
      </c>
      <c r="P1401" s="2">
        <v>57.341999999999999</v>
      </c>
    </row>
    <row r="1402" spans="10:16">
      <c r="J1402" s="5" t="s">
        <v>4387</v>
      </c>
      <c r="K1402" t="s">
        <v>4388</v>
      </c>
      <c r="L1402" t="s">
        <v>85</v>
      </c>
      <c r="M1402" t="s">
        <v>86</v>
      </c>
      <c r="N1402" s="2">
        <v>2.2052</v>
      </c>
      <c r="O1402" s="1">
        <v>52</v>
      </c>
      <c r="P1402" s="2">
        <v>57.3352</v>
      </c>
    </row>
    <row r="1403" spans="10:16">
      <c r="J1403" s="5" t="s">
        <v>4822</v>
      </c>
      <c r="K1403" t="s">
        <v>4823</v>
      </c>
      <c r="L1403" t="s">
        <v>85</v>
      </c>
      <c r="M1403" t="s">
        <v>86</v>
      </c>
      <c r="N1403" s="2">
        <v>2.6059000000000001</v>
      </c>
      <c r="O1403" s="1">
        <v>22</v>
      </c>
      <c r="P1403" s="2">
        <v>57.329800000000006</v>
      </c>
    </row>
    <row r="1404" spans="10:16">
      <c r="J1404" s="5" t="s">
        <v>2760</v>
      </c>
      <c r="K1404" t="s">
        <v>2761</v>
      </c>
      <c r="L1404" t="s">
        <v>85</v>
      </c>
      <c r="M1404" t="s">
        <v>86</v>
      </c>
      <c r="N1404" s="2">
        <v>4.7637</v>
      </c>
      <c r="O1404" s="1">
        <v>12</v>
      </c>
      <c r="P1404" s="2">
        <v>57.164400000000001</v>
      </c>
    </row>
    <row r="1405" spans="10:16">
      <c r="J1405" s="5" t="s">
        <v>4145</v>
      </c>
      <c r="K1405" t="s">
        <v>4146</v>
      </c>
      <c r="L1405" t="s">
        <v>85</v>
      </c>
      <c r="M1405" t="s">
        <v>86</v>
      </c>
      <c r="N1405" s="2">
        <v>14.2796</v>
      </c>
      <c r="O1405" s="1">
        <v>4</v>
      </c>
      <c r="P1405" s="2">
        <v>57.118400000000001</v>
      </c>
    </row>
    <row r="1406" spans="10:16">
      <c r="J1406" s="5" t="s">
        <v>1467</v>
      </c>
      <c r="K1406" t="s">
        <v>1468</v>
      </c>
      <c r="L1406" t="s">
        <v>115</v>
      </c>
      <c r="M1406" t="s">
        <v>102</v>
      </c>
      <c r="N1406" s="2">
        <v>0.12889999999999999</v>
      </c>
      <c r="O1406" s="1">
        <v>443</v>
      </c>
      <c r="P1406" s="2">
        <v>57.102699999999992</v>
      </c>
    </row>
    <row r="1407" spans="10:16">
      <c r="J1407" s="5" t="s">
        <v>304</v>
      </c>
      <c r="K1407" t="s">
        <v>3996</v>
      </c>
      <c r="L1407" t="s">
        <v>98</v>
      </c>
      <c r="M1407" t="s">
        <v>86</v>
      </c>
      <c r="N1407" s="2">
        <v>4.0751999999999997</v>
      </c>
      <c r="O1407" s="1">
        <v>28</v>
      </c>
      <c r="P1407" s="2">
        <v>57.052799999999998</v>
      </c>
    </row>
    <row r="1408" spans="10:16">
      <c r="J1408" s="5" t="s">
        <v>590</v>
      </c>
      <c r="K1408" t="s">
        <v>591</v>
      </c>
      <c r="L1408" t="s">
        <v>5064</v>
      </c>
      <c r="M1408" t="s">
        <v>1931</v>
      </c>
      <c r="N1408" s="2">
        <v>57</v>
      </c>
      <c r="O1408" s="1">
        <v>1</v>
      </c>
      <c r="P1408" s="2">
        <v>57</v>
      </c>
    </row>
    <row r="1409" spans="10:16">
      <c r="J1409" s="5" t="s">
        <v>1529</v>
      </c>
      <c r="K1409" t="s">
        <v>1530</v>
      </c>
      <c r="L1409" t="s">
        <v>115</v>
      </c>
      <c r="M1409" t="s">
        <v>102</v>
      </c>
      <c r="N1409" s="2">
        <v>0.114</v>
      </c>
      <c r="O1409" s="1">
        <v>500</v>
      </c>
      <c r="P1409" s="2">
        <v>57</v>
      </c>
    </row>
    <row r="1410" spans="10:16">
      <c r="J1410" s="5" t="s">
        <v>1339</v>
      </c>
      <c r="K1410" t="s">
        <v>1340</v>
      </c>
      <c r="L1410" t="s">
        <v>115</v>
      </c>
      <c r="M1410" t="s">
        <v>102</v>
      </c>
      <c r="N1410" s="2">
        <v>7.4700000000000003E-2</v>
      </c>
      <c r="O1410" s="1">
        <v>763</v>
      </c>
      <c r="P1410" s="2">
        <v>56.996099999999998</v>
      </c>
    </row>
    <row r="1411" spans="10:16">
      <c r="J1411" s="5" t="s">
        <v>4014</v>
      </c>
      <c r="K1411" t="s">
        <v>4015</v>
      </c>
      <c r="L1411" t="s">
        <v>98</v>
      </c>
      <c r="M1411" t="s">
        <v>86</v>
      </c>
      <c r="N1411" s="2">
        <v>14.241199999999999</v>
      </c>
      <c r="O1411" s="1">
        <v>4</v>
      </c>
      <c r="P1411" s="2">
        <v>56.964799999999997</v>
      </c>
    </row>
    <row r="1412" spans="10:16">
      <c r="J1412" s="5" t="s">
        <v>5412</v>
      </c>
      <c r="K1412" t="s">
        <v>5413</v>
      </c>
      <c r="L1412" t="s">
        <v>85</v>
      </c>
      <c r="M1412" t="s">
        <v>86</v>
      </c>
      <c r="N1412" s="2">
        <v>3.5598000000000001</v>
      </c>
      <c r="O1412" s="1">
        <v>32</v>
      </c>
      <c r="P1412" s="2">
        <v>56.956800000000001</v>
      </c>
    </row>
    <row r="1413" spans="10:16">
      <c r="J1413" s="5" t="s">
        <v>3945</v>
      </c>
      <c r="K1413" t="s">
        <v>3946</v>
      </c>
      <c r="L1413" t="s">
        <v>436</v>
      </c>
      <c r="M1413" t="s">
        <v>86</v>
      </c>
      <c r="N1413" s="2">
        <v>28.41</v>
      </c>
      <c r="O1413" s="1">
        <v>2</v>
      </c>
      <c r="P1413" s="2">
        <v>56.82</v>
      </c>
    </row>
    <row r="1414" spans="10:16">
      <c r="J1414" s="5" t="s">
        <v>3439</v>
      </c>
      <c r="K1414" t="s">
        <v>3440</v>
      </c>
      <c r="L1414" t="s">
        <v>618</v>
      </c>
      <c r="M1414" t="s">
        <v>626</v>
      </c>
      <c r="N1414" s="2">
        <v>3.34</v>
      </c>
      <c r="O1414" s="1">
        <v>17</v>
      </c>
      <c r="P1414" s="2">
        <v>56.78</v>
      </c>
    </row>
    <row r="1415" spans="10:16">
      <c r="J1415" s="5" t="s">
        <v>875</v>
      </c>
      <c r="K1415" t="s">
        <v>876</v>
      </c>
      <c r="L1415" t="s">
        <v>944</v>
      </c>
      <c r="M1415" t="s">
        <v>125</v>
      </c>
      <c r="N1415" s="2">
        <v>8.0801999999999996</v>
      </c>
      <c r="O1415" s="1">
        <v>14</v>
      </c>
      <c r="P1415" s="2">
        <v>56.561399999999999</v>
      </c>
    </row>
    <row r="1416" spans="10:16">
      <c r="J1416" s="5" t="s">
        <v>4929</v>
      </c>
      <c r="K1416" t="s">
        <v>4930</v>
      </c>
      <c r="L1416" t="s">
        <v>219</v>
      </c>
      <c r="M1416" t="s">
        <v>86</v>
      </c>
      <c r="N1416" s="2">
        <v>1.8158000000000001</v>
      </c>
      <c r="O1416" s="1">
        <v>62</v>
      </c>
      <c r="P1416" s="2">
        <v>56.2898</v>
      </c>
    </row>
    <row r="1417" spans="10:16">
      <c r="J1417" s="5" t="s">
        <v>2385</v>
      </c>
      <c r="K1417" t="s">
        <v>2386</v>
      </c>
      <c r="L1417" t="s">
        <v>85</v>
      </c>
      <c r="M1417" t="s">
        <v>86</v>
      </c>
      <c r="N1417" s="2">
        <v>5.6246</v>
      </c>
      <c r="O1417" s="1">
        <v>20</v>
      </c>
      <c r="P1417" s="2">
        <v>56.246000000000002</v>
      </c>
    </row>
    <row r="1418" spans="10:16">
      <c r="J1418" s="5" t="s">
        <v>1331</v>
      </c>
      <c r="K1418" t="s">
        <v>1332</v>
      </c>
      <c r="L1418" t="s">
        <v>115</v>
      </c>
      <c r="M1418" t="s">
        <v>102</v>
      </c>
      <c r="N1418" s="2">
        <v>6.2700000000000006E-2</v>
      </c>
      <c r="O1418" s="1">
        <v>897</v>
      </c>
      <c r="P1418" s="2">
        <v>56.241900000000008</v>
      </c>
    </row>
    <row r="1419" spans="10:16">
      <c r="J1419" s="5" t="s">
        <v>4698</v>
      </c>
      <c r="K1419" t="s">
        <v>4699</v>
      </c>
      <c r="L1419" t="s">
        <v>219</v>
      </c>
      <c r="M1419" t="s">
        <v>86</v>
      </c>
      <c r="N1419" s="2">
        <v>28.08</v>
      </c>
      <c r="O1419" s="1">
        <v>2</v>
      </c>
      <c r="P1419" s="2">
        <v>56.16</v>
      </c>
    </row>
    <row r="1420" spans="10:16">
      <c r="J1420" s="5" t="s">
        <v>1725</v>
      </c>
      <c r="K1420" t="s">
        <v>1726</v>
      </c>
      <c r="L1420" t="s">
        <v>115</v>
      </c>
      <c r="M1420" t="s">
        <v>102</v>
      </c>
      <c r="N1420" s="2">
        <v>0.1</v>
      </c>
      <c r="O1420" s="1">
        <v>561</v>
      </c>
      <c r="P1420" s="2">
        <v>56.1</v>
      </c>
    </row>
    <row r="1421" spans="10:16">
      <c r="J1421" s="5" t="s">
        <v>4450</v>
      </c>
      <c r="K1421" t="s">
        <v>4451</v>
      </c>
      <c r="L1421" t="s">
        <v>85</v>
      </c>
      <c r="M1421" t="s">
        <v>86</v>
      </c>
      <c r="N1421" s="2">
        <v>2.8031999999999999</v>
      </c>
      <c r="O1421" s="1">
        <v>40</v>
      </c>
      <c r="P1421" s="2">
        <v>56.064</v>
      </c>
    </row>
    <row r="1422" spans="10:16">
      <c r="J1422" s="5" t="s">
        <v>3978</v>
      </c>
      <c r="K1422" t="s">
        <v>3979</v>
      </c>
      <c r="L1422" t="s">
        <v>85</v>
      </c>
      <c r="M1422" t="s">
        <v>86</v>
      </c>
      <c r="N1422" s="2">
        <v>1.2172000000000001</v>
      </c>
      <c r="O1422" s="1">
        <v>46</v>
      </c>
      <c r="P1422" s="2">
        <v>55.991200000000006</v>
      </c>
    </row>
    <row r="1423" spans="10:16">
      <c r="J1423" s="5" t="s">
        <v>4460</v>
      </c>
      <c r="K1423" t="s">
        <v>4461</v>
      </c>
      <c r="L1423" t="s">
        <v>219</v>
      </c>
      <c r="M1423" t="s">
        <v>86</v>
      </c>
      <c r="N1423" s="2">
        <v>11.188000000000001</v>
      </c>
      <c r="O1423" s="1">
        <v>5</v>
      </c>
      <c r="P1423" s="2">
        <v>55.940000000000005</v>
      </c>
    </row>
    <row r="1424" spans="10:16">
      <c r="J1424" s="5" t="s">
        <v>4757</v>
      </c>
      <c r="K1424" t="s">
        <v>3254</v>
      </c>
      <c r="L1424" t="s">
        <v>219</v>
      </c>
      <c r="M1424" t="s">
        <v>86</v>
      </c>
      <c r="N1424" s="2">
        <v>27.934999999999999</v>
      </c>
      <c r="O1424" s="1">
        <v>2</v>
      </c>
      <c r="P1424" s="2">
        <v>55.87</v>
      </c>
    </row>
    <row r="1425" spans="10:16">
      <c r="J1425" s="5" t="s">
        <v>4695</v>
      </c>
      <c r="K1425" t="s">
        <v>3085</v>
      </c>
      <c r="L1425" t="s">
        <v>219</v>
      </c>
      <c r="M1425" t="s">
        <v>86</v>
      </c>
      <c r="N1425" s="2">
        <v>18.59</v>
      </c>
      <c r="O1425" s="1">
        <v>3</v>
      </c>
      <c r="P1425" s="2">
        <v>55.769999999999996</v>
      </c>
    </row>
    <row r="1426" spans="10:16">
      <c r="J1426" s="5" t="s">
        <v>338</v>
      </c>
      <c r="K1426" t="s">
        <v>339</v>
      </c>
      <c r="L1426" t="s">
        <v>98</v>
      </c>
      <c r="M1426" t="s">
        <v>86</v>
      </c>
      <c r="N1426" s="2">
        <v>5.5639000000000003</v>
      </c>
      <c r="O1426" s="1">
        <v>10</v>
      </c>
      <c r="P1426" s="2">
        <v>55.639000000000003</v>
      </c>
    </row>
    <row r="1427" spans="10:16">
      <c r="J1427" s="5" t="s">
        <v>1658</v>
      </c>
      <c r="K1427" t="s">
        <v>1659</v>
      </c>
      <c r="L1427" t="s">
        <v>101</v>
      </c>
      <c r="M1427" t="s">
        <v>619</v>
      </c>
      <c r="N1427" s="2">
        <v>4752.1844000000001</v>
      </c>
      <c r="O1427" s="1">
        <v>2.3400000000000001E-2</v>
      </c>
      <c r="P1427" s="2">
        <v>55.600557480000006</v>
      </c>
    </row>
    <row r="1428" spans="10:16">
      <c r="J1428" s="5" t="s">
        <v>924</v>
      </c>
      <c r="K1428" t="s">
        <v>925</v>
      </c>
      <c r="L1428" t="s">
        <v>31</v>
      </c>
      <c r="M1428" t="s">
        <v>125</v>
      </c>
      <c r="N1428" s="2">
        <v>3.948</v>
      </c>
      <c r="O1428" s="1">
        <v>14</v>
      </c>
      <c r="P1428" s="2">
        <v>55.271999999999998</v>
      </c>
    </row>
    <row r="1429" spans="10:16">
      <c r="J1429" s="5" t="s">
        <v>3663</v>
      </c>
      <c r="K1429" t="s">
        <v>3664</v>
      </c>
      <c r="L1429" t="s">
        <v>436</v>
      </c>
      <c r="M1429" t="s">
        <v>86</v>
      </c>
      <c r="N1429" s="2">
        <v>3.9474</v>
      </c>
      <c r="O1429" s="1">
        <v>28</v>
      </c>
      <c r="P1429" s="2">
        <v>55.263599999999997</v>
      </c>
    </row>
    <row r="1430" spans="10:16">
      <c r="J1430" s="5" t="s">
        <v>1835</v>
      </c>
      <c r="K1430" t="s">
        <v>1836</v>
      </c>
      <c r="L1430" t="s">
        <v>2574</v>
      </c>
      <c r="M1430" t="s">
        <v>125</v>
      </c>
      <c r="N1430" s="2">
        <v>18.420999999999999</v>
      </c>
      <c r="O1430" s="1">
        <v>6</v>
      </c>
      <c r="P1430" s="2">
        <v>55.262999999999998</v>
      </c>
    </row>
    <row r="1431" spans="10:16">
      <c r="J1431" s="5" t="s">
        <v>3409</v>
      </c>
      <c r="K1431" t="s">
        <v>3410</v>
      </c>
      <c r="L1431" t="s">
        <v>3411</v>
      </c>
      <c r="M1431" t="s">
        <v>125</v>
      </c>
      <c r="N1431" s="2">
        <v>55.221800000000002</v>
      </c>
      <c r="O1431" s="1">
        <v>2</v>
      </c>
      <c r="P1431" s="2">
        <v>55.221800000000002</v>
      </c>
    </row>
    <row r="1432" spans="10:16">
      <c r="J1432" s="5" t="s">
        <v>441</v>
      </c>
      <c r="K1432" t="s">
        <v>442</v>
      </c>
      <c r="L1432" t="s">
        <v>85</v>
      </c>
      <c r="M1432" t="s">
        <v>86</v>
      </c>
      <c r="N1432" s="2">
        <v>55.043999999999997</v>
      </c>
      <c r="O1432" s="1">
        <v>1</v>
      </c>
      <c r="P1432" s="2">
        <v>55.043999999999997</v>
      </c>
    </row>
    <row r="1433" spans="10:16">
      <c r="J1433" s="5" t="s">
        <v>4570</v>
      </c>
      <c r="K1433" t="s">
        <v>4571</v>
      </c>
      <c r="L1433" t="s">
        <v>85</v>
      </c>
      <c r="M1433" t="s">
        <v>86</v>
      </c>
      <c r="N1433" s="2">
        <v>7.8612000000000002</v>
      </c>
      <c r="O1433" s="1">
        <v>14</v>
      </c>
      <c r="P1433" s="2">
        <v>55.028400000000005</v>
      </c>
    </row>
    <row r="1434" spans="10:16">
      <c r="J1434" s="5" t="s">
        <v>3607</v>
      </c>
      <c r="K1434" t="s">
        <v>3608</v>
      </c>
      <c r="L1434" t="s">
        <v>98</v>
      </c>
      <c r="M1434" t="s">
        <v>86</v>
      </c>
      <c r="N1434" s="2">
        <v>4.2300000000000004</v>
      </c>
      <c r="O1434" s="1">
        <v>13</v>
      </c>
      <c r="P1434" s="2">
        <v>54.990000000000009</v>
      </c>
    </row>
    <row r="1435" spans="10:16">
      <c r="J1435" s="5" t="s">
        <v>1380</v>
      </c>
      <c r="K1435" t="s">
        <v>1381</v>
      </c>
      <c r="L1435" t="s">
        <v>115</v>
      </c>
      <c r="M1435" t="s">
        <v>102</v>
      </c>
      <c r="N1435" s="2">
        <v>0.16900000000000001</v>
      </c>
      <c r="O1435" s="1">
        <v>325</v>
      </c>
      <c r="P1435" s="2">
        <v>54.925000000000004</v>
      </c>
    </row>
    <row r="1436" spans="10:16">
      <c r="J1436" s="5" t="s">
        <v>1608</v>
      </c>
      <c r="K1436" t="s">
        <v>1609</v>
      </c>
      <c r="L1436" t="s">
        <v>115</v>
      </c>
      <c r="M1436" t="s">
        <v>102</v>
      </c>
      <c r="N1436" s="2">
        <v>0.14000000000000001</v>
      </c>
      <c r="O1436" s="1">
        <v>392</v>
      </c>
      <c r="P1436" s="2">
        <v>54.88</v>
      </c>
    </row>
    <row r="1437" spans="10:16">
      <c r="J1437" s="5" t="s">
        <v>411</v>
      </c>
      <c r="K1437" t="s">
        <v>412</v>
      </c>
      <c r="L1437" t="s">
        <v>219</v>
      </c>
      <c r="M1437" t="s">
        <v>86</v>
      </c>
      <c r="N1437" s="2">
        <v>54.784999999999997</v>
      </c>
      <c r="O1437" s="1">
        <v>1</v>
      </c>
      <c r="P1437" s="2">
        <v>54.784999999999997</v>
      </c>
    </row>
    <row r="1438" spans="10:16">
      <c r="J1438" s="5" t="s">
        <v>307</v>
      </c>
      <c r="K1438" t="s">
        <v>4016</v>
      </c>
      <c r="L1438" t="s">
        <v>85</v>
      </c>
      <c r="M1438" t="s">
        <v>86</v>
      </c>
      <c r="N1438" s="2">
        <v>7.7706</v>
      </c>
      <c r="O1438" s="1">
        <v>14</v>
      </c>
      <c r="P1438" s="2">
        <v>54.394199999999998</v>
      </c>
    </row>
    <row r="1439" spans="10:16">
      <c r="J1439" s="5" t="s">
        <v>2071</v>
      </c>
      <c r="K1439" t="s">
        <v>2072</v>
      </c>
      <c r="L1439" t="s">
        <v>200</v>
      </c>
      <c r="M1439" t="s">
        <v>125</v>
      </c>
      <c r="N1439" s="2">
        <v>9</v>
      </c>
      <c r="O1439" s="1">
        <v>6</v>
      </c>
      <c r="P1439" s="2">
        <v>54</v>
      </c>
    </row>
    <row r="1440" spans="10:16">
      <c r="J1440" s="5" t="s">
        <v>3382</v>
      </c>
      <c r="K1440" t="s">
        <v>3383</v>
      </c>
      <c r="L1440" t="s">
        <v>141</v>
      </c>
      <c r="M1440" t="s">
        <v>125</v>
      </c>
      <c r="N1440" s="2">
        <v>53.76</v>
      </c>
      <c r="O1440" s="1">
        <v>1</v>
      </c>
      <c r="P1440" s="2">
        <v>53.76</v>
      </c>
    </row>
    <row r="1441" spans="10:16">
      <c r="J1441" s="5" t="s">
        <v>1767</v>
      </c>
      <c r="K1441" t="s">
        <v>1768</v>
      </c>
      <c r="L1441" t="s">
        <v>31</v>
      </c>
      <c r="M1441" t="s">
        <v>1931</v>
      </c>
      <c r="N1441" s="2">
        <v>53.76</v>
      </c>
      <c r="O1441" s="1">
        <v>1</v>
      </c>
      <c r="P1441" s="2">
        <v>53.76</v>
      </c>
    </row>
    <row r="1442" spans="10:16">
      <c r="J1442" s="5" t="s">
        <v>3805</v>
      </c>
      <c r="K1442" t="s">
        <v>3806</v>
      </c>
      <c r="L1442" t="s">
        <v>263</v>
      </c>
      <c r="M1442" t="s">
        <v>86</v>
      </c>
      <c r="N1442" s="2">
        <v>26.824999999999999</v>
      </c>
      <c r="O1442" s="1">
        <v>2</v>
      </c>
      <c r="P1442" s="2">
        <v>53.65</v>
      </c>
    </row>
    <row r="1443" spans="10:16">
      <c r="J1443" s="5" t="s">
        <v>2244</v>
      </c>
      <c r="K1443" t="s">
        <v>2245</v>
      </c>
      <c r="L1443" t="s">
        <v>223</v>
      </c>
      <c r="M1443" t="s">
        <v>86</v>
      </c>
      <c r="N1443" s="2">
        <v>17.875</v>
      </c>
      <c r="O1443" s="1">
        <v>3</v>
      </c>
      <c r="P1443" s="2">
        <v>53.625</v>
      </c>
    </row>
    <row r="1444" spans="10:16">
      <c r="J1444" s="5" t="s">
        <v>5077</v>
      </c>
      <c r="K1444" t="s">
        <v>5078</v>
      </c>
      <c r="L1444" t="s">
        <v>3304</v>
      </c>
      <c r="M1444" t="s">
        <v>1931</v>
      </c>
      <c r="N1444" s="2">
        <v>26.8</v>
      </c>
      <c r="O1444" s="1">
        <v>2</v>
      </c>
      <c r="P1444" s="2">
        <v>53.6</v>
      </c>
    </row>
    <row r="1445" spans="10:16">
      <c r="J1445" s="5" t="s">
        <v>4197</v>
      </c>
      <c r="K1445" t="s">
        <v>4198</v>
      </c>
      <c r="L1445" t="s">
        <v>243</v>
      </c>
      <c r="M1445" t="s">
        <v>86</v>
      </c>
      <c r="N1445" s="2">
        <v>26.795000000000002</v>
      </c>
      <c r="O1445" s="1">
        <v>2</v>
      </c>
      <c r="P1445" s="2">
        <v>53.59</v>
      </c>
    </row>
    <row r="1446" spans="10:16">
      <c r="J1446" s="5" t="s">
        <v>4849</v>
      </c>
      <c r="K1446" t="s">
        <v>4850</v>
      </c>
      <c r="L1446" t="s">
        <v>85</v>
      </c>
      <c r="M1446" t="s">
        <v>86</v>
      </c>
      <c r="N1446" s="2">
        <v>6.66</v>
      </c>
      <c r="O1446" s="1">
        <v>8</v>
      </c>
      <c r="P1446" s="2">
        <v>53.28</v>
      </c>
    </row>
    <row r="1447" spans="10:16">
      <c r="J1447" s="5" t="s">
        <v>3576</v>
      </c>
      <c r="K1447" t="s">
        <v>3577</v>
      </c>
      <c r="L1447" t="s">
        <v>219</v>
      </c>
      <c r="M1447" t="s">
        <v>86</v>
      </c>
      <c r="N1447" s="2">
        <v>2.4174000000000002</v>
      </c>
      <c r="O1447" s="1">
        <v>44</v>
      </c>
      <c r="P1447" s="2">
        <v>53.182800000000007</v>
      </c>
    </row>
    <row r="1448" spans="10:16">
      <c r="J1448" s="5" t="s">
        <v>42</v>
      </c>
      <c r="K1448" t="s">
        <v>43</v>
      </c>
      <c r="L1448" t="s">
        <v>31</v>
      </c>
      <c r="M1448" t="s">
        <v>1931</v>
      </c>
      <c r="N1448" s="2">
        <v>26.587</v>
      </c>
      <c r="O1448" s="1">
        <v>2</v>
      </c>
      <c r="P1448" s="2">
        <v>53.173999999999999</v>
      </c>
    </row>
    <row r="1449" spans="10:16">
      <c r="J1449" s="5" t="s">
        <v>4318</v>
      </c>
      <c r="K1449" t="s">
        <v>3234</v>
      </c>
      <c r="L1449" t="s">
        <v>85</v>
      </c>
      <c r="M1449" t="s">
        <v>86</v>
      </c>
      <c r="N1449" s="2">
        <v>2.306</v>
      </c>
      <c r="O1449" s="1">
        <v>23</v>
      </c>
      <c r="P1449" s="2">
        <v>53.038000000000004</v>
      </c>
    </row>
    <row r="1450" spans="10:16">
      <c r="J1450" s="5" t="s">
        <v>3017</v>
      </c>
      <c r="K1450" t="s">
        <v>3018</v>
      </c>
      <c r="L1450" t="s">
        <v>98</v>
      </c>
      <c r="M1450" t="s">
        <v>86</v>
      </c>
      <c r="N1450" s="2">
        <v>10.568</v>
      </c>
      <c r="O1450" s="1">
        <v>5</v>
      </c>
      <c r="P1450" s="2">
        <v>52.839999999999996</v>
      </c>
    </row>
    <row r="1451" spans="10:16">
      <c r="J1451" s="5" t="s">
        <v>4250</v>
      </c>
      <c r="K1451" t="s">
        <v>2309</v>
      </c>
      <c r="L1451" t="s">
        <v>219</v>
      </c>
      <c r="M1451" t="s">
        <v>86</v>
      </c>
      <c r="N1451" s="2">
        <v>26.38</v>
      </c>
      <c r="O1451" s="1">
        <v>2</v>
      </c>
      <c r="P1451" s="2">
        <v>52.76</v>
      </c>
    </row>
    <row r="1452" spans="10:16">
      <c r="J1452" s="5" t="s">
        <v>1302</v>
      </c>
      <c r="K1452" t="s">
        <v>1303</v>
      </c>
      <c r="L1452" t="s">
        <v>115</v>
      </c>
      <c r="M1452" t="s">
        <v>734</v>
      </c>
      <c r="N1452" s="2">
        <v>298.58370000000002</v>
      </c>
      <c r="O1452" s="1">
        <v>0.17630000000000001</v>
      </c>
      <c r="P1452" s="2">
        <v>52.640306310000007</v>
      </c>
    </row>
    <row r="1453" spans="10:16">
      <c r="J1453" s="5" t="s">
        <v>5144</v>
      </c>
      <c r="K1453" t="s">
        <v>5145</v>
      </c>
      <c r="L1453" t="s">
        <v>128</v>
      </c>
      <c r="M1453" t="s">
        <v>125</v>
      </c>
      <c r="N1453" s="2">
        <v>26.295000000000002</v>
      </c>
      <c r="O1453" s="1">
        <v>2</v>
      </c>
      <c r="P1453" s="2">
        <v>52.59</v>
      </c>
    </row>
    <row r="1454" spans="10:16">
      <c r="J1454" s="5" t="s">
        <v>2729</v>
      </c>
      <c r="K1454" t="s">
        <v>2730</v>
      </c>
      <c r="L1454" t="s">
        <v>219</v>
      </c>
      <c r="M1454" t="s">
        <v>86</v>
      </c>
      <c r="N1454" s="2">
        <v>5.2539999999999996</v>
      </c>
      <c r="O1454" s="1">
        <v>10</v>
      </c>
      <c r="P1454" s="2">
        <v>52.539999999999992</v>
      </c>
    </row>
    <row r="1455" spans="10:16">
      <c r="J1455" s="5" t="s">
        <v>3558</v>
      </c>
      <c r="K1455" t="s">
        <v>3559</v>
      </c>
      <c r="L1455" t="s">
        <v>436</v>
      </c>
      <c r="M1455" t="s">
        <v>86</v>
      </c>
      <c r="N1455" s="2">
        <v>26.18</v>
      </c>
      <c r="O1455" s="1">
        <v>2</v>
      </c>
      <c r="P1455" s="2">
        <v>52.36</v>
      </c>
    </row>
    <row r="1456" spans="10:16">
      <c r="J1456" s="5" t="s">
        <v>169</v>
      </c>
      <c r="K1456" t="s">
        <v>170</v>
      </c>
      <c r="L1456" t="s">
        <v>128</v>
      </c>
      <c r="M1456" t="s">
        <v>125</v>
      </c>
      <c r="N1456" s="2">
        <v>5.79</v>
      </c>
      <c r="O1456" s="1">
        <v>9</v>
      </c>
      <c r="P1456" s="2">
        <v>52.11</v>
      </c>
    </row>
    <row r="1457" spans="10:16">
      <c r="J1457" s="5" t="s">
        <v>928</v>
      </c>
      <c r="K1457" t="s">
        <v>929</v>
      </c>
      <c r="L1457" t="s">
        <v>31</v>
      </c>
      <c r="M1457" t="s">
        <v>125</v>
      </c>
      <c r="N1457" s="2">
        <v>13.007999999999999</v>
      </c>
      <c r="O1457" s="1">
        <v>4</v>
      </c>
      <c r="P1457" s="2">
        <v>52.031999999999996</v>
      </c>
    </row>
    <row r="1458" spans="10:16">
      <c r="J1458" s="5" t="s">
        <v>4522</v>
      </c>
      <c r="K1458" t="s">
        <v>4523</v>
      </c>
      <c r="L1458" t="s">
        <v>219</v>
      </c>
      <c r="M1458" t="s">
        <v>86</v>
      </c>
      <c r="N1458" s="2">
        <v>12.981</v>
      </c>
      <c r="O1458" s="1">
        <v>4</v>
      </c>
      <c r="P1458" s="2">
        <v>51.923999999999999</v>
      </c>
    </row>
    <row r="1459" spans="10:16">
      <c r="J1459" s="5" t="s">
        <v>3177</v>
      </c>
      <c r="K1459" t="s">
        <v>3178</v>
      </c>
      <c r="L1459" t="s">
        <v>141</v>
      </c>
      <c r="M1459" t="s">
        <v>125</v>
      </c>
      <c r="N1459" s="2">
        <v>0.73799999999999999</v>
      </c>
      <c r="O1459" s="1">
        <v>70</v>
      </c>
      <c r="P1459" s="2">
        <v>51.66</v>
      </c>
    </row>
    <row r="1460" spans="10:16">
      <c r="J1460" s="5" t="s">
        <v>239</v>
      </c>
      <c r="K1460" t="s">
        <v>240</v>
      </c>
      <c r="L1460" t="s">
        <v>219</v>
      </c>
      <c r="M1460" t="s">
        <v>86</v>
      </c>
      <c r="N1460" s="2">
        <v>8.5869999999999997</v>
      </c>
      <c r="O1460" s="1">
        <v>6</v>
      </c>
      <c r="P1460" s="2">
        <v>51.521999999999998</v>
      </c>
    </row>
    <row r="1461" spans="10:16">
      <c r="J1461" s="5" t="s">
        <v>2475</v>
      </c>
      <c r="K1461" t="s">
        <v>5407</v>
      </c>
      <c r="L1461" t="s">
        <v>85</v>
      </c>
      <c r="M1461" t="s">
        <v>86</v>
      </c>
      <c r="N1461" s="2">
        <v>51.442</v>
      </c>
      <c r="O1461" s="1">
        <v>1</v>
      </c>
      <c r="P1461" s="2">
        <v>51.442</v>
      </c>
    </row>
    <row r="1462" spans="10:16">
      <c r="J1462" s="5" t="s">
        <v>2973</v>
      </c>
      <c r="K1462" t="s">
        <v>2974</v>
      </c>
      <c r="L1462" t="s">
        <v>436</v>
      </c>
      <c r="M1462" t="s">
        <v>86</v>
      </c>
      <c r="N1462" s="2">
        <v>8.57</v>
      </c>
      <c r="O1462" s="1">
        <v>6</v>
      </c>
      <c r="P1462" s="2">
        <v>51.42</v>
      </c>
    </row>
    <row r="1463" spans="10:16">
      <c r="J1463" s="5" t="s">
        <v>72</v>
      </c>
      <c r="K1463" t="s">
        <v>73</v>
      </c>
      <c r="L1463" t="s">
        <v>31</v>
      </c>
      <c r="M1463" t="s">
        <v>1931</v>
      </c>
      <c r="N1463" s="2">
        <v>51.39</v>
      </c>
      <c r="O1463" s="1">
        <v>1</v>
      </c>
      <c r="P1463" s="2">
        <v>51.39</v>
      </c>
    </row>
    <row r="1464" spans="10:16">
      <c r="J1464" s="5" t="s">
        <v>4729</v>
      </c>
      <c r="K1464" t="s">
        <v>4730</v>
      </c>
      <c r="L1464" t="s">
        <v>219</v>
      </c>
      <c r="M1464" t="s">
        <v>86</v>
      </c>
      <c r="N1464" s="2">
        <v>51.35</v>
      </c>
      <c r="O1464" s="1">
        <v>1</v>
      </c>
      <c r="P1464" s="2">
        <v>51.35</v>
      </c>
    </row>
    <row r="1465" spans="10:16">
      <c r="J1465" s="5" t="s">
        <v>3974</v>
      </c>
      <c r="K1465" t="s">
        <v>3975</v>
      </c>
      <c r="L1465" t="s">
        <v>85</v>
      </c>
      <c r="M1465" t="s">
        <v>86</v>
      </c>
      <c r="N1465" s="2">
        <v>1.4636</v>
      </c>
      <c r="O1465" s="1">
        <v>35</v>
      </c>
      <c r="P1465" s="2">
        <v>51.225999999999999</v>
      </c>
    </row>
    <row r="1466" spans="10:16">
      <c r="J1466" s="5" t="s">
        <v>2129</v>
      </c>
      <c r="K1466" t="s">
        <v>2130</v>
      </c>
      <c r="L1466" t="s">
        <v>85</v>
      </c>
      <c r="M1466" t="s">
        <v>86</v>
      </c>
      <c r="N1466" s="2">
        <v>0.86380000000000001</v>
      </c>
      <c r="O1466" s="1">
        <v>118</v>
      </c>
      <c r="P1466" s="2">
        <v>50.964199999999998</v>
      </c>
    </row>
    <row r="1467" spans="10:16">
      <c r="J1467" s="5" t="s">
        <v>992</v>
      </c>
      <c r="K1467" t="s">
        <v>993</v>
      </c>
      <c r="L1467" t="s">
        <v>944</v>
      </c>
      <c r="M1467" t="s">
        <v>125</v>
      </c>
      <c r="N1467" s="2">
        <v>12.65</v>
      </c>
      <c r="O1467" s="1">
        <v>4</v>
      </c>
      <c r="P1467" s="2">
        <v>50.6</v>
      </c>
    </row>
    <row r="1468" spans="10:16">
      <c r="J1468" s="5" t="s">
        <v>1146</v>
      </c>
      <c r="K1468" t="s">
        <v>1147</v>
      </c>
      <c r="L1468" t="s">
        <v>31</v>
      </c>
      <c r="M1468" t="s">
        <v>1931</v>
      </c>
      <c r="N1468" s="2">
        <v>7.2</v>
      </c>
      <c r="O1468" s="1">
        <v>7</v>
      </c>
      <c r="P1468" s="2">
        <v>50.4</v>
      </c>
    </row>
    <row r="1469" spans="10:16">
      <c r="J1469" s="5" t="s">
        <v>2051</v>
      </c>
      <c r="K1469" t="s">
        <v>2052</v>
      </c>
      <c r="L1469" t="s">
        <v>580</v>
      </c>
      <c r="M1469" t="s">
        <v>619</v>
      </c>
      <c r="N1469" s="2">
        <v>5.0270000000000001</v>
      </c>
      <c r="O1469" s="1">
        <v>10</v>
      </c>
      <c r="P1469" s="2">
        <v>50.27</v>
      </c>
    </row>
    <row r="1470" spans="10:16">
      <c r="J1470" s="5" t="s">
        <v>3008</v>
      </c>
      <c r="K1470" t="s">
        <v>3009</v>
      </c>
      <c r="L1470" t="s">
        <v>85</v>
      </c>
      <c r="M1470" t="s">
        <v>86</v>
      </c>
      <c r="N1470" s="2">
        <v>1.3220000000000001</v>
      </c>
      <c r="O1470" s="1">
        <v>38</v>
      </c>
      <c r="P1470" s="2">
        <v>50.236000000000004</v>
      </c>
    </row>
    <row r="1471" spans="10:16">
      <c r="J1471" s="5" t="s">
        <v>3953</v>
      </c>
      <c r="K1471" t="s">
        <v>3954</v>
      </c>
      <c r="L1471" t="s">
        <v>436</v>
      </c>
      <c r="M1471" t="s">
        <v>86</v>
      </c>
      <c r="N1471" s="2">
        <v>25.04</v>
      </c>
      <c r="O1471" s="1">
        <v>2</v>
      </c>
      <c r="P1471" s="2">
        <v>50.08</v>
      </c>
    </row>
    <row r="1472" spans="10:16">
      <c r="J1472" s="5" t="s">
        <v>4147</v>
      </c>
      <c r="K1472" t="s">
        <v>4148</v>
      </c>
      <c r="L1472" t="s">
        <v>85</v>
      </c>
      <c r="M1472" t="s">
        <v>86</v>
      </c>
      <c r="N1472" s="2">
        <v>10.016</v>
      </c>
      <c r="O1472" s="1">
        <v>5</v>
      </c>
      <c r="P1472" s="2">
        <v>50.08</v>
      </c>
    </row>
    <row r="1473" spans="10:16">
      <c r="J1473" s="5" t="s">
        <v>753</v>
      </c>
      <c r="K1473" t="s">
        <v>754</v>
      </c>
      <c r="L1473" t="s">
        <v>618</v>
      </c>
      <c r="M1473" t="s">
        <v>626</v>
      </c>
      <c r="N1473" s="2">
        <v>2.1745999999999999</v>
      </c>
      <c r="O1473" s="1">
        <v>23</v>
      </c>
      <c r="P1473" s="2">
        <v>50.015799999999999</v>
      </c>
    </row>
    <row r="1474" spans="10:16">
      <c r="J1474" s="5" t="s">
        <v>1848</v>
      </c>
      <c r="K1474" t="s">
        <v>1849</v>
      </c>
      <c r="L1474" t="s">
        <v>31</v>
      </c>
      <c r="M1474" t="s">
        <v>1931</v>
      </c>
      <c r="N1474" s="2">
        <v>50</v>
      </c>
      <c r="O1474" s="1">
        <v>1</v>
      </c>
      <c r="P1474" s="2">
        <v>50</v>
      </c>
    </row>
    <row r="1475" spans="10:16">
      <c r="J1475" s="5" t="s">
        <v>1829</v>
      </c>
      <c r="K1475" t="s">
        <v>1830</v>
      </c>
      <c r="L1475" t="s">
        <v>31</v>
      </c>
      <c r="M1475" t="s">
        <v>1931</v>
      </c>
      <c r="N1475" s="2">
        <v>50</v>
      </c>
      <c r="O1475" s="1">
        <v>1</v>
      </c>
      <c r="P1475" s="2">
        <v>50</v>
      </c>
    </row>
    <row r="1476" spans="10:16">
      <c r="J1476" s="5" t="s">
        <v>4491</v>
      </c>
      <c r="K1476" t="s">
        <v>4492</v>
      </c>
      <c r="L1476" t="s">
        <v>219</v>
      </c>
      <c r="M1476" t="s">
        <v>86</v>
      </c>
      <c r="N1476" s="2">
        <v>12.46</v>
      </c>
      <c r="O1476" s="1">
        <v>4</v>
      </c>
      <c r="P1476" s="2">
        <v>49.84</v>
      </c>
    </row>
    <row r="1477" spans="10:16">
      <c r="J1477" s="5" t="s">
        <v>2319</v>
      </c>
      <c r="K1477" t="s">
        <v>2320</v>
      </c>
      <c r="L1477" t="s">
        <v>219</v>
      </c>
      <c r="M1477" t="s">
        <v>86</v>
      </c>
      <c r="N1477" s="2">
        <v>9.9670000000000005</v>
      </c>
      <c r="O1477" s="1">
        <v>5</v>
      </c>
      <c r="P1477" s="2">
        <v>49.835000000000001</v>
      </c>
    </row>
    <row r="1478" spans="10:16">
      <c r="J1478" s="5" t="s">
        <v>938</v>
      </c>
      <c r="K1478" t="s">
        <v>939</v>
      </c>
      <c r="L1478" t="s">
        <v>31</v>
      </c>
      <c r="M1478" t="s">
        <v>125</v>
      </c>
      <c r="N1478" s="2">
        <v>4.97</v>
      </c>
      <c r="O1478" s="1">
        <v>10</v>
      </c>
      <c r="P1478" s="2">
        <v>49.699999999999996</v>
      </c>
    </row>
    <row r="1479" spans="10:16">
      <c r="J1479" s="5" t="s">
        <v>1097</v>
      </c>
      <c r="K1479" t="s">
        <v>1098</v>
      </c>
      <c r="L1479" t="s">
        <v>131</v>
      </c>
      <c r="M1479" t="s">
        <v>125</v>
      </c>
      <c r="N1479" s="2">
        <v>16.542999999999999</v>
      </c>
      <c r="O1479" s="1">
        <v>3</v>
      </c>
      <c r="P1479" s="2">
        <v>49.628999999999998</v>
      </c>
    </row>
    <row r="1480" spans="10:16">
      <c r="J1480" s="5" t="s">
        <v>4488</v>
      </c>
      <c r="K1480" t="s">
        <v>2387</v>
      </c>
      <c r="L1480" t="s">
        <v>85</v>
      </c>
      <c r="M1480" t="s">
        <v>86</v>
      </c>
      <c r="N1480" s="2">
        <v>12.365600000000001</v>
      </c>
      <c r="O1480" s="1">
        <v>8</v>
      </c>
      <c r="P1480" s="2">
        <v>49.462400000000002</v>
      </c>
    </row>
    <row r="1481" spans="10:16">
      <c r="J1481" s="5" t="s">
        <v>4581</v>
      </c>
      <c r="K1481" t="s">
        <v>3236</v>
      </c>
      <c r="L1481" t="s">
        <v>85</v>
      </c>
      <c r="M1481" t="s">
        <v>86</v>
      </c>
      <c r="N1481" s="2">
        <v>4.1159999999999997</v>
      </c>
      <c r="O1481" s="1">
        <v>12</v>
      </c>
      <c r="P1481" s="2">
        <v>49.391999999999996</v>
      </c>
    </row>
    <row r="1482" spans="10:16">
      <c r="J1482" s="5" t="s">
        <v>2096</v>
      </c>
      <c r="K1482" t="s">
        <v>2097</v>
      </c>
      <c r="L1482" t="s">
        <v>31</v>
      </c>
      <c r="M1482" t="s">
        <v>1931</v>
      </c>
      <c r="N1482" s="2">
        <v>24.68</v>
      </c>
      <c r="O1482" s="1">
        <v>2</v>
      </c>
      <c r="P1482" s="2">
        <v>49.36</v>
      </c>
    </row>
    <row r="1483" spans="10:16">
      <c r="J1483" s="5" t="s">
        <v>1406</v>
      </c>
      <c r="K1483" t="s">
        <v>1407</v>
      </c>
      <c r="L1483" t="s">
        <v>115</v>
      </c>
      <c r="M1483" t="s">
        <v>102</v>
      </c>
      <c r="N1483" s="2">
        <v>0.161</v>
      </c>
      <c r="O1483" s="1">
        <v>306</v>
      </c>
      <c r="P1483" s="2">
        <v>49.265999999999998</v>
      </c>
    </row>
    <row r="1484" spans="10:16">
      <c r="J1484" s="5" t="s">
        <v>2311</v>
      </c>
      <c r="K1484" t="s">
        <v>2312</v>
      </c>
      <c r="L1484" t="s">
        <v>219</v>
      </c>
      <c r="M1484" t="s">
        <v>86</v>
      </c>
      <c r="N1484" s="2">
        <v>7.0359999999999996</v>
      </c>
      <c r="O1484" s="1">
        <v>7</v>
      </c>
      <c r="P1484" s="2">
        <v>49.251999999999995</v>
      </c>
    </row>
    <row r="1485" spans="10:16">
      <c r="J1485" s="5" t="s">
        <v>3904</v>
      </c>
      <c r="K1485" t="s">
        <v>3905</v>
      </c>
      <c r="L1485" t="s">
        <v>85</v>
      </c>
      <c r="M1485" t="s">
        <v>86</v>
      </c>
      <c r="N1485" s="2">
        <v>12.283799999999999</v>
      </c>
      <c r="O1485" s="1">
        <v>8</v>
      </c>
      <c r="P1485" s="2">
        <v>49.135199999999998</v>
      </c>
    </row>
    <row r="1486" spans="10:16">
      <c r="J1486" s="5" t="s">
        <v>2764</v>
      </c>
      <c r="K1486" t="s">
        <v>3586</v>
      </c>
      <c r="L1486" t="s">
        <v>98</v>
      </c>
      <c r="M1486" t="s">
        <v>86</v>
      </c>
      <c r="N1486" s="2">
        <v>1.8859999999999999</v>
      </c>
      <c r="O1486" s="1">
        <v>26</v>
      </c>
      <c r="P1486" s="2">
        <v>49.035999999999994</v>
      </c>
    </row>
    <row r="1487" spans="10:16">
      <c r="J1487" s="5" t="s">
        <v>3424</v>
      </c>
      <c r="K1487" t="s">
        <v>3425</v>
      </c>
      <c r="L1487" t="s">
        <v>128</v>
      </c>
      <c r="M1487" t="s">
        <v>125</v>
      </c>
      <c r="N1487" s="2">
        <v>48.939399999999999</v>
      </c>
      <c r="O1487" s="1">
        <v>2</v>
      </c>
      <c r="P1487" s="2">
        <v>48.939399999999999</v>
      </c>
    </row>
    <row r="1488" spans="10:16">
      <c r="J1488" s="5" t="s">
        <v>2457</v>
      </c>
      <c r="K1488" t="s">
        <v>2458</v>
      </c>
      <c r="L1488" t="s">
        <v>85</v>
      </c>
      <c r="M1488" t="s">
        <v>86</v>
      </c>
      <c r="N1488" s="2">
        <v>24.457999999999998</v>
      </c>
      <c r="O1488" s="1">
        <v>2</v>
      </c>
      <c r="P1488" s="2">
        <v>48.915999999999997</v>
      </c>
    </row>
    <row r="1489" spans="10:16">
      <c r="J1489" s="5" t="s">
        <v>2434</v>
      </c>
      <c r="K1489" t="s">
        <v>2435</v>
      </c>
      <c r="L1489" t="s">
        <v>85</v>
      </c>
      <c r="M1489" t="s">
        <v>86</v>
      </c>
      <c r="N1489" s="2">
        <v>9.7430000000000003</v>
      </c>
      <c r="O1489" s="1">
        <v>5</v>
      </c>
      <c r="P1489" s="2">
        <v>48.715000000000003</v>
      </c>
    </row>
    <row r="1490" spans="10:16">
      <c r="J1490" s="5" t="s">
        <v>70</v>
      </c>
      <c r="K1490" t="s">
        <v>71</v>
      </c>
      <c r="L1490" t="s">
        <v>31</v>
      </c>
      <c r="M1490" t="s">
        <v>1931</v>
      </c>
      <c r="N1490" s="2">
        <v>9.7240000000000002</v>
      </c>
      <c r="O1490" s="1">
        <v>5</v>
      </c>
      <c r="P1490" s="2">
        <v>48.620000000000005</v>
      </c>
    </row>
    <row r="1491" spans="10:16">
      <c r="J1491" s="5" t="s">
        <v>248</v>
      </c>
      <c r="K1491" t="s">
        <v>249</v>
      </c>
      <c r="L1491" t="s">
        <v>219</v>
      </c>
      <c r="M1491" t="s">
        <v>86</v>
      </c>
      <c r="N1491" s="2">
        <v>1.56</v>
      </c>
      <c r="O1491" s="1">
        <v>31</v>
      </c>
      <c r="P1491" s="2">
        <v>48.36</v>
      </c>
    </row>
    <row r="1492" spans="10:16">
      <c r="J1492" s="5" t="s">
        <v>1638</v>
      </c>
      <c r="K1492" t="s">
        <v>1639</v>
      </c>
      <c r="L1492" t="s">
        <v>115</v>
      </c>
      <c r="M1492" t="s">
        <v>102</v>
      </c>
      <c r="N1492" s="2">
        <v>7.6999999999999999E-2</v>
      </c>
      <c r="O1492" s="1">
        <v>625</v>
      </c>
      <c r="P1492" s="2">
        <v>48.125</v>
      </c>
    </row>
    <row r="1493" spans="10:16">
      <c r="J1493" s="5" t="s">
        <v>3994</v>
      </c>
      <c r="K1493" t="s">
        <v>3995</v>
      </c>
      <c r="L1493" t="s">
        <v>98</v>
      </c>
      <c r="M1493" t="s">
        <v>86</v>
      </c>
      <c r="N1493" s="2">
        <v>16.02</v>
      </c>
      <c r="O1493" s="1">
        <v>3</v>
      </c>
      <c r="P1493" s="2">
        <v>48.06</v>
      </c>
    </row>
    <row r="1494" spans="10:16">
      <c r="J1494" s="5" t="s">
        <v>1144</v>
      </c>
      <c r="K1494" t="s">
        <v>1145</v>
      </c>
      <c r="L1494" t="s">
        <v>31</v>
      </c>
      <c r="M1494" t="s">
        <v>1931</v>
      </c>
      <c r="N1494" s="2">
        <v>24</v>
      </c>
      <c r="O1494" s="1">
        <v>2</v>
      </c>
      <c r="P1494" s="2">
        <v>48</v>
      </c>
    </row>
    <row r="1495" spans="10:16">
      <c r="J1495" s="5" t="s">
        <v>1763</v>
      </c>
      <c r="K1495" t="s">
        <v>1764</v>
      </c>
      <c r="L1495" t="s">
        <v>85</v>
      </c>
      <c r="M1495" t="s">
        <v>86</v>
      </c>
      <c r="N1495" s="2">
        <v>47.94</v>
      </c>
      <c r="O1495" s="1">
        <v>1</v>
      </c>
      <c r="P1495" s="2">
        <v>47.94</v>
      </c>
    </row>
    <row r="1496" spans="10:16">
      <c r="J1496" s="5" t="s">
        <v>3010</v>
      </c>
      <c r="K1496" t="s">
        <v>3011</v>
      </c>
      <c r="L1496" t="s">
        <v>85</v>
      </c>
      <c r="M1496" t="s">
        <v>86</v>
      </c>
      <c r="N1496" s="2">
        <v>11.98</v>
      </c>
      <c r="O1496" s="1">
        <v>4</v>
      </c>
      <c r="P1496" s="2">
        <v>47.92</v>
      </c>
    </row>
    <row r="1497" spans="10:16">
      <c r="J1497" s="5" t="s">
        <v>1067</v>
      </c>
      <c r="K1497" t="s">
        <v>1068</v>
      </c>
      <c r="L1497" t="s">
        <v>141</v>
      </c>
      <c r="M1497" t="s">
        <v>125</v>
      </c>
      <c r="N1497" s="2">
        <v>47.92</v>
      </c>
      <c r="O1497" s="1">
        <v>1</v>
      </c>
      <c r="P1497" s="2">
        <v>47.92</v>
      </c>
    </row>
    <row r="1498" spans="10:16">
      <c r="J1498" s="5" t="s">
        <v>4689</v>
      </c>
      <c r="K1498" t="s">
        <v>4690</v>
      </c>
      <c r="L1498" t="s">
        <v>98</v>
      </c>
      <c r="M1498" t="s">
        <v>86</v>
      </c>
      <c r="N1498" s="2">
        <v>11.97</v>
      </c>
      <c r="O1498" s="1">
        <v>4</v>
      </c>
      <c r="P1498" s="2">
        <v>47.88</v>
      </c>
    </row>
    <row r="1499" spans="10:16">
      <c r="J1499" s="5" t="s">
        <v>5379</v>
      </c>
      <c r="K1499" t="s">
        <v>5380</v>
      </c>
      <c r="L1499" t="s">
        <v>219</v>
      </c>
      <c r="M1499" t="s">
        <v>86</v>
      </c>
      <c r="N1499" s="2">
        <v>15.923999999999999</v>
      </c>
      <c r="O1499" s="1">
        <v>3</v>
      </c>
      <c r="P1499" s="2">
        <v>47.771999999999998</v>
      </c>
    </row>
    <row r="1500" spans="10:16">
      <c r="J1500" s="5" t="s">
        <v>4064</v>
      </c>
      <c r="K1500" t="s">
        <v>4065</v>
      </c>
      <c r="L1500" t="s">
        <v>219</v>
      </c>
      <c r="M1500" t="s">
        <v>86</v>
      </c>
      <c r="N1500" s="2">
        <v>15.923</v>
      </c>
      <c r="O1500" s="1">
        <v>3</v>
      </c>
      <c r="P1500" s="2">
        <v>47.768999999999998</v>
      </c>
    </row>
    <row r="1501" spans="10:16">
      <c r="J1501" s="5" t="s">
        <v>2967</v>
      </c>
      <c r="K1501" t="s">
        <v>2968</v>
      </c>
      <c r="L1501" t="s">
        <v>85</v>
      </c>
      <c r="M1501" t="s">
        <v>86</v>
      </c>
      <c r="N1501" s="2">
        <v>2.6516999999999999</v>
      </c>
      <c r="O1501" s="1">
        <v>18</v>
      </c>
      <c r="P1501" s="2">
        <v>47.730599999999995</v>
      </c>
    </row>
    <row r="1502" spans="10:16">
      <c r="J1502" s="5" t="s">
        <v>4481</v>
      </c>
      <c r="K1502" t="s">
        <v>4482</v>
      </c>
      <c r="L1502" t="s">
        <v>85</v>
      </c>
      <c r="M1502" t="s">
        <v>86</v>
      </c>
      <c r="N1502" s="2">
        <v>1.2867999999999999</v>
      </c>
      <c r="O1502" s="1">
        <v>74</v>
      </c>
      <c r="P1502" s="2">
        <v>47.611599999999996</v>
      </c>
    </row>
    <row r="1503" spans="10:16">
      <c r="J1503" s="5" t="s">
        <v>3554</v>
      </c>
      <c r="K1503" t="s">
        <v>3555</v>
      </c>
      <c r="L1503" t="s">
        <v>219</v>
      </c>
      <c r="M1503" t="s">
        <v>86</v>
      </c>
      <c r="N1503" s="2">
        <v>9.52</v>
      </c>
      <c r="O1503" s="1">
        <v>5</v>
      </c>
      <c r="P1503" s="2">
        <v>47.599999999999994</v>
      </c>
    </row>
    <row r="1504" spans="10:16">
      <c r="J1504" s="5" t="s">
        <v>894</v>
      </c>
      <c r="K1504" t="s">
        <v>895</v>
      </c>
      <c r="L1504" t="s">
        <v>31</v>
      </c>
      <c r="M1504" t="s">
        <v>125</v>
      </c>
      <c r="N1504" s="2">
        <v>2.629</v>
      </c>
      <c r="O1504" s="1">
        <v>18</v>
      </c>
      <c r="P1504" s="2">
        <v>47.322000000000003</v>
      </c>
    </row>
    <row r="1505" spans="10:16">
      <c r="J1505" s="5" t="s">
        <v>2643</v>
      </c>
      <c r="K1505" t="s">
        <v>2644</v>
      </c>
      <c r="L1505" t="s">
        <v>5474</v>
      </c>
      <c r="M1505" t="s">
        <v>125</v>
      </c>
      <c r="N1505" s="2">
        <v>47.125</v>
      </c>
      <c r="O1505" s="1">
        <v>1</v>
      </c>
      <c r="P1505" s="2">
        <v>47.125</v>
      </c>
    </row>
    <row r="1506" spans="10:16">
      <c r="J1506" s="5" t="s">
        <v>3218</v>
      </c>
      <c r="K1506" t="s">
        <v>3219</v>
      </c>
      <c r="L1506" t="s">
        <v>5081</v>
      </c>
      <c r="M1506" t="s">
        <v>125</v>
      </c>
      <c r="N1506" s="2">
        <v>6.7263999999999999</v>
      </c>
      <c r="O1506" s="1">
        <v>14</v>
      </c>
      <c r="P1506" s="2">
        <v>47.084800000000001</v>
      </c>
    </row>
    <row r="1507" spans="10:16">
      <c r="J1507" s="5" t="s">
        <v>1554</v>
      </c>
      <c r="K1507" t="s">
        <v>1555</v>
      </c>
      <c r="L1507" t="s">
        <v>115</v>
      </c>
      <c r="M1507" t="s">
        <v>102</v>
      </c>
      <c r="N1507" s="2">
        <v>0.1065</v>
      </c>
      <c r="O1507" s="1">
        <v>442</v>
      </c>
      <c r="P1507" s="2">
        <v>47.073</v>
      </c>
    </row>
    <row r="1508" spans="10:16">
      <c r="J1508" s="5" t="s">
        <v>4358</v>
      </c>
      <c r="K1508" t="s">
        <v>4359</v>
      </c>
      <c r="L1508" t="s">
        <v>85</v>
      </c>
      <c r="M1508" t="s">
        <v>86</v>
      </c>
      <c r="N1508" s="2">
        <v>3.9188999999999998</v>
      </c>
      <c r="O1508" s="1">
        <v>12</v>
      </c>
      <c r="P1508" s="2">
        <v>47.026799999999994</v>
      </c>
    </row>
    <row r="1509" spans="10:16">
      <c r="J1509" s="5" t="s">
        <v>1037</v>
      </c>
      <c r="K1509" t="s">
        <v>5141</v>
      </c>
      <c r="L1509" t="s">
        <v>1119</v>
      </c>
      <c r="M1509" t="s">
        <v>125</v>
      </c>
      <c r="N1509" s="2">
        <v>4.6890000000000001</v>
      </c>
      <c r="O1509" s="1">
        <v>10</v>
      </c>
      <c r="P1509" s="2">
        <v>46.89</v>
      </c>
    </row>
    <row r="1510" spans="10:16">
      <c r="J1510" s="5" t="s">
        <v>1682</v>
      </c>
      <c r="K1510" t="s">
        <v>1683</v>
      </c>
      <c r="L1510" t="s">
        <v>115</v>
      </c>
      <c r="M1510" t="s">
        <v>102</v>
      </c>
      <c r="N1510" s="2">
        <v>0.123</v>
      </c>
      <c r="O1510" s="1">
        <v>381</v>
      </c>
      <c r="P1510" s="2">
        <v>46.863</v>
      </c>
    </row>
    <row r="1511" spans="10:16">
      <c r="J1511" s="5" t="s">
        <v>2950</v>
      </c>
      <c r="K1511" t="s">
        <v>2951</v>
      </c>
      <c r="L1511" t="s">
        <v>85</v>
      </c>
      <c r="M1511" t="s">
        <v>86</v>
      </c>
      <c r="N1511" s="2">
        <v>23.087</v>
      </c>
      <c r="O1511" s="1">
        <v>2</v>
      </c>
      <c r="P1511" s="2">
        <v>46.173999999999999</v>
      </c>
    </row>
    <row r="1512" spans="10:16">
      <c r="J1512" s="5" t="s">
        <v>461</v>
      </c>
      <c r="K1512" t="s">
        <v>462</v>
      </c>
      <c r="L1512" t="s">
        <v>85</v>
      </c>
      <c r="M1512" t="s">
        <v>86</v>
      </c>
      <c r="N1512" s="2">
        <v>5.7613000000000003</v>
      </c>
      <c r="O1512" s="1">
        <v>8</v>
      </c>
      <c r="P1512" s="2">
        <v>46.090400000000002</v>
      </c>
    </row>
    <row r="1513" spans="10:16">
      <c r="J1513" s="5" t="s">
        <v>1126</v>
      </c>
      <c r="K1513" t="s">
        <v>1127</v>
      </c>
      <c r="L1513" t="s">
        <v>31</v>
      </c>
      <c r="M1513" t="s">
        <v>1931</v>
      </c>
      <c r="N1513" s="2">
        <v>5.76</v>
      </c>
      <c r="O1513" s="1">
        <v>8</v>
      </c>
      <c r="P1513" s="2">
        <v>46.08</v>
      </c>
    </row>
    <row r="1514" spans="10:16">
      <c r="J1514" s="5" t="s">
        <v>4894</v>
      </c>
      <c r="K1514" t="s">
        <v>4895</v>
      </c>
      <c r="L1514" t="s">
        <v>85</v>
      </c>
      <c r="M1514" t="s">
        <v>86</v>
      </c>
      <c r="N1514" s="2">
        <v>0.60629999999999995</v>
      </c>
      <c r="O1514" s="1">
        <v>76</v>
      </c>
      <c r="P1514" s="2">
        <v>46.078799999999994</v>
      </c>
    </row>
    <row r="1515" spans="10:16">
      <c r="J1515" s="5" t="s">
        <v>2067</v>
      </c>
      <c r="K1515" t="s">
        <v>2068</v>
      </c>
      <c r="L1515" t="s">
        <v>31</v>
      </c>
      <c r="M1515" t="s">
        <v>125</v>
      </c>
      <c r="N1515" s="2">
        <v>23</v>
      </c>
      <c r="O1515" s="1">
        <v>2</v>
      </c>
      <c r="P1515" s="2">
        <v>46</v>
      </c>
    </row>
    <row r="1516" spans="10:16">
      <c r="J1516" s="5" t="s">
        <v>4167</v>
      </c>
      <c r="K1516" t="s">
        <v>4168</v>
      </c>
      <c r="L1516" t="s">
        <v>436</v>
      </c>
      <c r="M1516" t="s">
        <v>86</v>
      </c>
      <c r="N1516" s="2">
        <v>45.94</v>
      </c>
      <c r="O1516" s="1">
        <v>1</v>
      </c>
      <c r="P1516" s="2">
        <v>45.94</v>
      </c>
    </row>
    <row r="1517" spans="10:16">
      <c r="J1517" s="5" t="s">
        <v>4572</v>
      </c>
      <c r="K1517" t="s">
        <v>4573</v>
      </c>
      <c r="L1517" t="s">
        <v>85</v>
      </c>
      <c r="M1517" t="s">
        <v>86</v>
      </c>
      <c r="N1517" s="2">
        <v>2.4136000000000002</v>
      </c>
      <c r="O1517" s="1">
        <v>38</v>
      </c>
      <c r="P1517" s="2">
        <v>45.858400000000003</v>
      </c>
    </row>
    <row r="1518" spans="10:16">
      <c r="J1518" s="5" t="s">
        <v>4674</v>
      </c>
      <c r="K1518" t="s">
        <v>4675</v>
      </c>
      <c r="L1518" t="s">
        <v>219</v>
      </c>
      <c r="M1518" t="s">
        <v>86</v>
      </c>
      <c r="N1518" s="2">
        <v>11.452</v>
      </c>
      <c r="O1518" s="1">
        <v>4</v>
      </c>
      <c r="P1518" s="2">
        <v>45.808</v>
      </c>
    </row>
    <row r="1519" spans="10:16">
      <c r="J1519" s="5" t="s">
        <v>4012</v>
      </c>
      <c r="K1519" t="s">
        <v>4013</v>
      </c>
      <c r="L1519" t="s">
        <v>98</v>
      </c>
      <c r="M1519" t="s">
        <v>86</v>
      </c>
      <c r="N1519" s="2">
        <v>11.4252</v>
      </c>
      <c r="O1519" s="1">
        <v>8</v>
      </c>
      <c r="P1519" s="2">
        <v>45.700800000000001</v>
      </c>
    </row>
    <row r="1520" spans="10:16">
      <c r="J1520" s="5" t="s">
        <v>1903</v>
      </c>
      <c r="K1520" t="s">
        <v>1904</v>
      </c>
      <c r="L1520" t="s">
        <v>31</v>
      </c>
      <c r="M1520" t="s">
        <v>1931</v>
      </c>
      <c r="N1520" s="2">
        <v>45.67</v>
      </c>
      <c r="O1520" s="1">
        <v>1</v>
      </c>
      <c r="P1520" s="2">
        <v>45.67</v>
      </c>
    </row>
    <row r="1521" spans="10:16">
      <c r="J1521" s="5" t="s">
        <v>4753</v>
      </c>
      <c r="K1521" t="s">
        <v>4754</v>
      </c>
      <c r="L1521" t="s">
        <v>219</v>
      </c>
      <c r="M1521" t="s">
        <v>86</v>
      </c>
      <c r="N1521" s="2">
        <v>45.64</v>
      </c>
      <c r="O1521" s="1">
        <v>1</v>
      </c>
      <c r="P1521" s="2">
        <v>45.64</v>
      </c>
    </row>
    <row r="1522" spans="10:16">
      <c r="J1522" s="5" t="s">
        <v>3394</v>
      </c>
      <c r="K1522" t="s">
        <v>3395</v>
      </c>
      <c r="L1522" t="s">
        <v>131</v>
      </c>
      <c r="M1522" t="s">
        <v>125</v>
      </c>
      <c r="N1522" s="2">
        <v>22.774999999999999</v>
      </c>
      <c r="O1522" s="1">
        <v>2</v>
      </c>
      <c r="P1522" s="2">
        <v>45.55</v>
      </c>
    </row>
    <row r="1523" spans="10:16">
      <c r="J1523" s="5" t="s">
        <v>5031</v>
      </c>
      <c r="K1523" t="s">
        <v>5032</v>
      </c>
      <c r="L1523" t="s">
        <v>85</v>
      </c>
      <c r="M1523" t="s">
        <v>86</v>
      </c>
      <c r="N1523" s="2">
        <v>0.66830000000000001</v>
      </c>
      <c r="O1523" s="1">
        <v>68</v>
      </c>
      <c r="P1523" s="2">
        <v>45.444400000000002</v>
      </c>
    </row>
    <row r="1524" spans="10:16">
      <c r="J1524" s="5" t="s">
        <v>4291</v>
      </c>
      <c r="K1524" t="s">
        <v>4292</v>
      </c>
      <c r="L1524" t="s">
        <v>219</v>
      </c>
      <c r="M1524" t="s">
        <v>86</v>
      </c>
      <c r="N1524" s="2">
        <v>45.08</v>
      </c>
      <c r="O1524" s="1">
        <v>1</v>
      </c>
      <c r="P1524" s="2">
        <v>45.08</v>
      </c>
    </row>
    <row r="1525" spans="10:16">
      <c r="J1525" s="5" t="s">
        <v>1168</v>
      </c>
      <c r="K1525" t="s">
        <v>1169</v>
      </c>
      <c r="L1525" t="s">
        <v>31</v>
      </c>
      <c r="M1525" t="s">
        <v>1931</v>
      </c>
      <c r="N1525" s="2">
        <v>45</v>
      </c>
      <c r="O1525" s="1">
        <v>1</v>
      </c>
      <c r="P1525" s="2">
        <v>45</v>
      </c>
    </row>
    <row r="1526" spans="10:16">
      <c r="J1526" s="5" t="s">
        <v>681</v>
      </c>
      <c r="K1526" t="s">
        <v>682</v>
      </c>
      <c r="L1526" t="s">
        <v>128</v>
      </c>
      <c r="M1526" t="s">
        <v>125</v>
      </c>
      <c r="N1526" s="2">
        <v>15</v>
      </c>
      <c r="O1526" s="1">
        <v>3</v>
      </c>
      <c r="P1526" s="2">
        <v>45</v>
      </c>
    </row>
    <row r="1527" spans="10:16">
      <c r="J1527" s="5" t="s">
        <v>221</v>
      </c>
      <c r="K1527" t="s">
        <v>222</v>
      </c>
      <c r="L1527" t="s">
        <v>223</v>
      </c>
      <c r="M1527" t="s">
        <v>86</v>
      </c>
      <c r="N1527" s="2">
        <v>44.99</v>
      </c>
      <c r="O1527" s="1">
        <v>1</v>
      </c>
      <c r="P1527" s="2">
        <v>44.99</v>
      </c>
    </row>
    <row r="1528" spans="10:16">
      <c r="J1528" s="5" t="s">
        <v>4712</v>
      </c>
      <c r="K1528" t="s">
        <v>4713</v>
      </c>
      <c r="L1528" t="s">
        <v>219</v>
      </c>
      <c r="M1528" t="s">
        <v>86</v>
      </c>
      <c r="N1528" s="2">
        <v>44.96</v>
      </c>
      <c r="O1528" s="1">
        <v>1</v>
      </c>
      <c r="P1528" s="2">
        <v>44.96</v>
      </c>
    </row>
    <row r="1529" spans="10:16">
      <c r="J1529" s="5" t="s">
        <v>4750</v>
      </c>
      <c r="K1529" t="s">
        <v>4751</v>
      </c>
      <c r="L1529" t="s">
        <v>219</v>
      </c>
      <c r="M1529" t="s">
        <v>86</v>
      </c>
      <c r="N1529" s="2">
        <v>22.43</v>
      </c>
      <c r="O1529" s="1">
        <v>2</v>
      </c>
      <c r="P1529" s="2">
        <v>44.86</v>
      </c>
    </row>
    <row r="1530" spans="10:16">
      <c r="J1530" s="5" t="s">
        <v>2599</v>
      </c>
      <c r="K1530" t="s">
        <v>2600</v>
      </c>
      <c r="L1530" t="s">
        <v>5474</v>
      </c>
      <c r="M1530" t="s">
        <v>125</v>
      </c>
      <c r="N1530" s="2">
        <v>44.81</v>
      </c>
      <c r="O1530" s="1">
        <v>1</v>
      </c>
      <c r="P1530" s="2">
        <v>44.81</v>
      </c>
    </row>
    <row r="1531" spans="10:16">
      <c r="J1531" s="5" t="s">
        <v>4351</v>
      </c>
      <c r="K1531" t="s">
        <v>3276</v>
      </c>
      <c r="L1531" t="s">
        <v>219</v>
      </c>
      <c r="M1531" t="s">
        <v>86</v>
      </c>
      <c r="N1531" s="2">
        <v>2.2355999999999998</v>
      </c>
      <c r="O1531" s="1">
        <v>40</v>
      </c>
      <c r="P1531" s="2">
        <v>44.711999999999996</v>
      </c>
    </row>
    <row r="1532" spans="10:16">
      <c r="J1532" s="5" t="s">
        <v>5163</v>
      </c>
      <c r="K1532" t="s">
        <v>5164</v>
      </c>
      <c r="L1532" t="s">
        <v>208</v>
      </c>
      <c r="M1532" t="s">
        <v>125</v>
      </c>
      <c r="N1532" s="2">
        <v>44.65</v>
      </c>
      <c r="O1532" s="1">
        <v>1</v>
      </c>
      <c r="P1532" s="2">
        <v>44.65</v>
      </c>
    </row>
    <row r="1533" spans="10:16">
      <c r="J1533" s="5" t="s">
        <v>4336</v>
      </c>
      <c r="K1533" t="s">
        <v>4337</v>
      </c>
      <c r="L1533" t="s">
        <v>85</v>
      </c>
      <c r="M1533" t="s">
        <v>86</v>
      </c>
      <c r="N1533" s="2">
        <v>4.9555999999999996</v>
      </c>
      <c r="O1533" s="1">
        <v>18</v>
      </c>
      <c r="P1533" s="2">
        <v>44.600399999999993</v>
      </c>
    </row>
    <row r="1534" spans="10:16">
      <c r="J1534" s="5" t="s">
        <v>4505</v>
      </c>
      <c r="K1534" t="s">
        <v>4506</v>
      </c>
      <c r="L1534" t="s">
        <v>436</v>
      </c>
      <c r="M1534" t="s">
        <v>86</v>
      </c>
      <c r="N1534" s="2">
        <v>22.3</v>
      </c>
      <c r="O1534" s="1">
        <v>2</v>
      </c>
      <c r="P1534" s="2">
        <v>44.6</v>
      </c>
    </row>
    <row r="1535" spans="10:16">
      <c r="J1535" s="5" t="s">
        <v>559</v>
      </c>
      <c r="K1535" t="s">
        <v>5055</v>
      </c>
      <c r="L1535" t="s">
        <v>85</v>
      </c>
      <c r="M1535" t="s">
        <v>86</v>
      </c>
      <c r="N1535" s="2">
        <v>5.5711000000000004</v>
      </c>
      <c r="O1535" s="1">
        <v>8</v>
      </c>
      <c r="P1535" s="2">
        <v>44.568800000000003</v>
      </c>
    </row>
    <row r="1536" spans="10:16">
      <c r="J1536" s="5" t="s">
        <v>4240</v>
      </c>
      <c r="K1536" t="s">
        <v>4241</v>
      </c>
      <c r="L1536" t="s">
        <v>219</v>
      </c>
      <c r="M1536" t="s">
        <v>86</v>
      </c>
      <c r="N1536" s="2">
        <v>14.839</v>
      </c>
      <c r="O1536" s="1">
        <v>3</v>
      </c>
      <c r="P1536" s="2">
        <v>44.517000000000003</v>
      </c>
    </row>
    <row r="1537" spans="10:16">
      <c r="J1537" s="5" t="s">
        <v>5294</v>
      </c>
      <c r="K1537" t="s">
        <v>5295</v>
      </c>
      <c r="L1537" t="s">
        <v>3411</v>
      </c>
      <c r="M1537" t="s">
        <v>125</v>
      </c>
      <c r="N1537" s="2">
        <v>22.222200000000001</v>
      </c>
      <c r="O1537" s="1">
        <v>2</v>
      </c>
      <c r="P1537" s="2">
        <v>44.444400000000002</v>
      </c>
    </row>
    <row r="1538" spans="10:16">
      <c r="J1538" s="5" t="s">
        <v>3895</v>
      </c>
      <c r="K1538" t="s">
        <v>3896</v>
      </c>
      <c r="L1538" t="s">
        <v>219</v>
      </c>
      <c r="M1538" t="s">
        <v>86</v>
      </c>
      <c r="N1538" s="2">
        <v>14.708399999999999</v>
      </c>
      <c r="O1538" s="1">
        <v>6</v>
      </c>
      <c r="P1538" s="2">
        <v>44.1252</v>
      </c>
    </row>
    <row r="1539" spans="10:16">
      <c r="J1539" s="5" t="s">
        <v>5022</v>
      </c>
      <c r="K1539" t="s">
        <v>5023</v>
      </c>
      <c r="L1539" t="s">
        <v>219</v>
      </c>
      <c r="M1539" t="s">
        <v>86</v>
      </c>
      <c r="N1539" s="2">
        <v>4.4058000000000002</v>
      </c>
      <c r="O1539" s="1">
        <v>20</v>
      </c>
      <c r="P1539" s="2">
        <v>44.058</v>
      </c>
    </row>
    <row r="1540" spans="10:16">
      <c r="J1540" s="5" t="s">
        <v>3598</v>
      </c>
      <c r="K1540" t="s">
        <v>3599</v>
      </c>
      <c r="L1540" t="s">
        <v>98</v>
      </c>
      <c r="M1540" t="s">
        <v>86</v>
      </c>
      <c r="N1540" s="2">
        <v>2.4439000000000002</v>
      </c>
      <c r="O1540" s="1">
        <v>18</v>
      </c>
      <c r="P1540" s="2">
        <v>43.990200000000002</v>
      </c>
    </row>
    <row r="1541" spans="10:16">
      <c r="J1541" s="5" t="s">
        <v>2566</v>
      </c>
      <c r="K1541" t="s">
        <v>2567</v>
      </c>
      <c r="L1541" t="s">
        <v>1044</v>
      </c>
      <c r="M1541" t="s">
        <v>125</v>
      </c>
      <c r="N1541" s="2">
        <v>6.25</v>
      </c>
      <c r="O1541" s="1">
        <v>7</v>
      </c>
      <c r="P1541" s="2">
        <v>43.75</v>
      </c>
    </row>
    <row r="1542" spans="10:16">
      <c r="J1542" s="5" t="s">
        <v>206</v>
      </c>
      <c r="K1542" t="s">
        <v>207</v>
      </c>
      <c r="L1542" t="s">
        <v>141</v>
      </c>
      <c r="M1542" t="s">
        <v>125</v>
      </c>
      <c r="N1542" s="2">
        <v>43.72</v>
      </c>
      <c r="O1542" s="1">
        <v>1</v>
      </c>
      <c r="P1542" s="2">
        <v>43.72</v>
      </c>
    </row>
    <row r="1543" spans="10:16">
      <c r="J1543" s="5" t="s">
        <v>4413</v>
      </c>
      <c r="K1543" t="s">
        <v>2343</v>
      </c>
      <c r="L1543" t="s">
        <v>219</v>
      </c>
      <c r="M1543" t="s">
        <v>86</v>
      </c>
      <c r="N1543" s="2">
        <v>8.7138000000000009</v>
      </c>
      <c r="O1543" s="1">
        <v>10</v>
      </c>
      <c r="P1543" s="2">
        <v>43.569000000000003</v>
      </c>
    </row>
    <row r="1544" spans="10:16">
      <c r="J1544" s="5" t="s">
        <v>1156</v>
      </c>
      <c r="K1544" t="s">
        <v>1157</v>
      </c>
      <c r="L1544" t="s">
        <v>31</v>
      </c>
      <c r="M1544" t="s">
        <v>1931</v>
      </c>
      <c r="N1544" s="2">
        <v>21.78</v>
      </c>
      <c r="O1544" s="1">
        <v>2</v>
      </c>
      <c r="P1544" s="2">
        <v>43.56</v>
      </c>
    </row>
    <row r="1545" spans="10:16">
      <c r="J1545" s="5" t="s">
        <v>1769</v>
      </c>
      <c r="K1545" t="s">
        <v>1770</v>
      </c>
      <c r="L1545" t="s">
        <v>31</v>
      </c>
      <c r="M1545" t="s">
        <v>1931</v>
      </c>
      <c r="N1545" s="2">
        <v>43.5</v>
      </c>
      <c r="O1545" s="1">
        <v>1</v>
      </c>
      <c r="P1545" s="2">
        <v>43.5</v>
      </c>
    </row>
    <row r="1546" spans="10:16">
      <c r="J1546" s="5" t="s">
        <v>3376</v>
      </c>
      <c r="K1546" t="s">
        <v>3377</v>
      </c>
      <c r="L1546" t="s">
        <v>128</v>
      </c>
      <c r="M1546" t="s">
        <v>125</v>
      </c>
      <c r="N1546" s="2">
        <v>43.447400000000002</v>
      </c>
      <c r="O1546" s="1">
        <v>2</v>
      </c>
      <c r="P1546" s="2">
        <v>43.447400000000002</v>
      </c>
    </row>
    <row r="1547" spans="10:16">
      <c r="J1547" s="5" t="s">
        <v>3708</v>
      </c>
      <c r="K1547" t="s">
        <v>3709</v>
      </c>
      <c r="L1547" t="s">
        <v>219</v>
      </c>
      <c r="M1547" t="s">
        <v>86</v>
      </c>
      <c r="N1547" s="2">
        <v>43.43</v>
      </c>
      <c r="O1547" s="1">
        <v>1</v>
      </c>
      <c r="P1547" s="2">
        <v>43.43</v>
      </c>
    </row>
    <row r="1548" spans="10:16">
      <c r="J1548" s="5" t="s">
        <v>2922</v>
      </c>
      <c r="K1548" t="s">
        <v>2923</v>
      </c>
      <c r="L1548" t="s">
        <v>98</v>
      </c>
      <c r="M1548" t="s">
        <v>86</v>
      </c>
      <c r="N1548" s="2">
        <v>4.3360000000000003</v>
      </c>
      <c r="O1548" s="1">
        <v>10</v>
      </c>
      <c r="P1548" s="2">
        <v>43.36</v>
      </c>
    </row>
    <row r="1549" spans="10:16">
      <c r="J1549" s="5" t="s">
        <v>3750</v>
      </c>
      <c r="K1549" t="s">
        <v>3751</v>
      </c>
      <c r="L1549" t="s">
        <v>98</v>
      </c>
      <c r="M1549" t="s">
        <v>86</v>
      </c>
      <c r="N1549" s="2">
        <v>3.3264</v>
      </c>
      <c r="O1549" s="1">
        <v>13</v>
      </c>
      <c r="P1549" s="2">
        <v>43.243200000000002</v>
      </c>
    </row>
    <row r="1550" spans="10:16">
      <c r="J1550" s="5" t="s">
        <v>3734</v>
      </c>
      <c r="K1550" t="s">
        <v>3735</v>
      </c>
      <c r="L1550" t="s">
        <v>219</v>
      </c>
      <c r="M1550" t="s">
        <v>86</v>
      </c>
      <c r="N1550" s="2">
        <v>43.23</v>
      </c>
      <c r="O1550" s="1">
        <v>1</v>
      </c>
      <c r="P1550" s="2">
        <v>43.23</v>
      </c>
    </row>
    <row r="1551" spans="10:16">
      <c r="J1551" s="5" t="s">
        <v>647</v>
      </c>
      <c r="K1551" t="s">
        <v>648</v>
      </c>
      <c r="L1551" t="s">
        <v>31</v>
      </c>
      <c r="M1551" t="s">
        <v>1931</v>
      </c>
      <c r="N1551" s="2">
        <v>43.209000000000003</v>
      </c>
      <c r="O1551" s="1">
        <v>1</v>
      </c>
      <c r="P1551" s="2">
        <v>43.209000000000003</v>
      </c>
    </row>
    <row r="1552" spans="10:16">
      <c r="J1552" s="5" t="s">
        <v>2214</v>
      </c>
      <c r="K1552" t="s">
        <v>2215</v>
      </c>
      <c r="L1552" t="s">
        <v>85</v>
      </c>
      <c r="M1552" t="s">
        <v>86</v>
      </c>
      <c r="N1552" s="2">
        <v>21.594999999999999</v>
      </c>
      <c r="O1552" s="1">
        <v>2</v>
      </c>
      <c r="P1552" s="2">
        <v>43.19</v>
      </c>
    </row>
    <row r="1553" spans="10:16">
      <c r="J1553" s="5" t="s">
        <v>4258</v>
      </c>
      <c r="K1553" t="s">
        <v>4259</v>
      </c>
      <c r="L1553" t="s">
        <v>219</v>
      </c>
      <c r="M1553" t="s">
        <v>86</v>
      </c>
      <c r="N1553" s="2">
        <v>14.253</v>
      </c>
      <c r="O1553" s="1">
        <v>3</v>
      </c>
      <c r="P1553" s="2">
        <v>42.759</v>
      </c>
    </row>
    <row r="1554" spans="10:16">
      <c r="J1554" s="5" t="s">
        <v>2948</v>
      </c>
      <c r="K1554" t="s">
        <v>2949</v>
      </c>
      <c r="L1554" t="s">
        <v>85</v>
      </c>
      <c r="M1554" t="s">
        <v>86</v>
      </c>
      <c r="N1554" s="2">
        <v>21.36</v>
      </c>
      <c r="O1554" s="1">
        <v>2</v>
      </c>
      <c r="P1554" s="2">
        <v>42.72</v>
      </c>
    </row>
    <row r="1555" spans="10:16">
      <c r="J1555" s="5" t="s">
        <v>4457</v>
      </c>
      <c r="K1555" t="s">
        <v>4458</v>
      </c>
      <c r="L1555" t="s">
        <v>85</v>
      </c>
      <c r="M1555" t="s">
        <v>86</v>
      </c>
      <c r="N1555" s="2">
        <v>4.74</v>
      </c>
      <c r="O1555" s="1">
        <v>9</v>
      </c>
      <c r="P1555" s="2">
        <v>42.660000000000004</v>
      </c>
    </row>
    <row r="1556" spans="10:16">
      <c r="J1556" s="5" t="s">
        <v>4641</v>
      </c>
      <c r="K1556" t="s">
        <v>4642</v>
      </c>
      <c r="L1556" t="s">
        <v>85</v>
      </c>
      <c r="M1556" t="s">
        <v>86</v>
      </c>
      <c r="N1556" s="2">
        <v>2.82</v>
      </c>
      <c r="O1556" s="1">
        <v>15</v>
      </c>
      <c r="P1556" s="2">
        <v>42.3</v>
      </c>
    </row>
    <row r="1557" spans="10:16">
      <c r="J1557" s="5" t="s">
        <v>2867</v>
      </c>
      <c r="K1557" t="s">
        <v>2868</v>
      </c>
      <c r="L1557" t="s">
        <v>219</v>
      </c>
      <c r="M1557" t="s">
        <v>86</v>
      </c>
      <c r="N1557" s="2">
        <v>3.2513000000000001</v>
      </c>
      <c r="O1557" s="1">
        <v>13</v>
      </c>
      <c r="P1557" s="2">
        <v>42.2669</v>
      </c>
    </row>
    <row r="1558" spans="10:16">
      <c r="J1558" s="5" t="s">
        <v>3754</v>
      </c>
      <c r="K1558" t="s">
        <v>3755</v>
      </c>
      <c r="L1558" t="s">
        <v>243</v>
      </c>
      <c r="M1558" t="s">
        <v>86</v>
      </c>
      <c r="N1558" s="2">
        <v>4.2022000000000004</v>
      </c>
      <c r="O1558" s="1">
        <v>20</v>
      </c>
      <c r="P1558" s="2">
        <v>42.022000000000006</v>
      </c>
    </row>
    <row r="1559" spans="10:16">
      <c r="J1559" s="5" t="s">
        <v>1378</v>
      </c>
      <c r="K1559" t="s">
        <v>1379</v>
      </c>
      <c r="L1559" t="s">
        <v>115</v>
      </c>
      <c r="M1559" t="s">
        <v>102</v>
      </c>
      <c r="N1559" s="2">
        <v>8.8999999999999996E-2</v>
      </c>
      <c r="O1559" s="1">
        <v>469</v>
      </c>
      <c r="P1559" s="2">
        <v>41.741</v>
      </c>
    </row>
    <row r="1560" spans="10:16">
      <c r="J1560" s="5" t="s">
        <v>3480</v>
      </c>
      <c r="K1560" t="s">
        <v>3481</v>
      </c>
      <c r="L1560" t="s">
        <v>3482</v>
      </c>
      <c r="M1560" t="s">
        <v>86</v>
      </c>
      <c r="N1560" s="2">
        <v>41.71</v>
      </c>
      <c r="O1560" s="1">
        <v>1</v>
      </c>
      <c r="P1560" s="2">
        <v>41.71</v>
      </c>
    </row>
    <row r="1561" spans="10:16">
      <c r="J1561" s="5" t="s">
        <v>4970</v>
      </c>
      <c r="K1561" t="s">
        <v>4971</v>
      </c>
      <c r="L1561" t="s">
        <v>219</v>
      </c>
      <c r="M1561" t="s">
        <v>86</v>
      </c>
      <c r="N1561" s="2">
        <v>5.1984000000000004</v>
      </c>
      <c r="O1561" s="1">
        <v>16</v>
      </c>
      <c r="P1561" s="2">
        <v>41.587200000000003</v>
      </c>
    </row>
    <row r="1562" spans="10:16">
      <c r="J1562" s="5" t="s">
        <v>2781</v>
      </c>
      <c r="K1562" t="s">
        <v>2782</v>
      </c>
      <c r="L1562" t="s">
        <v>85</v>
      </c>
      <c r="M1562" t="s">
        <v>86</v>
      </c>
      <c r="N1562" s="2">
        <v>2.4319999999999999</v>
      </c>
      <c r="O1562" s="1">
        <v>17</v>
      </c>
      <c r="P1562" s="2">
        <v>41.344000000000001</v>
      </c>
    </row>
    <row r="1563" spans="10:16">
      <c r="J1563" s="5" t="s">
        <v>3930</v>
      </c>
      <c r="K1563" t="s">
        <v>3929</v>
      </c>
      <c r="L1563" t="s">
        <v>98</v>
      </c>
      <c r="M1563" t="s">
        <v>86</v>
      </c>
      <c r="N1563" s="2">
        <v>8.2509999999999994</v>
      </c>
      <c r="O1563" s="1">
        <v>5</v>
      </c>
      <c r="P1563" s="2">
        <v>41.254999999999995</v>
      </c>
    </row>
    <row r="1564" spans="10:16">
      <c r="J1564" s="5" t="s">
        <v>3643</v>
      </c>
      <c r="K1564" t="s">
        <v>3644</v>
      </c>
      <c r="L1564" t="s">
        <v>85</v>
      </c>
      <c r="M1564" t="s">
        <v>86</v>
      </c>
      <c r="N1564" s="2">
        <v>8.2468000000000004</v>
      </c>
      <c r="O1564" s="1">
        <v>5</v>
      </c>
      <c r="P1564" s="2">
        <v>41.234000000000002</v>
      </c>
    </row>
    <row r="1565" spans="10:16">
      <c r="J1565" s="5" t="s">
        <v>3384</v>
      </c>
      <c r="K1565" t="s">
        <v>3385</v>
      </c>
      <c r="L1565" t="s">
        <v>131</v>
      </c>
      <c r="M1565" t="s">
        <v>125</v>
      </c>
      <c r="N1565" s="2">
        <v>41.18</v>
      </c>
      <c r="O1565" s="1">
        <v>1</v>
      </c>
      <c r="P1565" s="2">
        <v>41.18</v>
      </c>
    </row>
    <row r="1566" spans="10:16">
      <c r="J1566" s="5" t="s">
        <v>356</v>
      </c>
      <c r="K1566" t="s">
        <v>357</v>
      </c>
      <c r="L1566" t="s">
        <v>98</v>
      </c>
      <c r="M1566" t="s">
        <v>86</v>
      </c>
      <c r="N1566" s="2">
        <v>10.26</v>
      </c>
      <c r="O1566" s="1">
        <v>4</v>
      </c>
      <c r="P1566" s="2">
        <v>41.04</v>
      </c>
    </row>
    <row r="1567" spans="10:16">
      <c r="J1567" s="5" t="s">
        <v>4439</v>
      </c>
      <c r="K1567" t="s">
        <v>4440</v>
      </c>
      <c r="L1567" t="s">
        <v>85</v>
      </c>
      <c r="M1567" t="s">
        <v>86</v>
      </c>
      <c r="N1567" s="2">
        <v>2.4098000000000002</v>
      </c>
      <c r="O1567" s="1">
        <v>34</v>
      </c>
      <c r="P1567" s="2">
        <v>40.9666</v>
      </c>
    </row>
    <row r="1568" spans="10:16">
      <c r="J1568" s="5" t="s">
        <v>3045</v>
      </c>
      <c r="K1568" t="s">
        <v>3046</v>
      </c>
      <c r="L1568" t="s">
        <v>85</v>
      </c>
      <c r="M1568" t="s">
        <v>86</v>
      </c>
      <c r="N1568" s="2">
        <v>5.1159999999999997</v>
      </c>
      <c r="O1568" s="1">
        <v>8</v>
      </c>
      <c r="P1568" s="2">
        <v>40.927999999999997</v>
      </c>
    </row>
    <row r="1569" spans="10:16">
      <c r="J1569" s="5" t="s">
        <v>4443</v>
      </c>
      <c r="K1569" t="s">
        <v>3242</v>
      </c>
      <c r="L1569" t="s">
        <v>85</v>
      </c>
      <c r="M1569" t="s">
        <v>86</v>
      </c>
      <c r="N1569" s="2">
        <v>5.1117999999999997</v>
      </c>
      <c r="O1569" s="1">
        <v>16</v>
      </c>
      <c r="P1569" s="2">
        <v>40.894399999999997</v>
      </c>
    </row>
    <row r="1570" spans="10:16">
      <c r="J1570" s="5" t="s">
        <v>489</v>
      </c>
      <c r="K1570" t="s">
        <v>490</v>
      </c>
      <c r="L1570" t="s">
        <v>243</v>
      </c>
      <c r="M1570" t="s">
        <v>86</v>
      </c>
      <c r="N1570" s="2">
        <v>13.61</v>
      </c>
      <c r="O1570" s="1">
        <v>3</v>
      </c>
      <c r="P1570" s="2">
        <v>40.83</v>
      </c>
    </row>
    <row r="1571" spans="10:16">
      <c r="J1571" s="5" t="s">
        <v>4700</v>
      </c>
      <c r="K1571" t="s">
        <v>4701</v>
      </c>
      <c r="L1571" t="s">
        <v>436</v>
      </c>
      <c r="M1571" t="s">
        <v>86</v>
      </c>
      <c r="N1571" s="2">
        <v>20.41</v>
      </c>
      <c r="O1571" s="1">
        <v>2</v>
      </c>
      <c r="P1571" s="2">
        <v>40.82</v>
      </c>
    </row>
    <row r="1572" spans="10:16">
      <c r="J1572" s="5" t="s">
        <v>3380</v>
      </c>
      <c r="K1572" t="s">
        <v>3381</v>
      </c>
      <c r="L1572" t="s">
        <v>128</v>
      </c>
      <c r="M1572" t="s">
        <v>125</v>
      </c>
      <c r="N1572" s="2">
        <v>40.728000000000002</v>
      </c>
      <c r="O1572" s="1">
        <v>1</v>
      </c>
      <c r="P1572" s="2">
        <v>40.728000000000002</v>
      </c>
    </row>
    <row r="1573" spans="10:16">
      <c r="J1573" s="5" t="s">
        <v>2570</v>
      </c>
      <c r="K1573" t="s">
        <v>2571</v>
      </c>
      <c r="L1573" t="s">
        <v>115</v>
      </c>
      <c r="M1573" t="s">
        <v>1931</v>
      </c>
      <c r="N1573" s="2">
        <v>40.65</v>
      </c>
      <c r="O1573" s="1">
        <v>1</v>
      </c>
      <c r="P1573" s="2">
        <v>40.65</v>
      </c>
    </row>
    <row r="1574" spans="10:16">
      <c r="J1574" s="5" t="s">
        <v>250</v>
      </c>
      <c r="K1574" t="s">
        <v>251</v>
      </c>
      <c r="L1574" t="s">
        <v>243</v>
      </c>
      <c r="M1574" t="s">
        <v>86</v>
      </c>
      <c r="N1574" s="2">
        <v>2.0289999999999999</v>
      </c>
      <c r="O1574" s="1">
        <v>20</v>
      </c>
      <c r="P1574" s="2">
        <v>40.58</v>
      </c>
    </row>
    <row r="1575" spans="10:16">
      <c r="J1575" s="5" t="s">
        <v>3050</v>
      </c>
      <c r="K1575" t="s">
        <v>2252</v>
      </c>
      <c r="L1575" t="s">
        <v>85</v>
      </c>
      <c r="M1575" t="s">
        <v>86</v>
      </c>
      <c r="N1575" s="2">
        <v>1.3513999999999999</v>
      </c>
      <c r="O1575" s="1">
        <v>30</v>
      </c>
      <c r="P1575" s="2">
        <v>40.542000000000002</v>
      </c>
    </row>
    <row r="1576" spans="10:16">
      <c r="J1576" s="5" t="s">
        <v>1897</v>
      </c>
      <c r="K1576" t="s">
        <v>1898</v>
      </c>
      <c r="L1576" t="s">
        <v>1821</v>
      </c>
      <c r="M1576" t="s">
        <v>125</v>
      </c>
      <c r="N1576" s="2">
        <v>40.5334</v>
      </c>
      <c r="O1576" s="1">
        <v>2</v>
      </c>
      <c r="P1576" s="2">
        <v>40.5334</v>
      </c>
    </row>
    <row r="1577" spans="10:16">
      <c r="J1577" s="5" t="s">
        <v>3290</v>
      </c>
      <c r="K1577" t="s">
        <v>3291</v>
      </c>
      <c r="L1577" t="s">
        <v>85</v>
      </c>
      <c r="M1577" t="s">
        <v>86</v>
      </c>
      <c r="N1577" s="2">
        <v>5.0599999999999999E-2</v>
      </c>
      <c r="O1577" s="1">
        <v>1600</v>
      </c>
      <c r="P1577" s="2">
        <v>40.479999999999997</v>
      </c>
    </row>
    <row r="1578" spans="10:16">
      <c r="J1578" s="5" t="s">
        <v>3639</v>
      </c>
      <c r="K1578" t="s">
        <v>3640</v>
      </c>
      <c r="L1578" t="s">
        <v>219</v>
      </c>
      <c r="M1578" t="s">
        <v>86</v>
      </c>
      <c r="N1578" s="2">
        <v>8.08</v>
      </c>
      <c r="O1578" s="1">
        <v>5</v>
      </c>
      <c r="P1578" s="2">
        <v>40.4</v>
      </c>
    </row>
    <row r="1579" spans="10:16">
      <c r="J1579" s="5" t="s">
        <v>1612</v>
      </c>
      <c r="K1579" t="s">
        <v>1613</v>
      </c>
      <c r="L1579" t="s">
        <v>115</v>
      </c>
      <c r="M1579" t="s">
        <v>102</v>
      </c>
      <c r="N1579" s="2">
        <v>0.14000000000000001</v>
      </c>
      <c r="O1579" s="1">
        <v>288</v>
      </c>
      <c r="P1579" s="2">
        <v>40.320000000000007</v>
      </c>
    </row>
    <row r="1580" spans="10:16">
      <c r="J1580" s="5" t="s">
        <v>3911</v>
      </c>
      <c r="K1580" t="s">
        <v>3261</v>
      </c>
      <c r="L1580" t="s">
        <v>476</v>
      </c>
      <c r="M1580" t="s">
        <v>86</v>
      </c>
      <c r="N1580" s="2">
        <v>20.116</v>
      </c>
      <c r="O1580" s="1">
        <v>2</v>
      </c>
      <c r="P1580" s="2">
        <v>40.231999999999999</v>
      </c>
    </row>
    <row r="1581" spans="10:16">
      <c r="J1581" s="5" t="s">
        <v>4731</v>
      </c>
      <c r="K1581" t="s">
        <v>4732</v>
      </c>
      <c r="L1581" t="s">
        <v>219</v>
      </c>
      <c r="M1581" t="s">
        <v>86</v>
      </c>
      <c r="N1581" s="2">
        <v>13.38</v>
      </c>
      <c r="O1581" s="1">
        <v>3</v>
      </c>
      <c r="P1581" s="2">
        <v>40.14</v>
      </c>
    </row>
    <row r="1582" spans="10:16">
      <c r="J1582" s="5" t="s">
        <v>3613</v>
      </c>
      <c r="K1582" t="s">
        <v>3614</v>
      </c>
      <c r="L1582" t="s">
        <v>85</v>
      </c>
      <c r="M1582" t="s">
        <v>86</v>
      </c>
      <c r="N1582" s="2">
        <v>2.1086999999999998</v>
      </c>
      <c r="O1582" s="1">
        <v>19</v>
      </c>
      <c r="P1582" s="2">
        <v>40.065299999999993</v>
      </c>
    </row>
    <row r="1583" spans="10:16">
      <c r="J1583" s="5" t="s">
        <v>539</v>
      </c>
      <c r="K1583" t="s">
        <v>540</v>
      </c>
      <c r="L1583" t="s">
        <v>85</v>
      </c>
      <c r="M1583" t="s">
        <v>86</v>
      </c>
      <c r="N1583" s="2">
        <v>1.669</v>
      </c>
      <c r="O1583" s="1">
        <v>24</v>
      </c>
      <c r="P1583" s="2">
        <v>40.055999999999997</v>
      </c>
    </row>
    <row r="1584" spans="10:16">
      <c r="J1584" s="5" t="s">
        <v>1797</v>
      </c>
      <c r="K1584" t="s">
        <v>1798</v>
      </c>
      <c r="L1584" t="s">
        <v>31</v>
      </c>
      <c r="M1584" t="s">
        <v>1931</v>
      </c>
      <c r="N1584" s="2">
        <v>40</v>
      </c>
      <c r="O1584" s="1">
        <v>1</v>
      </c>
      <c r="P1584" s="2">
        <v>40</v>
      </c>
    </row>
    <row r="1585" spans="10:16">
      <c r="J1585" s="5" t="s">
        <v>1962</v>
      </c>
      <c r="K1585" t="s">
        <v>1963</v>
      </c>
      <c r="L1585" t="s">
        <v>31</v>
      </c>
      <c r="M1585" t="s">
        <v>125</v>
      </c>
      <c r="N1585" s="2">
        <v>10</v>
      </c>
      <c r="O1585" s="1">
        <v>4</v>
      </c>
      <c r="P1585" s="2">
        <v>40</v>
      </c>
    </row>
    <row r="1586" spans="10:16">
      <c r="J1586" s="5" t="s">
        <v>1911</v>
      </c>
      <c r="K1586" t="s">
        <v>1912</v>
      </c>
      <c r="L1586" t="s">
        <v>31</v>
      </c>
      <c r="M1586" t="s">
        <v>1931</v>
      </c>
      <c r="N1586" s="2">
        <v>40</v>
      </c>
      <c r="O1586" s="1">
        <v>1</v>
      </c>
      <c r="P1586" s="2">
        <v>40</v>
      </c>
    </row>
    <row r="1587" spans="10:16">
      <c r="J1587" s="5" t="s">
        <v>1861</v>
      </c>
      <c r="K1587" t="s">
        <v>1862</v>
      </c>
      <c r="L1587" t="s">
        <v>31</v>
      </c>
      <c r="M1587" t="s">
        <v>125</v>
      </c>
      <c r="N1587" s="2">
        <v>40</v>
      </c>
      <c r="O1587" s="1">
        <v>1</v>
      </c>
      <c r="P1587" s="2">
        <v>40</v>
      </c>
    </row>
    <row r="1588" spans="10:16">
      <c r="J1588" s="5" t="s">
        <v>4374</v>
      </c>
      <c r="K1588" t="s">
        <v>4375</v>
      </c>
      <c r="L1588" t="s">
        <v>85</v>
      </c>
      <c r="M1588" t="s">
        <v>86</v>
      </c>
      <c r="N1588" s="2">
        <v>7.97</v>
      </c>
      <c r="O1588" s="1">
        <v>5</v>
      </c>
      <c r="P1588" s="2">
        <v>39.85</v>
      </c>
    </row>
    <row r="1589" spans="10:16">
      <c r="J1589" s="5" t="s">
        <v>4347</v>
      </c>
      <c r="K1589" t="s">
        <v>2234</v>
      </c>
      <c r="L1589" t="s">
        <v>85</v>
      </c>
      <c r="M1589" t="s">
        <v>86</v>
      </c>
      <c r="N1589" s="2">
        <v>0.54479999999999995</v>
      </c>
      <c r="O1589" s="1">
        <v>73</v>
      </c>
      <c r="P1589" s="2">
        <v>39.770399999999995</v>
      </c>
    </row>
    <row r="1590" spans="10:16">
      <c r="J1590" s="5" t="s">
        <v>4261</v>
      </c>
      <c r="K1590" t="s">
        <v>4262</v>
      </c>
      <c r="L1590" t="s">
        <v>85</v>
      </c>
      <c r="M1590" t="s">
        <v>86</v>
      </c>
      <c r="N1590" s="2">
        <v>2.4841000000000002</v>
      </c>
      <c r="O1590" s="1">
        <v>16</v>
      </c>
      <c r="P1590" s="2">
        <v>39.745600000000003</v>
      </c>
    </row>
    <row r="1591" spans="10:16">
      <c r="J1591" s="5" t="s">
        <v>4192</v>
      </c>
      <c r="K1591" t="s">
        <v>4193</v>
      </c>
      <c r="L1591" t="s">
        <v>85</v>
      </c>
      <c r="M1591" t="s">
        <v>86</v>
      </c>
      <c r="N1591" s="2">
        <v>39.603000000000002</v>
      </c>
      <c r="O1591" s="1">
        <v>1</v>
      </c>
      <c r="P1591" s="2">
        <v>39.603000000000002</v>
      </c>
    </row>
    <row r="1592" spans="10:16">
      <c r="J1592" s="5" t="s">
        <v>949</v>
      </c>
      <c r="K1592" t="s">
        <v>950</v>
      </c>
      <c r="L1592" t="s">
        <v>31</v>
      </c>
      <c r="M1592" t="s">
        <v>125</v>
      </c>
      <c r="N1592" s="2">
        <v>3.597</v>
      </c>
      <c r="O1592" s="1">
        <v>11</v>
      </c>
      <c r="P1592" s="2">
        <v>39.567</v>
      </c>
    </row>
    <row r="1593" spans="10:16">
      <c r="J1593" s="5" t="s">
        <v>2489</v>
      </c>
      <c r="K1593" t="s">
        <v>2490</v>
      </c>
      <c r="L1593" t="s">
        <v>85</v>
      </c>
      <c r="M1593" t="s">
        <v>86</v>
      </c>
      <c r="N1593" s="2">
        <v>19.776</v>
      </c>
      <c r="O1593" s="1">
        <v>2</v>
      </c>
      <c r="P1593" s="2">
        <v>39.552</v>
      </c>
    </row>
    <row r="1594" spans="10:16">
      <c r="J1594" s="5" t="s">
        <v>352</v>
      </c>
      <c r="K1594" t="s">
        <v>353</v>
      </c>
      <c r="L1594" t="s">
        <v>98</v>
      </c>
      <c r="M1594" t="s">
        <v>86</v>
      </c>
      <c r="N1594" s="2">
        <v>13.13</v>
      </c>
      <c r="O1594" s="1">
        <v>3</v>
      </c>
      <c r="P1594" s="2">
        <v>39.39</v>
      </c>
    </row>
    <row r="1595" spans="10:16">
      <c r="J1595" s="5" t="s">
        <v>2242</v>
      </c>
      <c r="K1595" t="s">
        <v>2243</v>
      </c>
      <c r="L1595" t="s">
        <v>85</v>
      </c>
      <c r="M1595" t="s">
        <v>86</v>
      </c>
      <c r="N1595" s="2">
        <v>19.690000000000001</v>
      </c>
      <c r="O1595" s="1">
        <v>2</v>
      </c>
      <c r="P1595" s="2">
        <v>39.380000000000003</v>
      </c>
    </row>
    <row r="1596" spans="10:16">
      <c r="J1596" s="5" t="s">
        <v>5119</v>
      </c>
      <c r="K1596" t="s">
        <v>5120</v>
      </c>
      <c r="L1596" t="s">
        <v>580</v>
      </c>
      <c r="M1596" t="s">
        <v>581</v>
      </c>
      <c r="N1596" s="2">
        <v>0.19600000000000001</v>
      </c>
      <c r="O1596" s="1">
        <v>200</v>
      </c>
      <c r="P1596" s="2">
        <v>39.200000000000003</v>
      </c>
    </row>
    <row r="1597" spans="10:16">
      <c r="J1597" s="5" t="s">
        <v>5048</v>
      </c>
      <c r="K1597" t="s">
        <v>5049</v>
      </c>
      <c r="L1597" t="s">
        <v>228</v>
      </c>
      <c r="M1597" t="s">
        <v>86</v>
      </c>
      <c r="N1597" s="2">
        <v>3.5510000000000002</v>
      </c>
      <c r="O1597" s="1">
        <v>11</v>
      </c>
      <c r="P1597" s="2">
        <v>39.061</v>
      </c>
    </row>
    <row r="1598" spans="10:16">
      <c r="J1598" s="5" t="s">
        <v>288</v>
      </c>
      <c r="K1598" t="s">
        <v>3971</v>
      </c>
      <c r="L1598" t="s">
        <v>85</v>
      </c>
      <c r="M1598" t="s">
        <v>86</v>
      </c>
      <c r="N1598" s="2">
        <v>4.3357000000000001</v>
      </c>
      <c r="O1598" s="1">
        <v>9</v>
      </c>
      <c r="P1598" s="2">
        <v>39.021300000000004</v>
      </c>
    </row>
    <row r="1599" spans="10:16">
      <c r="J1599" s="5" t="s">
        <v>3498</v>
      </c>
      <c r="K1599" t="s">
        <v>3499</v>
      </c>
      <c r="L1599" t="s">
        <v>219</v>
      </c>
      <c r="M1599" t="s">
        <v>86</v>
      </c>
      <c r="N1599" s="2">
        <v>4.3348000000000004</v>
      </c>
      <c r="O1599" s="1">
        <v>18</v>
      </c>
      <c r="P1599" s="2">
        <v>39.013200000000005</v>
      </c>
    </row>
    <row r="1600" spans="10:16">
      <c r="J1600" s="5" t="s">
        <v>2673</v>
      </c>
      <c r="K1600" t="s">
        <v>2674</v>
      </c>
      <c r="L1600" t="s">
        <v>128</v>
      </c>
      <c r="M1600" t="s">
        <v>125</v>
      </c>
      <c r="N1600" s="2">
        <v>9.6679999999999993</v>
      </c>
      <c r="O1600" s="1">
        <v>4</v>
      </c>
      <c r="P1600" s="2">
        <v>38.671999999999997</v>
      </c>
    </row>
    <row r="1601" spans="10:16">
      <c r="J1601" s="5" t="s">
        <v>416</v>
      </c>
      <c r="K1601" t="s">
        <v>417</v>
      </c>
      <c r="L1601" t="s">
        <v>85</v>
      </c>
      <c r="M1601" t="s">
        <v>86</v>
      </c>
      <c r="N1601" s="2">
        <v>4.2926000000000002</v>
      </c>
      <c r="O1601" s="1">
        <v>18</v>
      </c>
      <c r="P1601" s="2">
        <v>38.633400000000002</v>
      </c>
    </row>
    <row r="1602" spans="10:16">
      <c r="J1602" s="5" t="s">
        <v>4809</v>
      </c>
      <c r="K1602" t="s">
        <v>4810</v>
      </c>
      <c r="L1602" t="s">
        <v>85</v>
      </c>
      <c r="M1602" t="s">
        <v>86</v>
      </c>
      <c r="N1602" s="2">
        <v>19.315999999999999</v>
      </c>
      <c r="O1602" s="1">
        <v>4</v>
      </c>
      <c r="P1602" s="2">
        <v>38.631999999999998</v>
      </c>
    </row>
    <row r="1603" spans="10:16">
      <c r="J1603" s="5" t="s">
        <v>2893</v>
      </c>
      <c r="K1603" t="s">
        <v>2894</v>
      </c>
      <c r="L1603" t="s">
        <v>98</v>
      </c>
      <c r="M1603" t="s">
        <v>86</v>
      </c>
      <c r="N1603" s="2">
        <v>7.718</v>
      </c>
      <c r="O1603" s="1">
        <v>5</v>
      </c>
      <c r="P1603" s="2">
        <v>38.590000000000003</v>
      </c>
    </row>
    <row r="1604" spans="10:16">
      <c r="J1604" s="5" t="s">
        <v>596</v>
      </c>
      <c r="K1604" t="s">
        <v>597</v>
      </c>
      <c r="L1604" t="s">
        <v>31</v>
      </c>
      <c r="M1604" t="s">
        <v>1931</v>
      </c>
      <c r="N1604" s="2">
        <v>19.2</v>
      </c>
      <c r="O1604" s="1">
        <v>2</v>
      </c>
      <c r="P1604" s="2">
        <v>38.4</v>
      </c>
    </row>
    <row r="1605" spans="10:16">
      <c r="J1605" s="5" t="s">
        <v>4245</v>
      </c>
      <c r="K1605" t="s">
        <v>4246</v>
      </c>
      <c r="L1605" t="s">
        <v>219</v>
      </c>
      <c r="M1605" t="s">
        <v>86</v>
      </c>
      <c r="N1605" s="2">
        <v>19.18</v>
      </c>
      <c r="O1605" s="1">
        <v>2</v>
      </c>
      <c r="P1605" s="2">
        <v>38.36</v>
      </c>
    </row>
    <row r="1606" spans="10:16">
      <c r="J1606" s="5" t="s">
        <v>1411</v>
      </c>
      <c r="K1606" t="s">
        <v>1412</v>
      </c>
      <c r="L1606" t="s">
        <v>115</v>
      </c>
      <c r="M1606" t="s">
        <v>102</v>
      </c>
      <c r="N1606" s="2">
        <v>5.1400000000000001E-2</v>
      </c>
      <c r="O1606" s="1">
        <v>746</v>
      </c>
      <c r="P1606" s="2">
        <v>38.3444</v>
      </c>
    </row>
    <row r="1607" spans="10:16">
      <c r="J1607" s="5" t="s">
        <v>1103</v>
      </c>
      <c r="K1607" t="s">
        <v>1104</v>
      </c>
      <c r="L1607" t="s">
        <v>141</v>
      </c>
      <c r="M1607" t="s">
        <v>125</v>
      </c>
      <c r="N1607" s="2">
        <v>19.16</v>
      </c>
      <c r="O1607" s="1">
        <v>2</v>
      </c>
      <c r="P1607" s="2">
        <v>38.32</v>
      </c>
    </row>
    <row r="1608" spans="10:16">
      <c r="J1608" s="5" t="s">
        <v>2479</v>
      </c>
      <c r="K1608" t="s">
        <v>2480</v>
      </c>
      <c r="L1608" t="s">
        <v>219</v>
      </c>
      <c r="M1608" t="s">
        <v>86</v>
      </c>
      <c r="N1608" s="2">
        <v>4.7632000000000003</v>
      </c>
      <c r="O1608" s="1">
        <v>16</v>
      </c>
      <c r="P1608" s="2">
        <v>38.105600000000003</v>
      </c>
    </row>
    <row r="1609" spans="10:16">
      <c r="J1609" s="5" t="s">
        <v>3041</v>
      </c>
      <c r="K1609" t="s">
        <v>3042</v>
      </c>
      <c r="L1609" t="s">
        <v>85</v>
      </c>
      <c r="M1609" t="s">
        <v>86</v>
      </c>
      <c r="N1609" s="2">
        <v>5.4240000000000004</v>
      </c>
      <c r="O1609" s="1">
        <v>7</v>
      </c>
      <c r="P1609" s="2">
        <v>37.968000000000004</v>
      </c>
    </row>
    <row r="1610" spans="10:16">
      <c r="J1610" s="5" t="s">
        <v>3271</v>
      </c>
      <c r="K1610" t="s">
        <v>3272</v>
      </c>
      <c r="L1610" t="s">
        <v>243</v>
      </c>
      <c r="M1610" t="s">
        <v>86</v>
      </c>
      <c r="N1610" s="2">
        <v>12.606999999999999</v>
      </c>
      <c r="O1610" s="1">
        <v>3</v>
      </c>
      <c r="P1610" s="2">
        <v>37.820999999999998</v>
      </c>
    </row>
    <row r="1611" spans="10:16">
      <c r="J1611" s="5" t="s">
        <v>4721</v>
      </c>
      <c r="K1611" t="s">
        <v>4722</v>
      </c>
      <c r="L1611" t="s">
        <v>219</v>
      </c>
      <c r="M1611" t="s">
        <v>86</v>
      </c>
      <c r="N1611" s="2">
        <v>37.78</v>
      </c>
      <c r="O1611" s="1">
        <v>1</v>
      </c>
      <c r="P1611" s="2">
        <v>37.78</v>
      </c>
    </row>
    <row r="1612" spans="10:16">
      <c r="J1612" s="5" t="s">
        <v>3724</v>
      </c>
      <c r="K1612" t="s">
        <v>3725</v>
      </c>
      <c r="L1612" t="s">
        <v>219</v>
      </c>
      <c r="M1612" t="s">
        <v>86</v>
      </c>
      <c r="N1612" s="2">
        <v>12.5932</v>
      </c>
      <c r="O1612" s="1">
        <v>6</v>
      </c>
      <c r="P1612" s="2">
        <v>37.779600000000002</v>
      </c>
    </row>
    <row r="1613" spans="10:16">
      <c r="J1613" s="5" t="s">
        <v>2527</v>
      </c>
      <c r="K1613" t="s">
        <v>2528</v>
      </c>
      <c r="L1613" t="s">
        <v>31</v>
      </c>
      <c r="M1613" t="s">
        <v>1931</v>
      </c>
      <c r="N1613" s="2">
        <v>37.774999999999999</v>
      </c>
      <c r="O1613" s="1">
        <v>1</v>
      </c>
      <c r="P1613" s="2">
        <v>37.774999999999999</v>
      </c>
    </row>
    <row r="1614" spans="10:16">
      <c r="J1614" s="5" t="s">
        <v>2545</v>
      </c>
      <c r="K1614" t="s">
        <v>2546</v>
      </c>
      <c r="L1614" t="s">
        <v>1044</v>
      </c>
      <c r="M1614" t="s">
        <v>125</v>
      </c>
      <c r="N1614" s="2">
        <v>9.41</v>
      </c>
      <c r="O1614" s="1">
        <v>4</v>
      </c>
      <c r="P1614" s="2">
        <v>37.64</v>
      </c>
    </row>
    <row r="1615" spans="10:16">
      <c r="J1615" s="5" t="s">
        <v>3811</v>
      </c>
      <c r="K1615" t="s">
        <v>3812</v>
      </c>
      <c r="L1615" t="s">
        <v>223</v>
      </c>
      <c r="M1615" t="s">
        <v>86</v>
      </c>
      <c r="N1615" s="2">
        <v>9.39</v>
      </c>
      <c r="O1615" s="1">
        <v>4</v>
      </c>
      <c r="P1615" s="2">
        <v>37.56</v>
      </c>
    </row>
    <row r="1616" spans="10:16">
      <c r="J1616" s="5" t="s">
        <v>5274</v>
      </c>
      <c r="K1616" t="s">
        <v>5275</v>
      </c>
      <c r="L1616" t="s">
        <v>85</v>
      </c>
      <c r="M1616" t="s">
        <v>86</v>
      </c>
      <c r="N1616" s="2">
        <v>2.0819999999999999</v>
      </c>
      <c r="O1616" s="1">
        <v>18</v>
      </c>
      <c r="P1616" s="2">
        <v>37.475999999999999</v>
      </c>
    </row>
    <row r="1617" spans="10:16">
      <c r="J1617" s="5" t="s">
        <v>3702</v>
      </c>
      <c r="K1617" t="s">
        <v>3703</v>
      </c>
      <c r="L1617" t="s">
        <v>436</v>
      </c>
      <c r="M1617" t="s">
        <v>86</v>
      </c>
      <c r="N1617" s="2">
        <v>12.46</v>
      </c>
      <c r="O1617" s="1">
        <v>3</v>
      </c>
      <c r="P1617" s="2">
        <v>37.380000000000003</v>
      </c>
    </row>
    <row r="1618" spans="10:16">
      <c r="J1618" s="5" t="s">
        <v>4027</v>
      </c>
      <c r="K1618" t="s">
        <v>4028</v>
      </c>
      <c r="L1618" t="s">
        <v>98</v>
      </c>
      <c r="M1618" t="s">
        <v>86</v>
      </c>
      <c r="N1618" s="2">
        <v>2.19</v>
      </c>
      <c r="O1618" s="1">
        <v>17</v>
      </c>
      <c r="P1618" s="2">
        <v>37.229999999999997</v>
      </c>
    </row>
    <row r="1619" spans="10:16">
      <c r="J1619" s="5" t="s">
        <v>1224</v>
      </c>
      <c r="K1619" t="s">
        <v>1225</v>
      </c>
      <c r="L1619" t="s">
        <v>31</v>
      </c>
      <c r="M1619" t="s">
        <v>1931</v>
      </c>
      <c r="N1619" s="2">
        <v>37.020000000000003</v>
      </c>
      <c r="O1619" s="1">
        <v>1</v>
      </c>
      <c r="P1619" s="2">
        <v>37.020000000000003</v>
      </c>
    </row>
    <row r="1620" spans="10:16">
      <c r="J1620" s="5" t="s">
        <v>3015</v>
      </c>
      <c r="K1620" t="s">
        <v>3016</v>
      </c>
      <c r="L1620" t="s">
        <v>85</v>
      </c>
      <c r="M1620" t="s">
        <v>86</v>
      </c>
      <c r="N1620" s="2">
        <v>7.3819999999999997</v>
      </c>
      <c r="O1620" s="1">
        <v>5</v>
      </c>
      <c r="P1620" s="2">
        <v>36.909999999999997</v>
      </c>
    </row>
    <row r="1621" spans="10:16">
      <c r="J1621" s="5" t="s">
        <v>4990</v>
      </c>
      <c r="K1621" t="s">
        <v>4991</v>
      </c>
      <c r="L1621" t="s">
        <v>219</v>
      </c>
      <c r="M1621" t="s">
        <v>86</v>
      </c>
      <c r="N1621" s="2">
        <v>2.4474999999999998</v>
      </c>
      <c r="O1621" s="1">
        <v>15</v>
      </c>
      <c r="P1621" s="2">
        <v>36.712499999999999</v>
      </c>
    </row>
    <row r="1622" spans="10:16">
      <c r="J1622" s="5" t="s">
        <v>4181</v>
      </c>
      <c r="K1622" t="s">
        <v>4182</v>
      </c>
      <c r="L1622" t="s">
        <v>219</v>
      </c>
      <c r="M1622" t="s">
        <v>86</v>
      </c>
      <c r="N1622" s="2">
        <v>36.65</v>
      </c>
      <c r="O1622" s="1">
        <v>1</v>
      </c>
      <c r="P1622" s="2">
        <v>36.65</v>
      </c>
    </row>
    <row r="1623" spans="10:16">
      <c r="J1623" s="5" t="s">
        <v>1571</v>
      </c>
      <c r="K1623" t="s">
        <v>1572</v>
      </c>
      <c r="L1623" t="s">
        <v>115</v>
      </c>
      <c r="M1623" t="s">
        <v>102</v>
      </c>
      <c r="N1623" s="2">
        <v>8.4000000000000005E-2</v>
      </c>
      <c r="O1623" s="1">
        <v>436</v>
      </c>
      <c r="P1623" s="2">
        <v>36.624000000000002</v>
      </c>
    </row>
    <row r="1624" spans="10:16">
      <c r="J1624" s="5" t="s">
        <v>908</v>
      </c>
      <c r="K1624" t="s">
        <v>909</v>
      </c>
      <c r="L1624" t="s">
        <v>1972</v>
      </c>
      <c r="M1624" t="s">
        <v>125</v>
      </c>
      <c r="N1624" s="2">
        <v>2.6147999999999998</v>
      </c>
      <c r="O1624" s="1">
        <v>28</v>
      </c>
      <c r="P1624" s="2">
        <v>36.607199999999999</v>
      </c>
    </row>
    <row r="1625" spans="10:16">
      <c r="J1625" s="5" t="s">
        <v>2256</v>
      </c>
      <c r="K1625" t="s">
        <v>5364</v>
      </c>
      <c r="L1625" t="s">
        <v>85</v>
      </c>
      <c r="M1625" t="s">
        <v>86</v>
      </c>
      <c r="N1625" s="2">
        <v>9.1379999999999999</v>
      </c>
      <c r="O1625" s="1">
        <v>4</v>
      </c>
      <c r="P1625" s="2">
        <v>36.552</v>
      </c>
    </row>
    <row r="1626" spans="10:16">
      <c r="J1626" s="5" t="s">
        <v>3742</v>
      </c>
      <c r="K1626" t="s">
        <v>3743</v>
      </c>
      <c r="L1626" t="s">
        <v>85</v>
      </c>
      <c r="M1626" t="s">
        <v>86</v>
      </c>
      <c r="N1626" s="2">
        <v>2.8068</v>
      </c>
      <c r="O1626" s="1">
        <v>13</v>
      </c>
      <c r="P1626" s="2">
        <v>36.488399999999999</v>
      </c>
    </row>
    <row r="1627" spans="10:16">
      <c r="J1627" s="5" t="s">
        <v>129</v>
      </c>
      <c r="K1627" t="s">
        <v>130</v>
      </c>
      <c r="L1627" t="s">
        <v>131</v>
      </c>
      <c r="M1627" t="s">
        <v>125</v>
      </c>
      <c r="N1627" s="2">
        <v>36.46</v>
      </c>
      <c r="O1627" s="1">
        <v>1</v>
      </c>
      <c r="P1627" s="2">
        <v>36.46</v>
      </c>
    </row>
    <row r="1628" spans="10:16">
      <c r="J1628" s="5" t="s">
        <v>4110</v>
      </c>
      <c r="K1628" t="s">
        <v>4111</v>
      </c>
      <c r="L1628" t="s">
        <v>228</v>
      </c>
      <c r="M1628" t="s">
        <v>86</v>
      </c>
      <c r="N1628" s="2">
        <v>2.14</v>
      </c>
      <c r="O1628" s="1">
        <v>17</v>
      </c>
      <c r="P1628" s="2">
        <v>36.380000000000003</v>
      </c>
    </row>
    <row r="1629" spans="10:16">
      <c r="J1629" s="5" t="s">
        <v>3171</v>
      </c>
      <c r="K1629" t="s">
        <v>3172</v>
      </c>
      <c r="L1629" t="s">
        <v>85</v>
      </c>
      <c r="M1629" t="s">
        <v>86</v>
      </c>
      <c r="N1629" s="2">
        <v>1.5092000000000001</v>
      </c>
      <c r="O1629" s="1">
        <v>48</v>
      </c>
      <c r="P1629" s="2">
        <v>36.220800000000004</v>
      </c>
    </row>
    <row r="1630" spans="10:16">
      <c r="J1630" s="5" t="s">
        <v>2807</v>
      </c>
      <c r="K1630" t="s">
        <v>2808</v>
      </c>
      <c r="L1630" t="s">
        <v>98</v>
      </c>
      <c r="M1630" t="s">
        <v>86</v>
      </c>
      <c r="N1630" s="2">
        <v>3.0148999999999999</v>
      </c>
      <c r="O1630" s="1">
        <v>12</v>
      </c>
      <c r="P1630" s="2">
        <v>36.178799999999995</v>
      </c>
    </row>
    <row r="1631" spans="10:16">
      <c r="J1631" s="5" t="s">
        <v>1316</v>
      </c>
      <c r="K1631" t="s">
        <v>1317</v>
      </c>
      <c r="L1631" t="s">
        <v>115</v>
      </c>
      <c r="M1631" t="s">
        <v>102</v>
      </c>
      <c r="N1631" s="2">
        <v>0.17119999999999999</v>
      </c>
      <c r="O1631" s="1">
        <v>211</v>
      </c>
      <c r="P1631" s="2">
        <v>36.123199999999997</v>
      </c>
    </row>
    <row r="1632" spans="10:16">
      <c r="J1632" s="5" t="s">
        <v>2965</v>
      </c>
      <c r="K1632" t="s">
        <v>2966</v>
      </c>
      <c r="L1632" t="s">
        <v>98</v>
      </c>
      <c r="M1632" t="s">
        <v>86</v>
      </c>
      <c r="N1632" s="2">
        <v>3.5950000000000002</v>
      </c>
      <c r="O1632" s="1">
        <v>10</v>
      </c>
      <c r="P1632" s="2">
        <v>35.950000000000003</v>
      </c>
    </row>
    <row r="1633" spans="10:16">
      <c r="J1633" s="5" t="s">
        <v>547</v>
      </c>
      <c r="K1633" t="s">
        <v>548</v>
      </c>
      <c r="L1633" t="s">
        <v>85</v>
      </c>
      <c r="M1633" t="s">
        <v>86</v>
      </c>
      <c r="N1633" s="2">
        <v>5.9837999999999996</v>
      </c>
      <c r="O1633" s="1">
        <v>12</v>
      </c>
      <c r="P1633" s="2">
        <v>35.902799999999999</v>
      </c>
    </row>
    <row r="1634" spans="10:16">
      <c r="J1634" s="5" t="s">
        <v>163</v>
      </c>
      <c r="K1634" t="s">
        <v>164</v>
      </c>
      <c r="L1634" t="s">
        <v>128</v>
      </c>
      <c r="M1634" t="s">
        <v>125</v>
      </c>
      <c r="N1634" s="2">
        <v>5.9630000000000001</v>
      </c>
      <c r="O1634" s="1">
        <v>6</v>
      </c>
      <c r="P1634" s="2">
        <v>35.777999999999999</v>
      </c>
    </row>
    <row r="1635" spans="10:16">
      <c r="J1635" s="5" t="s">
        <v>4265</v>
      </c>
      <c r="K1635" t="s">
        <v>4266</v>
      </c>
      <c r="L1635" t="s">
        <v>219</v>
      </c>
      <c r="M1635" t="s">
        <v>86</v>
      </c>
      <c r="N1635" s="2">
        <v>3.577</v>
      </c>
      <c r="O1635" s="1">
        <v>10</v>
      </c>
      <c r="P1635" s="2">
        <v>35.769999999999996</v>
      </c>
    </row>
    <row r="1636" spans="10:16">
      <c r="J1636" s="5" t="s">
        <v>3573</v>
      </c>
      <c r="K1636" t="s">
        <v>3574</v>
      </c>
      <c r="L1636" t="s">
        <v>219</v>
      </c>
      <c r="M1636" t="s">
        <v>86</v>
      </c>
      <c r="N1636" s="2">
        <v>1.6226</v>
      </c>
      <c r="O1636" s="1">
        <v>22</v>
      </c>
      <c r="P1636" s="2">
        <v>35.697200000000002</v>
      </c>
    </row>
    <row r="1637" spans="10:16">
      <c r="J1637" s="5" t="s">
        <v>3021</v>
      </c>
      <c r="K1637" t="s">
        <v>3022</v>
      </c>
      <c r="L1637" t="s">
        <v>85</v>
      </c>
      <c r="M1637" t="s">
        <v>86</v>
      </c>
      <c r="N1637" s="2">
        <v>11.856</v>
      </c>
      <c r="O1637" s="1">
        <v>3</v>
      </c>
      <c r="P1637" s="2">
        <v>35.567999999999998</v>
      </c>
    </row>
    <row r="1638" spans="10:16">
      <c r="J1638" s="5" t="s">
        <v>4763</v>
      </c>
      <c r="K1638" t="s">
        <v>4764</v>
      </c>
      <c r="L1638" t="s">
        <v>85</v>
      </c>
      <c r="M1638" t="s">
        <v>86</v>
      </c>
      <c r="N1638" s="2">
        <v>35.410200000000003</v>
      </c>
      <c r="O1638" s="1">
        <v>1</v>
      </c>
      <c r="P1638" s="2">
        <v>35.410200000000003</v>
      </c>
    </row>
    <row r="1639" spans="10:16">
      <c r="J1639" s="5" t="s">
        <v>4201</v>
      </c>
      <c r="K1639" t="s">
        <v>2468</v>
      </c>
      <c r="L1639" t="s">
        <v>243</v>
      </c>
      <c r="M1639" t="s">
        <v>86</v>
      </c>
      <c r="N1639" s="2">
        <v>35.31</v>
      </c>
      <c r="O1639" s="1">
        <v>1</v>
      </c>
      <c r="P1639" s="2">
        <v>35.31</v>
      </c>
    </row>
    <row r="1640" spans="10:16">
      <c r="J1640" s="5" t="s">
        <v>4758</v>
      </c>
      <c r="K1640" t="s">
        <v>2353</v>
      </c>
      <c r="L1640" t="s">
        <v>85</v>
      </c>
      <c r="M1640" t="s">
        <v>86</v>
      </c>
      <c r="N1640" s="2">
        <v>11.757</v>
      </c>
      <c r="O1640" s="1">
        <v>3</v>
      </c>
      <c r="P1640" s="2">
        <v>35.271000000000001</v>
      </c>
    </row>
    <row r="1641" spans="10:16">
      <c r="J1641" s="5" t="s">
        <v>4978</v>
      </c>
      <c r="K1641" t="s">
        <v>4979</v>
      </c>
      <c r="L1641" t="s">
        <v>85</v>
      </c>
      <c r="M1641" t="s">
        <v>86</v>
      </c>
      <c r="N1641" s="2">
        <v>0.29620000000000002</v>
      </c>
      <c r="O1641" s="1">
        <v>118</v>
      </c>
      <c r="P1641" s="2">
        <v>34.951599999999999</v>
      </c>
    </row>
    <row r="1642" spans="10:16">
      <c r="J1642" s="5" t="s">
        <v>2792</v>
      </c>
      <c r="K1642" t="s">
        <v>2793</v>
      </c>
      <c r="L1642" t="s">
        <v>85</v>
      </c>
      <c r="M1642" t="s">
        <v>86</v>
      </c>
      <c r="N1642" s="2">
        <v>4.9889999999999999</v>
      </c>
      <c r="O1642" s="1">
        <v>7</v>
      </c>
      <c r="P1642" s="2">
        <v>34.923000000000002</v>
      </c>
    </row>
    <row r="1643" spans="10:16">
      <c r="J1643" s="5" t="s">
        <v>995</v>
      </c>
      <c r="K1643" t="s">
        <v>996</v>
      </c>
      <c r="L1643" t="s">
        <v>618</v>
      </c>
      <c r="M1643" t="s">
        <v>626</v>
      </c>
      <c r="N1643" s="2">
        <v>3.4851999999999999</v>
      </c>
      <c r="O1643" s="1">
        <v>10</v>
      </c>
      <c r="P1643" s="2">
        <v>34.851999999999997</v>
      </c>
    </row>
    <row r="1644" spans="10:16">
      <c r="J1644" s="5" t="s">
        <v>165</v>
      </c>
      <c r="K1644" t="s">
        <v>166</v>
      </c>
      <c r="L1644" t="s">
        <v>128</v>
      </c>
      <c r="M1644" t="s">
        <v>125</v>
      </c>
      <c r="N1644" s="2">
        <v>5.79</v>
      </c>
      <c r="O1644" s="1">
        <v>6</v>
      </c>
      <c r="P1644" s="2">
        <v>34.74</v>
      </c>
    </row>
    <row r="1645" spans="10:16">
      <c r="J1645" s="5" t="s">
        <v>3138</v>
      </c>
      <c r="K1645" t="s">
        <v>3139</v>
      </c>
      <c r="L1645" t="s">
        <v>85</v>
      </c>
      <c r="M1645" t="s">
        <v>86</v>
      </c>
      <c r="N1645" s="2">
        <v>2.8896000000000002</v>
      </c>
      <c r="O1645" s="1">
        <v>24</v>
      </c>
      <c r="P1645" s="2">
        <v>34.675200000000004</v>
      </c>
    </row>
    <row r="1646" spans="10:16">
      <c r="J1646" s="5" t="s">
        <v>3059</v>
      </c>
      <c r="K1646" t="s">
        <v>3060</v>
      </c>
      <c r="L1646" t="s">
        <v>85</v>
      </c>
      <c r="M1646" t="s">
        <v>86</v>
      </c>
      <c r="N1646" s="2">
        <v>3.1497000000000002</v>
      </c>
      <c r="O1646" s="1">
        <v>11</v>
      </c>
      <c r="P1646" s="2">
        <v>34.646700000000003</v>
      </c>
    </row>
    <row r="1647" spans="10:16">
      <c r="J1647" s="5" t="s">
        <v>3854</v>
      </c>
      <c r="K1647" t="s">
        <v>3855</v>
      </c>
      <c r="L1647" t="s">
        <v>98</v>
      </c>
      <c r="M1647" t="s">
        <v>86</v>
      </c>
      <c r="N1647" s="2">
        <v>2.8866000000000001</v>
      </c>
      <c r="O1647" s="1">
        <v>24</v>
      </c>
      <c r="P1647" s="2">
        <v>34.639200000000002</v>
      </c>
    </row>
    <row r="1648" spans="10:16">
      <c r="J1648" s="5" t="s">
        <v>2601</v>
      </c>
      <c r="K1648" t="s">
        <v>2602</v>
      </c>
      <c r="L1648" t="s">
        <v>5474</v>
      </c>
      <c r="M1648" t="s">
        <v>125</v>
      </c>
      <c r="N1648" s="2">
        <v>34.6</v>
      </c>
      <c r="O1648" s="1">
        <v>1</v>
      </c>
      <c r="P1648" s="2">
        <v>34.6</v>
      </c>
    </row>
    <row r="1649" spans="10:16">
      <c r="J1649" s="5" t="s">
        <v>2328</v>
      </c>
      <c r="K1649" t="s">
        <v>2329</v>
      </c>
      <c r="L1649" t="s">
        <v>434</v>
      </c>
      <c r="M1649" t="s">
        <v>86</v>
      </c>
      <c r="N1649" s="2">
        <v>34.5</v>
      </c>
      <c r="O1649" s="1">
        <v>1</v>
      </c>
      <c r="P1649" s="2">
        <v>34.5</v>
      </c>
    </row>
    <row r="1650" spans="10:16">
      <c r="J1650" s="5" t="s">
        <v>4743</v>
      </c>
      <c r="K1650" t="s">
        <v>2300</v>
      </c>
      <c r="L1650" t="s">
        <v>219</v>
      </c>
      <c r="M1650" t="s">
        <v>86</v>
      </c>
      <c r="N1650" s="2">
        <v>34.474200000000003</v>
      </c>
      <c r="O1650" s="1">
        <v>2</v>
      </c>
      <c r="P1650" s="2">
        <v>34.474200000000003</v>
      </c>
    </row>
    <row r="1651" spans="10:16">
      <c r="J1651" s="5" t="s">
        <v>2276</v>
      </c>
      <c r="K1651" t="s">
        <v>2277</v>
      </c>
      <c r="L1651" t="s">
        <v>85</v>
      </c>
      <c r="M1651" t="s">
        <v>86</v>
      </c>
      <c r="N1651" s="2">
        <v>17.2364</v>
      </c>
      <c r="O1651" s="1">
        <v>4</v>
      </c>
      <c r="P1651" s="2">
        <v>34.472799999999999</v>
      </c>
    </row>
    <row r="1652" spans="10:16">
      <c r="J1652" s="5" t="s">
        <v>4824</v>
      </c>
      <c r="K1652" t="s">
        <v>4825</v>
      </c>
      <c r="L1652" t="s">
        <v>85</v>
      </c>
      <c r="M1652" t="s">
        <v>86</v>
      </c>
      <c r="N1652" s="2">
        <v>0.53820000000000001</v>
      </c>
      <c r="O1652" s="1">
        <v>128</v>
      </c>
      <c r="P1652" s="2">
        <v>34.444800000000001</v>
      </c>
    </row>
    <row r="1653" spans="10:16">
      <c r="J1653" s="5" t="s">
        <v>990</v>
      </c>
      <c r="K1653" t="s">
        <v>991</v>
      </c>
      <c r="L1653" t="s">
        <v>944</v>
      </c>
      <c r="M1653" t="s">
        <v>125</v>
      </c>
      <c r="N1653" s="2">
        <v>8.59</v>
      </c>
      <c r="O1653" s="1">
        <v>4</v>
      </c>
      <c r="P1653" s="2">
        <v>34.36</v>
      </c>
    </row>
    <row r="1654" spans="10:16">
      <c r="J1654" s="5" t="s">
        <v>2818</v>
      </c>
      <c r="K1654" t="s">
        <v>2819</v>
      </c>
      <c r="L1654" t="s">
        <v>85</v>
      </c>
      <c r="M1654" t="s">
        <v>86</v>
      </c>
      <c r="N1654" s="2">
        <v>0.83599999999999997</v>
      </c>
      <c r="O1654" s="1">
        <v>41</v>
      </c>
      <c r="P1654" s="2">
        <v>34.275999999999996</v>
      </c>
    </row>
    <row r="1655" spans="10:16">
      <c r="J1655" s="5" t="s">
        <v>2813</v>
      </c>
      <c r="K1655" t="s">
        <v>2814</v>
      </c>
      <c r="L1655" t="s">
        <v>85</v>
      </c>
      <c r="M1655" t="s">
        <v>86</v>
      </c>
      <c r="N1655" s="2">
        <v>11.42</v>
      </c>
      <c r="O1655" s="1">
        <v>3</v>
      </c>
      <c r="P1655" s="2">
        <v>34.26</v>
      </c>
    </row>
    <row r="1656" spans="10:16">
      <c r="J1656" s="5" t="s">
        <v>5299</v>
      </c>
      <c r="K1656" t="s">
        <v>5300</v>
      </c>
      <c r="L1656" t="s">
        <v>5081</v>
      </c>
      <c r="M1656" t="s">
        <v>125</v>
      </c>
      <c r="N1656" s="2">
        <v>2.8515000000000001</v>
      </c>
      <c r="O1656" s="1">
        <v>36</v>
      </c>
      <c r="P1656" s="2">
        <v>34.218000000000004</v>
      </c>
    </row>
    <row r="1657" spans="10:16">
      <c r="J1657" s="5" t="s">
        <v>2549</v>
      </c>
      <c r="K1657" t="s">
        <v>2550</v>
      </c>
      <c r="L1657" t="s">
        <v>1044</v>
      </c>
      <c r="M1657" t="s">
        <v>125</v>
      </c>
      <c r="N1657" s="2">
        <v>34.18</v>
      </c>
      <c r="O1657" s="1">
        <v>1</v>
      </c>
      <c r="P1657" s="2">
        <v>34.18</v>
      </c>
    </row>
    <row r="1658" spans="10:16">
      <c r="J1658" s="5" t="s">
        <v>3452</v>
      </c>
      <c r="K1658" t="s">
        <v>3453</v>
      </c>
      <c r="L1658" t="s">
        <v>219</v>
      </c>
      <c r="M1658" t="s">
        <v>86</v>
      </c>
      <c r="N1658" s="2">
        <v>3.4</v>
      </c>
      <c r="O1658" s="1">
        <v>10</v>
      </c>
      <c r="P1658" s="2">
        <v>34</v>
      </c>
    </row>
    <row r="1659" spans="10:16">
      <c r="J1659" s="5" t="s">
        <v>3845</v>
      </c>
      <c r="K1659" t="s">
        <v>3846</v>
      </c>
      <c r="L1659" t="s">
        <v>98</v>
      </c>
      <c r="M1659" t="s">
        <v>86</v>
      </c>
      <c r="N1659" s="2">
        <v>0.51439999999999997</v>
      </c>
      <c r="O1659" s="1">
        <v>66</v>
      </c>
      <c r="P1659" s="2">
        <v>33.950399999999995</v>
      </c>
    </row>
    <row r="1660" spans="10:16">
      <c r="J1660" s="5" t="s">
        <v>4650</v>
      </c>
      <c r="K1660" t="s">
        <v>4651</v>
      </c>
      <c r="L1660" t="s">
        <v>85</v>
      </c>
      <c r="M1660" t="s">
        <v>86</v>
      </c>
      <c r="N1660" s="2">
        <v>11.27</v>
      </c>
      <c r="O1660" s="1">
        <v>3</v>
      </c>
      <c r="P1660" s="2">
        <v>33.81</v>
      </c>
    </row>
    <row r="1661" spans="10:16">
      <c r="J1661" s="5" t="s">
        <v>679</v>
      </c>
      <c r="K1661" t="s">
        <v>680</v>
      </c>
      <c r="L1661" t="s">
        <v>31</v>
      </c>
      <c r="M1661" t="s">
        <v>1931</v>
      </c>
      <c r="N1661" s="2">
        <v>33.761000000000003</v>
      </c>
      <c r="O1661" s="1">
        <v>1</v>
      </c>
      <c r="P1661" s="2">
        <v>33.761000000000003</v>
      </c>
    </row>
    <row r="1662" spans="10:16">
      <c r="J1662" s="5" t="s">
        <v>4426</v>
      </c>
      <c r="K1662" t="s">
        <v>4427</v>
      </c>
      <c r="L1662" t="s">
        <v>219</v>
      </c>
      <c r="M1662" t="s">
        <v>86</v>
      </c>
      <c r="N1662" s="2">
        <v>4.22</v>
      </c>
      <c r="O1662" s="1">
        <v>8</v>
      </c>
      <c r="P1662" s="2">
        <v>33.76</v>
      </c>
    </row>
    <row r="1663" spans="10:16">
      <c r="J1663" s="5" t="s">
        <v>4861</v>
      </c>
      <c r="K1663" t="s">
        <v>4862</v>
      </c>
      <c r="L1663" t="s">
        <v>85</v>
      </c>
      <c r="M1663" t="s">
        <v>86</v>
      </c>
      <c r="N1663" s="2">
        <v>3.36</v>
      </c>
      <c r="O1663" s="1">
        <v>10</v>
      </c>
      <c r="P1663" s="2">
        <v>33.6</v>
      </c>
    </row>
    <row r="1664" spans="10:16">
      <c r="J1664" s="5" t="s">
        <v>1136</v>
      </c>
      <c r="K1664" t="s">
        <v>1137</v>
      </c>
      <c r="L1664" t="s">
        <v>31</v>
      </c>
      <c r="M1664" t="s">
        <v>1931</v>
      </c>
      <c r="N1664" s="2">
        <v>16.8</v>
      </c>
      <c r="O1664" s="1">
        <v>2</v>
      </c>
      <c r="P1664" s="2">
        <v>33.6</v>
      </c>
    </row>
    <row r="1665" spans="10:16">
      <c r="J1665" s="5" t="s">
        <v>1124</v>
      </c>
      <c r="K1665" t="s">
        <v>1125</v>
      </c>
      <c r="L1665" t="s">
        <v>31</v>
      </c>
      <c r="M1665" t="s">
        <v>1931</v>
      </c>
      <c r="N1665" s="2">
        <v>6.72</v>
      </c>
      <c r="O1665" s="1">
        <v>5</v>
      </c>
      <c r="P1665" s="2">
        <v>33.6</v>
      </c>
    </row>
    <row r="1666" spans="10:16">
      <c r="J1666" s="5" t="s">
        <v>3506</v>
      </c>
      <c r="K1666" t="s">
        <v>3507</v>
      </c>
      <c r="L1666" t="s">
        <v>219</v>
      </c>
      <c r="M1666" t="s">
        <v>86</v>
      </c>
      <c r="N1666" s="2">
        <v>3.35</v>
      </c>
      <c r="O1666" s="1">
        <v>10</v>
      </c>
      <c r="P1666" s="2">
        <v>33.5</v>
      </c>
    </row>
    <row r="1667" spans="10:16">
      <c r="J1667" s="5" t="s">
        <v>3465</v>
      </c>
      <c r="K1667" t="s">
        <v>3466</v>
      </c>
      <c r="L1667" t="s">
        <v>219</v>
      </c>
      <c r="M1667" t="s">
        <v>86</v>
      </c>
      <c r="N1667" s="2">
        <v>4.1820000000000004</v>
      </c>
      <c r="O1667" s="1">
        <v>8</v>
      </c>
      <c r="P1667" s="2">
        <v>33.456000000000003</v>
      </c>
    </row>
    <row r="1668" spans="10:16">
      <c r="J1668" s="5" t="s">
        <v>1895</v>
      </c>
      <c r="K1668" t="s">
        <v>1896</v>
      </c>
      <c r="L1668" t="s">
        <v>124</v>
      </c>
      <c r="M1668" t="s">
        <v>125</v>
      </c>
      <c r="N1668" s="2">
        <v>33.377600000000001</v>
      </c>
      <c r="O1668" s="1">
        <v>2</v>
      </c>
      <c r="P1668" s="2">
        <v>33.377600000000001</v>
      </c>
    </row>
    <row r="1669" spans="10:16">
      <c r="J1669" s="5" t="s">
        <v>2774</v>
      </c>
      <c r="K1669" t="s">
        <v>2775</v>
      </c>
      <c r="L1669" t="s">
        <v>98</v>
      </c>
      <c r="M1669" t="s">
        <v>86</v>
      </c>
      <c r="N1669" s="2">
        <v>1.8520000000000001</v>
      </c>
      <c r="O1669" s="1">
        <v>18</v>
      </c>
      <c r="P1669" s="2">
        <v>33.335999999999999</v>
      </c>
    </row>
    <row r="1670" spans="10:16">
      <c r="J1670" s="5" t="s">
        <v>4175</v>
      </c>
      <c r="K1670" t="s">
        <v>4176</v>
      </c>
      <c r="L1670" t="s">
        <v>219</v>
      </c>
      <c r="M1670" t="s">
        <v>86</v>
      </c>
      <c r="N1670" s="2">
        <v>33.28</v>
      </c>
      <c r="O1670" s="1">
        <v>1</v>
      </c>
      <c r="P1670" s="2">
        <v>33.28</v>
      </c>
    </row>
    <row r="1671" spans="10:16">
      <c r="J1671" s="5" t="s">
        <v>534</v>
      </c>
      <c r="K1671" t="s">
        <v>535</v>
      </c>
      <c r="L1671" t="s">
        <v>219</v>
      </c>
      <c r="M1671" t="s">
        <v>86</v>
      </c>
      <c r="N1671" s="2">
        <v>1.4454</v>
      </c>
      <c r="O1671" s="1">
        <v>46</v>
      </c>
      <c r="P1671" s="2">
        <v>33.244199999999999</v>
      </c>
    </row>
    <row r="1672" spans="10:16">
      <c r="J1672" s="5" t="s">
        <v>4847</v>
      </c>
      <c r="K1672" t="s">
        <v>4848</v>
      </c>
      <c r="L1672" t="s">
        <v>85</v>
      </c>
      <c r="M1672" t="s">
        <v>86</v>
      </c>
      <c r="N1672" s="2">
        <v>1.2728999999999999</v>
      </c>
      <c r="O1672" s="1">
        <v>26</v>
      </c>
      <c r="P1672" s="2">
        <v>33.095399999999998</v>
      </c>
    </row>
    <row r="1673" spans="10:16">
      <c r="J1673" s="5" t="s">
        <v>4736</v>
      </c>
      <c r="K1673" t="s">
        <v>2189</v>
      </c>
      <c r="L1673" t="s">
        <v>85</v>
      </c>
      <c r="M1673" t="s">
        <v>86</v>
      </c>
      <c r="N1673" s="2">
        <v>11.02</v>
      </c>
      <c r="O1673" s="1">
        <v>3</v>
      </c>
      <c r="P1673" s="2">
        <v>33.06</v>
      </c>
    </row>
    <row r="1674" spans="10:16">
      <c r="J1674" s="5" t="s">
        <v>3736</v>
      </c>
      <c r="K1674" t="s">
        <v>3737</v>
      </c>
      <c r="L1674" t="s">
        <v>436</v>
      </c>
      <c r="M1674" t="s">
        <v>86</v>
      </c>
      <c r="N1674" s="2">
        <v>16.52</v>
      </c>
      <c r="O1674" s="1">
        <v>2</v>
      </c>
      <c r="P1674" s="2">
        <v>33.04</v>
      </c>
    </row>
    <row r="1675" spans="10:16">
      <c r="J1675" s="5" t="s">
        <v>1033</v>
      </c>
      <c r="K1675" t="s">
        <v>1034</v>
      </c>
      <c r="L1675" t="s">
        <v>128</v>
      </c>
      <c r="M1675" t="s">
        <v>125</v>
      </c>
      <c r="N1675" s="2">
        <v>3.6589999999999998</v>
      </c>
      <c r="O1675" s="1">
        <v>9</v>
      </c>
      <c r="P1675" s="2">
        <v>32.930999999999997</v>
      </c>
    </row>
    <row r="1676" spans="10:16">
      <c r="J1676" s="5" t="s">
        <v>1644</v>
      </c>
      <c r="K1676" t="s">
        <v>1645</v>
      </c>
      <c r="L1676" t="s">
        <v>115</v>
      </c>
      <c r="M1676" t="s">
        <v>102</v>
      </c>
      <c r="N1676" s="2">
        <v>0.13</v>
      </c>
      <c r="O1676" s="1">
        <v>252</v>
      </c>
      <c r="P1676" s="2">
        <v>32.76</v>
      </c>
    </row>
    <row r="1677" spans="10:16">
      <c r="J1677" s="5" t="s">
        <v>4202</v>
      </c>
      <c r="K1677" t="s">
        <v>3225</v>
      </c>
      <c r="L1677" t="s">
        <v>85</v>
      </c>
      <c r="M1677" t="s">
        <v>86</v>
      </c>
      <c r="N1677" s="2">
        <v>32.725000000000001</v>
      </c>
      <c r="O1677" s="1">
        <v>1</v>
      </c>
      <c r="P1677" s="2">
        <v>32.725000000000001</v>
      </c>
    </row>
    <row r="1678" spans="10:16">
      <c r="J1678" s="5" t="s">
        <v>3891</v>
      </c>
      <c r="K1678" t="s">
        <v>3892</v>
      </c>
      <c r="L1678" t="s">
        <v>85</v>
      </c>
      <c r="M1678" t="s">
        <v>86</v>
      </c>
      <c r="N1678" s="2">
        <v>4.6614000000000004</v>
      </c>
      <c r="O1678" s="1">
        <v>7</v>
      </c>
      <c r="P1678" s="2">
        <v>32.629800000000003</v>
      </c>
    </row>
    <row r="1679" spans="10:16">
      <c r="J1679" s="5" t="s">
        <v>1253</v>
      </c>
      <c r="K1679" t="s">
        <v>1254</v>
      </c>
      <c r="L1679" t="s">
        <v>101</v>
      </c>
      <c r="M1679" t="s">
        <v>581</v>
      </c>
      <c r="N1679" s="2">
        <v>1.3</v>
      </c>
      <c r="O1679" s="1">
        <v>25</v>
      </c>
      <c r="P1679" s="2">
        <v>32.5</v>
      </c>
    </row>
    <row r="1680" spans="10:16">
      <c r="J1680" s="5" t="s">
        <v>3067</v>
      </c>
      <c r="K1680" t="s">
        <v>3068</v>
      </c>
      <c r="L1680" t="s">
        <v>85</v>
      </c>
      <c r="M1680" t="s">
        <v>86</v>
      </c>
      <c r="N1680" s="2">
        <v>2.1619999999999999</v>
      </c>
      <c r="O1680" s="1">
        <v>15</v>
      </c>
      <c r="P1680" s="2">
        <v>32.43</v>
      </c>
    </row>
    <row r="1681" spans="10:16">
      <c r="J1681" s="5" t="s">
        <v>1396</v>
      </c>
      <c r="K1681" t="s">
        <v>1397</v>
      </c>
      <c r="L1681" t="s">
        <v>115</v>
      </c>
      <c r="M1681" t="s">
        <v>102</v>
      </c>
      <c r="N1681" s="2">
        <v>0.48399999999999999</v>
      </c>
      <c r="O1681" s="1">
        <v>67</v>
      </c>
      <c r="P1681" s="2">
        <v>32.427999999999997</v>
      </c>
    </row>
    <row r="1682" spans="10:16">
      <c r="J1682" s="5" t="s">
        <v>3550</v>
      </c>
      <c r="K1682" t="s">
        <v>3551</v>
      </c>
      <c r="L1682" t="s">
        <v>219</v>
      </c>
      <c r="M1682" t="s">
        <v>86</v>
      </c>
      <c r="N1682" s="2">
        <v>6.48</v>
      </c>
      <c r="O1682" s="1">
        <v>5</v>
      </c>
      <c r="P1682" s="2">
        <v>32.400000000000006</v>
      </c>
    </row>
    <row r="1683" spans="10:16">
      <c r="J1683" s="5" t="s">
        <v>2381</v>
      </c>
      <c r="K1683" t="s">
        <v>2382</v>
      </c>
      <c r="L1683" t="s">
        <v>85</v>
      </c>
      <c r="M1683" t="s">
        <v>86</v>
      </c>
      <c r="N1683" s="2">
        <v>6.4790000000000001</v>
      </c>
      <c r="O1683" s="1">
        <v>5</v>
      </c>
      <c r="P1683" s="2">
        <v>32.395000000000003</v>
      </c>
    </row>
    <row r="1684" spans="10:16">
      <c r="J1684" s="5" t="s">
        <v>3641</v>
      </c>
      <c r="K1684" t="s">
        <v>3642</v>
      </c>
      <c r="L1684" t="s">
        <v>219</v>
      </c>
      <c r="M1684" t="s">
        <v>86</v>
      </c>
      <c r="N1684" s="2">
        <v>6.44</v>
      </c>
      <c r="O1684" s="1">
        <v>5</v>
      </c>
      <c r="P1684" s="2">
        <v>32.200000000000003</v>
      </c>
    </row>
    <row r="1685" spans="10:16">
      <c r="J1685" s="5" t="s">
        <v>4994</v>
      </c>
      <c r="K1685" t="s">
        <v>4995</v>
      </c>
      <c r="L1685" t="s">
        <v>85</v>
      </c>
      <c r="M1685" t="s">
        <v>86</v>
      </c>
      <c r="N1685" s="2">
        <v>1.1906000000000001</v>
      </c>
      <c r="O1685" s="1">
        <v>54</v>
      </c>
      <c r="P1685" s="2">
        <v>32.1462</v>
      </c>
    </row>
    <row r="1686" spans="10:16">
      <c r="J1686" s="5" t="s">
        <v>2790</v>
      </c>
      <c r="K1686" t="s">
        <v>2791</v>
      </c>
      <c r="L1686" t="s">
        <v>85</v>
      </c>
      <c r="M1686" t="s">
        <v>86</v>
      </c>
      <c r="N1686" s="2">
        <v>4.5780000000000003</v>
      </c>
      <c r="O1686" s="1">
        <v>7</v>
      </c>
      <c r="P1686" s="2">
        <v>32.045999999999999</v>
      </c>
    </row>
    <row r="1687" spans="10:16">
      <c r="J1687" s="5" t="s">
        <v>2557</v>
      </c>
      <c r="K1687" t="s">
        <v>2558</v>
      </c>
      <c r="L1687" t="s">
        <v>31</v>
      </c>
      <c r="M1687" t="s">
        <v>1931</v>
      </c>
      <c r="N1687" s="2">
        <v>2</v>
      </c>
      <c r="O1687" s="1">
        <v>16</v>
      </c>
      <c r="P1687" s="2">
        <v>32</v>
      </c>
    </row>
    <row r="1688" spans="10:16">
      <c r="J1688" s="5" t="s">
        <v>1186</v>
      </c>
      <c r="K1688" t="s">
        <v>1187</v>
      </c>
      <c r="L1688" t="s">
        <v>31</v>
      </c>
      <c r="M1688" t="s">
        <v>1931</v>
      </c>
      <c r="N1688" s="2">
        <v>15.99</v>
      </c>
      <c r="O1688" s="1">
        <v>2</v>
      </c>
      <c r="P1688" s="2">
        <v>31.98</v>
      </c>
    </row>
    <row r="1689" spans="10:16">
      <c r="J1689" s="5" t="s">
        <v>3635</v>
      </c>
      <c r="K1689" t="s">
        <v>3636</v>
      </c>
      <c r="L1689" t="s">
        <v>85</v>
      </c>
      <c r="M1689" t="s">
        <v>86</v>
      </c>
      <c r="N1689" s="2">
        <v>3.9969999999999999</v>
      </c>
      <c r="O1689" s="1">
        <v>8</v>
      </c>
      <c r="P1689" s="2">
        <v>31.975999999999999</v>
      </c>
    </row>
    <row r="1690" spans="10:16">
      <c r="J1690" s="5" t="s">
        <v>4696</v>
      </c>
      <c r="K1690" t="s">
        <v>4697</v>
      </c>
      <c r="L1690" t="s">
        <v>219</v>
      </c>
      <c r="M1690" t="s">
        <v>86</v>
      </c>
      <c r="N1690" s="2">
        <v>15.91</v>
      </c>
      <c r="O1690" s="1">
        <v>2</v>
      </c>
      <c r="P1690" s="2">
        <v>31.82</v>
      </c>
    </row>
    <row r="1691" spans="10:16">
      <c r="J1691" s="5" t="s">
        <v>171</v>
      </c>
      <c r="K1691" t="s">
        <v>172</v>
      </c>
      <c r="L1691" t="s">
        <v>128</v>
      </c>
      <c r="M1691" t="s">
        <v>125</v>
      </c>
      <c r="N1691" s="2">
        <v>6.36</v>
      </c>
      <c r="O1691" s="1">
        <v>5</v>
      </c>
      <c r="P1691" s="2">
        <v>31.8</v>
      </c>
    </row>
    <row r="1692" spans="10:16">
      <c r="J1692" s="5" t="s">
        <v>2957</v>
      </c>
      <c r="K1692" t="s">
        <v>2444</v>
      </c>
      <c r="L1692" t="s">
        <v>85</v>
      </c>
      <c r="M1692" t="s">
        <v>86</v>
      </c>
      <c r="N1692" s="2">
        <v>10.574999999999999</v>
      </c>
      <c r="O1692" s="1">
        <v>3</v>
      </c>
      <c r="P1692" s="2">
        <v>31.724999999999998</v>
      </c>
    </row>
    <row r="1693" spans="10:16">
      <c r="J1693" s="5" t="s">
        <v>4851</v>
      </c>
      <c r="K1693" t="s">
        <v>4852</v>
      </c>
      <c r="L1693" t="s">
        <v>85</v>
      </c>
      <c r="M1693" t="s">
        <v>86</v>
      </c>
      <c r="N1693" s="2">
        <v>5.27</v>
      </c>
      <c r="O1693" s="1">
        <v>6</v>
      </c>
      <c r="P1693" s="2">
        <v>31.619999999999997</v>
      </c>
    </row>
    <row r="1694" spans="10:16">
      <c r="J1694" s="5" t="s">
        <v>2705</v>
      </c>
      <c r="K1694" t="s">
        <v>2706</v>
      </c>
      <c r="L1694" t="s">
        <v>1119</v>
      </c>
      <c r="M1694" t="s">
        <v>125</v>
      </c>
      <c r="N1694" s="2">
        <v>10.5222</v>
      </c>
      <c r="O1694" s="1">
        <v>6</v>
      </c>
      <c r="P1694" s="2">
        <v>31.566600000000001</v>
      </c>
    </row>
    <row r="1695" spans="10:16">
      <c r="J1695" s="5" t="s">
        <v>381</v>
      </c>
      <c r="K1695" t="s">
        <v>382</v>
      </c>
      <c r="L1695" t="s">
        <v>243</v>
      </c>
      <c r="M1695" t="s">
        <v>86</v>
      </c>
      <c r="N1695" s="2">
        <v>31.45</v>
      </c>
      <c r="O1695" s="1">
        <v>1</v>
      </c>
      <c r="P1695" s="2">
        <v>31.45</v>
      </c>
    </row>
    <row r="1696" spans="10:16">
      <c r="J1696" s="5" t="s">
        <v>1739</v>
      </c>
      <c r="K1696" t="s">
        <v>1740</v>
      </c>
      <c r="L1696" t="s">
        <v>85</v>
      </c>
      <c r="M1696" t="s">
        <v>86</v>
      </c>
      <c r="N1696" s="2">
        <v>31.2</v>
      </c>
      <c r="O1696" s="1">
        <v>1</v>
      </c>
      <c r="P1696" s="2">
        <v>31.2</v>
      </c>
    </row>
    <row r="1697" spans="10:16">
      <c r="J1697" s="5" t="s">
        <v>3001</v>
      </c>
      <c r="K1697" t="s">
        <v>3002</v>
      </c>
      <c r="L1697" t="s">
        <v>98</v>
      </c>
      <c r="M1697" t="s">
        <v>86</v>
      </c>
      <c r="N1697" s="2">
        <v>5.1369999999999996</v>
      </c>
      <c r="O1697" s="1">
        <v>6</v>
      </c>
      <c r="P1697" s="2">
        <v>30.821999999999996</v>
      </c>
    </row>
    <row r="1698" spans="10:16">
      <c r="J1698" s="5" t="s">
        <v>3149</v>
      </c>
      <c r="K1698" t="s">
        <v>3150</v>
      </c>
      <c r="L1698" t="s">
        <v>223</v>
      </c>
      <c r="M1698" t="s">
        <v>86</v>
      </c>
      <c r="N1698" s="2">
        <v>4.383</v>
      </c>
      <c r="O1698" s="1">
        <v>7</v>
      </c>
      <c r="P1698" s="2">
        <v>30.681000000000001</v>
      </c>
    </row>
    <row r="1699" spans="10:16">
      <c r="J1699" s="5" t="s">
        <v>4660</v>
      </c>
      <c r="K1699" t="s">
        <v>4661</v>
      </c>
      <c r="L1699" t="s">
        <v>85</v>
      </c>
      <c r="M1699" t="s">
        <v>86</v>
      </c>
      <c r="N1699" s="2">
        <v>1.6971000000000001</v>
      </c>
      <c r="O1699" s="1">
        <v>18</v>
      </c>
      <c r="P1699" s="2">
        <v>30.547800000000002</v>
      </c>
    </row>
    <row r="1700" spans="10:16">
      <c r="J1700" s="5" t="s">
        <v>3988</v>
      </c>
      <c r="K1700" t="s">
        <v>3989</v>
      </c>
      <c r="L1700" t="s">
        <v>98</v>
      </c>
      <c r="M1700" t="s">
        <v>86</v>
      </c>
      <c r="N1700" s="2">
        <v>4.3521999999999998</v>
      </c>
      <c r="O1700" s="1">
        <v>14</v>
      </c>
      <c r="P1700" s="2">
        <v>30.465399999999999</v>
      </c>
    </row>
    <row r="1701" spans="10:16">
      <c r="J1701" s="5" t="s">
        <v>2994</v>
      </c>
      <c r="K1701" t="s">
        <v>2995</v>
      </c>
      <c r="L1701" t="s">
        <v>85</v>
      </c>
      <c r="M1701" t="s">
        <v>86</v>
      </c>
      <c r="N1701" s="2">
        <v>15.22</v>
      </c>
      <c r="O1701" s="1">
        <v>2</v>
      </c>
      <c r="P1701" s="2">
        <v>30.44</v>
      </c>
    </row>
    <row r="1702" spans="10:16">
      <c r="J1702" s="5" t="s">
        <v>5075</v>
      </c>
      <c r="K1702" t="s">
        <v>5076</v>
      </c>
      <c r="L1702" t="s">
        <v>3304</v>
      </c>
      <c r="M1702" t="s">
        <v>1931</v>
      </c>
      <c r="N1702" s="2">
        <v>30.34</v>
      </c>
      <c r="O1702" s="1">
        <v>1</v>
      </c>
      <c r="P1702" s="2">
        <v>30.34</v>
      </c>
    </row>
    <row r="1703" spans="10:16">
      <c r="J1703" s="5" t="s">
        <v>4229</v>
      </c>
      <c r="K1703" t="s">
        <v>4230</v>
      </c>
      <c r="L1703" t="s">
        <v>85</v>
      </c>
      <c r="M1703" t="s">
        <v>86</v>
      </c>
      <c r="N1703" s="2">
        <v>15.154999999999999</v>
      </c>
      <c r="O1703" s="1">
        <v>2</v>
      </c>
      <c r="P1703" s="2">
        <v>30.31</v>
      </c>
    </row>
    <row r="1704" spans="10:16">
      <c r="J1704" s="5" t="s">
        <v>308</v>
      </c>
      <c r="K1704" t="s">
        <v>309</v>
      </c>
      <c r="L1704" t="s">
        <v>98</v>
      </c>
      <c r="M1704" t="s">
        <v>86</v>
      </c>
      <c r="N1704" s="2">
        <v>3.7684000000000002</v>
      </c>
      <c r="O1704" s="1">
        <v>16</v>
      </c>
      <c r="P1704" s="2">
        <v>30.147200000000002</v>
      </c>
    </row>
    <row r="1705" spans="10:16">
      <c r="J1705" s="5" t="s">
        <v>5373</v>
      </c>
      <c r="K1705" t="s">
        <v>5374</v>
      </c>
      <c r="L1705" t="s">
        <v>219</v>
      </c>
      <c r="M1705" t="s">
        <v>86</v>
      </c>
      <c r="N1705" s="2">
        <v>30.135000000000002</v>
      </c>
      <c r="O1705" s="1">
        <v>1</v>
      </c>
      <c r="P1705" s="2">
        <v>30.135000000000002</v>
      </c>
    </row>
    <row r="1706" spans="10:16">
      <c r="J1706" s="5" t="s">
        <v>940</v>
      </c>
      <c r="K1706" t="s">
        <v>941</v>
      </c>
      <c r="L1706" t="s">
        <v>31</v>
      </c>
      <c r="M1706" t="s">
        <v>125</v>
      </c>
      <c r="N1706" s="2">
        <v>5.008</v>
      </c>
      <c r="O1706" s="1">
        <v>6</v>
      </c>
      <c r="P1706" s="2">
        <v>30.048000000000002</v>
      </c>
    </row>
    <row r="1707" spans="10:16">
      <c r="J1707" s="5" t="s">
        <v>1172</v>
      </c>
      <c r="K1707" t="s">
        <v>1173</v>
      </c>
      <c r="L1707" t="s">
        <v>31</v>
      </c>
      <c r="M1707" t="s">
        <v>1931</v>
      </c>
      <c r="N1707" s="2">
        <v>15</v>
      </c>
      <c r="O1707" s="1">
        <v>2</v>
      </c>
      <c r="P1707" s="2">
        <v>30</v>
      </c>
    </row>
    <row r="1708" spans="10:16">
      <c r="J1708" s="5" t="s">
        <v>52</v>
      </c>
      <c r="K1708" t="s">
        <v>53</v>
      </c>
      <c r="L1708" t="s">
        <v>31</v>
      </c>
      <c r="M1708" t="s">
        <v>1931</v>
      </c>
      <c r="N1708" s="2">
        <v>30</v>
      </c>
      <c r="O1708" s="1">
        <v>1</v>
      </c>
      <c r="P1708" s="2">
        <v>30</v>
      </c>
    </row>
    <row r="1709" spans="10:16">
      <c r="J1709" s="5" t="s">
        <v>1791</v>
      </c>
      <c r="K1709" t="s">
        <v>1792</v>
      </c>
      <c r="L1709" t="s">
        <v>31</v>
      </c>
      <c r="M1709" t="s">
        <v>1931</v>
      </c>
      <c r="N1709" s="2">
        <v>15</v>
      </c>
      <c r="O1709" s="1">
        <v>2</v>
      </c>
      <c r="P1709" s="2">
        <v>30</v>
      </c>
    </row>
    <row r="1710" spans="10:16">
      <c r="J1710" s="5" t="s">
        <v>689</v>
      </c>
      <c r="K1710" t="s">
        <v>690</v>
      </c>
      <c r="L1710" t="s">
        <v>31</v>
      </c>
      <c r="M1710" t="s">
        <v>1931</v>
      </c>
      <c r="N1710" s="2">
        <v>15</v>
      </c>
      <c r="O1710" s="1">
        <v>2</v>
      </c>
      <c r="P1710" s="2">
        <v>30</v>
      </c>
    </row>
    <row r="1711" spans="10:16">
      <c r="J1711" s="5" t="s">
        <v>604</v>
      </c>
      <c r="K1711" t="s">
        <v>605</v>
      </c>
      <c r="L1711" t="s">
        <v>31</v>
      </c>
      <c r="M1711" t="s">
        <v>1931</v>
      </c>
      <c r="N1711" s="2">
        <v>30</v>
      </c>
      <c r="O1711" s="1">
        <v>1</v>
      </c>
      <c r="P1711" s="2">
        <v>30</v>
      </c>
    </row>
    <row r="1712" spans="10:16">
      <c r="J1712" s="5" t="s">
        <v>5305</v>
      </c>
      <c r="K1712" t="s">
        <v>5306</v>
      </c>
      <c r="L1712" t="s">
        <v>115</v>
      </c>
      <c r="M1712" t="s">
        <v>1931</v>
      </c>
      <c r="N1712" s="2">
        <v>30</v>
      </c>
      <c r="O1712" s="1">
        <v>1</v>
      </c>
      <c r="P1712" s="2">
        <v>30</v>
      </c>
    </row>
    <row r="1713" spans="10:16">
      <c r="J1713" s="5" t="s">
        <v>5057</v>
      </c>
      <c r="K1713" t="s">
        <v>5058</v>
      </c>
      <c r="L1713" t="s">
        <v>3537</v>
      </c>
      <c r="M1713" t="s">
        <v>86</v>
      </c>
      <c r="N1713" s="2">
        <v>0.31900000000000001</v>
      </c>
      <c r="O1713" s="1">
        <v>94</v>
      </c>
      <c r="P1713" s="2">
        <v>29.986000000000001</v>
      </c>
    </row>
    <row r="1714" spans="10:16">
      <c r="J1714" s="5" t="s">
        <v>486</v>
      </c>
      <c r="K1714" t="s">
        <v>487</v>
      </c>
      <c r="L1714" t="s">
        <v>85</v>
      </c>
      <c r="M1714" t="s">
        <v>86</v>
      </c>
      <c r="N1714" s="2">
        <v>1.498</v>
      </c>
      <c r="O1714" s="1">
        <v>20</v>
      </c>
      <c r="P1714" s="2">
        <v>29.96</v>
      </c>
    </row>
    <row r="1715" spans="10:16">
      <c r="J1715" s="5" t="s">
        <v>3065</v>
      </c>
      <c r="K1715" t="s">
        <v>3066</v>
      </c>
      <c r="L1715" t="s">
        <v>98</v>
      </c>
      <c r="M1715" t="s">
        <v>86</v>
      </c>
      <c r="N1715" s="2">
        <v>2.14</v>
      </c>
      <c r="O1715" s="1">
        <v>14</v>
      </c>
      <c r="P1715" s="2">
        <v>29.96</v>
      </c>
    </row>
    <row r="1716" spans="10:16">
      <c r="J1716" s="5" t="s">
        <v>1198</v>
      </c>
      <c r="K1716" t="s">
        <v>1199</v>
      </c>
      <c r="L1716" t="s">
        <v>31</v>
      </c>
      <c r="M1716" t="s">
        <v>1931</v>
      </c>
      <c r="N1716" s="2">
        <v>14.97</v>
      </c>
      <c r="O1716" s="1">
        <v>2</v>
      </c>
      <c r="P1716" s="2">
        <v>29.94</v>
      </c>
    </row>
    <row r="1717" spans="10:16">
      <c r="J1717" s="5" t="s">
        <v>508</v>
      </c>
      <c r="K1717" t="s">
        <v>509</v>
      </c>
      <c r="L1717" t="s">
        <v>85</v>
      </c>
      <c r="M1717" t="s">
        <v>86</v>
      </c>
      <c r="N1717" s="2">
        <v>7.468</v>
      </c>
      <c r="O1717" s="1">
        <v>4</v>
      </c>
      <c r="P1717" s="2">
        <v>29.872</v>
      </c>
    </row>
    <row r="1718" spans="10:16">
      <c r="J1718" s="5" t="s">
        <v>2909</v>
      </c>
      <c r="K1718" t="s">
        <v>2910</v>
      </c>
      <c r="L1718" t="s">
        <v>85</v>
      </c>
      <c r="M1718" t="s">
        <v>86</v>
      </c>
      <c r="N1718" s="2">
        <v>0.28160000000000002</v>
      </c>
      <c r="O1718" s="1">
        <v>106</v>
      </c>
      <c r="P1718" s="2">
        <v>29.849600000000002</v>
      </c>
    </row>
    <row r="1719" spans="10:16">
      <c r="J1719" s="5" t="s">
        <v>3744</v>
      </c>
      <c r="K1719" t="s">
        <v>3745</v>
      </c>
      <c r="L1719" t="s">
        <v>219</v>
      </c>
      <c r="M1719" t="s">
        <v>86</v>
      </c>
      <c r="N1719" s="2">
        <v>7.46</v>
      </c>
      <c r="O1719" s="1">
        <v>4</v>
      </c>
      <c r="P1719" s="2">
        <v>29.84</v>
      </c>
    </row>
    <row r="1720" spans="10:16">
      <c r="J1720" s="5" t="s">
        <v>2059</v>
      </c>
      <c r="K1720" t="s">
        <v>2060</v>
      </c>
      <c r="L1720" t="s">
        <v>208</v>
      </c>
      <c r="M1720" t="s">
        <v>125</v>
      </c>
      <c r="N1720" s="2">
        <v>1.5698000000000001</v>
      </c>
      <c r="O1720" s="1">
        <v>38</v>
      </c>
      <c r="P1720" s="2">
        <v>29.8262</v>
      </c>
    </row>
    <row r="1721" spans="10:16">
      <c r="J1721" s="5" t="s">
        <v>273</v>
      </c>
      <c r="K1721" t="s">
        <v>274</v>
      </c>
      <c r="L1721" t="s">
        <v>98</v>
      </c>
      <c r="M1721" t="s">
        <v>86</v>
      </c>
      <c r="N1721" s="2">
        <v>5.96</v>
      </c>
      <c r="O1721" s="1">
        <v>5</v>
      </c>
      <c r="P1721" s="2">
        <v>29.8</v>
      </c>
    </row>
    <row r="1722" spans="10:16">
      <c r="J1722" s="5" t="s">
        <v>3700</v>
      </c>
      <c r="K1722" t="s">
        <v>3701</v>
      </c>
      <c r="L1722" t="s">
        <v>436</v>
      </c>
      <c r="M1722" t="s">
        <v>86</v>
      </c>
      <c r="N1722" s="2">
        <v>7.4420000000000002</v>
      </c>
      <c r="O1722" s="1">
        <v>4</v>
      </c>
      <c r="P1722" s="2">
        <v>29.768000000000001</v>
      </c>
    </row>
    <row r="1723" spans="10:16">
      <c r="J1723" s="5" t="s">
        <v>4395</v>
      </c>
      <c r="K1723" t="s">
        <v>4396</v>
      </c>
      <c r="L1723" t="s">
        <v>219</v>
      </c>
      <c r="M1723" t="s">
        <v>86</v>
      </c>
      <c r="N1723" s="2">
        <v>29.7</v>
      </c>
      <c r="O1723" s="1">
        <v>1</v>
      </c>
      <c r="P1723" s="2">
        <v>29.7</v>
      </c>
    </row>
    <row r="1724" spans="10:16">
      <c r="J1724" s="5" t="s">
        <v>3048</v>
      </c>
      <c r="K1724" t="s">
        <v>3049</v>
      </c>
      <c r="L1724" t="s">
        <v>85</v>
      </c>
      <c r="M1724" t="s">
        <v>86</v>
      </c>
      <c r="N1724" s="2">
        <v>14.85</v>
      </c>
      <c r="O1724" s="1">
        <v>2</v>
      </c>
      <c r="P1724" s="2">
        <v>29.7</v>
      </c>
    </row>
    <row r="1725" spans="10:16">
      <c r="J1725" s="5" t="s">
        <v>2308</v>
      </c>
      <c r="K1725" t="s">
        <v>2309</v>
      </c>
      <c r="L1725" t="s">
        <v>219</v>
      </c>
      <c r="M1725" t="s">
        <v>86</v>
      </c>
      <c r="N1725" s="2">
        <v>29.638000000000002</v>
      </c>
      <c r="O1725" s="1">
        <v>1</v>
      </c>
      <c r="P1725" s="2">
        <v>29.638000000000002</v>
      </c>
    </row>
    <row r="1726" spans="10:16">
      <c r="J1726" s="5" t="s">
        <v>4735</v>
      </c>
      <c r="K1726" t="s">
        <v>2188</v>
      </c>
      <c r="L1726" t="s">
        <v>85</v>
      </c>
      <c r="M1726" t="s">
        <v>86</v>
      </c>
      <c r="N1726" s="2">
        <v>9.827</v>
      </c>
      <c r="O1726" s="1">
        <v>3</v>
      </c>
      <c r="P1726" s="2">
        <v>29.481000000000002</v>
      </c>
    </row>
    <row r="1727" spans="10:16">
      <c r="J1727" s="5" t="s">
        <v>2232</v>
      </c>
      <c r="K1727" t="s">
        <v>5352</v>
      </c>
      <c r="L1727" t="s">
        <v>85</v>
      </c>
      <c r="M1727" t="s">
        <v>86</v>
      </c>
      <c r="N1727" s="2">
        <v>29.396999999999998</v>
      </c>
      <c r="O1727" s="1">
        <v>1</v>
      </c>
      <c r="P1727" s="2">
        <v>29.396999999999998</v>
      </c>
    </row>
    <row r="1728" spans="10:16">
      <c r="J1728" s="5" t="s">
        <v>4833</v>
      </c>
      <c r="K1728" t="s">
        <v>4834</v>
      </c>
      <c r="L1728" t="s">
        <v>85</v>
      </c>
      <c r="M1728" t="s">
        <v>86</v>
      </c>
      <c r="N1728" s="2">
        <v>1.1299999999999999</v>
      </c>
      <c r="O1728" s="1">
        <v>26</v>
      </c>
      <c r="P1728" s="2">
        <v>29.379999999999995</v>
      </c>
    </row>
    <row r="1729" spans="10:16">
      <c r="J1729" s="5" t="s">
        <v>598</v>
      </c>
      <c r="K1729" t="s">
        <v>599</v>
      </c>
      <c r="L1729" t="s">
        <v>1044</v>
      </c>
      <c r="M1729" t="s">
        <v>125</v>
      </c>
      <c r="N1729" s="2">
        <v>29.363199999999999</v>
      </c>
      <c r="O1729" s="1">
        <v>2</v>
      </c>
      <c r="P1729" s="2">
        <v>29.363199999999999</v>
      </c>
    </row>
    <row r="1730" spans="10:16">
      <c r="J1730" s="5" t="s">
        <v>2996</v>
      </c>
      <c r="K1730" t="s">
        <v>2997</v>
      </c>
      <c r="L1730" t="s">
        <v>85</v>
      </c>
      <c r="M1730" t="s">
        <v>86</v>
      </c>
      <c r="N1730" s="2">
        <v>4.1898999999999997</v>
      </c>
      <c r="O1730" s="1">
        <v>7</v>
      </c>
      <c r="P1730" s="2">
        <v>29.329299999999996</v>
      </c>
    </row>
    <row r="1731" spans="10:16">
      <c r="J1731" s="5" t="s">
        <v>2681</v>
      </c>
      <c r="K1731" t="s">
        <v>2682</v>
      </c>
      <c r="L1731" t="s">
        <v>128</v>
      </c>
      <c r="M1731" t="s">
        <v>125</v>
      </c>
      <c r="N1731" s="2">
        <v>5.8483999999999998</v>
      </c>
      <c r="O1731" s="1">
        <v>10</v>
      </c>
      <c r="P1731" s="2">
        <v>29.241999999999997</v>
      </c>
    </row>
    <row r="1732" spans="10:16">
      <c r="J1732" s="5" t="s">
        <v>2685</v>
      </c>
      <c r="K1732" t="s">
        <v>2686</v>
      </c>
      <c r="L1732" t="s">
        <v>128</v>
      </c>
      <c r="M1732" t="s">
        <v>125</v>
      </c>
      <c r="N1732" s="2">
        <v>5.8483999999999998</v>
      </c>
      <c r="O1732" s="1">
        <v>10</v>
      </c>
      <c r="P1732" s="2">
        <v>29.241999999999997</v>
      </c>
    </row>
    <row r="1733" spans="10:16">
      <c r="J1733" s="5" t="s">
        <v>275</v>
      </c>
      <c r="K1733" t="s">
        <v>276</v>
      </c>
      <c r="L1733" t="s">
        <v>98</v>
      </c>
      <c r="M1733" t="s">
        <v>86</v>
      </c>
      <c r="N1733" s="2">
        <v>5.83</v>
      </c>
      <c r="O1733" s="1">
        <v>5</v>
      </c>
      <c r="P1733" s="2">
        <v>29.15</v>
      </c>
    </row>
    <row r="1734" spans="10:16">
      <c r="J1734" s="5" t="s">
        <v>2630</v>
      </c>
      <c r="K1734" t="s">
        <v>2631</v>
      </c>
      <c r="L1734" t="s">
        <v>5474</v>
      </c>
      <c r="M1734" t="s">
        <v>125</v>
      </c>
      <c r="N1734" s="2">
        <v>7.258</v>
      </c>
      <c r="O1734" s="1">
        <v>4</v>
      </c>
      <c r="P1734" s="2">
        <v>29.032</v>
      </c>
    </row>
    <row r="1735" spans="10:16">
      <c r="J1735" s="5" t="s">
        <v>3112</v>
      </c>
      <c r="K1735" t="s">
        <v>3113</v>
      </c>
      <c r="L1735" t="s">
        <v>219</v>
      </c>
      <c r="M1735" t="s">
        <v>86</v>
      </c>
      <c r="N1735" s="2">
        <v>3.6259999999999999</v>
      </c>
      <c r="O1735" s="1">
        <v>8</v>
      </c>
      <c r="P1735" s="2">
        <v>29.007999999999999</v>
      </c>
    </row>
    <row r="1736" spans="10:16">
      <c r="J1736" s="5" t="s">
        <v>3756</v>
      </c>
      <c r="K1736" t="s">
        <v>3757</v>
      </c>
      <c r="L1736" t="s">
        <v>219</v>
      </c>
      <c r="M1736" t="s">
        <v>86</v>
      </c>
      <c r="N1736" s="2">
        <v>4.133</v>
      </c>
      <c r="O1736" s="1">
        <v>7</v>
      </c>
      <c r="P1736" s="2">
        <v>28.931000000000001</v>
      </c>
    </row>
    <row r="1737" spans="10:16">
      <c r="J1737" s="5" t="s">
        <v>1142</v>
      </c>
      <c r="K1737" t="s">
        <v>1143</v>
      </c>
      <c r="L1737" t="s">
        <v>31</v>
      </c>
      <c r="M1737" t="s">
        <v>1931</v>
      </c>
      <c r="N1737" s="2">
        <v>7.2</v>
      </c>
      <c r="O1737" s="1">
        <v>4</v>
      </c>
      <c r="P1737" s="2">
        <v>28.8</v>
      </c>
    </row>
    <row r="1738" spans="10:16">
      <c r="J1738" s="5" t="s">
        <v>980</v>
      </c>
      <c r="K1738" t="s">
        <v>981</v>
      </c>
      <c r="L1738" t="s">
        <v>128</v>
      </c>
      <c r="M1738" t="s">
        <v>125</v>
      </c>
      <c r="N1738" s="2">
        <v>14.375</v>
      </c>
      <c r="O1738" s="1">
        <v>2</v>
      </c>
      <c r="P1738" s="2">
        <v>28.75</v>
      </c>
    </row>
    <row r="1739" spans="10:16">
      <c r="J1739" s="5" t="s">
        <v>726</v>
      </c>
      <c r="K1739" t="s">
        <v>727</v>
      </c>
      <c r="L1739" t="s">
        <v>618</v>
      </c>
      <c r="M1739" t="s">
        <v>626</v>
      </c>
      <c r="N1739" s="2">
        <v>5.75</v>
      </c>
      <c r="O1739" s="1">
        <v>5</v>
      </c>
      <c r="P1739" s="2">
        <v>28.75</v>
      </c>
    </row>
    <row r="1740" spans="10:16">
      <c r="J1740" s="5" t="s">
        <v>4215</v>
      </c>
      <c r="K1740" t="s">
        <v>4216</v>
      </c>
      <c r="L1740" t="s">
        <v>85</v>
      </c>
      <c r="M1740" t="s">
        <v>86</v>
      </c>
      <c r="N1740" s="2">
        <v>14.36</v>
      </c>
      <c r="O1740" s="1">
        <v>2</v>
      </c>
      <c r="P1740" s="2">
        <v>28.72</v>
      </c>
    </row>
    <row r="1741" spans="10:16">
      <c r="J1741" s="5" t="s">
        <v>3560</v>
      </c>
      <c r="K1741" t="s">
        <v>3561</v>
      </c>
      <c r="L1741" t="s">
        <v>436</v>
      </c>
      <c r="M1741" t="s">
        <v>86</v>
      </c>
      <c r="N1741" s="2">
        <v>9.5399999999999991</v>
      </c>
      <c r="O1741" s="1">
        <v>3</v>
      </c>
      <c r="P1741" s="2">
        <v>28.619999999999997</v>
      </c>
    </row>
    <row r="1742" spans="10:16">
      <c r="J1742" s="5" t="s">
        <v>1617</v>
      </c>
      <c r="K1742" t="s">
        <v>1618</v>
      </c>
      <c r="L1742" t="s">
        <v>115</v>
      </c>
      <c r="M1742" t="s">
        <v>102</v>
      </c>
      <c r="N1742" s="2">
        <v>9.9000000000000005E-2</v>
      </c>
      <c r="O1742" s="1">
        <v>288</v>
      </c>
      <c r="P1742" s="2">
        <v>28.512</v>
      </c>
    </row>
    <row r="1743" spans="10:16">
      <c r="J1743" s="5" t="s">
        <v>3849</v>
      </c>
      <c r="K1743" t="s">
        <v>3850</v>
      </c>
      <c r="L1743" t="s">
        <v>98</v>
      </c>
      <c r="M1743" t="s">
        <v>86</v>
      </c>
      <c r="N1743" s="2">
        <v>14.2</v>
      </c>
      <c r="O1743" s="1">
        <v>2</v>
      </c>
      <c r="P1743" s="2">
        <v>28.4</v>
      </c>
    </row>
    <row r="1744" spans="10:16">
      <c r="J1744" s="5" t="s">
        <v>3454</v>
      </c>
      <c r="K1744" t="s">
        <v>3455</v>
      </c>
      <c r="L1744" t="s">
        <v>436</v>
      </c>
      <c r="M1744" t="s">
        <v>86</v>
      </c>
      <c r="N1744" s="2">
        <v>2.84</v>
      </c>
      <c r="O1744" s="1">
        <v>10</v>
      </c>
      <c r="P1744" s="2">
        <v>28.4</v>
      </c>
    </row>
    <row r="1745" spans="10:16">
      <c r="J1745" s="5" t="s">
        <v>1249</v>
      </c>
      <c r="K1745" t="s">
        <v>1250</v>
      </c>
      <c r="L1745" t="s">
        <v>115</v>
      </c>
      <c r="M1745" t="s">
        <v>102</v>
      </c>
      <c r="N1745" s="2">
        <v>8.0600000000000005E-2</v>
      </c>
      <c r="O1745" s="1">
        <v>351</v>
      </c>
      <c r="P1745" s="2">
        <v>28.290600000000001</v>
      </c>
    </row>
    <row r="1746" spans="10:16">
      <c r="J1746" s="5" t="s">
        <v>2493</v>
      </c>
      <c r="K1746" t="s">
        <v>2494</v>
      </c>
      <c r="L1746" t="s">
        <v>263</v>
      </c>
      <c r="M1746" t="s">
        <v>86</v>
      </c>
      <c r="N1746" s="2">
        <v>14.141</v>
      </c>
      <c r="O1746" s="1">
        <v>2</v>
      </c>
      <c r="P1746" s="2">
        <v>28.282</v>
      </c>
    </row>
    <row r="1747" spans="10:16">
      <c r="J1747" s="5" t="s">
        <v>284</v>
      </c>
      <c r="K1747" t="s">
        <v>285</v>
      </c>
      <c r="L1747" t="s">
        <v>98</v>
      </c>
      <c r="M1747" t="s">
        <v>86</v>
      </c>
      <c r="N1747" s="2">
        <v>14.06</v>
      </c>
      <c r="O1747" s="1">
        <v>2</v>
      </c>
      <c r="P1747" s="2">
        <v>28.12</v>
      </c>
    </row>
    <row r="1748" spans="10:16">
      <c r="J1748" s="5" t="s">
        <v>2780</v>
      </c>
      <c r="K1748" t="s">
        <v>3615</v>
      </c>
      <c r="L1748" t="s">
        <v>85</v>
      </c>
      <c r="M1748" t="s">
        <v>86</v>
      </c>
      <c r="N1748" s="2">
        <v>1.6497999999999999</v>
      </c>
      <c r="O1748" s="1">
        <v>17</v>
      </c>
      <c r="P1748" s="2">
        <v>28.046599999999998</v>
      </c>
    </row>
    <row r="1749" spans="10:16">
      <c r="J1749" s="5" t="s">
        <v>2161</v>
      </c>
      <c r="K1749" t="s">
        <v>2162</v>
      </c>
      <c r="L1749" t="s">
        <v>85</v>
      </c>
      <c r="M1749" t="s">
        <v>86</v>
      </c>
      <c r="N1749" s="2">
        <v>3.1160000000000001</v>
      </c>
      <c r="O1749" s="1">
        <v>9</v>
      </c>
      <c r="P1749" s="2">
        <v>28.044</v>
      </c>
    </row>
    <row r="1750" spans="10:16">
      <c r="J1750" s="5" t="s">
        <v>2512</v>
      </c>
      <c r="K1750" t="s">
        <v>2513</v>
      </c>
      <c r="L1750" t="s">
        <v>228</v>
      </c>
      <c r="M1750" t="s">
        <v>86</v>
      </c>
      <c r="N1750" s="2">
        <v>1.216</v>
      </c>
      <c r="O1750" s="1">
        <v>23</v>
      </c>
      <c r="P1750" s="2">
        <v>27.968</v>
      </c>
    </row>
    <row r="1751" spans="10:16">
      <c r="J1751" s="5" t="s">
        <v>3758</v>
      </c>
      <c r="K1751" t="s">
        <v>3759</v>
      </c>
      <c r="L1751" t="s">
        <v>219</v>
      </c>
      <c r="M1751" t="s">
        <v>86</v>
      </c>
      <c r="N1751" s="2">
        <v>3.492</v>
      </c>
      <c r="O1751" s="1">
        <v>16</v>
      </c>
      <c r="P1751" s="2">
        <v>27.936</v>
      </c>
    </row>
    <row r="1752" spans="10:16">
      <c r="J1752" s="5" t="s">
        <v>4174</v>
      </c>
      <c r="K1752" t="s">
        <v>2318</v>
      </c>
      <c r="L1752" t="s">
        <v>219</v>
      </c>
      <c r="M1752" t="s">
        <v>86</v>
      </c>
      <c r="N1752" s="2">
        <v>27.93</v>
      </c>
      <c r="O1752" s="1">
        <v>1</v>
      </c>
      <c r="P1752" s="2">
        <v>27.93</v>
      </c>
    </row>
    <row r="1753" spans="10:16">
      <c r="J1753" s="5" t="s">
        <v>2762</v>
      </c>
      <c r="K1753" t="s">
        <v>2763</v>
      </c>
      <c r="L1753" t="s">
        <v>219</v>
      </c>
      <c r="M1753" t="s">
        <v>86</v>
      </c>
      <c r="N1753" s="2">
        <v>2.536</v>
      </c>
      <c r="O1753" s="1">
        <v>11</v>
      </c>
      <c r="P1753" s="2">
        <v>27.896000000000001</v>
      </c>
    </row>
    <row r="1754" spans="10:16">
      <c r="J1754" s="5" t="s">
        <v>4231</v>
      </c>
      <c r="K1754" t="s">
        <v>2344</v>
      </c>
      <c r="L1754" t="s">
        <v>219</v>
      </c>
      <c r="M1754" t="s">
        <v>86</v>
      </c>
      <c r="N1754" s="2">
        <v>27.88</v>
      </c>
      <c r="O1754" s="1">
        <v>1</v>
      </c>
      <c r="P1754" s="2">
        <v>27.88</v>
      </c>
    </row>
    <row r="1755" spans="10:16">
      <c r="J1755" s="5" t="s">
        <v>986</v>
      </c>
      <c r="K1755" t="s">
        <v>987</v>
      </c>
      <c r="L1755" t="s">
        <v>944</v>
      </c>
      <c r="M1755" t="s">
        <v>125</v>
      </c>
      <c r="N1755" s="2">
        <v>3.4836999999999998</v>
      </c>
      <c r="O1755" s="1">
        <v>8</v>
      </c>
      <c r="P1755" s="2">
        <v>27.869599999999998</v>
      </c>
    </row>
    <row r="1756" spans="10:16">
      <c r="J1756" s="5" t="s">
        <v>2876</v>
      </c>
      <c r="K1756" t="s">
        <v>2877</v>
      </c>
      <c r="L1756" t="s">
        <v>85</v>
      </c>
      <c r="M1756" t="s">
        <v>86</v>
      </c>
      <c r="N1756" s="2">
        <v>3.0960000000000001</v>
      </c>
      <c r="O1756" s="1">
        <v>9</v>
      </c>
      <c r="P1756" s="2">
        <v>27.864000000000001</v>
      </c>
    </row>
    <row r="1757" spans="10:16">
      <c r="J1757" s="5" t="s">
        <v>385</v>
      </c>
      <c r="K1757" t="s">
        <v>386</v>
      </c>
      <c r="L1757" t="s">
        <v>219</v>
      </c>
      <c r="M1757" t="s">
        <v>86</v>
      </c>
      <c r="N1757" s="2">
        <v>27.78</v>
      </c>
      <c r="O1757" s="1">
        <v>1</v>
      </c>
      <c r="P1757" s="2">
        <v>27.78</v>
      </c>
    </row>
    <row r="1758" spans="10:16">
      <c r="J1758" s="5" t="s">
        <v>4655</v>
      </c>
      <c r="K1758" t="s">
        <v>4656</v>
      </c>
      <c r="L1758" t="s">
        <v>85</v>
      </c>
      <c r="M1758" t="s">
        <v>86</v>
      </c>
      <c r="N1758" s="2">
        <v>6.94</v>
      </c>
      <c r="O1758" s="1">
        <v>4</v>
      </c>
      <c r="P1758" s="2">
        <v>27.76</v>
      </c>
    </row>
    <row r="1759" spans="10:16">
      <c r="J1759" s="5" t="s">
        <v>3837</v>
      </c>
      <c r="K1759" t="s">
        <v>3838</v>
      </c>
      <c r="L1759" t="s">
        <v>436</v>
      </c>
      <c r="M1759" t="s">
        <v>86</v>
      </c>
      <c r="N1759" s="2">
        <v>13.88</v>
      </c>
      <c r="O1759" s="1">
        <v>2</v>
      </c>
      <c r="P1759" s="2">
        <v>27.76</v>
      </c>
    </row>
    <row r="1760" spans="10:16">
      <c r="J1760" s="5" t="s">
        <v>1214</v>
      </c>
      <c r="K1760" t="s">
        <v>1215</v>
      </c>
      <c r="L1760" t="s">
        <v>31</v>
      </c>
      <c r="M1760" t="s">
        <v>1931</v>
      </c>
      <c r="N1760" s="2">
        <v>9.24</v>
      </c>
      <c r="O1760" s="1">
        <v>3</v>
      </c>
      <c r="P1760" s="2">
        <v>27.72</v>
      </c>
    </row>
    <row r="1761" spans="10:16">
      <c r="J1761" s="5" t="s">
        <v>2913</v>
      </c>
      <c r="K1761" t="s">
        <v>2914</v>
      </c>
      <c r="L1761" t="s">
        <v>98</v>
      </c>
      <c r="M1761" t="s">
        <v>86</v>
      </c>
      <c r="N1761" s="2">
        <v>2.7669999999999999</v>
      </c>
      <c r="O1761" s="1">
        <v>10</v>
      </c>
      <c r="P1761" s="2">
        <v>27.669999999999998</v>
      </c>
    </row>
    <row r="1762" spans="10:16">
      <c r="J1762" s="5" t="s">
        <v>2257</v>
      </c>
      <c r="K1762" t="s">
        <v>2258</v>
      </c>
      <c r="L1762" t="s">
        <v>85</v>
      </c>
      <c r="M1762" t="s">
        <v>86</v>
      </c>
      <c r="N1762" s="2">
        <v>2.7646000000000002</v>
      </c>
      <c r="O1762" s="1">
        <v>20</v>
      </c>
      <c r="P1762" s="2">
        <v>27.646000000000001</v>
      </c>
    </row>
    <row r="1763" spans="10:16">
      <c r="J1763" s="5" t="s">
        <v>769</v>
      </c>
      <c r="K1763" t="s">
        <v>770</v>
      </c>
      <c r="L1763" t="s">
        <v>618</v>
      </c>
      <c r="M1763" t="s">
        <v>711</v>
      </c>
      <c r="N1763" s="2">
        <v>9.2040000000000006</v>
      </c>
      <c r="O1763" s="1">
        <v>3</v>
      </c>
      <c r="P1763" s="2">
        <v>27.612000000000002</v>
      </c>
    </row>
    <row r="1764" spans="10:16">
      <c r="J1764" s="5" t="s">
        <v>3600</v>
      </c>
      <c r="K1764" t="s">
        <v>3601</v>
      </c>
      <c r="L1764" t="s">
        <v>85</v>
      </c>
      <c r="M1764" t="s">
        <v>86</v>
      </c>
      <c r="N1764" s="2">
        <v>1.252</v>
      </c>
      <c r="O1764" s="1">
        <v>44</v>
      </c>
      <c r="P1764" s="2">
        <v>27.544</v>
      </c>
    </row>
    <row r="1765" spans="10:16">
      <c r="J1765" s="5" t="s">
        <v>2756</v>
      </c>
      <c r="K1765" t="s">
        <v>2757</v>
      </c>
      <c r="L1765" t="s">
        <v>85</v>
      </c>
      <c r="M1765" t="s">
        <v>86</v>
      </c>
      <c r="N1765" s="2">
        <v>1.1448</v>
      </c>
      <c r="O1765" s="1">
        <v>24</v>
      </c>
      <c r="P1765" s="2">
        <v>27.475200000000001</v>
      </c>
    </row>
    <row r="1766" spans="10:16">
      <c r="J1766" s="5" t="s">
        <v>3943</v>
      </c>
      <c r="K1766" t="s">
        <v>3944</v>
      </c>
      <c r="L1766" t="s">
        <v>436</v>
      </c>
      <c r="M1766" t="s">
        <v>86</v>
      </c>
      <c r="N1766" s="2">
        <v>13.66</v>
      </c>
      <c r="O1766" s="1">
        <v>2</v>
      </c>
      <c r="P1766" s="2">
        <v>27.32</v>
      </c>
    </row>
    <row r="1767" spans="10:16">
      <c r="J1767" s="5" t="s">
        <v>4329</v>
      </c>
      <c r="K1767" t="s">
        <v>4330</v>
      </c>
      <c r="L1767" t="s">
        <v>219</v>
      </c>
      <c r="M1767" t="s">
        <v>86</v>
      </c>
      <c r="N1767" s="2">
        <v>6.83</v>
      </c>
      <c r="O1767" s="1">
        <v>4</v>
      </c>
      <c r="P1767" s="2">
        <v>27.32</v>
      </c>
    </row>
    <row r="1768" spans="10:16">
      <c r="J1768" s="5" t="s">
        <v>3706</v>
      </c>
      <c r="K1768" t="s">
        <v>3707</v>
      </c>
      <c r="L1768" t="s">
        <v>85</v>
      </c>
      <c r="M1768" t="s">
        <v>86</v>
      </c>
      <c r="N1768" s="2">
        <v>13.66</v>
      </c>
      <c r="O1768" s="1">
        <v>2</v>
      </c>
      <c r="P1768" s="2">
        <v>27.32</v>
      </c>
    </row>
    <row r="1769" spans="10:16">
      <c r="J1769" s="5" t="s">
        <v>5454</v>
      </c>
      <c r="K1769" t="s">
        <v>5455</v>
      </c>
      <c r="L1769" t="s">
        <v>85</v>
      </c>
      <c r="M1769" t="s">
        <v>86</v>
      </c>
      <c r="N1769" s="2">
        <v>13.649800000000001</v>
      </c>
      <c r="O1769" s="1">
        <v>4</v>
      </c>
      <c r="P1769" s="2">
        <v>27.299600000000002</v>
      </c>
    </row>
    <row r="1770" spans="10:16">
      <c r="J1770" s="5" t="s">
        <v>2531</v>
      </c>
      <c r="K1770" t="s">
        <v>2532</v>
      </c>
      <c r="L1770" t="s">
        <v>31</v>
      </c>
      <c r="M1770" t="s">
        <v>1931</v>
      </c>
      <c r="N1770" s="2">
        <v>27.276</v>
      </c>
      <c r="O1770" s="1">
        <v>1</v>
      </c>
      <c r="P1770" s="2">
        <v>27.276</v>
      </c>
    </row>
    <row r="1771" spans="10:16">
      <c r="J1771" s="5" t="s">
        <v>4559</v>
      </c>
      <c r="K1771" t="s">
        <v>4560</v>
      </c>
      <c r="L1771" t="s">
        <v>436</v>
      </c>
      <c r="M1771" t="s">
        <v>86</v>
      </c>
      <c r="N1771" s="2">
        <v>27.21</v>
      </c>
      <c r="O1771" s="1">
        <v>1</v>
      </c>
      <c r="P1771" s="2">
        <v>27.21</v>
      </c>
    </row>
    <row r="1772" spans="10:16">
      <c r="J1772" s="5" t="s">
        <v>340</v>
      </c>
      <c r="K1772" t="s">
        <v>341</v>
      </c>
      <c r="L1772" t="s">
        <v>98</v>
      </c>
      <c r="M1772" t="s">
        <v>86</v>
      </c>
      <c r="N1772" s="2">
        <v>5.4370000000000003</v>
      </c>
      <c r="O1772" s="1">
        <v>5</v>
      </c>
      <c r="P1772" s="2">
        <v>27.185000000000002</v>
      </c>
    </row>
    <row r="1773" spans="10:16">
      <c r="J1773" s="5" t="s">
        <v>3932</v>
      </c>
      <c r="K1773" t="s">
        <v>2368</v>
      </c>
      <c r="L1773" t="s">
        <v>98</v>
      </c>
      <c r="M1773" t="s">
        <v>86</v>
      </c>
      <c r="N1773" s="2">
        <v>13.555</v>
      </c>
      <c r="O1773" s="1">
        <v>2</v>
      </c>
      <c r="P1773" s="2">
        <v>27.11</v>
      </c>
    </row>
    <row r="1774" spans="10:16">
      <c r="J1774" s="5" t="s">
        <v>420</v>
      </c>
      <c r="K1774" t="s">
        <v>4399</v>
      </c>
      <c r="L1774" t="s">
        <v>243</v>
      </c>
      <c r="M1774" t="s">
        <v>86</v>
      </c>
      <c r="N1774" s="2">
        <v>13.52</v>
      </c>
      <c r="O1774" s="1">
        <v>2</v>
      </c>
      <c r="P1774" s="2">
        <v>27.04</v>
      </c>
    </row>
    <row r="1775" spans="10:16">
      <c r="J1775" s="5" t="s">
        <v>2270</v>
      </c>
      <c r="K1775" t="s">
        <v>2271</v>
      </c>
      <c r="L1775" t="s">
        <v>85</v>
      </c>
      <c r="M1775" t="s">
        <v>86</v>
      </c>
      <c r="N1775" s="2">
        <v>26.954999999999998</v>
      </c>
      <c r="O1775" s="1">
        <v>1</v>
      </c>
      <c r="P1775" s="2">
        <v>26.954999999999998</v>
      </c>
    </row>
    <row r="1776" spans="10:16">
      <c r="J1776" s="5" t="s">
        <v>364</v>
      </c>
      <c r="K1776" t="s">
        <v>365</v>
      </c>
      <c r="L1776" t="s">
        <v>98</v>
      </c>
      <c r="M1776" t="s">
        <v>86</v>
      </c>
      <c r="N1776" s="2">
        <v>5.39</v>
      </c>
      <c r="O1776" s="1">
        <v>5</v>
      </c>
      <c r="P1776" s="2">
        <v>26.95</v>
      </c>
    </row>
    <row r="1777" spans="10:16">
      <c r="J1777" s="5" t="s">
        <v>2203</v>
      </c>
      <c r="K1777" t="s">
        <v>2204</v>
      </c>
      <c r="L1777" t="s">
        <v>85</v>
      </c>
      <c r="M1777" t="s">
        <v>86</v>
      </c>
      <c r="N1777" s="2">
        <v>2.6884000000000001</v>
      </c>
      <c r="O1777" s="1">
        <v>20</v>
      </c>
      <c r="P1777" s="2">
        <v>26.884</v>
      </c>
    </row>
    <row r="1778" spans="10:16">
      <c r="J1778" s="5" t="s">
        <v>2785</v>
      </c>
      <c r="K1778" t="s">
        <v>2786</v>
      </c>
      <c r="L1778" t="s">
        <v>219</v>
      </c>
      <c r="M1778" t="s">
        <v>86</v>
      </c>
      <c r="N1778" s="2">
        <v>3.36</v>
      </c>
      <c r="O1778" s="1">
        <v>8</v>
      </c>
      <c r="P1778" s="2">
        <v>26.88</v>
      </c>
    </row>
    <row r="1779" spans="10:16">
      <c r="J1779" s="5" t="s">
        <v>233</v>
      </c>
      <c r="K1779" t="s">
        <v>234</v>
      </c>
      <c r="L1779" t="s">
        <v>85</v>
      </c>
      <c r="M1779" t="s">
        <v>86</v>
      </c>
      <c r="N1779" s="2">
        <v>1.49</v>
      </c>
      <c r="O1779" s="1">
        <v>18</v>
      </c>
      <c r="P1779" s="2">
        <v>26.82</v>
      </c>
    </row>
    <row r="1780" spans="10:16">
      <c r="J1780" s="5" t="s">
        <v>1917</v>
      </c>
      <c r="K1780" t="s">
        <v>5298</v>
      </c>
      <c r="L1780" t="s">
        <v>31</v>
      </c>
      <c r="M1780" t="s">
        <v>1931</v>
      </c>
      <c r="N1780" s="2">
        <v>13.323600000000001</v>
      </c>
      <c r="O1780" s="1">
        <v>4</v>
      </c>
      <c r="P1780" s="2">
        <v>26.647200000000002</v>
      </c>
    </row>
    <row r="1781" spans="10:16">
      <c r="J1781" s="5" t="s">
        <v>1899</v>
      </c>
      <c r="K1781" t="s">
        <v>1900</v>
      </c>
      <c r="L1781" t="s">
        <v>1821</v>
      </c>
      <c r="M1781" t="s">
        <v>125</v>
      </c>
      <c r="N1781" s="2">
        <v>26.607199999999999</v>
      </c>
      <c r="O1781" s="1">
        <v>2</v>
      </c>
      <c r="P1781" s="2">
        <v>26.607199999999999</v>
      </c>
    </row>
    <row r="1782" spans="10:16">
      <c r="J1782" s="5" t="s">
        <v>62</v>
      </c>
      <c r="K1782" t="s">
        <v>63</v>
      </c>
      <c r="L1782" t="s">
        <v>31</v>
      </c>
      <c r="M1782" t="s">
        <v>1931</v>
      </c>
      <c r="N1782" s="2">
        <v>1.208</v>
      </c>
      <c r="O1782" s="1">
        <v>22</v>
      </c>
      <c r="P1782" s="2">
        <v>26.576000000000001</v>
      </c>
    </row>
    <row r="1783" spans="10:16">
      <c r="J1783" s="5" t="s">
        <v>2505</v>
      </c>
      <c r="K1783" t="s">
        <v>5431</v>
      </c>
      <c r="L1783" t="s">
        <v>263</v>
      </c>
      <c r="M1783" t="s">
        <v>86</v>
      </c>
      <c r="N1783" s="2">
        <v>5.2919999999999998</v>
      </c>
      <c r="O1783" s="1">
        <v>5</v>
      </c>
      <c r="P1783" s="2">
        <v>26.46</v>
      </c>
    </row>
    <row r="1784" spans="10:16">
      <c r="J1784" s="5" t="s">
        <v>2324</v>
      </c>
      <c r="K1784" t="s">
        <v>2325</v>
      </c>
      <c r="L1784" t="s">
        <v>219</v>
      </c>
      <c r="M1784" t="s">
        <v>86</v>
      </c>
      <c r="N1784" s="2">
        <v>26.45</v>
      </c>
      <c r="O1784" s="1">
        <v>1</v>
      </c>
      <c r="P1784" s="2">
        <v>26.45</v>
      </c>
    </row>
    <row r="1785" spans="10:16">
      <c r="J1785" s="5" t="s">
        <v>4478</v>
      </c>
      <c r="K1785" t="s">
        <v>4479</v>
      </c>
      <c r="L1785" t="s">
        <v>85</v>
      </c>
      <c r="M1785" t="s">
        <v>86</v>
      </c>
      <c r="N1785" s="2">
        <v>0.71299999999999997</v>
      </c>
      <c r="O1785" s="1">
        <v>37</v>
      </c>
      <c r="P1785" s="2">
        <v>26.381</v>
      </c>
    </row>
    <row r="1786" spans="10:16">
      <c r="J1786" s="5" t="s">
        <v>2801</v>
      </c>
      <c r="K1786" t="s">
        <v>2802</v>
      </c>
      <c r="L1786" t="s">
        <v>85</v>
      </c>
      <c r="M1786" t="s">
        <v>86</v>
      </c>
      <c r="N1786" s="2">
        <v>2.63</v>
      </c>
      <c r="O1786" s="1">
        <v>10</v>
      </c>
      <c r="P1786" s="2">
        <v>26.299999999999997</v>
      </c>
    </row>
    <row r="1787" spans="10:16">
      <c r="J1787" s="5" t="s">
        <v>3981</v>
      </c>
      <c r="K1787" t="s">
        <v>3982</v>
      </c>
      <c r="L1787" t="s">
        <v>219</v>
      </c>
      <c r="M1787" t="s">
        <v>86</v>
      </c>
      <c r="N1787" s="2">
        <v>4.37</v>
      </c>
      <c r="O1787" s="1">
        <v>6</v>
      </c>
      <c r="P1787" s="2">
        <v>26.22</v>
      </c>
    </row>
    <row r="1788" spans="10:16">
      <c r="J1788" s="5" t="s">
        <v>4948</v>
      </c>
      <c r="K1788" t="s">
        <v>4949</v>
      </c>
      <c r="L1788" t="s">
        <v>219</v>
      </c>
      <c r="M1788" t="s">
        <v>86</v>
      </c>
      <c r="N1788" s="2">
        <v>0.70620000000000005</v>
      </c>
      <c r="O1788" s="1">
        <v>74</v>
      </c>
      <c r="P1788" s="2">
        <v>26.1294</v>
      </c>
    </row>
    <row r="1789" spans="10:16">
      <c r="J1789" s="5" t="s">
        <v>3622</v>
      </c>
      <c r="K1789" t="s">
        <v>3623</v>
      </c>
      <c r="L1789" t="s">
        <v>219</v>
      </c>
      <c r="M1789" t="s">
        <v>86</v>
      </c>
      <c r="N1789" s="2">
        <v>6.5129999999999999</v>
      </c>
      <c r="O1789" s="1">
        <v>4</v>
      </c>
      <c r="P1789" s="2">
        <v>26.052</v>
      </c>
    </row>
    <row r="1790" spans="10:16">
      <c r="J1790" s="5" t="s">
        <v>2331</v>
      </c>
      <c r="K1790" t="s">
        <v>2332</v>
      </c>
      <c r="L1790" t="s">
        <v>219</v>
      </c>
      <c r="M1790" t="s">
        <v>86</v>
      </c>
      <c r="N1790" s="2">
        <v>3.718</v>
      </c>
      <c r="O1790" s="1">
        <v>7</v>
      </c>
      <c r="P1790" s="2">
        <v>26.026</v>
      </c>
    </row>
    <row r="1791" spans="10:16">
      <c r="J1791" s="5" t="s">
        <v>198</v>
      </c>
      <c r="K1791" t="s">
        <v>199</v>
      </c>
      <c r="L1791" t="s">
        <v>128</v>
      </c>
      <c r="M1791" t="s">
        <v>125</v>
      </c>
      <c r="N1791" s="2">
        <v>25.95</v>
      </c>
      <c r="O1791" s="1">
        <v>1</v>
      </c>
      <c r="P1791" s="2">
        <v>25.95</v>
      </c>
    </row>
    <row r="1792" spans="10:16">
      <c r="J1792" s="5" t="s">
        <v>2920</v>
      </c>
      <c r="K1792" t="s">
        <v>2921</v>
      </c>
      <c r="L1792" t="s">
        <v>98</v>
      </c>
      <c r="M1792" t="s">
        <v>86</v>
      </c>
      <c r="N1792" s="2">
        <v>5.1749999999999998</v>
      </c>
      <c r="O1792" s="1">
        <v>5</v>
      </c>
      <c r="P1792" s="2">
        <v>25.875</v>
      </c>
    </row>
    <row r="1793" spans="10:16">
      <c r="J1793" s="5" t="s">
        <v>4566</v>
      </c>
      <c r="K1793" t="s">
        <v>4567</v>
      </c>
      <c r="L1793" t="s">
        <v>85</v>
      </c>
      <c r="M1793" t="s">
        <v>86</v>
      </c>
      <c r="N1793" s="2">
        <v>5.1746999999999996</v>
      </c>
      <c r="O1793" s="1">
        <v>5</v>
      </c>
      <c r="P1793" s="2">
        <v>25.8735</v>
      </c>
    </row>
    <row r="1794" spans="10:16">
      <c r="J1794" s="5" t="s">
        <v>4892</v>
      </c>
      <c r="K1794" t="s">
        <v>4893</v>
      </c>
      <c r="L1794" t="s">
        <v>98</v>
      </c>
      <c r="M1794" t="s">
        <v>86</v>
      </c>
      <c r="N1794" s="2">
        <v>1.8479000000000001</v>
      </c>
      <c r="O1794" s="1">
        <v>14</v>
      </c>
      <c r="P1794" s="2">
        <v>25.870600000000003</v>
      </c>
    </row>
    <row r="1795" spans="10:16">
      <c r="J1795" s="5" t="s">
        <v>522</v>
      </c>
      <c r="K1795" t="s">
        <v>4916</v>
      </c>
      <c r="L1795" t="s">
        <v>85</v>
      </c>
      <c r="M1795" t="s">
        <v>86</v>
      </c>
      <c r="N1795" s="2">
        <v>0.64580000000000004</v>
      </c>
      <c r="O1795" s="1">
        <v>80</v>
      </c>
      <c r="P1795" s="2">
        <v>25.832000000000001</v>
      </c>
    </row>
    <row r="1796" spans="10:16">
      <c r="J1796" s="5" t="s">
        <v>1615</v>
      </c>
      <c r="K1796" t="s">
        <v>1616</v>
      </c>
      <c r="L1796" t="s">
        <v>115</v>
      </c>
      <c r="M1796" t="s">
        <v>102</v>
      </c>
      <c r="N1796" s="2">
        <v>0.1</v>
      </c>
      <c r="O1796" s="1">
        <v>258</v>
      </c>
      <c r="P1796" s="2">
        <v>25.8</v>
      </c>
    </row>
    <row r="1797" spans="10:16">
      <c r="J1797" s="5" t="s">
        <v>4775</v>
      </c>
      <c r="K1797" t="s">
        <v>4776</v>
      </c>
      <c r="L1797" t="s">
        <v>434</v>
      </c>
      <c r="M1797" t="s">
        <v>86</v>
      </c>
      <c r="N1797" s="2">
        <v>25.733000000000001</v>
      </c>
      <c r="O1797" s="1">
        <v>1</v>
      </c>
      <c r="P1797" s="2">
        <v>25.733000000000001</v>
      </c>
    </row>
    <row r="1798" spans="10:16">
      <c r="J1798" s="5" t="s">
        <v>2221</v>
      </c>
      <c r="K1798" t="s">
        <v>2222</v>
      </c>
      <c r="L1798" t="s">
        <v>85</v>
      </c>
      <c r="M1798" t="s">
        <v>86</v>
      </c>
      <c r="N1798" s="2">
        <v>8.577</v>
      </c>
      <c r="O1798" s="1">
        <v>3</v>
      </c>
      <c r="P1798" s="2">
        <v>25.731000000000002</v>
      </c>
    </row>
    <row r="1799" spans="10:16">
      <c r="J1799" s="5" t="s">
        <v>3030</v>
      </c>
      <c r="K1799" t="s">
        <v>3031</v>
      </c>
      <c r="L1799" t="s">
        <v>85</v>
      </c>
      <c r="M1799" t="s">
        <v>86</v>
      </c>
      <c r="N1799" s="2">
        <v>0.64219999999999999</v>
      </c>
      <c r="O1799" s="1">
        <v>80</v>
      </c>
      <c r="P1799" s="2">
        <v>25.687999999999999</v>
      </c>
    </row>
    <row r="1800" spans="10:16">
      <c r="J1800" s="5" t="s">
        <v>2824</v>
      </c>
      <c r="K1800" t="s">
        <v>2825</v>
      </c>
      <c r="L1800" t="s">
        <v>98</v>
      </c>
      <c r="M1800" t="s">
        <v>86</v>
      </c>
      <c r="N1800" s="2">
        <v>3.6669999999999998</v>
      </c>
      <c r="O1800" s="1">
        <v>7</v>
      </c>
      <c r="P1800" s="2">
        <v>25.668999999999997</v>
      </c>
    </row>
    <row r="1801" spans="10:16">
      <c r="J1801" s="5" t="s">
        <v>1745</v>
      </c>
      <c r="K1801" t="s">
        <v>1746</v>
      </c>
      <c r="L1801" t="s">
        <v>85</v>
      </c>
      <c r="M1801" t="s">
        <v>86</v>
      </c>
      <c r="N1801" s="2">
        <v>25.6</v>
      </c>
      <c r="O1801" s="1">
        <v>1</v>
      </c>
      <c r="P1801" s="2">
        <v>25.6</v>
      </c>
    </row>
    <row r="1802" spans="10:16">
      <c r="J1802" s="5" t="s">
        <v>3776</v>
      </c>
      <c r="K1802" t="s">
        <v>3777</v>
      </c>
      <c r="L1802" t="s">
        <v>98</v>
      </c>
      <c r="M1802" t="s">
        <v>86</v>
      </c>
      <c r="N1802" s="2">
        <v>2.8252000000000002</v>
      </c>
      <c r="O1802" s="1">
        <v>18</v>
      </c>
      <c r="P1802" s="2">
        <v>25.4268</v>
      </c>
    </row>
    <row r="1803" spans="10:16">
      <c r="J1803" s="5" t="s">
        <v>4211</v>
      </c>
      <c r="K1803" t="s">
        <v>2478</v>
      </c>
      <c r="L1803" t="s">
        <v>219</v>
      </c>
      <c r="M1803" t="s">
        <v>86</v>
      </c>
      <c r="N1803" s="2">
        <v>25.42</v>
      </c>
      <c r="O1803" s="1">
        <v>1</v>
      </c>
      <c r="P1803" s="2">
        <v>25.42</v>
      </c>
    </row>
    <row r="1804" spans="10:16">
      <c r="J1804" s="5" t="s">
        <v>1685</v>
      </c>
      <c r="K1804" t="s">
        <v>1686</v>
      </c>
      <c r="L1804" t="s">
        <v>115</v>
      </c>
      <c r="M1804" t="s">
        <v>102</v>
      </c>
      <c r="N1804" s="2">
        <v>0.1009</v>
      </c>
      <c r="O1804" s="1">
        <v>251</v>
      </c>
      <c r="P1804" s="2">
        <v>25.325900000000001</v>
      </c>
    </row>
    <row r="1805" spans="10:16">
      <c r="J1805" s="5" t="s">
        <v>906</v>
      </c>
      <c r="K1805" t="s">
        <v>907</v>
      </c>
      <c r="L1805" t="s">
        <v>31</v>
      </c>
      <c r="M1805" t="s">
        <v>125</v>
      </c>
      <c r="N1805" s="2">
        <v>2.5230000000000001</v>
      </c>
      <c r="O1805" s="1">
        <v>10</v>
      </c>
      <c r="P1805" s="2">
        <v>25.23</v>
      </c>
    </row>
    <row r="1806" spans="10:16">
      <c r="J1806" s="5" t="s">
        <v>1324</v>
      </c>
      <c r="K1806" t="s">
        <v>5222</v>
      </c>
      <c r="L1806" t="s">
        <v>115</v>
      </c>
      <c r="M1806" t="s">
        <v>102</v>
      </c>
      <c r="N1806" s="2">
        <v>0.26719999999999999</v>
      </c>
      <c r="O1806" s="1">
        <v>94</v>
      </c>
      <c r="P1806" s="2">
        <v>25.116799999999998</v>
      </c>
    </row>
    <row r="1807" spans="10:16">
      <c r="J1807" s="5" t="s">
        <v>4463</v>
      </c>
      <c r="K1807" t="s">
        <v>4464</v>
      </c>
      <c r="L1807" t="s">
        <v>85</v>
      </c>
      <c r="M1807" t="s">
        <v>86</v>
      </c>
      <c r="N1807" s="2">
        <v>6.258</v>
      </c>
      <c r="O1807" s="1">
        <v>4</v>
      </c>
      <c r="P1807" s="2">
        <v>25.032</v>
      </c>
    </row>
    <row r="1808" spans="10:16">
      <c r="J1808" s="5" t="s">
        <v>883</v>
      </c>
      <c r="K1808" t="s">
        <v>884</v>
      </c>
      <c r="L1808" t="s">
        <v>1972</v>
      </c>
      <c r="M1808" t="s">
        <v>125</v>
      </c>
      <c r="N1808" s="2">
        <v>2.27</v>
      </c>
      <c r="O1808" s="1">
        <v>22</v>
      </c>
      <c r="P1808" s="2">
        <v>24.97</v>
      </c>
    </row>
    <row r="1809" spans="10:16">
      <c r="J1809" s="5" t="s">
        <v>873</v>
      </c>
      <c r="K1809" t="s">
        <v>874</v>
      </c>
      <c r="L1809" t="s">
        <v>944</v>
      </c>
      <c r="M1809" t="s">
        <v>125</v>
      </c>
      <c r="N1809" s="2">
        <v>0.95599999999999996</v>
      </c>
      <c r="O1809" s="1">
        <v>26</v>
      </c>
      <c r="P1809" s="2">
        <v>24.855999999999998</v>
      </c>
    </row>
    <row r="1810" spans="10:16">
      <c r="J1810" s="5" t="s">
        <v>4459</v>
      </c>
      <c r="K1810" t="s">
        <v>2321</v>
      </c>
      <c r="L1810" t="s">
        <v>219</v>
      </c>
      <c r="M1810" t="s">
        <v>86</v>
      </c>
      <c r="N1810" s="2">
        <v>2.7570000000000001</v>
      </c>
      <c r="O1810" s="1">
        <v>9</v>
      </c>
      <c r="P1810" s="2">
        <v>24.813000000000002</v>
      </c>
    </row>
    <row r="1811" spans="10:16">
      <c r="J1811" s="5" t="s">
        <v>4544</v>
      </c>
      <c r="K1811" t="s">
        <v>2289</v>
      </c>
      <c r="L1811" t="s">
        <v>85</v>
      </c>
      <c r="M1811" t="s">
        <v>86</v>
      </c>
      <c r="N1811" s="2">
        <v>6.2001999999999997</v>
      </c>
      <c r="O1811" s="1">
        <v>4</v>
      </c>
      <c r="P1811" s="2">
        <v>24.800799999999999</v>
      </c>
    </row>
    <row r="1812" spans="10:16">
      <c r="J1812" s="5" t="s">
        <v>2085</v>
      </c>
      <c r="K1812" t="s">
        <v>2086</v>
      </c>
      <c r="L1812" t="s">
        <v>31</v>
      </c>
      <c r="M1812" t="s">
        <v>1931</v>
      </c>
      <c r="N1812" s="2">
        <v>6.1749999999999998</v>
      </c>
      <c r="O1812" s="1">
        <v>4</v>
      </c>
      <c r="P1812" s="2">
        <v>24.7</v>
      </c>
    </row>
    <row r="1813" spans="10:16">
      <c r="J1813" s="5" t="s">
        <v>665</v>
      </c>
      <c r="K1813" t="s">
        <v>666</v>
      </c>
      <c r="L1813" t="s">
        <v>208</v>
      </c>
      <c r="M1813" t="s">
        <v>125</v>
      </c>
      <c r="N1813" s="2">
        <v>8.2105999999999995</v>
      </c>
      <c r="O1813" s="1">
        <v>6</v>
      </c>
      <c r="P1813" s="2">
        <v>24.631799999999998</v>
      </c>
    </row>
    <row r="1814" spans="10:16">
      <c r="J1814" s="5" t="s">
        <v>264</v>
      </c>
      <c r="K1814" t="s">
        <v>265</v>
      </c>
      <c r="L1814" t="s">
        <v>219</v>
      </c>
      <c r="M1814" t="s">
        <v>86</v>
      </c>
      <c r="N1814" s="2">
        <v>0.76900000000000002</v>
      </c>
      <c r="O1814" s="1">
        <v>32</v>
      </c>
      <c r="P1814" s="2">
        <v>24.608000000000001</v>
      </c>
    </row>
    <row r="1815" spans="10:16">
      <c r="J1815" s="5" t="s">
        <v>2738</v>
      </c>
      <c r="K1815" t="s">
        <v>2739</v>
      </c>
      <c r="L1815" t="s">
        <v>85</v>
      </c>
      <c r="M1815" t="s">
        <v>86</v>
      </c>
      <c r="N1815" s="2">
        <v>1.2270000000000001</v>
      </c>
      <c r="O1815" s="1">
        <v>20</v>
      </c>
      <c r="P1815" s="2">
        <v>24.540000000000003</v>
      </c>
    </row>
    <row r="1816" spans="10:16">
      <c r="J1816" s="5" t="s">
        <v>2469</v>
      </c>
      <c r="K1816" t="s">
        <v>2470</v>
      </c>
      <c r="L1816" t="s">
        <v>228</v>
      </c>
      <c r="M1816" t="s">
        <v>86</v>
      </c>
      <c r="N1816" s="2">
        <v>2.2229999999999999</v>
      </c>
      <c r="O1816" s="1">
        <v>11</v>
      </c>
      <c r="P1816" s="2">
        <v>24.452999999999999</v>
      </c>
    </row>
    <row r="1817" spans="10:16">
      <c r="J1817" s="5" t="s">
        <v>279</v>
      </c>
      <c r="K1817" t="s">
        <v>280</v>
      </c>
      <c r="L1817" t="s">
        <v>98</v>
      </c>
      <c r="M1817" t="s">
        <v>86</v>
      </c>
      <c r="N1817" s="2">
        <v>6.1</v>
      </c>
      <c r="O1817" s="1">
        <v>4</v>
      </c>
      <c r="P1817" s="2">
        <v>24.4</v>
      </c>
    </row>
    <row r="1818" spans="10:16">
      <c r="J1818" s="5" t="s">
        <v>5296</v>
      </c>
      <c r="K1818" t="s">
        <v>5297</v>
      </c>
      <c r="L1818" t="s">
        <v>228</v>
      </c>
      <c r="M1818" t="s">
        <v>86</v>
      </c>
      <c r="N1818" s="2">
        <v>12.1852</v>
      </c>
      <c r="O1818" s="1">
        <v>4</v>
      </c>
      <c r="P1818" s="2">
        <v>24.3704</v>
      </c>
    </row>
    <row r="1819" spans="10:16">
      <c r="J1819" s="5" t="s">
        <v>4172</v>
      </c>
      <c r="K1819" t="s">
        <v>4173</v>
      </c>
      <c r="L1819" t="s">
        <v>85</v>
      </c>
      <c r="M1819" t="s">
        <v>86</v>
      </c>
      <c r="N1819" s="2">
        <v>24.36</v>
      </c>
      <c r="O1819" s="1">
        <v>1</v>
      </c>
      <c r="P1819" s="2">
        <v>24.36</v>
      </c>
    </row>
    <row r="1820" spans="10:16">
      <c r="J1820" s="5" t="s">
        <v>421</v>
      </c>
      <c r="K1820" t="s">
        <v>422</v>
      </c>
      <c r="L1820" t="s">
        <v>410</v>
      </c>
      <c r="M1820" t="s">
        <v>86</v>
      </c>
      <c r="N1820" s="2">
        <v>24.36</v>
      </c>
      <c r="O1820" s="1">
        <v>1</v>
      </c>
      <c r="P1820" s="2">
        <v>24.36</v>
      </c>
    </row>
    <row r="1821" spans="10:16">
      <c r="J1821" s="5" t="s">
        <v>4489</v>
      </c>
      <c r="K1821" t="s">
        <v>2209</v>
      </c>
      <c r="L1821" t="s">
        <v>85</v>
      </c>
      <c r="M1821" t="s">
        <v>86</v>
      </c>
      <c r="N1821" s="2">
        <v>3.0339999999999998</v>
      </c>
      <c r="O1821" s="1">
        <v>8</v>
      </c>
      <c r="P1821" s="2">
        <v>24.271999999999998</v>
      </c>
    </row>
    <row r="1822" spans="10:16">
      <c r="J1822" s="5" t="s">
        <v>1349</v>
      </c>
      <c r="K1822" t="s">
        <v>1350</v>
      </c>
      <c r="L1822" t="s">
        <v>115</v>
      </c>
      <c r="M1822" t="s">
        <v>102</v>
      </c>
      <c r="N1822" s="2">
        <v>0.188</v>
      </c>
      <c r="O1822" s="1">
        <v>129</v>
      </c>
      <c r="P1822" s="2">
        <v>24.251999999999999</v>
      </c>
    </row>
    <row r="1823" spans="10:16">
      <c r="J1823" s="5" t="s">
        <v>4327</v>
      </c>
      <c r="K1823" t="s">
        <v>4328</v>
      </c>
      <c r="L1823" t="s">
        <v>219</v>
      </c>
      <c r="M1823" t="s">
        <v>86</v>
      </c>
      <c r="N1823" s="2">
        <v>6.06</v>
      </c>
      <c r="O1823" s="1">
        <v>4</v>
      </c>
      <c r="P1823" s="2">
        <v>24.24</v>
      </c>
    </row>
    <row r="1824" spans="10:16">
      <c r="J1824" s="5" t="s">
        <v>3019</v>
      </c>
      <c r="K1824" t="s">
        <v>3020</v>
      </c>
      <c r="L1824" t="s">
        <v>85</v>
      </c>
      <c r="M1824" t="s">
        <v>86</v>
      </c>
      <c r="N1824" s="2">
        <v>12.12</v>
      </c>
      <c r="O1824" s="1">
        <v>2</v>
      </c>
      <c r="P1824" s="2">
        <v>24.24</v>
      </c>
    </row>
    <row r="1825" spans="10:16">
      <c r="J1825" s="5" t="s">
        <v>1789</v>
      </c>
      <c r="K1825" t="s">
        <v>1790</v>
      </c>
      <c r="L1825" t="s">
        <v>31</v>
      </c>
      <c r="M1825" t="s">
        <v>1931</v>
      </c>
      <c r="N1825" s="2">
        <v>8.0749999999999993</v>
      </c>
      <c r="O1825" s="1">
        <v>3</v>
      </c>
      <c r="P1825" s="2">
        <v>24.224999999999998</v>
      </c>
    </row>
    <row r="1826" spans="10:16">
      <c r="J1826" s="5" t="s">
        <v>1777</v>
      </c>
      <c r="K1826" t="s">
        <v>1778</v>
      </c>
      <c r="L1826" t="s">
        <v>85</v>
      </c>
      <c r="M1826" t="s">
        <v>86</v>
      </c>
      <c r="N1826" s="2">
        <v>0.5</v>
      </c>
      <c r="O1826" s="1">
        <v>48</v>
      </c>
      <c r="P1826" s="2">
        <v>24</v>
      </c>
    </row>
    <row r="1827" spans="10:16">
      <c r="J1827" s="5" t="s">
        <v>1122</v>
      </c>
      <c r="K1827" t="s">
        <v>1123</v>
      </c>
      <c r="L1827" t="s">
        <v>31</v>
      </c>
      <c r="M1827" t="s">
        <v>1931</v>
      </c>
      <c r="N1827" s="2">
        <v>12</v>
      </c>
      <c r="O1827" s="1">
        <v>2</v>
      </c>
      <c r="P1827" s="2">
        <v>24</v>
      </c>
    </row>
    <row r="1828" spans="10:16">
      <c r="J1828" s="5" t="s">
        <v>1952</v>
      </c>
      <c r="K1828" t="s">
        <v>1953</v>
      </c>
      <c r="L1828" t="s">
        <v>31</v>
      </c>
      <c r="M1828" t="s">
        <v>125</v>
      </c>
      <c r="N1828" s="2">
        <v>8</v>
      </c>
      <c r="O1828" s="1">
        <v>3</v>
      </c>
      <c r="P1828" s="2">
        <v>24</v>
      </c>
    </row>
    <row r="1829" spans="10:16">
      <c r="J1829" s="5" t="s">
        <v>4737</v>
      </c>
      <c r="K1829" t="s">
        <v>4738</v>
      </c>
      <c r="L1829" t="s">
        <v>85</v>
      </c>
      <c r="M1829" t="s">
        <v>86</v>
      </c>
      <c r="N1829" s="2">
        <v>2.9980000000000002</v>
      </c>
      <c r="O1829" s="1">
        <v>8</v>
      </c>
      <c r="P1829" s="2">
        <v>23.984000000000002</v>
      </c>
    </row>
    <row r="1830" spans="10:16">
      <c r="J1830" s="5" t="s">
        <v>2383</v>
      </c>
      <c r="K1830" t="s">
        <v>2384</v>
      </c>
      <c r="L1830" t="s">
        <v>85</v>
      </c>
      <c r="M1830" t="s">
        <v>86</v>
      </c>
      <c r="N1830" s="2">
        <v>7.9580000000000002</v>
      </c>
      <c r="O1830" s="1">
        <v>3</v>
      </c>
      <c r="P1830" s="2">
        <v>23.874000000000002</v>
      </c>
    </row>
    <row r="1831" spans="10:16">
      <c r="J1831" s="5" t="s">
        <v>3036</v>
      </c>
      <c r="K1831" t="s">
        <v>2396</v>
      </c>
      <c r="L1831" t="s">
        <v>85</v>
      </c>
      <c r="M1831" t="s">
        <v>86</v>
      </c>
      <c r="N1831" s="2">
        <v>0.81799999999999995</v>
      </c>
      <c r="O1831" s="1">
        <v>29</v>
      </c>
      <c r="P1831" s="2">
        <v>23.721999999999998</v>
      </c>
    </row>
    <row r="1832" spans="10:16">
      <c r="J1832" s="5" t="s">
        <v>2767</v>
      </c>
      <c r="K1832" t="s">
        <v>2768</v>
      </c>
      <c r="L1832" t="s">
        <v>98</v>
      </c>
      <c r="M1832" t="s">
        <v>86</v>
      </c>
      <c r="N1832" s="2">
        <v>2.3719999999999999</v>
      </c>
      <c r="O1832" s="1">
        <v>10</v>
      </c>
      <c r="P1832" s="2">
        <v>23.72</v>
      </c>
    </row>
    <row r="1833" spans="10:16">
      <c r="J1833" s="5" t="s">
        <v>4691</v>
      </c>
      <c r="K1833" t="s">
        <v>4692</v>
      </c>
      <c r="L1833" t="s">
        <v>223</v>
      </c>
      <c r="M1833" t="s">
        <v>86</v>
      </c>
      <c r="N1833" s="2">
        <v>3.952</v>
      </c>
      <c r="O1833" s="1">
        <v>6</v>
      </c>
      <c r="P1833" s="2">
        <v>23.712</v>
      </c>
    </row>
    <row r="1834" spans="10:16">
      <c r="J1834" s="5" t="s">
        <v>4365</v>
      </c>
      <c r="K1834" t="s">
        <v>4366</v>
      </c>
      <c r="L1834" t="s">
        <v>219</v>
      </c>
      <c r="M1834" t="s">
        <v>86</v>
      </c>
      <c r="N1834" s="2">
        <v>23.64</v>
      </c>
      <c r="O1834" s="1">
        <v>1</v>
      </c>
      <c r="P1834" s="2">
        <v>23.64</v>
      </c>
    </row>
    <row r="1835" spans="10:16">
      <c r="J1835" s="5" t="s">
        <v>500</v>
      </c>
      <c r="K1835" t="s">
        <v>501</v>
      </c>
      <c r="L1835" t="s">
        <v>85</v>
      </c>
      <c r="M1835" t="s">
        <v>86</v>
      </c>
      <c r="N1835" s="2">
        <v>0.84299999999999997</v>
      </c>
      <c r="O1835" s="1">
        <v>28</v>
      </c>
      <c r="P1835" s="2">
        <v>23.603999999999999</v>
      </c>
    </row>
    <row r="1836" spans="10:16">
      <c r="J1836" s="5" t="s">
        <v>2583</v>
      </c>
      <c r="K1836" t="s">
        <v>2584</v>
      </c>
      <c r="L1836" t="s">
        <v>5474</v>
      </c>
      <c r="M1836" t="s">
        <v>125</v>
      </c>
      <c r="N1836" s="2">
        <v>5.8970000000000002</v>
      </c>
      <c r="O1836" s="1">
        <v>4</v>
      </c>
      <c r="P1836" s="2">
        <v>23.588000000000001</v>
      </c>
    </row>
    <row r="1837" spans="10:16">
      <c r="J1837" s="5" t="s">
        <v>541</v>
      </c>
      <c r="K1837" t="s">
        <v>542</v>
      </c>
      <c r="L1837" t="s">
        <v>85</v>
      </c>
      <c r="M1837" t="s">
        <v>86</v>
      </c>
      <c r="N1837" s="2">
        <v>1.24</v>
      </c>
      <c r="O1837" s="1">
        <v>38</v>
      </c>
      <c r="P1837" s="2">
        <v>23.56</v>
      </c>
    </row>
    <row r="1838" spans="10:16">
      <c r="J1838" s="5" t="s">
        <v>391</v>
      </c>
      <c r="K1838" t="s">
        <v>392</v>
      </c>
      <c r="L1838" t="s">
        <v>219</v>
      </c>
      <c r="M1838" t="s">
        <v>86</v>
      </c>
      <c r="N1838" s="2">
        <v>23.472999999999999</v>
      </c>
      <c r="O1838" s="1">
        <v>1</v>
      </c>
      <c r="P1838" s="2">
        <v>23.472999999999999</v>
      </c>
    </row>
    <row r="1839" spans="10:16">
      <c r="J1839" s="5" t="s">
        <v>491</v>
      </c>
      <c r="K1839" t="s">
        <v>492</v>
      </c>
      <c r="L1839" t="s">
        <v>85</v>
      </c>
      <c r="M1839" t="s">
        <v>86</v>
      </c>
      <c r="N1839" s="2">
        <v>11.72</v>
      </c>
      <c r="O1839" s="1">
        <v>2</v>
      </c>
      <c r="P1839" s="2">
        <v>23.44</v>
      </c>
    </row>
    <row r="1840" spans="10:16">
      <c r="J1840" s="5" t="s">
        <v>4685</v>
      </c>
      <c r="K1840" t="s">
        <v>4686</v>
      </c>
      <c r="L1840" t="s">
        <v>85</v>
      </c>
      <c r="M1840" t="s">
        <v>86</v>
      </c>
      <c r="N1840" s="2">
        <v>7.8070000000000004</v>
      </c>
      <c r="O1840" s="1">
        <v>3</v>
      </c>
      <c r="P1840" s="2">
        <v>23.420999999999999</v>
      </c>
    </row>
    <row r="1841" spans="10:16">
      <c r="J1841" s="5" t="s">
        <v>912</v>
      </c>
      <c r="K1841" t="s">
        <v>913</v>
      </c>
      <c r="L1841" t="s">
        <v>31</v>
      </c>
      <c r="M1841" t="s">
        <v>125</v>
      </c>
      <c r="N1841" s="2">
        <v>4.6790000000000003</v>
      </c>
      <c r="O1841" s="1">
        <v>5</v>
      </c>
      <c r="P1841" s="2">
        <v>23.395000000000003</v>
      </c>
    </row>
    <row r="1842" spans="10:16">
      <c r="J1842" s="5" t="s">
        <v>3088</v>
      </c>
      <c r="K1842" t="s">
        <v>3089</v>
      </c>
      <c r="L1842" t="s">
        <v>85</v>
      </c>
      <c r="M1842" t="s">
        <v>86</v>
      </c>
      <c r="N1842" s="2">
        <v>23.35</v>
      </c>
      <c r="O1842" s="1">
        <v>1</v>
      </c>
      <c r="P1842" s="2">
        <v>23.35</v>
      </c>
    </row>
    <row r="1843" spans="10:16">
      <c r="J1843" s="5" t="s">
        <v>4090</v>
      </c>
      <c r="K1843" t="s">
        <v>4091</v>
      </c>
      <c r="L1843" t="s">
        <v>3819</v>
      </c>
      <c r="M1843" t="s">
        <v>86</v>
      </c>
      <c r="N1843" s="2">
        <v>11.657</v>
      </c>
      <c r="O1843" s="1">
        <v>2</v>
      </c>
      <c r="P1843" s="2">
        <v>23.314</v>
      </c>
    </row>
    <row r="1844" spans="10:16">
      <c r="J1844" s="5" t="s">
        <v>2424</v>
      </c>
      <c r="K1844" t="s">
        <v>2425</v>
      </c>
      <c r="L1844" t="s">
        <v>436</v>
      </c>
      <c r="M1844" t="s">
        <v>86</v>
      </c>
      <c r="N1844" s="2">
        <v>11.654</v>
      </c>
      <c r="O1844" s="1">
        <v>2</v>
      </c>
      <c r="P1844" s="2">
        <v>23.308</v>
      </c>
    </row>
    <row r="1845" spans="10:16">
      <c r="J1845" s="5" t="s">
        <v>4453</v>
      </c>
      <c r="K1845" t="s">
        <v>4454</v>
      </c>
      <c r="L1845" t="s">
        <v>85</v>
      </c>
      <c r="M1845" t="s">
        <v>86</v>
      </c>
      <c r="N1845" s="2">
        <v>1.5476000000000001</v>
      </c>
      <c r="O1845" s="1">
        <v>15</v>
      </c>
      <c r="P1845" s="2">
        <v>23.214000000000002</v>
      </c>
    </row>
    <row r="1846" spans="10:16">
      <c r="J1846" s="5" t="s">
        <v>5332</v>
      </c>
      <c r="K1846" t="s">
        <v>5333</v>
      </c>
      <c r="L1846" t="s">
        <v>128</v>
      </c>
      <c r="M1846" t="s">
        <v>125</v>
      </c>
      <c r="N1846" s="2">
        <v>5.8</v>
      </c>
      <c r="O1846" s="1">
        <v>4</v>
      </c>
      <c r="P1846" s="2">
        <v>23.2</v>
      </c>
    </row>
    <row r="1847" spans="10:16">
      <c r="J1847" s="5" t="s">
        <v>167</v>
      </c>
      <c r="K1847" t="s">
        <v>168</v>
      </c>
      <c r="L1847" t="s">
        <v>128</v>
      </c>
      <c r="M1847" t="s">
        <v>125</v>
      </c>
      <c r="N1847" s="2">
        <v>5.79</v>
      </c>
      <c r="O1847" s="1">
        <v>4</v>
      </c>
      <c r="P1847" s="2">
        <v>23.16</v>
      </c>
    </row>
    <row r="1848" spans="10:16">
      <c r="J1848" s="5" t="s">
        <v>3997</v>
      </c>
      <c r="K1848" t="s">
        <v>3998</v>
      </c>
      <c r="L1848" t="s">
        <v>98</v>
      </c>
      <c r="M1848" t="s">
        <v>86</v>
      </c>
      <c r="N1848" s="2">
        <v>11.579000000000001</v>
      </c>
      <c r="O1848" s="1">
        <v>4</v>
      </c>
      <c r="P1848" s="2">
        <v>23.158000000000001</v>
      </c>
    </row>
    <row r="1849" spans="10:16">
      <c r="J1849" s="5" t="s">
        <v>3716</v>
      </c>
      <c r="K1849" t="s">
        <v>3717</v>
      </c>
      <c r="L1849" t="s">
        <v>85</v>
      </c>
      <c r="M1849" t="s">
        <v>86</v>
      </c>
      <c r="N1849" s="2">
        <v>4.62</v>
      </c>
      <c r="O1849" s="1">
        <v>5</v>
      </c>
      <c r="P1849" s="2">
        <v>23.1</v>
      </c>
    </row>
    <row r="1850" spans="10:16">
      <c r="J1850" s="5" t="s">
        <v>2120</v>
      </c>
      <c r="K1850" t="s">
        <v>2121</v>
      </c>
      <c r="L1850" t="s">
        <v>243</v>
      </c>
      <c r="M1850" t="s">
        <v>86</v>
      </c>
      <c r="N1850" s="2">
        <v>23.03</v>
      </c>
      <c r="O1850" s="1">
        <v>1</v>
      </c>
      <c r="P1850" s="2">
        <v>23.03</v>
      </c>
    </row>
    <row r="1851" spans="10:16">
      <c r="J1851" s="5" t="s">
        <v>2268</v>
      </c>
      <c r="K1851" t="s">
        <v>2269</v>
      </c>
      <c r="L1851" t="s">
        <v>85</v>
      </c>
      <c r="M1851" t="s">
        <v>86</v>
      </c>
      <c r="N1851" s="2">
        <v>7.58</v>
      </c>
      <c r="O1851" s="1">
        <v>3</v>
      </c>
      <c r="P1851" s="2">
        <v>22.740000000000002</v>
      </c>
    </row>
    <row r="1852" spans="10:16">
      <c r="J1852" s="5" t="s">
        <v>360</v>
      </c>
      <c r="K1852" t="s">
        <v>361</v>
      </c>
      <c r="L1852" t="s">
        <v>98</v>
      </c>
      <c r="M1852" t="s">
        <v>86</v>
      </c>
      <c r="N1852" s="2">
        <v>4.54</v>
      </c>
      <c r="O1852" s="1">
        <v>5</v>
      </c>
      <c r="P1852" s="2">
        <v>22.7</v>
      </c>
    </row>
    <row r="1853" spans="10:16">
      <c r="J1853" s="5" t="s">
        <v>2547</v>
      </c>
      <c r="K1853" t="s">
        <v>2548</v>
      </c>
      <c r="L1853" t="s">
        <v>31</v>
      </c>
      <c r="M1853" t="s">
        <v>1931</v>
      </c>
      <c r="N1853" s="2">
        <v>22.66</v>
      </c>
      <c r="O1853" s="1">
        <v>1</v>
      </c>
      <c r="P1853" s="2">
        <v>22.66</v>
      </c>
    </row>
    <row r="1854" spans="10:16">
      <c r="J1854" s="5" t="s">
        <v>2407</v>
      </c>
      <c r="K1854" t="s">
        <v>2408</v>
      </c>
      <c r="L1854" t="s">
        <v>85</v>
      </c>
      <c r="M1854" t="s">
        <v>86</v>
      </c>
      <c r="N1854" s="2">
        <v>22.556000000000001</v>
      </c>
      <c r="O1854" s="1">
        <v>1</v>
      </c>
      <c r="P1854" s="2">
        <v>22.556000000000001</v>
      </c>
    </row>
    <row r="1855" spans="10:16">
      <c r="J1855" s="5" t="s">
        <v>1158</v>
      </c>
      <c r="K1855" t="s">
        <v>1159</v>
      </c>
      <c r="L1855" t="s">
        <v>31</v>
      </c>
      <c r="M1855" t="s">
        <v>1931</v>
      </c>
      <c r="N1855" s="2">
        <v>22.5</v>
      </c>
      <c r="O1855" s="1">
        <v>1</v>
      </c>
      <c r="P1855" s="2">
        <v>22.5</v>
      </c>
    </row>
    <row r="1856" spans="10:16">
      <c r="J1856" s="5" t="s">
        <v>1160</v>
      </c>
      <c r="K1856" t="s">
        <v>1161</v>
      </c>
      <c r="L1856" t="s">
        <v>31</v>
      </c>
      <c r="M1856" t="s">
        <v>1931</v>
      </c>
      <c r="N1856" s="2">
        <v>22.5</v>
      </c>
      <c r="O1856" s="1">
        <v>1</v>
      </c>
      <c r="P1856" s="2">
        <v>22.5</v>
      </c>
    </row>
    <row r="1857" spans="10:16">
      <c r="J1857" s="5" t="s">
        <v>2607</v>
      </c>
      <c r="K1857" t="s">
        <v>2608</v>
      </c>
      <c r="L1857" t="s">
        <v>5474</v>
      </c>
      <c r="M1857" t="s">
        <v>125</v>
      </c>
      <c r="N1857" s="2">
        <v>2.496</v>
      </c>
      <c r="O1857" s="1">
        <v>9</v>
      </c>
      <c r="P1857" s="2">
        <v>22.463999999999999</v>
      </c>
    </row>
    <row r="1858" spans="10:16">
      <c r="J1858" s="5" t="s">
        <v>2280</v>
      </c>
      <c r="K1858" t="s">
        <v>2281</v>
      </c>
      <c r="L1858" t="s">
        <v>85</v>
      </c>
      <c r="M1858" t="s">
        <v>86</v>
      </c>
      <c r="N1858" s="2">
        <v>11.231999999999999</v>
      </c>
      <c r="O1858" s="1">
        <v>4</v>
      </c>
      <c r="P1858" s="2">
        <v>22.463999999999999</v>
      </c>
    </row>
    <row r="1859" spans="10:16">
      <c r="J1859" s="5" t="s">
        <v>4755</v>
      </c>
      <c r="K1859" t="s">
        <v>4756</v>
      </c>
      <c r="L1859" t="s">
        <v>219</v>
      </c>
      <c r="M1859" t="s">
        <v>86</v>
      </c>
      <c r="N1859" s="2">
        <v>22.42</v>
      </c>
      <c r="O1859" s="1">
        <v>1</v>
      </c>
      <c r="P1859" s="2">
        <v>22.42</v>
      </c>
    </row>
    <row r="1860" spans="10:16">
      <c r="J1860" s="5" t="s">
        <v>2316</v>
      </c>
      <c r="K1860" t="s">
        <v>2317</v>
      </c>
      <c r="L1860" t="s">
        <v>219</v>
      </c>
      <c r="M1860" t="s">
        <v>86</v>
      </c>
      <c r="N1860" s="2">
        <v>3.7250000000000001</v>
      </c>
      <c r="O1860" s="1">
        <v>6</v>
      </c>
      <c r="P1860" s="2">
        <v>22.35</v>
      </c>
    </row>
    <row r="1861" spans="10:16">
      <c r="J1861" s="5" t="s">
        <v>4204</v>
      </c>
      <c r="K1861" t="s">
        <v>4205</v>
      </c>
      <c r="L1861" t="s">
        <v>85</v>
      </c>
      <c r="M1861" t="s">
        <v>86</v>
      </c>
      <c r="N1861" s="2">
        <v>11.17</v>
      </c>
      <c r="O1861" s="1">
        <v>2</v>
      </c>
      <c r="P1861" s="2">
        <v>22.34</v>
      </c>
    </row>
    <row r="1862" spans="10:16">
      <c r="J1862" s="5" t="s">
        <v>4243</v>
      </c>
      <c r="K1862" t="s">
        <v>4244</v>
      </c>
      <c r="L1862" t="s">
        <v>219</v>
      </c>
      <c r="M1862" t="s">
        <v>86</v>
      </c>
      <c r="N1862" s="2">
        <v>22.33</v>
      </c>
      <c r="O1862" s="1">
        <v>1</v>
      </c>
      <c r="P1862" s="2">
        <v>22.33</v>
      </c>
    </row>
    <row r="1863" spans="10:16">
      <c r="J1863" s="5" t="s">
        <v>4391</v>
      </c>
      <c r="K1863" t="s">
        <v>4392</v>
      </c>
      <c r="L1863" t="s">
        <v>85</v>
      </c>
      <c r="M1863" t="s">
        <v>86</v>
      </c>
      <c r="N1863" s="2">
        <v>22.26</v>
      </c>
      <c r="O1863" s="1">
        <v>1</v>
      </c>
      <c r="P1863" s="2">
        <v>22.26</v>
      </c>
    </row>
    <row r="1864" spans="10:16">
      <c r="J1864" s="5" t="s">
        <v>3789</v>
      </c>
      <c r="K1864" t="s">
        <v>3790</v>
      </c>
      <c r="L1864" t="s">
        <v>219</v>
      </c>
      <c r="M1864" t="s">
        <v>86</v>
      </c>
      <c r="N1864" s="2">
        <v>2.7795000000000001</v>
      </c>
      <c r="O1864" s="1">
        <v>8</v>
      </c>
      <c r="P1864" s="2">
        <v>22.236000000000001</v>
      </c>
    </row>
    <row r="1865" spans="10:16">
      <c r="J1865" s="5" t="s">
        <v>3180</v>
      </c>
      <c r="K1865" t="s">
        <v>3181</v>
      </c>
      <c r="L1865" t="s">
        <v>128</v>
      </c>
      <c r="M1865" t="s">
        <v>125</v>
      </c>
      <c r="N1865" s="2">
        <v>5.556</v>
      </c>
      <c r="O1865" s="1">
        <v>4</v>
      </c>
      <c r="P1865" s="2">
        <v>22.224</v>
      </c>
    </row>
    <row r="1866" spans="10:16">
      <c r="J1866" s="5" t="s">
        <v>4629</v>
      </c>
      <c r="K1866" t="s">
        <v>4630</v>
      </c>
      <c r="L1866" t="s">
        <v>219</v>
      </c>
      <c r="M1866" t="s">
        <v>86</v>
      </c>
      <c r="N1866" s="2">
        <v>4.4420000000000002</v>
      </c>
      <c r="O1866" s="1">
        <v>5</v>
      </c>
      <c r="P1866" s="2">
        <v>22.21</v>
      </c>
    </row>
    <row r="1867" spans="10:16">
      <c r="J1867" s="5" t="s">
        <v>4545</v>
      </c>
      <c r="K1867" t="s">
        <v>4546</v>
      </c>
      <c r="L1867" t="s">
        <v>436</v>
      </c>
      <c r="M1867" t="s">
        <v>86</v>
      </c>
      <c r="N1867" s="2">
        <v>11.05</v>
      </c>
      <c r="O1867" s="1">
        <v>2</v>
      </c>
      <c r="P1867" s="2">
        <v>22.1</v>
      </c>
    </row>
    <row r="1868" spans="10:16">
      <c r="J1868" s="5" t="s">
        <v>5334</v>
      </c>
      <c r="K1868" t="s">
        <v>5335</v>
      </c>
      <c r="L1868" t="s">
        <v>128</v>
      </c>
      <c r="M1868" t="s">
        <v>125</v>
      </c>
      <c r="N1868" s="2">
        <v>11</v>
      </c>
      <c r="O1868" s="1">
        <v>2</v>
      </c>
      <c r="P1868" s="2">
        <v>22</v>
      </c>
    </row>
    <row r="1869" spans="10:16">
      <c r="J1869" s="5" t="s">
        <v>2758</v>
      </c>
      <c r="K1869" t="s">
        <v>2759</v>
      </c>
      <c r="L1869" t="s">
        <v>85</v>
      </c>
      <c r="M1869" t="s">
        <v>86</v>
      </c>
      <c r="N1869" s="2">
        <v>1.462</v>
      </c>
      <c r="O1869" s="1">
        <v>15</v>
      </c>
      <c r="P1869" s="2">
        <v>21.93</v>
      </c>
    </row>
    <row r="1870" spans="10:16">
      <c r="J1870" s="5" t="s">
        <v>524</v>
      </c>
      <c r="K1870" t="s">
        <v>525</v>
      </c>
      <c r="L1870" t="s">
        <v>219</v>
      </c>
      <c r="M1870" t="s">
        <v>86</v>
      </c>
      <c r="N1870" s="2">
        <v>1.5593999999999999</v>
      </c>
      <c r="O1870" s="1">
        <v>28</v>
      </c>
      <c r="P1870" s="2">
        <v>21.831599999999998</v>
      </c>
    </row>
    <row r="1871" spans="10:16">
      <c r="J1871" s="5" t="s">
        <v>1206</v>
      </c>
      <c r="K1871" t="s">
        <v>1207</v>
      </c>
      <c r="L1871" t="s">
        <v>31</v>
      </c>
      <c r="M1871" t="s">
        <v>1931</v>
      </c>
      <c r="N1871" s="2">
        <v>21.78</v>
      </c>
      <c r="O1871" s="1">
        <v>1</v>
      </c>
      <c r="P1871" s="2">
        <v>21.78</v>
      </c>
    </row>
    <row r="1872" spans="10:16">
      <c r="J1872" s="5" t="s">
        <v>56</v>
      </c>
      <c r="K1872" t="s">
        <v>57</v>
      </c>
      <c r="L1872" t="s">
        <v>31</v>
      </c>
      <c r="M1872" t="s">
        <v>1931</v>
      </c>
      <c r="N1872" s="2">
        <v>1.2090000000000001</v>
      </c>
      <c r="O1872" s="1">
        <v>18</v>
      </c>
      <c r="P1872" s="2">
        <v>21.762</v>
      </c>
    </row>
    <row r="1873" spans="10:16">
      <c r="J1873" s="5" t="s">
        <v>3722</v>
      </c>
      <c r="K1873" t="s">
        <v>3723</v>
      </c>
      <c r="L1873" t="s">
        <v>85</v>
      </c>
      <c r="M1873" t="s">
        <v>86</v>
      </c>
      <c r="N1873" s="2">
        <v>0.98599999999999999</v>
      </c>
      <c r="O1873" s="1">
        <v>22</v>
      </c>
      <c r="P1873" s="2">
        <v>21.692</v>
      </c>
    </row>
    <row r="1874" spans="10:16">
      <c r="J1874" s="5" t="s">
        <v>4521</v>
      </c>
      <c r="K1874" t="s">
        <v>3250</v>
      </c>
      <c r="L1874" t="s">
        <v>219</v>
      </c>
      <c r="M1874" t="s">
        <v>86</v>
      </c>
      <c r="N1874" s="2">
        <v>2.7109999999999999</v>
      </c>
      <c r="O1874" s="1">
        <v>8</v>
      </c>
      <c r="P1874" s="2">
        <v>21.687999999999999</v>
      </c>
    </row>
    <row r="1875" spans="10:16">
      <c r="J1875" s="5" t="s">
        <v>2422</v>
      </c>
      <c r="K1875" t="s">
        <v>2423</v>
      </c>
      <c r="L1875" t="s">
        <v>85</v>
      </c>
      <c r="M1875" t="s">
        <v>86</v>
      </c>
      <c r="N1875" s="2">
        <v>21.66</v>
      </c>
      <c r="O1875" s="1">
        <v>1</v>
      </c>
      <c r="P1875" s="2">
        <v>21.66</v>
      </c>
    </row>
    <row r="1876" spans="10:16">
      <c r="J1876" s="5" t="s">
        <v>1662</v>
      </c>
      <c r="K1876" t="s">
        <v>1663</v>
      </c>
      <c r="L1876" t="s">
        <v>618</v>
      </c>
      <c r="M1876" t="s">
        <v>711</v>
      </c>
      <c r="N1876" s="2">
        <v>21.52</v>
      </c>
      <c r="O1876" s="1">
        <v>1</v>
      </c>
      <c r="P1876" s="2">
        <v>21.52</v>
      </c>
    </row>
    <row r="1877" spans="10:16">
      <c r="J1877" s="5" t="s">
        <v>396</v>
      </c>
      <c r="K1877" t="s">
        <v>4234</v>
      </c>
      <c r="L1877" t="s">
        <v>85</v>
      </c>
      <c r="M1877" t="s">
        <v>86</v>
      </c>
      <c r="N1877" s="2">
        <v>3.58</v>
      </c>
      <c r="O1877" s="1">
        <v>6</v>
      </c>
      <c r="P1877" s="2">
        <v>21.48</v>
      </c>
    </row>
    <row r="1878" spans="10:16">
      <c r="J1878" s="5" t="s">
        <v>3398</v>
      </c>
      <c r="K1878" t="s">
        <v>3399</v>
      </c>
      <c r="L1878" t="s">
        <v>141</v>
      </c>
      <c r="M1878" t="s">
        <v>125</v>
      </c>
      <c r="N1878" s="2">
        <v>21.460799999999999</v>
      </c>
      <c r="O1878" s="1">
        <v>2</v>
      </c>
      <c r="P1878" s="2">
        <v>21.460799999999999</v>
      </c>
    </row>
    <row r="1879" spans="10:16">
      <c r="J1879" s="5" t="s">
        <v>1881</v>
      </c>
      <c r="K1879" t="s">
        <v>1882</v>
      </c>
      <c r="L1879" t="s">
        <v>219</v>
      </c>
      <c r="M1879" t="s">
        <v>86</v>
      </c>
      <c r="N1879" s="2">
        <v>1.43</v>
      </c>
      <c r="O1879" s="1">
        <v>15</v>
      </c>
      <c r="P1879" s="2">
        <v>21.45</v>
      </c>
    </row>
    <row r="1880" spans="10:16">
      <c r="J1880" s="5" t="s">
        <v>4495</v>
      </c>
      <c r="K1880" t="s">
        <v>3227</v>
      </c>
      <c r="L1880" t="s">
        <v>98</v>
      </c>
      <c r="M1880" t="s">
        <v>86</v>
      </c>
      <c r="N1880" s="2">
        <v>4.2750000000000004</v>
      </c>
      <c r="O1880" s="1">
        <v>5</v>
      </c>
      <c r="P1880" s="2">
        <v>21.375</v>
      </c>
    </row>
    <row r="1881" spans="10:16">
      <c r="J1881" s="5" t="s">
        <v>181</v>
      </c>
      <c r="K1881" t="s">
        <v>182</v>
      </c>
      <c r="L1881" t="s">
        <v>131</v>
      </c>
      <c r="M1881" t="s">
        <v>125</v>
      </c>
      <c r="N1881" s="2">
        <v>21.31</v>
      </c>
      <c r="O1881" s="1">
        <v>1</v>
      </c>
      <c r="P1881" s="2">
        <v>21.31</v>
      </c>
    </row>
    <row r="1882" spans="10:16">
      <c r="J1882" s="5" t="s">
        <v>3882</v>
      </c>
      <c r="K1882" t="s">
        <v>3883</v>
      </c>
      <c r="L1882" t="s">
        <v>219</v>
      </c>
      <c r="M1882" t="s">
        <v>86</v>
      </c>
      <c r="N1882" s="2">
        <v>21.28</v>
      </c>
      <c r="O1882" s="1">
        <v>1</v>
      </c>
      <c r="P1882" s="2">
        <v>21.28</v>
      </c>
    </row>
    <row r="1883" spans="10:16">
      <c r="J1883" s="5" t="s">
        <v>2278</v>
      </c>
      <c r="K1883" t="s">
        <v>2279</v>
      </c>
      <c r="L1883" t="s">
        <v>85</v>
      </c>
      <c r="M1883" t="s">
        <v>86</v>
      </c>
      <c r="N1883" s="2">
        <v>2.3565999999999998</v>
      </c>
      <c r="O1883" s="1">
        <v>18</v>
      </c>
      <c r="P1883" s="2">
        <v>21.209399999999999</v>
      </c>
    </row>
    <row r="1884" spans="10:16">
      <c r="J1884" s="5" t="s">
        <v>4668</v>
      </c>
      <c r="K1884" t="s">
        <v>4669</v>
      </c>
      <c r="L1884" t="s">
        <v>85</v>
      </c>
      <c r="M1884" t="s">
        <v>86</v>
      </c>
      <c r="N1884" s="2">
        <v>1.629</v>
      </c>
      <c r="O1884" s="1">
        <v>13</v>
      </c>
      <c r="P1884" s="2">
        <v>21.177</v>
      </c>
    </row>
    <row r="1885" spans="10:16">
      <c r="J1885" s="5" t="s">
        <v>393</v>
      </c>
      <c r="K1885" t="s">
        <v>4212</v>
      </c>
      <c r="L1885" t="s">
        <v>85</v>
      </c>
      <c r="M1885" t="s">
        <v>86</v>
      </c>
      <c r="N1885" s="2">
        <v>2.3450000000000002</v>
      </c>
      <c r="O1885" s="1">
        <v>9</v>
      </c>
      <c r="P1885" s="2">
        <v>21.105</v>
      </c>
    </row>
    <row r="1886" spans="10:16">
      <c r="J1886" s="5" t="s">
        <v>2465</v>
      </c>
      <c r="K1886" t="s">
        <v>2466</v>
      </c>
      <c r="L1886" t="s">
        <v>85</v>
      </c>
      <c r="M1886" t="s">
        <v>86</v>
      </c>
      <c r="N1886" s="2">
        <v>2.6339999999999999</v>
      </c>
      <c r="O1886" s="1">
        <v>8</v>
      </c>
      <c r="P1886" s="2">
        <v>21.071999999999999</v>
      </c>
    </row>
    <row r="1887" spans="10:16">
      <c r="J1887" s="5" t="s">
        <v>3057</v>
      </c>
      <c r="K1887" t="s">
        <v>3058</v>
      </c>
      <c r="L1887" t="s">
        <v>85</v>
      </c>
      <c r="M1887" t="s">
        <v>86</v>
      </c>
      <c r="N1887" s="2">
        <v>4.194</v>
      </c>
      <c r="O1887" s="1">
        <v>5</v>
      </c>
      <c r="P1887" s="2">
        <v>20.97</v>
      </c>
    </row>
    <row r="1888" spans="10:16">
      <c r="J1888" s="5" t="s">
        <v>863</v>
      </c>
      <c r="K1888" t="s">
        <v>864</v>
      </c>
      <c r="L1888" t="s">
        <v>31</v>
      </c>
      <c r="M1888" t="s">
        <v>125</v>
      </c>
      <c r="N1888" s="2">
        <v>1.6080000000000001</v>
      </c>
      <c r="O1888" s="1">
        <v>13</v>
      </c>
      <c r="P1888" s="2">
        <v>20.904</v>
      </c>
    </row>
    <row r="1889" spans="10:16">
      <c r="J1889" s="5" t="s">
        <v>4319</v>
      </c>
      <c r="K1889" t="s">
        <v>4320</v>
      </c>
      <c r="L1889" t="s">
        <v>98</v>
      </c>
      <c r="M1889" t="s">
        <v>86</v>
      </c>
      <c r="N1889" s="2">
        <v>2.61</v>
      </c>
      <c r="O1889" s="1">
        <v>8</v>
      </c>
      <c r="P1889" s="2">
        <v>20.88</v>
      </c>
    </row>
    <row r="1890" spans="10:16">
      <c r="J1890" s="5" t="s">
        <v>4801</v>
      </c>
      <c r="K1890" t="s">
        <v>4802</v>
      </c>
      <c r="L1890" t="s">
        <v>410</v>
      </c>
      <c r="M1890" t="s">
        <v>86</v>
      </c>
      <c r="N1890" s="2">
        <v>20.824999999999999</v>
      </c>
      <c r="O1890" s="1">
        <v>1</v>
      </c>
      <c r="P1890" s="2">
        <v>20.824999999999999</v>
      </c>
    </row>
    <row r="1891" spans="10:16">
      <c r="J1891" s="5" t="s">
        <v>3949</v>
      </c>
      <c r="K1891" t="s">
        <v>3950</v>
      </c>
      <c r="L1891" t="s">
        <v>436</v>
      </c>
      <c r="M1891" t="s">
        <v>86</v>
      </c>
      <c r="N1891" s="2">
        <v>10.4</v>
      </c>
      <c r="O1891" s="1">
        <v>2</v>
      </c>
      <c r="P1891" s="2">
        <v>20.8</v>
      </c>
    </row>
    <row r="1892" spans="10:16">
      <c r="J1892" s="5" t="s">
        <v>4943</v>
      </c>
      <c r="K1892" t="s">
        <v>4944</v>
      </c>
      <c r="L1892" t="s">
        <v>219</v>
      </c>
      <c r="M1892" t="s">
        <v>86</v>
      </c>
      <c r="N1892" s="2">
        <v>1.1519999999999999</v>
      </c>
      <c r="O1892" s="1">
        <v>18</v>
      </c>
      <c r="P1892" s="2">
        <v>20.735999999999997</v>
      </c>
    </row>
    <row r="1893" spans="10:16">
      <c r="J1893" s="5" t="s">
        <v>3655</v>
      </c>
      <c r="K1893" t="s">
        <v>3656</v>
      </c>
      <c r="L1893" t="s">
        <v>219</v>
      </c>
      <c r="M1893" t="s">
        <v>86</v>
      </c>
      <c r="N1893" s="2">
        <v>6.89</v>
      </c>
      <c r="O1893" s="1">
        <v>3</v>
      </c>
      <c r="P1893" s="2">
        <v>20.669999999999998</v>
      </c>
    </row>
    <row r="1894" spans="10:16">
      <c r="J1894" s="5" t="s">
        <v>4338</v>
      </c>
      <c r="K1894" t="s">
        <v>3251</v>
      </c>
      <c r="L1894" t="s">
        <v>219</v>
      </c>
      <c r="M1894" t="s">
        <v>86</v>
      </c>
      <c r="N1894" s="2">
        <v>6.867</v>
      </c>
      <c r="O1894" s="1">
        <v>3</v>
      </c>
      <c r="P1894" s="2">
        <v>20.600999999999999</v>
      </c>
    </row>
    <row r="1895" spans="10:16">
      <c r="J1895" s="5" t="s">
        <v>4409</v>
      </c>
      <c r="K1895" t="s">
        <v>4410</v>
      </c>
      <c r="L1895" t="s">
        <v>85</v>
      </c>
      <c r="M1895" t="s">
        <v>86</v>
      </c>
      <c r="N1895" s="2">
        <v>2.06</v>
      </c>
      <c r="O1895" s="1">
        <v>10</v>
      </c>
      <c r="P1895" s="2">
        <v>20.6</v>
      </c>
    </row>
    <row r="1896" spans="10:16">
      <c r="J1896" s="5" t="s">
        <v>2077</v>
      </c>
      <c r="K1896" t="s">
        <v>2078</v>
      </c>
      <c r="L1896" t="s">
        <v>228</v>
      </c>
      <c r="M1896" t="s">
        <v>86</v>
      </c>
      <c r="N1896" s="2">
        <v>20.57</v>
      </c>
      <c r="O1896" s="1">
        <v>1</v>
      </c>
      <c r="P1896" s="2">
        <v>20.57</v>
      </c>
    </row>
    <row r="1897" spans="10:16">
      <c r="J1897" s="5" t="s">
        <v>1771</v>
      </c>
      <c r="K1897" t="s">
        <v>1772</v>
      </c>
      <c r="L1897" t="s">
        <v>101</v>
      </c>
      <c r="M1897" t="s">
        <v>581</v>
      </c>
      <c r="N1897" s="2">
        <v>2.5632000000000001</v>
      </c>
      <c r="O1897" s="1">
        <v>8</v>
      </c>
      <c r="P1897" s="2">
        <v>20.505600000000001</v>
      </c>
    </row>
    <row r="1898" spans="10:16">
      <c r="J1898" s="5" t="s">
        <v>4206</v>
      </c>
      <c r="K1898" t="s">
        <v>4207</v>
      </c>
      <c r="L1898" t="s">
        <v>85</v>
      </c>
      <c r="M1898" t="s">
        <v>86</v>
      </c>
      <c r="N1898" s="2">
        <v>20.46</v>
      </c>
      <c r="O1898" s="1">
        <v>1</v>
      </c>
      <c r="P1898" s="2">
        <v>20.46</v>
      </c>
    </row>
    <row r="1899" spans="10:16">
      <c r="J1899" s="5" t="s">
        <v>3791</v>
      </c>
      <c r="K1899" t="s">
        <v>3792</v>
      </c>
      <c r="L1899" t="s">
        <v>436</v>
      </c>
      <c r="M1899" t="s">
        <v>86</v>
      </c>
      <c r="N1899" s="2">
        <v>5.1100000000000003</v>
      </c>
      <c r="O1899" s="1">
        <v>4</v>
      </c>
      <c r="P1899" s="2">
        <v>20.440000000000001</v>
      </c>
    </row>
    <row r="1900" spans="10:16">
      <c r="J1900" s="5" t="s">
        <v>2455</v>
      </c>
      <c r="K1900" t="s">
        <v>2456</v>
      </c>
      <c r="L1900" t="s">
        <v>85</v>
      </c>
      <c r="M1900" t="s">
        <v>86</v>
      </c>
      <c r="N1900" s="2">
        <v>20.369</v>
      </c>
      <c r="O1900" s="1">
        <v>1</v>
      </c>
      <c r="P1900" s="2">
        <v>20.369</v>
      </c>
    </row>
    <row r="1901" spans="10:16">
      <c r="J1901" s="5" t="s">
        <v>2919</v>
      </c>
      <c r="K1901" t="s">
        <v>4011</v>
      </c>
      <c r="L1901" t="s">
        <v>98</v>
      </c>
      <c r="M1901" t="s">
        <v>86</v>
      </c>
      <c r="N1901" s="2">
        <v>6.7830000000000004</v>
      </c>
      <c r="O1901" s="1">
        <v>3</v>
      </c>
      <c r="P1901" s="2">
        <v>20.349</v>
      </c>
    </row>
    <row r="1902" spans="10:16">
      <c r="J1902" s="5" t="s">
        <v>5398</v>
      </c>
      <c r="K1902" t="s">
        <v>5399</v>
      </c>
      <c r="L1902" t="s">
        <v>85</v>
      </c>
      <c r="M1902" t="s">
        <v>86</v>
      </c>
      <c r="N1902" s="2">
        <v>20.344999999999999</v>
      </c>
      <c r="O1902" s="1">
        <v>1</v>
      </c>
      <c r="P1902" s="2">
        <v>20.344999999999999</v>
      </c>
    </row>
    <row r="1903" spans="10:16">
      <c r="J1903" s="5" t="s">
        <v>1095</v>
      </c>
      <c r="K1903" t="s">
        <v>1096</v>
      </c>
      <c r="L1903" t="s">
        <v>131</v>
      </c>
      <c r="M1903" t="s">
        <v>125</v>
      </c>
      <c r="N1903" s="2">
        <v>10.127000000000001</v>
      </c>
      <c r="O1903" s="1">
        <v>2</v>
      </c>
      <c r="P1903" s="2">
        <v>20.254000000000001</v>
      </c>
    </row>
    <row r="1904" spans="10:16">
      <c r="J1904" s="5" t="s">
        <v>4019</v>
      </c>
      <c r="K1904" t="s">
        <v>4020</v>
      </c>
      <c r="L1904" t="s">
        <v>98</v>
      </c>
      <c r="M1904" t="s">
        <v>86</v>
      </c>
      <c r="N1904" s="2">
        <v>4.05</v>
      </c>
      <c r="O1904" s="1">
        <v>5</v>
      </c>
      <c r="P1904" s="2">
        <v>20.25</v>
      </c>
    </row>
    <row r="1905" spans="10:16">
      <c r="J1905" s="5" t="s">
        <v>3286</v>
      </c>
      <c r="K1905" t="s">
        <v>3287</v>
      </c>
      <c r="L1905" t="s">
        <v>85</v>
      </c>
      <c r="M1905" t="s">
        <v>86</v>
      </c>
      <c r="N1905" s="2">
        <v>3.3650000000000002</v>
      </c>
      <c r="O1905" s="1">
        <v>6</v>
      </c>
      <c r="P1905" s="2">
        <v>20.190000000000001</v>
      </c>
    </row>
    <row r="1906" spans="10:16">
      <c r="J1906" s="5" t="s">
        <v>510</v>
      </c>
      <c r="K1906" t="s">
        <v>511</v>
      </c>
      <c r="L1906" t="s">
        <v>85</v>
      </c>
      <c r="M1906" t="s">
        <v>86</v>
      </c>
      <c r="N1906" s="2">
        <v>2.8773</v>
      </c>
      <c r="O1906" s="1">
        <v>7</v>
      </c>
      <c r="P1906" s="2">
        <v>20.141100000000002</v>
      </c>
    </row>
    <row r="1907" spans="10:16">
      <c r="J1907" s="5" t="s">
        <v>2637</v>
      </c>
      <c r="K1907" t="s">
        <v>2638</v>
      </c>
      <c r="L1907" t="s">
        <v>5474</v>
      </c>
      <c r="M1907" t="s">
        <v>125</v>
      </c>
      <c r="N1907" s="2">
        <v>10.029999999999999</v>
      </c>
      <c r="O1907" s="1">
        <v>2</v>
      </c>
      <c r="P1907" s="2">
        <v>20.059999999999999</v>
      </c>
    </row>
    <row r="1908" spans="10:16">
      <c r="J1908" s="5" t="s">
        <v>192</v>
      </c>
      <c r="K1908" t="s">
        <v>193</v>
      </c>
      <c r="L1908" t="s">
        <v>31</v>
      </c>
      <c r="M1908" t="s">
        <v>1931</v>
      </c>
      <c r="N1908" s="2">
        <v>19.809999999999999</v>
      </c>
      <c r="O1908" s="1">
        <v>1</v>
      </c>
      <c r="P1908" s="2">
        <v>19.809999999999999</v>
      </c>
    </row>
    <row r="1909" spans="10:16">
      <c r="J1909" s="5" t="s">
        <v>3647</v>
      </c>
      <c r="K1909" t="s">
        <v>3648</v>
      </c>
      <c r="L1909" t="s">
        <v>85</v>
      </c>
      <c r="M1909" t="s">
        <v>86</v>
      </c>
      <c r="N1909" s="2">
        <v>1.0944</v>
      </c>
      <c r="O1909" s="1">
        <v>18</v>
      </c>
      <c r="P1909" s="2">
        <v>19.699200000000001</v>
      </c>
    </row>
    <row r="1910" spans="10:16">
      <c r="J1910" s="5" t="s">
        <v>2924</v>
      </c>
      <c r="K1910" t="s">
        <v>2925</v>
      </c>
      <c r="L1910" t="s">
        <v>98</v>
      </c>
      <c r="M1910" t="s">
        <v>86</v>
      </c>
      <c r="N1910" s="2">
        <v>3.28</v>
      </c>
      <c r="O1910" s="1">
        <v>6</v>
      </c>
      <c r="P1910" s="2">
        <v>19.68</v>
      </c>
    </row>
    <row r="1911" spans="10:16">
      <c r="J1911" s="5" t="s">
        <v>1909</v>
      </c>
      <c r="K1911" t="s">
        <v>1910</v>
      </c>
      <c r="L1911" t="s">
        <v>31</v>
      </c>
      <c r="M1911" t="s">
        <v>1931</v>
      </c>
      <c r="N1911" s="2">
        <v>19.63</v>
      </c>
      <c r="O1911" s="1">
        <v>1</v>
      </c>
      <c r="P1911" s="2">
        <v>19.63</v>
      </c>
    </row>
    <row r="1912" spans="10:16">
      <c r="J1912" s="5" t="s">
        <v>1905</v>
      </c>
      <c r="K1912" t="s">
        <v>1906</v>
      </c>
      <c r="L1912" t="s">
        <v>31</v>
      </c>
      <c r="M1912" t="s">
        <v>1931</v>
      </c>
      <c r="N1912" s="2">
        <v>19.63</v>
      </c>
      <c r="O1912" s="1">
        <v>1</v>
      </c>
      <c r="P1912" s="2">
        <v>19.63</v>
      </c>
    </row>
    <row r="1913" spans="10:16">
      <c r="J1913" s="5" t="s">
        <v>4267</v>
      </c>
      <c r="K1913" t="s">
        <v>4268</v>
      </c>
      <c r="L1913" t="s">
        <v>219</v>
      </c>
      <c r="M1913" t="s">
        <v>86</v>
      </c>
      <c r="N1913" s="2">
        <v>2.4500000000000002</v>
      </c>
      <c r="O1913" s="1">
        <v>8</v>
      </c>
      <c r="P1913" s="2">
        <v>19.600000000000001</v>
      </c>
    </row>
    <row r="1914" spans="10:16">
      <c r="J1914" s="5" t="s">
        <v>4707</v>
      </c>
      <c r="K1914" t="s">
        <v>4708</v>
      </c>
      <c r="L1914" t="s">
        <v>85</v>
      </c>
      <c r="M1914" t="s">
        <v>86</v>
      </c>
      <c r="N1914" s="2">
        <v>4.9000000000000004</v>
      </c>
      <c r="O1914" s="1">
        <v>4</v>
      </c>
      <c r="P1914" s="2">
        <v>19.600000000000001</v>
      </c>
    </row>
    <row r="1915" spans="10:16">
      <c r="J1915" s="5" t="s">
        <v>506</v>
      </c>
      <c r="K1915" t="s">
        <v>507</v>
      </c>
      <c r="L1915" t="s">
        <v>85</v>
      </c>
      <c r="M1915" t="s">
        <v>86</v>
      </c>
      <c r="N1915" s="2">
        <v>2.4495</v>
      </c>
      <c r="O1915" s="1">
        <v>8</v>
      </c>
      <c r="P1915" s="2">
        <v>19.596</v>
      </c>
    </row>
    <row r="1916" spans="10:16">
      <c r="J1916" s="5" t="s">
        <v>3514</v>
      </c>
      <c r="K1916" t="s">
        <v>3515</v>
      </c>
      <c r="L1916" t="s">
        <v>219</v>
      </c>
      <c r="M1916" t="s">
        <v>86</v>
      </c>
      <c r="N1916" s="2">
        <v>6.53</v>
      </c>
      <c r="O1916" s="1">
        <v>3</v>
      </c>
      <c r="P1916" s="2">
        <v>19.59</v>
      </c>
    </row>
    <row r="1917" spans="10:16">
      <c r="J1917" s="5" t="s">
        <v>1132</v>
      </c>
      <c r="K1917" t="s">
        <v>1133</v>
      </c>
      <c r="L1917" t="s">
        <v>31</v>
      </c>
      <c r="M1917" t="s">
        <v>1931</v>
      </c>
      <c r="N1917" s="2">
        <v>19.5</v>
      </c>
      <c r="O1917" s="1">
        <v>1</v>
      </c>
      <c r="P1917" s="2">
        <v>19.5</v>
      </c>
    </row>
    <row r="1918" spans="10:16">
      <c r="J1918" s="5" t="s">
        <v>1011</v>
      </c>
      <c r="K1918" t="s">
        <v>1012</v>
      </c>
      <c r="L1918" t="s">
        <v>31</v>
      </c>
      <c r="M1918" t="s">
        <v>1931</v>
      </c>
      <c r="N1918" s="2">
        <v>0.75</v>
      </c>
      <c r="O1918" s="1">
        <v>26</v>
      </c>
      <c r="P1918" s="2">
        <v>19.5</v>
      </c>
    </row>
    <row r="1919" spans="10:16">
      <c r="J1919" s="5" t="s">
        <v>3147</v>
      </c>
      <c r="K1919" t="s">
        <v>3148</v>
      </c>
      <c r="L1919" t="s">
        <v>85</v>
      </c>
      <c r="M1919" t="s">
        <v>86</v>
      </c>
      <c r="N1919" s="2">
        <v>1.2994000000000001</v>
      </c>
      <c r="O1919" s="1">
        <v>30</v>
      </c>
      <c r="P1919" s="2">
        <v>19.491000000000003</v>
      </c>
    </row>
    <row r="1920" spans="10:16">
      <c r="J1920" s="5" t="s">
        <v>2102</v>
      </c>
      <c r="K1920" t="s">
        <v>2103</v>
      </c>
      <c r="L1920" t="s">
        <v>31</v>
      </c>
      <c r="M1920" t="s">
        <v>1931</v>
      </c>
      <c r="N1920" s="2">
        <v>9.74</v>
      </c>
      <c r="O1920" s="1">
        <v>2</v>
      </c>
      <c r="P1920" s="2">
        <v>19.48</v>
      </c>
    </row>
    <row r="1921" spans="10:16">
      <c r="J1921" s="5" t="s">
        <v>2873</v>
      </c>
      <c r="K1921" t="s">
        <v>2874</v>
      </c>
      <c r="L1921" t="s">
        <v>85</v>
      </c>
      <c r="M1921" t="s">
        <v>86</v>
      </c>
      <c r="N1921" s="2">
        <v>1.9359999999999999</v>
      </c>
      <c r="O1921" s="1">
        <v>10</v>
      </c>
      <c r="P1921" s="2">
        <v>19.36</v>
      </c>
    </row>
    <row r="1922" spans="10:16">
      <c r="J1922" s="5" t="s">
        <v>2481</v>
      </c>
      <c r="K1922" t="s">
        <v>462</v>
      </c>
      <c r="L1922" t="s">
        <v>85</v>
      </c>
      <c r="M1922" t="s">
        <v>86</v>
      </c>
      <c r="N1922" s="2">
        <v>9.6774000000000004</v>
      </c>
      <c r="O1922" s="1">
        <v>4</v>
      </c>
      <c r="P1922" s="2">
        <v>19.354800000000001</v>
      </c>
    </row>
    <row r="1923" spans="10:16">
      <c r="J1923" s="5" t="s">
        <v>2978</v>
      </c>
      <c r="K1923" t="s">
        <v>4275</v>
      </c>
      <c r="L1923" t="s">
        <v>85</v>
      </c>
      <c r="M1923" t="s">
        <v>86</v>
      </c>
      <c r="N1923" s="2">
        <v>1.9330000000000001</v>
      </c>
      <c r="O1923" s="1">
        <v>10</v>
      </c>
      <c r="P1923" s="2">
        <v>19.330000000000002</v>
      </c>
    </row>
    <row r="1924" spans="10:16">
      <c r="J1924" s="5" t="s">
        <v>4430</v>
      </c>
      <c r="K1924" t="s">
        <v>4431</v>
      </c>
      <c r="L1924" t="s">
        <v>85</v>
      </c>
      <c r="M1924" t="s">
        <v>86</v>
      </c>
      <c r="N1924" s="2">
        <v>3.8498000000000001</v>
      </c>
      <c r="O1924" s="1">
        <v>10</v>
      </c>
      <c r="P1924" s="2">
        <v>19.249000000000002</v>
      </c>
    </row>
    <row r="1925" spans="10:16">
      <c r="J1925" s="5" t="s">
        <v>5059</v>
      </c>
      <c r="K1925" t="s">
        <v>5060</v>
      </c>
      <c r="L1925" t="s">
        <v>85</v>
      </c>
      <c r="M1925" t="s">
        <v>86</v>
      </c>
      <c r="N1925" s="2">
        <v>0.32600000000000001</v>
      </c>
      <c r="O1925" s="1">
        <v>59</v>
      </c>
      <c r="P1925" s="2">
        <v>19.234000000000002</v>
      </c>
    </row>
    <row r="1926" spans="10:16">
      <c r="J1926" s="5" t="s">
        <v>4098</v>
      </c>
      <c r="K1926" t="s">
        <v>4099</v>
      </c>
      <c r="L1926" t="s">
        <v>85</v>
      </c>
      <c r="M1926" t="s">
        <v>86</v>
      </c>
      <c r="N1926" s="2">
        <v>0.38</v>
      </c>
      <c r="O1926" s="1">
        <v>50</v>
      </c>
      <c r="P1926" s="2">
        <v>19</v>
      </c>
    </row>
    <row r="1927" spans="10:16">
      <c r="J1927" s="5" t="s">
        <v>957</v>
      </c>
      <c r="K1927" t="s">
        <v>5125</v>
      </c>
      <c r="L1927" t="s">
        <v>944</v>
      </c>
      <c r="M1927" t="s">
        <v>125</v>
      </c>
      <c r="N1927" s="2">
        <v>6.31</v>
      </c>
      <c r="O1927" s="1">
        <v>3</v>
      </c>
      <c r="P1927" s="2">
        <v>18.93</v>
      </c>
    </row>
    <row r="1928" spans="10:16">
      <c r="J1928" s="5" t="s">
        <v>4405</v>
      </c>
      <c r="K1928" t="s">
        <v>2392</v>
      </c>
      <c r="L1928" t="s">
        <v>85</v>
      </c>
      <c r="M1928" t="s">
        <v>86</v>
      </c>
      <c r="N1928" s="2">
        <v>18.856999999999999</v>
      </c>
      <c r="O1928" s="1">
        <v>1</v>
      </c>
      <c r="P1928" s="2">
        <v>18.856999999999999</v>
      </c>
    </row>
    <row r="1929" spans="10:16">
      <c r="J1929" s="5" t="s">
        <v>1922</v>
      </c>
      <c r="K1929" t="s">
        <v>1923</v>
      </c>
      <c r="L1929" t="s">
        <v>31</v>
      </c>
      <c r="M1929" t="s">
        <v>1931</v>
      </c>
      <c r="N1929" s="2">
        <v>18.850000000000001</v>
      </c>
      <c r="O1929" s="1">
        <v>1</v>
      </c>
      <c r="P1929" s="2">
        <v>18.850000000000001</v>
      </c>
    </row>
    <row r="1930" spans="10:16">
      <c r="J1930" s="5" t="s">
        <v>2282</v>
      </c>
      <c r="K1930" t="s">
        <v>2283</v>
      </c>
      <c r="L1930" t="s">
        <v>85</v>
      </c>
      <c r="M1930" t="s">
        <v>86</v>
      </c>
      <c r="N1930" s="2">
        <v>1.7092000000000001</v>
      </c>
      <c r="O1930" s="1">
        <v>22</v>
      </c>
      <c r="P1930" s="2">
        <v>18.801200000000001</v>
      </c>
    </row>
    <row r="1931" spans="10:16">
      <c r="J1931" s="5" t="s">
        <v>358</v>
      </c>
      <c r="K1931" t="s">
        <v>359</v>
      </c>
      <c r="L1931" t="s">
        <v>98</v>
      </c>
      <c r="M1931" t="s">
        <v>86</v>
      </c>
      <c r="N1931" s="2">
        <v>3.76</v>
      </c>
      <c r="O1931" s="1">
        <v>5</v>
      </c>
      <c r="P1931" s="2">
        <v>18.799999999999997</v>
      </c>
    </row>
    <row r="1932" spans="10:16">
      <c r="J1932" s="5" t="s">
        <v>2752</v>
      </c>
      <c r="K1932" t="s">
        <v>2753</v>
      </c>
      <c r="L1932" t="s">
        <v>436</v>
      </c>
      <c r="M1932" t="s">
        <v>86</v>
      </c>
      <c r="N1932" s="2">
        <v>9.3970000000000002</v>
      </c>
      <c r="O1932" s="1">
        <v>2</v>
      </c>
      <c r="P1932" s="2">
        <v>18.794</v>
      </c>
    </row>
    <row r="1933" spans="10:16">
      <c r="J1933" s="5" t="s">
        <v>4905</v>
      </c>
      <c r="K1933" t="s">
        <v>4906</v>
      </c>
      <c r="L1933" t="s">
        <v>85</v>
      </c>
      <c r="M1933" t="s">
        <v>86</v>
      </c>
      <c r="N1933" s="2">
        <v>0.46750000000000003</v>
      </c>
      <c r="O1933" s="1">
        <v>40</v>
      </c>
      <c r="P1933" s="2">
        <v>18.700000000000003</v>
      </c>
    </row>
    <row r="1934" spans="10:16">
      <c r="J1934" s="5" t="s">
        <v>3459</v>
      </c>
      <c r="K1934" t="s">
        <v>3460</v>
      </c>
      <c r="L1934" t="s">
        <v>219</v>
      </c>
      <c r="M1934" t="s">
        <v>86</v>
      </c>
      <c r="N1934" s="2">
        <v>3.738</v>
      </c>
      <c r="O1934" s="1">
        <v>5</v>
      </c>
      <c r="P1934" s="2">
        <v>18.690000000000001</v>
      </c>
    </row>
    <row r="1935" spans="10:16">
      <c r="J1935" s="5" t="s">
        <v>418</v>
      </c>
      <c r="K1935" t="s">
        <v>4339</v>
      </c>
      <c r="L1935" t="s">
        <v>85</v>
      </c>
      <c r="M1935" t="s">
        <v>86</v>
      </c>
      <c r="N1935" s="2">
        <v>1.246</v>
      </c>
      <c r="O1935" s="1">
        <v>15</v>
      </c>
      <c r="P1935" s="2">
        <v>18.690000000000001</v>
      </c>
    </row>
    <row r="1936" spans="10:16">
      <c r="J1936" s="5" t="s">
        <v>4956</v>
      </c>
      <c r="K1936" t="s">
        <v>3247</v>
      </c>
      <c r="L1936" t="s">
        <v>219</v>
      </c>
      <c r="M1936" t="s">
        <v>86</v>
      </c>
      <c r="N1936" s="2">
        <v>2.0680000000000001</v>
      </c>
      <c r="O1936" s="1">
        <v>18</v>
      </c>
      <c r="P1936" s="2">
        <v>18.612000000000002</v>
      </c>
    </row>
    <row r="1937" spans="10:16">
      <c r="J1937" s="5" t="s">
        <v>4483</v>
      </c>
      <c r="K1937" t="s">
        <v>4484</v>
      </c>
      <c r="L1937" t="s">
        <v>85</v>
      </c>
      <c r="M1937" t="s">
        <v>86</v>
      </c>
      <c r="N1937" s="2">
        <v>6.2</v>
      </c>
      <c r="O1937" s="1">
        <v>3</v>
      </c>
      <c r="P1937" s="2">
        <v>18.600000000000001</v>
      </c>
    </row>
    <row r="1938" spans="10:16">
      <c r="J1938" s="5" t="s">
        <v>4139</v>
      </c>
      <c r="K1938" t="s">
        <v>3288</v>
      </c>
      <c r="L1938" t="s">
        <v>219</v>
      </c>
      <c r="M1938" t="s">
        <v>86</v>
      </c>
      <c r="N1938" s="2">
        <v>2.3159999999999998</v>
      </c>
      <c r="O1938" s="1">
        <v>8</v>
      </c>
      <c r="P1938" s="2">
        <v>18.527999999999999</v>
      </c>
    </row>
    <row r="1939" spans="10:16">
      <c r="J1939" s="5" t="s">
        <v>1757</v>
      </c>
      <c r="K1939" t="s">
        <v>1758</v>
      </c>
      <c r="L1939" t="s">
        <v>31</v>
      </c>
      <c r="M1939" t="s">
        <v>1931</v>
      </c>
      <c r="N1939" s="2">
        <v>18.34</v>
      </c>
      <c r="O1939" s="1">
        <v>1</v>
      </c>
      <c r="P1939" s="2">
        <v>18.34</v>
      </c>
    </row>
    <row r="1940" spans="10:16">
      <c r="J1940" s="5" t="s">
        <v>2057</v>
      </c>
      <c r="K1940" t="s">
        <v>2058</v>
      </c>
      <c r="L1940" t="s">
        <v>85</v>
      </c>
      <c r="M1940" t="s">
        <v>86</v>
      </c>
      <c r="N1940" s="2">
        <v>0.46899999999999997</v>
      </c>
      <c r="O1940" s="1">
        <v>39</v>
      </c>
      <c r="P1940" s="2">
        <v>18.291</v>
      </c>
    </row>
    <row r="1941" spans="10:16">
      <c r="J1941" s="5" t="s">
        <v>2114</v>
      </c>
      <c r="K1941" t="s">
        <v>2115</v>
      </c>
      <c r="L1941" t="s">
        <v>85</v>
      </c>
      <c r="M1941" t="s">
        <v>86</v>
      </c>
      <c r="N1941" s="2">
        <v>2.0310000000000001</v>
      </c>
      <c r="O1941" s="1">
        <v>9</v>
      </c>
      <c r="P1941" s="2">
        <v>18.279</v>
      </c>
    </row>
    <row r="1942" spans="10:16">
      <c r="J1942" s="5" t="s">
        <v>451</v>
      </c>
      <c r="K1942" t="s">
        <v>452</v>
      </c>
      <c r="L1942" t="s">
        <v>219</v>
      </c>
      <c r="M1942" t="s">
        <v>86</v>
      </c>
      <c r="N1942" s="2">
        <v>2.0108000000000001</v>
      </c>
      <c r="O1942" s="1">
        <v>18</v>
      </c>
      <c r="P1942" s="2">
        <v>18.097200000000001</v>
      </c>
    </row>
    <row r="1943" spans="10:16">
      <c r="J1943" s="5" t="s">
        <v>183</v>
      </c>
      <c r="K1943" t="s">
        <v>184</v>
      </c>
      <c r="L1943" t="s">
        <v>131</v>
      </c>
      <c r="M1943" t="s">
        <v>125</v>
      </c>
      <c r="N1943" s="2">
        <v>18.059999999999999</v>
      </c>
      <c r="O1943" s="1">
        <v>1</v>
      </c>
      <c r="P1943" s="2">
        <v>18.059999999999999</v>
      </c>
    </row>
    <row r="1944" spans="10:16">
      <c r="J1944" s="5" t="s">
        <v>2798</v>
      </c>
      <c r="K1944" t="s">
        <v>3638</v>
      </c>
      <c r="L1944" t="s">
        <v>85</v>
      </c>
      <c r="M1944" t="s">
        <v>86</v>
      </c>
      <c r="N1944" s="2">
        <v>4.5030000000000001</v>
      </c>
      <c r="O1944" s="1">
        <v>4</v>
      </c>
      <c r="P1944" s="2">
        <v>18.012</v>
      </c>
    </row>
    <row r="1945" spans="10:16">
      <c r="J1945" s="5" t="s">
        <v>520</v>
      </c>
      <c r="K1945" t="s">
        <v>521</v>
      </c>
      <c r="L1945" t="s">
        <v>219</v>
      </c>
      <c r="M1945" t="s">
        <v>86</v>
      </c>
      <c r="N1945" s="2">
        <v>1.5007999999999999</v>
      </c>
      <c r="O1945" s="1">
        <v>24</v>
      </c>
      <c r="P1945" s="2">
        <v>18.009599999999999</v>
      </c>
    </row>
    <row r="1946" spans="10:16">
      <c r="J1946" s="5" t="s">
        <v>78</v>
      </c>
      <c r="K1946" t="s">
        <v>79</v>
      </c>
      <c r="L1946" t="s">
        <v>31</v>
      </c>
      <c r="M1946" t="s">
        <v>1931</v>
      </c>
      <c r="N1946" s="2">
        <v>0.75</v>
      </c>
      <c r="O1946" s="1">
        <v>24</v>
      </c>
      <c r="P1946" s="2">
        <v>18</v>
      </c>
    </row>
    <row r="1947" spans="10:16">
      <c r="J1947" s="5" t="s">
        <v>1204</v>
      </c>
      <c r="K1947" t="s">
        <v>1205</v>
      </c>
      <c r="L1947" t="s">
        <v>31</v>
      </c>
      <c r="M1947" t="s">
        <v>1931</v>
      </c>
      <c r="N1947" s="2">
        <v>18</v>
      </c>
      <c r="O1947" s="1">
        <v>1</v>
      </c>
      <c r="P1947" s="2">
        <v>18</v>
      </c>
    </row>
    <row r="1948" spans="10:16">
      <c r="J1948" s="5" t="s">
        <v>1184</v>
      </c>
      <c r="K1948" t="s">
        <v>1185</v>
      </c>
      <c r="L1948" t="s">
        <v>31</v>
      </c>
      <c r="M1948" t="s">
        <v>1931</v>
      </c>
      <c r="N1948" s="2">
        <v>9</v>
      </c>
      <c r="O1948" s="1">
        <v>2</v>
      </c>
      <c r="P1948" s="2">
        <v>18</v>
      </c>
    </row>
    <row r="1949" spans="10:16">
      <c r="J1949" s="5" t="s">
        <v>4073</v>
      </c>
      <c r="K1949" t="s">
        <v>2502</v>
      </c>
      <c r="L1949" t="s">
        <v>85</v>
      </c>
      <c r="M1949" t="s">
        <v>86</v>
      </c>
      <c r="N1949" s="2">
        <v>2.5670000000000002</v>
      </c>
      <c r="O1949" s="1">
        <v>7</v>
      </c>
      <c r="P1949" s="2">
        <v>17.969000000000001</v>
      </c>
    </row>
    <row r="1950" spans="10:16">
      <c r="J1950" s="5" t="s">
        <v>2428</v>
      </c>
      <c r="K1950" t="s">
        <v>2429</v>
      </c>
      <c r="L1950" t="s">
        <v>98</v>
      </c>
      <c r="M1950" t="s">
        <v>86</v>
      </c>
      <c r="N1950" s="2">
        <v>2.99</v>
      </c>
      <c r="O1950" s="1">
        <v>6</v>
      </c>
      <c r="P1950" s="2">
        <v>17.940000000000001</v>
      </c>
    </row>
    <row r="1951" spans="10:16">
      <c r="J1951" s="5" t="s">
        <v>3521</v>
      </c>
      <c r="K1951" t="s">
        <v>3522</v>
      </c>
      <c r="L1951" t="s">
        <v>85</v>
      </c>
      <c r="M1951" t="s">
        <v>86</v>
      </c>
      <c r="N1951" s="2">
        <v>0.25850000000000001</v>
      </c>
      <c r="O1951" s="1">
        <v>69</v>
      </c>
      <c r="P1951" s="2">
        <v>17.836500000000001</v>
      </c>
    </row>
    <row r="1952" spans="10:16">
      <c r="J1952" s="5" t="s">
        <v>2733</v>
      </c>
      <c r="K1952" t="s">
        <v>3520</v>
      </c>
      <c r="L1952" t="s">
        <v>219</v>
      </c>
      <c r="M1952" t="s">
        <v>86</v>
      </c>
      <c r="N1952" s="2">
        <v>0.71319999999999995</v>
      </c>
      <c r="O1952" s="1">
        <v>25</v>
      </c>
      <c r="P1952" s="2">
        <v>17.829999999999998</v>
      </c>
    </row>
    <row r="1953" spans="10:16">
      <c r="J1953" s="5" t="s">
        <v>4113</v>
      </c>
      <c r="K1953" t="s">
        <v>4114</v>
      </c>
      <c r="L1953" t="s">
        <v>85</v>
      </c>
      <c r="M1953" t="s">
        <v>86</v>
      </c>
      <c r="N1953" s="2">
        <v>0.61339999999999995</v>
      </c>
      <c r="O1953" s="1">
        <v>58</v>
      </c>
      <c r="P1953" s="2">
        <v>17.788599999999999</v>
      </c>
    </row>
    <row r="1954" spans="10:16">
      <c r="J1954" s="5" t="s">
        <v>4406</v>
      </c>
      <c r="K1954" t="s">
        <v>2215</v>
      </c>
      <c r="L1954" t="s">
        <v>85</v>
      </c>
      <c r="M1954" t="s">
        <v>86</v>
      </c>
      <c r="N1954" s="2">
        <v>17.72</v>
      </c>
      <c r="O1954" s="1">
        <v>1</v>
      </c>
      <c r="P1954" s="2">
        <v>17.72</v>
      </c>
    </row>
    <row r="1955" spans="10:16">
      <c r="J1955" s="5" t="s">
        <v>3508</v>
      </c>
      <c r="K1955" t="s">
        <v>3509</v>
      </c>
      <c r="L1955" t="s">
        <v>219</v>
      </c>
      <c r="M1955" t="s">
        <v>86</v>
      </c>
      <c r="N1955" s="2">
        <v>2.95</v>
      </c>
      <c r="O1955" s="1">
        <v>6</v>
      </c>
      <c r="P1955" s="2">
        <v>17.700000000000003</v>
      </c>
    </row>
    <row r="1956" spans="10:16">
      <c r="J1956" s="5" t="s">
        <v>5082</v>
      </c>
      <c r="K1956" t="s">
        <v>5083</v>
      </c>
      <c r="L1956" t="s">
        <v>5081</v>
      </c>
      <c r="M1956" t="s">
        <v>125</v>
      </c>
      <c r="N1956" s="2">
        <v>8.8422000000000001</v>
      </c>
      <c r="O1956" s="1">
        <v>4</v>
      </c>
      <c r="P1956" s="2">
        <v>17.6844</v>
      </c>
    </row>
    <row r="1957" spans="10:16">
      <c r="J1957" s="5" t="s">
        <v>354</v>
      </c>
      <c r="K1957" t="s">
        <v>355</v>
      </c>
      <c r="L1957" t="s">
        <v>98</v>
      </c>
      <c r="M1957" t="s">
        <v>86</v>
      </c>
      <c r="N1957" s="2">
        <v>3.52</v>
      </c>
      <c r="O1957" s="1">
        <v>5</v>
      </c>
      <c r="P1957" s="2">
        <v>17.600000000000001</v>
      </c>
    </row>
    <row r="1958" spans="10:16">
      <c r="J1958" s="5" t="s">
        <v>3880</v>
      </c>
      <c r="K1958" t="s">
        <v>3881</v>
      </c>
      <c r="L1958" t="s">
        <v>219</v>
      </c>
      <c r="M1958" t="s">
        <v>86</v>
      </c>
      <c r="N1958" s="2">
        <v>0.3584</v>
      </c>
      <c r="O1958" s="1">
        <v>49</v>
      </c>
      <c r="P1958" s="2">
        <v>17.561599999999999</v>
      </c>
    </row>
    <row r="1959" spans="10:16">
      <c r="J1959" s="5" t="s">
        <v>4447</v>
      </c>
      <c r="K1959" t="s">
        <v>4448</v>
      </c>
      <c r="L1959" t="s">
        <v>85</v>
      </c>
      <c r="M1959" t="s">
        <v>86</v>
      </c>
      <c r="N1959" s="2">
        <v>2.1873999999999998</v>
      </c>
      <c r="O1959" s="1">
        <v>16</v>
      </c>
      <c r="P1959" s="2">
        <v>17.499199999999998</v>
      </c>
    </row>
    <row r="1960" spans="10:16">
      <c r="J1960" s="5" t="s">
        <v>2430</v>
      </c>
      <c r="K1960" t="s">
        <v>2431</v>
      </c>
      <c r="L1960" t="s">
        <v>85</v>
      </c>
      <c r="M1960" t="s">
        <v>86</v>
      </c>
      <c r="N1960" s="2">
        <v>17.475000000000001</v>
      </c>
      <c r="O1960" s="1">
        <v>1</v>
      </c>
      <c r="P1960" s="2">
        <v>17.475000000000001</v>
      </c>
    </row>
    <row r="1961" spans="10:16">
      <c r="J1961" s="5" t="s">
        <v>4976</v>
      </c>
      <c r="K1961" t="s">
        <v>4977</v>
      </c>
      <c r="L1961" t="s">
        <v>219</v>
      </c>
      <c r="M1961" t="s">
        <v>86</v>
      </c>
      <c r="N1961" s="2">
        <v>2.8940000000000001</v>
      </c>
      <c r="O1961" s="1">
        <v>6</v>
      </c>
      <c r="P1961" s="2">
        <v>17.364000000000001</v>
      </c>
    </row>
    <row r="1962" spans="10:16">
      <c r="J1962" s="5" t="s">
        <v>2815</v>
      </c>
      <c r="K1962" t="s">
        <v>3665</v>
      </c>
      <c r="L1962" t="s">
        <v>85</v>
      </c>
      <c r="M1962" t="s">
        <v>86</v>
      </c>
      <c r="N1962" s="2">
        <v>1.4359</v>
      </c>
      <c r="O1962" s="1">
        <v>12</v>
      </c>
      <c r="P1962" s="2">
        <v>17.230799999999999</v>
      </c>
    </row>
    <row r="1963" spans="10:16">
      <c r="J1963" s="5" t="s">
        <v>4056</v>
      </c>
      <c r="K1963" t="s">
        <v>4057</v>
      </c>
      <c r="L1963" t="s">
        <v>85</v>
      </c>
      <c r="M1963" t="s">
        <v>86</v>
      </c>
      <c r="N1963" s="2">
        <v>4.298</v>
      </c>
      <c r="O1963" s="1">
        <v>4</v>
      </c>
      <c r="P1963" s="2">
        <v>17.192</v>
      </c>
    </row>
    <row r="1964" spans="10:16">
      <c r="J1964" s="5" t="s">
        <v>2853</v>
      </c>
      <c r="K1964" t="s">
        <v>2854</v>
      </c>
      <c r="L1964" t="s">
        <v>98</v>
      </c>
      <c r="M1964" t="s">
        <v>86</v>
      </c>
      <c r="N1964" s="2">
        <v>1.431</v>
      </c>
      <c r="O1964" s="1">
        <v>12</v>
      </c>
      <c r="P1964" s="2">
        <v>17.172000000000001</v>
      </c>
    </row>
    <row r="1965" spans="10:16">
      <c r="J1965" s="5" t="s">
        <v>4452</v>
      </c>
      <c r="K1965" t="s">
        <v>3224</v>
      </c>
      <c r="L1965" t="s">
        <v>85</v>
      </c>
      <c r="M1965" t="s">
        <v>86</v>
      </c>
      <c r="N1965" s="2">
        <v>4.2915999999999999</v>
      </c>
      <c r="O1965" s="1">
        <v>8</v>
      </c>
      <c r="P1965" s="2">
        <v>17.166399999999999</v>
      </c>
    </row>
    <row r="1966" spans="10:16">
      <c r="J1966" s="5" t="s">
        <v>414</v>
      </c>
      <c r="K1966" t="s">
        <v>415</v>
      </c>
      <c r="L1966" t="s">
        <v>85</v>
      </c>
      <c r="M1966" t="s">
        <v>86</v>
      </c>
      <c r="N1966" s="2">
        <v>4.2880000000000003</v>
      </c>
      <c r="O1966" s="1">
        <v>4</v>
      </c>
      <c r="P1966" s="2">
        <v>17.152000000000001</v>
      </c>
    </row>
    <row r="1967" spans="10:16">
      <c r="J1967" s="5" t="s">
        <v>2653</v>
      </c>
      <c r="K1967" t="s">
        <v>2654</v>
      </c>
      <c r="L1967" t="s">
        <v>5492</v>
      </c>
      <c r="M1967" t="s">
        <v>1931</v>
      </c>
      <c r="N1967" s="2">
        <v>5.7</v>
      </c>
      <c r="O1967" s="1">
        <v>3</v>
      </c>
      <c r="P1967" s="2">
        <v>17.100000000000001</v>
      </c>
    </row>
    <row r="1968" spans="10:16">
      <c r="J1968" s="5" t="s">
        <v>5381</v>
      </c>
      <c r="K1968" t="s">
        <v>5382</v>
      </c>
      <c r="L1968" t="s">
        <v>98</v>
      </c>
      <c r="M1968" t="s">
        <v>86</v>
      </c>
      <c r="N1968" s="2">
        <v>0.2944</v>
      </c>
      <c r="O1968" s="1">
        <v>58</v>
      </c>
      <c r="P1968" s="2">
        <v>17.075199999999999</v>
      </c>
    </row>
    <row r="1969" spans="10:16">
      <c r="J1969" s="5" t="s">
        <v>2587</v>
      </c>
      <c r="K1969" t="s">
        <v>2588</v>
      </c>
      <c r="L1969" t="s">
        <v>5474</v>
      </c>
      <c r="M1969" t="s">
        <v>125</v>
      </c>
      <c r="N1969" s="2">
        <v>1.7030000000000001</v>
      </c>
      <c r="O1969" s="1">
        <v>10</v>
      </c>
      <c r="P1969" s="2">
        <v>17.03</v>
      </c>
    </row>
    <row r="1970" spans="10:16">
      <c r="J1970" s="5" t="s">
        <v>2349</v>
      </c>
      <c r="K1970" t="s">
        <v>2350</v>
      </c>
      <c r="L1970" t="s">
        <v>85</v>
      </c>
      <c r="M1970" t="s">
        <v>86</v>
      </c>
      <c r="N1970" s="2">
        <v>5.6684000000000001</v>
      </c>
      <c r="O1970" s="1">
        <v>6</v>
      </c>
      <c r="P1970" s="2">
        <v>17.005200000000002</v>
      </c>
    </row>
    <row r="1971" spans="10:16">
      <c r="J1971" s="5" t="s">
        <v>3566</v>
      </c>
      <c r="K1971" t="s">
        <v>3567</v>
      </c>
      <c r="L1971" t="s">
        <v>85</v>
      </c>
      <c r="M1971" t="s">
        <v>86</v>
      </c>
      <c r="N1971" s="2">
        <v>1.5409999999999999</v>
      </c>
      <c r="O1971" s="1">
        <v>11</v>
      </c>
      <c r="P1971" s="2">
        <v>16.951000000000001</v>
      </c>
    </row>
    <row r="1972" spans="10:16">
      <c r="J1972" s="5" t="s">
        <v>739</v>
      </c>
      <c r="K1972" t="s">
        <v>740</v>
      </c>
      <c r="L1972" t="s">
        <v>618</v>
      </c>
      <c r="M1972" t="s">
        <v>626</v>
      </c>
      <c r="N1972" s="2">
        <v>8.4269999999999996</v>
      </c>
      <c r="O1972" s="1">
        <v>2</v>
      </c>
      <c r="P1972" s="2">
        <v>16.853999999999999</v>
      </c>
    </row>
    <row r="1973" spans="10:16">
      <c r="J1973" s="5" t="s">
        <v>3512</v>
      </c>
      <c r="K1973" t="s">
        <v>3513</v>
      </c>
      <c r="L1973" t="s">
        <v>219</v>
      </c>
      <c r="M1973" t="s">
        <v>86</v>
      </c>
      <c r="N1973" s="2">
        <v>4.21</v>
      </c>
      <c r="O1973" s="1">
        <v>4</v>
      </c>
      <c r="P1973" s="2">
        <v>16.84</v>
      </c>
    </row>
    <row r="1974" spans="10:16">
      <c r="J1974" s="5" t="s">
        <v>1887</v>
      </c>
      <c r="K1974" t="s">
        <v>1888</v>
      </c>
      <c r="L1974" t="s">
        <v>31</v>
      </c>
      <c r="M1974" t="s">
        <v>1931</v>
      </c>
      <c r="N1974" s="2">
        <v>16.829999999999998</v>
      </c>
      <c r="O1974" s="1">
        <v>1</v>
      </c>
      <c r="P1974" s="2">
        <v>16.829999999999998</v>
      </c>
    </row>
    <row r="1975" spans="10:16">
      <c r="J1975" s="5" t="s">
        <v>2820</v>
      </c>
      <c r="K1975" t="s">
        <v>2821</v>
      </c>
      <c r="L1975" t="s">
        <v>85</v>
      </c>
      <c r="M1975" t="s">
        <v>86</v>
      </c>
      <c r="N1975" s="2">
        <v>2.4</v>
      </c>
      <c r="O1975" s="1">
        <v>7</v>
      </c>
      <c r="P1975" s="2">
        <v>16.8</v>
      </c>
    </row>
    <row r="1976" spans="10:16">
      <c r="J1976" s="5" t="s">
        <v>289</v>
      </c>
      <c r="K1976" t="s">
        <v>290</v>
      </c>
      <c r="L1976" t="s">
        <v>228</v>
      </c>
      <c r="M1976" t="s">
        <v>86</v>
      </c>
      <c r="N1976" s="2">
        <v>0.7</v>
      </c>
      <c r="O1976" s="1">
        <v>24</v>
      </c>
      <c r="P1976" s="2">
        <v>16.799999999999997</v>
      </c>
    </row>
    <row r="1977" spans="10:16">
      <c r="J1977" s="5" t="s">
        <v>1964</v>
      </c>
      <c r="K1977" t="s">
        <v>1965</v>
      </c>
      <c r="L1977" t="s">
        <v>5081</v>
      </c>
      <c r="M1977" t="s">
        <v>125</v>
      </c>
      <c r="N1977" s="2">
        <v>16.736799999999999</v>
      </c>
      <c r="O1977" s="1">
        <v>2</v>
      </c>
      <c r="P1977" s="2">
        <v>16.736799999999999</v>
      </c>
    </row>
    <row r="1978" spans="10:16">
      <c r="J1978" s="5" t="s">
        <v>4441</v>
      </c>
      <c r="K1978" t="s">
        <v>4442</v>
      </c>
      <c r="L1978" t="s">
        <v>85</v>
      </c>
      <c r="M1978" t="s">
        <v>86</v>
      </c>
      <c r="N1978" s="2">
        <v>1.2846</v>
      </c>
      <c r="O1978" s="1">
        <v>13</v>
      </c>
      <c r="P1978" s="2">
        <v>16.6998</v>
      </c>
    </row>
    <row r="1979" spans="10:16">
      <c r="J1979" s="5" t="s">
        <v>4393</v>
      </c>
      <c r="K1979" t="s">
        <v>4394</v>
      </c>
      <c r="L1979" t="s">
        <v>85</v>
      </c>
      <c r="M1979" t="s">
        <v>86</v>
      </c>
      <c r="N1979" s="2">
        <v>8.33</v>
      </c>
      <c r="O1979" s="1">
        <v>2</v>
      </c>
      <c r="P1979" s="2">
        <v>16.66</v>
      </c>
    </row>
    <row r="1980" spans="10:16">
      <c r="J1980" s="5" t="s">
        <v>2734</v>
      </c>
      <c r="K1980" t="s">
        <v>2735</v>
      </c>
      <c r="L1980" t="s">
        <v>219</v>
      </c>
      <c r="M1980" t="s">
        <v>86</v>
      </c>
      <c r="N1980" s="2">
        <v>0.66390000000000005</v>
      </c>
      <c r="O1980" s="1">
        <v>25</v>
      </c>
      <c r="P1980" s="2">
        <v>16.5975</v>
      </c>
    </row>
    <row r="1981" spans="10:16">
      <c r="J1981" s="5" t="s">
        <v>932</v>
      </c>
      <c r="K1981" t="s">
        <v>933</v>
      </c>
      <c r="L1981" t="s">
        <v>31</v>
      </c>
      <c r="M1981" t="s">
        <v>125</v>
      </c>
      <c r="N1981" s="2">
        <v>0.87</v>
      </c>
      <c r="O1981" s="1">
        <v>19</v>
      </c>
      <c r="P1981" s="2">
        <v>16.53</v>
      </c>
    </row>
    <row r="1982" spans="10:16">
      <c r="J1982" s="5" t="s">
        <v>4455</v>
      </c>
      <c r="K1982" t="s">
        <v>4456</v>
      </c>
      <c r="L1982" t="s">
        <v>85</v>
      </c>
      <c r="M1982" t="s">
        <v>86</v>
      </c>
      <c r="N1982" s="2">
        <v>4.1260000000000003</v>
      </c>
      <c r="O1982" s="1">
        <v>4</v>
      </c>
      <c r="P1982" s="2">
        <v>16.504000000000001</v>
      </c>
    </row>
    <row r="1983" spans="10:16">
      <c r="J1983" s="5" t="s">
        <v>5142</v>
      </c>
      <c r="K1983" t="s">
        <v>5143</v>
      </c>
      <c r="L1983" t="s">
        <v>208</v>
      </c>
      <c r="M1983" t="s">
        <v>125</v>
      </c>
      <c r="N1983" s="2">
        <v>8.25</v>
      </c>
      <c r="O1983" s="1">
        <v>2</v>
      </c>
      <c r="P1983" s="2">
        <v>16.5</v>
      </c>
    </row>
    <row r="1984" spans="10:16">
      <c r="J1984" s="5" t="s">
        <v>881</v>
      </c>
      <c r="K1984" t="s">
        <v>882</v>
      </c>
      <c r="L1984" t="s">
        <v>944</v>
      </c>
      <c r="M1984" t="s">
        <v>125</v>
      </c>
      <c r="N1984" s="2">
        <v>1.371</v>
      </c>
      <c r="O1984" s="1">
        <v>12</v>
      </c>
      <c r="P1984" s="2">
        <v>16.451999999999998</v>
      </c>
    </row>
    <row r="1985" spans="10:16">
      <c r="J1985" s="5" t="s">
        <v>2411</v>
      </c>
      <c r="K1985" t="s">
        <v>2412</v>
      </c>
      <c r="L1985" t="s">
        <v>85</v>
      </c>
      <c r="M1985" t="s">
        <v>86</v>
      </c>
      <c r="N1985" s="2">
        <v>3.282</v>
      </c>
      <c r="O1985" s="1">
        <v>5</v>
      </c>
      <c r="P1985" s="2">
        <v>16.41</v>
      </c>
    </row>
    <row r="1986" spans="10:16">
      <c r="J1986" s="5" t="s">
        <v>3843</v>
      </c>
      <c r="K1986" t="s">
        <v>3844</v>
      </c>
      <c r="L1986" t="s">
        <v>223</v>
      </c>
      <c r="M1986" t="s">
        <v>86</v>
      </c>
      <c r="N1986" s="2">
        <v>3.28</v>
      </c>
      <c r="O1986" s="1">
        <v>5</v>
      </c>
      <c r="P1986" s="2">
        <v>16.399999999999999</v>
      </c>
    </row>
    <row r="1987" spans="10:16">
      <c r="J1987" s="5" t="s">
        <v>4635</v>
      </c>
      <c r="K1987" t="s">
        <v>4636</v>
      </c>
      <c r="L1987" t="s">
        <v>85</v>
      </c>
      <c r="M1987" t="s">
        <v>86</v>
      </c>
      <c r="N1987" s="2">
        <v>8.19</v>
      </c>
      <c r="O1987" s="1">
        <v>2</v>
      </c>
      <c r="P1987" s="2">
        <v>16.38</v>
      </c>
    </row>
    <row r="1988" spans="10:16">
      <c r="J1988" s="5" t="s">
        <v>1085</v>
      </c>
      <c r="K1988" t="s">
        <v>1086</v>
      </c>
      <c r="L1988" t="s">
        <v>141</v>
      </c>
      <c r="M1988" t="s">
        <v>125</v>
      </c>
      <c r="N1988" s="2">
        <v>8.1850000000000005</v>
      </c>
      <c r="O1988" s="1">
        <v>2</v>
      </c>
      <c r="P1988" s="2">
        <v>16.37</v>
      </c>
    </row>
    <row r="1989" spans="10:16">
      <c r="J1989" s="5" t="s">
        <v>1220</v>
      </c>
      <c r="K1989" t="s">
        <v>1221</v>
      </c>
      <c r="L1989" t="s">
        <v>31</v>
      </c>
      <c r="M1989" t="s">
        <v>1931</v>
      </c>
      <c r="N1989" s="2">
        <v>16.32</v>
      </c>
      <c r="O1989" s="1">
        <v>1</v>
      </c>
      <c r="P1989" s="2">
        <v>16.32</v>
      </c>
    </row>
    <row r="1990" spans="10:16">
      <c r="J1990" s="5" t="s">
        <v>3034</v>
      </c>
      <c r="K1990" t="s">
        <v>2386</v>
      </c>
      <c r="L1990" t="s">
        <v>85</v>
      </c>
      <c r="M1990" t="s">
        <v>86</v>
      </c>
      <c r="N1990" s="2">
        <v>1.8132999999999999</v>
      </c>
      <c r="O1990" s="1">
        <v>9</v>
      </c>
      <c r="P1990" s="2">
        <v>16.319699999999997</v>
      </c>
    </row>
    <row r="1991" spans="10:16">
      <c r="J1991" s="5" t="s">
        <v>5429</v>
      </c>
      <c r="K1991" t="s">
        <v>5430</v>
      </c>
      <c r="L1991" t="s">
        <v>98</v>
      </c>
      <c r="M1991" t="s">
        <v>86</v>
      </c>
      <c r="N1991" s="2">
        <v>5.4240000000000004</v>
      </c>
      <c r="O1991" s="1">
        <v>3</v>
      </c>
      <c r="P1991" s="2">
        <v>16.272000000000002</v>
      </c>
    </row>
    <row r="1992" spans="10:16">
      <c r="J1992" s="5" t="s">
        <v>246</v>
      </c>
      <c r="K1992" t="s">
        <v>247</v>
      </c>
      <c r="L1992" t="s">
        <v>219</v>
      </c>
      <c r="M1992" t="s">
        <v>86</v>
      </c>
      <c r="N1992" s="2">
        <v>5.42</v>
      </c>
      <c r="O1992" s="1">
        <v>3</v>
      </c>
      <c r="P1992" s="2">
        <v>16.259999999999998</v>
      </c>
    </row>
    <row r="1993" spans="10:16">
      <c r="J1993" s="5" t="s">
        <v>3523</v>
      </c>
      <c r="K1993" t="s">
        <v>3524</v>
      </c>
      <c r="L1993" t="s">
        <v>436</v>
      </c>
      <c r="M1993" t="s">
        <v>86</v>
      </c>
      <c r="N1993" s="2">
        <v>0.81</v>
      </c>
      <c r="O1993" s="1">
        <v>20</v>
      </c>
      <c r="P1993" s="2">
        <v>16.200000000000003</v>
      </c>
    </row>
    <row r="1994" spans="10:16">
      <c r="J1994" s="5" t="s">
        <v>281</v>
      </c>
      <c r="K1994" t="s">
        <v>282</v>
      </c>
      <c r="L1994" t="s">
        <v>98</v>
      </c>
      <c r="M1994" t="s">
        <v>86</v>
      </c>
      <c r="N1994" s="2">
        <v>8.1</v>
      </c>
      <c r="O1994" s="1">
        <v>2</v>
      </c>
      <c r="P1994" s="2">
        <v>16.2</v>
      </c>
    </row>
    <row r="1995" spans="10:16">
      <c r="J1995" s="5" t="s">
        <v>4627</v>
      </c>
      <c r="K1995" t="s">
        <v>4628</v>
      </c>
      <c r="L1995" t="s">
        <v>219</v>
      </c>
      <c r="M1995" t="s">
        <v>86</v>
      </c>
      <c r="N1995" s="2">
        <v>2.3050000000000002</v>
      </c>
      <c r="O1995" s="1">
        <v>7</v>
      </c>
      <c r="P1995" s="2">
        <v>16.135000000000002</v>
      </c>
    </row>
    <row r="1996" spans="10:16">
      <c r="J1996" s="5" t="s">
        <v>2240</v>
      </c>
      <c r="K1996" t="s">
        <v>2241</v>
      </c>
      <c r="L1996" t="s">
        <v>85</v>
      </c>
      <c r="M1996" t="s">
        <v>86</v>
      </c>
      <c r="N1996" s="2">
        <v>4.0023999999999997</v>
      </c>
      <c r="O1996" s="1">
        <v>8</v>
      </c>
      <c r="P1996" s="2">
        <v>16.009599999999999</v>
      </c>
    </row>
    <row r="1997" spans="10:16">
      <c r="J1997" s="5" t="s">
        <v>606</v>
      </c>
      <c r="K1997" t="s">
        <v>607</v>
      </c>
      <c r="L1997" t="s">
        <v>31</v>
      </c>
      <c r="M1997" t="s">
        <v>1931</v>
      </c>
      <c r="N1997" s="2">
        <v>16</v>
      </c>
      <c r="O1997" s="1">
        <v>1</v>
      </c>
      <c r="P1997" s="2">
        <v>16</v>
      </c>
    </row>
    <row r="1998" spans="10:16">
      <c r="J1998" s="5" t="s">
        <v>2447</v>
      </c>
      <c r="K1998" t="s">
        <v>2448</v>
      </c>
      <c r="L1998" t="s">
        <v>85</v>
      </c>
      <c r="M1998" t="s">
        <v>86</v>
      </c>
      <c r="N1998" s="2">
        <v>1.994</v>
      </c>
      <c r="O1998" s="1">
        <v>8</v>
      </c>
      <c r="P1998" s="2">
        <v>15.952</v>
      </c>
    </row>
    <row r="1999" spans="10:16">
      <c r="J1999" s="5" t="s">
        <v>2143</v>
      </c>
      <c r="K1999" t="s">
        <v>2144</v>
      </c>
      <c r="L1999" t="s">
        <v>85</v>
      </c>
      <c r="M1999" t="s">
        <v>86</v>
      </c>
      <c r="N1999" s="2">
        <v>2.2639999999999998</v>
      </c>
      <c r="O1999" s="1">
        <v>14</v>
      </c>
      <c r="P1999" s="2">
        <v>15.847999999999999</v>
      </c>
    </row>
    <row r="2000" spans="10:16">
      <c r="J2000" s="5" t="s">
        <v>2459</v>
      </c>
      <c r="K2000" t="s">
        <v>2460</v>
      </c>
      <c r="L2000" t="s">
        <v>85</v>
      </c>
      <c r="M2000" t="s">
        <v>86</v>
      </c>
      <c r="N2000" s="2">
        <v>5.2624000000000004</v>
      </c>
      <c r="O2000" s="1">
        <v>6</v>
      </c>
      <c r="P2000" s="2">
        <v>15.787200000000002</v>
      </c>
    </row>
    <row r="2001" spans="10:16">
      <c r="J2001" s="5" t="s">
        <v>350</v>
      </c>
      <c r="K2001" t="s">
        <v>351</v>
      </c>
      <c r="L2001" t="s">
        <v>98</v>
      </c>
      <c r="M2001" t="s">
        <v>86</v>
      </c>
      <c r="N2001" s="2">
        <v>5.22</v>
      </c>
      <c r="O2001" s="1">
        <v>3</v>
      </c>
      <c r="P2001" s="2">
        <v>15.66</v>
      </c>
    </row>
    <row r="2002" spans="10:16">
      <c r="J2002" s="5" t="s">
        <v>2118</v>
      </c>
      <c r="K2002" t="s">
        <v>2119</v>
      </c>
      <c r="L2002" t="s">
        <v>243</v>
      </c>
      <c r="M2002" t="s">
        <v>86</v>
      </c>
      <c r="N2002" s="2">
        <v>15.58</v>
      </c>
      <c r="O2002" s="1">
        <v>1</v>
      </c>
      <c r="P2002" s="2">
        <v>15.58</v>
      </c>
    </row>
    <row r="2003" spans="10:16">
      <c r="J2003" s="5" t="s">
        <v>3893</v>
      </c>
      <c r="K2003" t="s">
        <v>3894</v>
      </c>
      <c r="L2003" t="s">
        <v>219</v>
      </c>
      <c r="M2003" t="s">
        <v>86</v>
      </c>
      <c r="N2003" s="2">
        <v>15.56</v>
      </c>
      <c r="O2003" s="1">
        <v>1</v>
      </c>
      <c r="P2003" s="2">
        <v>15.56</v>
      </c>
    </row>
    <row r="2004" spans="10:16">
      <c r="J2004" s="5" t="s">
        <v>2266</v>
      </c>
      <c r="K2004" t="s">
        <v>2267</v>
      </c>
      <c r="L2004" t="s">
        <v>85</v>
      </c>
      <c r="M2004" t="s">
        <v>86</v>
      </c>
      <c r="N2004" s="2">
        <v>0.91520000000000001</v>
      </c>
      <c r="O2004" s="1">
        <v>34</v>
      </c>
      <c r="P2004" s="2">
        <v>15.558400000000001</v>
      </c>
    </row>
    <row r="2005" spans="10:16">
      <c r="J2005" s="5" t="s">
        <v>2878</v>
      </c>
      <c r="K2005" t="s">
        <v>2879</v>
      </c>
      <c r="L2005" t="s">
        <v>85</v>
      </c>
      <c r="M2005" t="s">
        <v>86</v>
      </c>
      <c r="N2005" s="2">
        <v>1.413</v>
      </c>
      <c r="O2005" s="1">
        <v>11</v>
      </c>
      <c r="P2005" s="2">
        <v>15.543000000000001</v>
      </c>
    </row>
    <row r="2006" spans="10:16">
      <c r="J2006" s="5" t="s">
        <v>3146</v>
      </c>
      <c r="K2006" t="s">
        <v>2164</v>
      </c>
      <c r="L2006" t="s">
        <v>85</v>
      </c>
      <c r="M2006" t="s">
        <v>86</v>
      </c>
      <c r="N2006" s="2">
        <v>0.55500000000000005</v>
      </c>
      <c r="O2006" s="1">
        <v>28</v>
      </c>
      <c r="P2006" s="2">
        <v>15.540000000000001</v>
      </c>
    </row>
    <row r="2007" spans="10:16">
      <c r="J2007" s="5" t="s">
        <v>3493</v>
      </c>
      <c r="K2007" t="s">
        <v>3488</v>
      </c>
      <c r="L2007" t="s">
        <v>85</v>
      </c>
      <c r="M2007" t="s">
        <v>86</v>
      </c>
      <c r="N2007" s="2">
        <v>0.77500000000000002</v>
      </c>
      <c r="O2007" s="1">
        <v>20</v>
      </c>
      <c r="P2007" s="2">
        <v>15.5</v>
      </c>
    </row>
    <row r="2008" spans="10:16">
      <c r="J2008" s="5" t="s">
        <v>2603</v>
      </c>
      <c r="K2008" t="s">
        <v>2604</v>
      </c>
      <c r="L2008" t="s">
        <v>5474</v>
      </c>
      <c r="M2008" t="s">
        <v>125</v>
      </c>
      <c r="N2008" s="2">
        <v>15.45</v>
      </c>
      <c r="O2008" s="1">
        <v>1</v>
      </c>
      <c r="P2008" s="2">
        <v>15.45</v>
      </c>
    </row>
    <row r="2009" spans="10:16">
      <c r="J2009" s="5" t="s">
        <v>2212</v>
      </c>
      <c r="K2009" t="s">
        <v>2213</v>
      </c>
      <c r="L2009" t="s">
        <v>85</v>
      </c>
      <c r="M2009" t="s">
        <v>86</v>
      </c>
      <c r="N2009" s="2">
        <v>1.3979999999999999</v>
      </c>
      <c r="O2009" s="1">
        <v>11</v>
      </c>
      <c r="P2009" s="2">
        <v>15.377999999999998</v>
      </c>
    </row>
    <row r="2010" spans="10:16">
      <c r="J2010" s="5" t="s">
        <v>2488</v>
      </c>
      <c r="K2010" t="s">
        <v>5414</v>
      </c>
      <c r="L2010" t="s">
        <v>85</v>
      </c>
      <c r="M2010" t="s">
        <v>86</v>
      </c>
      <c r="N2010" s="2">
        <v>3.839</v>
      </c>
      <c r="O2010" s="1">
        <v>8</v>
      </c>
      <c r="P2010" s="2">
        <v>15.356</v>
      </c>
    </row>
    <row r="2011" spans="10:16">
      <c r="J2011" s="5" t="s">
        <v>3133</v>
      </c>
      <c r="K2011" t="s">
        <v>3134</v>
      </c>
      <c r="L2011" t="s">
        <v>85</v>
      </c>
      <c r="M2011" t="s">
        <v>86</v>
      </c>
      <c r="N2011" s="2">
        <v>0.66439999999999999</v>
      </c>
      <c r="O2011" s="1">
        <v>23</v>
      </c>
      <c r="P2011" s="2">
        <v>15.2812</v>
      </c>
    </row>
    <row r="2012" spans="10:16">
      <c r="J2012" s="5" t="s">
        <v>2453</v>
      </c>
      <c r="K2012" t="s">
        <v>2454</v>
      </c>
      <c r="L2012" t="s">
        <v>85</v>
      </c>
      <c r="M2012" t="s">
        <v>86</v>
      </c>
      <c r="N2012" s="2">
        <v>15.25</v>
      </c>
      <c r="O2012" s="1">
        <v>1</v>
      </c>
      <c r="P2012" s="2">
        <v>15.25</v>
      </c>
    </row>
    <row r="2013" spans="10:16">
      <c r="J2013" s="5" t="s">
        <v>312</v>
      </c>
      <c r="K2013" t="s">
        <v>313</v>
      </c>
      <c r="L2013" t="s">
        <v>98</v>
      </c>
      <c r="M2013" t="s">
        <v>86</v>
      </c>
      <c r="N2013" s="2">
        <v>1.52</v>
      </c>
      <c r="O2013" s="1">
        <v>10</v>
      </c>
      <c r="P2013" s="2">
        <v>15.2</v>
      </c>
    </row>
    <row r="2014" spans="10:16">
      <c r="J2014" s="5" t="s">
        <v>1749</v>
      </c>
      <c r="K2014" t="s">
        <v>1750</v>
      </c>
      <c r="L2014" t="s">
        <v>31</v>
      </c>
      <c r="M2014" t="s">
        <v>1931</v>
      </c>
      <c r="N2014" s="2">
        <v>15.2</v>
      </c>
      <c r="O2014" s="1">
        <v>1</v>
      </c>
      <c r="P2014" s="2">
        <v>15.2</v>
      </c>
    </row>
    <row r="2015" spans="10:16">
      <c r="J2015" s="5" t="s">
        <v>4946</v>
      </c>
      <c r="K2015" t="s">
        <v>4947</v>
      </c>
      <c r="L2015" t="s">
        <v>219</v>
      </c>
      <c r="M2015" t="s">
        <v>86</v>
      </c>
      <c r="N2015" s="2">
        <v>1.5129999999999999</v>
      </c>
      <c r="O2015" s="1">
        <v>10</v>
      </c>
      <c r="P2015" s="2">
        <v>15.129999999999999</v>
      </c>
    </row>
    <row r="2016" spans="10:16">
      <c r="J2016" s="5" t="s">
        <v>1719</v>
      </c>
      <c r="K2016" t="s">
        <v>1720</v>
      </c>
      <c r="L2016" t="s">
        <v>115</v>
      </c>
      <c r="M2016" t="s">
        <v>102</v>
      </c>
      <c r="N2016" s="2">
        <v>0.09</v>
      </c>
      <c r="O2016" s="1">
        <v>168</v>
      </c>
      <c r="P2016" s="2">
        <v>15.12</v>
      </c>
    </row>
    <row r="2017" spans="10:16">
      <c r="J2017" s="5" t="s">
        <v>4557</v>
      </c>
      <c r="K2017" t="s">
        <v>4558</v>
      </c>
      <c r="L2017" t="s">
        <v>436</v>
      </c>
      <c r="M2017" t="s">
        <v>86</v>
      </c>
      <c r="N2017" s="2">
        <v>7.56</v>
      </c>
      <c r="O2017" s="1">
        <v>2</v>
      </c>
      <c r="P2017" s="2">
        <v>15.12</v>
      </c>
    </row>
    <row r="2018" spans="10:16">
      <c r="J2018" s="5" t="s">
        <v>2736</v>
      </c>
      <c r="K2018" t="s">
        <v>2737</v>
      </c>
      <c r="L2018" t="s">
        <v>85</v>
      </c>
      <c r="M2018" t="s">
        <v>86</v>
      </c>
      <c r="N2018" s="2">
        <v>0.83889999999999998</v>
      </c>
      <c r="O2018" s="1">
        <v>18</v>
      </c>
      <c r="P2018" s="2">
        <v>15.100199999999999</v>
      </c>
    </row>
    <row r="2019" spans="10:16">
      <c r="J2019" s="5" t="s">
        <v>1234</v>
      </c>
      <c r="K2019" t="s">
        <v>1235</v>
      </c>
      <c r="L2019" t="s">
        <v>85</v>
      </c>
      <c r="M2019" t="s">
        <v>86</v>
      </c>
      <c r="N2019" s="2">
        <v>15.07</v>
      </c>
      <c r="O2019" s="1">
        <v>1</v>
      </c>
      <c r="P2019" s="2">
        <v>15.07</v>
      </c>
    </row>
    <row r="2020" spans="10:16">
      <c r="J2020" s="5" t="s">
        <v>1202</v>
      </c>
      <c r="K2020" t="s">
        <v>1203</v>
      </c>
      <c r="L2020" t="s">
        <v>31</v>
      </c>
      <c r="M2020" t="s">
        <v>1931</v>
      </c>
      <c r="N2020" s="2">
        <v>15.06</v>
      </c>
      <c r="O2020" s="1">
        <v>1</v>
      </c>
      <c r="P2020" s="2">
        <v>15.06</v>
      </c>
    </row>
    <row r="2021" spans="10:16">
      <c r="J2021" s="5" t="s">
        <v>2551</v>
      </c>
      <c r="K2021" t="s">
        <v>2552</v>
      </c>
      <c r="L2021" t="s">
        <v>1044</v>
      </c>
      <c r="M2021" t="s">
        <v>125</v>
      </c>
      <c r="N2021" s="2">
        <v>15</v>
      </c>
      <c r="O2021" s="1">
        <v>1</v>
      </c>
      <c r="P2021" s="2">
        <v>15</v>
      </c>
    </row>
    <row r="2022" spans="10:16">
      <c r="J2022" s="5" t="s">
        <v>1174</v>
      </c>
      <c r="K2022" t="s">
        <v>1175</v>
      </c>
      <c r="L2022" t="s">
        <v>31</v>
      </c>
      <c r="M2022" t="s">
        <v>1931</v>
      </c>
      <c r="N2022" s="2">
        <v>1.5</v>
      </c>
      <c r="O2022" s="1">
        <v>10</v>
      </c>
      <c r="P2022" s="2">
        <v>15</v>
      </c>
    </row>
    <row r="2023" spans="10:16">
      <c r="J2023" s="5" t="s">
        <v>4370</v>
      </c>
      <c r="K2023" t="s">
        <v>4371</v>
      </c>
      <c r="L2023" t="s">
        <v>85</v>
      </c>
      <c r="M2023" t="s">
        <v>86</v>
      </c>
      <c r="N2023" s="2">
        <v>3.7482000000000002</v>
      </c>
      <c r="O2023" s="1">
        <v>4</v>
      </c>
      <c r="P2023" s="2">
        <v>14.992800000000001</v>
      </c>
    </row>
    <row r="2024" spans="10:16">
      <c r="J2024" s="5" t="s">
        <v>1805</v>
      </c>
      <c r="K2024" t="s">
        <v>1806</v>
      </c>
      <c r="L2024" t="s">
        <v>31</v>
      </c>
      <c r="M2024" t="s">
        <v>1931</v>
      </c>
      <c r="N2024" s="2">
        <v>3.7440000000000002</v>
      </c>
      <c r="O2024" s="1">
        <v>4</v>
      </c>
      <c r="P2024" s="2">
        <v>14.976000000000001</v>
      </c>
    </row>
    <row r="2025" spans="10:16">
      <c r="J2025" s="5" t="s">
        <v>4968</v>
      </c>
      <c r="K2025" t="s">
        <v>4969</v>
      </c>
      <c r="L2025" t="s">
        <v>85</v>
      </c>
      <c r="M2025" t="s">
        <v>86</v>
      </c>
      <c r="N2025" s="2">
        <v>1.2473000000000001</v>
      </c>
      <c r="O2025" s="1">
        <v>12</v>
      </c>
      <c r="P2025" s="2">
        <v>14.967600000000001</v>
      </c>
    </row>
    <row r="2026" spans="10:16">
      <c r="J2026" s="5" t="s">
        <v>885</v>
      </c>
      <c r="K2026" t="s">
        <v>886</v>
      </c>
      <c r="L2026" t="s">
        <v>31</v>
      </c>
      <c r="M2026" t="s">
        <v>125</v>
      </c>
      <c r="N2026" s="2">
        <v>3.734</v>
      </c>
      <c r="O2026" s="1">
        <v>4</v>
      </c>
      <c r="P2026" s="2">
        <v>14.936</v>
      </c>
    </row>
    <row r="2027" spans="10:16">
      <c r="J2027" s="5" t="s">
        <v>2805</v>
      </c>
      <c r="K2027" t="s">
        <v>2806</v>
      </c>
      <c r="L2027" t="s">
        <v>85</v>
      </c>
      <c r="M2027" t="s">
        <v>86</v>
      </c>
      <c r="N2027" s="2">
        <v>2.9820000000000002</v>
      </c>
      <c r="O2027" s="1">
        <v>5</v>
      </c>
      <c r="P2027" s="2">
        <v>14.91</v>
      </c>
    </row>
    <row r="2028" spans="10:16">
      <c r="J2028" s="5" t="s">
        <v>277</v>
      </c>
      <c r="K2028" t="s">
        <v>278</v>
      </c>
      <c r="L2028" t="s">
        <v>98</v>
      </c>
      <c r="M2028" t="s">
        <v>86</v>
      </c>
      <c r="N2028" s="2">
        <v>2.98</v>
      </c>
      <c r="O2028" s="1">
        <v>5</v>
      </c>
      <c r="P2028" s="2">
        <v>14.9</v>
      </c>
    </row>
    <row r="2029" spans="10:16">
      <c r="J2029" s="5" t="s">
        <v>3889</v>
      </c>
      <c r="K2029" t="s">
        <v>3890</v>
      </c>
      <c r="L2029" t="s">
        <v>85</v>
      </c>
      <c r="M2029" t="s">
        <v>86</v>
      </c>
      <c r="N2029" s="2">
        <v>7.45</v>
      </c>
      <c r="O2029" s="1">
        <v>2</v>
      </c>
      <c r="P2029" s="2">
        <v>14.9</v>
      </c>
    </row>
    <row r="2030" spans="10:16">
      <c r="J2030" s="5" t="s">
        <v>4657</v>
      </c>
      <c r="K2030" t="s">
        <v>2427</v>
      </c>
      <c r="L2030" t="s">
        <v>98</v>
      </c>
      <c r="M2030" t="s">
        <v>86</v>
      </c>
      <c r="N2030" s="2">
        <v>14.74</v>
      </c>
      <c r="O2030" s="1">
        <v>1</v>
      </c>
      <c r="P2030" s="2">
        <v>14.74</v>
      </c>
    </row>
    <row r="2031" spans="10:16">
      <c r="J2031" s="5" t="s">
        <v>2816</v>
      </c>
      <c r="K2031" t="s">
        <v>2817</v>
      </c>
      <c r="L2031" t="s">
        <v>85</v>
      </c>
      <c r="M2031" t="s">
        <v>86</v>
      </c>
      <c r="N2031" s="2">
        <v>2.94</v>
      </c>
      <c r="O2031" s="1">
        <v>5</v>
      </c>
      <c r="P2031" s="2">
        <v>14.7</v>
      </c>
    </row>
    <row r="2032" spans="10:16">
      <c r="J2032" s="5" t="s">
        <v>3564</v>
      </c>
      <c r="K2032" t="s">
        <v>3565</v>
      </c>
      <c r="L2032" t="s">
        <v>85</v>
      </c>
      <c r="M2032" t="s">
        <v>86</v>
      </c>
      <c r="N2032" s="2">
        <v>1.4630000000000001</v>
      </c>
      <c r="O2032" s="1">
        <v>10</v>
      </c>
      <c r="P2032" s="2">
        <v>14.63</v>
      </c>
    </row>
    <row r="2033" spans="10:16">
      <c r="J2033" s="5" t="s">
        <v>1200</v>
      </c>
      <c r="K2033" t="s">
        <v>1201</v>
      </c>
      <c r="L2033" t="s">
        <v>31</v>
      </c>
      <c r="M2033" t="s">
        <v>1931</v>
      </c>
      <c r="N2033" s="2">
        <v>7.29</v>
      </c>
      <c r="O2033" s="1">
        <v>2</v>
      </c>
      <c r="P2033" s="2">
        <v>14.58</v>
      </c>
    </row>
    <row r="2034" spans="10:16">
      <c r="J2034" s="5" t="s">
        <v>5021</v>
      </c>
      <c r="K2034" t="s">
        <v>2296</v>
      </c>
      <c r="L2034" t="s">
        <v>85</v>
      </c>
      <c r="M2034" t="s">
        <v>86</v>
      </c>
      <c r="N2034" s="2">
        <v>2.8889999999999998</v>
      </c>
      <c r="O2034" s="1">
        <v>5</v>
      </c>
      <c r="P2034" s="2">
        <v>14.444999999999999</v>
      </c>
    </row>
    <row r="2035" spans="10:16">
      <c r="J2035" s="5" t="s">
        <v>3645</v>
      </c>
      <c r="K2035" t="s">
        <v>3646</v>
      </c>
      <c r="L2035" t="s">
        <v>98</v>
      </c>
      <c r="M2035" t="s">
        <v>86</v>
      </c>
      <c r="N2035" s="2">
        <v>1.4430000000000001</v>
      </c>
      <c r="O2035" s="1">
        <v>10</v>
      </c>
      <c r="P2035" s="2">
        <v>14.43</v>
      </c>
    </row>
    <row r="2036" spans="10:16">
      <c r="J2036" s="5" t="s">
        <v>3797</v>
      </c>
      <c r="K2036" t="s">
        <v>3798</v>
      </c>
      <c r="L2036" t="s">
        <v>85</v>
      </c>
      <c r="M2036" t="s">
        <v>86</v>
      </c>
      <c r="N2036" s="2">
        <v>1.44</v>
      </c>
      <c r="O2036" s="1">
        <v>10</v>
      </c>
      <c r="P2036" s="2">
        <v>14.399999999999999</v>
      </c>
    </row>
    <row r="2037" spans="10:16">
      <c r="J2037" s="5" t="s">
        <v>1138</v>
      </c>
      <c r="K2037" t="s">
        <v>1139</v>
      </c>
      <c r="L2037" t="s">
        <v>31</v>
      </c>
      <c r="M2037" t="s">
        <v>1931</v>
      </c>
      <c r="N2037" s="2">
        <v>2.4</v>
      </c>
      <c r="O2037" s="1">
        <v>6</v>
      </c>
      <c r="P2037" s="2">
        <v>14.399999999999999</v>
      </c>
    </row>
    <row r="2038" spans="10:16">
      <c r="J2038" s="5" t="s">
        <v>914</v>
      </c>
      <c r="K2038" t="s">
        <v>915</v>
      </c>
      <c r="L2038" t="s">
        <v>944</v>
      </c>
      <c r="M2038" t="s">
        <v>125</v>
      </c>
      <c r="N2038" s="2">
        <v>7.1769999999999996</v>
      </c>
      <c r="O2038" s="1">
        <v>2</v>
      </c>
      <c r="P2038" s="2">
        <v>14.353999999999999</v>
      </c>
    </row>
    <row r="2039" spans="10:16">
      <c r="J2039" s="5" t="s">
        <v>2725</v>
      </c>
      <c r="K2039" t="s">
        <v>2726</v>
      </c>
      <c r="L2039" t="s">
        <v>85</v>
      </c>
      <c r="M2039" t="s">
        <v>86</v>
      </c>
      <c r="N2039" s="2">
        <v>1.196</v>
      </c>
      <c r="O2039" s="1">
        <v>12</v>
      </c>
      <c r="P2039" s="2">
        <v>14.352</v>
      </c>
    </row>
    <row r="2040" spans="10:16">
      <c r="J2040" s="5" t="s">
        <v>302</v>
      </c>
      <c r="K2040" t="s">
        <v>303</v>
      </c>
      <c r="L2040" t="s">
        <v>98</v>
      </c>
      <c r="M2040" t="s">
        <v>86</v>
      </c>
      <c r="N2040" s="2">
        <v>1.0179</v>
      </c>
      <c r="O2040" s="1">
        <v>14</v>
      </c>
      <c r="P2040" s="2">
        <v>14.2506</v>
      </c>
    </row>
    <row r="2041" spans="10:16">
      <c r="J2041" s="5" t="s">
        <v>2131</v>
      </c>
      <c r="K2041" t="s">
        <v>2132</v>
      </c>
      <c r="L2041" t="s">
        <v>85</v>
      </c>
      <c r="M2041" t="s">
        <v>86</v>
      </c>
      <c r="N2041" s="2">
        <v>0.49</v>
      </c>
      <c r="O2041" s="1">
        <v>29</v>
      </c>
      <c r="P2041" s="2">
        <v>14.209999999999999</v>
      </c>
    </row>
    <row r="2042" spans="10:16">
      <c r="J2042" s="5" t="s">
        <v>2184</v>
      </c>
      <c r="K2042" t="s">
        <v>2185</v>
      </c>
      <c r="L2042" t="s">
        <v>85</v>
      </c>
      <c r="M2042" t="s">
        <v>86</v>
      </c>
      <c r="N2042" s="2">
        <v>1.42</v>
      </c>
      <c r="O2042" s="1">
        <v>20</v>
      </c>
      <c r="P2042" s="2">
        <v>14.2</v>
      </c>
    </row>
    <row r="2043" spans="10:16">
      <c r="J2043" s="5" t="s">
        <v>2521</v>
      </c>
      <c r="K2043" t="s">
        <v>2522</v>
      </c>
      <c r="L2043" t="s">
        <v>228</v>
      </c>
      <c r="M2043" t="s">
        <v>86</v>
      </c>
      <c r="N2043" s="2">
        <v>14.164</v>
      </c>
      <c r="O2043" s="1">
        <v>1</v>
      </c>
      <c r="P2043" s="2">
        <v>14.164</v>
      </c>
    </row>
    <row r="2044" spans="10:16">
      <c r="J2044" s="5" t="s">
        <v>3698</v>
      </c>
      <c r="K2044" t="s">
        <v>3699</v>
      </c>
      <c r="L2044" t="s">
        <v>219</v>
      </c>
      <c r="M2044" t="s">
        <v>86</v>
      </c>
      <c r="N2044" s="2">
        <v>3.54</v>
      </c>
      <c r="O2044" s="1">
        <v>4</v>
      </c>
      <c r="P2044" s="2">
        <v>14.16</v>
      </c>
    </row>
    <row r="2045" spans="10:16">
      <c r="J2045" s="5" t="s">
        <v>2991</v>
      </c>
      <c r="K2045" t="s">
        <v>4314</v>
      </c>
      <c r="L2045" t="s">
        <v>85</v>
      </c>
      <c r="M2045" t="s">
        <v>86</v>
      </c>
      <c r="N2045" s="2">
        <v>14.105</v>
      </c>
      <c r="O2045" s="1">
        <v>1</v>
      </c>
      <c r="P2045" s="2">
        <v>14.105</v>
      </c>
    </row>
    <row r="2046" spans="10:16">
      <c r="J2046" s="5" t="s">
        <v>5039</v>
      </c>
      <c r="K2046" t="s">
        <v>5040</v>
      </c>
      <c r="L2046" t="s">
        <v>85</v>
      </c>
      <c r="M2046" t="s">
        <v>86</v>
      </c>
      <c r="N2046" s="2">
        <v>2.82</v>
      </c>
      <c r="O2046" s="1">
        <v>5</v>
      </c>
      <c r="P2046" s="2">
        <v>14.1</v>
      </c>
    </row>
    <row r="2047" spans="10:16">
      <c r="J2047" s="5" t="s">
        <v>4486</v>
      </c>
      <c r="K2047" t="s">
        <v>4487</v>
      </c>
      <c r="L2047" t="s">
        <v>85</v>
      </c>
      <c r="M2047" t="s">
        <v>86</v>
      </c>
      <c r="N2047" s="2">
        <v>1.272</v>
      </c>
      <c r="O2047" s="1">
        <v>11</v>
      </c>
      <c r="P2047" s="2">
        <v>13.992000000000001</v>
      </c>
    </row>
    <row r="2048" spans="10:16">
      <c r="J2048" s="5" t="s">
        <v>4909</v>
      </c>
      <c r="K2048" t="s">
        <v>4910</v>
      </c>
      <c r="L2048" t="s">
        <v>85</v>
      </c>
      <c r="M2048" t="s">
        <v>86</v>
      </c>
      <c r="N2048" s="2">
        <v>0.34</v>
      </c>
      <c r="O2048" s="1">
        <v>41</v>
      </c>
      <c r="P2048" s="2">
        <v>13.940000000000001</v>
      </c>
    </row>
    <row r="2049" spans="10:16">
      <c r="J2049" s="5" t="s">
        <v>3570</v>
      </c>
      <c r="K2049" t="s">
        <v>3571</v>
      </c>
      <c r="L2049" t="s">
        <v>85</v>
      </c>
      <c r="M2049" t="s">
        <v>86</v>
      </c>
      <c r="N2049" s="2">
        <v>0.49299999999999999</v>
      </c>
      <c r="O2049" s="1">
        <v>28</v>
      </c>
      <c r="P2049" s="2">
        <v>13.804</v>
      </c>
    </row>
    <row r="2050" spans="10:16">
      <c r="J2050" s="5" t="s">
        <v>4080</v>
      </c>
      <c r="K2050" t="s">
        <v>4081</v>
      </c>
      <c r="L2050" t="s">
        <v>3482</v>
      </c>
      <c r="M2050" t="s">
        <v>86</v>
      </c>
      <c r="N2050" s="2">
        <v>6.9</v>
      </c>
      <c r="O2050" s="1">
        <v>2</v>
      </c>
      <c r="P2050" s="2">
        <v>13.8</v>
      </c>
    </row>
    <row r="2051" spans="10:16">
      <c r="J2051" s="5" t="s">
        <v>3793</v>
      </c>
      <c r="K2051" t="s">
        <v>3794</v>
      </c>
      <c r="L2051" t="s">
        <v>85</v>
      </c>
      <c r="M2051" t="s">
        <v>86</v>
      </c>
      <c r="N2051" s="2">
        <v>1.38</v>
      </c>
      <c r="O2051" s="1">
        <v>10</v>
      </c>
      <c r="P2051" s="2">
        <v>13.799999999999999</v>
      </c>
    </row>
    <row r="2052" spans="10:16">
      <c r="J2052" s="5" t="s">
        <v>3765</v>
      </c>
      <c r="K2052" t="s">
        <v>3766</v>
      </c>
      <c r="L2052" t="s">
        <v>219</v>
      </c>
      <c r="M2052" t="s">
        <v>86</v>
      </c>
      <c r="N2052" s="2">
        <v>4.5999999999999996</v>
      </c>
      <c r="O2052" s="1">
        <v>3</v>
      </c>
      <c r="P2052" s="2">
        <v>13.799999999999999</v>
      </c>
    </row>
    <row r="2053" spans="10:16">
      <c r="J2053" s="5" t="s">
        <v>4416</v>
      </c>
      <c r="K2053" t="s">
        <v>4417</v>
      </c>
      <c r="L2053" t="s">
        <v>85</v>
      </c>
      <c r="M2053" t="s">
        <v>86</v>
      </c>
      <c r="N2053" s="2">
        <v>2.75</v>
      </c>
      <c r="O2053" s="1">
        <v>5</v>
      </c>
      <c r="P2053" s="2">
        <v>13.75</v>
      </c>
    </row>
    <row r="2054" spans="10:16">
      <c r="J2054" s="5" t="s">
        <v>2218</v>
      </c>
      <c r="K2054" t="s">
        <v>5351</v>
      </c>
      <c r="L2054" t="s">
        <v>85</v>
      </c>
      <c r="M2054" t="s">
        <v>86</v>
      </c>
      <c r="N2054" s="2">
        <v>1.7163999999999999</v>
      </c>
      <c r="O2054" s="1">
        <v>16</v>
      </c>
      <c r="P2054" s="2">
        <v>13.731199999999999</v>
      </c>
    </row>
    <row r="2055" spans="10:16">
      <c r="J2055" s="5" t="s">
        <v>4954</v>
      </c>
      <c r="K2055" t="s">
        <v>4955</v>
      </c>
      <c r="L2055" t="s">
        <v>85</v>
      </c>
      <c r="M2055" t="s">
        <v>86</v>
      </c>
      <c r="N2055" s="2">
        <v>3.43</v>
      </c>
      <c r="O2055" s="1">
        <v>4</v>
      </c>
      <c r="P2055" s="2">
        <v>13.72</v>
      </c>
    </row>
    <row r="2056" spans="10:16">
      <c r="J2056" s="5" t="s">
        <v>5139</v>
      </c>
      <c r="K2056" t="s">
        <v>5140</v>
      </c>
      <c r="L2056" t="s">
        <v>128</v>
      </c>
      <c r="M2056" t="s">
        <v>125</v>
      </c>
      <c r="N2056" s="2">
        <v>4.57</v>
      </c>
      <c r="O2056" s="1">
        <v>3</v>
      </c>
      <c r="P2056" s="2">
        <v>13.71</v>
      </c>
    </row>
    <row r="2057" spans="10:16">
      <c r="J2057" s="5" t="s">
        <v>3872</v>
      </c>
      <c r="K2057" t="s">
        <v>3873</v>
      </c>
      <c r="L2057" t="s">
        <v>219</v>
      </c>
      <c r="M2057" t="s">
        <v>86</v>
      </c>
      <c r="N2057" s="2">
        <v>2.74</v>
      </c>
      <c r="O2057" s="1">
        <v>5</v>
      </c>
      <c r="P2057" s="2">
        <v>13.700000000000001</v>
      </c>
    </row>
    <row r="2058" spans="10:16">
      <c r="J2058" s="5" t="s">
        <v>2915</v>
      </c>
      <c r="K2058" t="s">
        <v>2916</v>
      </c>
      <c r="L2058" t="s">
        <v>98</v>
      </c>
      <c r="M2058" t="s">
        <v>86</v>
      </c>
      <c r="N2058" s="2">
        <v>1.363</v>
      </c>
      <c r="O2058" s="1">
        <v>10</v>
      </c>
      <c r="P2058" s="2">
        <v>13.629999999999999</v>
      </c>
    </row>
    <row r="2059" spans="10:16">
      <c r="J2059" s="5" t="s">
        <v>2451</v>
      </c>
      <c r="K2059" t="s">
        <v>2452</v>
      </c>
      <c r="L2059" t="s">
        <v>85</v>
      </c>
      <c r="M2059" t="s">
        <v>86</v>
      </c>
      <c r="N2059" s="2">
        <v>6.8109999999999999</v>
      </c>
      <c r="O2059" s="1">
        <v>4</v>
      </c>
      <c r="P2059" s="2">
        <v>13.622</v>
      </c>
    </row>
    <row r="2060" spans="10:16">
      <c r="J2060" s="5" t="s">
        <v>4306</v>
      </c>
      <c r="K2060" t="s">
        <v>413</v>
      </c>
      <c r="L2060" t="s">
        <v>85</v>
      </c>
      <c r="M2060" t="s">
        <v>86</v>
      </c>
      <c r="N2060" s="2">
        <v>6.8</v>
      </c>
      <c r="O2060" s="1">
        <v>2</v>
      </c>
      <c r="P2060" s="2">
        <v>13.6</v>
      </c>
    </row>
    <row r="2061" spans="10:16">
      <c r="J2061" s="5" t="s">
        <v>1075</v>
      </c>
      <c r="K2061" t="s">
        <v>1076</v>
      </c>
      <c r="L2061" t="s">
        <v>131</v>
      </c>
      <c r="M2061" t="s">
        <v>125</v>
      </c>
      <c r="N2061" s="2">
        <v>2.2639999999999998</v>
      </c>
      <c r="O2061" s="1">
        <v>6</v>
      </c>
      <c r="P2061" s="2">
        <v>13.584</v>
      </c>
    </row>
    <row r="2062" spans="10:16">
      <c r="J2062" s="5" t="s">
        <v>362</v>
      </c>
      <c r="K2062" t="s">
        <v>363</v>
      </c>
      <c r="L2062" t="s">
        <v>98</v>
      </c>
      <c r="M2062" t="s">
        <v>86</v>
      </c>
      <c r="N2062" s="2">
        <v>2.71</v>
      </c>
      <c r="O2062" s="1">
        <v>5</v>
      </c>
      <c r="P2062" s="2">
        <v>13.55</v>
      </c>
    </row>
    <row r="2063" spans="10:16">
      <c r="J2063" s="5" t="s">
        <v>2776</v>
      </c>
      <c r="K2063" t="s">
        <v>2777</v>
      </c>
      <c r="L2063" t="s">
        <v>85</v>
      </c>
      <c r="M2063" t="s">
        <v>86</v>
      </c>
      <c r="N2063" s="2">
        <v>0.48199999999999998</v>
      </c>
      <c r="O2063" s="1">
        <v>28</v>
      </c>
      <c r="P2063" s="2">
        <v>13.495999999999999</v>
      </c>
    </row>
    <row r="2064" spans="10:16">
      <c r="J2064" s="5" t="s">
        <v>5233</v>
      </c>
      <c r="K2064" t="s">
        <v>5234</v>
      </c>
      <c r="L2064" t="s">
        <v>115</v>
      </c>
      <c r="M2064" t="s">
        <v>102</v>
      </c>
      <c r="N2064" s="2">
        <v>2.6599999999999999E-2</v>
      </c>
      <c r="O2064" s="1">
        <v>505</v>
      </c>
      <c r="P2064" s="2">
        <v>13.433</v>
      </c>
    </row>
    <row r="2065" spans="10:16">
      <c r="J2065" s="5" t="s">
        <v>4476</v>
      </c>
      <c r="K2065" t="s">
        <v>4477</v>
      </c>
      <c r="L2065" t="s">
        <v>85</v>
      </c>
      <c r="M2065" t="s">
        <v>86</v>
      </c>
      <c r="N2065" s="2">
        <v>1.34</v>
      </c>
      <c r="O2065" s="1">
        <v>10</v>
      </c>
      <c r="P2065" s="2">
        <v>13.4</v>
      </c>
    </row>
    <row r="2066" spans="10:16">
      <c r="J2066" s="5" t="s">
        <v>3525</v>
      </c>
      <c r="K2066" t="s">
        <v>3526</v>
      </c>
      <c r="L2066" t="s">
        <v>85</v>
      </c>
      <c r="M2066" t="s">
        <v>86</v>
      </c>
      <c r="N2066" s="2">
        <v>1.34</v>
      </c>
      <c r="O2066" s="1">
        <v>10</v>
      </c>
      <c r="P2066" s="2">
        <v>13.4</v>
      </c>
    </row>
    <row r="2067" spans="10:16">
      <c r="J2067" s="5" t="s">
        <v>488</v>
      </c>
      <c r="K2067" t="s">
        <v>4676</v>
      </c>
      <c r="L2067" t="s">
        <v>219</v>
      </c>
      <c r="M2067" t="s">
        <v>86</v>
      </c>
      <c r="N2067" s="2">
        <v>4.46</v>
      </c>
      <c r="O2067" s="1">
        <v>3</v>
      </c>
      <c r="P2067" s="2">
        <v>13.379999999999999</v>
      </c>
    </row>
    <row r="2068" spans="10:16">
      <c r="J2068" s="5" t="s">
        <v>2585</v>
      </c>
      <c r="K2068" t="s">
        <v>2586</v>
      </c>
      <c r="L2068" t="s">
        <v>5474</v>
      </c>
      <c r="M2068" t="s">
        <v>125</v>
      </c>
      <c r="N2068" s="2">
        <v>4.4530000000000003</v>
      </c>
      <c r="O2068" s="1">
        <v>3</v>
      </c>
      <c r="P2068" s="2">
        <v>13.359000000000002</v>
      </c>
    </row>
    <row r="2069" spans="10:16">
      <c r="J2069" s="5" t="s">
        <v>5415</v>
      </c>
      <c r="K2069" t="s">
        <v>2495</v>
      </c>
      <c r="L2069" t="s">
        <v>263</v>
      </c>
      <c r="M2069" t="s">
        <v>86</v>
      </c>
      <c r="N2069" s="2">
        <v>13.356</v>
      </c>
      <c r="O2069" s="1">
        <v>1</v>
      </c>
      <c r="P2069" s="2">
        <v>13.356</v>
      </c>
    </row>
    <row r="2070" spans="10:16">
      <c r="J2070" s="5" t="s">
        <v>2370</v>
      </c>
      <c r="K2070" t="s">
        <v>2371</v>
      </c>
      <c r="L2070" t="s">
        <v>434</v>
      </c>
      <c r="M2070" t="s">
        <v>86</v>
      </c>
      <c r="N2070" s="2">
        <v>1.661</v>
      </c>
      <c r="O2070" s="1">
        <v>16</v>
      </c>
      <c r="P2070" s="2">
        <v>13.288</v>
      </c>
    </row>
    <row r="2071" spans="10:16">
      <c r="J2071" s="5" t="s">
        <v>1038</v>
      </c>
      <c r="K2071" t="s">
        <v>1039</v>
      </c>
      <c r="L2071" t="s">
        <v>141</v>
      </c>
      <c r="M2071" t="s">
        <v>125</v>
      </c>
      <c r="N2071" s="2">
        <v>6.625</v>
      </c>
      <c r="O2071" s="1">
        <v>2</v>
      </c>
      <c r="P2071" s="2">
        <v>13.25</v>
      </c>
    </row>
    <row r="2072" spans="10:16">
      <c r="J2072" s="5" t="s">
        <v>5460</v>
      </c>
      <c r="K2072" t="s">
        <v>5461</v>
      </c>
      <c r="L2072" t="s">
        <v>85</v>
      </c>
      <c r="M2072" t="s">
        <v>86</v>
      </c>
      <c r="N2072" s="2">
        <v>13.24</v>
      </c>
      <c r="O2072" s="1">
        <v>1</v>
      </c>
      <c r="P2072" s="2">
        <v>13.24</v>
      </c>
    </row>
    <row r="2073" spans="10:16">
      <c r="J2073" s="5" t="s">
        <v>1035</v>
      </c>
      <c r="K2073" t="s">
        <v>1036</v>
      </c>
      <c r="L2073" t="s">
        <v>128</v>
      </c>
      <c r="M2073" t="s">
        <v>125</v>
      </c>
      <c r="N2073" s="2">
        <v>4.41</v>
      </c>
      <c r="O2073" s="1">
        <v>3</v>
      </c>
      <c r="P2073" s="2">
        <v>13.23</v>
      </c>
    </row>
    <row r="2074" spans="10:16">
      <c r="J2074" s="5" t="s">
        <v>2589</v>
      </c>
      <c r="K2074" t="s">
        <v>2590</v>
      </c>
      <c r="L2074" t="s">
        <v>5474</v>
      </c>
      <c r="M2074" t="s">
        <v>125</v>
      </c>
      <c r="N2074" s="2">
        <v>1.65</v>
      </c>
      <c r="O2074" s="1">
        <v>8</v>
      </c>
      <c r="P2074" s="2">
        <v>13.2</v>
      </c>
    </row>
    <row r="2075" spans="10:16">
      <c r="J2075" s="5" t="s">
        <v>4845</v>
      </c>
      <c r="K2075" t="s">
        <v>4846</v>
      </c>
      <c r="L2075" t="s">
        <v>85</v>
      </c>
      <c r="M2075" t="s">
        <v>86</v>
      </c>
      <c r="N2075" s="2">
        <v>0.22</v>
      </c>
      <c r="O2075" s="1">
        <v>60</v>
      </c>
      <c r="P2075" s="2">
        <v>13.2</v>
      </c>
    </row>
    <row r="2076" spans="10:16">
      <c r="J2076" s="5" t="s">
        <v>2250</v>
      </c>
      <c r="K2076" t="s">
        <v>5359</v>
      </c>
      <c r="L2076" t="s">
        <v>228</v>
      </c>
      <c r="M2076" t="s">
        <v>86</v>
      </c>
      <c r="N2076" s="2">
        <v>13.1486</v>
      </c>
      <c r="O2076" s="1">
        <v>2</v>
      </c>
      <c r="P2076" s="2">
        <v>13.1486</v>
      </c>
    </row>
    <row r="2077" spans="10:16">
      <c r="J2077" s="5" t="s">
        <v>865</v>
      </c>
      <c r="K2077" t="s">
        <v>866</v>
      </c>
      <c r="L2077" t="s">
        <v>31</v>
      </c>
      <c r="M2077" t="s">
        <v>125</v>
      </c>
      <c r="N2077" s="2">
        <v>0.93899999999999995</v>
      </c>
      <c r="O2077" s="1">
        <v>14</v>
      </c>
      <c r="P2077" s="2">
        <v>13.145999999999999</v>
      </c>
    </row>
    <row r="2078" spans="10:16">
      <c r="J2078" s="5" t="s">
        <v>5155</v>
      </c>
      <c r="K2078" t="s">
        <v>5156</v>
      </c>
      <c r="L2078" t="s">
        <v>141</v>
      </c>
      <c r="M2078" t="s">
        <v>125</v>
      </c>
      <c r="N2078" s="2">
        <v>6.5670000000000002</v>
      </c>
      <c r="O2078" s="1">
        <v>2</v>
      </c>
      <c r="P2078" s="2">
        <v>13.134</v>
      </c>
    </row>
    <row r="2079" spans="10:16">
      <c r="J2079" s="5" t="s">
        <v>4515</v>
      </c>
      <c r="K2079" t="s">
        <v>4516</v>
      </c>
      <c r="L2079" t="s">
        <v>228</v>
      </c>
      <c r="M2079" t="s">
        <v>86</v>
      </c>
      <c r="N2079" s="2">
        <v>6.5392000000000001</v>
      </c>
      <c r="O2079" s="1">
        <v>4</v>
      </c>
      <c r="P2079" s="2">
        <v>13.0784</v>
      </c>
    </row>
    <row r="2080" spans="10:16">
      <c r="J2080" s="5" t="s">
        <v>269</v>
      </c>
      <c r="K2080" t="s">
        <v>270</v>
      </c>
      <c r="L2080" t="s">
        <v>98</v>
      </c>
      <c r="M2080" t="s">
        <v>86</v>
      </c>
      <c r="N2080" s="2">
        <v>3.26</v>
      </c>
      <c r="O2080" s="1">
        <v>4</v>
      </c>
      <c r="P2080" s="2">
        <v>13.04</v>
      </c>
    </row>
    <row r="2081" spans="10:16">
      <c r="J2081" s="5" t="s">
        <v>484</v>
      </c>
      <c r="K2081" t="s">
        <v>485</v>
      </c>
      <c r="L2081" t="s">
        <v>85</v>
      </c>
      <c r="M2081" t="s">
        <v>86</v>
      </c>
      <c r="N2081" s="2">
        <v>3.2589999999999999</v>
      </c>
      <c r="O2081" s="1">
        <v>8</v>
      </c>
      <c r="P2081" s="2">
        <v>13.036</v>
      </c>
    </row>
    <row r="2082" spans="10:16">
      <c r="J2082" s="5" t="s">
        <v>3605</v>
      </c>
      <c r="K2082" t="s">
        <v>3606</v>
      </c>
      <c r="L2082" t="s">
        <v>98</v>
      </c>
      <c r="M2082" t="s">
        <v>86</v>
      </c>
      <c r="N2082" s="2">
        <v>1</v>
      </c>
      <c r="O2082" s="1">
        <v>13</v>
      </c>
      <c r="P2082" s="2">
        <v>13</v>
      </c>
    </row>
    <row r="2083" spans="10:16">
      <c r="J2083" s="5" t="s">
        <v>3868</v>
      </c>
      <c r="K2083" t="s">
        <v>3869</v>
      </c>
      <c r="L2083" t="s">
        <v>219</v>
      </c>
      <c r="M2083" t="s">
        <v>86</v>
      </c>
      <c r="N2083" s="2">
        <v>2.6</v>
      </c>
      <c r="O2083" s="1">
        <v>5</v>
      </c>
      <c r="P2083" s="2">
        <v>13</v>
      </c>
    </row>
    <row r="2084" spans="10:16">
      <c r="J2084" s="5" t="s">
        <v>1120</v>
      </c>
      <c r="K2084" t="s">
        <v>1121</v>
      </c>
      <c r="L2084" t="s">
        <v>31</v>
      </c>
      <c r="M2084" t="s">
        <v>1931</v>
      </c>
      <c r="N2084" s="2">
        <v>13</v>
      </c>
      <c r="O2084" s="1">
        <v>1</v>
      </c>
      <c r="P2084" s="2">
        <v>13</v>
      </c>
    </row>
    <row r="2085" spans="10:16">
      <c r="J2085" s="5" t="s">
        <v>449</v>
      </c>
      <c r="K2085" t="s">
        <v>450</v>
      </c>
      <c r="L2085" t="s">
        <v>219</v>
      </c>
      <c r="M2085" t="s">
        <v>86</v>
      </c>
      <c r="N2085" s="2">
        <v>1.29</v>
      </c>
      <c r="O2085" s="1">
        <v>10</v>
      </c>
      <c r="P2085" s="2">
        <v>12.9</v>
      </c>
    </row>
    <row r="2086" spans="10:16">
      <c r="J2086" s="5" t="s">
        <v>2135</v>
      </c>
      <c r="K2086" t="s">
        <v>2136</v>
      </c>
      <c r="L2086" t="s">
        <v>85</v>
      </c>
      <c r="M2086" t="s">
        <v>86</v>
      </c>
      <c r="N2086" s="2">
        <v>1.29</v>
      </c>
      <c r="O2086" s="1">
        <v>10</v>
      </c>
      <c r="P2086" s="2">
        <v>12.9</v>
      </c>
    </row>
    <row r="2087" spans="10:16">
      <c r="J2087" s="5" t="s">
        <v>879</v>
      </c>
      <c r="K2087" t="s">
        <v>880</v>
      </c>
      <c r="L2087" t="s">
        <v>98</v>
      </c>
      <c r="M2087" t="s">
        <v>86</v>
      </c>
      <c r="N2087" s="2">
        <v>0.34599999999999997</v>
      </c>
      <c r="O2087" s="1">
        <v>37</v>
      </c>
      <c r="P2087" s="2">
        <v>12.802</v>
      </c>
    </row>
    <row r="2088" spans="10:16">
      <c r="J2088" s="5" t="s">
        <v>4524</v>
      </c>
      <c r="K2088" t="s">
        <v>4525</v>
      </c>
      <c r="L2088" t="s">
        <v>219</v>
      </c>
      <c r="M2088" t="s">
        <v>86</v>
      </c>
      <c r="N2088" s="2">
        <v>2.5499999999999998</v>
      </c>
      <c r="O2088" s="1">
        <v>5</v>
      </c>
      <c r="P2088" s="2">
        <v>12.75</v>
      </c>
    </row>
    <row r="2089" spans="10:16">
      <c r="J2089" s="5" t="s">
        <v>4659</v>
      </c>
      <c r="K2089" t="s">
        <v>2464</v>
      </c>
      <c r="L2089" t="s">
        <v>85</v>
      </c>
      <c r="M2089" t="s">
        <v>86</v>
      </c>
      <c r="N2089" s="2">
        <v>4.2460000000000004</v>
      </c>
      <c r="O2089" s="1">
        <v>3</v>
      </c>
      <c r="P2089" s="2">
        <v>12.738000000000001</v>
      </c>
    </row>
    <row r="2090" spans="10:16">
      <c r="J2090" s="5" t="s">
        <v>2186</v>
      </c>
      <c r="K2090" t="s">
        <v>2187</v>
      </c>
      <c r="L2090" t="s">
        <v>85</v>
      </c>
      <c r="M2090" t="s">
        <v>86</v>
      </c>
      <c r="N2090" s="2">
        <v>0.84699999999999998</v>
      </c>
      <c r="O2090" s="1">
        <v>30</v>
      </c>
      <c r="P2090" s="2">
        <v>12.705</v>
      </c>
    </row>
    <row r="2091" spans="10:16">
      <c r="J2091" s="5" t="s">
        <v>1222</v>
      </c>
      <c r="K2091" t="s">
        <v>1223</v>
      </c>
      <c r="L2091" t="s">
        <v>31</v>
      </c>
      <c r="M2091" t="s">
        <v>1931</v>
      </c>
      <c r="N2091" s="2">
        <v>12.66</v>
      </c>
      <c r="O2091" s="1">
        <v>1</v>
      </c>
      <c r="P2091" s="2">
        <v>12.66</v>
      </c>
    </row>
    <row r="2092" spans="10:16">
      <c r="J2092" s="5" t="s">
        <v>126</v>
      </c>
      <c r="K2092" t="s">
        <v>127</v>
      </c>
      <c r="L2092" t="s">
        <v>128</v>
      </c>
      <c r="M2092" t="s">
        <v>125</v>
      </c>
      <c r="N2092" s="2">
        <v>12.65</v>
      </c>
      <c r="O2092" s="1">
        <v>1</v>
      </c>
      <c r="P2092" s="2">
        <v>12.65</v>
      </c>
    </row>
    <row r="2093" spans="10:16">
      <c r="J2093" s="5" t="s">
        <v>1216</v>
      </c>
      <c r="K2093" t="s">
        <v>1217</v>
      </c>
      <c r="L2093" t="s">
        <v>31</v>
      </c>
      <c r="M2093" t="s">
        <v>1931</v>
      </c>
      <c r="N2093" s="2">
        <v>2.1059999999999999</v>
      </c>
      <c r="O2093" s="1">
        <v>6</v>
      </c>
      <c r="P2093" s="2">
        <v>12.635999999999999</v>
      </c>
    </row>
    <row r="2094" spans="10:16">
      <c r="J2094" s="5" t="s">
        <v>4662</v>
      </c>
      <c r="K2094" t="s">
        <v>4663</v>
      </c>
      <c r="L2094" t="s">
        <v>85</v>
      </c>
      <c r="M2094" t="s">
        <v>86</v>
      </c>
      <c r="N2094" s="2">
        <v>0.28000000000000003</v>
      </c>
      <c r="O2094" s="1">
        <v>45</v>
      </c>
      <c r="P2094" s="2">
        <v>12.600000000000001</v>
      </c>
    </row>
    <row r="2095" spans="10:16">
      <c r="J2095" s="5" t="s">
        <v>3544</v>
      </c>
      <c r="K2095" t="s">
        <v>3545</v>
      </c>
      <c r="L2095" t="s">
        <v>219</v>
      </c>
      <c r="M2095" t="s">
        <v>86</v>
      </c>
      <c r="N2095" s="2">
        <v>2.52</v>
      </c>
      <c r="O2095" s="1">
        <v>5</v>
      </c>
      <c r="P2095" s="2">
        <v>12.6</v>
      </c>
    </row>
    <row r="2096" spans="10:16">
      <c r="J2096" s="5" t="s">
        <v>2158</v>
      </c>
      <c r="K2096" t="s">
        <v>2159</v>
      </c>
      <c r="L2096" t="s">
        <v>85</v>
      </c>
      <c r="M2096" t="s">
        <v>86</v>
      </c>
      <c r="N2096" s="2">
        <v>3.1472000000000002</v>
      </c>
      <c r="O2096" s="1">
        <v>8</v>
      </c>
      <c r="P2096" s="2">
        <v>12.588800000000001</v>
      </c>
    </row>
    <row r="2097" spans="10:16">
      <c r="J2097" s="5" t="s">
        <v>161</v>
      </c>
      <c r="K2097" t="s">
        <v>162</v>
      </c>
      <c r="L2097" t="s">
        <v>160</v>
      </c>
      <c r="M2097" t="s">
        <v>125</v>
      </c>
      <c r="N2097" s="2">
        <v>12.56</v>
      </c>
      <c r="O2097" s="1">
        <v>1</v>
      </c>
      <c r="P2097" s="2">
        <v>12.56</v>
      </c>
    </row>
    <row r="2098" spans="10:16">
      <c r="J2098" s="5" t="s">
        <v>1973</v>
      </c>
      <c r="K2098" t="s">
        <v>1974</v>
      </c>
      <c r="L2098" t="s">
        <v>228</v>
      </c>
      <c r="M2098" t="s">
        <v>86</v>
      </c>
      <c r="N2098" s="2">
        <v>2.5</v>
      </c>
      <c r="O2098" s="1">
        <v>5</v>
      </c>
      <c r="P2098" s="2">
        <v>12.5</v>
      </c>
    </row>
    <row r="2099" spans="10:16">
      <c r="J2099" s="5" t="s">
        <v>3487</v>
      </c>
      <c r="K2099" t="s">
        <v>3488</v>
      </c>
      <c r="L2099" t="s">
        <v>85</v>
      </c>
      <c r="M2099" t="s">
        <v>86</v>
      </c>
      <c r="N2099" s="2">
        <v>0.59499999999999997</v>
      </c>
      <c r="O2099" s="1">
        <v>21</v>
      </c>
      <c r="P2099" s="2">
        <v>12.494999999999999</v>
      </c>
    </row>
    <row r="2100" spans="10:16">
      <c r="J2100" s="5" t="s">
        <v>60</v>
      </c>
      <c r="K2100" t="s">
        <v>61</v>
      </c>
      <c r="L2100" t="s">
        <v>31</v>
      </c>
      <c r="M2100" t="s">
        <v>1931</v>
      </c>
      <c r="N2100" s="2">
        <v>0.44600000000000001</v>
      </c>
      <c r="O2100" s="1">
        <v>28</v>
      </c>
      <c r="P2100" s="2">
        <v>12.488</v>
      </c>
    </row>
    <row r="2101" spans="10:16">
      <c r="J2101" s="5" t="s">
        <v>4526</v>
      </c>
      <c r="K2101" t="s">
        <v>4527</v>
      </c>
      <c r="L2101" t="s">
        <v>219</v>
      </c>
      <c r="M2101" t="s">
        <v>86</v>
      </c>
      <c r="N2101" s="2">
        <v>2.4940000000000002</v>
      </c>
      <c r="O2101" s="1">
        <v>5</v>
      </c>
      <c r="P2101" s="2">
        <v>12.47</v>
      </c>
    </row>
    <row r="2102" spans="10:16">
      <c r="J2102" s="5" t="s">
        <v>2595</v>
      </c>
      <c r="K2102" t="s">
        <v>2596</v>
      </c>
      <c r="L2102" t="s">
        <v>5474</v>
      </c>
      <c r="M2102" t="s">
        <v>125</v>
      </c>
      <c r="N2102" s="2">
        <v>12.385</v>
      </c>
      <c r="O2102" s="1">
        <v>1</v>
      </c>
      <c r="P2102" s="2">
        <v>12.385</v>
      </c>
    </row>
    <row r="2103" spans="10:16">
      <c r="J2103" s="5" t="s">
        <v>2055</v>
      </c>
      <c r="K2103" t="s">
        <v>2056</v>
      </c>
      <c r="L2103" t="s">
        <v>85</v>
      </c>
      <c r="M2103" t="s">
        <v>86</v>
      </c>
      <c r="N2103" s="2">
        <v>0.47599999999999998</v>
      </c>
      <c r="O2103" s="1">
        <v>26</v>
      </c>
      <c r="P2103" s="2">
        <v>12.375999999999999</v>
      </c>
    </row>
    <row r="2104" spans="10:16">
      <c r="J2104" s="5" t="s">
        <v>4941</v>
      </c>
      <c r="K2104" t="s">
        <v>4942</v>
      </c>
      <c r="L2104" t="s">
        <v>219</v>
      </c>
      <c r="M2104" t="s">
        <v>86</v>
      </c>
      <c r="N2104" s="2">
        <v>1.0269999999999999</v>
      </c>
      <c r="O2104" s="1">
        <v>24</v>
      </c>
      <c r="P2104" s="2">
        <v>12.323999999999998</v>
      </c>
    </row>
    <row r="2105" spans="10:16">
      <c r="J2105" s="5" t="s">
        <v>3510</v>
      </c>
      <c r="K2105" t="s">
        <v>3511</v>
      </c>
      <c r="L2105" t="s">
        <v>219</v>
      </c>
      <c r="M2105" t="s">
        <v>86</v>
      </c>
      <c r="N2105" s="2">
        <v>1.23</v>
      </c>
      <c r="O2105" s="1">
        <v>10</v>
      </c>
      <c r="P2105" s="2">
        <v>12.3</v>
      </c>
    </row>
    <row r="2106" spans="10:16">
      <c r="J2106" s="5" t="s">
        <v>2126</v>
      </c>
      <c r="K2106" t="s">
        <v>2127</v>
      </c>
      <c r="L2106" t="s">
        <v>85</v>
      </c>
      <c r="M2106" t="s">
        <v>86</v>
      </c>
      <c r="N2106" s="2">
        <v>2.0329999999999999</v>
      </c>
      <c r="O2106" s="1">
        <v>12</v>
      </c>
      <c r="P2106" s="2">
        <v>12.198</v>
      </c>
    </row>
    <row r="2107" spans="10:16">
      <c r="J2107" s="5" t="s">
        <v>453</v>
      </c>
      <c r="K2107" t="s">
        <v>454</v>
      </c>
      <c r="L2107" t="s">
        <v>219</v>
      </c>
      <c r="M2107" t="s">
        <v>86</v>
      </c>
      <c r="N2107" s="2">
        <v>12.13</v>
      </c>
      <c r="O2107" s="1">
        <v>1</v>
      </c>
      <c r="P2107" s="2">
        <v>12.13</v>
      </c>
    </row>
    <row r="2108" spans="10:16">
      <c r="J2108" s="5" t="s">
        <v>3651</v>
      </c>
      <c r="K2108" t="s">
        <v>3652</v>
      </c>
      <c r="L2108" t="s">
        <v>85</v>
      </c>
      <c r="M2108" t="s">
        <v>86</v>
      </c>
      <c r="N2108" s="2">
        <v>4.0401999999999996</v>
      </c>
      <c r="O2108" s="1">
        <v>3</v>
      </c>
      <c r="P2108" s="2">
        <v>12.1206</v>
      </c>
    </row>
    <row r="2109" spans="10:16">
      <c r="J2109" s="5" t="s">
        <v>2659</v>
      </c>
      <c r="K2109" t="s">
        <v>2660</v>
      </c>
      <c r="L2109" t="s">
        <v>31</v>
      </c>
      <c r="M2109" t="s">
        <v>1931</v>
      </c>
      <c r="N2109" s="2">
        <v>12.12</v>
      </c>
      <c r="O2109" s="1">
        <v>1</v>
      </c>
      <c r="P2109" s="2">
        <v>12.12</v>
      </c>
    </row>
    <row r="2110" spans="10:16">
      <c r="J2110" s="5" t="s">
        <v>4331</v>
      </c>
      <c r="K2110" t="s">
        <v>2313</v>
      </c>
      <c r="L2110" t="s">
        <v>219</v>
      </c>
      <c r="M2110" t="s">
        <v>86</v>
      </c>
      <c r="N2110" s="2">
        <v>4.0330000000000004</v>
      </c>
      <c r="O2110" s="1">
        <v>3</v>
      </c>
      <c r="P2110" s="2">
        <v>12.099</v>
      </c>
    </row>
    <row r="2111" spans="10:16">
      <c r="J2111" s="5" t="s">
        <v>3007</v>
      </c>
      <c r="K2111" t="s">
        <v>4360</v>
      </c>
      <c r="L2111" t="s">
        <v>436</v>
      </c>
      <c r="M2111" t="s">
        <v>86</v>
      </c>
      <c r="N2111" s="2">
        <v>1.5009999999999999</v>
      </c>
      <c r="O2111" s="1">
        <v>8</v>
      </c>
      <c r="P2111" s="2">
        <v>12.007999999999999</v>
      </c>
    </row>
    <row r="2112" spans="10:16">
      <c r="J2112" s="5" t="s">
        <v>4837</v>
      </c>
      <c r="K2112" t="s">
        <v>4838</v>
      </c>
      <c r="L2112" t="s">
        <v>85</v>
      </c>
      <c r="M2112" t="s">
        <v>86</v>
      </c>
      <c r="N2112" s="2">
        <v>0.24</v>
      </c>
      <c r="O2112" s="1">
        <v>50</v>
      </c>
      <c r="P2112" s="2">
        <v>12</v>
      </c>
    </row>
    <row r="2113" spans="10:16">
      <c r="J2113" s="5" t="s">
        <v>2555</v>
      </c>
      <c r="K2113" t="s">
        <v>2556</v>
      </c>
      <c r="L2113" t="s">
        <v>31</v>
      </c>
      <c r="M2113" t="s">
        <v>1931</v>
      </c>
      <c r="N2113" s="2">
        <v>6</v>
      </c>
      <c r="O2113" s="1">
        <v>2</v>
      </c>
      <c r="P2113" s="2">
        <v>12</v>
      </c>
    </row>
    <row r="2114" spans="10:16">
      <c r="J2114" s="5" t="s">
        <v>3963</v>
      </c>
      <c r="K2114" t="s">
        <v>3964</v>
      </c>
      <c r="L2114" t="s">
        <v>436</v>
      </c>
      <c r="M2114" t="s">
        <v>86</v>
      </c>
      <c r="N2114" s="2">
        <v>1.2</v>
      </c>
      <c r="O2114" s="1">
        <v>10</v>
      </c>
      <c r="P2114" s="2">
        <v>12</v>
      </c>
    </row>
    <row r="2115" spans="10:16">
      <c r="J2115" s="5" t="s">
        <v>2231</v>
      </c>
      <c r="K2115" t="s">
        <v>3604</v>
      </c>
      <c r="L2115" t="s">
        <v>85</v>
      </c>
      <c r="M2115" t="s">
        <v>86</v>
      </c>
      <c r="N2115" s="2">
        <v>0.443</v>
      </c>
      <c r="O2115" s="1">
        <v>27</v>
      </c>
      <c r="P2115" s="2">
        <v>11.961</v>
      </c>
    </row>
    <row r="2116" spans="10:16">
      <c r="J2116" s="5" t="s">
        <v>463</v>
      </c>
      <c r="K2116" t="s">
        <v>464</v>
      </c>
      <c r="L2116" t="s">
        <v>85</v>
      </c>
      <c r="M2116" t="s">
        <v>86</v>
      </c>
      <c r="N2116" s="2">
        <v>0.6996</v>
      </c>
      <c r="O2116" s="1">
        <v>17</v>
      </c>
      <c r="P2116" s="2">
        <v>11.8932</v>
      </c>
    </row>
    <row r="2117" spans="10:16">
      <c r="J2117" s="5" t="s">
        <v>5506</v>
      </c>
      <c r="K2117" t="s">
        <v>5507</v>
      </c>
      <c r="L2117" t="s">
        <v>85</v>
      </c>
      <c r="M2117" t="s">
        <v>86</v>
      </c>
      <c r="N2117" s="2">
        <v>1.4810000000000001</v>
      </c>
      <c r="O2117" s="1">
        <v>8</v>
      </c>
      <c r="P2117" s="2">
        <v>11.848000000000001</v>
      </c>
    </row>
    <row r="2118" spans="10:16">
      <c r="J2118" s="5" t="s">
        <v>566</v>
      </c>
      <c r="K2118" t="s">
        <v>567</v>
      </c>
      <c r="L2118" t="s">
        <v>618</v>
      </c>
      <c r="M2118" t="s">
        <v>626</v>
      </c>
      <c r="N2118" s="2">
        <v>2.9529999999999998</v>
      </c>
      <c r="O2118" s="1">
        <v>4</v>
      </c>
      <c r="P2118" s="2">
        <v>11.811999999999999</v>
      </c>
    </row>
    <row r="2119" spans="10:16">
      <c r="J2119" s="5" t="s">
        <v>4445</v>
      </c>
      <c r="K2119" t="s">
        <v>4446</v>
      </c>
      <c r="L2119" t="s">
        <v>85</v>
      </c>
      <c r="M2119" t="s">
        <v>86</v>
      </c>
      <c r="N2119" s="2">
        <v>0.97699999999999998</v>
      </c>
      <c r="O2119" s="1">
        <v>24</v>
      </c>
      <c r="P2119" s="2">
        <v>11.724</v>
      </c>
    </row>
    <row r="2120" spans="10:16">
      <c r="J2120" s="5" t="s">
        <v>3392</v>
      </c>
      <c r="K2120" t="s">
        <v>3393</v>
      </c>
      <c r="L2120" t="s">
        <v>128</v>
      </c>
      <c r="M2120" t="s">
        <v>125</v>
      </c>
      <c r="N2120" s="2">
        <v>5.8483999999999998</v>
      </c>
      <c r="O2120" s="1">
        <v>4</v>
      </c>
      <c r="P2120" s="2">
        <v>11.6968</v>
      </c>
    </row>
    <row r="2121" spans="10:16">
      <c r="J2121" s="5" t="s">
        <v>3653</v>
      </c>
      <c r="K2121" t="s">
        <v>3654</v>
      </c>
      <c r="L2121" t="s">
        <v>85</v>
      </c>
      <c r="M2121" t="s">
        <v>86</v>
      </c>
      <c r="N2121" s="2">
        <v>1.6639999999999999</v>
      </c>
      <c r="O2121" s="1">
        <v>7</v>
      </c>
      <c r="P2121" s="2">
        <v>11.648</v>
      </c>
    </row>
    <row r="2122" spans="10:16">
      <c r="J2122" s="5" t="s">
        <v>5353</v>
      </c>
      <c r="K2122" t="s">
        <v>5354</v>
      </c>
      <c r="L2122" t="s">
        <v>85</v>
      </c>
      <c r="M2122" t="s">
        <v>86</v>
      </c>
      <c r="N2122" s="2">
        <v>2.9079999999999999</v>
      </c>
      <c r="O2122" s="1">
        <v>4</v>
      </c>
      <c r="P2122" s="2">
        <v>11.632</v>
      </c>
    </row>
    <row r="2123" spans="10:16">
      <c r="J2123" s="5" t="s">
        <v>179</v>
      </c>
      <c r="K2123" t="s">
        <v>180</v>
      </c>
      <c r="L2123" t="s">
        <v>131</v>
      </c>
      <c r="M2123" t="s">
        <v>125</v>
      </c>
      <c r="N2123" s="2">
        <v>11.57</v>
      </c>
      <c r="O2123" s="1">
        <v>1</v>
      </c>
      <c r="P2123" s="2">
        <v>11.57</v>
      </c>
    </row>
    <row r="2124" spans="10:16">
      <c r="J2124" s="5" t="s">
        <v>4142</v>
      </c>
      <c r="K2124" t="s">
        <v>3289</v>
      </c>
      <c r="L2124" t="s">
        <v>85</v>
      </c>
      <c r="M2124" t="s">
        <v>86</v>
      </c>
      <c r="N2124" s="2">
        <v>2.2829999999999999</v>
      </c>
      <c r="O2124" s="1">
        <v>5</v>
      </c>
      <c r="P2124" s="2">
        <v>11.414999999999999</v>
      </c>
    </row>
    <row r="2125" spans="10:16">
      <c r="J2125" s="5" t="s">
        <v>4666</v>
      </c>
      <c r="K2125" t="s">
        <v>4667</v>
      </c>
      <c r="L2125" t="s">
        <v>85</v>
      </c>
      <c r="M2125" t="s">
        <v>86</v>
      </c>
      <c r="N2125" s="2">
        <v>1.629</v>
      </c>
      <c r="O2125" s="1">
        <v>7</v>
      </c>
      <c r="P2125" s="2">
        <v>11.403</v>
      </c>
    </row>
    <row r="2126" spans="10:16">
      <c r="J2126" s="5" t="s">
        <v>428</v>
      </c>
      <c r="K2126" t="s">
        <v>429</v>
      </c>
      <c r="L2126" t="s">
        <v>219</v>
      </c>
      <c r="M2126" t="s">
        <v>86</v>
      </c>
      <c r="N2126" s="2">
        <v>11.327999999999999</v>
      </c>
      <c r="O2126" s="1">
        <v>1</v>
      </c>
      <c r="P2126" s="2">
        <v>11.327999999999999</v>
      </c>
    </row>
    <row r="2127" spans="10:16">
      <c r="J2127" s="5" t="s">
        <v>241</v>
      </c>
      <c r="K2127" t="s">
        <v>242</v>
      </c>
      <c r="L2127" t="s">
        <v>243</v>
      </c>
      <c r="M2127" t="s">
        <v>86</v>
      </c>
      <c r="N2127" s="2">
        <v>5.63</v>
      </c>
      <c r="O2127" s="1">
        <v>2</v>
      </c>
      <c r="P2127" s="2">
        <v>11.26</v>
      </c>
    </row>
    <row r="2128" spans="10:16">
      <c r="J2128" s="5" t="s">
        <v>3829</v>
      </c>
      <c r="K2128" t="s">
        <v>3830</v>
      </c>
      <c r="L2128" t="s">
        <v>436</v>
      </c>
      <c r="M2128" t="s">
        <v>86</v>
      </c>
      <c r="N2128" s="2">
        <v>3.74</v>
      </c>
      <c r="O2128" s="1">
        <v>3</v>
      </c>
      <c r="P2128" s="2">
        <v>11.22</v>
      </c>
    </row>
    <row r="2129" spans="10:16">
      <c r="J2129" s="5" t="s">
        <v>504</v>
      </c>
      <c r="K2129" t="s">
        <v>505</v>
      </c>
      <c r="L2129" t="s">
        <v>85</v>
      </c>
      <c r="M2129" t="s">
        <v>86</v>
      </c>
      <c r="N2129" s="2">
        <v>0.46700000000000003</v>
      </c>
      <c r="O2129" s="1">
        <v>24</v>
      </c>
      <c r="P2129" s="2">
        <v>11.208</v>
      </c>
    </row>
    <row r="2130" spans="10:16">
      <c r="J2130" s="5" t="s">
        <v>3378</v>
      </c>
      <c r="K2130" t="s">
        <v>3379</v>
      </c>
      <c r="L2130" t="s">
        <v>128</v>
      </c>
      <c r="M2130" t="s">
        <v>125</v>
      </c>
      <c r="N2130" s="2">
        <v>11.2042</v>
      </c>
      <c r="O2130" s="1">
        <v>2</v>
      </c>
      <c r="P2130" s="2">
        <v>11.2042</v>
      </c>
    </row>
    <row r="2131" spans="10:16">
      <c r="J2131" s="5" t="s">
        <v>3972</v>
      </c>
      <c r="K2131" t="s">
        <v>3973</v>
      </c>
      <c r="L2131" t="s">
        <v>85</v>
      </c>
      <c r="M2131" t="s">
        <v>86</v>
      </c>
      <c r="N2131" s="2">
        <v>0.93</v>
      </c>
      <c r="O2131" s="1">
        <v>12</v>
      </c>
      <c r="P2131" s="2">
        <v>11.16</v>
      </c>
    </row>
    <row r="2132" spans="10:16">
      <c r="J2132" s="5" t="s">
        <v>2731</v>
      </c>
      <c r="K2132" t="s">
        <v>2732</v>
      </c>
      <c r="L2132" t="s">
        <v>223</v>
      </c>
      <c r="M2132" t="s">
        <v>86</v>
      </c>
      <c r="N2132" s="2">
        <v>0.55600000000000005</v>
      </c>
      <c r="O2132" s="1">
        <v>20</v>
      </c>
      <c r="P2132" s="2">
        <v>11.120000000000001</v>
      </c>
    </row>
    <row r="2133" spans="10:16">
      <c r="J2133" s="5" t="s">
        <v>4935</v>
      </c>
      <c r="K2133" t="s">
        <v>4936</v>
      </c>
      <c r="L2133" t="s">
        <v>219</v>
      </c>
      <c r="M2133" t="s">
        <v>86</v>
      </c>
      <c r="N2133" s="2">
        <v>1.8515999999999999</v>
      </c>
      <c r="O2133" s="1">
        <v>12</v>
      </c>
      <c r="P2133" s="2">
        <v>11.1096</v>
      </c>
    </row>
    <row r="2134" spans="10:16">
      <c r="J2134" s="5" t="s">
        <v>945</v>
      </c>
      <c r="K2134" t="s">
        <v>946</v>
      </c>
      <c r="L2134" t="s">
        <v>31</v>
      </c>
      <c r="M2134" t="s">
        <v>125</v>
      </c>
      <c r="N2134" s="2">
        <v>2.7629999999999999</v>
      </c>
      <c r="O2134" s="1">
        <v>4</v>
      </c>
      <c r="P2134" s="2">
        <v>11.052</v>
      </c>
    </row>
    <row r="2135" spans="10:16">
      <c r="J2135" s="5" t="s">
        <v>406</v>
      </c>
      <c r="K2135" t="s">
        <v>4263</v>
      </c>
      <c r="L2135" t="s">
        <v>243</v>
      </c>
      <c r="M2135" t="s">
        <v>86</v>
      </c>
      <c r="N2135" s="2">
        <v>2.21</v>
      </c>
      <c r="O2135" s="1">
        <v>5</v>
      </c>
      <c r="P2135" s="2">
        <v>11.05</v>
      </c>
    </row>
    <row r="2136" spans="10:16">
      <c r="J2136" s="5" t="s">
        <v>934</v>
      </c>
      <c r="K2136" t="s">
        <v>935</v>
      </c>
      <c r="L2136" t="s">
        <v>31</v>
      </c>
      <c r="M2136" t="s">
        <v>125</v>
      </c>
      <c r="N2136" s="2">
        <v>3.67</v>
      </c>
      <c r="O2136" s="1">
        <v>3</v>
      </c>
      <c r="P2136" s="2">
        <v>11.01</v>
      </c>
    </row>
    <row r="2137" spans="10:16">
      <c r="J2137" s="5" t="s">
        <v>3594</v>
      </c>
      <c r="K2137" t="s">
        <v>3595</v>
      </c>
      <c r="L2137" t="s">
        <v>85</v>
      </c>
      <c r="M2137" t="s">
        <v>86</v>
      </c>
      <c r="N2137" s="2">
        <v>0.61160000000000003</v>
      </c>
      <c r="O2137" s="1">
        <v>18</v>
      </c>
      <c r="P2137" s="2">
        <v>11.008800000000001</v>
      </c>
    </row>
    <row r="2138" spans="10:16">
      <c r="J2138" s="5" t="s">
        <v>3957</v>
      </c>
      <c r="K2138" t="s">
        <v>3958</v>
      </c>
      <c r="L2138" t="s">
        <v>85</v>
      </c>
      <c r="M2138" t="s">
        <v>86</v>
      </c>
      <c r="N2138" s="2">
        <v>0.22</v>
      </c>
      <c r="O2138" s="1">
        <v>50</v>
      </c>
      <c r="P2138" s="2">
        <v>11</v>
      </c>
    </row>
    <row r="2139" spans="10:16">
      <c r="J2139" s="5" t="s">
        <v>4058</v>
      </c>
      <c r="K2139" t="s">
        <v>4059</v>
      </c>
      <c r="L2139" t="s">
        <v>228</v>
      </c>
      <c r="M2139" t="s">
        <v>86</v>
      </c>
      <c r="N2139" s="2">
        <v>10.994</v>
      </c>
      <c r="O2139" s="1">
        <v>1</v>
      </c>
      <c r="P2139" s="2">
        <v>10.994</v>
      </c>
    </row>
    <row r="2140" spans="10:16">
      <c r="J2140" s="5" t="s">
        <v>2063</v>
      </c>
      <c r="K2140" t="s">
        <v>2064</v>
      </c>
      <c r="L2140" t="s">
        <v>31</v>
      </c>
      <c r="M2140" t="s">
        <v>125</v>
      </c>
      <c r="N2140" s="2">
        <v>10.967000000000001</v>
      </c>
      <c r="O2140" s="1">
        <v>1</v>
      </c>
      <c r="P2140" s="2">
        <v>10.967000000000001</v>
      </c>
    </row>
    <row r="2141" spans="10:16">
      <c r="J2141" s="5" t="s">
        <v>2543</v>
      </c>
      <c r="K2141" t="s">
        <v>2544</v>
      </c>
      <c r="L2141" t="s">
        <v>31</v>
      </c>
      <c r="M2141" t="s">
        <v>1931</v>
      </c>
      <c r="N2141" s="2">
        <v>2.74</v>
      </c>
      <c r="O2141" s="1">
        <v>4</v>
      </c>
      <c r="P2141" s="2">
        <v>10.96</v>
      </c>
    </row>
    <row r="2142" spans="10:16">
      <c r="J2142" s="5" t="s">
        <v>2851</v>
      </c>
      <c r="K2142" t="s">
        <v>2852</v>
      </c>
      <c r="L2142" t="s">
        <v>85</v>
      </c>
      <c r="M2142" t="s">
        <v>86</v>
      </c>
      <c r="N2142" s="2">
        <v>0.91200000000000003</v>
      </c>
      <c r="O2142" s="1">
        <v>12</v>
      </c>
      <c r="P2142" s="2">
        <v>10.944000000000001</v>
      </c>
    </row>
    <row r="2143" spans="10:16">
      <c r="J2143" s="5" t="s">
        <v>4326</v>
      </c>
      <c r="K2143" t="s">
        <v>2157</v>
      </c>
      <c r="L2143" t="s">
        <v>85</v>
      </c>
      <c r="M2143" t="s">
        <v>86</v>
      </c>
      <c r="N2143" s="2">
        <v>1.093</v>
      </c>
      <c r="O2143" s="1">
        <v>10</v>
      </c>
      <c r="P2143" s="2">
        <v>10.93</v>
      </c>
    </row>
    <row r="2144" spans="10:16">
      <c r="J2144" s="5" t="s">
        <v>645</v>
      </c>
      <c r="K2144" t="s">
        <v>646</v>
      </c>
      <c r="L2144" t="s">
        <v>31</v>
      </c>
      <c r="M2144" t="s">
        <v>1931</v>
      </c>
      <c r="N2144" s="2">
        <v>10.923999999999999</v>
      </c>
      <c r="O2144" s="1">
        <v>1</v>
      </c>
      <c r="P2144" s="2">
        <v>10.923999999999999</v>
      </c>
    </row>
    <row r="2145" spans="10:16">
      <c r="J2145" s="5" t="s">
        <v>3153</v>
      </c>
      <c r="K2145" t="s">
        <v>3154</v>
      </c>
      <c r="L2145" t="s">
        <v>98</v>
      </c>
      <c r="M2145" t="s">
        <v>86</v>
      </c>
      <c r="N2145" s="2">
        <v>1.363</v>
      </c>
      <c r="O2145" s="1">
        <v>8</v>
      </c>
      <c r="P2145" s="2">
        <v>10.904</v>
      </c>
    </row>
    <row r="2146" spans="10:16">
      <c r="J2146" s="5" t="s">
        <v>2053</v>
      </c>
      <c r="K2146" t="s">
        <v>2054</v>
      </c>
      <c r="L2146" t="s">
        <v>141</v>
      </c>
      <c r="M2146" t="s">
        <v>125</v>
      </c>
      <c r="N2146" s="2">
        <v>0.375</v>
      </c>
      <c r="O2146" s="1">
        <v>29</v>
      </c>
      <c r="P2146" s="2">
        <v>10.875</v>
      </c>
    </row>
    <row r="2147" spans="10:16">
      <c r="J2147" s="5" t="s">
        <v>5003</v>
      </c>
      <c r="K2147" t="s">
        <v>5004</v>
      </c>
      <c r="L2147" t="s">
        <v>85</v>
      </c>
      <c r="M2147" t="s">
        <v>86</v>
      </c>
      <c r="N2147" s="2">
        <v>0.29389999999999999</v>
      </c>
      <c r="O2147" s="1">
        <v>37</v>
      </c>
      <c r="P2147" s="2">
        <v>10.8743</v>
      </c>
    </row>
    <row r="2148" spans="10:16">
      <c r="J2148" s="5" t="s">
        <v>3603</v>
      </c>
      <c r="K2148" t="s">
        <v>3226</v>
      </c>
      <c r="L2148" t="s">
        <v>85</v>
      </c>
      <c r="M2148" t="s">
        <v>86</v>
      </c>
      <c r="N2148" s="2">
        <v>0.51700000000000002</v>
      </c>
      <c r="O2148" s="1">
        <v>21</v>
      </c>
      <c r="P2148" s="2">
        <v>10.857000000000001</v>
      </c>
    </row>
    <row r="2149" spans="10:16">
      <c r="J2149" s="5" t="s">
        <v>2803</v>
      </c>
      <c r="K2149" t="s">
        <v>2804</v>
      </c>
      <c r="L2149" t="s">
        <v>85</v>
      </c>
      <c r="M2149" t="s">
        <v>86</v>
      </c>
      <c r="N2149" s="2">
        <v>1.8009999999999999</v>
      </c>
      <c r="O2149" s="1">
        <v>6</v>
      </c>
      <c r="P2149" s="2">
        <v>10.805999999999999</v>
      </c>
    </row>
    <row r="2150" spans="10:16">
      <c r="J2150" s="5" t="s">
        <v>1130</v>
      </c>
      <c r="K2150" t="s">
        <v>1131</v>
      </c>
      <c r="L2150" t="s">
        <v>31</v>
      </c>
      <c r="M2150" t="s">
        <v>1931</v>
      </c>
      <c r="N2150" s="2">
        <v>3.6</v>
      </c>
      <c r="O2150" s="1">
        <v>3</v>
      </c>
      <c r="P2150" s="2">
        <v>10.8</v>
      </c>
    </row>
    <row r="2151" spans="10:16">
      <c r="J2151" s="5" t="s">
        <v>3746</v>
      </c>
      <c r="K2151" t="s">
        <v>3747</v>
      </c>
      <c r="L2151" t="s">
        <v>219</v>
      </c>
      <c r="M2151" t="s">
        <v>86</v>
      </c>
      <c r="N2151" s="2">
        <v>2.1579999999999999</v>
      </c>
      <c r="O2151" s="1">
        <v>5</v>
      </c>
      <c r="P2151" s="2">
        <v>10.79</v>
      </c>
    </row>
    <row r="2152" spans="10:16">
      <c r="J2152" s="5" t="s">
        <v>5360</v>
      </c>
      <c r="K2152" t="s">
        <v>5361</v>
      </c>
      <c r="L2152" t="s">
        <v>228</v>
      </c>
      <c r="M2152" t="s">
        <v>86</v>
      </c>
      <c r="N2152" s="2">
        <v>10.7242</v>
      </c>
      <c r="O2152" s="1">
        <v>2</v>
      </c>
      <c r="P2152" s="2">
        <v>10.7242</v>
      </c>
    </row>
    <row r="2153" spans="10:16">
      <c r="J2153" s="5" t="s">
        <v>3670</v>
      </c>
      <c r="K2153" t="s">
        <v>3671</v>
      </c>
      <c r="L2153" t="s">
        <v>85</v>
      </c>
      <c r="M2153" t="s">
        <v>86</v>
      </c>
      <c r="N2153" s="2">
        <v>2.68</v>
      </c>
      <c r="O2153" s="1">
        <v>4</v>
      </c>
      <c r="P2153" s="2">
        <v>10.72</v>
      </c>
    </row>
    <row r="2154" spans="10:16">
      <c r="J2154" s="5" t="s">
        <v>1105</v>
      </c>
      <c r="K2154" t="s">
        <v>1106</v>
      </c>
      <c r="L2154" t="s">
        <v>131</v>
      </c>
      <c r="M2154" t="s">
        <v>125</v>
      </c>
      <c r="N2154" s="2">
        <v>5.3449999999999998</v>
      </c>
      <c r="O2154" s="1">
        <v>2</v>
      </c>
      <c r="P2154" s="2">
        <v>10.69</v>
      </c>
    </row>
    <row r="2155" spans="10:16">
      <c r="J2155" s="5" t="s">
        <v>2098</v>
      </c>
      <c r="K2155" t="s">
        <v>2099</v>
      </c>
      <c r="L2155" t="s">
        <v>31</v>
      </c>
      <c r="M2155" t="s">
        <v>1931</v>
      </c>
      <c r="N2155" s="2">
        <v>5.3440000000000003</v>
      </c>
      <c r="O2155" s="1">
        <v>2</v>
      </c>
      <c r="P2155" s="2">
        <v>10.688000000000001</v>
      </c>
    </row>
    <row r="2156" spans="10:16">
      <c r="J2156" s="5" t="s">
        <v>1918</v>
      </c>
      <c r="K2156" t="s">
        <v>1919</v>
      </c>
      <c r="L2156" t="s">
        <v>31</v>
      </c>
      <c r="M2156" t="s">
        <v>1931</v>
      </c>
      <c r="N2156" s="2">
        <v>10.68</v>
      </c>
      <c r="O2156" s="1">
        <v>1</v>
      </c>
      <c r="P2156" s="2">
        <v>10.68</v>
      </c>
    </row>
    <row r="2157" spans="10:16">
      <c r="J2157" s="5" t="s">
        <v>877</v>
      </c>
      <c r="K2157" t="s">
        <v>878</v>
      </c>
      <c r="L2157" t="s">
        <v>31</v>
      </c>
      <c r="M2157" t="s">
        <v>125</v>
      </c>
      <c r="N2157" s="2">
        <v>3.55</v>
      </c>
      <c r="O2157" s="1">
        <v>3</v>
      </c>
      <c r="P2157" s="2">
        <v>10.649999999999999</v>
      </c>
    </row>
    <row r="2158" spans="10:16">
      <c r="J2158" s="5" t="s">
        <v>5422</v>
      </c>
      <c r="K2158" t="s">
        <v>5423</v>
      </c>
      <c r="L2158" t="s">
        <v>228</v>
      </c>
      <c r="M2158" t="s">
        <v>86</v>
      </c>
      <c r="N2158" s="2">
        <v>10.6256</v>
      </c>
      <c r="O2158" s="1">
        <v>2</v>
      </c>
      <c r="P2158" s="2">
        <v>10.6256</v>
      </c>
    </row>
    <row r="2159" spans="10:16">
      <c r="J2159" s="5" t="s">
        <v>2166</v>
      </c>
      <c r="K2159" t="s">
        <v>2167</v>
      </c>
      <c r="L2159" t="s">
        <v>85</v>
      </c>
      <c r="M2159" t="s">
        <v>86</v>
      </c>
      <c r="N2159" s="2">
        <v>2.6562000000000001</v>
      </c>
      <c r="O2159" s="1">
        <v>8</v>
      </c>
      <c r="P2159" s="2">
        <v>10.6248</v>
      </c>
    </row>
    <row r="2160" spans="10:16">
      <c r="J2160" s="5" t="s">
        <v>4739</v>
      </c>
      <c r="K2160" t="s">
        <v>4740</v>
      </c>
      <c r="L2160" t="s">
        <v>85</v>
      </c>
      <c r="M2160" t="s">
        <v>86</v>
      </c>
      <c r="N2160" s="2">
        <v>1.514</v>
      </c>
      <c r="O2160" s="1">
        <v>7</v>
      </c>
      <c r="P2160" s="2">
        <v>10.598000000000001</v>
      </c>
    </row>
    <row r="2161" spans="10:16">
      <c r="J2161" s="5" t="s">
        <v>2765</v>
      </c>
      <c r="K2161" t="s">
        <v>2766</v>
      </c>
      <c r="L2161" t="s">
        <v>98</v>
      </c>
      <c r="M2161" t="s">
        <v>86</v>
      </c>
      <c r="N2161" s="2">
        <v>0.47799999999999998</v>
      </c>
      <c r="O2161" s="1">
        <v>22</v>
      </c>
      <c r="P2161" s="2">
        <v>10.516</v>
      </c>
    </row>
    <row r="2162" spans="10:16">
      <c r="J2162" s="5" t="s">
        <v>3876</v>
      </c>
      <c r="K2162" t="s">
        <v>3877</v>
      </c>
      <c r="L2162" t="s">
        <v>219</v>
      </c>
      <c r="M2162" t="s">
        <v>86</v>
      </c>
      <c r="N2162" s="2">
        <v>2.1</v>
      </c>
      <c r="O2162" s="1">
        <v>5</v>
      </c>
      <c r="P2162" s="2">
        <v>10.5</v>
      </c>
    </row>
    <row r="2163" spans="10:16">
      <c r="J2163" s="5" t="s">
        <v>3063</v>
      </c>
      <c r="K2163" t="s">
        <v>3064</v>
      </c>
      <c r="L2163" t="s">
        <v>85</v>
      </c>
      <c r="M2163" t="s">
        <v>86</v>
      </c>
      <c r="N2163" s="2">
        <v>0.69899999999999995</v>
      </c>
      <c r="O2163" s="1">
        <v>15</v>
      </c>
      <c r="P2163" s="2">
        <v>10.484999999999999</v>
      </c>
    </row>
    <row r="2164" spans="10:16">
      <c r="J2164" s="5" t="s">
        <v>2960</v>
      </c>
      <c r="K2164" t="s">
        <v>2961</v>
      </c>
      <c r="L2164" t="s">
        <v>85</v>
      </c>
      <c r="M2164" t="s">
        <v>86</v>
      </c>
      <c r="N2164" s="2">
        <v>1.3029999999999999</v>
      </c>
      <c r="O2164" s="1">
        <v>8</v>
      </c>
      <c r="P2164" s="2">
        <v>10.423999999999999</v>
      </c>
    </row>
    <row r="2165" spans="10:16">
      <c r="J2165" s="5" t="s">
        <v>366</v>
      </c>
      <c r="K2165" t="s">
        <v>367</v>
      </c>
      <c r="L2165" t="s">
        <v>98</v>
      </c>
      <c r="M2165" t="s">
        <v>86</v>
      </c>
      <c r="N2165" s="2">
        <v>2.08</v>
      </c>
      <c r="O2165" s="1">
        <v>5</v>
      </c>
      <c r="P2165" s="2">
        <v>10.4</v>
      </c>
    </row>
    <row r="2166" spans="10:16">
      <c r="J2166" s="5" t="s">
        <v>4389</v>
      </c>
      <c r="K2166" t="s">
        <v>4390</v>
      </c>
      <c r="L2166" t="s">
        <v>85</v>
      </c>
      <c r="M2166" t="s">
        <v>86</v>
      </c>
      <c r="N2166" s="2">
        <v>0.61109999999999998</v>
      </c>
      <c r="O2166" s="1">
        <v>17</v>
      </c>
      <c r="P2166" s="2">
        <v>10.3887</v>
      </c>
    </row>
    <row r="2167" spans="10:16">
      <c r="J2167" s="5" t="s">
        <v>5370</v>
      </c>
      <c r="K2167" t="s">
        <v>5043</v>
      </c>
      <c r="L2167" t="s">
        <v>219</v>
      </c>
      <c r="M2167" t="s">
        <v>86</v>
      </c>
      <c r="N2167" s="2">
        <v>5.1440000000000001</v>
      </c>
      <c r="O2167" s="1">
        <v>4</v>
      </c>
      <c r="P2167" s="2">
        <v>10.288</v>
      </c>
    </row>
    <row r="2168" spans="10:16">
      <c r="J2168" s="5" t="s">
        <v>2351</v>
      </c>
      <c r="K2168" t="s">
        <v>2352</v>
      </c>
      <c r="L2168" t="s">
        <v>85</v>
      </c>
      <c r="M2168" t="s">
        <v>86</v>
      </c>
      <c r="N2168" s="2">
        <v>1.2856000000000001</v>
      </c>
      <c r="O2168" s="1">
        <v>16</v>
      </c>
      <c r="P2168" s="2">
        <v>10.284800000000001</v>
      </c>
    </row>
    <row r="2169" spans="10:16">
      <c r="J2169" s="5" t="s">
        <v>955</v>
      </c>
      <c r="K2169" t="s">
        <v>956</v>
      </c>
      <c r="L2169" t="s">
        <v>31</v>
      </c>
      <c r="M2169" t="s">
        <v>125</v>
      </c>
      <c r="N2169" s="2">
        <v>2.056</v>
      </c>
      <c r="O2169" s="1">
        <v>5</v>
      </c>
      <c r="P2169" s="2">
        <v>10.280000000000001</v>
      </c>
    </row>
    <row r="2170" spans="10:16">
      <c r="J2170" s="5" t="s">
        <v>4308</v>
      </c>
      <c r="K2170" t="s">
        <v>4309</v>
      </c>
      <c r="L2170" t="s">
        <v>85</v>
      </c>
      <c r="M2170" t="s">
        <v>86</v>
      </c>
      <c r="N2170" s="2">
        <v>10.28</v>
      </c>
      <c r="O2170" s="1">
        <v>1</v>
      </c>
      <c r="P2170" s="2">
        <v>10.28</v>
      </c>
    </row>
    <row r="2171" spans="10:16">
      <c r="J2171" s="5" t="s">
        <v>869</v>
      </c>
      <c r="K2171" t="s">
        <v>870</v>
      </c>
      <c r="L2171" t="s">
        <v>31</v>
      </c>
      <c r="M2171" t="s">
        <v>125</v>
      </c>
      <c r="N2171" s="2">
        <v>0.32</v>
      </c>
      <c r="O2171" s="1">
        <v>32</v>
      </c>
      <c r="P2171" s="2">
        <v>10.24</v>
      </c>
    </row>
    <row r="2172" spans="10:16">
      <c r="J2172" s="5" t="s">
        <v>2754</v>
      </c>
      <c r="K2172" t="s">
        <v>3572</v>
      </c>
      <c r="L2172" t="s">
        <v>219</v>
      </c>
      <c r="M2172" t="s">
        <v>86</v>
      </c>
      <c r="N2172" s="2">
        <v>1.0169999999999999</v>
      </c>
      <c r="O2172" s="1">
        <v>10</v>
      </c>
      <c r="P2172" s="2">
        <v>10.169999999999998</v>
      </c>
    </row>
    <row r="2173" spans="10:16">
      <c r="J2173" s="5" t="s">
        <v>783</v>
      </c>
      <c r="K2173" t="s">
        <v>784</v>
      </c>
      <c r="L2173" t="s">
        <v>618</v>
      </c>
      <c r="M2173" t="s">
        <v>626</v>
      </c>
      <c r="N2173" s="2">
        <v>0.9234</v>
      </c>
      <c r="O2173" s="1">
        <v>11</v>
      </c>
      <c r="P2173" s="2">
        <v>10.157399999999999</v>
      </c>
    </row>
    <row r="2174" spans="10:16">
      <c r="J2174" s="5" t="s">
        <v>426</v>
      </c>
      <c r="K2174" t="s">
        <v>427</v>
      </c>
      <c r="L2174" t="s">
        <v>85</v>
      </c>
      <c r="M2174" t="s">
        <v>86</v>
      </c>
      <c r="N2174" s="2">
        <v>1.0145</v>
      </c>
      <c r="O2174" s="1">
        <v>10</v>
      </c>
      <c r="P2174" s="2">
        <v>10.145</v>
      </c>
    </row>
    <row r="2175" spans="10:16">
      <c r="J2175" s="5" t="s">
        <v>512</v>
      </c>
      <c r="K2175" t="s">
        <v>513</v>
      </c>
      <c r="L2175" t="s">
        <v>85</v>
      </c>
      <c r="M2175" t="s">
        <v>86</v>
      </c>
      <c r="N2175" s="2">
        <v>1.2629999999999999</v>
      </c>
      <c r="O2175" s="1">
        <v>8</v>
      </c>
      <c r="P2175" s="2">
        <v>10.103999999999999</v>
      </c>
    </row>
    <row r="2176" spans="10:16">
      <c r="J2176" s="5" t="s">
        <v>2727</v>
      </c>
      <c r="K2176" t="s">
        <v>2728</v>
      </c>
      <c r="L2176" t="s">
        <v>219</v>
      </c>
      <c r="M2176" t="s">
        <v>86</v>
      </c>
      <c r="N2176" s="2">
        <v>1.01</v>
      </c>
      <c r="O2176" s="1">
        <v>10</v>
      </c>
      <c r="P2176" s="2">
        <v>10.1</v>
      </c>
    </row>
    <row r="2177" spans="10:16">
      <c r="J2177" s="5" t="s">
        <v>4136</v>
      </c>
      <c r="K2177" t="s">
        <v>4137</v>
      </c>
      <c r="L2177" t="s">
        <v>98</v>
      </c>
      <c r="M2177" t="s">
        <v>86</v>
      </c>
      <c r="N2177" s="2">
        <v>1.0089999999999999</v>
      </c>
      <c r="O2177" s="1">
        <v>10</v>
      </c>
      <c r="P2177" s="2">
        <v>10.09</v>
      </c>
    </row>
    <row r="2178" spans="10:16">
      <c r="J2178" s="5" t="s">
        <v>2605</v>
      </c>
      <c r="K2178" t="s">
        <v>2606</v>
      </c>
      <c r="L2178" t="s">
        <v>5474</v>
      </c>
      <c r="M2178" t="s">
        <v>125</v>
      </c>
      <c r="N2178" s="2">
        <v>10.06</v>
      </c>
      <c r="O2178" s="1">
        <v>1</v>
      </c>
      <c r="P2178" s="2">
        <v>10.06</v>
      </c>
    </row>
    <row r="2179" spans="10:16">
      <c r="J2179" s="5" t="s">
        <v>5368</v>
      </c>
      <c r="K2179" t="s">
        <v>5369</v>
      </c>
      <c r="L2179" t="s">
        <v>219</v>
      </c>
      <c r="M2179" t="s">
        <v>86</v>
      </c>
      <c r="N2179" s="2">
        <v>5.0279999999999996</v>
      </c>
      <c r="O2179" s="1">
        <v>2</v>
      </c>
      <c r="P2179" s="2">
        <v>10.055999999999999</v>
      </c>
    </row>
    <row r="2180" spans="10:16">
      <c r="J2180" s="5" t="s">
        <v>3992</v>
      </c>
      <c r="K2180" t="s">
        <v>3993</v>
      </c>
      <c r="L2180" t="s">
        <v>98</v>
      </c>
      <c r="M2180" t="s">
        <v>86</v>
      </c>
      <c r="N2180" s="2">
        <v>2.0099999999999998</v>
      </c>
      <c r="O2180" s="1">
        <v>5</v>
      </c>
      <c r="P2180" s="2">
        <v>10.049999999999999</v>
      </c>
    </row>
    <row r="2181" spans="10:16">
      <c r="J2181" s="5" t="s">
        <v>4490</v>
      </c>
      <c r="K2181" t="s">
        <v>3246</v>
      </c>
      <c r="L2181" t="s">
        <v>219</v>
      </c>
      <c r="M2181" t="s">
        <v>86</v>
      </c>
      <c r="N2181" s="2">
        <v>3.343</v>
      </c>
      <c r="O2181" s="1">
        <v>3</v>
      </c>
      <c r="P2181" s="2">
        <v>10.029</v>
      </c>
    </row>
    <row r="2182" spans="10:16">
      <c r="J2182" s="5" t="s">
        <v>5404</v>
      </c>
      <c r="K2182" t="s">
        <v>5405</v>
      </c>
      <c r="L2182" t="s">
        <v>85</v>
      </c>
      <c r="M2182" t="s">
        <v>86</v>
      </c>
      <c r="N2182" s="2">
        <v>9.9600000000000009</v>
      </c>
      <c r="O2182" s="1">
        <v>1</v>
      </c>
      <c r="P2182" s="2">
        <v>9.9600000000000009</v>
      </c>
    </row>
    <row r="2183" spans="10:16">
      <c r="J2183" s="5" t="s">
        <v>482</v>
      </c>
      <c r="K2183" t="s">
        <v>483</v>
      </c>
      <c r="L2183" t="s">
        <v>85</v>
      </c>
      <c r="M2183" t="s">
        <v>86</v>
      </c>
      <c r="N2183" s="2">
        <v>3.302</v>
      </c>
      <c r="O2183" s="1">
        <v>3</v>
      </c>
      <c r="P2183" s="2">
        <v>9.9060000000000006</v>
      </c>
    </row>
    <row r="2184" spans="10:16">
      <c r="J2184" s="5" t="s">
        <v>5015</v>
      </c>
      <c r="K2184" t="s">
        <v>5016</v>
      </c>
      <c r="L2184" t="s">
        <v>85</v>
      </c>
      <c r="M2184" t="s">
        <v>86</v>
      </c>
      <c r="N2184" s="2">
        <v>0.99</v>
      </c>
      <c r="O2184" s="1">
        <v>10</v>
      </c>
      <c r="P2184" s="2">
        <v>9.9</v>
      </c>
    </row>
    <row r="2185" spans="10:16">
      <c r="J2185" s="5" t="s">
        <v>528</v>
      </c>
      <c r="K2185" t="s">
        <v>529</v>
      </c>
      <c r="L2185" t="s">
        <v>219</v>
      </c>
      <c r="M2185" t="s">
        <v>86</v>
      </c>
      <c r="N2185" s="2">
        <v>1.65</v>
      </c>
      <c r="O2185" s="1">
        <v>6</v>
      </c>
      <c r="P2185" s="2">
        <v>9.8999999999999986</v>
      </c>
    </row>
    <row r="2186" spans="10:16">
      <c r="J2186" s="5" t="s">
        <v>3518</v>
      </c>
      <c r="K2186" t="s">
        <v>3519</v>
      </c>
      <c r="L2186" t="s">
        <v>219</v>
      </c>
      <c r="M2186" t="s">
        <v>86</v>
      </c>
      <c r="N2186" s="2">
        <v>1.65</v>
      </c>
      <c r="O2186" s="1">
        <v>6</v>
      </c>
      <c r="P2186" s="2">
        <v>9.8999999999999986</v>
      </c>
    </row>
    <row r="2187" spans="10:16">
      <c r="J2187" s="5" t="s">
        <v>1968</v>
      </c>
      <c r="K2187" t="s">
        <v>1969</v>
      </c>
      <c r="L2187" t="s">
        <v>31</v>
      </c>
      <c r="M2187" t="s">
        <v>1931</v>
      </c>
      <c r="N2187" s="2">
        <v>4.9400000000000004</v>
      </c>
      <c r="O2187" s="1">
        <v>2</v>
      </c>
      <c r="P2187" s="2">
        <v>9.8800000000000008</v>
      </c>
    </row>
    <row r="2188" spans="10:16">
      <c r="J2188" s="5" t="s">
        <v>4432</v>
      </c>
      <c r="K2188" t="s">
        <v>4433</v>
      </c>
      <c r="L2188" t="s">
        <v>85</v>
      </c>
      <c r="M2188" t="s">
        <v>86</v>
      </c>
      <c r="N2188" s="2">
        <v>3.2879999999999998</v>
      </c>
      <c r="O2188" s="1">
        <v>3</v>
      </c>
      <c r="P2188" s="2">
        <v>9.863999999999999</v>
      </c>
    </row>
    <row r="2189" spans="10:16">
      <c r="J2189" s="5" t="s">
        <v>3740</v>
      </c>
      <c r="K2189" t="s">
        <v>3741</v>
      </c>
      <c r="L2189" t="s">
        <v>436</v>
      </c>
      <c r="M2189" t="s">
        <v>86</v>
      </c>
      <c r="N2189" s="2">
        <v>4.93</v>
      </c>
      <c r="O2189" s="1">
        <v>2</v>
      </c>
      <c r="P2189" s="2">
        <v>9.86</v>
      </c>
    </row>
    <row r="2190" spans="10:16">
      <c r="J2190" s="5" t="s">
        <v>3961</v>
      </c>
      <c r="K2190" t="s">
        <v>3962</v>
      </c>
      <c r="L2190" t="s">
        <v>436</v>
      </c>
      <c r="M2190" t="s">
        <v>86</v>
      </c>
      <c r="N2190" s="2">
        <v>4.91</v>
      </c>
      <c r="O2190" s="1">
        <v>2</v>
      </c>
      <c r="P2190" s="2">
        <v>9.82</v>
      </c>
    </row>
    <row r="2191" spans="10:16">
      <c r="J2191" s="5" t="s">
        <v>4896</v>
      </c>
      <c r="K2191" t="s">
        <v>4897</v>
      </c>
      <c r="L2191" t="s">
        <v>219</v>
      </c>
      <c r="M2191" t="s">
        <v>86</v>
      </c>
      <c r="N2191" s="2">
        <v>0.98</v>
      </c>
      <c r="O2191" s="1">
        <v>10</v>
      </c>
      <c r="P2191" s="2">
        <v>9.8000000000000007</v>
      </c>
    </row>
    <row r="2192" spans="10:16">
      <c r="J2192" s="5" t="s">
        <v>54</v>
      </c>
      <c r="K2192" t="s">
        <v>55</v>
      </c>
      <c r="L2192" t="s">
        <v>31</v>
      </c>
      <c r="M2192" t="s">
        <v>1931</v>
      </c>
      <c r="N2192" s="2">
        <v>0.89</v>
      </c>
      <c r="O2192" s="1">
        <v>11</v>
      </c>
      <c r="P2192" s="2">
        <v>9.7900000000000009</v>
      </c>
    </row>
    <row r="2193" spans="10:16">
      <c r="J2193" s="5" t="s">
        <v>4307</v>
      </c>
      <c r="K2193" t="s">
        <v>2327</v>
      </c>
      <c r="L2193" t="s">
        <v>219</v>
      </c>
      <c r="M2193" t="s">
        <v>86</v>
      </c>
      <c r="N2193" s="2">
        <v>9.7899999999999991</v>
      </c>
      <c r="O2193" s="1">
        <v>1</v>
      </c>
      <c r="P2193" s="2">
        <v>9.7899999999999991</v>
      </c>
    </row>
    <row r="2194" spans="10:16">
      <c r="J2194" s="5" t="s">
        <v>898</v>
      </c>
      <c r="K2194" t="s">
        <v>899</v>
      </c>
      <c r="L2194" t="s">
        <v>31</v>
      </c>
      <c r="M2194" t="s">
        <v>125</v>
      </c>
      <c r="N2194" s="2">
        <v>9.76</v>
      </c>
      <c r="O2194" s="1">
        <v>1</v>
      </c>
      <c r="P2194" s="2">
        <v>9.76</v>
      </c>
    </row>
    <row r="2195" spans="10:16">
      <c r="J2195" s="5" t="s">
        <v>5376</v>
      </c>
      <c r="K2195" t="s">
        <v>4947</v>
      </c>
      <c r="L2195" t="s">
        <v>219</v>
      </c>
      <c r="M2195" t="s">
        <v>86</v>
      </c>
      <c r="N2195" s="2">
        <v>1.93</v>
      </c>
      <c r="O2195" s="1">
        <v>5</v>
      </c>
      <c r="P2195" s="2">
        <v>9.65</v>
      </c>
    </row>
    <row r="2196" spans="10:16">
      <c r="J2196" s="5" t="s">
        <v>255</v>
      </c>
      <c r="K2196" t="s">
        <v>256</v>
      </c>
      <c r="L2196" t="s">
        <v>223</v>
      </c>
      <c r="M2196" t="s">
        <v>86</v>
      </c>
      <c r="N2196" s="2">
        <v>3.21</v>
      </c>
      <c r="O2196" s="1">
        <v>3</v>
      </c>
      <c r="P2196" s="2">
        <v>9.629999999999999</v>
      </c>
    </row>
    <row r="2197" spans="10:16">
      <c r="J2197" s="5" t="s">
        <v>1737</v>
      </c>
      <c r="K2197" t="s">
        <v>1738</v>
      </c>
      <c r="L2197" t="s">
        <v>85</v>
      </c>
      <c r="M2197" t="s">
        <v>86</v>
      </c>
      <c r="N2197" s="2">
        <v>1.6</v>
      </c>
      <c r="O2197" s="1">
        <v>6</v>
      </c>
      <c r="P2197" s="2">
        <v>9.6000000000000014</v>
      </c>
    </row>
    <row r="2198" spans="10:16">
      <c r="J2198" s="5" t="s">
        <v>1751</v>
      </c>
      <c r="K2198" t="s">
        <v>1752</v>
      </c>
      <c r="L2198" t="s">
        <v>85</v>
      </c>
      <c r="M2198" t="s">
        <v>86</v>
      </c>
      <c r="N2198" s="2">
        <v>4.8</v>
      </c>
      <c r="O2198" s="1">
        <v>2</v>
      </c>
      <c r="P2198" s="2">
        <v>9.6</v>
      </c>
    </row>
    <row r="2199" spans="10:16">
      <c r="J2199" s="5" t="s">
        <v>4898</v>
      </c>
      <c r="K2199" t="s">
        <v>4899</v>
      </c>
      <c r="L2199" t="s">
        <v>85</v>
      </c>
      <c r="M2199" t="s">
        <v>86</v>
      </c>
      <c r="N2199" s="2">
        <v>0.64</v>
      </c>
      <c r="O2199" s="1">
        <v>15</v>
      </c>
      <c r="P2199" s="2">
        <v>9.6</v>
      </c>
    </row>
    <row r="2200" spans="10:16">
      <c r="J2200" s="5" t="s">
        <v>536</v>
      </c>
      <c r="K2200" t="s">
        <v>537</v>
      </c>
      <c r="L2200" t="s">
        <v>219</v>
      </c>
      <c r="M2200" t="s">
        <v>86</v>
      </c>
      <c r="N2200" s="2">
        <v>1.9121999999999999</v>
      </c>
      <c r="O2200" s="1">
        <v>10</v>
      </c>
      <c r="P2200" s="2">
        <v>9.5609999999999999</v>
      </c>
    </row>
    <row r="2201" spans="10:16">
      <c r="J2201" s="5" t="s">
        <v>1031</v>
      </c>
      <c r="K2201" t="s">
        <v>1032</v>
      </c>
      <c r="L2201" t="s">
        <v>141</v>
      </c>
      <c r="M2201" t="s">
        <v>125</v>
      </c>
      <c r="N2201" s="2">
        <v>1.5880000000000001</v>
      </c>
      <c r="O2201" s="1">
        <v>6</v>
      </c>
      <c r="P2201" s="2">
        <v>9.5280000000000005</v>
      </c>
    </row>
    <row r="2202" spans="10:16">
      <c r="J2202" s="5" t="s">
        <v>4918</v>
      </c>
      <c r="K2202" t="s">
        <v>4919</v>
      </c>
      <c r="L2202" t="s">
        <v>85</v>
      </c>
      <c r="M2202" t="s">
        <v>86</v>
      </c>
      <c r="N2202" s="2">
        <v>0.2382</v>
      </c>
      <c r="O2202" s="1">
        <v>40</v>
      </c>
      <c r="P2202" s="2">
        <v>9.5280000000000005</v>
      </c>
    </row>
    <row r="2203" spans="10:16">
      <c r="J2203" s="5" t="s">
        <v>58</v>
      </c>
      <c r="K2203" t="s">
        <v>59</v>
      </c>
      <c r="L2203" t="s">
        <v>31</v>
      </c>
      <c r="M2203" t="s">
        <v>1931</v>
      </c>
      <c r="N2203" s="2">
        <v>0.34</v>
      </c>
      <c r="O2203" s="1">
        <v>28</v>
      </c>
      <c r="P2203" s="2">
        <v>9.5200000000000014</v>
      </c>
    </row>
    <row r="2204" spans="10:16">
      <c r="J2204" s="5" t="s">
        <v>4920</v>
      </c>
      <c r="K2204" t="s">
        <v>4921</v>
      </c>
      <c r="L2204" t="s">
        <v>98</v>
      </c>
      <c r="M2204" t="s">
        <v>86</v>
      </c>
      <c r="N2204" s="2">
        <v>1.9</v>
      </c>
      <c r="O2204" s="1">
        <v>5</v>
      </c>
      <c r="P2204" s="2">
        <v>9.5</v>
      </c>
    </row>
    <row r="2205" spans="10:16">
      <c r="J2205" s="5" t="s">
        <v>918</v>
      </c>
      <c r="K2205" t="s">
        <v>919</v>
      </c>
      <c r="L2205" t="s">
        <v>31</v>
      </c>
      <c r="M2205" t="s">
        <v>125</v>
      </c>
      <c r="N2205" s="2">
        <v>3.1549999999999998</v>
      </c>
      <c r="O2205" s="1">
        <v>3</v>
      </c>
      <c r="P2205" s="2">
        <v>9.4649999999999999</v>
      </c>
    </row>
    <row r="2206" spans="10:16">
      <c r="J2206" s="5" t="s">
        <v>4972</v>
      </c>
      <c r="K2206" t="s">
        <v>4973</v>
      </c>
      <c r="L2206" t="s">
        <v>219</v>
      </c>
      <c r="M2206" t="s">
        <v>86</v>
      </c>
      <c r="N2206" s="2">
        <v>2.3652000000000002</v>
      </c>
      <c r="O2206" s="1">
        <v>8</v>
      </c>
      <c r="P2206" s="2">
        <v>9.4608000000000008</v>
      </c>
    </row>
    <row r="2207" spans="10:16">
      <c r="J2207" s="5" t="s">
        <v>2073</v>
      </c>
      <c r="K2207" t="s">
        <v>2074</v>
      </c>
      <c r="L2207" t="s">
        <v>5081</v>
      </c>
      <c r="M2207" t="s">
        <v>125</v>
      </c>
      <c r="N2207" s="2">
        <v>4.7263999999999999</v>
      </c>
      <c r="O2207" s="1">
        <v>4</v>
      </c>
      <c r="P2207" s="2">
        <v>9.4527999999999999</v>
      </c>
    </row>
    <row r="2208" spans="10:16">
      <c r="J2208" s="5" t="s">
        <v>1194</v>
      </c>
      <c r="K2208" t="s">
        <v>1195</v>
      </c>
      <c r="L2208" t="s">
        <v>31</v>
      </c>
      <c r="M2208" t="s">
        <v>1931</v>
      </c>
      <c r="N2208" s="2">
        <v>9.4499999999999993</v>
      </c>
      <c r="O2208" s="1">
        <v>1</v>
      </c>
      <c r="P2208" s="2">
        <v>9.4499999999999993</v>
      </c>
    </row>
    <row r="2209" spans="10:16">
      <c r="J2209" s="5" t="s">
        <v>2964</v>
      </c>
      <c r="K2209" t="s">
        <v>4217</v>
      </c>
      <c r="L2209" t="s">
        <v>85</v>
      </c>
      <c r="M2209" t="s">
        <v>86</v>
      </c>
      <c r="N2209" s="2">
        <v>2.36</v>
      </c>
      <c r="O2209" s="1">
        <v>4</v>
      </c>
      <c r="P2209" s="2">
        <v>9.44</v>
      </c>
    </row>
    <row r="2210" spans="10:16">
      <c r="J2210" s="5" t="s">
        <v>3568</v>
      </c>
      <c r="K2210" t="s">
        <v>3569</v>
      </c>
      <c r="L2210" t="s">
        <v>98</v>
      </c>
      <c r="M2210" t="s">
        <v>86</v>
      </c>
      <c r="N2210" s="2">
        <v>4.7051999999999996</v>
      </c>
      <c r="O2210" s="1">
        <v>4</v>
      </c>
      <c r="P2210" s="2">
        <v>9.4103999999999992</v>
      </c>
    </row>
    <row r="2211" spans="10:16">
      <c r="J2211" s="5" t="s">
        <v>177</v>
      </c>
      <c r="K2211" t="s">
        <v>178</v>
      </c>
      <c r="L2211" t="s">
        <v>131</v>
      </c>
      <c r="M2211" t="s">
        <v>125</v>
      </c>
      <c r="N2211" s="2">
        <v>9.4</v>
      </c>
      <c r="O2211" s="1">
        <v>1</v>
      </c>
      <c r="P2211" s="2">
        <v>9.4</v>
      </c>
    </row>
    <row r="2212" spans="10:16">
      <c r="J2212" s="5" t="s">
        <v>3590</v>
      </c>
      <c r="K2212" t="s">
        <v>3591</v>
      </c>
      <c r="L2212" t="s">
        <v>85</v>
      </c>
      <c r="M2212" t="s">
        <v>86</v>
      </c>
      <c r="N2212" s="2">
        <v>0.47</v>
      </c>
      <c r="O2212" s="1">
        <v>20</v>
      </c>
      <c r="P2212" s="2">
        <v>9.3999999999999986</v>
      </c>
    </row>
    <row r="2213" spans="10:16">
      <c r="J2213" s="5" t="s">
        <v>2153</v>
      </c>
      <c r="K2213" t="s">
        <v>2154</v>
      </c>
      <c r="L2213" t="s">
        <v>85</v>
      </c>
      <c r="M2213" t="s">
        <v>86</v>
      </c>
      <c r="N2213" s="2">
        <v>1.8720000000000001</v>
      </c>
      <c r="O2213" s="1">
        <v>5</v>
      </c>
      <c r="P2213" s="2">
        <v>9.3600000000000012</v>
      </c>
    </row>
    <row r="2214" spans="10:16">
      <c r="J2214" s="5" t="s">
        <v>916</v>
      </c>
      <c r="K2214" t="s">
        <v>917</v>
      </c>
      <c r="L2214" t="s">
        <v>31</v>
      </c>
      <c r="M2214" t="s">
        <v>125</v>
      </c>
      <c r="N2214" s="2">
        <v>1.337</v>
      </c>
      <c r="O2214" s="1">
        <v>7</v>
      </c>
      <c r="P2214" s="2">
        <v>9.359</v>
      </c>
    </row>
    <row r="2215" spans="10:16">
      <c r="J2215" s="5" t="s">
        <v>2139</v>
      </c>
      <c r="K2215" t="s">
        <v>2140</v>
      </c>
      <c r="L2215" t="s">
        <v>85</v>
      </c>
      <c r="M2215" t="s">
        <v>86</v>
      </c>
      <c r="N2215" s="2">
        <v>0.85060000000000002</v>
      </c>
      <c r="O2215" s="1">
        <v>22</v>
      </c>
      <c r="P2215" s="2">
        <v>9.3566000000000003</v>
      </c>
    </row>
    <row r="2216" spans="10:16">
      <c r="J2216" s="5" t="s">
        <v>2274</v>
      </c>
      <c r="K2216" t="s">
        <v>2275</v>
      </c>
      <c r="L2216" t="s">
        <v>85</v>
      </c>
      <c r="M2216" t="s">
        <v>86</v>
      </c>
      <c r="N2216" s="2">
        <v>3.1172</v>
      </c>
      <c r="O2216" s="1">
        <v>6</v>
      </c>
      <c r="P2216" s="2">
        <v>9.3515999999999995</v>
      </c>
    </row>
    <row r="2217" spans="10:16">
      <c r="J2217" s="5" t="s">
        <v>3683</v>
      </c>
      <c r="K2217" t="s">
        <v>3684</v>
      </c>
      <c r="L2217" t="s">
        <v>98</v>
      </c>
      <c r="M2217" t="s">
        <v>86</v>
      </c>
      <c r="N2217" s="2">
        <v>1.86</v>
      </c>
      <c r="O2217" s="1">
        <v>5</v>
      </c>
      <c r="P2217" s="2">
        <v>9.3000000000000007</v>
      </c>
    </row>
    <row r="2218" spans="10:16">
      <c r="J2218" s="5" t="s">
        <v>3728</v>
      </c>
      <c r="K2218" t="s">
        <v>3729</v>
      </c>
      <c r="L2218" t="s">
        <v>85</v>
      </c>
      <c r="M2218" t="s">
        <v>86</v>
      </c>
      <c r="N2218" s="2">
        <v>0.46500000000000002</v>
      </c>
      <c r="O2218" s="1">
        <v>20</v>
      </c>
      <c r="P2218" s="2">
        <v>9.3000000000000007</v>
      </c>
    </row>
    <row r="2219" spans="10:16">
      <c r="J2219" s="5" t="s">
        <v>4025</v>
      </c>
      <c r="K2219" t="s">
        <v>4026</v>
      </c>
      <c r="L2219" t="s">
        <v>98</v>
      </c>
      <c r="M2219" t="s">
        <v>86</v>
      </c>
      <c r="N2219" s="2">
        <v>0.57999999999999996</v>
      </c>
      <c r="O2219" s="1">
        <v>16</v>
      </c>
      <c r="P2219" s="2">
        <v>9.2799999999999994</v>
      </c>
    </row>
    <row r="2220" spans="10:16">
      <c r="J2220" s="5" t="s">
        <v>1723</v>
      </c>
      <c r="K2220" t="s">
        <v>1724</v>
      </c>
      <c r="L2220" t="s">
        <v>115</v>
      </c>
      <c r="M2220" t="s">
        <v>102</v>
      </c>
      <c r="N2220" s="2">
        <v>0.1</v>
      </c>
      <c r="O2220" s="1">
        <v>92</v>
      </c>
      <c r="P2220" s="2">
        <v>9.2000000000000011</v>
      </c>
    </row>
    <row r="2221" spans="10:16">
      <c r="J2221" s="5" t="s">
        <v>551</v>
      </c>
      <c r="K2221" t="s">
        <v>552</v>
      </c>
      <c r="L2221" t="s">
        <v>219</v>
      </c>
      <c r="M2221" t="s">
        <v>86</v>
      </c>
      <c r="N2221" s="2">
        <v>1.83</v>
      </c>
      <c r="O2221" s="1">
        <v>5</v>
      </c>
      <c r="P2221" s="2">
        <v>9.15</v>
      </c>
    </row>
    <row r="2222" spans="10:16">
      <c r="J2222" s="5" t="s">
        <v>553</v>
      </c>
      <c r="K2222" t="s">
        <v>554</v>
      </c>
      <c r="L2222" t="s">
        <v>219</v>
      </c>
      <c r="M2222" t="s">
        <v>86</v>
      </c>
      <c r="N2222" s="2">
        <v>1.83</v>
      </c>
      <c r="O2222" s="1">
        <v>5</v>
      </c>
      <c r="P2222" s="2">
        <v>9.15</v>
      </c>
    </row>
    <row r="2223" spans="10:16">
      <c r="J2223" s="5" t="s">
        <v>2962</v>
      </c>
      <c r="K2223" t="s">
        <v>2963</v>
      </c>
      <c r="L2223" t="s">
        <v>219</v>
      </c>
      <c r="M2223" t="s">
        <v>86</v>
      </c>
      <c r="N2223" s="2">
        <v>3.0467</v>
      </c>
      <c r="O2223" s="1">
        <v>3</v>
      </c>
      <c r="P2223" s="2">
        <v>9.1401000000000003</v>
      </c>
    </row>
    <row r="2224" spans="10:16">
      <c r="J2224" s="5" t="s">
        <v>4496</v>
      </c>
      <c r="K2224" t="s">
        <v>2354</v>
      </c>
      <c r="L2224" t="s">
        <v>85</v>
      </c>
      <c r="M2224" t="s">
        <v>86</v>
      </c>
      <c r="N2224" s="2">
        <v>9.1319999999999997</v>
      </c>
      <c r="O2224" s="1">
        <v>1</v>
      </c>
      <c r="P2224" s="2">
        <v>9.1319999999999997</v>
      </c>
    </row>
    <row r="2225" spans="10:16">
      <c r="J2225" s="5" t="s">
        <v>2168</v>
      </c>
      <c r="K2225" t="s">
        <v>2169</v>
      </c>
      <c r="L2225" t="s">
        <v>85</v>
      </c>
      <c r="M2225" t="s">
        <v>86</v>
      </c>
      <c r="N2225" s="2">
        <v>1.5209999999999999</v>
      </c>
      <c r="O2225" s="1">
        <v>6</v>
      </c>
      <c r="P2225" s="2">
        <v>9.1259999999999994</v>
      </c>
    </row>
    <row r="2226" spans="10:16">
      <c r="J2226" s="5" t="s">
        <v>4102</v>
      </c>
      <c r="K2226" t="s">
        <v>4103</v>
      </c>
      <c r="L2226" t="s">
        <v>85</v>
      </c>
      <c r="M2226" t="s">
        <v>86</v>
      </c>
      <c r="N2226" s="2">
        <v>4.5599999999999996</v>
      </c>
      <c r="O2226" s="1">
        <v>4</v>
      </c>
      <c r="P2226" s="2">
        <v>9.1199999999999992</v>
      </c>
    </row>
    <row r="2227" spans="10:16">
      <c r="J2227" s="5" t="s">
        <v>4658</v>
      </c>
      <c r="K2227" t="s">
        <v>2443</v>
      </c>
      <c r="L2227" t="s">
        <v>85</v>
      </c>
      <c r="M2227" t="s">
        <v>86</v>
      </c>
      <c r="N2227" s="2">
        <v>4.54</v>
      </c>
      <c r="O2227" s="1">
        <v>2</v>
      </c>
      <c r="P2227" s="2">
        <v>9.08</v>
      </c>
    </row>
    <row r="2228" spans="10:16">
      <c r="J2228" s="5" t="s">
        <v>235</v>
      </c>
      <c r="K2228" t="s">
        <v>236</v>
      </c>
      <c r="L2228" t="s">
        <v>219</v>
      </c>
      <c r="M2228" t="s">
        <v>86</v>
      </c>
      <c r="N2228" s="2">
        <v>4.5250000000000004</v>
      </c>
      <c r="O2228" s="1">
        <v>2</v>
      </c>
      <c r="P2228" s="2">
        <v>9.0500000000000007</v>
      </c>
    </row>
    <row r="2229" spans="10:16">
      <c r="J2229" s="5" t="s">
        <v>4356</v>
      </c>
      <c r="K2229" t="s">
        <v>4357</v>
      </c>
      <c r="L2229" t="s">
        <v>98</v>
      </c>
      <c r="M2229" t="s">
        <v>86</v>
      </c>
      <c r="N2229" s="2">
        <v>1.81</v>
      </c>
      <c r="O2229" s="1">
        <v>5</v>
      </c>
      <c r="P2229" s="2">
        <v>9.0500000000000007</v>
      </c>
    </row>
    <row r="2230" spans="10:16">
      <c r="J2230" s="5" t="s">
        <v>4444</v>
      </c>
      <c r="K2230" t="s">
        <v>2299</v>
      </c>
      <c r="L2230" t="s">
        <v>219</v>
      </c>
      <c r="M2230" t="s">
        <v>86</v>
      </c>
      <c r="N2230" s="2">
        <v>2.2519999999999998</v>
      </c>
      <c r="O2230" s="1">
        <v>4</v>
      </c>
      <c r="P2230" s="2">
        <v>9.0079999999999991</v>
      </c>
    </row>
    <row r="2231" spans="10:16">
      <c r="J2231" s="5" t="s">
        <v>1787</v>
      </c>
      <c r="K2231" t="s">
        <v>1788</v>
      </c>
      <c r="L2231" t="s">
        <v>31</v>
      </c>
      <c r="M2231" t="s">
        <v>1931</v>
      </c>
      <c r="N2231" s="2">
        <v>9</v>
      </c>
      <c r="O2231" s="1">
        <v>1</v>
      </c>
      <c r="P2231" s="2">
        <v>9</v>
      </c>
    </row>
    <row r="2232" spans="10:16">
      <c r="J2232" s="5" t="s">
        <v>3760</v>
      </c>
      <c r="K2232" t="s">
        <v>3761</v>
      </c>
      <c r="L2232" t="s">
        <v>219</v>
      </c>
      <c r="M2232" t="s">
        <v>86</v>
      </c>
      <c r="N2232" s="2">
        <v>1.5</v>
      </c>
      <c r="O2232" s="1">
        <v>6</v>
      </c>
      <c r="P2232" s="2">
        <v>9</v>
      </c>
    </row>
    <row r="2233" spans="10:16">
      <c r="J2233" s="5" t="s">
        <v>2564</v>
      </c>
      <c r="K2233" t="s">
        <v>2565</v>
      </c>
      <c r="L2233" t="s">
        <v>31</v>
      </c>
      <c r="M2233" t="s">
        <v>1931</v>
      </c>
      <c r="N2233" s="2">
        <v>1</v>
      </c>
      <c r="O2233" s="1">
        <v>9</v>
      </c>
      <c r="P2233" s="2">
        <v>9</v>
      </c>
    </row>
    <row r="2234" spans="10:16">
      <c r="J2234" s="5" t="s">
        <v>1932</v>
      </c>
      <c r="K2234" t="s">
        <v>1933</v>
      </c>
      <c r="L2234" t="s">
        <v>31</v>
      </c>
      <c r="M2234" t="s">
        <v>1931</v>
      </c>
      <c r="N2234" s="2">
        <v>9</v>
      </c>
      <c r="O2234" s="1">
        <v>1</v>
      </c>
      <c r="P2234" s="2">
        <v>9</v>
      </c>
    </row>
    <row r="2235" spans="10:16">
      <c r="J2235" s="5" t="s">
        <v>4913</v>
      </c>
      <c r="K2235" t="s">
        <v>3235</v>
      </c>
      <c r="L2235" t="s">
        <v>85</v>
      </c>
      <c r="M2235" t="s">
        <v>86</v>
      </c>
      <c r="N2235" s="2">
        <v>0.52800000000000002</v>
      </c>
      <c r="O2235" s="1">
        <v>17</v>
      </c>
      <c r="P2235" s="2">
        <v>8.9760000000000009</v>
      </c>
    </row>
    <row r="2236" spans="10:16">
      <c r="J2236" s="5" t="s">
        <v>5362</v>
      </c>
      <c r="K2236" t="s">
        <v>5363</v>
      </c>
      <c r="L2236" t="s">
        <v>228</v>
      </c>
      <c r="M2236" t="s">
        <v>86</v>
      </c>
      <c r="N2236" s="2">
        <v>8.9703999999999997</v>
      </c>
      <c r="O2236" s="1">
        <v>2</v>
      </c>
      <c r="P2236" s="2">
        <v>8.9703999999999997</v>
      </c>
    </row>
    <row r="2237" spans="10:16">
      <c r="J2237" s="5" t="s">
        <v>1807</v>
      </c>
      <c r="K2237" t="s">
        <v>1808</v>
      </c>
      <c r="L2237" t="s">
        <v>31</v>
      </c>
      <c r="M2237" t="s">
        <v>1931</v>
      </c>
      <c r="N2237" s="2">
        <v>2.99</v>
      </c>
      <c r="O2237" s="1">
        <v>3</v>
      </c>
      <c r="P2237" s="2">
        <v>8.9700000000000006</v>
      </c>
    </row>
    <row r="2238" spans="10:16">
      <c r="J2238" s="5" t="s">
        <v>2089</v>
      </c>
      <c r="K2238" t="s">
        <v>2090</v>
      </c>
      <c r="L2238" t="s">
        <v>31</v>
      </c>
      <c r="M2238" t="s">
        <v>1931</v>
      </c>
      <c r="N2238" s="2">
        <v>8.9380000000000006</v>
      </c>
      <c r="O2238" s="1">
        <v>1</v>
      </c>
      <c r="P2238" s="2">
        <v>8.9380000000000006</v>
      </c>
    </row>
    <row r="2239" spans="10:16">
      <c r="J2239" s="5" t="s">
        <v>930</v>
      </c>
      <c r="K2239" t="s">
        <v>931</v>
      </c>
      <c r="L2239" t="s">
        <v>31</v>
      </c>
      <c r="M2239" t="s">
        <v>125</v>
      </c>
      <c r="N2239" s="2">
        <v>1.778</v>
      </c>
      <c r="O2239" s="1">
        <v>5</v>
      </c>
      <c r="P2239" s="2">
        <v>8.89</v>
      </c>
    </row>
    <row r="2240" spans="10:16">
      <c r="J2240" s="5" t="s">
        <v>3516</v>
      </c>
      <c r="K2240" t="s">
        <v>3517</v>
      </c>
      <c r="L2240" t="s">
        <v>219</v>
      </c>
      <c r="M2240" t="s">
        <v>86</v>
      </c>
      <c r="N2240" s="2">
        <v>2.95</v>
      </c>
      <c r="O2240" s="1">
        <v>3</v>
      </c>
      <c r="P2240" s="2">
        <v>8.8500000000000014</v>
      </c>
    </row>
    <row r="2241" spans="10:16">
      <c r="J2241" s="5" t="s">
        <v>3947</v>
      </c>
      <c r="K2241" t="s">
        <v>3948</v>
      </c>
      <c r="L2241" t="s">
        <v>436</v>
      </c>
      <c r="M2241" t="s">
        <v>86</v>
      </c>
      <c r="N2241" s="2">
        <v>8.81</v>
      </c>
      <c r="O2241" s="1">
        <v>1</v>
      </c>
      <c r="P2241" s="2">
        <v>8.81</v>
      </c>
    </row>
    <row r="2242" spans="10:16">
      <c r="J2242" s="5" t="s">
        <v>1759</v>
      </c>
      <c r="K2242" t="s">
        <v>1760</v>
      </c>
      <c r="L2242" t="s">
        <v>31</v>
      </c>
      <c r="M2242" t="s">
        <v>1931</v>
      </c>
      <c r="N2242" s="2">
        <v>4.4000000000000004</v>
      </c>
      <c r="O2242" s="1">
        <v>2</v>
      </c>
      <c r="P2242" s="2">
        <v>8.8000000000000007</v>
      </c>
    </row>
    <row r="2243" spans="10:16">
      <c r="J2243" s="5" t="s">
        <v>1743</v>
      </c>
      <c r="K2243" t="s">
        <v>1744</v>
      </c>
      <c r="L2243" t="s">
        <v>85</v>
      </c>
      <c r="M2243" t="s">
        <v>86</v>
      </c>
      <c r="N2243" s="2">
        <v>8.8000000000000007</v>
      </c>
      <c r="O2243" s="1">
        <v>1</v>
      </c>
      <c r="P2243" s="2">
        <v>8.8000000000000007</v>
      </c>
    </row>
    <row r="2244" spans="10:16">
      <c r="J2244" s="5" t="s">
        <v>2597</v>
      </c>
      <c r="K2244" t="s">
        <v>2598</v>
      </c>
      <c r="L2244" t="s">
        <v>5474</v>
      </c>
      <c r="M2244" t="s">
        <v>125</v>
      </c>
      <c r="N2244" s="2">
        <v>2.9169999999999998</v>
      </c>
      <c r="O2244" s="1">
        <v>3</v>
      </c>
      <c r="P2244" s="2">
        <v>8.7509999999999994</v>
      </c>
    </row>
    <row r="2245" spans="10:16">
      <c r="J2245" s="5" t="s">
        <v>3126</v>
      </c>
      <c r="K2245" t="s">
        <v>3127</v>
      </c>
      <c r="L2245" t="s">
        <v>85</v>
      </c>
      <c r="M2245" t="s">
        <v>86</v>
      </c>
      <c r="N2245" s="2">
        <v>0.29139999999999999</v>
      </c>
      <c r="O2245" s="1">
        <v>30</v>
      </c>
      <c r="P2245" s="2">
        <v>8.7419999999999991</v>
      </c>
    </row>
    <row r="2246" spans="10:16">
      <c r="J2246" s="5" t="s">
        <v>1382</v>
      </c>
      <c r="K2246" t="s">
        <v>1383</v>
      </c>
      <c r="L2246" t="s">
        <v>115</v>
      </c>
      <c r="M2246" t="s">
        <v>102</v>
      </c>
      <c r="N2246" s="2">
        <v>0.112</v>
      </c>
      <c r="O2246" s="1">
        <v>78</v>
      </c>
      <c r="P2246" s="2">
        <v>8.7360000000000007</v>
      </c>
    </row>
    <row r="2247" spans="10:16">
      <c r="J2247" s="5" t="s">
        <v>4528</v>
      </c>
      <c r="K2247" t="s">
        <v>4529</v>
      </c>
      <c r="L2247" t="s">
        <v>219</v>
      </c>
      <c r="M2247" t="s">
        <v>86</v>
      </c>
      <c r="N2247" s="2">
        <v>2.173</v>
      </c>
      <c r="O2247" s="1">
        <v>4</v>
      </c>
      <c r="P2247" s="2">
        <v>8.6920000000000002</v>
      </c>
    </row>
    <row r="2248" spans="10:16">
      <c r="J2248" s="5" t="s">
        <v>1115</v>
      </c>
      <c r="K2248" t="s">
        <v>1116</v>
      </c>
      <c r="L2248" t="s">
        <v>128</v>
      </c>
      <c r="M2248" t="s">
        <v>125</v>
      </c>
      <c r="N2248" s="2">
        <v>4.335</v>
      </c>
      <c r="O2248" s="1">
        <v>2</v>
      </c>
      <c r="P2248" s="2">
        <v>8.67</v>
      </c>
    </row>
    <row r="2249" spans="10:16">
      <c r="J2249" s="5" t="s">
        <v>4315</v>
      </c>
      <c r="K2249" t="s">
        <v>2440</v>
      </c>
      <c r="L2249" t="s">
        <v>85</v>
      </c>
      <c r="M2249" t="s">
        <v>86</v>
      </c>
      <c r="N2249" s="2">
        <v>4.2549999999999999</v>
      </c>
      <c r="O2249" s="1">
        <v>2</v>
      </c>
      <c r="P2249" s="2">
        <v>8.51</v>
      </c>
    </row>
    <row r="2250" spans="10:16">
      <c r="J2250" s="5" t="s">
        <v>988</v>
      </c>
      <c r="K2250" t="s">
        <v>989</v>
      </c>
      <c r="L2250" t="s">
        <v>944</v>
      </c>
      <c r="M2250" t="s">
        <v>125</v>
      </c>
      <c r="N2250" s="2">
        <v>1.6879999999999999</v>
      </c>
      <c r="O2250" s="1">
        <v>5</v>
      </c>
      <c r="P2250" s="2">
        <v>8.44</v>
      </c>
    </row>
    <row r="2251" spans="10:16">
      <c r="J2251" s="5" t="s">
        <v>4547</v>
      </c>
      <c r="K2251" t="s">
        <v>4548</v>
      </c>
      <c r="L2251" t="s">
        <v>85</v>
      </c>
      <c r="M2251" t="s">
        <v>86</v>
      </c>
      <c r="N2251" s="2">
        <v>8.4359999999999999</v>
      </c>
      <c r="O2251" s="1">
        <v>1</v>
      </c>
      <c r="P2251" s="2">
        <v>8.4359999999999999</v>
      </c>
    </row>
    <row r="2252" spans="10:16">
      <c r="J2252" s="5" t="s">
        <v>2110</v>
      </c>
      <c r="K2252" t="s">
        <v>2111</v>
      </c>
      <c r="L2252" t="s">
        <v>85</v>
      </c>
      <c r="M2252" t="s">
        <v>86</v>
      </c>
      <c r="N2252" s="2">
        <v>0.56100000000000005</v>
      </c>
      <c r="O2252" s="1">
        <v>15</v>
      </c>
      <c r="P2252" s="2">
        <v>8.4150000000000009</v>
      </c>
    </row>
    <row r="2253" spans="10:16">
      <c r="J2253" s="5" t="s">
        <v>3144</v>
      </c>
      <c r="K2253" t="s">
        <v>3145</v>
      </c>
      <c r="L2253" t="s">
        <v>85</v>
      </c>
      <c r="M2253" t="s">
        <v>86</v>
      </c>
      <c r="N2253" s="2">
        <v>0.2392</v>
      </c>
      <c r="O2253" s="1">
        <v>35</v>
      </c>
      <c r="P2253" s="2">
        <v>8.3719999999999999</v>
      </c>
    </row>
    <row r="2254" spans="10:16">
      <c r="J2254" s="5" t="s">
        <v>244</v>
      </c>
      <c r="K2254" t="s">
        <v>245</v>
      </c>
      <c r="L2254" t="s">
        <v>223</v>
      </c>
      <c r="M2254" t="s">
        <v>86</v>
      </c>
      <c r="N2254" s="2">
        <v>4.18</v>
      </c>
      <c r="O2254" s="1">
        <v>2</v>
      </c>
      <c r="P2254" s="2">
        <v>8.36</v>
      </c>
    </row>
    <row r="2255" spans="10:16">
      <c r="J2255" s="5" t="s">
        <v>3500</v>
      </c>
      <c r="K2255" t="s">
        <v>3501</v>
      </c>
      <c r="L2255" t="s">
        <v>219</v>
      </c>
      <c r="M2255" t="s">
        <v>86</v>
      </c>
      <c r="N2255" s="2">
        <v>1.67</v>
      </c>
      <c r="O2255" s="1">
        <v>5</v>
      </c>
      <c r="P2255" s="2">
        <v>8.35</v>
      </c>
    </row>
    <row r="2256" spans="10:16">
      <c r="J2256" s="5" t="s">
        <v>555</v>
      </c>
      <c r="K2256" t="s">
        <v>5043</v>
      </c>
      <c r="L2256" t="s">
        <v>219</v>
      </c>
      <c r="M2256" t="s">
        <v>86</v>
      </c>
      <c r="N2256" s="2">
        <v>0.69240000000000002</v>
      </c>
      <c r="O2256" s="1">
        <v>24</v>
      </c>
      <c r="P2256" s="2">
        <v>8.3087999999999997</v>
      </c>
    </row>
    <row r="2257" spans="10:16">
      <c r="J2257" s="5" t="s">
        <v>3748</v>
      </c>
      <c r="K2257" t="s">
        <v>3749</v>
      </c>
      <c r="L2257" t="s">
        <v>223</v>
      </c>
      <c r="M2257" t="s">
        <v>86</v>
      </c>
      <c r="N2257" s="2">
        <v>2.7602000000000002</v>
      </c>
      <c r="O2257" s="1">
        <v>3</v>
      </c>
      <c r="P2257" s="2">
        <v>8.2805999999999997</v>
      </c>
    </row>
    <row r="2258" spans="10:16">
      <c r="J2258" s="5" t="s">
        <v>2155</v>
      </c>
      <c r="K2258" t="s">
        <v>2156</v>
      </c>
      <c r="L2258" t="s">
        <v>85</v>
      </c>
      <c r="M2258" t="s">
        <v>86</v>
      </c>
      <c r="N2258" s="2">
        <v>1.3775999999999999</v>
      </c>
      <c r="O2258" s="1">
        <v>12</v>
      </c>
      <c r="P2258" s="2">
        <v>8.2655999999999992</v>
      </c>
    </row>
    <row r="2259" spans="10:16">
      <c r="J2259" s="5" t="s">
        <v>2788</v>
      </c>
      <c r="K2259" t="s">
        <v>2789</v>
      </c>
      <c r="L2259" t="s">
        <v>85</v>
      </c>
      <c r="M2259" t="s">
        <v>86</v>
      </c>
      <c r="N2259" s="2">
        <v>1.651</v>
      </c>
      <c r="O2259" s="1">
        <v>5</v>
      </c>
      <c r="P2259" s="2">
        <v>8.2550000000000008</v>
      </c>
    </row>
    <row r="2260" spans="10:16">
      <c r="J2260" s="5" t="s">
        <v>3782</v>
      </c>
      <c r="K2260" t="s">
        <v>3783</v>
      </c>
      <c r="L2260" t="s">
        <v>85</v>
      </c>
      <c r="M2260" t="s">
        <v>86</v>
      </c>
      <c r="N2260" s="2">
        <v>0.58960000000000001</v>
      </c>
      <c r="O2260" s="1">
        <v>14</v>
      </c>
      <c r="P2260" s="2">
        <v>8.2544000000000004</v>
      </c>
    </row>
    <row r="2261" spans="10:16">
      <c r="J2261" s="5" t="s">
        <v>2393</v>
      </c>
      <c r="K2261" t="s">
        <v>2394</v>
      </c>
      <c r="L2261" t="s">
        <v>85</v>
      </c>
      <c r="M2261" t="s">
        <v>86</v>
      </c>
      <c r="N2261" s="2">
        <v>4.1246</v>
      </c>
      <c r="O2261" s="1">
        <v>4</v>
      </c>
      <c r="P2261" s="2">
        <v>8.2492000000000001</v>
      </c>
    </row>
    <row r="2262" spans="10:16">
      <c r="J2262" s="5" t="s">
        <v>316</v>
      </c>
      <c r="K2262" t="s">
        <v>317</v>
      </c>
      <c r="L2262" t="s">
        <v>98</v>
      </c>
      <c r="M2262" t="s">
        <v>86</v>
      </c>
      <c r="N2262" s="2">
        <v>8.2469999999999999</v>
      </c>
      <c r="O2262" s="1">
        <v>1</v>
      </c>
      <c r="P2262" s="2">
        <v>8.2469999999999999</v>
      </c>
    </row>
    <row r="2263" spans="10:16">
      <c r="J2263" s="5" t="s">
        <v>5000</v>
      </c>
      <c r="K2263" t="s">
        <v>3249</v>
      </c>
      <c r="L2263" t="s">
        <v>219</v>
      </c>
      <c r="M2263" t="s">
        <v>86</v>
      </c>
      <c r="N2263" s="2">
        <v>1.1759999999999999</v>
      </c>
      <c r="O2263" s="1">
        <v>7</v>
      </c>
      <c r="P2263" s="2">
        <v>8.2319999999999993</v>
      </c>
    </row>
    <row r="2264" spans="10:16">
      <c r="J2264" s="5" t="s">
        <v>2811</v>
      </c>
      <c r="K2264" t="s">
        <v>2812</v>
      </c>
      <c r="L2264" t="s">
        <v>85</v>
      </c>
      <c r="M2264" t="s">
        <v>86</v>
      </c>
      <c r="N2264" s="2">
        <v>1.6365000000000001</v>
      </c>
      <c r="O2264" s="1">
        <v>5</v>
      </c>
      <c r="P2264" s="2">
        <v>8.182500000000001</v>
      </c>
    </row>
    <row r="2265" spans="10:16">
      <c r="J2265" s="5" t="s">
        <v>5272</v>
      </c>
      <c r="K2265" t="s">
        <v>5273</v>
      </c>
      <c r="L2265" t="s">
        <v>85</v>
      </c>
      <c r="M2265" t="s">
        <v>86</v>
      </c>
      <c r="N2265" s="2">
        <v>4.0826000000000002</v>
      </c>
      <c r="O2265" s="1">
        <v>4</v>
      </c>
      <c r="P2265" s="2">
        <v>8.1652000000000005</v>
      </c>
    </row>
    <row r="2266" spans="10:16">
      <c r="J2266" s="5" t="s">
        <v>2210</v>
      </c>
      <c r="K2266" t="s">
        <v>2211</v>
      </c>
      <c r="L2266" t="s">
        <v>85</v>
      </c>
      <c r="M2266" t="s">
        <v>86</v>
      </c>
      <c r="N2266" s="2">
        <v>1.1659999999999999</v>
      </c>
      <c r="O2266" s="1">
        <v>7</v>
      </c>
      <c r="P2266" s="2">
        <v>8.161999999999999</v>
      </c>
    </row>
    <row r="2267" spans="10:16">
      <c r="J2267" s="5" t="s">
        <v>3142</v>
      </c>
      <c r="K2267" t="s">
        <v>3143</v>
      </c>
      <c r="L2267" t="s">
        <v>98</v>
      </c>
      <c r="M2267" t="s">
        <v>86</v>
      </c>
      <c r="N2267" s="2">
        <v>0.81599999999999995</v>
      </c>
      <c r="O2267" s="1">
        <v>10</v>
      </c>
      <c r="P2267" s="2">
        <v>8.16</v>
      </c>
    </row>
    <row r="2268" spans="10:16">
      <c r="J2268" s="5" t="s">
        <v>3786</v>
      </c>
      <c r="K2268" t="s">
        <v>3787</v>
      </c>
      <c r="L2268" t="s">
        <v>219</v>
      </c>
      <c r="M2268" t="s">
        <v>86</v>
      </c>
      <c r="N2268" s="2">
        <v>2.0299999999999998</v>
      </c>
      <c r="O2268" s="1">
        <v>4</v>
      </c>
      <c r="P2268" s="2">
        <v>8.1199999999999992</v>
      </c>
    </row>
    <row r="2269" spans="10:16">
      <c r="J2269" s="5" t="s">
        <v>3588</v>
      </c>
      <c r="K2269" t="s">
        <v>2116</v>
      </c>
      <c r="L2269" t="s">
        <v>85</v>
      </c>
      <c r="M2269" t="s">
        <v>86</v>
      </c>
      <c r="N2269" s="2">
        <v>0.57940000000000003</v>
      </c>
      <c r="O2269" s="1">
        <v>14</v>
      </c>
      <c r="P2269" s="2">
        <v>8.111600000000001</v>
      </c>
    </row>
    <row r="2270" spans="10:16">
      <c r="J2270" s="5" t="s">
        <v>4138</v>
      </c>
      <c r="K2270" t="s">
        <v>4137</v>
      </c>
      <c r="L2270" t="s">
        <v>98</v>
      </c>
      <c r="M2270" t="s">
        <v>86</v>
      </c>
      <c r="N2270" s="2">
        <v>0.80700000000000005</v>
      </c>
      <c r="O2270" s="1">
        <v>10</v>
      </c>
      <c r="P2270" s="2">
        <v>8.07</v>
      </c>
    </row>
    <row r="2271" spans="10:16">
      <c r="J2271" s="5" t="s">
        <v>2176</v>
      </c>
      <c r="K2271" t="s">
        <v>2177</v>
      </c>
      <c r="L2271" t="s">
        <v>85</v>
      </c>
      <c r="M2271" t="s">
        <v>86</v>
      </c>
      <c r="N2271" s="2">
        <v>1.6080000000000001</v>
      </c>
      <c r="O2271" s="1">
        <v>5</v>
      </c>
      <c r="P2271" s="2">
        <v>8.0400000000000009</v>
      </c>
    </row>
    <row r="2272" spans="10:16">
      <c r="J2272" s="5" t="s">
        <v>76</v>
      </c>
      <c r="K2272" t="s">
        <v>77</v>
      </c>
      <c r="L2272" t="s">
        <v>31</v>
      </c>
      <c r="M2272" t="s">
        <v>1931</v>
      </c>
      <c r="N2272" s="2">
        <v>0.36499999999999999</v>
      </c>
      <c r="O2272" s="1">
        <v>22</v>
      </c>
      <c r="P2272" s="2">
        <v>8.0299999999999994</v>
      </c>
    </row>
    <row r="2273" spans="10:16">
      <c r="J2273" s="5" t="s">
        <v>1009</v>
      </c>
      <c r="K2273" t="s">
        <v>1010</v>
      </c>
      <c r="L2273" t="s">
        <v>31</v>
      </c>
      <c r="M2273" t="s">
        <v>1931</v>
      </c>
      <c r="N2273" s="2">
        <v>0.89</v>
      </c>
      <c r="O2273" s="1">
        <v>9</v>
      </c>
      <c r="P2273" s="2">
        <v>8.01</v>
      </c>
    </row>
    <row r="2274" spans="10:16">
      <c r="J2274" s="5" t="s">
        <v>1954</v>
      </c>
      <c r="K2274" t="s">
        <v>1955</v>
      </c>
      <c r="L2274" t="s">
        <v>31</v>
      </c>
      <c r="M2274" t="s">
        <v>125</v>
      </c>
      <c r="N2274" s="2">
        <v>8</v>
      </c>
      <c r="O2274" s="1">
        <v>1</v>
      </c>
      <c r="P2274" s="2">
        <v>8</v>
      </c>
    </row>
    <row r="2275" spans="10:16">
      <c r="J2275" s="5" t="s">
        <v>1956</v>
      </c>
      <c r="K2275" t="s">
        <v>1957</v>
      </c>
      <c r="L2275" t="s">
        <v>31</v>
      </c>
      <c r="M2275" t="s">
        <v>125</v>
      </c>
      <c r="N2275" s="2">
        <v>8</v>
      </c>
      <c r="O2275" s="1">
        <v>1</v>
      </c>
      <c r="P2275" s="2">
        <v>8</v>
      </c>
    </row>
    <row r="2276" spans="10:16">
      <c r="J2276" s="5" t="s">
        <v>1960</v>
      </c>
      <c r="K2276" t="s">
        <v>1961</v>
      </c>
      <c r="L2276" t="s">
        <v>31</v>
      </c>
      <c r="M2276" t="s">
        <v>125</v>
      </c>
      <c r="N2276" s="2">
        <v>8</v>
      </c>
      <c r="O2276" s="1">
        <v>1</v>
      </c>
      <c r="P2276" s="2">
        <v>8</v>
      </c>
    </row>
    <row r="2277" spans="10:16">
      <c r="J2277" s="5" t="s">
        <v>2117</v>
      </c>
      <c r="K2277" t="s">
        <v>234</v>
      </c>
      <c r="L2277" t="s">
        <v>85</v>
      </c>
      <c r="M2277" t="s">
        <v>86</v>
      </c>
      <c r="N2277" s="2">
        <v>1.3320000000000001</v>
      </c>
      <c r="O2277" s="1">
        <v>6</v>
      </c>
      <c r="P2277" s="2">
        <v>7.9920000000000009</v>
      </c>
    </row>
    <row r="2278" spans="10:16">
      <c r="J2278" s="5" t="s">
        <v>902</v>
      </c>
      <c r="K2278" t="s">
        <v>903</v>
      </c>
      <c r="L2278" t="s">
        <v>31</v>
      </c>
      <c r="M2278" t="s">
        <v>125</v>
      </c>
      <c r="N2278" s="2">
        <v>0.79400000000000004</v>
      </c>
      <c r="O2278" s="1">
        <v>10</v>
      </c>
      <c r="P2278" s="2">
        <v>7.94</v>
      </c>
    </row>
    <row r="2279" spans="10:16">
      <c r="J2279" s="5" t="s">
        <v>2523</v>
      </c>
      <c r="K2279" t="s">
        <v>2524</v>
      </c>
      <c r="L2279" t="s">
        <v>85</v>
      </c>
      <c r="M2279" t="s">
        <v>86</v>
      </c>
      <c r="N2279" s="2">
        <v>7.92</v>
      </c>
      <c r="O2279" s="1">
        <v>1</v>
      </c>
      <c r="P2279" s="2">
        <v>7.92</v>
      </c>
    </row>
    <row r="2280" spans="10:16">
      <c r="J2280" s="5" t="s">
        <v>4535</v>
      </c>
      <c r="K2280" t="s">
        <v>4536</v>
      </c>
      <c r="L2280" t="s">
        <v>219</v>
      </c>
      <c r="M2280" t="s">
        <v>86</v>
      </c>
      <c r="N2280" s="2">
        <v>1.98</v>
      </c>
      <c r="O2280" s="1">
        <v>4</v>
      </c>
      <c r="P2280" s="2">
        <v>7.92</v>
      </c>
    </row>
    <row r="2281" spans="10:16">
      <c r="J2281" s="5" t="s">
        <v>3657</v>
      </c>
      <c r="K2281" t="s">
        <v>3658</v>
      </c>
      <c r="L2281" t="s">
        <v>219</v>
      </c>
      <c r="M2281" t="s">
        <v>86</v>
      </c>
      <c r="N2281" s="2">
        <v>3.96</v>
      </c>
      <c r="O2281" s="1">
        <v>2</v>
      </c>
      <c r="P2281" s="2">
        <v>7.92</v>
      </c>
    </row>
    <row r="2282" spans="10:16">
      <c r="J2282" s="5" t="s">
        <v>2882</v>
      </c>
      <c r="K2282" t="s">
        <v>2883</v>
      </c>
      <c r="L2282" t="s">
        <v>85</v>
      </c>
      <c r="M2282" t="s">
        <v>86</v>
      </c>
      <c r="N2282" s="2">
        <v>1.583</v>
      </c>
      <c r="O2282" s="1">
        <v>5</v>
      </c>
      <c r="P2282" s="2">
        <v>7.915</v>
      </c>
    </row>
    <row r="2283" spans="10:16">
      <c r="J2283" s="5" t="s">
        <v>538</v>
      </c>
      <c r="K2283" t="s">
        <v>4965</v>
      </c>
      <c r="L2283" t="s">
        <v>85</v>
      </c>
      <c r="M2283" t="s">
        <v>86</v>
      </c>
      <c r="N2283" s="2">
        <v>0.87629999999999997</v>
      </c>
      <c r="O2283" s="1">
        <v>9</v>
      </c>
      <c r="P2283" s="2">
        <v>7.8866999999999994</v>
      </c>
    </row>
    <row r="2284" spans="10:16">
      <c r="J2284" s="5" t="s">
        <v>268</v>
      </c>
      <c r="K2284" t="s">
        <v>3897</v>
      </c>
      <c r="L2284" t="s">
        <v>219</v>
      </c>
      <c r="M2284" t="s">
        <v>86</v>
      </c>
      <c r="N2284" s="2">
        <v>7.84</v>
      </c>
      <c r="O2284" s="1">
        <v>1</v>
      </c>
      <c r="P2284" s="2">
        <v>7.84</v>
      </c>
    </row>
    <row r="2285" spans="10:16">
      <c r="J2285" s="5" t="s">
        <v>556</v>
      </c>
      <c r="K2285" t="s">
        <v>5052</v>
      </c>
      <c r="L2285" t="s">
        <v>3819</v>
      </c>
      <c r="M2285" t="s">
        <v>86</v>
      </c>
      <c r="N2285" s="2">
        <v>2.6034000000000002</v>
      </c>
      <c r="O2285" s="1">
        <v>6</v>
      </c>
      <c r="P2285" s="2">
        <v>7.8102</v>
      </c>
    </row>
    <row r="2286" spans="10:16">
      <c r="J2286" s="5" t="s">
        <v>3609</v>
      </c>
      <c r="K2286" t="s">
        <v>3610</v>
      </c>
      <c r="L2286" t="s">
        <v>85</v>
      </c>
      <c r="M2286" t="s">
        <v>86</v>
      </c>
      <c r="N2286" s="2">
        <v>0.6</v>
      </c>
      <c r="O2286" s="1">
        <v>13</v>
      </c>
      <c r="P2286" s="2">
        <v>7.8</v>
      </c>
    </row>
    <row r="2287" spans="10:16">
      <c r="J2287" s="5" t="s">
        <v>2395</v>
      </c>
      <c r="K2287" t="s">
        <v>2396</v>
      </c>
      <c r="L2287" t="s">
        <v>85</v>
      </c>
      <c r="M2287" t="s">
        <v>86</v>
      </c>
      <c r="N2287" s="2">
        <v>1.9394</v>
      </c>
      <c r="O2287" s="1">
        <v>8</v>
      </c>
      <c r="P2287" s="2">
        <v>7.7576000000000001</v>
      </c>
    </row>
    <row r="2288" spans="10:16">
      <c r="J2288" s="5" t="s">
        <v>4218</v>
      </c>
      <c r="K2288" t="s">
        <v>2491</v>
      </c>
      <c r="L2288" t="s">
        <v>85</v>
      </c>
      <c r="M2288" t="s">
        <v>86</v>
      </c>
      <c r="N2288" s="2">
        <v>3.8580000000000001</v>
      </c>
      <c r="O2288" s="1">
        <v>2</v>
      </c>
      <c r="P2288" s="2">
        <v>7.7160000000000002</v>
      </c>
    </row>
    <row r="2289" spans="10:16">
      <c r="J2289" s="5" t="s">
        <v>2358</v>
      </c>
      <c r="K2289" t="s">
        <v>2359</v>
      </c>
      <c r="L2289" t="s">
        <v>98</v>
      </c>
      <c r="M2289" t="s">
        <v>86</v>
      </c>
      <c r="N2289" s="2">
        <v>3.83</v>
      </c>
      <c r="O2289" s="1">
        <v>2</v>
      </c>
      <c r="P2289" s="2">
        <v>7.66</v>
      </c>
    </row>
    <row r="2290" spans="10:16">
      <c r="J2290" s="5" t="s">
        <v>4782</v>
      </c>
      <c r="K2290" t="s">
        <v>4309</v>
      </c>
      <c r="L2290" t="s">
        <v>85</v>
      </c>
      <c r="M2290" t="s">
        <v>86</v>
      </c>
      <c r="N2290" s="2">
        <v>7.64</v>
      </c>
      <c r="O2290" s="1">
        <v>1</v>
      </c>
      <c r="P2290" s="2">
        <v>7.64</v>
      </c>
    </row>
    <row r="2291" spans="10:16">
      <c r="J2291" s="5" t="s">
        <v>3866</v>
      </c>
      <c r="K2291" t="s">
        <v>3867</v>
      </c>
      <c r="L2291" t="s">
        <v>219</v>
      </c>
      <c r="M2291" t="s">
        <v>86</v>
      </c>
      <c r="N2291" s="2">
        <v>0.76</v>
      </c>
      <c r="O2291" s="1">
        <v>10</v>
      </c>
      <c r="P2291" s="2">
        <v>7.6</v>
      </c>
    </row>
    <row r="2292" spans="10:16">
      <c r="J2292" s="5" t="s">
        <v>3666</v>
      </c>
      <c r="K2292" t="s">
        <v>3667</v>
      </c>
      <c r="L2292" t="s">
        <v>85</v>
      </c>
      <c r="M2292" t="s">
        <v>86</v>
      </c>
      <c r="N2292" s="2">
        <v>0.38</v>
      </c>
      <c r="O2292" s="1">
        <v>20</v>
      </c>
      <c r="P2292" s="2">
        <v>7.6</v>
      </c>
    </row>
    <row r="2293" spans="10:16">
      <c r="J2293" s="5" t="s">
        <v>5355</v>
      </c>
      <c r="K2293" t="s">
        <v>5356</v>
      </c>
      <c r="L2293" t="s">
        <v>85</v>
      </c>
      <c r="M2293" t="s">
        <v>86</v>
      </c>
      <c r="N2293" s="2">
        <v>7.5449999999999999</v>
      </c>
      <c r="O2293" s="1">
        <v>1</v>
      </c>
      <c r="P2293" s="2">
        <v>7.5449999999999999</v>
      </c>
    </row>
    <row r="2294" spans="10:16">
      <c r="J2294" s="5" t="s">
        <v>2655</v>
      </c>
      <c r="K2294" t="s">
        <v>2656</v>
      </c>
      <c r="L2294" t="s">
        <v>31</v>
      </c>
      <c r="M2294" t="s">
        <v>1931</v>
      </c>
      <c r="N2294" s="2">
        <v>1.88</v>
      </c>
      <c r="O2294" s="1">
        <v>4</v>
      </c>
      <c r="P2294" s="2">
        <v>7.52</v>
      </c>
    </row>
    <row r="2295" spans="10:16">
      <c r="J2295" s="5" t="s">
        <v>1441</v>
      </c>
      <c r="K2295" t="s">
        <v>1442</v>
      </c>
      <c r="L2295" t="s">
        <v>115</v>
      </c>
      <c r="M2295" t="s">
        <v>102</v>
      </c>
      <c r="N2295" s="2">
        <v>0.15</v>
      </c>
      <c r="O2295" s="1">
        <v>50</v>
      </c>
      <c r="P2295" s="2">
        <v>7.5</v>
      </c>
    </row>
    <row r="2296" spans="10:16">
      <c r="J2296" s="5" t="s">
        <v>641</v>
      </c>
      <c r="K2296" t="s">
        <v>642</v>
      </c>
      <c r="L2296" t="s">
        <v>31</v>
      </c>
      <c r="M2296" t="s">
        <v>1931</v>
      </c>
      <c r="N2296" s="2">
        <v>7.4610000000000003</v>
      </c>
      <c r="O2296" s="1">
        <v>1</v>
      </c>
      <c r="P2296" s="2">
        <v>7.4610000000000003</v>
      </c>
    </row>
    <row r="2297" spans="10:16">
      <c r="J2297" s="5" t="s">
        <v>137</v>
      </c>
      <c r="K2297" t="s">
        <v>138</v>
      </c>
      <c r="L2297" t="s">
        <v>128</v>
      </c>
      <c r="M2297" t="s">
        <v>125</v>
      </c>
      <c r="N2297" s="2">
        <v>7.44</v>
      </c>
      <c r="O2297" s="1">
        <v>1</v>
      </c>
      <c r="P2297" s="2">
        <v>7.44</v>
      </c>
    </row>
    <row r="2298" spans="10:16">
      <c r="J2298" s="5" t="s">
        <v>920</v>
      </c>
      <c r="K2298" t="s">
        <v>921</v>
      </c>
      <c r="L2298" t="s">
        <v>31</v>
      </c>
      <c r="M2298" t="s">
        <v>125</v>
      </c>
      <c r="N2298" s="2">
        <v>0.74299999999999999</v>
      </c>
      <c r="O2298" s="1">
        <v>10</v>
      </c>
      <c r="P2298" s="2">
        <v>7.43</v>
      </c>
    </row>
    <row r="2299" spans="10:16">
      <c r="J2299" s="5" t="s">
        <v>4907</v>
      </c>
      <c r="K2299" t="s">
        <v>4908</v>
      </c>
      <c r="L2299" t="s">
        <v>219</v>
      </c>
      <c r="M2299" t="s">
        <v>86</v>
      </c>
      <c r="N2299" s="2">
        <v>1.48</v>
      </c>
      <c r="O2299" s="1">
        <v>5</v>
      </c>
      <c r="P2299" s="2">
        <v>7.4</v>
      </c>
    </row>
    <row r="2300" spans="10:16">
      <c r="J2300" s="5" t="s">
        <v>3696</v>
      </c>
      <c r="K2300" t="s">
        <v>3697</v>
      </c>
      <c r="L2300" t="s">
        <v>85</v>
      </c>
      <c r="M2300" t="s">
        <v>86</v>
      </c>
      <c r="N2300" s="2">
        <v>0.37</v>
      </c>
      <c r="O2300" s="1">
        <v>20</v>
      </c>
      <c r="P2300" s="2">
        <v>7.4</v>
      </c>
    </row>
    <row r="2301" spans="10:16">
      <c r="J2301" s="5" t="s">
        <v>4428</v>
      </c>
      <c r="K2301" t="s">
        <v>4429</v>
      </c>
      <c r="L2301" t="s">
        <v>219</v>
      </c>
      <c r="M2301" t="s">
        <v>86</v>
      </c>
      <c r="N2301" s="2">
        <v>3.68</v>
      </c>
      <c r="O2301" s="1">
        <v>2</v>
      </c>
      <c r="P2301" s="2">
        <v>7.36</v>
      </c>
    </row>
    <row r="2302" spans="10:16">
      <c r="J2302" s="5" t="s">
        <v>4367</v>
      </c>
      <c r="K2302" t="s">
        <v>2326</v>
      </c>
      <c r="L2302" t="s">
        <v>219</v>
      </c>
      <c r="M2302" t="s">
        <v>86</v>
      </c>
      <c r="N2302" s="2">
        <v>1.84</v>
      </c>
      <c r="O2302" s="1">
        <v>4</v>
      </c>
      <c r="P2302" s="2">
        <v>7.36</v>
      </c>
    </row>
    <row r="2303" spans="10:16">
      <c r="J2303" s="5" t="s">
        <v>4334</v>
      </c>
      <c r="K2303" t="s">
        <v>4335</v>
      </c>
      <c r="L2303" t="s">
        <v>219</v>
      </c>
      <c r="M2303" t="s">
        <v>86</v>
      </c>
      <c r="N2303" s="2">
        <v>2.4500000000000002</v>
      </c>
      <c r="O2303" s="1">
        <v>3</v>
      </c>
      <c r="P2303" s="2">
        <v>7.3500000000000005</v>
      </c>
    </row>
    <row r="2304" spans="10:16">
      <c r="J2304" s="5" t="s">
        <v>3628</v>
      </c>
      <c r="K2304" t="s">
        <v>3629</v>
      </c>
      <c r="L2304" t="s">
        <v>219</v>
      </c>
      <c r="M2304" t="s">
        <v>86</v>
      </c>
      <c r="N2304" s="2">
        <v>3.66</v>
      </c>
      <c r="O2304" s="1">
        <v>2</v>
      </c>
      <c r="P2304" s="2">
        <v>7.32</v>
      </c>
    </row>
    <row r="2305" spans="10:16">
      <c r="J2305" s="5" t="s">
        <v>1493</v>
      </c>
      <c r="K2305" t="s">
        <v>1494</v>
      </c>
      <c r="L2305" t="s">
        <v>115</v>
      </c>
      <c r="M2305" t="s">
        <v>102</v>
      </c>
      <c r="N2305" s="2">
        <v>0.152</v>
      </c>
      <c r="O2305" s="1">
        <v>48</v>
      </c>
      <c r="P2305" s="2">
        <v>7.2959999999999994</v>
      </c>
    </row>
    <row r="2306" spans="10:16">
      <c r="J2306" s="5" t="s">
        <v>2227</v>
      </c>
      <c r="K2306" t="s">
        <v>2228</v>
      </c>
      <c r="L2306" t="s">
        <v>85</v>
      </c>
      <c r="M2306" t="s">
        <v>86</v>
      </c>
      <c r="N2306" s="2">
        <v>1.8160000000000001</v>
      </c>
      <c r="O2306" s="1">
        <v>4</v>
      </c>
      <c r="P2306" s="2">
        <v>7.2640000000000002</v>
      </c>
    </row>
    <row r="2307" spans="10:16">
      <c r="J2307" s="5" t="s">
        <v>5387</v>
      </c>
      <c r="K2307" t="s">
        <v>5388</v>
      </c>
      <c r="L2307" t="s">
        <v>85</v>
      </c>
      <c r="M2307" t="s">
        <v>86</v>
      </c>
      <c r="N2307" s="2">
        <v>3.6088</v>
      </c>
      <c r="O2307" s="1">
        <v>4</v>
      </c>
      <c r="P2307" s="2">
        <v>7.2176</v>
      </c>
    </row>
    <row r="2308" spans="10:16">
      <c r="J2308" s="5" t="s">
        <v>2847</v>
      </c>
      <c r="K2308" t="s">
        <v>2848</v>
      </c>
      <c r="L2308" t="s">
        <v>85</v>
      </c>
      <c r="M2308" t="s">
        <v>86</v>
      </c>
      <c r="N2308" s="2">
        <v>0.59399999999999997</v>
      </c>
      <c r="O2308" s="1">
        <v>12</v>
      </c>
      <c r="P2308" s="2">
        <v>7.1280000000000001</v>
      </c>
    </row>
    <row r="2309" spans="10:16">
      <c r="J2309" s="5" t="s">
        <v>2403</v>
      </c>
      <c r="K2309" t="s">
        <v>2404</v>
      </c>
      <c r="L2309" t="s">
        <v>85</v>
      </c>
      <c r="M2309" t="s">
        <v>86</v>
      </c>
      <c r="N2309" s="2">
        <v>1.7716000000000001</v>
      </c>
      <c r="O2309" s="1">
        <v>8</v>
      </c>
      <c r="P2309" s="2">
        <v>7.0864000000000003</v>
      </c>
    </row>
    <row r="2310" spans="10:16">
      <c r="J2310" s="5" t="s">
        <v>3159</v>
      </c>
      <c r="K2310" t="s">
        <v>5033</v>
      </c>
      <c r="L2310" t="s">
        <v>85</v>
      </c>
      <c r="M2310" t="s">
        <v>86</v>
      </c>
      <c r="N2310" s="2">
        <v>7.05</v>
      </c>
      <c r="O2310" s="1">
        <v>1</v>
      </c>
      <c r="P2310" s="2">
        <v>7.05</v>
      </c>
    </row>
    <row r="2311" spans="10:16">
      <c r="J2311" s="5" t="s">
        <v>5452</v>
      </c>
      <c r="K2311" t="s">
        <v>5453</v>
      </c>
      <c r="L2311" t="s">
        <v>85</v>
      </c>
      <c r="M2311" t="s">
        <v>86</v>
      </c>
      <c r="N2311" s="2">
        <v>7.02</v>
      </c>
      <c r="O2311" s="1">
        <v>1</v>
      </c>
      <c r="P2311" s="2">
        <v>7.02</v>
      </c>
    </row>
    <row r="2312" spans="10:16">
      <c r="J2312" s="5" t="s">
        <v>3898</v>
      </c>
      <c r="K2312" t="s">
        <v>3899</v>
      </c>
      <c r="L2312" t="s">
        <v>98</v>
      </c>
      <c r="M2312" t="s">
        <v>86</v>
      </c>
      <c r="N2312" s="2">
        <v>0.7</v>
      </c>
      <c r="O2312" s="1">
        <v>10</v>
      </c>
      <c r="P2312" s="2">
        <v>7</v>
      </c>
    </row>
    <row r="2313" spans="10:16">
      <c r="J2313" s="5" t="s">
        <v>659</v>
      </c>
      <c r="K2313" t="s">
        <v>660</v>
      </c>
      <c r="L2313" t="s">
        <v>208</v>
      </c>
      <c r="M2313" t="s">
        <v>125</v>
      </c>
      <c r="N2313" s="2">
        <v>7</v>
      </c>
      <c r="O2313" s="1">
        <v>1</v>
      </c>
      <c r="P2313" s="2">
        <v>7</v>
      </c>
    </row>
    <row r="2314" spans="10:16">
      <c r="J2314" s="5" t="s">
        <v>661</v>
      </c>
      <c r="K2314" t="s">
        <v>662</v>
      </c>
      <c r="L2314" t="s">
        <v>208</v>
      </c>
      <c r="M2314" t="s">
        <v>125</v>
      </c>
      <c r="N2314" s="2">
        <v>7</v>
      </c>
      <c r="O2314" s="1">
        <v>1</v>
      </c>
      <c r="P2314" s="2">
        <v>7</v>
      </c>
    </row>
    <row r="2315" spans="10:16">
      <c r="J2315" s="5" t="s">
        <v>1950</v>
      </c>
      <c r="K2315" t="s">
        <v>1951</v>
      </c>
      <c r="L2315" t="s">
        <v>31</v>
      </c>
      <c r="M2315" t="s">
        <v>125</v>
      </c>
      <c r="N2315" s="2">
        <v>7</v>
      </c>
      <c r="O2315" s="1">
        <v>1</v>
      </c>
      <c r="P2315" s="2">
        <v>7</v>
      </c>
    </row>
    <row r="2316" spans="10:16">
      <c r="J2316" s="5" t="s">
        <v>663</v>
      </c>
      <c r="K2316" t="s">
        <v>664</v>
      </c>
      <c r="L2316" t="s">
        <v>208</v>
      </c>
      <c r="M2316" t="s">
        <v>125</v>
      </c>
      <c r="N2316" s="2">
        <v>7</v>
      </c>
      <c r="O2316" s="1">
        <v>1</v>
      </c>
      <c r="P2316" s="2">
        <v>7</v>
      </c>
    </row>
    <row r="2317" spans="10:16">
      <c r="J2317" s="5" t="s">
        <v>3803</v>
      </c>
      <c r="K2317" t="s">
        <v>3804</v>
      </c>
      <c r="L2317" t="s">
        <v>219</v>
      </c>
      <c r="M2317" t="s">
        <v>86</v>
      </c>
      <c r="N2317" s="2">
        <v>1.4</v>
      </c>
      <c r="O2317" s="1">
        <v>5</v>
      </c>
      <c r="P2317" s="2">
        <v>7</v>
      </c>
    </row>
    <row r="2318" spans="10:16">
      <c r="J2318" s="5" t="s">
        <v>2180</v>
      </c>
      <c r="K2318" t="s">
        <v>2181</v>
      </c>
      <c r="L2318" t="s">
        <v>85</v>
      </c>
      <c r="M2318" t="s">
        <v>86</v>
      </c>
      <c r="N2318" s="2">
        <v>0.77700000000000002</v>
      </c>
      <c r="O2318" s="1">
        <v>9</v>
      </c>
      <c r="P2318" s="2">
        <v>6.9930000000000003</v>
      </c>
    </row>
    <row r="2319" spans="10:16">
      <c r="J2319" s="5" t="s">
        <v>4310</v>
      </c>
      <c r="K2319" t="s">
        <v>4311</v>
      </c>
      <c r="L2319" t="s">
        <v>85</v>
      </c>
      <c r="M2319" t="s">
        <v>86</v>
      </c>
      <c r="N2319" s="2">
        <v>6.98</v>
      </c>
      <c r="O2319" s="1">
        <v>1</v>
      </c>
      <c r="P2319" s="2">
        <v>6.98</v>
      </c>
    </row>
    <row r="2320" spans="10:16">
      <c r="J2320" s="5" t="s">
        <v>4677</v>
      </c>
      <c r="K2320" t="s">
        <v>4678</v>
      </c>
      <c r="L2320" t="s">
        <v>436</v>
      </c>
      <c r="M2320" t="s">
        <v>86</v>
      </c>
      <c r="N2320" s="2">
        <v>3.48</v>
      </c>
      <c r="O2320" s="1">
        <v>2</v>
      </c>
      <c r="P2320" s="2">
        <v>6.96</v>
      </c>
    </row>
    <row r="2321" spans="10:16">
      <c r="J2321" s="5" t="s">
        <v>859</v>
      </c>
      <c r="K2321" t="s">
        <v>860</v>
      </c>
      <c r="L2321" t="s">
        <v>31</v>
      </c>
      <c r="M2321" t="s">
        <v>125</v>
      </c>
      <c r="N2321" s="2">
        <v>1.7350000000000001</v>
      </c>
      <c r="O2321" s="1">
        <v>4</v>
      </c>
      <c r="P2321" s="2">
        <v>6.94</v>
      </c>
    </row>
    <row r="2322" spans="10:16">
      <c r="J2322" s="5" t="s">
        <v>4963</v>
      </c>
      <c r="K2322" t="s">
        <v>4964</v>
      </c>
      <c r="L2322" t="s">
        <v>85</v>
      </c>
      <c r="M2322" t="s">
        <v>86</v>
      </c>
      <c r="N2322" s="2">
        <v>0.68</v>
      </c>
      <c r="O2322" s="1">
        <v>10</v>
      </c>
      <c r="P2322" s="2">
        <v>6.8000000000000007</v>
      </c>
    </row>
    <row r="2323" spans="10:16">
      <c r="J2323" s="5" t="s">
        <v>4031</v>
      </c>
      <c r="K2323" t="s">
        <v>4032</v>
      </c>
      <c r="L2323" t="s">
        <v>98</v>
      </c>
      <c r="M2323" t="s">
        <v>86</v>
      </c>
      <c r="N2323" s="2">
        <v>0.4</v>
      </c>
      <c r="O2323" s="1">
        <v>17</v>
      </c>
      <c r="P2323" s="2">
        <v>6.8000000000000007</v>
      </c>
    </row>
    <row r="2324" spans="10:16">
      <c r="J2324" s="5" t="s">
        <v>3582</v>
      </c>
      <c r="K2324" t="s">
        <v>3583</v>
      </c>
      <c r="L2324" t="s">
        <v>219</v>
      </c>
      <c r="M2324" t="s">
        <v>86</v>
      </c>
      <c r="N2324" s="2">
        <v>0.68</v>
      </c>
      <c r="O2324" s="1">
        <v>10</v>
      </c>
      <c r="P2324" s="2">
        <v>6.8000000000000007</v>
      </c>
    </row>
    <row r="2325" spans="10:16">
      <c r="J2325" s="5" t="s">
        <v>2294</v>
      </c>
      <c r="K2325" t="s">
        <v>2295</v>
      </c>
      <c r="L2325" t="s">
        <v>85</v>
      </c>
      <c r="M2325" t="s">
        <v>86</v>
      </c>
      <c r="N2325" s="2">
        <v>0.48499999999999999</v>
      </c>
      <c r="O2325" s="1">
        <v>14</v>
      </c>
      <c r="P2325" s="2">
        <v>6.79</v>
      </c>
    </row>
    <row r="2326" spans="10:16">
      <c r="J2326" s="5" t="s">
        <v>3616</v>
      </c>
      <c r="K2326" t="s">
        <v>3617</v>
      </c>
      <c r="L2326" t="s">
        <v>85</v>
      </c>
      <c r="M2326" t="s">
        <v>86</v>
      </c>
      <c r="N2326" s="2">
        <v>0.9536</v>
      </c>
      <c r="O2326" s="1">
        <v>7</v>
      </c>
      <c r="P2326" s="2">
        <v>6.6752000000000002</v>
      </c>
    </row>
    <row r="2327" spans="10:16">
      <c r="J2327" s="5" t="s">
        <v>4324</v>
      </c>
      <c r="K2327" t="s">
        <v>4325</v>
      </c>
      <c r="L2327" t="s">
        <v>219</v>
      </c>
      <c r="M2327" t="s">
        <v>86</v>
      </c>
      <c r="N2327" s="2">
        <v>3.32</v>
      </c>
      <c r="O2327" s="1">
        <v>2</v>
      </c>
      <c r="P2327" s="2">
        <v>6.64</v>
      </c>
    </row>
    <row r="2328" spans="10:16">
      <c r="J2328" s="5" t="s">
        <v>2855</v>
      </c>
      <c r="K2328" t="s">
        <v>2856</v>
      </c>
      <c r="L2328" t="s">
        <v>85</v>
      </c>
      <c r="M2328" t="s">
        <v>86</v>
      </c>
      <c r="N2328" s="2">
        <v>0.50800000000000001</v>
      </c>
      <c r="O2328" s="1">
        <v>13</v>
      </c>
      <c r="P2328" s="2">
        <v>6.6040000000000001</v>
      </c>
    </row>
    <row r="2329" spans="10:16">
      <c r="J2329" s="5" t="s">
        <v>4088</v>
      </c>
      <c r="K2329" t="s">
        <v>4089</v>
      </c>
      <c r="L2329" t="s">
        <v>85</v>
      </c>
      <c r="M2329" t="s">
        <v>86</v>
      </c>
      <c r="N2329" s="2">
        <v>0.22</v>
      </c>
      <c r="O2329" s="1">
        <v>30</v>
      </c>
      <c r="P2329" s="2">
        <v>6.6</v>
      </c>
    </row>
    <row r="2330" spans="10:16">
      <c r="J2330" s="5" t="s">
        <v>3053</v>
      </c>
      <c r="K2330" t="s">
        <v>3054</v>
      </c>
      <c r="L2330" t="s">
        <v>85</v>
      </c>
      <c r="M2330" t="s">
        <v>86</v>
      </c>
      <c r="N2330" s="2">
        <v>6.6</v>
      </c>
      <c r="O2330" s="1">
        <v>1</v>
      </c>
      <c r="P2330" s="2">
        <v>6.6</v>
      </c>
    </row>
    <row r="2331" spans="10:16">
      <c r="J2331" s="5" t="s">
        <v>3504</v>
      </c>
      <c r="K2331" t="s">
        <v>3505</v>
      </c>
      <c r="L2331" t="s">
        <v>85</v>
      </c>
      <c r="M2331" t="s">
        <v>86</v>
      </c>
      <c r="N2331" s="2">
        <v>0.436</v>
      </c>
      <c r="O2331" s="1">
        <v>15</v>
      </c>
      <c r="P2331" s="2">
        <v>6.54</v>
      </c>
    </row>
    <row r="2332" spans="10:16">
      <c r="J2332" s="5" t="s">
        <v>3931</v>
      </c>
      <c r="K2332" t="s">
        <v>3263</v>
      </c>
      <c r="L2332" t="s">
        <v>98</v>
      </c>
      <c r="M2332" t="s">
        <v>86</v>
      </c>
      <c r="N2332" s="2">
        <v>1.6306</v>
      </c>
      <c r="O2332" s="1">
        <v>4</v>
      </c>
      <c r="P2332" s="2">
        <v>6.5224000000000002</v>
      </c>
    </row>
    <row r="2333" spans="10:16">
      <c r="J2333" s="5" t="s">
        <v>1885</v>
      </c>
      <c r="K2333" t="s">
        <v>1886</v>
      </c>
      <c r="L2333" t="s">
        <v>31</v>
      </c>
      <c r="M2333" t="s">
        <v>1931</v>
      </c>
      <c r="N2333" s="2">
        <v>6.48</v>
      </c>
      <c r="O2333" s="1">
        <v>1</v>
      </c>
      <c r="P2333" s="2">
        <v>6.48</v>
      </c>
    </row>
    <row r="2334" spans="10:16">
      <c r="J2334" s="5" t="s">
        <v>2348</v>
      </c>
      <c r="K2334" t="s">
        <v>4277</v>
      </c>
      <c r="L2334" t="s">
        <v>85</v>
      </c>
      <c r="M2334" t="s">
        <v>86</v>
      </c>
      <c r="N2334" s="2">
        <v>6.47</v>
      </c>
      <c r="O2334" s="1">
        <v>1</v>
      </c>
      <c r="P2334" s="2">
        <v>6.47</v>
      </c>
    </row>
    <row r="2335" spans="10:16">
      <c r="J2335" s="5" t="s">
        <v>3878</v>
      </c>
      <c r="K2335" t="s">
        <v>3879</v>
      </c>
      <c r="L2335" t="s">
        <v>219</v>
      </c>
      <c r="M2335" t="s">
        <v>86</v>
      </c>
      <c r="N2335" s="2">
        <v>0.64</v>
      </c>
      <c r="O2335" s="1">
        <v>10</v>
      </c>
      <c r="P2335" s="2">
        <v>6.4</v>
      </c>
    </row>
    <row r="2336" spans="10:16">
      <c r="J2336" s="5" t="s">
        <v>3548</v>
      </c>
      <c r="K2336" t="s">
        <v>3549</v>
      </c>
      <c r="L2336" t="s">
        <v>219</v>
      </c>
      <c r="M2336" t="s">
        <v>86</v>
      </c>
      <c r="N2336" s="2">
        <v>1.28</v>
      </c>
      <c r="O2336" s="1">
        <v>5</v>
      </c>
      <c r="P2336" s="2">
        <v>6.4</v>
      </c>
    </row>
    <row r="2337" spans="10:16">
      <c r="J2337" s="5" t="s">
        <v>4593</v>
      </c>
      <c r="K2337" t="s">
        <v>4594</v>
      </c>
      <c r="L2337" t="s">
        <v>467</v>
      </c>
      <c r="M2337" t="s">
        <v>86</v>
      </c>
      <c r="N2337" s="2">
        <v>1.5952</v>
      </c>
      <c r="O2337" s="1">
        <v>8</v>
      </c>
      <c r="P2337" s="2">
        <v>6.3807999999999998</v>
      </c>
    </row>
    <row r="2338" spans="10:16">
      <c r="J2338" s="5" t="s">
        <v>2147</v>
      </c>
      <c r="K2338" t="s">
        <v>2148</v>
      </c>
      <c r="L2338" t="s">
        <v>85</v>
      </c>
      <c r="M2338" t="s">
        <v>86</v>
      </c>
      <c r="N2338" s="2">
        <v>3.1890000000000001</v>
      </c>
      <c r="O2338" s="1">
        <v>2</v>
      </c>
      <c r="P2338" s="2">
        <v>6.3780000000000001</v>
      </c>
    </row>
    <row r="2339" spans="10:16">
      <c r="J2339" s="5" t="s">
        <v>3726</v>
      </c>
      <c r="K2339" t="s">
        <v>3727</v>
      </c>
      <c r="L2339" t="s">
        <v>85</v>
      </c>
      <c r="M2339" t="s">
        <v>86</v>
      </c>
      <c r="N2339" s="2">
        <v>0.42430000000000001</v>
      </c>
      <c r="O2339" s="1">
        <v>15</v>
      </c>
      <c r="P2339" s="2">
        <v>6.3645000000000005</v>
      </c>
    </row>
    <row r="2340" spans="10:16">
      <c r="J2340" s="5" t="s">
        <v>904</v>
      </c>
      <c r="K2340" t="s">
        <v>905</v>
      </c>
      <c r="L2340" t="s">
        <v>31</v>
      </c>
      <c r="M2340" t="s">
        <v>125</v>
      </c>
      <c r="N2340" s="2">
        <v>1.262</v>
      </c>
      <c r="O2340" s="1">
        <v>5</v>
      </c>
      <c r="P2340" s="2">
        <v>6.3100000000000005</v>
      </c>
    </row>
    <row r="2341" spans="10:16">
      <c r="J2341" s="5" t="s">
        <v>4437</v>
      </c>
      <c r="K2341" t="s">
        <v>4438</v>
      </c>
      <c r="L2341" t="s">
        <v>219</v>
      </c>
      <c r="M2341" t="s">
        <v>86</v>
      </c>
      <c r="N2341" s="2">
        <v>6.31</v>
      </c>
      <c r="O2341" s="1">
        <v>1</v>
      </c>
      <c r="P2341" s="2">
        <v>6.31</v>
      </c>
    </row>
    <row r="2342" spans="10:16">
      <c r="J2342" s="5" t="s">
        <v>5029</v>
      </c>
      <c r="K2342" t="s">
        <v>5030</v>
      </c>
      <c r="L2342" t="s">
        <v>85</v>
      </c>
      <c r="M2342" t="s">
        <v>86</v>
      </c>
      <c r="N2342" s="2">
        <v>1.5760000000000001</v>
      </c>
      <c r="O2342" s="1">
        <v>4</v>
      </c>
      <c r="P2342" s="2">
        <v>6.3040000000000003</v>
      </c>
    </row>
    <row r="2343" spans="10:16">
      <c r="J2343" s="5" t="s">
        <v>3672</v>
      </c>
      <c r="K2343" t="s">
        <v>3673</v>
      </c>
      <c r="L2343" t="s">
        <v>219</v>
      </c>
      <c r="M2343" t="s">
        <v>86</v>
      </c>
      <c r="N2343" s="2">
        <v>1.05</v>
      </c>
      <c r="O2343" s="1">
        <v>6</v>
      </c>
      <c r="P2343" s="2">
        <v>6.3000000000000007</v>
      </c>
    </row>
    <row r="2344" spans="10:16">
      <c r="J2344" s="5" t="s">
        <v>3631</v>
      </c>
      <c r="K2344" t="s">
        <v>3632</v>
      </c>
      <c r="L2344" t="s">
        <v>98</v>
      </c>
      <c r="M2344" t="s">
        <v>86</v>
      </c>
      <c r="N2344" s="2">
        <v>0.3</v>
      </c>
      <c r="O2344" s="1">
        <v>21</v>
      </c>
      <c r="P2344" s="2">
        <v>6.3</v>
      </c>
    </row>
    <row r="2345" spans="10:16">
      <c r="J2345" s="5" t="s">
        <v>2292</v>
      </c>
      <c r="K2345" t="s">
        <v>2293</v>
      </c>
      <c r="L2345" t="s">
        <v>85</v>
      </c>
      <c r="M2345" t="s">
        <v>86</v>
      </c>
      <c r="N2345" s="2">
        <v>0.37</v>
      </c>
      <c r="O2345" s="1">
        <v>17</v>
      </c>
      <c r="P2345" s="2">
        <v>6.29</v>
      </c>
    </row>
    <row r="2346" spans="10:16">
      <c r="J2346" s="5" t="s">
        <v>1190</v>
      </c>
      <c r="K2346" t="s">
        <v>1191</v>
      </c>
      <c r="L2346" t="s">
        <v>31</v>
      </c>
      <c r="M2346" t="s">
        <v>1931</v>
      </c>
      <c r="N2346" s="2">
        <v>6.27</v>
      </c>
      <c r="O2346" s="1">
        <v>1</v>
      </c>
      <c r="P2346" s="2">
        <v>6.27</v>
      </c>
    </row>
    <row r="2347" spans="10:16">
      <c r="J2347" s="5" t="s">
        <v>3770</v>
      </c>
      <c r="K2347" t="s">
        <v>3771</v>
      </c>
      <c r="L2347" t="s">
        <v>219</v>
      </c>
      <c r="M2347" t="s">
        <v>86</v>
      </c>
      <c r="N2347" s="2">
        <v>3.1</v>
      </c>
      <c r="O2347" s="1">
        <v>2</v>
      </c>
      <c r="P2347" s="2">
        <v>6.2</v>
      </c>
    </row>
    <row r="2348" spans="10:16">
      <c r="J2348" s="5" t="s">
        <v>3596</v>
      </c>
      <c r="K2348" t="s">
        <v>3597</v>
      </c>
      <c r="L2348" t="s">
        <v>85</v>
      </c>
      <c r="M2348" t="s">
        <v>86</v>
      </c>
      <c r="N2348" s="2">
        <v>0.62</v>
      </c>
      <c r="O2348" s="1">
        <v>10</v>
      </c>
      <c r="P2348" s="2">
        <v>6.2</v>
      </c>
    </row>
    <row r="2349" spans="10:16">
      <c r="J2349" s="5" t="s">
        <v>4352</v>
      </c>
      <c r="K2349" t="s">
        <v>4353</v>
      </c>
      <c r="L2349" t="s">
        <v>85</v>
      </c>
      <c r="M2349" t="s">
        <v>86</v>
      </c>
      <c r="N2349" s="2">
        <v>2.06</v>
      </c>
      <c r="O2349" s="1">
        <v>3</v>
      </c>
      <c r="P2349" s="2">
        <v>6.18</v>
      </c>
    </row>
    <row r="2350" spans="10:16">
      <c r="J2350" s="5" t="s">
        <v>4933</v>
      </c>
      <c r="K2350" t="s">
        <v>4934</v>
      </c>
      <c r="L2350" t="s">
        <v>85</v>
      </c>
      <c r="M2350" t="s">
        <v>86</v>
      </c>
      <c r="N2350" s="2">
        <v>0.20599999999999999</v>
      </c>
      <c r="O2350" s="1">
        <v>30</v>
      </c>
      <c r="P2350" s="2">
        <v>6.18</v>
      </c>
    </row>
    <row r="2351" spans="10:16">
      <c r="J2351" s="5" t="s">
        <v>220</v>
      </c>
      <c r="K2351" t="s">
        <v>3449</v>
      </c>
      <c r="L2351" t="s">
        <v>98</v>
      </c>
      <c r="M2351" t="s">
        <v>86</v>
      </c>
      <c r="N2351" s="2">
        <v>3.08</v>
      </c>
      <c r="O2351" s="1">
        <v>2</v>
      </c>
      <c r="P2351" s="2">
        <v>6.16</v>
      </c>
    </row>
    <row r="2352" spans="10:16">
      <c r="J2352" s="5" t="s">
        <v>3959</v>
      </c>
      <c r="K2352" t="s">
        <v>3960</v>
      </c>
      <c r="L2352" t="s">
        <v>436</v>
      </c>
      <c r="M2352" t="s">
        <v>86</v>
      </c>
      <c r="N2352" s="2">
        <v>3.07</v>
      </c>
      <c r="O2352" s="1">
        <v>2</v>
      </c>
      <c r="P2352" s="2">
        <v>6.14</v>
      </c>
    </row>
    <row r="2353" spans="10:16">
      <c r="J2353" s="5" t="s">
        <v>310</v>
      </c>
      <c r="K2353" t="s">
        <v>311</v>
      </c>
      <c r="L2353" t="s">
        <v>98</v>
      </c>
      <c r="M2353" t="s">
        <v>86</v>
      </c>
      <c r="N2353" s="2">
        <v>2.02</v>
      </c>
      <c r="O2353" s="1">
        <v>3</v>
      </c>
      <c r="P2353" s="2">
        <v>6.0600000000000005</v>
      </c>
    </row>
    <row r="2354" spans="10:16">
      <c r="J2354" s="5" t="s">
        <v>2932</v>
      </c>
      <c r="K2354" t="s">
        <v>2933</v>
      </c>
      <c r="L2354" t="s">
        <v>219</v>
      </c>
      <c r="M2354" t="s">
        <v>86</v>
      </c>
      <c r="N2354" s="2">
        <v>0.60599999999999998</v>
      </c>
      <c r="O2354" s="1">
        <v>10</v>
      </c>
      <c r="P2354" s="2">
        <v>6.06</v>
      </c>
    </row>
    <row r="2355" spans="10:16">
      <c r="J2355" s="5" t="s">
        <v>4530</v>
      </c>
      <c r="K2355" t="s">
        <v>4531</v>
      </c>
      <c r="L2355" t="s">
        <v>436</v>
      </c>
      <c r="M2355" t="s">
        <v>86</v>
      </c>
      <c r="N2355" s="2">
        <v>3.01</v>
      </c>
      <c r="O2355" s="1">
        <v>2</v>
      </c>
      <c r="P2355" s="2">
        <v>6.02</v>
      </c>
    </row>
    <row r="2356" spans="10:16">
      <c r="J2356" s="5" t="s">
        <v>1799</v>
      </c>
      <c r="K2356" t="s">
        <v>1800</v>
      </c>
      <c r="L2356" t="s">
        <v>31</v>
      </c>
      <c r="M2356" t="s">
        <v>1931</v>
      </c>
      <c r="N2356" s="2">
        <v>6</v>
      </c>
      <c r="O2356" s="1">
        <v>1</v>
      </c>
      <c r="P2356" s="2">
        <v>6</v>
      </c>
    </row>
    <row r="2357" spans="10:16">
      <c r="J2357" s="5" t="s">
        <v>5018</v>
      </c>
      <c r="K2357" t="s">
        <v>5019</v>
      </c>
      <c r="L2357" t="s">
        <v>85</v>
      </c>
      <c r="M2357" t="s">
        <v>86</v>
      </c>
      <c r="N2357" s="2">
        <v>2.9950000000000001</v>
      </c>
      <c r="O2357" s="1">
        <v>2</v>
      </c>
      <c r="P2357" s="2">
        <v>5.99</v>
      </c>
    </row>
    <row r="2358" spans="10:16">
      <c r="J2358" s="5" t="s">
        <v>4534</v>
      </c>
      <c r="K2358" t="s">
        <v>2286</v>
      </c>
      <c r="L2358" t="s">
        <v>85</v>
      </c>
      <c r="M2358" t="s">
        <v>86</v>
      </c>
      <c r="N2358" s="2">
        <v>1.484</v>
      </c>
      <c r="O2358" s="1">
        <v>4</v>
      </c>
      <c r="P2358" s="2">
        <v>5.9359999999999999</v>
      </c>
    </row>
    <row r="2359" spans="10:16">
      <c r="J2359" s="5" t="s">
        <v>910</v>
      </c>
      <c r="K2359" t="s">
        <v>911</v>
      </c>
      <c r="L2359" t="s">
        <v>31</v>
      </c>
      <c r="M2359" t="s">
        <v>125</v>
      </c>
      <c r="N2359" s="2">
        <v>0.59299999999999997</v>
      </c>
      <c r="O2359" s="1">
        <v>10</v>
      </c>
      <c r="P2359" s="2">
        <v>5.93</v>
      </c>
    </row>
    <row r="2360" spans="10:16">
      <c r="J2360" s="5" t="s">
        <v>2251</v>
      </c>
      <c r="K2360" t="s">
        <v>2252</v>
      </c>
      <c r="L2360" t="s">
        <v>85</v>
      </c>
      <c r="M2360" t="s">
        <v>86</v>
      </c>
      <c r="N2360" s="2">
        <v>1.1850000000000001</v>
      </c>
      <c r="O2360" s="1">
        <v>5</v>
      </c>
      <c r="P2360" s="2">
        <v>5.9250000000000007</v>
      </c>
    </row>
    <row r="2361" spans="10:16">
      <c r="J2361" s="5" t="s">
        <v>5005</v>
      </c>
      <c r="K2361" t="s">
        <v>5006</v>
      </c>
      <c r="L2361" t="s">
        <v>85</v>
      </c>
      <c r="M2361" t="s">
        <v>86</v>
      </c>
      <c r="N2361" s="2">
        <v>0.4924</v>
      </c>
      <c r="O2361" s="1">
        <v>12</v>
      </c>
      <c r="P2361" s="2">
        <v>5.9088000000000003</v>
      </c>
    </row>
    <row r="2362" spans="10:16">
      <c r="J2362" s="5" t="s">
        <v>4922</v>
      </c>
      <c r="K2362" t="s">
        <v>4923</v>
      </c>
      <c r="L2362" t="s">
        <v>219</v>
      </c>
      <c r="M2362" t="s">
        <v>86</v>
      </c>
      <c r="N2362" s="2">
        <v>2.95</v>
      </c>
      <c r="O2362" s="1">
        <v>2</v>
      </c>
      <c r="P2362" s="2">
        <v>5.9</v>
      </c>
    </row>
    <row r="2363" spans="10:16">
      <c r="J2363" s="5" t="s">
        <v>4587</v>
      </c>
      <c r="K2363" t="s">
        <v>4588</v>
      </c>
      <c r="L2363" t="s">
        <v>85</v>
      </c>
      <c r="M2363" t="s">
        <v>86</v>
      </c>
      <c r="N2363" s="2">
        <v>2.9321000000000002</v>
      </c>
      <c r="O2363" s="1">
        <v>2</v>
      </c>
      <c r="P2363" s="2">
        <v>5.8642000000000003</v>
      </c>
    </row>
    <row r="2364" spans="10:16">
      <c r="J2364" s="5" t="s">
        <v>1697</v>
      </c>
      <c r="K2364" t="s">
        <v>1698</v>
      </c>
      <c r="L2364" t="s">
        <v>115</v>
      </c>
      <c r="M2364" t="s">
        <v>102</v>
      </c>
      <c r="N2364" s="2">
        <v>0.154</v>
      </c>
      <c r="O2364" s="1">
        <v>38</v>
      </c>
      <c r="P2364" s="2">
        <v>5.8520000000000003</v>
      </c>
    </row>
    <row r="2365" spans="10:16">
      <c r="J2365" s="5" t="s">
        <v>3668</v>
      </c>
      <c r="K2365" t="s">
        <v>3669</v>
      </c>
      <c r="L2365" t="s">
        <v>85</v>
      </c>
      <c r="M2365" t="s">
        <v>86</v>
      </c>
      <c r="N2365" s="2">
        <v>1.17</v>
      </c>
      <c r="O2365" s="1">
        <v>5</v>
      </c>
      <c r="P2365" s="2">
        <v>5.85</v>
      </c>
    </row>
    <row r="2366" spans="10:16">
      <c r="J2366" s="5" t="s">
        <v>2290</v>
      </c>
      <c r="K2366" t="s">
        <v>2291</v>
      </c>
      <c r="L2366" t="s">
        <v>85</v>
      </c>
      <c r="M2366" t="s">
        <v>86</v>
      </c>
      <c r="N2366" s="2">
        <v>0.254</v>
      </c>
      <c r="O2366" s="1">
        <v>23</v>
      </c>
      <c r="P2366" s="2">
        <v>5.8420000000000005</v>
      </c>
    </row>
    <row r="2367" spans="10:16">
      <c r="J2367" s="5" t="s">
        <v>5458</v>
      </c>
      <c r="K2367" t="s">
        <v>5459</v>
      </c>
      <c r="L2367" t="s">
        <v>85</v>
      </c>
      <c r="M2367" t="s">
        <v>86</v>
      </c>
      <c r="N2367" s="2">
        <v>5.83</v>
      </c>
      <c r="O2367" s="1">
        <v>1</v>
      </c>
      <c r="P2367" s="2">
        <v>5.83</v>
      </c>
    </row>
    <row r="2368" spans="10:16">
      <c r="J2368" s="5" t="s">
        <v>2301</v>
      </c>
      <c r="K2368" t="s">
        <v>2302</v>
      </c>
      <c r="L2368" t="s">
        <v>85</v>
      </c>
      <c r="M2368" t="s">
        <v>86</v>
      </c>
      <c r="N2368" s="2">
        <v>0.24199999999999999</v>
      </c>
      <c r="O2368" s="1">
        <v>24</v>
      </c>
      <c r="P2368" s="2">
        <v>5.8079999999999998</v>
      </c>
    </row>
    <row r="2369" spans="10:16">
      <c r="J2369" s="5" t="s">
        <v>2661</v>
      </c>
      <c r="K2369" t="s">
        <v>2662</v>
      </c>
      <c r="L2369" t="s">
        <v>31</v>
      </c>
      <c r="M2369" t="s">
        <v>1931</v>
      </c>
      <c r="N2369" s="2">
        <v>3.2000000000000001E-2</v>
      </c>
      <c r="O2369" s="1">
        <v>181</v>
      </c>
      <c r="P2369" s="2">
        <v>5.7919999999999998</v>
      </c>
    </row>
    <row r="2370" spans="10:16">
      <c r="J2370" s="5" t="s">
        <v>2529</v>
      </c>
      <c r="K2370" t="s">
        <v>2530</v>
      </c>
      <c r="L2370" t="s">
        <v>5081</v>
      </c>
      <c r="M2370" t="s">
        <v>125</v>
      </c>
      <c r="N2370" s="2">
        <v>5.7893999999999997</v>
      </c>
      <c r="O2370" s="1">
        <v>2</v>
      </c>
      <c r="P2370" s="2">
        <v>5.7893999999999997</v>
      </c>
    </row>
    <row r="2371" spans="10:16">
      <c r="J2371" s="5" t="s">
        <v>3685</v>
      </c>
      <c r="K2371" t="s">
        <v>3686</v>
      </c>
      <c r="L2371" t="s">
        <v>219</v>
      </c>
      <c r="M2371" t="s">
        <v>86</v>
      </c>
      <c r="N2371" s="2">
        <v>1.44</v>
      </c>
      <c r="O2371" s="1">
        <v>4</v>
      </c>
      <c r="P2371" s="2">
        <v>5.76</v>
      </c>
    </row>
    <row r="2372" spans="10:16">
      <c r="J2372" s="5" t="s">
        <v>3157</v>
      </c>
      <c r="K2372" t="s">
        <v>3158</v>
      </c>
      <c r="L2372" t="s">
        <v>85</v>
      </c>
      <c r="M2372" t="s">
        <v>86</v>
      </c>
      <c r="N2372" s="2">
        <v>0.3</v>
      </c>
      <c r="O2372" s="1">
        <v>19</v>
      </c>
      <c r="P2372" s="2">
        <v>5.7</v>
      </c>
    </row>
    <row r="2373" spans="10:16">
      <c r="J2373" s="5" t="s">
        <v>1005</v>
      </c>
      <c r="K2373" t="s">
        <v>1006</v>
      </c>
      <c r="L2373" t="s">
        <v>31</v>
      </c>
      <c r="M2373" t="s">
        <v>1931</v>
      </c>
      <c r="N2373" s="2">
        <v>0.3</v>
      </c>
      <c r="O2373" s="1">
        <v>19</v>
      </c>
      <c r="P2373" s="2">
        <v>5.7</v>
      </c>
    </row>
    <row r="2374" spans="10:16">
      <c r="J2374" s="5" t="s">
        <v>3799</v>
      </c>
      <c r="K2374" t="s">
        <v>3800</v>
      </c>
      <c r="L2374" t="s">
        <v>85</v>
      </c>
      <c r="M2374" t="s">
        <v>86</v>
      </c>
      <c r="N2374" s="2">
        <v>0.56999999999999995</v>
      </c>
      <c r="O2374" s="1">
        <v>10</v>
      </c>
      <c r="P2374" s="2">
        <v>5.6999999999999993</v>
      </c>
    </row>
    <row r="2375" spans="10:16">
      <c r="J2375" s="5" t="s">
        <v>4361</v>
      </c>
      <c r="K2375" t="s">
        <v>2347</v>
      </c>
      <c r="L2375" t="s">
        <v>219</v>
      </c>
      <c r="M2375" t="s">
        <v>86</v>
      </c>
      <c r="N2375" s="2">
        <v>5.69</v>
      </c>
      <c r="O2375" s="1">
        <v>1</v>
      </c>
      <c r="P2375" s="2">
        <v>5.69</v>
      </c>
    </row>
    <row r="2376" spans="10:16">
      <c r="J2376" s="5" t="s">
        <v>4615</v>
      </c>
      <c r="K2376" t="s">
        <v>4616</v>
      </c>
      <c r="L2376" t="s">
        <v>410</v>
      </c>
      <c r="M2376" t="s">
        <v>86</v>
      </c>
      <c r="N2376" s="2">
        <v>5.67</v>
      </c>
      <c r="O2376" s="1">
        <v>1</v>
      </c>
      <c r="P2376" s="2">
        <v>5.67</v>
      </c>
    </row>
    <row r="2377" spans="10:16">
      <c r="J2377" s="5" t="s">
        <v>5420</v>
      </c>
      <c r="K2377" t="s">
        <v>5421</v>
      </c>
      <c r="L2377" t="s">
        <v>98</v>
      </c>
      <c r="M2377" t="s">
        <v>86</v>
      </c>
      <c r="N2377" s="2">
        <v>5.62</v>
      </c>
      <c r="O2377" s="1">
        <v>1</v>
      </c>
      <c r="P2377" s="2">
        <v>5.62</v>
      </c>
    </row>
    <row r="2378" spans="10:16">
      <c r="J2378" s="5" t="s">
        <v>834</v>
      </c>
      <c r="K2378" t="s">
        <v>835</v>
      </c>
      <c r="L2378" t="s">
        <v>618</v>
      </c>
      <c r="M2378" t="s">
        <v>626</v>
      </c>
      <c r="N2378" s="2">
        <v>1.8667</v>
      </c>
      <c r="O2378" s="1">
        <v>3</v>
      </c>
      <c r="P2378" s="2">
        <v>5.6001000000000003</v>
      </c>
    </row>
    <row r="2379" spans="10:16">
      <c r="J2379" s="5" t="s">
        <v>3546</v>
      </c>
      <c r="K2379" t="s">
        <v>3547</v>
      </c>
      <c r="L2379" t="s">
        <v>219</v>
      </c>
      <c r="M2379" t="s">
        <v>86</v>
      </c>
      <c r="N2379" s="2">
        <v>1.1200000000000001</v>
      </c>
      <c r="O2379" s="1">
        <v>5</v>
      </c>
      <c r="P2379" s="2">
        <v>5.6000000000000005</v>
      </c>
    </row>
    <row r="2380" spans="10:16">
      <c r="J2380" s="5" t="s">
        <v>3552</v>
      </c>
      <c r="K2380" t="s">
        <v>3553</v>
      </c>
      <c r="L2380" t="s">
        <v>219</v>
      </c>
      <c r="M2380" t="s">
        <v>86</v>
      </c>
      <c r="N2380" s="2">
        <v>1.1200000000000001</v>
      </c>
      <c r="O2380" s="1">
        <v>5</v>
      </c>
      <c r="P2380" s="2">
        <v>5.6000000000000005</v>
      </c>
    </row>
    <row r="2381" spans="10:16">
      <c r="J2381" s="5" t="s">
        <v>1747</v>
      </c>
      <c r="K2381" t="s">
        <v>1748</v>
      </c>
      <c r="L2381" t="s">
        <v>31</v>
      </c>
      <c r="M2381" t="s">
        <v>1931</v>
      </c>
      <c r="N2381" s="2">
        <v>5.6</v>
      </c>
      <c r="O2381" s="1">
        <v>1</v>
      </c>
      <c r="P2381" s="2">
        <v>5.6</v>
      </c>
    </row>
    <row r="2382" spans="10:16">
      <c r="J2382" s="5" t="s">
        <v>1077</v>
      </c>
      <c r="K2382" t="s">
        <v>1078</v>
      </c>
      <c r="L2382" t="s">
        <v>131</v>
      </c>
      <c r="M2382" t="s">
        <v>125</v>
      </c>
      <c r="N2382" s="2">
        <v>0.39900000000000002</v>
      </c>
      <c r="O2382" s="1">
        <v>14</v>
      </c>
      <c r="P2382" s="2">
        <v>5.5860000000000003</v>
      </c>
    </row>
    <row r="2383" spans="10:16">
      <c r="J2383" s="5" t="s">
        <v>1218</v>
      </c>
      <c r="K2383" t="s">
        <v>1219</v>
      </c>
      <c r="L2383" t="s">
        <v>31</v>
      </c>
      <c r="M2383" t="s">
        <v>1931</v>
      </c>
      <c r="N2383" s="2">
        <v>2.79</v>
      </c>
      <c r="O2383" s="1">
        <v>2</v>
      </c>
      <c r="P2383" s="2">
        <v>5.58</v>
      </c>
    </row>
    <row r="2384" spans="10:16">
      <c r="J2384" s="5" t="s">
        <v>3633</v>
      </c>
      <c r="K2384" t="s">
        <v>3634</v>
      </c>
      <c r="L2384" t="s">
        <v>436</v>
      </c>
      <c r="M2384" t="s">
        <v>86</v>
      </c>
      <c r="N2384" s="2">
        <v>2.79</v>
      </c>
      <c r="O2384" s="1">
        <v>2</v>
      </c>
      <c r="P2384" s="2">
        <v>5.58</v>
      </c>
    </row>
    <row r="2385" spans="10:16">
      <c r="J2385" s="5" t="s">
        <v>1735</v>
      </c>
      <c r="K2385" t="s">
        <v>1736</v>
      </c>
      <c r="L2385" t="s">
        <v>31</v>
      </c>
      <c r="M2385" t="s">
        <v>1931</v>
      </c>
      <c r="N2385" s="2">
        <v>0.55800000000000005</v>
      </c>
      <c r="O2385" s="1">
        <v>10</v>
      </c>
      <c r="P2385" s="2">
        <v>5.58</v>
      </c>
    </row>
    <row r="2386" spans="10:16">
      <c r="J2386" s="5" t="s">
        <v>2160</v>
      </c>
      <c r="K2386" t="s">
        <v>5346</v>
      </c>
      <c r="L2386" t="s">
        <v>85</v>
      </c>
      <c r="M2386" t="s">
        <v>86</v>
      </c>
      <c r="N2386" s="2">
        <v>2.774</v>
      </c>
      <c r="O2386" s="1">
        <v>2</v>
      </c>
      <c r="P2386" s="2">
        <v>5.548</v>
      </c>
    </row>
    <row r="2387" spans="10:16">
      <c r="J2387" s="5" t="s">
        <v>1891</v>
      </c>
      <c r="K2387" t="s">
        <v>1892</v>
      </c>
      <c r="L2387" t="s">
        <v>228</v>
      </c>
      <c r="M2387" t="s">
        <v>86</v>
      </c>
      <c r="N2387" s="2">
        <v>5.53</v>
      </c>
      <c r="O2387" s="1">
        <v>1</v>
      </c>
      <c r="P2387" s="2">
        <v>5.53</v>
      </c>
    </row>
    <row r="2388" spans="10:16">
      <c r="J2388" s="5" t="s">
        <v>3279</v>
      </c>
      <c r="K2388" t="s">
        <v>5417</v>
      </c>
      <c r="L2388" t="s">
        <v>98</v>
      </c>
      <c r="M2388" t="s">
        <v>86</v>
      </c>
      <c r="N2388" s="2">
        <v>2.7589999999999999</v>
      </c>
      <c r="O2388" s="1">
        <v>2</v>
      </c>
      <c r="P2388" s="2">
        <v>5.5179999999999998</v>
      </c>
    </row>
    <row r="2389" spans="10:16">
      <c r="J2389" s="5" t="s">
        <v>4343</v>
      </c>
      <c r="K2389" t="s">
        <v>4344</v>
      </c>
      <c r="L2389" t="s">
        <v>85</v>
      </c>
      <c r="M2389" t="s">
        <v>86</v>
      </c>
      <c r="N2389" s="2">
        <v>0.55000000000000004</v>
      </c>
      <c r="O2389" s="1">
        <v>10</v>
      </c>
      <c r="P2389" s="2">
        <v>5.5</v>
      </c>
    </row>
    <row r="2390" spans="10:16">
      <c r="J2390" s="5" t="s">
        <v>4839</v>
      </c>
      <c r="K2390" t="s">
        <v>4840</v>
      </c>
      <c r="L2390" t="s">
        <v>85</v>
      </c>
      <c r="M2390" t="s">
        <v>86</v>
      </c>
      <c r="N2390" s="2">
        <v>0.22</v>
      </c>
      <c r="O2390" s="1">
        <v>25</v>
      </c>
      <c r="P2390" s="2">
        <v>5.5</v>
      </c>
    </row>
    <row r="2391" spans="10:16">
      <c r="J2391" s="5" t="s">
        <v>1859</v>
      </c>
      <c r="K2391" t="s">
        <v>1860</v>
      </c>
      <c r="L2391" t="s">
        <v>31</v>
      </c>
      <c r="M2391" t="s">
        <v>1931</v>
      </c>
      <c r="N2391" s="2">
        <v>5.5</v>
      </c>
      <c r="O2391" s="1">
        <v>1</v>
      </c>
      <c r="P2391" s="2">
        <v>5.5</v>
      </c>
    </row>
    <row r="2392" spans="10:16">
      <c r="J2392" s="5" t="s">
        <v>3649</v>
      </c>
      <c r="K2392" t="s">
        <v>3650</v>
      </c>
      <c r="L2392" t="s">
        <v>85</v>
      </c>
      <c r="M2392" t="s">
        <v>86</v>
      </c>
      <c r="N2392" s="2">
        <v>1.0980000000000001</v>
      </c>
      <c r="O2392" s="1">
        <v>5</v>
      </c>
      <c r="P2392" s="2">
        <v>5.49</v>
      </c>
    </row>
    <row r="2393" spans="10:16">
      <c r="J2393" s="5" t="s">
        <v>5001</v>
      </c>
      <c r="K2393" t="s">
        <v>5002</v>
      </c>
      <c r="L2393" t="s">
        <v>85</v>
      </c>
      <c r="M2393" t="s">
        <v>86</v>
      </c>
      <c r="N2393" s="2">
        <v>0.45569999999999999</v>
      </c>
      <c r="O2393" s="1">
        <v>12</v>
      </c>
      <c r="P2393" s="2">
        <v>5.4683999999999999</v>
      </c>
    </row>
    <row r="2394" spans="10:16">
      <c r="J2394" s="5" t="s">
        <v>4992</v>
      </c>
      <c r="K2394" t="s">
        <v>4993</v>
      </c>
      <c r="L2394" t="s">
        <v>219</v>
      </c>
      <c r="M2394" t="s">
        <v>86</v>
      </c>
      <c r="N2394" s="2">
        <v>0.60399999999999998</v>
      </c>
      <c r="O2394" s="1">
        <v>9</v>
      </c>
      <c r="P2394" s="2">
        <v>5.4359999999999999</v>
      </c>
    </row>
    <row r="2395" spans="10:16">
      <c r="J2395" s="5" t="s">
        <v>2593</v>
      </c>
      <c r="K2395" t="s">
        <v>2594</v>
      </c>
      <c r="L2395" t="s">
        <v>5474</v>
      </c>
      <c r="M2395" t="s">
        <v>125</v>
      </c>
      <c r="N2395" s="2">
        <v>1.8080000000000001</v>
      </c>
      <c r="O2395" s="1">
        <v>3</v>
      </c>
      <c r="P2395" s="2">
        <v>5.4240000000000004</v>
      </c>
    </row>
    <row r="2396" spans="10:16">
      <c r="J2396" s="5" t="s">
        <v>1134</v>
      </c>
      <c r="K2396" t="s">
        <v>1135</v>
      </c>
      <c r="L2396" t="s">
        <v>31</v>
      </c>
      <c r="M2396" t="s">
        <v>1931</v>
      </c>
      <c r="N2396" s="2">
        <v>1.8</v>
      </c>
      <c r="O2396" s="1">
        <v>3</v>
      </c>
      <c r="P2396" s="2">
        <v>5.4</v>
      </c>
    </row>
    <row r="2397" spans="10:16">
      <c r="J2397" s="5" t="s">
        <v>4449</v>
      </c>
      <c r="K2397" t="s">
        <v>2298</v>
      </c>
      <c r="L2397" t="s">
        <v>219</v>
      </c>
      <c r="M2397" t="s">
        <v>86</v>
      </c>
      <c r="N2397" s="2">
        <v>0.53800000000000003</v>
      </c>
      <c r="O2397" s="1">
        <v>10</v>
      </c>
      <c r="P2397" s="2">
        <v>5.3800000000000008</v>
      </c>
    </row>
    <row r="2398" spans="10:16">
      <c r="J2398" s="5" t="s">
        <v>1879</v>
      </c>
      <c r="K2398" t="s">
        <v>1880</v>
      </c>
      <c r="L2398" t="s">
        <v>31</v>
      </c>
      <c r="M2398" t="s">
        <v>1931</v>
      </c>
      <c r="N2398" s="2">
        <v>0.89300000000000002</v>
      </c>
      <c r="O2398" s="1">
        <v>6</v>
      </c>
      <c r="P2398" s="2">
        <v>5.3580000000000005</v>
      </c>
    </row>
    <row r="2399" spans="10:16">
      <c r="J2399" s="5" t="s">
        <v>4539</v>
      </c>
      <c r="K2399" t="s">
        <v>4540</v>
      </c>
      <c r="L2399" t="s">
        <v>219</v>
      </c>
      <c r="M2399" t="s">
        <v>86</v>
      </c>
      <c r="N2399" s="2">
        <v>1.07</v>
      </c>
      <c r="O2399" s="1">
        <v>5</v>
      </c>
      <c r="P2399" s="2">
        <v>5.3500000000000005</v>
      </c>
    </row>
    <row r="2400" spans="10:16">
      <c r="J2400" s="5" t="s">
        <v>3778</v>
      </c>
      <c r="K2400" t="s">
        <v>3779</v>
      </c>
      <c r="L2400" t="s">
        <v>219</v>
      </c>
      <c r="M2400" t="s">
        <v>86</v>
      </c>
      <c r="N2400" s="2">
        <v>0.89</v>
      </c>
      <c r="O2400" s="1">
        <v>6</v>
      </c>
      <c r="P2400" s="2">
        <v>5.34</v>
      </c>
    </row>
    <row r="2401" spans="10:16">
      <c r="J2401" s="5" t="s">
        <v>2611</v>
      </c>
      <c r="K2401" t="s">
        <v>2612</v>
      </c>
      <c r="L2401" t="s">
        <v>5474</v>
      </c>
      <c r="M2401" t="s">
        <v>125</v>
      </c>
      <c r="N2401" s="2">
        <v>2.6549999999999998</v>
      </c>
      <c r="O2401" s="1">
        <v>2</v>
      </c>
      <c r="P2401" s="2">
        <v>5.31</v>
      </c>
    </row>
    <row r="2402" spans="10:16">
      <c r="J2402" s="5" t="s">
        <v>2104</v>
      </c>
      <c r="K2402" t="s">
        <v>2105</v>
      </c>
      <c r="L2402" t="s">
        <v>31</v>
      </c>
      <c r="M2402" t="s">
        <v>1931</v>
      </c>
      <c r="N2402" s="2">
        <v>5.2619999999999996</v>
      </c>
      <c r="O2402" s="1">
        <v>1</v>
      </c>
      <c r="P2402" s="2">
        <v>5.2619999999999996</v>
      </c>
    </row>
    <row r="2403" spans="10:16">
      <c r="J2403" s="5" t="s">
        <v>3983</v>
      </c>
      <c r="K2403" t="s">
        <v>3984</v>
      </c>
      <c r="L2403" t="s">
        <v>98</v>
      </c>
      <c r="M2403" t="s">
        <v>86</v>
      </c>
      <c r="N2403" s="2">
        <v>1.05</v>
      </c>
      <c r="O2403" s="1">
        <v>5</v>
      </c>
      <c r="P2403" s="2">
        <v>5.25</v>
      </c>
    </row>
    <row r="2404" spans="10:16">
      <c r="J2404" s="5" t="s">
        <v>5462</v>
      </c>
      <c r="K2404" t="s">
        <v>5463</v>
      </c>
      <c r="L2404" t="s">
        <v>85</v>
      </c>
      <c r="M2404" t="s">
        <v>86</v>
      </c>
      <c r="N2404" s="2">
        <v>5.24</v>
      </c>
      <c r="O2404" s="1">
        <v>1</v>
      </c>
      <c r="P2404" s="2">
        <v>5.24</v>
      </c>
    </row>
    <row r="2405" spans="10:16">
      <c r="J2405" s="5" t="s">
        <v>299</v>
      </c>
      <c r="K2405" t="s">
        <v>300</v>
      </c>
      <c r="L2405" t="s">
        <v>223</v>
      </c>
      <c r="M2405" t="s">
        <v>86</v>
      </c>
      <c r="N2405" s="2">
        <v>1.044</v>
      </c>
      <c r="O2405" s="1">
        <v>5</v>
      </c>
      <c r="P2405" s="2">
        <v>5.2200000000000006</v>
      </c>
    </row>
    <row r="2406" spans="10:16">
      <c r="J2406" s="5" t="s">
        <v>2398</v>
      </c>
      <c r="K2406" t="s">
        <v>2399</v>
      </c>
      <c r="L2406" t="s">
        <v>85</v>
      </c>
      <c r="M2406" t="s">
        <v>86</v>
      </c>
      <c r="N2406" s="2">
        <v>0.28799999999999998</v>
      </c>
      <c r="O2406" s="1">
        <v>18</v>
      </c>
      <c r="P2406" s="2">
        <v>5.1839999999999993</v>
      </c>
    </row>
    <row r="2407" spans="10:16">
      <c r="J2407" s="5" t="s">
        <v>4368</v>
      </c>
      <c r="K2407" t="s">
        <v>4369</v>
      </c>
      <c r="L2407" t="s">
        <v>219</v>
      </c>
      <c r="M2407" t="s">
        <v>86</v>
      </c>
      <c r="N2407" s="2">
        <v>5.13</v>
      </c>
      <c r="O2407" s="1">
        <v>1</v>
      </c>
      <c r="P2407" s="2">
        <v>5.13</v>
      </c>
    </row>
    <row r="2408" spans="10:16">
      <c r="J2408" s="5" t="s">
        <v>253</v>
      </c>
      <c r="K2408" t="s">
        <v>254</v>
      </c>
      <c r="L2408" t="s">
        <v>98</v>
      </c>
      <c r="M2408" t="s">
        <v>86</v>
      </c>
      <c r="N2408" s="2">
        <v>0.56999999999999995</v>
      </c>
      <c r="O2408" s="1">
        <v>9</v>
      </c>
      <c r="P2408" s="2">
        <v>5.13</v>
      </c>
    </row>
    <row r="2409" spans="10:16">
      <c r="J2409" s="5" t="s">
        <v>215</v>
      </c>
      <c r="K2409" t="s">
        <v>216</v>
      </c>
      <c r="L2409" t="s">
        <v>141</v>
      </c>
      <c r="M2409" t="s">
        <v>125</v>
      </c>
      <c r="N2409" s="2">
        <v>5.1130000000000004</v>
      </c>
      <c r="O2409" s="1">
        <v>1</v>
      </c>
      <c r="P2409" s="2">
        <v>5.1130000000000004</v>
      </c>
    </row>
    <row r="2410" spans="10:16">
      <c r="J2410" s="5" t="s">
        <v>2657</v>
      </c>
      <c r="K2410" t="s">
        <v>2658</v>
      </c>
      <c r="L2410" t="s">
        <v>31</v>
      </c>
      <c r="M2410" t="s">
        <v>1931</v>
      </c>
      <c r="N2410" s="2">
        <v>1.7</v>
      </c>
      <c r="O2410" s="1">
        <v>3</v>
      </c>
      <c r="P2410" s="2">
        <v>5.0999999999999996</v>
      </c>
    </row>
    <row r="2411" spans="10:16">
      <c r="J2411" s="5" t="s">
        <v>3784</v>
      </c>
      <c r="K2411" t="s">
        <v>3785</v>
      </c>
      <c r="L2411" t="s">
        <v>219</v>
      </c>
      <c r="M2411" t="s">
        <v>86</v>
      </c>
      <c r="N2411" s="2">
        <v>1.7</v>
      </c>
      <c r="O2411" s="1">
        <v>3</v>
      </c>
      <c r="P2411" s="2">
        <v>5.0999999999999996</v>
      </c>
    </row>
    <row r="2412" spans="10:16">
      <c r="J2412" s="5" t="s">
        <v>3767</v>
      </c>
      <c r="K2412" t="s">
        <v>3768</v>
      </c>
      <c r="L2412" t="s">
        <v>219</v>
      </c>
      <c r="M2412" t="s">
        <v>86</v>
      </c>
      <c r="N2412" s="2">
        <v>2.5299999999999998</v>
      </c>
      <c r="O2412" s="1">
        <v>2</v>
      </c>
      <c r="P2412" s="2">
        <v>5.0599999999999996</v>
      </c>
    </row>
    <row r="2413" spans="10:16">
      <c r="J2413" s="5" t="s">
        <v>2663</v>
      </c>
      <c r="K2413" t="s">
        <v>2664</v>
      </c>
      <c r="L2413" t="s">
        <v>31</v>
      </c>
      <c r="M2413" t="s">
        <v>1931</v>
      </c>
      <c r="N2413" s="2">
        <v>6.4000000000000001E-2</v>
      </c>
      <c r="O2413" s="1">
        <v>79</v>
      </c>
      <c r="P2413" s="2">
        <v>5.056</v>
      </c>
    </row>
    <row r="2414" spans="10:16">
      <c r="J2414" s="5" t="s">
        <v>397</v>
      </c>
      <c r="K2414" t="s">
        <v>398</v>
      </c>
      <c r="L2414" t="s">
        <v>243</v>
      </c>
      <c r="M2414" t="s">
        <v>86</v>
      </c>
      <c r="N2414" s="2">
        <v>2.52</v>
      </c>
      <c r="O2414" s="1">
        <v>2</v>
      </c>
      <c r="P2414" s="2">
        <v>5.04</v>
      </c>
    </row>
    <row r="2415" spans="10:16">
      <c r="J2415" s="5" t="s">
        <v>2065</v>
      </c>
      <c r="K2415" t="s">
        <v>2066</v>
      </c>
      <c r="L2415" t="s">
        <v>85</v>
      </c>
      <c r="M2415" t="s">
        <v>86</v>
      </c>
      <c r="N2415" s="2">
        <v>2.5</v>
      </c>
      <c r="O2415" s="1">
        <v>2</v>
      </c>
      <c r="P2415" s="2">
        <v>5</v>
      </c>
    </row>
    <row r="2416" spans="10:16">
      <c r="J2416" s="5" t="s">
        <v>2609</v>
      </c>
      <c r="K2416" t="s">
        <v>2610</v>
      </c>
      <c r="L2416" t="s">
        <v>5474</v>
      </c>
      <c r="M2416" t="s">
        <v>125</v>
      </c>
      <c r="N2416" s="2">
        <v>2.4950000000000001</v>
      </c>
      <c r="O2416" s="1">
        <v>2</v>
      </c>
      <c r="P2416" s="2">
        <v>4.99</v>
      </c>
    </row>
    <row r="2417" spans="10:16">
      <c r="J2417" s="5" t="s">
        <v>34</v>
      </c>
      <c r="K2417" t="s">
        <v>35</v>
      </c>
      <c r="L2417" t="s">
        <v>31</v>
      </c>
      <c r="M2417" t="s">
        <v>1931</v>
      </c>
      <c r="N2417" s="2">
        <v>4.92</v>
      </c>
      <c r="O2417" s="1">
        <v>1</v>
      </c>
      <c r="P2417" s="2">
        <v>4.92</v>
      </c>
    </row>
    <row r="2418" spans="10:16">
      <c r="J2418" s="5" t="s">
        <v>4648</v>
      </c>
      <c r="K2418" t="s">
        <v>4649</v>
      </c>
      <c r="L2418" t="s">
        <v>85</v>
      </c>
      <c r="M2418" t="s">
        <v>86</v>
      </c>
      <c r="N2418" s="2">
        <v>4.8499999999999996</v>
      </c>
      <c r="O2418" s="1">
        <v>1</v>
      </c>
      <c r="P2418" s="2">
        <v>4.8499999999999996</v>
      </c>
    </row>
    <row r="2419" spans="10:16">
      <c r="J2419" s="5" t="s">
        <v>455</v>
      </c>
      <c r="K2419" t="s">
        <v>456</v>
      </c>
      <c r="L2419" t="s">
        <v>85</v>
      </c>
      <c r="M2419" t="s">
        <v>86</v>
      </c>
      <c r="N2419" s="2">
        <v>4.82</v>
      </c>
      <c r="O2419" s="1">
        <v>1</v>
      </c>
      <c r="P2419" s="2">
        <v>4.82</v>
      </c>
    </row>
    <row r="2420" spans="10:16">
      <c r="J2420" s="5" t="s">
        <v>1741</v>
      </c>
      <c r="K2420" t="s">
        <v>1742</v>
      </c>
      <c r="L2420" t="s">
        <v>85</v>
      </c>
      <c r="M2420" t="s">
        <v>86</v>
      </c>
      <c r="N2420" s="2">
        <v>4.8</v>
      </c>
      <c r="O2420" s="1">
        <v>1</v>
      </c>
      <c r="P2420" s="2">
        <v>4.8</v>
      </c>
    </row>
    <row r="2421" spans="10:16">
      <c r="J2421" s="5" t="s">
        <v>922</v>
      </c>
      <c r="K2421" t="s">
        <v>923</v>
      </c>
      <c r="L2421" t="s">
        <v>31</v>
      </c>
      <c r="M2421" t="s">
        <v>125</v>
      </c>
      <c r="N2421" s="2">
        <v>1.5740000000000001</v>
      </c>
      <c r="O2421" s="1">
        <v>3</v>
      </c>
      <c r="P2421" s="2">
        <v>4.7220000000000004</v>
      </c>
    </row>
    <row r="2422" spans="10:16">
      <c r="J2422" s="5" t="s">
        <v>2002</v>
      </c>
      <c r="K2422" t="s">
        <v>2003</v>
      </c>
      <c r="L2422" t="s">
        <v>101</v>
      </c>
      <c r="M2422" t="s">
        <v>581</v>
      </c>
      <c r="N2422" s="2">
        <v>4.7009999999999996</v>
      </c>
      <c r="O2422" s="1">
        <v>1</v>
      </c>
      <c r="P2422" s="2">
        <v>4.7009999999999996</v>
      </c>
    </row>
    <row r="2423" spans="10:16">
      <c r="J2423" s="5" t="s">
        <v>1210</v>
      </c>
      <c r="K2423" t="s">
        <v>1211</v>
      </c>
      <c r="L2423" t="s">
        <v>31</v>
      </c>
      <c r="M2423" t="s">
        <v>1931</v>
      </c>
      <c r="N2423" s="2">
        <v>0.78</v>
      </c>
      <c r="O2423" s="1">
        <v>6</v>
      </c>
      <c r="P2423" s="2">
        <v>4.68</v>
      </c>
    </row>
    <row r="2424" spans="10:16">
      <c r="J2424" s="5" t="s">
        <v>4924</v>
      </c>
      <c r="K2424" t="s">
        <v>4925</v>
      </c>
      <c r="L2424" t="s">
        <v>219</v>
      </c>
      <c r="M2424" t="s">
        <v>86</v>
      </c>
      <c r="N2424" s="2">
        <v>1.54</v>
      </c>
      <c r="O2424" s="1">
        <v>3</v>
      </c>
      <c r="P2424" s="2">
        <v>4.62</v>
      </c>
    </row>
    <row r="2425" spans="10:16">
      <c r="J2425" s="5" t="s">
        <v>3823</v>
      </c>
      <c r="K2425" t="s">
        <v>3824</v>
      </c>
      <c r="L2425" t="s">
        <v>98</v>
      </c>
      <c r="M2425" t="s">
        <v>86</v>
      </c>
      <c r="N2425" s="2">
        <v>0.92100000000000004</v>
      </c>
      <c r="O2425" s="1">
        <v>5</v>
      </c>
      <c r="P2425" s="2">
        <v>4.6050000000000004</v>
      </c>
    </row>
    <row r="2426" spans="10:16">
      <c r="J2426" s="5" t="s">
        <v>2284</v>
      </c>
      <c r="K2426" t="s">
        <v>2285</v>
      </c>
      <c r="L2426" t="s">
        <v>85</v>
      </c>
      <c r="M2426" t="s">
        <v>86</v>
      </c>
      <c r="N2426" s="2">
        <v>2.2898000000000001</v>
      </c>
      <c r="O2426" s="1">
        <v>4</v>
      </c>
      <c r="P2426" s="2">
        <v>4.5796000000000001</v>
      </c>
    </row>
    <row r="2427" spans="10:16">
      <c r="J2427" s="5" t="s">
        <v>514</v>
      </c>
      <c r="K2427" t="s">
        <v>515</v>
      </c>
      <c r="L2427" t="s">
        <v>85</v>
      </c>
      <c r="M2427" t="s">
        <v>86</v>
      </c>
      <c r="N2427" s="2">
        <v>0.50800000000000001</v>
      </c>
      <c r="O2427" s="1">
        <v>9</v>
      </c>
      <c r="P2427" s="2">
        <v>4.5720000000000001</v>
      </c>
    </row>
    <row r="2428" spans="10:16">
      <c r="J2428" s="5" t="s">
        <v>3661</v>
      </c>
      <c r="K2428" t="s">
        <v>3662</v>
      </c>
      <c r="L2428" t="s">
        <v>436</v>
      </c>
      <c r="M2428" t="s">
        <v>86</v>
      </c>
      <c r="N2428" s="2">
        <v>4.51</v>
      </c>
      <c r="O2428" s="1">
        <v>1</v>
      </c>
      <c r="P2428" s="2">
        <v>4.51</v>
      </c>
    </row>
    <row r="2429" spans="10:16">
      <c r="J2429" s="5" t="s">
        <v>4569</v>
      </c>
      <c r="K2429" t="s">
        <v>3275</v>
      </c>
      <c r="L2429" t="s">
        <v>85</v>
      </c>
      <c r="M2429" t="s">
        <v>86</v>
      </c>
      <c r="N2429" s="2">
        <v>0.73399999999999999</v>
      </c>
      <c r="O2429" s="1">
        <v>6</v>
      </c>
      <c r="P2429" s="2">
        <v>4.4039999999999999</v>
      </c>
    </row>
    <row r="2430" spans="10:16">
      <c r="J2430" s="5" t="s">
        <v>3032</v>
      </c>
      <c r="K2430" t="s">
        <v>3033</v>
      </c>
      <c r="L2430" t="s">
        <v>85</v>
      </c>
      <c r="M2430" t="s">
        <v>86</v>
      </c>
      <c r="N2430" s="2">
        <v>0.44</v>
      </c>
      <c r="O2430" s="1">
        <v>10</v>
      </c>
      <c r="P2430" s="2">
        <v>4.4000000000000004</v>
      </c>
    </row>
    <row r="2431" spans="10:16">
      <c r="J2431" s="5" t="s">
        <v>4126</v>
      </c>
      <c r="K2431" t="s">
        <v>4127</v>
      </c>
      <c r="L2431" t="s">
        <v>85</v>
      </c>
      <c r="M2431" t="s">
        <v>86</v>
      </c>
      <c r="N2431" s="2">
        <v>0.44</v>
      </c>
      <c r="O2431" s="1">
        <v>10</v>
      </c>
      <c r="P2431" s="2">
        <v>4.4000000000000004</v>
      </c>
    </row>
    <row r="2432" spans="10:16">
      <c r="J2432" s="5" t="s">
        <v>4996</v>
      </c>
      <c r="K2432" t="s">
        <v>4997</v>
      </c>
      <c r="L2432" t="s">
        <v>85</v>
      </c>
      <c r="M2432" t="s">
        <v>86</v>
      </c>
      <c r="N2432" s="2">
        <v>0.439</v>
      </c>
      <c r="O2432" s="1">
        <v>10</v>
      </c>
      <c r="P2432" s="2">
        <v>4.3899999999999997</v>
      </c>
    </row>
    <row r="2433" spans="10:16">
      <c r="J2433" s="5" t="s">
        <v>5020</v>
      </c>
      <c r="K2433" t="s">
        <v>2206</v>
      </c>
      <c r="L2433" t="s">
        <v>85</v>
      </c>
      <c r="M2433" t="s">
        <v>86</v>
      </c>
      <c r="N2433" s="2">
        <v>4.367</v>
      </c>
      <c r="O2433" s="1">
        <v>1</v>
      </c>
      <c r="P2433" s="2">
        <v>4.367</v>
      </c>
    </row>
    <row r="2434" spans="10:16">
      <c r="J2434" s="5" t="s">
        <v>926</v>
      </c>
      <c r="K2434" t="s">
        <v>927</v>
      </c>
      <c r="L2434" t="s">
        <v>31</v>
      </c>
      <c r="M2434" t="s">
        <v>125</v>
      </c>
      <c r="N2434" s="2">
        <v>0.872</v>
      </c>
      <c r="O2434" s="1">
        <v>5</v>
      </c>
      <c r="P2434" s="2">
        <v>4.3600000000000003</v>
      </c>
    </row>
    <row r="2435" spans="10:16">
      <c r="J2435" s="5" t="s">
        <v>3163</v>
      </c>
      <c r="K2435" t="s">
        <v>3164</v>
      </c>
      <c r="L2435" t="s">
        <v>219</v>
      </c>
      <c r="M2435" t="s">
        <v>86</v>
      </c>
      <c r="N2435" s="2">
        <v>0.435</v>
      </c>
      <c r="O2435" s="1">
        <v>10</v>
      </c>
      <c r="P2435" s="2">
        <v>4.3499999999999996</v>
      </c>
    </row>
    <row r="2436" spans="10:16">
      <c r="J2436" s="5" t="s">
        <v>4341</v>
      </c>
      <c r="K2436" t="s">
        <v>4342</v>
      </c>
      <c r="L2436" t="s">
        <v>85</v>
      </c>
      <c r="M2436" t="s">
        <v>86</v>
      </c>
      <c r="N2436" s="2">
        <v>0.85899999999999999</v>
      </c>
      <c r="O2436" s="1">
        <v>5</v>
      </c>
      <c r="P2436" s="2">
        <v>4.2949999999999999</v>
      </c>
    </row>
    <row r="2437" spans="10:16">
      <c r="J2437" s="5" t="s">
        <v>3538</v>
      </c>
      <c r="K2437" t="s">
        <v>3539</v>
      </c>
      <c r="L2437" t="s">
        <v>436</v>
      </c>
      <c r="M2437" t="s">
        <v>86</v>
      </c>
      <c r="N2437" s="2">
        <v>2.14</v>
      </c>
      <c r="O2437" s="1">
        <v>2</v>
      </c>
      <c r="P2437" s="2">
        <v>4.28</v>
      </c>
    </row>
    <row r="2438" spans="10:16">
      <c r="J2438" s="5" t="s">
        <v>2365</v>
      </c>
      <c r="K2438" t="s">
        <v>2366</v>
      </c>
      <c r="L2438" t="s">
        <v>98</v>
      </c>
      <c r="M2438" t="s">
        <v>86</v>
      </c>
      <c r="N2438" s="2">
        <v>2.11</v>
      </c>
      <c r="O2438" s="1">
        <v>2</v>
      </c>
      <c r="P2438" s="2">
        <v>4.22</v>
      </c>
    </row>
    <row r="2439" spans="10:16">
      <c r="J2439" s="5" t="s">
        <v>4085</v>
      </c>
      <c r="K2439" t="s">
        <v>4086</v>
      </c>
      <c r="L2439" t="s">
        <v>85</v>
      </c>
      <c r="M2439" t="s">
        <v>86</v>
      </c>
      <c r="N2439" s="2">
        <v>0.14000000000000001</v>
      </c>
      <c r="O2439" s="1">
        <v>30</v>
      </c>
      <c r="P2439" s="2">
        <v>4.2</v>
      </c>
    </row>
    <row r="2440" spans="10:16">
      <c r="J2440" s="5" t="s">
        <v>4092</v>
      </c>
      <c r="K2440" t="s">
        <v>4093</v>
      </c>
      <c r="L2440" t="s">
        <v>85</v>
      </c>
      <c r="M2440" t="s">
        <v>86</v>
      </c>
      <c r="N2440" s="2">
        <v>0.14000000000000001</v>
      </c>
      <c r="O2440" s="1">
        <v>30</v>
      </c>
      <c r="P2440" s="2">
        <v>4.2</v>
      </c>
    </row>
    <row r="2441" spans="10:16">
      <c r="J2441" s="5" t="s">
        <v>3589</v>
      </c>
      <c r="K2441" t="s">
        <v>2140</v>
      </c>
      <c r="L2441" t="s">
        <v>98</v>
      </c>
      <c r="M2441" t="s">
        <v>86</v>
      </c>
      <c r="N2441" s="2">
        <v>0.41789999999999999</v>
      </c>
      <c r="O2441" s="1">
        <v>10</v>
      </c>
      <c r="P2441" s="2">
        <v>4.1790000000000003</v>
      </c>
    </row>
    <row r="2442" spans="10:16">
      <c r="J2442" s="5" t="s">
        <v>651</v>
      </c>
      <c r="K2442" t="s">
        <v>652</v>
      </c>
      <c r="L2442" t="s">
        <v>31</v>
      </c>
      <c r="M2442" t="s">
        <v>1931</v>
      </c>
      <c r="N2442" s="2">
        <v>4.1100000000000003</v>
      </c>
      <c r="O2442" s="1">
        <v>1</v>
      </c>
      <c r="P2442" s="2">
        <v>4.1100000000000003</v>
      </c>
    </row>
    <row r="2443" spans="10:16">
      <c r="J2443" s="5" t="s">
        <v>1079</v>
      </c>
      <c r="K2443" t="s">
        <v>1080</v>
      </c>
      <c r="L2443" t="s">
        <v>131</v>
      </c>
      <c r="M2443" t="s">
        <v>125</v>
      </c>
      <c r="N2443" s="2">
        <v>0.373</v>
      </c>
      <c r="O2443" s="1">
        <v>11</v>
      </c>
      <c r="P2443" s="2">
        <v>4.1029999999999998</v>
      </c>
    </row>
    <row r="2444" spans="10:16">
      <c r="J2444" s="5" t="s">
        <v>3155</v>
      </c>
      <c r="K2444" t="s">
        <v>3156</v>
      </c>
      <c r="L2444" t="s">
        <v>85</v>
      </c>
      <c r="M2444" t="s">
        <v>86</v>
      </c>
      <c r="N2444" s="2">
        <v>1.018</v>
      </c>
      <c r="O2444" s="1">
        <v>4</v>
      </c>
      <c r="P2444" s="2">
        <v>4.0720000000000001</v>
      </c>
    </row>
    <row r="2445" spans="10:16">
      <c r="J2445" s="5" t="s">
        <v>2822</v>
      </c>
      <c r="K2445" t="s">
        <v>2823</v>
      </c>
      <c r="L2445" t="s">
        <v>85</v>
      </c>
      <c r="M2445" t="s">
        <v>86</v>
      </c>
      <c r="N2445" s="2">
        <v>0.67600000000000005</v>
      </c>
      <c r="O2445" s="1">
        <v>6</v>
      </c>
      <c r="P2445" s="2">
        <v>4.056</v>
      </c>
    </row>
    <row r="2446" spans="10:16">
      <c r="J2446" s="5" t="s">
        <v>3681</v>
      </c>
      <c r="K2446" t="s">
        <v>3682</v>
      </c>
      <c r="L2446" t="s">
        <v>219</v>
      </c>
      <c r="M2446" t="s">
        <v>86</v>
      </c>
      <c r="N2446" s="2">
        <v>0.81</v>
      </c>
      <c r="O2446" s="1">
        <v>5</v>
      </c>
      <c r="P2446" s="2">
        <v>4.0500000000000007</v>
      </c>
    </row>
    <row r="2447" spans="10:16">
      <c r="J2447" s="5" t="s">
        <v>887</v>
      </c>
      <c r="K2447" t="s">
        <v>888</v>
      </c>
      <c r="L2447" t="s">
        <v>98</v>
      </c>
      <c r="M2447" t="s">
        <v>86</v>
      </c>
      <c r="N2447" s="2">
        <v>0.40400000000000003</v>
      </c>
      <c r="O2447" s="1">
        <v>10</v>
      </c>
      <c r="P2447" s="2">
        <v>4.04</v>
      </c>
    </row>
    <row r="2448" spans="10:16">
      <c r="J2448" s="5" t="s">
        <v>889</v>
      </c>
      <c r="K2448" t="s">
        <v>890</v>
      </c>
      <c r="L2448" t="s">
        <v>98</v>
      </c>
      <c r="M2448" t="s">
        <v>86</v>
      </c>
      <c r="N2448" s="2">
        <v>0.40400000000000003</v>
      </c>
      <c r="O2448" s="1">
        <v>10</v>
      </c>
      <c r="P2448" s="2">
        <v>4.04</v>
      </c>
    </row>
    <row r="2449" spans="10:16">
      <c r="J2449" s="5" t="s">
        <v>1934</v>
      </c>
      <c r="K2449" t="s">
        <v>1935</v>
      </c>
      <c r="L2449" t="s">
        <v>31</v>
      </c>
      <c r="M2449" t="s">
        <v>125</v>
      </c>
      <c r="N2449" s="2">
        <v>4</v>
      </c>
      <c r="O2449" s="1">
        <v>1</v>
      </c>
      <c r="P2449" s="2">
        <v>4</v>
      </c>
    </row>
    <row r="2450" spans="10:16">
      <c r="J2450" s="5" t="s">
        <v>1940</v>
      </c>
      <c r="K2450" t="s">
        <v>1941</v>
      </c>
      <c r="L2450" t="s">
        <v>31</v>
      </c>
      <c r="M2450" t="s">
        <v>125</v>
      </c>
      <c r="N2450" s="2">
        <v>4</v>
      </c>
      <c r="O2450" s="1">
        <v>1</v>
      </c>
      <c r="P2450" s="2">
        <v>4</v>
      </c>
    </row>
    <row r="2451" spans="10:16">
      <c r="J2451" s="5" t="s">
        <v>1946</v>
      </c>
      <c r="K2451" t="s">
        <v>1947</v>
      </c>
      <c r="L2451" t="s">
        <v>31</v>
      </c>
      <c r="M2451" t="s">
        <v>125</v>
      </c>
      <c r="N2451" s="2">
        <v>4</v>
      </c>
      <c r="O2451" s="1">
        <v>1</v>
      </c>
      <c r="P2451" s="2">
        <v>4</v>
      </c>
    </row>
    <row r="2452" spans="10:16">
      <c r="J2452" s="5" t="s">
        <v>1936</v>
      </c>
      <c r="K2452" t="s">
        <v>1937</v>
      </c>
      <c r="L2452" t="s">
        <v>31</v>
      </c>
      <c r="M2452" t="s">
        <v>125</v>
      </c>
      <c r="N2452" s="2">
        <v>4</v>
      </c>
      <c r="O2452" s="1">
        <v>1</v>
      </c>
      <c r="P2452" s="2">
        <v>4</v>
      </c>
    </row>
    <row r="2453" spans="10:16">
      <c r="J2453" s="5" t="s">
        <v>1944</v>
      </c>
      <c r="K2453" t="s">
        <v>1945</v>
      </c>
      <c r="L2453" t="s">
        <v>31</v>
      </c>
      <c r="M2453" t="s">
        <v>125</v>
      </c>
      <c r="N2453" s="2">
        <v>4</v>
      </c>
      <c r="O2453" s="1">
        <v>1</v>
      </c>
      <c r="P2453" s="2">
        <v>4</v>
      </c>
    </row>
    <row r="2454" spans="10:16">
      <c r="J2454" s="5" t="s">
        <v>1938</v>
      </c>
      <c r="K2454" t="s">
        <v>1939</v>
      </c>
      <c r="L2454" t="s">
        <v>31</v>
      </c>
      <c r="M2454" t="s">
        <v>125</v>
      </c>
      <c r="N2454" s="2">
        <v>4</v>
      </c>
      <c r="O2454" s="1">
        <v>1</v>
      </c>
      <c r="P2454" s="2">
        <v>4</v>
      </c>
    </row>
    <row r="2455" spans="10:16">
      <c r="J2455" s="5" t="s">
        <v>1942</v>
      </c>
      <c r="K2455" t="s">
        <v>1943</v>
      </c>
      <c r="L2455" t="s">
        <v>31</v>
      </c>
      <c r="M2455" t="s">
        <v>125</v>
      </c>
      <c r="N2455" s="2">
        <v>4</v>
      </c>
      <c r="O2455" s="1">
        <v>1</v>
      </c>
      <c r="P2455" s="2">
        <v>4</v>
      </c>
    </row>
    <row r="2456" spans="10:16">
      <c r="J2456" s="5" t="s">
        <v>828</v>
      </c>
      <c r="K2456" t="s">
        <v>829</v>
      </c>
      <c r="L2456" t="s">
        <v>580</v>
      </c>
      <c r="M2456" t="s">
        <v>581</v>
      </c>
      <c r="N2456" s="2">
        <v>0.99</v>
      </c>
      <c r="O2456" s="1">
        <v>4</v>
      </c>
      <c r="P2456" s="2">
        <v>3.96</v>
      </c>
    </row>
    <row r="2457" spans="10:16">
      <c r="J2457" s="5" t="s">
        <v>1761</v>
      </c>
      <c r="K2457" t="s">
        <v>1762</v>
      </c>
      <c r="L2457" t="s">
        <v>31</v>
      </c>
      <c r="M2457" t="s">
        <v>1931</v>
      </c>
      <c r="N2457" s="2">
        <v>3.95</v>
      </c>
      <c r="O2457" s="1">
        <v>1</v>
      </c>
      <c r="P2457" s="2">
        <v>3.95</v>
      </c>
    </row>
    <row r="2458" spans="10:16">
      <c r="J2458" s="5" t="s">
        <v>4537</v>
      </c>
      <c r="K2458" t="s">
        <v>4538</v>
      </c>
      <c r="L2458" t="s">
        <v>85</v>
      </c>
      <c r="M2458" t="s">
        <v>86</v>
      </c>
      <c r="N2458" s="2">
        <v>1.97</v>
      </c>
      <c r="O2458" s="1">
        <v>2</v>
      </c>
      <c r="P2458" s="2">
        <v>3.94</v>
      </c>
    </row>
    <row r="2459" spans="10:16">
      <c r="J2459" s="5" t="s">
        <v>4465</v>
      </c>
      <c r="K2459" t="s">
        <v>4466</v>
      </c>
      <c r="L2459" t="s">
        <v>85</v>
      </c>
      <c r="M2459" t="s">
        <v>86</v>
      </c>
      <c r="N2459" s="2">
        <v>3.9359999999999999</v>
      </c>
      <c r="O2459" s="1">
        <v>1</v>
      </c>
      <c r="P2459" s="2">
        <v>3.9359999999999999</v>
      </c>
    </row>
    <row r="2460" spans="10:16">
      <c r="J2460" s="5" t="s">
        <v>4966</v>
      </c>
      <c r="K2460" t="s">
        <v>4967</v>
      </c>
      <c r="L2460" t="s">
        <v>85</v>
      </c>
      <c r="M2460" t="s">
        <v>86</v>
      </c>
      <c r="N2460" s="2">
        <v>0.56100000000000005</v>
      </c>
      <c r="O2460" s="1">
        <v>7</v>
      </c>
      <c r="P2460" s="2">
        <v>3.9270000000000005</v>
      </c>
    </row>
    <row r="2461" spans="10:16">
      <c r="J2461" s="5" t="s">
        <v>3475</v>
      </c>
      <c r="K2461" t="s">
        <v>3476</v>
      </c>
      <c r="L2461" t="s">
        <v>85</v>
      </c>
      <c r="M2461" t="s">
        <v>86</v>
      </c>
      <c r="N2461" s="2">
        <v>0.436</v>
      </c>
      <c r="O2461" s="1">
        <v>9</v>
      </c>
      <c r="P2461" s="2">
        <v>3.9239999999999999</v>
      </c>
    </row>
    <row r="2462" spans="10:16">
      <c r="J2462" s="5" t="s">
        <v>4998</v>
      </c>
      <c r="K2462" t="s">
        <v>3248</v>
      </c>
      <c r="L2462" t="s">
        <v>219</v>
      </c>
      <c r="M2462" t="s">
        <v>86</v>
      </c>
      <c r="N2462" s="2">
        <v>0.55900000000000005</v>
      </c>
      <c r="O2462" s="1">
        <v>7</v>
      </c>
      <c r="P2462" s="2">
        <v>3.9130000000000003</v>
      </c>
    </row>
    <row r="2463" spans="10:16">
      <c r="J2463" s="5" t="s">
        <v>852</v>
      </c>
      <c r="K2463" t="s">
        <v>853</v>
      </c>
      <c r="L2463" t="s">
        <v>580</v>
      </c>
      <c r="M2463" t="s">
        <v>581</v>
      </c>
      <c r="N2463" s="2">
        <v>1.3</v>
      </c>
      <c r="O2463" s="1">
        <v>3</v>
      </c>
      <c r="P2463" s="2">
        <v>3.9000000000000004</v>
      </c>
    </row>
    <row r="2464" spans="10:16">
      <c r="J2464" s="5" t="s">
        <v>5448</v>
      </c>
      <c r="K2464" t="s">
        <v>5449</v>
      </c>
      <c r="L2464" t="s">
        <v>85</v>
      </c>
      <c r="M2464" t="s">
        <v>86</v>
      </c>
      <c r="N2464" s="2">
        <v>3.9</v>
      </c>
      <c r="O2464" s="1">
        <v>1</v>
      </c>
      <c r="P2464" s="2">
        <v>3.9</v>
      </c>
    </row>
    <row r="2465" spans="10:16">
      <c r="J2465" s="5" t="s">
        <v>5456</v>
      </c>
      <c r="K2465" t="s">
        <v>5457</v>
      </c>
      <c r="L2465" t="s">
        <v>85</v>
      </c>
      <c r="M2465" t="s">
        <v>86</v>
      </c>
      <c r="N2465" s="2">
        <v>1.94</v>
      </c>
      <c r="O2465" s="1">
        <v>2</v>
      </c>
      <c r="P2465" s="2">
        <v>3.88</v>
      </c>
    </row>
    <row r="2466" spans="10:16">
      <c r="J2466" s="5" t="s">
        <v>3580</v>
      </c>
      <c r="K2466" t="s">
        <v>3581</v>
      </c>
      <c r="L2466" t="s">
        <v>219</v>
      </c>
      <c r="M2466" t="s">
        <v>86</v>
      </c>
      <c r="N2466" s="2">
        <v>0.93</v>
      </c>
      <c r="O2466" s="1">
        <v>4</v>
      </c>
      <c r="P2466" s="2">
        <v>3.72</v>
      </c>
    </row>
    <row r="2467" spans="10:16">
      <c r="J2467" s="5" t="s">
        <v>2149</v>
      </c>
      <c r="K2467" t="s">
        <v>2150</v>
      </c>
      <c r="L2467" t="s">
        <v>85</v>
      </c>
      <c r="M2467" t="s">
        <v>86</v>
      </c>
      <c r="N2467" s="2">
        <v>0.248</v>
      </c>
      <c r="O2467" s="1">
        <v>15</v>
      </c>
      <c r="P2467" s="2">
        <v>3.7199999999999998</v>
      </c>
    </row>
    <row r="2468" spans="10:16">
      <c r="J2468" s="5" t="s">
        <v>2081</v>
      </c>
      <c r="K2468" t="s">
        <v>2082</v>
      </c>
      <c r="L2468" t="s">
        <v>31</v>
      </c>
      <c r="M2468" t="s">
        <v>1931</v>
      </c>
      <c r="N2468" s="2">
        <v>3.6970000000000001</v>
      </c>
      <c r="O2468" s="1">
        <v>1</v>
      </c>
      <c r="P2468" s="2">
        <v>3.6970000000000001</v>
      </c>
    </row>
    <row r="2469" spans="10:16">
      <c r="J2469" s="5" t="s">
        <v>2223</v>
      </c>
      <c r="K2469" t="s">
        <v>2224</v>
      </c>
      <c r="L2469" t="s">
        <v>85</v>
      </c>
      <c r="M2469" t="s">
        <v>86</v>
      </c>
      <c r="N2469" s="2">
        <v>0.36299999999999999</v>
      </c>
      <c r="O2469" s="1">
        <v>10</v>
      </c>
      <c r="P2469" s="2">
        <v>3.63</v>
      </c>
    </row>
    <row r="2470" spans="10:16">
      <c r="J2470" s="5" t="s">
        <v>2591</v>
      </c>
      <c r="K2470" t="s">
        <v>2592</v>
      </c>
      <c r="L2470" t="s">
        <v>5474</v>
      </c>
      <c r="M2470" t="s">
        <v>125</v>
      </c>
      <c r="N2470" s="2">
        <v>1.8080000000000001</v>
      </c>
      <c r="O2470" s="1">
        <v>2</v>
      </c>
      <c r="P2470" s="2">
        <v>3.6160000000000001</v>
      </c>
    </row>
    <row r="2471" spans="10:16">
      <c r="J2471" s="5" t="s">
        <v>4104</v>
      </c>
      <c r="K2471" t="s">
        <v>4105</v>
      </c>
      <c r="L2471" t="s">
        <v>85</v>
      </c>
      <c r="M2471" t="s">
        <v>86</v>
      </c>
      <c r="N2471" s="2">
        <v>3.6139999999999999</v>
      </c>
      <c r="O2471" s="1">
        <v>1</v>
      </c>
      <c r="P2471" s="2">
        <v>3.6139999999999999</v>
      </c>
    </row>
    <row r="2472" spans="10:16">
      <c r="J2472" s="5" t="s">
        <v>2917</v>
      </c>
      <c r="K2472" t="s">
        <v>2918</v>
      </c>
      <c r="L2472" t="s">
        <v>98</v>
      </c>
      <c r="M2472" t="s">
        <v>86</v>
      </c>
      <c r="N2472" s="2">
        <v>0.35799999999999998</v>
      </c>
      <c r="O2472" s="1">
        <v>10</v>
      </c>
      <c r="P2472" s="2">
        <v>3.58</v>
      </c>
    </row>
    <row r="2473" spans="10:16">
      <c r="J2473" s="5" t="s">
        <v>3128</v>
      </c>
      <c r="K2473" t="s">
        <v>4917</v>
      </c>
      <c r="L2473" t="s">
        <v>85</v>
      </c>
      <c r="M2473" t="s">
        <v>86</v>
      </c>
      <c r="N2473" s="2">
        <v>0.23699999999999999</v>
      </c>
      <c r="O2473" s="1">
        <v>15</v>
      </c>
      <c r="P2473" s="2">
        <v>3.5549999999999997</v>
      </c>
    </row>
    <row r="2474" spans="10:16">
      <c r="J2474" s="5" t="s">
        <v>2572</v>
      </c>
      <c r="K2474" t="s">
        <v>2573</v>
      </c>
      <c r="L2474" t="s">
        <v>85</v>
      </c>
      <c r="M2474" t="s">
        <v>86</v>
      </c>
      <c r="N2474" s="2">
        <v>0.23699999999999999</v>
      </c>
      <c r="O2474" s="1">
        <v>15</v>
      </c>
      <c r="P2474" s="2">
        <v>3.5549999999999997</v>
      </c>
    </row>
    <row r="2475" spans="10:16">
      <c r="J2475" s="5" t="s">
        <v>4584</v>
      </c>
      <c r="K2475" t="s">
        <v>2421</v>
      </c>
      <c r="L2475" t="s">
        <v>85</v>
      </c>
      <c r="M2475" t="s">
        <v>86</v>
      </c>
      <c r="N2475" s="2">
        <v>0.505</v>
      </c>
      <c r="O2475" s="1">
        <v>7</v>
      </c>
      <c r="P2475" s="2">
        <v>3.5350000000000001</v>
      </c>
    </row>
    <row r="2476" spans="10:16">
      <c r="J2476" s="5" t="s">
        <v>4134</v>
      </c>
      <c r="K2476" t="s">
        <v>4135</v>
      </c>
      <c r="L2476" t="s">
        <v>85</v>
      </c>
      <c r="M2476" t="s">
        <v>86</v>
      </c>
      <c r="N2476" s="2">
        <v>0.505</v>
      </c>
      <c r="O2476" s="1">
        <v>7</v>
      </c>
      <c r="P2476" s="2">
        <v>3.5350000000000001</v>
      </c>
    </row>
    <row r="2477" spans="10:16">
      <c r="J2477" s="5" t="s">
        <v>4474</v>
      </c>
      <c r="K2477" t="s">
        <v>4475</v>
      </c>
      <c r="L2477" t="s">
        <v>219</v>
      </c>
      <c r="M2477" t="s">
        <v>86</v>
      </c>
      <c r="N2477" s="2">
        <v>1.173</v>
      </c>
      <c r="O2477" s="1">
        <v>3</v>
      </c>
      <c r="P2477" s="2">
        <v>3.5190000000000001</v>
      </c>
    </row>
    <row r="2478" spans="10:16">
      <c r="J2478" s="5" t="s">
        <v>2934</v>
      </c>
      <c r="K2478" t="s">
        <v>4087</v>
      </c>
      <c r="L2478" t="s">
        <v>85</v>
      </c>
      <c r="M2478" t="s">
        <v>86</v>
      </c>
      <c r="N2478" s="2">
        <v>0.5</v>
      </c>
      <c r="O2478" s="1">
        <v>7</v>
      </c>
      <c r="P2478" s="2">
        <v>3.5</v>
      </c>
    </row>
    <row r="2479" spans="10:16">
      <c r="J2479" s="5" t="s">
        <v>1801</v>
      </c>
      <c r="K2479" t="s">
        <v>1802</v>
      </c>
      <c r="L2479" t="s">
        <v>31</v>
      </c>
      <c r="M2479" t="s">
        <v>1931</v>
      </c>
      <c r="N2479" s="2">
        <v>3.5</v>
      </c>
      <c r="O2479" s="1">
        <v>1</v>
      </c>
      <c r="P2479" s="2">
        <v>3.5</v>
      </c>
    </row>
    <row r="2480" spans="10:16">
      <c r="J2480" s="5" t="s">
        <v>669</v>
      </c>
      <c r="K2480" t="s">
        <v>670</v>
      </c>
      <c r="L2480" t="s">
        <v>31</v>
      </c>
      <c r="M2480" t="s">
        <v>1931</v>
      </c>
      <c r="N2480" s="2">
        <v>1.7370000000000001</v>
      </c>
      <c r="O2480" s="1">
        <v>2</v>
      </c>
      <c r="P2480" s="2">
        <v>3.4740000000000002</v>
      </c>
    </row>
    <row r="2481" spans="10:16">
      <c r="J2481" s="5" t="s">
        <v>3780</v>
      </c>
      <c r="K2481" t="s">
        <v>3781</v>
      </c>
      <c r="L2481" t="s">
        <v>219</v>
      </c>
      <c r="M2481" t="s">
        <v>86</v>
      </c>
      <c r="N2481" s="2">
        <v>0.56999999999999995</v>
      </c>
      <c r="O2481" s="1">
        <v>6</v>
      </c>
      <c r="P2481" s="2">
        <v>3.42</v>
      </c>
    </row>
    <row r="2482" spans="10:16">
      <c r="J2482" s="5" t="s">
        <v>1928</v>
      </c>
      <c r="K2482" t="s">
        <v>1929</v>
      </c>
      <c r="L2482" t="s">
        <v>1930</v>
      </c>
      <c r="M2482" t="s">
        <v>1931</v>
      </c>
      <c r="N2482" s="2">
        <v>3.4180000000000001</v>
      </c>
      <c r="O2482" s="1">
        <v>1</v>
      </c>
      <c r="P2482" s="2">
        <v>3.4180000000000001</v>
      </c>
    </row>
    <row r="2483" spans="10:16">
      <c r="J2483" s="5" t="s">
        <v>231</v>
      </c>
      <c r="K2483" t="s">
        <v>232</v>
      </c>
      <c r="L2483" t="s">
        <v>223</v>
      </c>
      <c r="M2483" t="s">
        <v>86</v>
      </c>
      <c r="N2483" s="2">
        <v>3.4049999999999998</v>
      </c>
      <c r="O2483" s="1">
        <v>2</v>
      </c>
      <c r="P2483" s="2">
        <v>3.4049999999999998</v>
      </c>
    </row>
    <row r="2484" spans="10:16">
      <c r="J2484" s="5" t="s">
        <v>2141</v>
      </c>
      <c r="K2484" t="s">
        <v>2142</v>
      </c>
      <c r="L2484" t="s">
        <v>85</v>
      </c>
      <c r="M2484" t="s">
        <v>86</v>
      </c>
      <c r="N2484" s="2">
        <v>0.68</v>
      </c>
      <c r="O2484" s="1">
        <v>5</v>
      </c>
      <c r="P2484" s="2">
        <v>3.4000000000000004</v>
      </c>
    </row>
    <row r="2485" spans="10:16">
      <c r="J2485" s="5" t="s">
        <v>4083</v>
      </c>
      <c r="K2485" t="s">
        <v>4084</v>
      </c>
      <c r="L2485" t="s">
        <v>219</v>
      </c>
      <c r="M2485" t="s">
        <v>86</v>
      </c>
      <c r="N2485" s="2">
        <v>0.34</v>
      </c>
      <c r="O2485" s="1">
        <v>10</v>
      </c>
      <c r="P2485" s="2">
        <v>3.4000000000000004</v>
      </c>
    </row>
    <row r="2486" spans="10:16">
      <c r="J2486" s="5" t="s">
        <v>4407</v>
      </c>
      <c r="K2486" t="s">
        <v>4408</v>
      </c>
      <c r="L2486" t="s">
        <v>85</v>
      </c>
      <c r="M2486" t="s">
        <v>86</v>
      </c>
      <c r="N2486" s="2">
        <v>0.377</v>
      </c>
      <c r="O2486" s="1">
        <v>9</v>
      </c>
      <c r="P2486" s="2">
        <v>3.3929999999999998</v>
      </c>
    </row>
    <row r="2487" spans="10:16">
      <c r="J2487" s="5" t="s">
        <v>5348</v>
      </c>
      <c r="K2487" t="s">
        <v>5349</v>
      </c>
      <c r="L2487" t="s">
        <v>85</v>
      </c>
      <c r="M2487" t="s">
        <v>86</v>
      </c>
      <c r="N2487" s="2">
        <v>3.3660000000000001</v>
      </c>
      <c r="O2487" s="1">
        <v>1</v>
      </c>
      <c r="P2487" s="2">
        <v>3.3660000000000001</v>
      </c>
    </row>
    <row r="2488" spans="10:16">
      <c r="J2488" s="5" t="s">
        <v>3679</v>
      </c>
      <c r="K2488" t="s">
        <v>3680</v>
      </c>
      <c r="L2488" t="s">
        <v>98</v>
      </c>
      <c r="M2488" t="s">
        <v>86</v>
      </c>
      <c r="N2488" s="2">
        <v>0.84</v>
      </c>
      <c r="O2488" s="1">
        <v>4</v>
      </c>
      <c r="P2488" s="2">
        <v>3.36</v>
      </c>
    </row>
    <row r="2489" spans="10:16">
      <c r="J2489" s="5" t="s">
        <v>40</v>
      </c>
      <c r="K2489" t="s">
        <v>41</v>
      </c>
      <c r="L2489" t="s">
        <v>31</v>
      </c>
      <c r="M2489" t="s">
        <v>1931</v>
      </c>
      <c r="N2489" s="2">
        <v>1.65</v>
      </c>
      <c r="O2489" s="1">
        <v>2</v>
      </c>
      <c r="P2489" s="2">
        <v>3.3</v>
      </c>
    </row>
    <row r="2490" spans="10:16">
      <c r="J2490" s="5" t="s">
        <v>1373</v>
      </c>
      <c r="K2490" t="s">
        <v>5227</v>
      </c>
      <c r="L2490" t="s">
        <v>101</v>
      </c>
      <c r="M2490" t="s">
        <v>581</v>
      </c>
      <c r="N2490" s="2">
        <v>3.28</v>
      </c>
      <c r="O2490" s="1">
        <v>1</v>
      </c>
      <c r="P2490" s="2">
        <v>3.28</v>
      </c>
    </row>
    <row r="2491" spans="10:16">
      <c r="J2491" s="5" t="s">
        <v>2262</v>
      </c>
      <c r="K2491" t="s">
        <v>2263</v>
      </c>
      <c r="L2491" t="s">
        <v>85</v>
      </c>
      <c r="M2491" t="s">
        <v>86</v>
      </c>
      <c r="N2491" s="2">
        <v>1.6388</v>
      </c>
      <c r="O2491" s="1">
        <v>4</v>
      </c>
      <c r="P2491" s="2">
        <v>3.2776000000000001</v>
      </c>
    </row>
    <row r="2492" spans="10:16">
      <c r="J2492" s="5" t="s">
        <v>432</v>
      </c>
      <c r="K2492" t="s">
        <v>433</v>
      </c>
      <c r="L2492" t="s">
        <v>434</v>
      </c>
      <c r="M2492" t="s">
        <v>86</v>
      </c>
      <c r="N2492" s="2">
        <v>1.59</v>
      </c>
      <c r="O2492" s="1">
        <v>2</v>
      </c>
      <c r="P2492" s="2">
        <v>3.18</v>
      </c>
    </row>
    <row r="2493" spans="10:16">
      <c r="J2493" s="5" t="s">
        <v>4376</v>
      </c>
      <c r="K2493" t="s">
        <v>4377</v>
      </c>
      <c r="L2493" t="s">
        <v>85</v>
      </c>
      <c r="M2493" t="s">
        <v>86</v>
      </c>
      <c r="N2493" s="2">
        <v>1.59</v>
      </c>
      <c r="O2493" s="1">
        <v>2</v>
      </c>
      <c r="P2493" s="2">
        <v>3.18</v>
      </c>
    </row>
    <row r="2494" spans="10:16">
      <c r="J2494" s="5" t="s">
        <v>3762</v>
      </c>
      <c r="K2494" t="s">
        <v>3763</v>
      </c>
      <c r="L2494" t="s">
        <v>436</v>
      </c>
      <c r="M2494" t="s">
        <v>86</v>
      </c>
      <c r="N2494" s="2">
        <v>0.63</v>
      </c>
      <c r="O2494" s="1">
        <v>5</v>
      </c>
      <c r="P2494" s="2">
        <v>3.15</v>
      </c>
    </row>
    <row r="2495" spans="10:16">
      <c r="J2495" s="5" t="s">
        <v>1081</v>
      </c>
      <c r="K2495" t="s">
        <v>1082</v>
      </c>
      <c r="L2495" t="s">
        <v>131</v>
      </c>
      <c r="M2495" t="s">
        <v>125</v>
      </c>
      <c r="N2495" s="2">
        <v>0.28299999999999997</v>
      </c>
      <c r="O2495" s="1">
        <v>11</v>
      </c>
      <c r="P2495" s="2">
        <v>3.1129999999999995</v>
      </c>
    </row>
    <row r="2496" spans="10:16">
      <c r="J2496" s="5" t="s">
        <v>4119</v>
      </c>
      <c r="K2496" t="s">
        <v>4120</v>
      </c>
      <c r="L2496" t="s">
        <v>85</v>
      </c>
      <c r="M2496" t="s">
        <v>86</v>
      </c>
      <c r="N2496" s="2">
        <v>0.30299999999999999</v>
      </c>
      <c r="O2496" s="1">
        <v>10</v>
      </c>
      <c r="P2496" s="2">
        <v>3.03</v>
      </c>
    </row>
    <row r="2497" spans="10:16">
      <c r="J2497" s="5" t="s">
        <v>4480</v>
      </c>
      <c r="K2497" t="s">
        <v>2297</v>
      </c>
      <c r="L2497" t="s">
        <v>219</v>
      </c>
      <c r="M2497" t="s">
        <v>86</v>
      </c>
      <c r="N2497" s="2">
        <v>0.60399999999999998</v>
      </c>
      <c r="O2497" s="1">
        <v>5</v>
      </c>
      <c r="P2497" s="2">
        <v>3.02</v>
      </c>
    </row>
    <row r="2498" spans="10:16">
      <c r="J2498" s="5" t="s">
        <v>32</v>
      </c>
      <c r="K2498" t="s">
        <v>33</v>
      </c>
      <c r="L2498" t="s">
        <v>31</v>
      </c>
      <c r="M2498" t="s">
        <v>1931</v>
      </c>
      <c r="N2498" s="2">
        <v>0.6</v>
      </c>
      <c r="O2498" s="1">
        <v>5</v>
      </c>
      <c r="P2498" s="2">
        <v>3</v>
      </c>
    </row>
    <row r="2499" spans="10:16">
      <c r="J2499" s="5" t="s">
        <v>3807</v>
      </c>
      <c r="K2499" t="s">
        <v>3808</v>
      </c>
      <c r="L2499" t="s">
        <v>85</v>
      </c>
      <c r="M2499" t="s">
        <v>86</v>
      </c>
      <c r="N2499" s="2">
        <v>0.3</v>
      </c>
      <c r="O2499" s="1">
        <v>10</v>
      </c>
      <c r="P2499" s="2">
        <v>3</v>
      </c>
    </row>
    <row r="2500" spans="10:16">
      <c r="J2500" s="5" t="s">
        <v>2553</v>
      </c>
      <c r="K2500" t="s">
        <v>2554</v>
      </c>
      <c r="L2500" t="s">
        <v>1044</v>
      </c>
      <c r="M2500" t="s">
        <v>125</v>
      </c>
      <c r="N2500" s="2">
        <v>1</v>
      </c>
      <c r="O2500" s="1">
        <v>3</v>
      </c>
      <c r="P2500" s="2">
        <v>3</v>
      </c>
    </row>
    <row r="2501" spans="10:16">
      <c r="J2501" s="5" t="s">
        <v>1073</v>
      </c>
      <c r="K2501" t="s">
        <v>1074</v>
      </c>
      <c r="L2501" t="s">
        <v>128</v>
      </c>
      <c r="M2501" t="s">
        <v>125</v>
      </c>
      <c r="N2501" s="2">
        <v>2.9950000000000001</v>
      </c>
      <c r="O2501" s="1">
        <v>1</v>
      </c>
      <c r="P2501" s="2">
        <v>2.9950000000000001</v>
      </c>
    </row>
    <row r="2502" spans="10:16">
      <c r="J2502" s="5" t="s">
        <v>3061</v>
      </c>
      <c r="K2502" t="s">
        <v>3062</v>
      </c>
      <c r="L2502" t="s">
        <v>98</v>
      </c>
      <c r="M2502" t="s">
        <v>86</v>
      </c>
      <c r="N2502" s="2">
        <v>0.499</v>
      </c>
      <c r="O2502" s="1">
        <v>6</v>
      </c>
      <c r="P2502" s="2">
        <v>2.9939999999999998</v>
      </c>
    </row>
    <row r="2503" spans="10:16">
      <c r="J2503" s="5" t="s">
        <v>3772</v>
      </c>
      <c r="K2503" t="s">
        <v>3773</v>
      </c>
      <c r="L2503" t="s">
        <v>219</v>
      </c>
      <c r="M2503" t="s">
        <v>86</v>
      </c>
      <c r="N2503" s="2">
        <v>0.98299999999999998</v>
      </c>
      <c r="O2503" s="1">
        <v>3</v>
      </c>
      <c r="P2503" s="2">
        <v>2.9489999999999998</v>
      </c>
    </row>
    <row r="2504" spans="10:16">
      <c r="J2504" s="5" t="s">
        <v>2432</v>
      </c>
      <c r="K2504" t="s">
        <v>2433</v>
      </c>
      <c r="L2504" t="s">
        <v>85</v>
      </c>
      <c r="M2504" t="s">
        <v>86</v>
      </c>
      <c r="N2504" s="2">
        <v>0.28999999999999998</v>
      </c>
      <c r="O2504" s="1">
        <v>10</v>
      </c>
      <c r="P2504" s="2">
        <v>2.9</v>
      </c>
    </row>
    <row r="2505" spans="10:16">
      <c r="J2505" s="5" t="s">
        <v>2151</v>
      </c>
      <c r="K2505" t="s">
        <v>2152</v>
      </c>
      <c r="L2505" t="s">
        <v>85</v>
      </c>
      <c r="M2505" t="s">
        <v>86</v>
      </c>
      <c r="N2505" s="2">
        <v>2.8889999999999998</v>
      </c>
      <c r="O2505" s="1">
        <v>1</v>
      </c>
      <c r="P2505" s="2">
        <v>2.8889999999999998</v>
      </c>
    </row>
    <row r="2506" spans="10:16">
      <c r="J2506" s="5" t="s">
        <v>2787</v>
      </c>
      <c r="K2506" t="s">
        <v>3630</v>
      </c>
      <c r="L2506" t="s">
        <v>85</v>
      </c>
      <c r="M2506" t="s">
        <v>86</v>
      </c>
      <c r="N2506" s="2">
        <v>0.22</v>
      </c>
      <c r="O2506" s="1">
        <v>13</v>
      </c>
      <c r="P2506" s="2">
        <v>2.86</v>
      </c>
    </row>
    <row r="2507" spans="10:16">
      <c r="J2507" s="5" t="s">
        <v>2145</v>
      </c>
      <c r="K2507" t="s">
        <v>2146</v>
      </c>
      <c r="L2507" t="s">
        <v>85</v>
      </c>
      <c r="M2507" t="s">
        <v>86</v>
      </c>
      <c r="N2507" s="2">
        <v>0.28499999999999998</v>
      </c>
      <c r="O2507" s="1">
        <v>10</v>
      </c>
      <c r="P2507" s="2">
        <v>2.8499999999999996</v>
      </c>
    </row>
    <row r="2508" spans="10:16">
      <c r="J2508" s="5" t="s">
        <v>2246</v>
      </c>
      <c r="K2508" t="s">
        <v>2247</v>
      </c>
      <c r="L2508" t="s">
        <v>85</v>
      </c>
      <c r="M2508" t="s">
        <v>86</v>
      </c>
      <c r="N2508" s="2">
        <v>1.4244000000000001</v>
      </c>
      <c r="O2508" s="1">
        <v>4</v>
      </c>
      <c r="P2508" s="2">
        <v>2.8488000000000002</v>
      </c>
    </row>
    <row r="2509" spans="10:16">
      <c r="J2509" s="5" t="s">
        <v>4001</v>
      </c>
      <c r="K2509" t="s">
        <v>4002</v>
      </c>
      <c r="L2509" t="s">
        <v>98</v>
      </c>
      <c r="M2509" t="s">
        <v>86</v>
      </c>
      <c r="N2509" s="2">
        <v>0.94</v>
      </c>
      <c r="O2509" s="1">
        <v>3</v>
      </c>
      <c r="P2509" s="2">
        <v>2.82</v>
      </c>
    </row>
    <row r="2510" spans="10:16">
      <c r="J2510" s="5" t="s">
        <v>2091</v>
      </c>
      <c r="K2510" t="s">
        <v>2092</v>
      </c>
      <c r="L2510" t="s">
        <v>31</v>
      </c>
      <c r="M2510" t="s">
        <v>1931</v>
      </c>
      <c r="N2510" s="2">
        <v>1.403</v>
      </c>
      <c r="O2510" s="1">
        <v>2</v>
      </c>
      <c r="P2510" s="2">
        <v>2.806</v>
      </c>
    </row>
    <row r="2511" spans="10:16">
      <c r="J2511" s="5" t="s">
        <v>5342</v>
      </c>
      <c r="K2511" t="s">
        <v>5343</v>
      </c>
      <c r="L2511" t="s">
        <v>85</v>
      </c>
      <c r="M2511" t="s">
        <v>86</v>
      </c>
      <c r="N2511" s="2">
        <v>0.1</v>
      </c>
      <c r="O2511" s="1">
        <v>28</v>
      </c>
      <c r="P2511" s="2">
        <v>2.8000000000000003</v>
      </c>
    </row>
    <row r="2512" spans="10:16">
      <c r="J2512" s="5" t="s">
        <v>5024</v>
      </c>
      <c r="K2512" t="s">
        <v>2253</v>
      </c>
      <c r="L2512" t="s">
        <v>85</v>
      </c>
      <c r="M2512" t="s">
        <v>86</v>
      </c>
      <c r="N2512" s="2">
        <v>0.28000000000000003</v>
      </c>
      <c r="O2512" s="1">
        <v>10</v>
      </c>
      <c r="P2512" s="2">
        <v>2.8000000000000003</v>
      </c>
    </row>
    <row r="2513" spans="10:16">
      <c r="J2513" s="5" t="s">
        <v>4130</v>
      </c>
      <c r="K2513" t="s">
        <v>4131</v>
      </c>
      <c r="L2513" t="s">
        <v>85</v>
      </c>
      <c r="M2513" t="s">
        <v>86</v>
      </c>
      <c r="N2513" s="2">
        <v>0.28000000000000003</v>
      </c>
      <c r="O2513" s="1">
        <v>10</v>
      </c>
      <c r="P2513" s="2">
        <v>2.8000000000000003</v>
      </c>
    </row>
    <row r="2514" spans="10:16">
      <c r="J2514" s="5" t="s">
        <v>3801</v>
      </c>
      <c r="K2514" t="s">
        <v>3802</v>
      </c>
      <c r="L2514" t="s">
        <v>436</v>
      </c>
      <c r="M2514" t="s">
        <v>86</v>
      </c>
      <c r="N2514" s="2">
        <v>1.4</v>
      </c>
      <c r="O2514" s="1">
        <v>2</v>
      </c>
      <c r="P2514" s="2">
        <v>2.8</v>
      </c>
    </row>
    <row r="2515" spans="10:16">
      <c r="J2515" s="5" t="s">
        <v>2260</v>
      </c>
      <c r="K2515" t="s">
        <v>2261</v>
      </c>
      <c r="L2515" t="s">
        <v>85</v>
      </c>
      <c r="M2515" t="s">
        <v>86</v>
      </c>
      <c r="N2515" s="2">
        <v>1.3974</v>
      </c>
      <c r="O2515" s="1">
        <v>4</v>
      </c>
      <c r="P2515" s="2">
        <v>2.7948</v>
      </c>
    </row>
    <row r="2516" spans="10:16">
      <c r="J2516" s="5" t="s">
        <v>2248</v>
      </c>
      <c r="K2516" t="s">
        <v>2249</v>
      </c>
      <c r="L2516" t="s">
        <v>85</v>
      </c>
      <c r="M2516" t="s">
        <v>86</v>
      </c>
      <c r="N2516" s="2">
        <v>1.391</v>
      </c>
      <c r="O2516" s="1">
        <v>4</v>
      </c>
      <c r="P2516" s="2">
        <v>2.782</v>
      </c>
    </row>
    <row r="2517" spans="10:16">
      <c r="J2517" s="5" t="s">
        <v>4414</v>
      </c>
      <c r="K2517" t="s">
        <v>4415</v>
      </c>
      <c r="L2517" t="s">
        <v>85</v>
      </c>
      <c r="M2517" t="s">
        <v>86</v>
      </c>
      <c r="N2517" s="2">
        <v>0.68500000000000005</v>
      </c>
      <c r="O2517" s="1">
        <v>4</v>
      </c>
      <c r="P2517" s="2">
        <v>2.74</v>
      </c>
    </row>
    <row r="2518" spans="10:16">
      <c r="J2518" s="5" t="s">
        <v>3659</v>
      </c>
      <c r="K2518" t="s">
        <v>3660</v>
      </c>
      <c r="L2518" t="s">
        <v>219</v>
      </c>
      <c r="M2518" t="s">
        <v>86</v>
      </c>
      <c r="N2518" s="2">
        <v>0.53</v>
      </c>
      <c r="O2518" s="1">
        <v>5</v>
      </c>
      <c r="P2518" s="2">
        <v>2.6500000000000004</v>
      </c>
    </row>
    <row r="2519" spans="10:16">
      <c r="J2519" s="5" t="s">
        <v>3774</v>
      </c>
      <c r="K2519" t="s">
        <v>3775</v>
      </c>
      <c r="L2519" t="s">
        <v>219</v>
      </c>
      <c r="M2519" t="s">
        <v>86</v>
      </c>
      <c r="N2519" s="2">
        <v>0.88300000000000001</v>
      </c>
      <c r="O2519" s="1">
        <v>3</v>
      </c>
      <c r="P2519" s="2">
        <v>2.649</v>
      </c>
    </row>
    <row r="2520" spans="10:16">
      <c r="J2520" s="5" t="s">
        <v>1715</v>
      </c>
      <c r="K2520" t="s">
        <v>1716</v>
      </c>
      <c r="L2520" t="s">
        <v>5252</v>
      </c>
      <c r="M2520" t="s">
        <v>5215</v>
      </c>
      <c r="N2520" s="2">
        <v>0.88</v>
      </c>
      <c r="O2520" s="1">
        <v>6</v>
      </c>
      <c r="P2520" s="2">
        <v>2.64</v>
      </c>
    </row>
    <row r="2521" spans="10:16">
      <c r="J2521" s="5" t="s">
        <v>5025</v>
      </c>
      <c r="K2521" t="s">
        <v>5026</v>
      </c>
      <c r="L2521" t="s">
        <v>219</v>
      </c>
      <c r="M2521" t="s">
        <v>86</v>
      </c>
      <c r="N2521" s="2">
        <v>0.29220000000000002</v>
      </c>
      <c r="O2521" s="1">
        <v>9</v>
      </c>
      <c r="P2521" s="2">
        <v>2.6298000000000004</v>
      </c>
    </row>
    <row r="2522" spans="10:16">
      <c r="J2522" s="5" t="s">
        <v>643</v>
      </c>
      <c r="K2522" t="s">
        <v>644</v>
      </c>
      <c r="L2522" t="s">
        <v>31</v>
      </c>
      <c r="M2522" t="s">
        <v>1931</v>
      </c>
      <c r="N2522" s="2">
        <v>2.6179999999999999</v>
      </c>
      <c r="O2522" s="1">
        <v>1</v>
      </c>
      <c r="P2522" s="2">
        <v>2.6179999999999999</v>
      </c>
    </row>
    <row r="2523" spans="10:16">
      <c r="J2523" s="5" t="s">
        <v>1013</v>
      </c>
      <c r="K2523" t="s">
        <v>1014</v>
      </c>
      <c r="L2523" t="s">
        <v>31</v>
      </c>
      <c r="M2523" t="s">
        <v>1931</v>
      </c>
      <c r="N2523" s="2">
        <v>2.5000000000000001E-2</v>
      </c>
      <c r="O2523" s="1">
        <v>104</v>
      </c>
      <c r="P2523" s="2">
        <v>2.6</v>
      </c>
    </row>
    <row r="2524" spans="10:16">
      <c r="J2524" s="5" t="s">
        <v>549</v>
      </c>
      <c r="K2524" t="s">
        <v>550</v>
      </c>
      <c r="L2524" t="s">
        <v>85</v>
      </c>
      <c r="M2524" t="s">
        <v>86</v>
      </c>
      <c r="N2524" s="2">
        <v>0.64300000000000002</v>
      </c>
      <c r="O2524" s="1">
        <v>4</v>
      </c>
      <c r="P2524" s="2">
        <v>2.5720000000000001</v>
      </c>
    </row>
    <row r="2525" spans="10:16">
      <c r="J2525" s="5" t="s">
        <v>1276</v>
      </c>
      <c r="K2525" t="s">
        <v>1277</v>
      </c>
      <c r="L2525" t="s">
        <v>101</v>
      </c>
      <c r="M2525" t="s">
        <v>581</v>
      </c>
      <c r="N2525" s="2">
        <v>250.28800000000001</v>
      </c>
      <c r="O2525" s="1">
        <v>1.01E-2</v>
      </c>
      <c r="P2525" s="2">
        <v>2.5279088000000001</v>
      </c>
    </row>
    <row r="2526" spans="10:16">
      <c r="J2526" s="5" t="s">
        <v>1513</v>
      </c>
      <c r="K2526" t="s">
        <v>1514</v>
      </c>
      <c r="L2526" t="s">
        <v>101</v>
      </c>
      <c r="M2526" t="s">
        <v>102</v>
      </c>
      <c r="N2526" s="2">
        <v>0.313</v>
      </c>
      <c r="O2526" s="1">
        <v>8</v>
      </c>
      <c r="P2526" s="2">
        <v>2.504</v>
      </c>
    </row>
    <row r="2527" spans="10:16">
      <c r="J2527" s="5" t="s">
        <v>3841</v>
      </c>
      <c r="K2527" t="s">
        <v>3842</v>
      </c>
      <c r="L2527" t="s">
        <v>223</v>
      </c>
      <c r="M2527" t="s">
        <v>86</v>
      </c>
      <c r="N2527" s="2">
        <v>0.5</v>
      </c>
      <c r="O2527" s="1">
        <v>5</v>
      </c>
      <c r="P2527" s="2">
        <v>2.5</v>
      </c>
    </row>
    <row r="2528" spans="10:16">
      <c r="J2528" s="5" t="s">
        <v>4203</v>
      </c>
      <c r="K2528" t="s">
        <v>2346</v>
      </c>
      <c r="L2528" t="s">
        <v>219</v>
      </c>
      <c r="M2528" t="s">
        <v>86</v>
      </c>
      <c r="N2528" s="2">
        <v>2.46</v>
      </c>
      <c r="O2528" s="1">
        <v>1</v>
      </c>
      <c r="P2528" s="2">
        <v>2.46</v>
      </c>
    </row>
    <row r="2529" spans="10:16">
      <c r="J2529" s="5" t="s">
        <v>4143</v>
      </c>
      <c r="K2529" t="s">
        <v>4144</v>
      </c>
      <c r="L2529" t="s">
        <v>85</v>
      </c>
      <c r="M2529" t="s">
        <v>86</v>
      </c>
      <c r="N2529" s="2">
        <v>1.22</v>
      </c>
      <c r="O2529" s="1">
        <v>2</v>
      </c>
      <c r="P2529" s="2">
        <v>2.44</v>
      </c>
    </row>
    <row r="2530" spans="10:16">
      <c r="J2530" s="5" t="s">
        <v>3592</v>
      </c>
      <c r="K2530" t="s">
        <v>3593</v>
      </c>
      <c r="L2530" t="s">
        <v>98</v>
      </c>
      <c r="M2530" t="s">
        <v>86</v>
      </c>
      <c r="N2530" s="2">
        <v>0.20100000000000001</v>
      </c>
      <c r="O2530" s="1">
        <v>12</v>
      </c>
      <c r="P2530" s="2">
        <v>2.4119999999999999</v>
      </c>
    </row>
    <row r="2531" spans="10:16">
      <c r="J2531" s="5" t="s">
        <v>4125</v>
      </c>
      <c r="K2531" t="s">
        <v>2109</v>
      </c>
      <c r="L2531" t="s">
        <v>85</v>
      </c>
      <c r="M2531" t="s">
        <v>86</v>
      </c>
      <c r="N2531" s="2">
        <v>0.24</v>
      </c>
      <c r="O2531" s="1">
        <v>10</v>
      </c>
      <c r="P2531" s="2">
        <v>2.4</v>
      </c>
    </row>
    <row r="2532" spans="10:16">
      <c r="J2532" s="5" t="s">
        <v>4982</v>
      </c>
      <c r="K2532" t="s">
        <v>4983</v>
      </c>
      <c r="L2532" t="s">
        <v>85</v>
      </c>
      <c r="M2532" t="s">
        <v>86</v>
      </c>
      <c r="N2532" s="2">
        <v>0.48</v>
      </c>
      <c r="O2532" s="1">
        <v>5</v>
      </c>
      <c r="P2532" s="2">
        <v>2.4</v>
      </c>
    </row>
    <row r="2533" spans="10:16">
      <c r="J2533" s="5" t="s">
        <v>4639</v>
      </c>
      <c r="K2533" t="s">
        <v>4640</v>
      </c>
      <c r="L2533" t="s">
        <v>85</v>
      </c>
      <c r="M2533" t="s">
        <v>86</v>
      </c>
      <c r="N2533" s="2">
        <v>0.23899999999999999</v>
      </c>
      <c r="O2533" s="1">
        <v>10</v>
      </c>
      <c r="P2533" s="2">
        <v>2.3899999999999997</v>
      </c>
    </row>
    <row r="2534" spans="10:16">
      <c r="J2534" s="5" t="s">
        <v>301</v>
      </c>
      <c r="K2534" t="s">
        <v>3985</v>
      </c>
      <c r="L2534" t="s">
        <v>98</v>
      </c>
      <c r="M2534" t="s">
        <v>86</v>
      </c>
      <c r="N2534" s="2">
        <v>0.79</v>
      </c>
      <c r="O2534" s="1">
        <v>3</v>
      </c>
      <c r="P2534" s="2">
        <v>2.37</v>
      </c>
    </row>
    <row r="2535" spans="10:16">
      <c r="J2535" s="5" t="s">
        <v>2170</v>
      </c>
      <c r="K2535" t="s">
        <v>2171</v>
      </c>
      <c r="L2535" t="s">
        <v>85</v>
      </c>
      <c r="M2535" t="s">
        <v>86</v>
      </c>
      <c r="N2535" s="2">
        <v>2.3410000000000002</v>
      </c>
      <c r="O2535" s="1">
        <v>1</v>
      </c>
      <c r="P2535" s="2">
        <v>2.3410000000000002</v>
      </c>
    </row>
    <row r="2536" spans="10:16">
      <c r="J2536" s="5" t="s">
        <v>2087</v>
      </c>
      <c r="K2536" t="s">
        <v>2088</v>
      </c>
      <c r="L2536" t="s">
        <v>31</v>
      </c>
      <c r="M2536" t="s">
        <v>1931</v>
      </c>
      <c r="N2536" s="2">
        <v>1.17</v>
      </c>
      <c r="O2536" s="1">
        <v>2</v>
      </c>
      <c r="P2536" s="2">
        <v>2.34</v>
      </c>
    </row>
    <row r="2537" spans="10:16">
      <c r="J2537" s="5" t="s">
        <v>1376</v>
      </c>
      <c r="K2537" t="s">
        <v>1377</v>
      </c>
      <c r="L2537" t="s">
        <v>115</v>
      </c>
      <c r="M2537" t="s">
        <v>102</v>
      </c>
      <c r="N2537" s="2">
        <v>0.122</v>
      </c>
      <c r="O2537" s="1">
        <v>19</v>
      </c>
      <c r="P2537" s="2">
        <v>2.3180000000000001</v>
      </c>
    </row>
    <row r="2538" spans="10:16">
      <c r="J2538" s="5" t="s">
        <v>2303</v>
      </c>
      <c r="K2538" t="s">
        <v>2304</v>
      </c>
      <c r="L2538" t="s">
        <v>219</v>
      </c>
      <c r="M2538" t="s">
        <v>86</v>
      </c>
      <c r="N2538" s="2">
        <v>0.77139999999999997</v>
      </c>
      <c r="O2538" s="1">
        <v>6</v>
      </c>
      <c r="P2538" s="2">
        <v>2.3142</v>
      </c>
    </row>
    <row r="2539" spans="10:16">
      <c r="J2539" s="5" t="s">
        <v>3674</v>
      </c>
      <c r="K2539" t="s">
        <v>3675</v>
      </c>
      <c r="L2539" t="s">
        <v>98</v>
      </c>
      <c r="M2539" t="s">
        <v>86</v>
      </c>
      <c r="N2539" s="2">
        <v>0.46</v>
      </c>
      <c r="O2539" s="1">
        <v>5</v>
      </c>
      <c r="P2539" s="2">
        <v>2.3000000000000003</v>
      </c>
    </row>
    <row r="2540" spans="10:16">
      <c r="J2540" s="5" t="s">
        <v>2516</v>
      </c>
      <c r="K2540" t="s">
        <v>2517</v>
      </c>
      <c r="L2540" t="s">
        <v>3537</v>
      </c>
      <c r="M2540" t="s">
        <v>86</v>
      </c>
      <c r="N2540" s="2">
        <v>1.0895999999999999</v>
      </c>
      <c r="O2540" s="1">
        <v>4</v>
      </c>
      <c r="P2540" s="2">
        <v>2.1791999999999998</v>
      </c>
    </row>
    <row r="2541" spans="10:16">
      <c r="J2541" s="5" t="s">
        <v>3626</v>
      </c>
      <c r="K2541" t="s">
        <v>3627</v>
      </c>
      <c r="L2541" t="s">
        <v>219</v>
      </c>
      <c r="M2541" t="s">
        <v>86</v>
      </c>
      <c r="N2541" s="2">
        <v>0.432</v>
      </c>
      <c r="O2541" s="1">
        <v>5</v>
      </c>
      <c r="P2541" s="2">
        <v>2.16</v>
      </c>
    </row>
    <row r="2542" spans="10:16">
      <c r="J2542" s="5" t="s">
        <v>66</v>
      </c>
      <c r="K2542" t="s">
        <v>67</v>
      </c>
      <c r="L2542" t="s">
        <v>31</v>
      </c>
      <c r="M2542" t="s">
        <v>1931</v>
      </c>
      <c r="N2542" s="2">
        <v>0.72</v>
      </c>
      <c r="O2542" s="1">
        <v>3</v>
      </c>
      <c r="P2542" s="2">
        <v>2.16</v>
      </c>
    </row>
    <row r="2543" spans="10:16">
      <c r="J2543" s="5" t="s">
        <v>4725</v>
      </c>
      <c r="K2543" t="s">
        <v>4726</v>
      </c>
      <c r="L2543" t="s">
        <v>3482</v>
      </c>
      <c r="M2543" t="s">
        <v>86</v>
      </c>
      <c r="N2543" s="2">
        <v>1.07</v>
      </c>
      <c r="O2543" s="1">
        <v>2</v>
      </c>
      <c r="P2543" s="2">
        <v>2.14</v>
      </c>
    </row>
    <row r="2544" spans="10:16">
      <c r="J2544" s="5" t="s">
        <v>2201</v>
      </c>
      <c r="K2544" t="s">
        <v>2202</v>
      </c>
      <c r="L2544" t="s">
        <v>85</v>
      </c>
      <c r="M2544" t="s">
        <v>86</v>
      </c>
      <c r="N2544" s="2">
        <v>0.35599999999999998</v>
      </c>
      <c r="O2544" s="1">
        <v>6</v>
      </c>
      <c r="P2544" s="2">
        <v>2.1360000000000001</v>
      </c>
    </row>
    <row r="2545" spans="10:16">
      <c r="J2545" s="5" t="s">
        <v>4121</v>
      </c>
      <c r="K2545" t="s">
        <v>4122</v>
      </c>
      <c r="L2545" t="s">
        <v>85</v>
      </c>
      <c r="M2545" t="s">
        <v>86</v>
      </c>
      <c r="N2545" s="2">
        <v>0.30299999999999999</v>
      </c>
      <c r="O2545" s="1">
        <v>7</v>
      </c>
      <c r="P2545" s="2">
        <v>2.121</v>
      </c>
    </row>
    <row r="2546" spans="10:16">
      <c r="J2546" s="5" t="s">
        <v>4961</v>
      </c>
      <c r="K2546" t="s">
        <v>4962</v>
      </c>
      <c r="L2546" t="s">
        <v>85</v>
      </c>
      <c r="M2546" t="s">
        <v>86</v>
      </c>
      <c r="N2546" s="2">
        <v>0.7</v>
      </c>
      <c r="O2546" s="1">
        <v>3</v>
      </c>
      <c r="P2546" s="2">
        <v>2.0999999999999996</v>
      </c>
    </row>
    <row r="2547" spans="10:16">
      <c r="J2547" s="5" t="s">
        <v>3795</v>
      </c>
      <c r="K2547" t="s">
        <v>3796</v>
      </c>
      <c r="L2547" t="s">
        <v>436</v>
      </c>
      <c r="M2547" t="s">
        <v>86</v>
      </c>
      <c r="N2547" s="2">
        <v>1.03</v>
      </c>
      <c r="O2547" s="1">
        <v>2</v>
      </c>
      <c r="P2547" s="2">
        <v>2.06</v>
      </c>
    </row>
    <row r="2548" spans="10:16">
      <c r="J2548" s="5" t="s">
        <v>1870</v>
      </c>
      <c r="K2548" t="s">
        <v>1871</v>
      </c>
      <c r="L2548" t="s">
        <v>31</v>
      </c>
      <c r="M2548" t="s">
        <v>1931</v>
      </c>
      <c r="N2548" s="2">
        <v>2</v>
      </c>
      <c r="O2548" s="1">
        <v>1</v>
      </c>
      <c r="P2548" s="2">
        <v>2</v>
      </c>
    </row>
    <row r="2549" spans="10:16">
      <c r="J2549" s="5" t="s">
        <v>2409</v>
      </c>
      <c r="K2549" t="s">
        <v>2410</v>
      </c>
      <c r="L2549" t="s">
        <v>85</v>
      </c>
      <c r="M2549" t="s">
        <v>86</v>
      </c>
      <c r="N2549" s="2">
        <v>0.48399999999999999</v>
      </c>
      <c r="O2549" s="1">
        <v>4</v>
      </c>
      <c r="P2549" s="2">
        <v>1.9359999999999999</v>
      </c>
    </row>
    <row r="2550" spans="10:16">
      <c r="J2550" s="5" t="s">
        <v>4911</v>
      </c>
      <c r="K2550" t="s">
        <v>4912</v>
      </c>
      <c r="L2550" t="s">
        <v>436</v>
      </c>
      <c r="M2550" t="s">
        <v>86</v>
      </c>
      <c r="N2550" s="2">
        <v>0.64</v>
      </c>
      <c r="O2550" s="1">
        <v>3</v>
      </c>
      <c r="P2550" s="2">
        <v>1.92</v>
      </c>
    </row>
    <row r="2551" spans="10:16">
      <c r="J2551" s="5" t="s">
        <v>3502</v>
      </c>
      <c r="K2551" t="s">
        <v>3503</v>
      </c>
      <c r="L2551" t="s">
        <v>436</v>
      </c>
      <c r="M2551" t="s">
        <v>86</v>
      </c>
      <c r="N2551" s="2">
        <v>0.38</v>
      </c>
      <c r="O2551" s="1">
        <v>5</v>
      </c>
      <c r="P2551" s="2">
        <v>1.9</v>
      </c>
    </row>
    <row r="2552" spans="10:16">
      <c r="J2552" s="5" t="s">
        <v>4100</v>
      </c>
      <c r="K2552" t="s">
        <v>4101</v>
      </c>
      <c r="L2552" t="s">
        <v>85</v>
      </c>
      <c r="M2552" t="s">
        <v>86</v>
      </c>
      <c r="N2552" s="2">
        <v>0.378</v>
      </c>
      <c r="O2552" s="1">
        <v>5</v>
      </c>
      <c r="P2552" s="2">
        <v>1.8900000000000001</v>
      </c>
    </row>
    <row r="2553" spans="10:16">
      <c r="J2553" s="5" t="s">
        <v>1920</v>
      </c>
      <c r="K2553" t="s">
        <v>1921</v>
      </c>
      <c r="L2553" t="s">
        <v>31</v>
      </c>
      <c r="M2553" t="s">
        <v>1931</v>
      </c>
      <c r="N2553" s="2">
        <v>1.84</v>
      </c>
      <c r="O2553" s="1">
        <v>1</v>
      </c>
      <c r="P2553" s="2">
        <v>1.84</v>
      </c>
    </row>
    <row r="2554" spans="10:16">
      <c r="J2554" s="5" t="s">
        <v>1003</v>
      </c>
      <c r="K2554" t="s">
        <v>1004</v>
      </c>
      <c r="L2554" t="s">
        <v>618</v>
      </c>
      <c r="M2554" t="s">
        <v>626</v>
      </c>
      <c r="N2554" s="2">
        <v>0.90300000000000002</v>
      </c>
      <c r="O2554" s="1">
        <v>2</v>
      </c>
      <c r="P2554" s="2">
        <v>1.806</v>
      </c>
    </row>
    <row r="2555" spans="10:16">
      <c r="J2555" s="5" t="s">
        <v>1152</v>
      </c>
      <c r="K2555" t="s">
        <v>1153</v>
      </c>
      <c r="L2555" t="s">
        <v>31</v>
      </c>
      <c r="M2555" t="s">
        <v>1931</v>
      </c>
      <c r="N2555" s="2">
        <v>0.9</v>
      </c>
      <c r="O2555" s="1">
        <v>2</v>
      </c>
      <c r="P2555" s="2">
        <v>1.8</v>
      </c>
    </row>
    <row r="2556" spans="10:16">
      <c r="J2556" s="5" t="s">
        <v>4042</v>
      </c>
      <c r="K2556" t="s">
        <v>4043</v>
      </c>
      <c r="L2556" t="s">
        <v>98</v>
      </c>
      <c r="M2556" t="s">
        <v>86</v>
      </c>
      <c r="N2556" s="2">
        <v>0.17699999999999999</v>
      </c>
      <c r="O2556" s="1">
        <v>10</v>
      </c>
      <c r="P2556" s="2">
        <v>1.77</v>
      </c>
    </row>
    <row r="2557" spans="10:16">
      <c r="J2557" s="5" t="s">
        <v>2108</v>
      </c>
      <c r="K2557" t="s">
        <v>2109</v>
      </c>
      <c r="L2557" t="s">
        <v>85</v>
      </c>
      <c r="M2557" t="s">
        <v>86</v>
      </c>
      <c r="N2557" s="2">
        <v>0.29399999999999998</v>
      </c>
      <c r="O2557" s="1">
        <v>6</v>
      </c>
      <c r="P2557" s="2">
        <v>1.7639999999999998</v>
      </c>
    </row>
    <row r="2558" spans="10:16">
      <c r="J2558" s="5" t="s">
        <v>4959</v>
      </c>
      <c r="K2558" t="s">
        <v>4960</v>
      </c>
      <c r="L2558" t="s">
        <v>98</v>
      </c>
      <c r="M2558" t="s">
        <v>86</v>
      </c>
      <c r="N2558" s="2">
        <v>0.438</v>
      </c>
      <c r="O2558" s="1">
        <v>4</v>
      </c>
      <c r="P2558" s="2">
        <v>1.752</v>
      </c>
    </row>
    <row r="2559" spans="10:16">
      <c r="J2559" s="5" t="s">
        <v>4345</v>
      </c>
      <c r="K2559" t="s">
        <v>4346</v>
      </c>
      <c r="L2559" t="s">
        <v>98</v>
      </c>
      <c r="M2559" t="s">
        <v>86</v>
      </c>
      <c r="N2559" s="2">
        <v>0.55000000000000004</v>
      </c>
      <c r="O2559" s="1">
        <v>3</v>
      </c>
      <c r="P2559" s="2">
        <v>1.6500000000000001</v>
      </c>
    </row>
    <row r="2560" spans="10:16">
      <c r="J2560" s="5" t="s">
        <v>1263</v>
      </c>
      <c r="K2560" t="s">
        <v>1264</v>
      </c>
      <c r="L2560" t="s">
        <v>101</v>
      </c>
      <c r="M2560" t="s">
        <v>581</v>
      </c>
      <c r="N2560" s="2">
        <v>1.6359999999999999</v>
      </c>
      <c r="O2560" s="1">
        <v>1</v>
      </c>
      <c r="P2560" s="2">
        <v>1.6359999999999999</v>
      </c>
    </row>
    <row r="2561" spans="10:16">
      <c r="J2561" s="5" t="s">
        <v>3730</v>
      </c>
      <c r="K2561" t="s">
        <v>3731</v>
      </c>
      <c r="L2561" t="s">
        <v>85</v>
      </c>
      <c r="M2561" t="s">
        <v>86</v>
      </c>
      <c r="N2561" s="2">
        <v>0.54</v>
      </c>
      <c r="O2561" s="1">
        <v>3</v>
      </c>
      <c r="P2561" s="2">
        <v>1.62</v>
      </c>
    </row>
    <row r="2562" spans="10:16">
      <c r="J2562" s="5" t="s">
        <v>4904</v>
      </c>
      <c r="K2562" t="s">
        <v>2345</v>
      </c>
      <c r="L2562" t="s">
        <v>219</v>
      </c>
      <c r="M2562" t="s">
        <v>86</v>
      </c>
      <c r="N2562" s="2">
        <v>0.54</v>
      </c>
      <c r="O2562" s="1">
        <v>3</v>
      </c>
      <c r="P2562" s="2">
        <v>1.62</v>
      </c>
    </row>
    <row r="2563" spans="10:16">
      <c r="J2563" s="5" t="s">
        <v>4094</v>
      </c>
      <c r="K2563" t="s">
        <v>4095</v>
      </c>
      <c r="L2563" t="s">
        <v>85</v>
      </c>
      <c r="M2563" t="s">
        <v>86</v>
      </c>
      <c r="N2563" s="2">
        <v>0.16</v>
      </c>
      <c r="O2563" s="1">
        <v>10</v>
      </c>
      <c r="P2563" s="2">
        <v>1.6</v>
      </c>
    </row>
    <row r="2564" spans="10:16">
      <c r="J2564" s="5" t="s">
        <v>3055</v>
      </c>
      <c r="K2564" t="s">
        <v>3056</v>
      </c>
      <c r="L2564" t="s">
        <v>85</v>
      </c>
      <c r="M2564" t="s">
        <v>86</v>
      </c>
      <c r="N2564" s="2">
        <v>1.58</v>
      </c>
      <c r="O2564" s="1">
        <v>1</v>
      </c>
      <c r="P2564" s="2">
        <v>1.58</v>
      </c>
    </row>
    <row r="2565" spans="10:16">
      <c r="J2565" s="5" t="s">
        <v>2174</v>
      </c>
      <c r="K2565" t="s">
        <v>2175</v>
      </c>
      <c r="L2565" t="s">
        <v>85</v>
      </c>
      <c r="M2565" t="s">
        <v>86</v>
      </c>
      <c r="N2565" s="2">
        <v>0.78659999999999997</v>
      </c>
      <c r="O2565" s="1">
        <v>4</v>
      </c>
      <c r="P2565" s="2">
        <v>1.5731999999999999</v>
      </c>
    </row>
    <row r="2566" spans="10:16">
      <c r="J2566" s="5" t="s">
        <v>1261</v>
      </c>
      <c r="K2566" t="s">
        <v>1262</v>
      </c>
      <c r="L2566" t="s">
        <v>101</v>
      </c>
      <c r="M2566" t="s">
        <v>581</v>
      </c>
      <c r="N2566" s="2">
        <v>1.5720000000000001</v>
      </c>
      <c r="O2566" s="1">
        <v>1</v>
      </c>
      <c r="P2566" s="2">
        <v>1.5720000000000001</v>
      </c>
    </row>
    <row r="2567" spans="10:16">
      <c r="J2567" s="5" t="s">
        <v>38</v>
      </c>
      <c r="K2567" t="s">
        <v>39</v>
      </c>
      <c r="L2567" t="s">
        <v>31</v>
      </c>
      <c r="M2567" t="s">
        <v>1931</v>
      </c>
      <c r="N2567" s="2">
        <v>0.39</v>
      </c>
      <c r="O2567" s="1">
        <v>4</v>
      </c>
      <c r="P2567" s="2">
        <v>1.56</v>
      </c>
    </row>
    <row r="2568" spans="10:16">
      <c r="J2568" s="5" t="s">
        <v>526</v>
      </c>
      <c r="K2568" t="s">
        <v>527</v>
      </c>
      <c r="L2568" t="s">
        <v>85</v>
      </c>
      <c r="M2568" t="s">
        <v>86</v>
      </c>
      <c r="N2568" s="2">
        <v>0.755</v>
      </c>
      <c r="O2568" s="1">
        <v>2</v>
      </c>
      <c r="P2568" s="2">
        <v>1.51</v>
      </c>
    </row>
    <row r="2569" spans="10:16">
      <c r="J2569" s="5" t="s">
        <v>2254</v>
      </c>
      <c r="K2569" t="s">
        <v>2255</v>
      </c>
      <c r="L2569" t="s">
        <v>85</v>
      </c>
      <c r="M2569" t="s">
        <v>86</v>
      </c>
      <c r="N2569" s="2">
        <v>1.4890000000000001</v>
      </c>
      <c r="O2569" s="1">
        <v>1</v>
      </c>
      <c r="P2569" s="2">
        <v>1.4890000000000001</v>
      </c>
    </row>
    <row r="2570" spans="10:16">
      <c r="J2570" s="5" t="s">
        <v>5202</v>
      </c>
      <c r="K2570" t="s">
        <v>5203</v>
      </c>
      <c r="L2570" t="s">
        <v>101</v>
      </c>
      <c r="M2570" t="s">
        <v>581</v>
      </c>
      <c r="N2570" s="2">
        <v>37</v>
      </c>
      <c r="O2570" s="1">
        <v>0.04</v>
      </c>
      <c r="P2570" s="2">
        <v>1.48</v>
      </c>
    </row>
    <row r="2571" spans="10:16">
      <c r="J2571" s="5" t="s">
        <v>139</v>
      </c>
      <c r="K2571" t="s">
        <v>140</v>
      </c>
      <c r="L2571" t="s">
        <v>141</v>
      </c>
      <c r="M2571" t="s">
        <v>125</v>
      </c>
      <c r="N2571" s="2">
        <v>1.46</v>
      </c>
      <c r="O2571" s="1">
        <v>1</v>
      </c>
      <c r="P2571" s="2">
        <v>1.46</v>
      </c>
    </row>
    <row r="2572" spans="10:16">
      <c r="J2572" s="5" t="s">
        <v>36</v>
      </c>
      <c r="K2572" t="s">
        <v>37</v>
      </c>
      <c r="L2572" t="s">
        <v>31</v>
      </c>
      <c r="M2572" t="s">
        <v>1931</v>
      </c>
      <c r="N2572" s="2">
        <v>0.72</v>
      </c>
      <c r="O2572" s="1">
        <v>2</v>
      </c>
      <c r="P2572" s="2">
        <v>1.44</v>
      </c>
    </row>
    <row r="2573" spans="10:16">
      <c r="J2573" s="5" t="s">
        <v>2233</v>
      </c>
      <c r="K2573" t="s">
        <v>2234</v>
      </c>
      <c r="L2573" t="s">
        <v>85</v>
      </c>
      <c r="M2573" t="s">
        <v>86</v>
      </c>
      <c r="N2573" s="2">
        <v>1.419</v>
      </c>
      <c r="O2573" s="1">
        <v>2</v>
      </c>
      <c r="P2573" s="2">
        <v>1.419</v>
      </c>
    </row>
    <row r="2574" spans="10:16">
      <c r="J2574" s="5" t="s">
        <v>1371</v>
      </c>
      <c r="K2574" t="s">
        <v>1372</v>
      </c>
      <c r="L2574" t="s">
        <v>115</v>
      </c>
      <c r="M2574" t="s">
        <v>102</v>
      </c>
      <c r="N2574" s="2">
        <v>0.15529999999999999</v>
      </c>
      <c r="O2574" s="1">
        <v>9</v>
      </c>
      <c r="P2574" s="2">
        <v>1.3976999999999999</v>
      </c>
    </row>
    <row r="2575" spans="10:16">
      <c r="J2575" s="5" t="s">
        <v>5504</v>
      </c>
      <c r="K2575" t="s">
        <v>5505</v>
      </c>
      <c r="L2575" t="s">
        <v>85</v>
      </c>
      <c r="M2575" t="s">
        <v>86</v>
      </c>
      <c r="N2575" s="2">
        <v>1.353</v>
      </c>
      <c r="O2575" s="1">
        <v>1</v>
      </c>
      <c r="P2575" s="2">
        <v>1.353</v>
      </c>
    </row>
    <row r="2576" spans="10:16">
      <c r="J2576" s="5" t="s">
        <v>445</v>
      </c>
      <c r="K2576" t="s">
        <v>446</v>
      </c>
      <c r="L2576" t="s">
        <v>219</v>
      </c>
      <c r="M2576" t="s">
        <v>86</v>
      </c>
      <c r="N2576" s="2">
        <v>1.34</v>
      </c>
      <c r="O2576" s="1">
        <v>1</v>
      </c>
      <c r="P2576" s="2">
        <v>1.34</v>
      </c>
    </row>
    <row r="2577" spans="10:16">
      <c r="J2577" s="5" t="s">
        <v>840</v>
      </c>
      <c r="K2577" t="s">
        <v>841</v>
      </c>
      <c r="L2577" t="s">
        <v>580</v>
      </c>
      <c r="M2577" t="s">
        <v>581</v>
      </c>
      <c r="N2577" s="2">
        <v>0.66500000000000004</v>
      </c>
      <c r="O2577" s="1">
        <v>2</v>
      </c>
      <c r="P2577" s="2">
        <v>1.33</v>
      </c>
    </row>
    <row r="2578" spans="10:16">
      <c r="J2578" s="5" t="s">
        <v>2137</v>
      </c>
      <c r="K2578" t="s">
        <v>2138</v>
      </c>
      <c r="L2578" t="s">
        <v>85</v>
      </c>
      <c r="M2578" t="s">
        <v>86</v>
      </c>
      <c r="N2578" s="2">
        <v>1.3176000000000001</v>
      </c>
      <c r="O2578" s="1">
        <v>2</v>
      </c>
      <c r="P2578" s="2">
        <v>1.3176000000000001</v>
      </c>
    </row>
    <row r="2579" spans="10:16">
      <c r="J2579" s="5" t="s">
        <v>649</v>
      </c>
      <c r="K2579" t="s">
        <v>650</v>
      </c>
      <c r="L2579" t="s">
        <v>31</v>
      </c>
      <c r="M2579" t="s">
        <v>1931</v>
      </c>
      <c r="N2579" s="2">
        <v>1.3</v>
      </c>
      <c r="O2579" s="1">
        <v>1</v>
      </c>
      <c r="P2579" s="2">
        <v>1.3</v>
      </c>
    </row>
    <row r="2580" spans="10:16">
      <c r="J2580" s="5" t="s">
        <v>1251</v>
      </c>
      <c r="K2580" t="s">
        <v>1252</v>
      </c>
      <c r="L2580" t="s">
        <v>101</v>
      </c>
      <c r="M2580" t="s">
        <v>581</v>
      </c>
      <c r="N2580" s="2">
        <v>1.3</v>
      </c>
      <c r="O2580" s="1">
        <v>1</v>
      </c>
      <c r="P2580" s="2">
        <v>1.3</v>
      </c>
    </row>
    <row r="2581" spans="10:16">
      <c r="J2581" s="5" t="s">
        <v>1083</v>
      </c>
      <c r="K2581" t="s">
        <v>1084</v>
      </c>
      <c r="L2581" t="s">
        <v>131</v>
      </c>
      <c r="M2581" t="s">
        <v>125</v>
      </c>
      <c r="N2581" s="2">
        <v>0.11799999999999999</v>
      </c>
      <c r="O2581" s="1">
        <v>11</v>
      </c>
      <c r="P2581" s="2">
        <v>1.298</v>
      </c>
    </row>
    <row r="2582" spans="10:16">
      <c r="J2582" s="5" t="s">
        <v>4999</v>
      </c>
      <c r="K2582" t="s">
        <v>3243</v>
      </c>
      <c r="L2582" t="s">
        <v>219</v>
      </c>
      <c r="M2582" t="s">
        <v>86</v>
      </c>
      <c r="N2582" s="2">
        <v>0.24299999999999999</v>
      </c>
      <c r="O2582" s="1">
        <v>5</v>
      </c>
      <c r="P2582" s="2">
        <v>1.2149999999999999</v>
      </c>
    </row>
    <row r="2583" spans="10:16">
      <c r="J2583" s="5" t="s">
        <v>266</v>
      </c>
      <c r="K2583" t="s">
        <v>267</v>
      </c>
      <c r="L2583" t="s">
        <v>219</v>
      </c>
      <c r="M2583" t="s">
        <v>86</v>
      </c>
      <c r="N2583" s="2">
        <v>0.30199999999999999</v>
      </c>
      <c r="O2583" s="1">
        <v>4</v>
      </c>
      <c r="P2583" s="2">
        <v>1.208</v>
      </c>
    </row>
    <row r="2584" spans="10:16">
      <c r="J2584" s="5" t="s">
        <v>4123</v>
      </c>
      <c r="K2584" t="s">
        <v>4124</v>
      </c>
      <c r="L2584" t="s">
        <v>85</v>
      </c>
      <c r="M2584" t="s">
        <v>86</v>
      </c>
      <c r="N2584" s="2">
        <v>0.30199999999999999</v>
      </c>
      <c r="O2584" s="1">
        <v>4</v>
      </c>
      <c r="P2584" s="2">
        <v>1.208</v>
      </c>
    </row>
    <row r="2585" spans="10:16">
      <c r="J2585" s="5" t="s">
        <v>2314</v>
      </c>
      <c r="K2585" t="s">
        <v>2315</v>
      </c>
      <c r="L2585" t="s">
        <v>219</v>
      </c>
      <c r="M2585" t="s">
        <v>86</v>
      </c>
      <c r="N2585" s="2">
        <v>0.4</v>
      </c>
      <c r="O2585" s="1">
        <v>3</v>
      </c>
      <c r="P2585" s="2">
        <v>1.2000000000000002</v>
      </c>
    </row>
    <row r="2586" spans="10:16">
      <c r="J2586" s="5" t="s">
        <v>5027</v>
      </c>
      <c r="K2586" t="s">
        <v>5028</v>
      </c>
      <c r="L2586" t="s">
        <v>85</v>
      </c>
      <c r="M2586" t="s">
        <v>86</v>
      </c>
      <c r="N2586" s="2">
        <v>0.12</v>
      </c>
      <c r="O2586" s="1">
        <v>10</v>
      </c>
      <c r="P2586" s="2">
        <v>1.2</v>
      </c>
    </row>
    <row r="2587" spans="10:16">
      <c r="J2587" s="5" t="s">
        <v>1755</v>
      </c>
      <c r="K2587" t="s">
        <v>1756</v>
      </c>
      <c r="L2587" t="s">
        <v>85</v>
      </c>
      <c r="M2587" t="s">
        <v>86</v>
      </c>
      <c r="N2587" s="2">
        <v>1.2</v>
      </c>
      <c r="O2587" s="1">
        <v>1</v>
      </c>
      <c r="P2587" s="2">
        <v>1.2</v>
      </c>
    </row>
    <row r="2588" spans="10:16">
      <c r="J2588" s="5" t="s">
        <v>2237</v>
      </c>
      <c r="K2588" t="s">
        <v>2238</v>
      </c>
      <c r="L2588" t="s">
        <v>85</v>
      </c>
      <c r="M2588" t="s">
        <v>86</v>
      </c>
      <c r="N2588" s="2">
        <v>1.19</v>
      </c>
      <c r="O2588" s="1">
        <v>1</v>
      </c>
      <c r="P2588" s="2">
        <v>1.19</v>
      </c>
    </row>
    <row r="2589" spans="10:16">
      <c r="J2589" s="5" t="s">
        <v>1511</v>
      </c>
      <c r="K2589" t="s">
        <v>1512</v>
      </c>
      <c r="L2589" t="s">
        <v>101</v>
      </c>
      <c r="M2589" t="s">
        <v>102</v>
      </c>
      <c r="N2589" s="2">
        <v>1.143</v>
      </c>
      <c r="O2589" s="1">
        <v>1</v>
      </c>
      <c r="P2589" s="2">
        <v>1.143</v>
      </c>
    </row>
    <row r="2590" spans="10:16">
      <c r="J2590" s="5" t="s">
        <v>4132</v>
      </c>
      <c r="K2590" t="s">
        <v>4133</v>
      </c>
      <c r="L2590" t="s">
        <v>98</v>
      </c>
      <c r="M2590" t="s">
        <v>86</v>
      </c>
      <c r="N2590" s="2">
        <v>0.28000000000000003</v>
      </c>
      <c r="O2590" s="1">
        <v>4</v>
      </c>
      <c r="P2590" s="2">
        <v>1.1200000000000001</v>
      </c>
    </row>
    <row r="2591" spans="10:16">
      <c r="J2591" s="5" t="s">
        <v>2445</v>
      </c>
      <c r="K2591" t="s">
        <v>2446</v>
      </c>
      <c r="L2591" t="s">
        <v>243</v>
      </c>
      <c r="M2591" t="s">
        <v>86</v>
      </c>
      <c r="N2591" s="2">
        <v>0.55200000000000005</v>
      </c>
      <c r="O2591" s="1">
        <v>2</v>
      </c>
      <c r="P2591" s="2">
        <v>1.1040000000000001</v>
      </c>
    </row>
    <row r="2592" spans="10:16">
      <c r="J2592" s="5" t="s">
        <v>953</v>
      </c>
      <c r="K2592" t="s">
        <v>954</v>
      </c>
      <c r="L2592" t="s">
        <v>31</v>
      </c>
      <c r="M2592" t="s">
        <v>125</v>
      </c>
      <c r="N2592" s="2">
        <v>0.55000000000000004</v>
      </c>
      <c r="O2592" s="1">
        <v>2</v>
      </c>
      <c r="P2592" s="2">
        <v>1.1000000000000001</v>
      </c>
    </row>
    <row r="2593" spans="10:16">
      <c r="J2593" s="5" t="s">
        <v>1208</v>
      </c>
      <c r="K2593" t="s">
        <v>1209</v>
      </c>
      <c r="L2593" t="s">
        <v>31</v>
      </c>
      <c r="M2593" t="s">
        <v>1931</v>
      </c>
      <c r="N2593" s="2">
        <v>0.18</v>
      </c>
      <c r="O2593" s="1">
        <v>6</v>
      </c>
      <c r="P2593" s="2">
        <v>1.08</v>
      </c>
    </row>
    <row r="2594" spans="10:16">
      <c r="J2594" s="5" t="s">
        <v>3310</v>
      </c>
      <c r="K2594" t="s">
        <v>3311</v>
      </c>
      <c r="L2594" t="s">
        <v>31</v>
      </c>
      <c r="M2594" t="s">
        <v>1931</v>
      </c>
      <c r="N2594" s="2">
        <v>2.3E-2</v>
      </c>
      <c r="O2594" s="1">
        <v>46</v>
      </c>
      <c r="P2594" s="2">
        <v>1.0580000000000001</v>
      </c>
    </row>
    <row r="2595" spans="10:16">
      <c r="J2595" s="5" t="s">
        <v>68</v>
      </c>
      <c r="K2595" t="s">
        <v>69</v>
      </c>
      <c r="L2595" t="s">
        <v>31</v>
      </c>
      <c r="M2595" t="s">
        <v>1931</v>
      </c>
      <c r="N2595" s="2">
        <v>0.5</v>
      </c>
      <c r="O2595" s="1">
        <v>2</v>
      </c>
      <c r="P2595" s="2">
        <v>1</v>
      </c>
    </row>
    <row r="2596" spans="10:16">
      <c r="J2596" s="5" t="s">
        <v>2438</v>
      </c>
      <c r="K2596" t="s">
        <v>2439</v>
      </c>
      <c r="L2596" t="s">
        <v>85</v>
      </c>
      <c r="M2596" t="s">
        <v>86</v>
      </c>
      <c r="N2596" s="2">
        <v>0.98199999999999998</v>
      </c>
      <c r="O2596" s="1">
        <v>1</v>
      </c>
      <c r="P2596" s="2">
        <v>0.98199999999999998</v>
      </c>
    </row>
    <row r="2597" spans="10:16">
      <c r="J2597" s="5" t="s">
        <v>5450</v>
      </c>
      <c r="K2597" t="s">
        <v>5451</v>
      </c>
      <c r="L2597" t="s">
        <v>85</v>
      </c>
      <c r="M2597" t="s">
        <v>86</v>
      </c>
      <c r="N2597" s="2">
        <v>0.97</v>
      </c>
      <c r="O2597" s="1">
        <v>1</v>
      </c>
      <c r="P2597" s="2">
        <v>0.97</v>
      </c>
    </row>
    <row r="2598" spans="10:16">
      <c r="J2598" s="5" t="s">
        <v>3624</v>
      </c>
      <c r="K2598" t="s">
        <v>3625</v>
      </c>
      <c r="L2598" t="s">
        <v>436</v>
      </c>
      <c r="M2598" t="s">
        <v>86</v>
      </c>
      <c r="N2598" s="2">
        <v>0.47</v>
      </c>
      <c r="O2598" s="1">
        <v>2</v>
      </c>
      <c r="P2598" s="2">
        <v>0.94</v>
      </c>
    </row>
    <row r="2599" spans="10:16">
      <c r="J2599" s="5" t="s">
        <v>1212</v>
      </c>
      <c r="K2599" t="s">
        <v>1213</v>
      </c>
      <c r="L2599" t="s">
        <v>31</v>
      </c>
      <c r="M2599" t="s">
        <v>1931</v>
      </c>
      <c r="N2599" s="2">
        <v>0.87</v>
      </c>
      <c r="O2599" s="1">
        <v>1</v>
      </c>
      <c r="P2599" s="2">
        <v>0.87</v>
      </c>
    </row>
    <row r="2600" spans="10:16">
      <c r="J2600" s="5" t="s">
        <v>5357</v>
      </c>
      <c r="K2600" t="s">
        <v>5358</v>
      </c>
      <c r="L2600" t="s">
        <v>85</v>
      </c>
      <c r="M2600" t="s">
        <v>86</v>
      </c>
      <c r="N2600" s="2">
        <v>0.86</v>
      </c>
      <c r="O2600" s="1">
        <v>1</v>
      </c>
      <c r="P2600" s="2">
        <v>0.86</v>
      </c>
    </row>
    <row r="2601" spans="10:16">
      <c r="J2601" s="5" t="s">
        <v>2229</v>
      </c>
      <c r="K2601" t="s">
        <v>2230</v>
      </c>
      <c r="L2601" t="s">
        <v>85</v>
      </c>
      <c r="M2601" t="s">
        <v>86</v>
      </c>
      <c r="N2601" s="2">
        <v>0.25600000000000001</v>
      </c>
      <c r="O2601" s="1">
        <v>3</v>
      </c>
      <c r="P2601" s="2">
        <v>0.76800000000000002</v>
      </c>
    </row>
    <row r="2602" spans="10:16">
      <c r="J2602" s="5" t="s">
        <v>2100</v>
      </c>
      <c r="K2602" t="s">
        <v>2101</v>
      </c>
      <c r="L2602" t="s">
        <v>31</v>
      </c>
      <c r="M2602" t="s">
        <v>1931</v>
      </c>
      <c r="N2602" s="2">
        <v>0.75</v>
      </c>
      <c r="O2602" s="1">
        <v>1</v>
      </c>
      <c r="P2602" s="2">
        <v>0.75</v>
      </c>
    </row>
    <row r="2603" spans="10:16">
      <c r="J2603" s="5" t="s">
        <v>1007</v>
      </c>
      <c r="K2603" t="s">
        <v>1008</v>
      </c>
      <c r="L2603" t="s">
        <v>31</v>
      </c>
      <c r="M2603" t="s">
        <v>1931</v>
      </c>
      <c r="N2603" s="2">
        <v>0.75</v>
      </c>
      <c r="O2603" s="1">
        <v>1</v>
      </c>
      <c r="P2603" s="2">
        <v>0.75</v>
      </c>
    </row>
    <row r="2604" spans="10:16">
      <c r="J2604" s="5" t="s">
        <v>5041</v>
      </c>
      <c r="K2604" t="s">
        <v>5042</v>
      </c>
      <c r="L2604" t="s">
        <v>436</v>
      </c>
      <c r="M2604" t="s">
        <v>86</v>
      </c>
      <c r="N2604" s="2">
        <v>0.68</v>
      </c>
      <c r="O2604" s="1">
        <v>1</v>
      </c>
      <c r="P2604" s="2">
        <v>0.68</v>
      </c>
    </row>
    <row r="2605" spans="10:16">
      <c r="J2605" s="5" t="s">
        <v>3312</v>
      </c>
      <c r="K2605" t="s">
        <v>3313</v>
      </c>
      <c r="L2605" t="s">
        <v>85</v>
      </c>
      <c r="M2605" t="s">
        <v>86</v>
      </c>
      <c r="N2605" s="2">
        <v>5.1999999999999998E-2</v>
      </c>
      <c r="O2605" s="1">
        <v>12</v>
      </c>
      <c r="P2605" s="2">
        <v>0.624</v>
      </c>
    </row>
    <row r="2606" spans="10:16">
      <c r="J2606" s="5" t="s">
        <v>2193</v>
      </c>
      <c r="K2606" t="s">
        <v>2194</v>
      </c>
      <c r="L2606" t="s">
        <v>98</v>
      </c>
      <c r="M2606" t="s">
        <v>86</v>
      </c>
      <c r="N2606" s="2">
        <v>0.56000000000000005</v>
      </c>
      <c r="O2606" s="1">
        <v>1</v>
      </c>
      <c r="P2606" s="2">
        <v>0.56000000000000005</v>
      </c>
    </row>
    <row r="2607" spans="10:16">
      <c r="J2607" s="5" t="s">
        <v>2305</v>
      </c>
      <c r="K2607" t="s">
        <v>2306</v>
      </c>
      <c r="L2607" t="s">
        <v>219</v>
      </c>
      <c r="M2607" t="s">
        <v>86</v>
      </c>
      <c r="N2607" s="2">
        <v>0.55500000000000005</v>
      </c>
      <c r="O2607" s="1">
        <v>1</v>
      </c>
      <c r="P2607" s="2">
        <v>0.55500000000000005</v>
      </c>
    </row>
    <row r="2608" spans="10:16">
      <c r="J2608" s="5" t="s">
        <v>4128</v>
      </c>
      <c r="K2608" t="s">
        <v>4129</v>
      </c>
      <c r="L2608" t="s">
        <v>219</v>
      </c>
      <c r="M2608" t="s">
        <v>86</v>
      </c>
      <c r="N2608" s="2">
        <v>0.27</v>
      </c>
      <c r="O2608" s="1">
        <v>2</v>
      </c>
      <c r="P2608" s="2">
        <v>0.54</v>
      </c>
    </row>
    <row r="2609" spans="10:16">
      <c r="J2609" s="5" t="s">
        <v>2402</v>
      </c>
      <c r="K2609" t="s">
        <v>5392</v>
      </c>
      <c r="L2609" t="s">
        <v>85</v>
      </c>
      <c r="M2609" t="s">
        <v>86</v>
      </c>
      <c r="N2609" s="2">
        <v>0.26900000000000002</v>
      </c>
      <c r="O2609" s="1">
        <v>2</v>
      </c>
      <c r="P2609" s="2">
        <v>0.53800000000000003</v>
      </c>
    </row>
    <row r="2610" spans="10:16">
      <c r="J2610" s="5" t="s">
        <v>2163</v>
      </c>
      <c r="K2610" t="s">
        <v>2164</v>
      </c>
      <c r="L2610" t="s">
        <v>85</v>
      </c>
      <c r="M2610" t="s">
        <v>86</v>
      </c>
      <c r="N2610" s="2">
        <v>0.503</v>
      </c>
      <c r="O2610" s="1">
        <v>1</v>
      </c>
      <c r="P2610" s="2">
        <v>0.503</v>
      </c>
    </row>
    <row r="2611" spans="10:16">
      <c r="J2611" s="5" t="s">
        <v>3467</v>
      </c>
      <c r="K2611" t="s">
        <v>3468</v>
      </c>
      <c r="L2611" t="s">
        <v>219</v>
      </c>
      <c r="M2611" t="s">
        <v>86</v>
      </c>
      <c r="N2611" s="2">
        <v>0.1</v>
      </c>
      <c r="O2611" s="1">
        <v>5</v>
      </c>
      <c r="P2611" s="2">
        <v>0.5</v>
      </c>
    </row>
    <row r="2612" spans="10:16">
      <c r="J2612" s="5" t="s">
        <v>1793</v>
      </c>
      <c r="K2612" t="s">
        <v>1794</v>
      </c>
      <c r="L2612" t="s">
        <v>31</v>
      </c>
      <c r="M2612" t="s">
        <v>1931</v>
      </c>
      <c r="N2612" s="2">
        <v>0.5</v>
      </c>
      <c r="O2612" s="1">
        <v>1</v>
      </c>
      <c r="P2612" s="2">
        <v>0.5</v>
      </c>
    </row>
    <row r="2613" spans="10:16">
      <c r="J2613" s="5" t="s">
        <v>4380</v>
      </c>
      <c r="K2613" t="s">
        <v>4381</v>
      </c>
      <c r="L2613" t="s">
        <v>85</v>
      </c>
      <c r="M2613" t="s">
        <v>86</v>
      </c>
      <c r="N2613" s="2">
        <v>0.48</v>
      </c>
      <c r="O2613" s="1">
        <v>1</v>
      </c>
      <c r="P2613" s="2">
        <v>0.48</v>
      </c>
    </row>
    <row r="2614" spans="10:16">
      <c r="J2614" s="5" t="s">
        <v>2771</v>
      </c>
      <c r="K2614" t="s">
        <v>3604</v>
      </c>
      <c r="L2614" t="s">
        <v>98</v>
      </c>
      <c r="M2614" t="s">
        <v>86</v>
      </c>
      <c r="N2614" s="2">
        <v>0.47899999999999998</v>
      </c>
      <c r="O2614" s="1">
        <v>1</v>
      </c>
      <c r="P2614" s="2">
        <v>0.47899999999999998</v>
      </c>
    </row>
    <row r="2615" spans="10:16">
      <c r="J2615" s="5" t="s">
        <v>5009</v>
      </c>
      <c r="K2615" t="s">
        <v>2307</v>
      </c>
      <c r="L2615" t="s">
        <v>219</v>
      </c>
      <c r="M2615" t="s">
        <v>86</v>
      </c>
      <c r="N2615" s="2">
        <v>0.158</v>
      </c>
      <c r="O2615" s="1">
        <v>3</v>
      </c>
      <c r="P2615" s="2">
        <v>0.47399999999999998</v>
      </c>
    </row>
    <row r="2616" spans="10:16">
      <c r="J2616" s="5" t="s">
        <v>1107</v>
      </c>
      <c r="K2616" t="s">
        <v>1108</v>
      </c>
      <c r="L2616" t="s">
        <v>131</v>
      </c>
      <c r="M2616" t="s">
        <v>125</v>
      </c>
      <c r="N2616" s="2">
        <v>0.22</v>
      </c>
      <c r="O2616" s="1">
        <v>2</v>
      </c>
      <c r="P2616" s="2">
        <v>0.44</v>
      </c>
    </row>
    <row r="2617" spans="10:16">
      <c r="J2617" s="5" t="s">
        <v>5086</v>
      </c>
      <c r="K2617" t="s">
        <v>5087</v>
      </c>
      <c r="L2617" t="s">
        <v>580</v>
      </c>
      <c r="M2617" t="s">
        <v>581</v>
      </c>
      <c r="N2617" s="2">
        <v>0.4032</v>
      </c>
      <c r="O2617" s="1">
        <v>1</v>
      </c>
      <c r="P2617" s="2">
        <v>0.4032</v>
      </c>
    </row>
    <row r="2618" spans="10:16">
      <c r="J2618" s="5" t="s">
        <v>5290</v>
      </c>
      <c r="K2618" t="s">
        <v>5291</v>
      </c>
      <c r="L2618" t="s">
        <v>31</v>
      </c>
      <c r="M2618" t="s">
        <v>1931</v>
      </c>
      <c r="N2618" s="2">
        <v>0.13400000000000001</v>
      </c>
      <c r="O2618" s="1">
        <v>3</v>
      </c>
      <c r="P2618" s="2">
        <v>0.40200000000000002</v>
      </c>
    </row>
    <row r="2619" spans="10:16">
      <c r="J2619" s="5" t="s">
        <v>4497</v>
      </c>
      <c r="K2619" t="s">
        <v>4498</v>
      </c>
      <c r="L2619" t="s">
        <v>85</v>
      </c>
      <c r="M2619" t="s">
        <v>86</v>
      </c>
      <c r="N2619" s="2">
        <v>0.1</v>
      </c>
      <c r="O2619" s="1">
        <v>4</v>
      </c>
      <c r="P2619" s="2">
        <v>0.4</v>
      </c>
    </row>
    <row r="2620" spans="10:16">
      <c r="J2620" s="5" t="s">
        <v>1419</v>
      </c>
      <c r="K2620" t="s">
        <v>1420</v>
      </c>
      <c r="L2620" t="s">
        <v>115</v>
      </c>
      <c r="M2620" t="s">
        <v>102</v>
      </c>
      <c r="N2620" s="2">
        <v>0.121</v>
      </c>
      <c r="O2620" s="1">
        <v>3</v>
      </c>
      <c r="P2620" s="2">
        <v>0.36299999999999999</v>
      </c>
    </row>
    <row r="2621" spans="10:16">
      <c r="J2621" s="5" t="s">
        <v>3308</v>
      </c>
      <c r="K2621" t="s">
        <v>3309</v>
      </c>
      <c r="L2621" t="s">
        <v>85</v>
      </c>
      <c r="M2621" t="s">
        <v>86</v>
      </c>
      <c r="N2621" s="2">
        <v>3.5999999999999997E-2</v>
      </c>
      <c r="O2621" s="1">
        <v>9</v>
      </c>
      <c r="P2621" s="2">
        <v>0.32399999999999995</v>
      </c>
    </row>
    <row r="2622" spans="10:16">
      <c r="J2622" s="5" t="s">
        <v>1773</v>
      </c>
      <c r="K2622" t="s">
        <v>1774</v>
      </c>
      <c r="L2622" t="s">
        <v>31</v>
      </c>
      <c r="M2622" t="s">
        <v>1931</v>
      </c>
      <c r="N2622" s="2">
        <v>0.05</v>
      </c>
      <c r="O2622" s="1">
        <v>6</v>
      </c>
      <c r="P2622" s="2">
        <v>0.30000000000000004</v>
      </c>
    </row>
    <row r="2623" spans="10:16">
      <c r="J2623" s="5" t="s">
        <v>80</v>
      </c>
      <c r="K2623" t="s">
        <v>81</v>
      </c>
      <c r="L2623" t="s">
        <v>31</v>
      </c>
      <c r="M2623" t="s">
        <v>1931</v>
      </c>
      <c r="N2623" s="2">
        <v>0.05</v>
      </c>
      <c r="O2623" s="1">
        <v>6</v>
      </c>
      <c r="P2623" s="2">
        <v>0.30000000000000004</v>
      </c>
    </row>
    <row r="2624" spans="10:16">
      <c r="J2624" s="5" t="s">
        <v>5007</v>
      </c>
      <c r="K2624" t="s">
        <v>5008</v>
      </c>
      <c r="L2624" t="s">
        <v>85</v>
      </c>
      <c r="M2624" t="s">
        <v>86</v>
      </c>
      <c r="N2624" s="2">
        <v>0.3</v>
      </c>
      <c r="O2624" s="1">
        <v>1</v>
      </c>
      <c r="P2624" s="2">
        <v>0.3</v>
      </c>
    </row>
    <row r="2625" spans="10:16">
      <c r="J2625" s="5" t="s">
        <v>1109</v>
      </c>
      <c r="K2625" t="s">
        <v>1110</v>
      </c>
      <c r="L2625" t="s">
        <v>131</v>
      </c>
      <c r="M2625" t="s">
        <v>125</v>
      </c>
      <c r="N2625" s="2">
        <v>7.0000000000000007E-2</v>
      </c>
      <c r="O2625" s="1">
        <v>4</v>
      </c>
      <c r="P2625" s="2">
        <v>0.28000000000000003</v>
      </c>
    </row>
    <row r="2626" spans="10:16">
      <c r="J2626" s="5" t="s">
        <v>5316</v>
      </c>
      <c r="K2626" t="s">
        <v>5317</v>
      </c>
      <c r="L2626" t="s">
        <v>85</v>
      </c>
      <c r="M2626" t="s">
        <v>86</v>
      </c>
      <c r="N2626" s="2">
        <v>0.27</v>
      </c>
      <c r="O2626" s="1">
        <v>1</v>
      </c>
      <c r="P2626" s="2">
        <v>0.27</v>
      </c>
    </row>
    <row r="2627" spans="10:16">
      <c r="J2627" s="5" t="s">
        <v>1515</v>
      </c>
      <c r="K2627" t="s">
        <v>1516</v>
      </c>
      <c r="L2627" t="s">
        <v>101</v>
      </c>
      <c r="M2627" t="s">
        <v>102</v>
      </c>
      <c r="N2627" s="2">
        <v>0.26900000000000002</v>
      </c>
      <c r="O2627" s="1">
        <v>1</v>
      </c>
      <c r="P2627" s="2">
        <v>0.26900000000000002</v>
      </c>
    </row>
    <row r="2628" spans="10:16">
      <c r="J2628" s="5" t="s">
        <v>1111</v>
      </c>
      <c r="K2628" t="s">
        <v>1112</v>
      </c>
      <c r="L2628" t="s">
        <v>131</v>
      </c>
      <c r="M2628" t="s">
        <v>125</v>
      </c>
      <c r="N2628" s="2">
        <v>0.11</v>
      </c>
      <c r="O2628" s="1">
        <v>2</v>
      </c>
      <c r="P2628" s="2">
        <v>0.22</v>
      </c>
    </row>
    <row r="2629" spans="10:16">
      <c r="J2629" s="5" t="s">
        <v>1449</v>
      </c>
      <c r="K2629" t="s">
        <v>1450</v>
      </c>
      <c r="L2629" t="s">
        <v>115</v>
      </c>
      <c r="M2629" t="s">
        <v>102</v>
      </c>
      <c r="N2629" s="2">
        <v>0.20300000000000001</v>
      </c>
      <c r="O2629" s="1">
        <v>1</v>
      </c>
      <c r="P2629" s="2">
        <v>0.20300000000000001</v>
      </c>
    </row>
    <row r="2630" spans="10:16">
      <c r="J2630" s="5" t="s">
        <v>4777</v>
      </c>
      <c r="K2630" t="s">
        <v>4778</v>
      </c>
      <c r="L2630" t="s">
        <v>436</v>
      </c>
      <c r="M2630" t="s">
        <v>86</v>
      </c>
      <c r="N2630" s="2">
        <v>0.1</v>
      </c>
      <c r="O2630" s="1">
        <v>2</v>
      </c>
      <c r="P2630" s="2">
        <v>0.2</v>
      </c>
    </row>
    <row r="2631" spans="10:16">
      <c r="J2631" s="5" t="s">
        <v>3886</v>
      </c>
      <c r="K2631" t="s">
        <v>3887</v>
      </c>
      <c r="L2631" t="s">
        <v>219</v>
      </c>
      <c r="M2631" t="s">
        <v>86</v>
      </c>
      <c r="N2631" s="2">
        <v>0.1</v>
      </c>
      <c r="O2631" s="1">
        <v>2</v>
      </c>
      <c r="P2631" s="2">
        <v>0.2</v>
      </c>
    </row>
    <row r="2632" spans="10:16">
      <c r="J2632" s="5" t="s">
        <v>4884</v>
      </c>
      <c r="K2632" t="s">
        <v>4885</v>
      </c>
      <c r="L2632" t="s">
        <v>436</v>
      </c>
      <c r="M2632" t="s">
        <v>86</v>
      </c>
      <c r="N2632" s="2">
        <v>0.1</v>
      </c>
      <c r="O2632" s="1">
        <v>2</v>
      </c>
      <c r="P2632" s="2">
        <v>0.2</v>
      </c>
    </row>
    <row r="2633" spans="10:16">
      <c r="J2633" s="5" t="s">
        <v>4286</v>
      </c>
      <c r="K2633" t="s">
        <v>4287</v>
      </c>
      <c r="L2633" t="s">
        <v>3482</v>
      </c>
      <c r="M2633" t="s">
        <v>86</v>
      </c>
      <c r="N2633" s="2">
        <v>0.1</v>
      </c>
      <c r="O2633" s="1">
        <v>2</v>
      </c>
      <c r="P2633" s="2">
        <v>0.2</v>
      </c>
    </row>
    <row r="2634" spans="10:16">
      <c r="J2634" s="5" t="s">
        <v>1676</v>
      </c>
      <c r="K2634" t="s">
        <v>1677</v>
      </c>
      <c r="L2634" t="s">
        <v>101</v>
      </c>
      <c r="M2634" t="s">
        <v>581</v>
      </c>
      <c r="N2634" s="2">
        <v>60.31</v>
      </c>
      <c r="O2634" s="1">
        <v>3.0000000000000001E-3</v>
      </c>
      <c r="P2634" s="2">
        <v>0.18093000000000001</v>
      </c>
    </row>
    <row r="2635" spans="10:16">
      <c r="J2635" s="5" t="s">
        <v>4096</v>
      </c>
      <c r="K2635" t="s">
        <v>4097</v>
      </c>
      <c r="L2635" t="s">
        <v>85</v>
      </c>
      <c r="M2635" t="s">
        <v>86</v>
      </c>
      <c r="N2635" s="2">
        <v>0.09</v>
      </c>
      <c r="O2635" s="1">
        <v>2</v>
      </c>
      <c r="P2635" s="2">
        <v>0.18</v>
      </c>
    </row>
    <row r="2636" spans="10:16">
      <c r="J2636" s="5" t="s">
        <v>4951</v>
      </c>
      <c r="K2636" t="s">
        <v>2165</v>
      </c>
      <c r="L2636" t="s">
        <v>85</v>
      </c>
      <c r="M2636" t="s">
        <v>86</v>
      </c>
      <c r="N2636" s="2">
        <v>0.09</v>
      </c>
      <c r="O2636" s="1">
        <v>2</v>
      </c>
      <c r="P2636" s="2">
        <v>0.18</v>
      </c>
    </row>
    <row r="2637" spans="10:16">
      <c r="J2637" s="5" t="s">
        <v>1015</v>
      </c>
      <c r="K2637" t="s">
        <v>1016</v>
      </c>
      <c r="L2637" t="s">
        <v>31</v>
      </c>
      <c r="M2637" t="s">
        <v>1931</v>
      </c>
      <c r="N2637" s="2">
        <v>2.7E-2</v>
      </c>
      <c r="O2637" s="1">
        <v>6</v>
      </c>
      <c r="P2637" s="2">
        <v>0.16200000000000001</v>
      </c>
    </row>
    <row r="2638" spans="10:16">
      <c r="J2638" s="5" t="s">
        <v>82</v>
      </c>
      <c r="K2638" t="s">
        <v>83</v>
      </c>
      <c r="L2638" t="s">
        <v>31</v>
      </c>
      <c r="M2638" t="s">
        <v>1931</v>
      </c>
      <c r="N2638" s="2">
        <v>2.5000000000000001E-2</v>
      </c>
      <c r="O2638" s="1">
        <v>6</v>
      </c>
      <c r="P2638" s="2">
        <v>0.15000000000000002</v>
      </c>
    </row>
    <row r="2639" spans="10:16">
      <c r="J2639" s="5" t="s">
        <v>344</v>
      </c>
      <c r="K2639" t="s">
        <v>345</v>
      </c>
      <c r="L2639" t="s">
        <v>85</v>
      </c>
      <c r="M2639" t="s">
        <v>86</v>
      </c>
      <c r="N2639" s="2">
        <v>0.14000000000000001</v>
      </c>
      <c r="O2639" s="1">
        <v>1</v>
      </c>
      <c r="P2639" s="2">
        <v>0.14000000000000001</v>
      </c>
    </row>
    <row r="2640" spans="10:16">
      <c r="J2640" s="5" t="s">
        <v>4733</v>
      </c>
      <c r="K2640" t="s">
        <v>4734</v>
      </c>
      <c r="L2640" t="s">
        <v>219</v>
      </c>
      <c r="M2640" t="s">
        <v>86</v>
      </c>
      <c r="N2640" s="2">
        <v>0.1</v>
      </c>
      <c r="O2640" s="1">
        <v>1</v>
      </c>
      <c r="P2640" s="2">
        <v>0.1</v>
      </c>
    </row>
    <row r="2641" spans="10:16">
      <c r="J2641" s="5" t="s">
        <v>1051</v>
      </c>
      <c r="K2641" t="s">
        <v>1052</v>
      </c>
      <c r="L2641" t="s">
        <v>128</v>
      </c>
      <c r="M2641" t="s">
        <v>125</v>
      </c>
      <c r="N2641" s="2">
        <v>0.01</v>
      </c>
      <c r="O2641" s="1">
        <v>1</v>
      </c>
      <c r="P2641" s="2">
        <v>0.01</v>
      </c>
    </row>
    <row r="2642" spans="10:16">
      <c r="J2642" s="5" t="s">
        <v>3358</v>
      </c>
      <c r="K2642" t="s">
        <v>3359</v>
      </c>
      <c r="L2642" t="s">
        <v>3353</v>
      </c>
      <c r="M2642" t="s">
        <v>86</v>
      </c>
      <c r="N2642" s="2">
        <v>0</v>
      </c>
      <c r="O2642" s="1">
        <v>6</v>
      </c>
      <c r="P2642" s="2">
        <v>0</v>
      </c>
    </row>
    <row r="2643" spans="10:16">
      <c r="J2643" s="5" t="s">
        <v>3354</v>
      </c>
      <c r="K2643" t="s">
        <v>3355</v>
      </c>
      <c r="L2643" t="s">
        <v>3353</v>
      </c>
      <c r="M2643" t="s">
        <v>86</v>
      </c>
      <c r="N2643" s="2">
        <v>0</v>
      </c>
      <c r="O2643" s="1">
        <v>3</v>
      </c>
      <c r="P2643" s="2">
        <v>0</v>
      </c>
    </row>
    <row r="2644" spans="10:16">
      <c r="J2644" s="5" t="s">
        <v>1815</v>
      </c>
      <c r="K2644" t="s">
        <v>1816</v>
      </c>
      <c r="L2644" t="s">
        <v>31</v>
      </c>
      <c r="M2644" t="s">
        <v>1931</v>
      </c>
      <c r="N2644" s="2">
        <v>0</v>
      </c>
      <c r="O2644" s="1">
        <v>1</v>
      </c>
      <c r="P2644" s="2">
        <v>0</v>
      </c>
    </row>
    <row r="2645" spans="10:16">
      <c r="J2645" s="5" t="s">
        <v>4687</v>
      </c>
      <c r="K2645" t="s">
        <v>4688</v>
      </c>
      <c r="L2645" t="s">
        <v>219</v>
      </c>
      <c r="M2645" t="s">
        <v>86</v>
      </c>
      <c r="N2645" s="2">
        <v>0</v>
      </c>
      <c r="O2645" s="1">
        <v>2</v>
      </c>
      <c r="P2645" s="2">
        <v>0</v>
      </c>
    </row>
    <row r="2646" spans="10:16">
      <c r="J2646" s="5" t="s">
        <v>5475</v>
      </c>
      <c r="K2646" t="s">
        <v>5476</v>
      </c>
      <c r="L2646" t="s">
        <v>5474</v>
      </c>
      <c r="M2646" t="s">
        <v>125</v>
      </c>
      <c r="N2646" s="2">
        <v>0</v>
      </c>
      <c r="O2646" s="1">
        <v>17</v>
      </c>
      <c r="P2646" s="2">
        <v>0</v>
      </c>
    </row>
    <row r="2647" spans="10:16">
      <c r="J2647" s="5" t="s">
        <v>3337</v>
      </c>
      <c r="K2647" t="s">
        <v>3338</v>
      </c>
      <c r="L2647" t="s">
        <v>85</v>
      </c>
      <c r="M2647" t="s">
        <v>86</v>
      </c>
      <c r="N2647" s="2">
        <v>0</v>
      </c>
      <c r="O2647" s="1">
        <v>1</v>
      </c>
      <c r="P2647" s="2">
        <v>0</v>
      </c>
    </row>
    <row r="2648" spans="10:16">
      <c r="J2648" s="5" t="s">
        <v>4312</v>
      </c>
      <c r="K2648" t="s">
        <v>4313</v>
      </c>
      <c r="L2648" t="s">
        <v>85</v>
      </c>
      <c r="M2648" t="s">
        <v>86</v>
      </c>
      <c r="N2648" s="2">
        <v>0</v>
      </c>
      <c r="O2648" s="1">
        <v>1</v>
      </c>
      <c r="P2648" s="2">
        <v>0</v>
      </c>
    </row>
    <row r="2649" spans="10:16">
      <c r="J2649" s="5" t="s">
        <v>3578</v>
      </c>
      <c r="K2649" t="s">
        <v>3579</v>
      </c>
      <c r="L2649" t="s">
        <v>31</v>
      </c>
      <c r="M2649" t="s">
        <v>31</v>
      </c>
      <c r="N2649" s="2">
        <v>0</v>
      </c>
      <c r="O2649" s="1">
        <v>10</v>
      </c>
      <c r="P2649" s="2">
        <v>0</v>
      </c>
    </row>
    <row r="2650" spans="10:16">
      <c r="J2650" s="5" t="s">
        <v>3319</v>
      </c>
      <c r="K2650" t="s">
        <v>3320</v>
      </c>
      <c r="L2650" t="s">
        <v>3321</v>
      </c>
      <c r="M2650" t="s">
        <v>86</v>
      </c>
      <c r="N2650" s="2">
        <v>0</v>
      </c>
      <c r="O2650" s="1">
        <v>1</v>
      </c>
      <c r="P2650" s="2">
        <v>0</v>
      </c>
    </row>
    <row r="2651" spans="10:16">
      <c r="J2651" s="5" t="s">
        <v>5067</v>
      </c>
      <c r="K2651" t="s">
        <v>5068</v>
      </c>
      <c r="L2651" t="s">
        <v>5069</v>
      </c>
      <c r="M2651" t="s">
        <v>5070</v>
      </c>
      <c r="N2651" s="2">
        <v>0</v>
      </c>
      <c r="O2651" s="1">
        <v>1</v>
      </c>
      <c r="P2651" s="2">
        <v>0</v>
      </c>
    </row>
    <row r="2652" spans="10:16">
      <c r="J2652" s="5" t="s">
        <v>5465</v>
      </c>
      <c r="K2652" t="s">
        <v>5466</v>
      </c>
      <c r="L2652" t="s">
        <v>5320</v>
      </c>
      <c r="M2652" t="s">
        <v>5070</v>
      </c>
      <c r="N2652" s="2">
        <v>0</v>
      </c>
      <c r="O2652" s="1">
        <v>1</v>
      </c>
      <c r="P2652" s="2">
        <v>0</v>
      </c>
    </row>
    <row r="2653" spans="10:16">
      <c r="J2653" s="5" t="s">
        <v>1230</v>
      </c>
      <c r="K2653" t="s">
        <v>1231</v>
      </c>
      <c r="L2653" t="s">
        <v>31</v>
      </c>
      <c r="M2653" t="s">
        <v>1931</v>
      </c>
      <c r="N2653" s="2">
        <v>0</v>
      </c>
      <c r="O2653" s="1">
        <v>10</v>
      </c>
      <c r="P2653" s="2">
        <v>0</v>
      </c>
    </row>
    <row r="2654" spans="10:16">
      <c r="J2654" s="5" t="s">
        <v>2426</v>
      </c>
      <c r="K2654" t="s">
        <v>5400</v>
      </c>
      <c r="L2654" t="s">
        <v>98</v>
      </c>
      <c r="M2654" t="s">
        <v>86</v>
      </c>
      <c r="N2654" s="2">
        <v>0</v>
      </c>
      <c r="O2654" s="1">
        <v>1</v>
      </c>
      <c r="P2654" s="2">
        <v>0</v>
      </c>
    </row>
    <row r="2655" spans="10:16">
      <c r="J2655" s="5" t="s">
        <v>4664</v>
      </c>
      <c r="K2655" t="s">
        <v>4665</v>
      </c>
      <c r="L2655" t="s">
        <v>31</v>
      </c>
      <c r="M2655" t="s">
        <v>31</v>
      </c>
      <c r="N2655" s="2">
        <v>0</v>
      </c>
      <c r="O2655" s="1">
        <v>10</v>
      </c>
      <c r="P2655" s="2">
        <v>0</v>
      </c>
    </row>
    <row r="2656" spans="10:16">
      <c r="J2656" s="5" t="s">
        <v>1843</v>
      </c>
      <c r="K2656" t="s">
        <v>1844</v>
      </c>
      <c r="L2656" t="s">
        <v>31</v>
      </c>
      <c r="M2656" t="s">
        <v>1931</v>
      </c>
      <c r="N2656" s="2">
        <v>0</v>
      </c>
      <c r="O2656" s="1">
        <v>3</v>
      </c>
      <c r="P2656" s="2">
        <v>0</v>
      </c>
    </row>
    <row r="2657" spans="10:16">
      <c r="J2657" s="5" t="s">
        <v>4003</v>
      </c>
      <c r="K2657" t="s">
        <v>4004</v>
      </c>
      <c r="L2657" t="s">
        <v>98</v>
      </c>
      <c r="M2657" t="s">
        <v>86</v>
      </c>
      <c r="N2657" s="2">
        <v>0</v>
      </c>
      <c r="O2657" s="1">
        <v>5</v>
      </c>
      <c r="P2657" s="2">
        <v>0</v>
      </c>
    </row>
    <row r="2658" spans="10:16">
      <c r="J2658" s="5" t="s">
        <v>2225</v>
      </c>
      <c r="K2658" t="s">
        <v>2226</v>
      </c>
      <c r="L2658" t="s">
        <v>85</v>
      </c>
      <c r="M2658" t="s">
        <v>86</v>
      </c>
      <c r="N2658" s="2">
        <v>0</v>
      </c>
      <c r="O2658" s="1">
        <v>1</v>
      </c>
      <c r="P2658" s="2">
        <v>0</v>
      </c>
    </row>
    <row r="2659" spans="10:16">
      <c r="J2659" s="5" t="s">
        <v>4532</v>
      </c>
      <c r="K2659" t="s">
        <v>4533</v>
      </c>
      <c r="L2659" t="s">
        <v>219</v>
      </c>
      <c r="M2659" t="s">
        <v>86</v>
      </c>
      <c r="N2659" s="2">
        <v>0</v>
      </c>
      <c r="O2659" s="1">
        <v>2</v>
      </c>
      <c r="P2659" s="2">
        <v>0</v>
      </c>
    </row>
    <row r="2660" spans="10:16">
      <c r="J2660" s="5" t="s">
        <v>2958</v>
      </c>
      <c r="K2660" t="s">
        <v>2959</v>
      </c>
      <c r="L2660" t="s">
        <v>85</v>
      </c>
      <c r="M2660" t="s">
        <v>86</v>
      </c>
      <c r="N2660" s="2">
        <v>0</v>
      </c>
      <c r="O2660" s="1">
        <v>4</v>
      </c>
      <c r="P2660" s="2">
        <v>0</v>
      </c>
    </row>
    <row r="2661" spans="10:16">
      <c r="J2661" s="5" t="s">
        <v>3339</v>
      </c>
      <c r="K2661" t="s">
        <v>3340</v>
      </c>
      <c r="L2661" t="s">
        <v>31</v>
      </c>
      <c r="M2661" t="s">
        <v>31</v>
      </c>
      <c r="N2661" s="2">
        <v>0</v>
      </c>
      <c r="O2661" s="1">
        <v>1</v>
      </c>
      <c r="P2661" s="2">
        <v>0</v>
      </c>
    </row>
    <row r="2662" spans="10:16">
      <c r="J2662" s="5" t="s">
        <v>3373</v>
      </c>
      <c r="K2662" t="s">
        <v>3374</v>
      </c>
      <c r="L2662" t="s">
        <v>618</v>
      </c>
      <c r="M2662" t="s">
        <v>626</v>
      </c>
      <c r="N2662" s="2">
        <v>0</v>
      </c>
      <c r="O2662" s="1">
        <v>1</v>
      </c>
      <c r="P2662" s="2">
        <v>0</v>
      </c>
    </row>
    <row r="2663" spans="10:16">
      <c r="J2663" s="5" t="s">
        <v>3489</v>
      </c>
      <c r="K2663" t="s">
        <v>3490</v>
      </c>
      <c r="L2663" t="s">
        <v>219</v>
      </c>
      <c r="M2663" t="s">
        <v>86</v>
      </c>
      <c r="N2663" s="2">
        <v>0</v>
      </c>
      <c r="O2663" s="1">
        <v>20</v>
      </c>
      <c r="P2663" s="2">
        <v>0</v>
      </c>
    </row>
    <row r="2664" spans="10:16">
      <c r="J2664" s="5" t="s">
        <v>4974</v>
      </c>
      <c r="K2664" t="s">
        <v>4975</v>
      </c>
      <c r="L2664" t="s">
        <v>219</v>
      </c>
      <c r="M2664" t="s">
        <v>86</v>
      </c>
      <c r="N2664" s="2">
        <v>0</v>
      </c>
      <c r="O2664" s="1">
        <v>5</v>
      </c>
      <c r="P2664" s="2">
        <v>0</v>
      </c>
    </row>
    <row r="2665" spans="10:16">
      <c r="J2665" s="5" t="s">
        <v>3371</v>
      </c>
      <c r="K2665" t="s">
        <v>3372</v>
      </c>
      <c r="L2665" t="s">
        <v>618</v>
      </c>
      <c r="M2665" t="s">
        <v>626</v>
      </c>
      <c r="N2665" s="2">
        <v>0</v>
      </c>
      <c r="O2665" s="1">
        <v>1</v>
      </c>
      <c r="P2665" s="2">
        <v>0</v>
      </c>
    </row>
    <row r="2666" spans="10:16">
      <c r="J2666" s="5" t="s">
        <v>1948</v>
      </c>
      <c r="K2666" t="s">
        <v>1949</v>
      </c>
      <c r="L2666" t="s">
        <v>31</v>
      </c>
      <c r="M2666" t="s">
        <v>1931</v>
      </c>
      <c r="N2666" s="2">
        <v>0</v>
      </c>
      <c r="O2666" s="1">
        <v>1</v>
      </c>
      <c r="P2666" s="2">
        <v>0</v>
      </c>
    </row>
    <row r="2667" spans="10:16">
      <c r="J2667" s="5" t="s">
        <v>387</v>
      </c>
      <c r="K2667" t="s">
        <v>388</v>
      </c>
      <c r="L2667" t="s">
        <v>85</v>
      </c>
      <c r="M2667" t="s">
        <v>86</v>
      </c>
      <c r="N2667" s="2">
        <v>0</v>
      </c>
      <c r="O2667" s="1">
        <v>1</v>
      </c>
      <c r="P2667" s="2">
        <v>0</v>
      </c>
    </row>
    <row r="2668" spans="10:16">
      <c r="J2668" s="5" t="s">
        <v>4035</v>
      </c>
      <c r="K2668" t="s">
        <v>4036</v>
      </c>
      <c r="L2668" t="s">
        <v>263</v>
      </c>
      <c r="M2668" t="s">
        <v>86</v>
      </c>
      <c r="N2668" s="2">
        <v>0</v>
      </c>
      <c r="O2668" s="1">
        <v>1</v>
      </c>
      <c r="P2668" s="2">
        <v>0</v>
      </c>
    </row>
    <row r="2669" spans="10:16">
      <c r="J2669" s="5" t="s">
        <v>4007</v>
      </c>
      <c r="K2669" t="s">
        <v>4008</v>
      </c>
      <c r="L2669" t="s">
        <v>98</v>
      </c>
      <c r="M2669" t="s">
        <v>86</v>
      </c>
      <c r="N2669" s="2">
        <v>0</v>
      </c>
      <c r="O2669" s="1">
        <v>5</v>
      </c>
      <c r="P2669" s="2">
        <v>0</v>
      </c>
    </row>
    <row r="2670" spans="10:16">
      <c r="J2670" s="5" t="s">
        <v>4622</v>
      </c>
      <c r="K2670" t="s">
        <v>4623</v>
      </c>
      <c r="L2670" t="s">
        <v>219</v>
      </c>
      <c r="M2670" t="s">
        <v>86</v>
      </c>
      <c r="N2670" s="2">
        <v>0</v>
      </c>
      <c r="O2670" s="1">
        <v>3</v>
      </c>
      <c r="P2670" s="2">
        <v>0</v>
      </c>
    </row>
    <row r="2671" spans="10:16">
      <c r="J2671" s="5" t="s">
        <v>4671</v>
      </c>
      <c r="K2671" t="s">
        <v>4672</v>
      </c>
      <c r="L2671" t="s">
        <v>370</v>
      </c>
      <c r="M2671" t="s">
        <v>86</v>
      </c>
      <c r="N2671" s="2">
        <v>0</v>
      </c>
      <c r="O2671" s="1">
        <v>1</v>
      </c>
      <c r="P2671" s="2">
        <v>0</v>
      </c>
    </row>
    <row r="2672" spans="10:16">
      <c r="J2672" s="5" t="s">
        <v>5338</v>
      </c>
      <c r="K2672" t="s">
        <v>5339</v>
      </c>
      <c r="L2672" t="s">
        <v>618</v>
      </c>
      <c r="M2672" t="s">
        <v>626</v>
      </c>
      <c r="N2672" s="2">
        <v>0</v>
      </c>
      <c r="O2672" s="1">
        <v>30</v>
      </c>
      <c r="P2672" s="2">
        <v>0</v>
      </c>
    </row>
    <row r="2673" spans="10:16">
      <c r="J2673" s="5" t="s">
        <v>5318</v>
      </c>
      <c r="K2673" t="s">
        <v>5319</v>
      </c>
      <c r="L2673" t="s">
        <v>5320</v>
      </c>
      <c r="M2673" t="s">
        <v>5070</v>
      </c>
      <c r="N2673" s="2">
        <v>0</v>
      </c>
      <c r="O2673" s="1">
        <v>1</v>
      </c>
      <c r="P2673" s="2">
        <v>0</v>
      </c>
    </row>
    <row r="2674" spans="10:16">
      <c r="J2674" s="5" t="s">
        <v>3347</v>
      </c>
      <c r="K2674" t="s">
        <v>3348</v>
      </c>
      <c r="L2674" t="s">
        <v>3324</v>
      </c>
      <c r="M2674" t="s">
        <v>86</v>
      </c>
      <c r="N2674" s="2">
        <v>0</v>
      </c>
      <c r="O2674" s="1">
        <v>1</v>
      </c>
      <c r="P2674" s="2">
        <v>0</v>
      </c>
    </row>
    <row r="2675" spans="10:16">
      <c r="J2675" s="5" t="s">
        <v>3341</v>
      </c>
      <c r="K2675" t="s">
        <v>3342</v>
      </c>
      <c r="L2675" t="s">
        <v>3324</v>
      </c>
      <c r="M2675" t="s">
        <v>86</v>
      </c>
      <c r="N2675" s="2">
        <v>0</v>
      </c>
      <c r="O2675" s="1">
        <v>1</v>
      </c>
      <c r="P2675" s="2">
        <v>0</v>
      </c>
    </row>
    <row r="2676" spans="10:16">
      <c r="J2676" s="5" t="s">
        <v>1803</v>
      </c>
      <c r="K2676" t="s">
        <v>1804</v>
      </c>
      <c r="L2676" t="s">
        <v>31</v>
      </c>
      <c r="M2676" t="s">
        <v>1931</v>
      </c>
      <c r="N2676" s="2">
        <v>0</v>
      </c>
      <c r="O2676" s="1">
        <v>1</v>
      </c>
      <c r="P2676" s="2">
        <v>0</v>
      </c>
    </row>
    <row r="2677" spans="10:16">
      <c r="J2677" s="5" t="s">
        <v>447</v>
      </c>
      <c r="K2677" t="s">
        <v>448</v>
      </c>
      <c r="L2677" t="s">
        <v>219</v>
      </c>
      <c r="M2677" t="s">
        <v>86</v>
      </c>
      <c r="N2677" s="2">
        <v>0</v>
      </c>
      <c r="O2677" s="1">
        <v>1</v>
      </c>
      <c r="P2677" s="2">
        <v>0</v>
      </c>
    </row>
    <row r="2678" spans="10:16">
      <c r="J2678" s="5" t="s">
        <v>4161</v>
      </c>
      <c r="K2678" t="s">
        <v>4162</v>
      </c>
      <c r="L2678" t="s">
        <v>31</v>
      </c>
      <c r="M2678" t="s">
        <v>31</v>
      </c>
      <c r="N2678" s="2">
        <v>0</v>
      </c>
      <c r="O2678" s="1">
        <v>1</v>
      </c>
      <c r="P2678" s="2">
        <v>0</v>
      </c>
    </row>
    <row r="2679" spans="10:16">
      <c r="J2679" s="5" t="s">
        <v>4163</v>
      </c>
      <c r="K2679" t="s">
        <v>4164</v>
      </c>
      <c r="L2679" t="s">
        <v>31</v>
      </c>
      <c r="M2679" t="s">
        <v>31</v>
      </c>
      <c r="N2679" s="2">
        <v>0</v>
      </c>
      <c r="O2679" s="1">
        <v>1</v>
      </c>
      <c r="P2679" s="2">
        <v>0</v>
      </c>
    </row>
    <row r="2680" spans="10:16">
      <c r="J2680" s="5" t="s">
        <v>4165</v>
      </c>
      <c r="K2680" t="s">
        <v>4166</v>
      </c>
      <c r="L2680" t="s">
        <v>31</v>
      </c>
      <c r="M2680" t="s">
        <v>31</v>
      </c>
      <c r="N2680" s="2">
        <v>0</v>
      </c>
      <c r="O2680" s="1">
        <v>1</v>
      </c>
      <c r="P2680" s="2">
        <v>0</v>
      </c>
    </row>
    <row r="2681" spans="10:16">
      <c r="J2681" s="5" t="s">
        <v>3349</v>
      </c>
      <c r="K2681" t="s">
        <v>3350</v>
      </c>
      <c r="L2681" t="s">
        <v>3324</v>
      </c>
      <c r="M2681" t="s">
        <v>86</v>
      </c>
      <c r="N2681" s="2">
        <v>0</v>
      </c>
      <c r="O2681" s="1">
        <v>1</v>
      </c>
      <c r="P2681" s="2">
        <v>0</v>
      </c>
    </row>
    <row r="2682" spans="10:16">
      <c r="J2682" s="5" t="s">
        <v>4472</v>
      </c>
      <c r="K2682" t="s">
        <v>4473</v>
      </c>
      <c r="L2682" t="s">
        <v>219</v>
      </c>
      <c r="M2682" t="s">
        <v>86</v>
      </c>
      <c r="N2682" s="2">
        <v>0</v>
      </c>
      <c r="O2682" s="1">
        <v>2</v>
      </c>
      <c r="P2682" s="2">
        <v>0</v>
      </c>
    </row>
    <row r="2683" spans="10:16">
      <c r="J2683" s="5" t="s">
        <v>4253</v>
      </c>
      <c r="K2683" t="s">
        <v>4254</v>
      </c>
      <c r="L2683" t="s">
        <v>219</v>
      </c>
      <c r="M2683" t="s">
        <v>86</v>
      </c>
      <c r="N2683" s="2">
        <v>0</v>
      </c>
      <c r="O2683" s="1">
        <v>5</v>
      </c>
      <c r="P2683" s="2">
        <v>0</v>
      </c>
    </row>
    <row r="2684" spans="10:16">
      <c r="J2684" s="5" t="s">
        <v>4957</v>
      </c>
      <c r="K2684" t="s">
        <v>4958</v>
      </c>
      <c r="L2684" t="s">
        <v>85</v>
      </c>
      <c r="M2684" t="s">
        <v>86</v>
      </c>
      <c r="N2684" s="2">
        <v>0</v>
      </c>
      <c r="O2684" s="1">
        <v>10</v>
      </c>
      <c r="P2684" s="2">
        <v>0</v>
      </c>
    </row>
    <row r="2685" spans="10:16">
      <c r="J2685" s="5" t="s">
        <v>3351</v>
      </c>
      <c r="K2685" t="s">
        <v>3352</v>
      </c>
      <c r="L2685" t="s">
        <v>3353</v>
      </c>
      <c r="M2685" t="s">
        <v>86</v>
      </c>
      <c r="N2685" s="2">
        <v>0</v>
      </c>
      <c r="O2685" s="1">
        <v>1</v>
      </c>
      <c r="P2685" s="2">
        <v>0</v>
      </c>
    </row>
    <row r="2686" spans="10:16">
      <c r="J2686" s="5" t="s">
        <v>5088</v>
      </c>
      <c r="K2686" t="s">
        <v>5089</v>
      </c>
      <c r="L2686" t="s">
        <v>580</v>
      </c>
      <c r="M2686" t="s">
        <v>619</v>
      </c>
      <c r="N2686" s="2">
        <v>0</v>
      </c>
      <c r="O2686" s="1">
        <v>1</v>
      </c>
      <c r="P2686" s="2">
        <v>0</v>
      </c>
    </row>
    <row r="2687" spans="10:16">
      <c r="J2687" s="5" t="s">
        <v>5193</v>
      </c>
      <c r="K2687" t="s">
        <v>5194</v>
      </c>
      <c r="L2687" t="s">
        <v>124</v>
      </c>
      <c r="M2687" t="s">
        <v>125</v>
      </c>
      <c r="N2687" s="2">
        <v>0</v>
      </c>
      <c r="O2687" s="1">
        <v>5</v>
      </c>
      <c r="P2687" s="2">
        <v>0</v>
      </c>
    </row>
    <row r="2688" spans="10:16">
      <c r="J2688" s="5" t="s">
        <v>2969</v>
      </c>
      <c r="K2688" t="s">
        <v>2970</v>
      </c>
      <c r="L2688" t="s">
        <v>98</v>
      </c>
      <c r="M2688" t="s">
        <v>86</v>
      </c>
      <c r="N2688" s="2">
        <v>0</v>
      </c>
      <c r="O2688" s="1">
        <v>6</v>
      </c>
      <c r="P2688" s="2">
        <v>0</v>
      </c>
    </row>
    <row r="2689" spans="10:16">
      <c r="J2689" s="5" t="s">
        <v>966</v>
      </c>
      <c r="K2689" t="s">
        <v>967</v>
      </c>
      <c r="L2689" t="s">
        <v>944</v>
      </c>
      <c r="M2689" t="s">
        <v>125</v>
      </c>
      <c r="N2689" s="2">
        <v>0</v>
      </c>
      <c r="O2689" s="1">
        <v>3</v>
      </c>
      <c r="P2689" s="2">
        <v>0</v>
      </c>
    </row>
    <row r="2690" spans="10:16">
      <c r="J2690" s="5" t="s">
        <v>2503</v>
      </c>
      <c r="K2690" t="s">
        <v>2504</v>
      </c>
      <c r="L2690" t="s">
        <v>98</v>
      </c>
      <c r="M2690" t="s">
        <v>86</v>
      </c>
      <c r="N2690" s="2">
        <v>0</v>
      </c>
      <c r="O2690" s="1">
        <v>1</v>
      </c>
      <c r="P2690" s="2">
        <v>0</v>
      </c>
    </row>
    <row r="2691" spans="10:16">
      <c r="J2691" s="5" t="s">
        <v>962</v>
      </c>
      <c r="K2691" t="s">
        <v>963</v>
      </c>
      <c r="L2691" t="s">
        <v>944</v>
      </c>
      <c r="M2691" t="s">
        <v>125</v>
      </c>
      <c r="N2691" s="2">
        <v>0</v>
      </c>
      <c r="O2691" s="1">
        <v>4</v>
      </c>
      <c r="P2691" s="2">
        <v>0</v>
      </c>
    </row>
    <row r="2692" spans="10:16">
      <c r="J2692" s="5" t="s">
        <v>3329</v>
      </c>
      <c r="K2692" t="s">
        <v>3330</v>
      </c>
      <c r="L2692" t="s">
        <v>3324</v>
      </c>
      <c r="M2692" t="s">
        <v>86</v>
      </c>
      <c r="N2692" s="2">
        <v>0</v>
      </c>
      <c r="O2692" s="1">
        <v>1</v>
      </c>
      <c r="P2692" s="2">
        <v>0</v>
      </c>
    </row>
    <row r="2693" spans="10:16">
      <c r="J2693" s="5" t="s">
        <v>4617</v>
      </c>
      <c r="K2693" t="s">
        <v>4618</v>
      </c>
      <c r="L2693" t="s">
        <v>31</v>
      </c>
      <c r="M2693" t="s">
        <v>31</v>
      </c>
      <c r="N2693" s="2">
        <v>0</v>
      </c>
      <c r="O2693" s="1">
        <v>1</v>
      </c>
      <c r="P2693" s="2">
        <v>0</v>
      </c>
    </row>
    <row r="2694" spans="10:16">
      <c r="J2694" s="5" t="s">
        <v>4633</v>
      </c>
      <c r="K2694" t="s">
        <v>4634</v>
      </c>
      <c r="L2694" t="s">
        <v>31</v>
      </c>
      <c r="M2694" t="s">
        <v>31</v>
      </c>
      <c r="N2694" s="2">
        <v>0</v>
      </c>
      <c r="O2694" s="1">
        <v>1</v>
      </c>
      <c r="P2694" s="2">
        <v>0</v>
      </c>
    </row>
    <row r="2695" spans="10:16">
      <c r="J2695" s="5" t="s">
        <v>3924</v>
      </c>
      <c r="K2695" t="s">
        <v>3925</v>
      </c>
      <c r="L2695" t="s">
        <v>98</v>
      </c>
      <c r="M2695" t="s">
        <v>86</v>
      </c>
      <c r="N2695" s="2">
        <v>0</v>
      </c>
      <c r="O2695" s="1">
        <v>1</v>
      </c>
      <c r="P2695" s="2">
        <v>0</v>
      </c>
    </row>
    <row r="2696" spans="10:16">
      <c r="J2696" s="5" t="s">
        <v>1833</v>
      </c>
      <c r="K2696" t="s">
        <v>1834</v>
      </c>
      <c r="L2696" t="s">
        <v>31</v>
      </c>
      <c r="M2696" t="s">
        <v>125</v>
      </c>
      <c r="N2696" s="2">
        <v>0</v>
      </c>
      <c r="O2696" s="1">
        <v>11</v>
      </c>
      <c r="P2696" s="2">
        <v>0</v>
      </c>
    </row>
    <row r="2697" spans="10:16">
      <c r="J2697" s="5" t="s">
        <v>3884</v>
      </c>
      <c r="K2697" t="s">
        <v>3885</v>
      </c>
      <c r="L2697" t="s">
        <v>219</v>
      </c>
      <c r="M2697" t="s">
        <v>86</v>
      </c>
      <c r="N2697" s="2">
        <v>0</v>
      </c>
      <c r="O2697" s="1">
        <v>10</v>
      </c>
      <c r="P2697" s="2">
        <v>0</v>
      </c>
    </row>
    <row r="2698" spans="10:16">
      <c r="J2698" s="5" t="s">
        <v>3813</v>
      </c>
      <c r="K2698" t="s">
        <v>3814</v>
      </c>
      <c r="L2698" t="s">
        <v>31</v>
      </c>
      <c r="M2698" t="s">
        <v>31</v>
      </c>
      <c r="N2698" s="2">
        <v>0</v>
      </c>
      <c r="O2698" s="1">
        <v>1</v>
      </c>
      <c r="P2698" s="2">
        <v>0</v>
      </c>
    </row>
    <row r="2699" spans="10:16">
      <c r="J2699" s="5" t="s">
        <v>5197</v>
      </c>
      <c r="K2699" t="s">
        <v>5198</v>
      </c>
      <c r="L2699" t="s">
        <v>124</v>
      </c>
      <c r="M2699" t="s">
        <v>125</v>
      </c>
      <c r="N2699" s="2">
        <v>0</v>
      </c>
      <c r="O2699" s="1">
        <v>4</v>
      </c>
      <c r="P2699" s="2">
        <v>0</v>
      </c>
    </row>
    <row r="2700" spans="10:16">
      <c r="J2700" s="5" t="s">
        <v>968</v>
      </c>
      <c r="K2700" t="s">
        <v>969</v>
      </c>
      <c r="L2700" t="s">
        <v>944</v>
      </c>
      <c r="M2700" t="s">
        <v>125</v>
      </c>
      <c r="N2700" s="2">
        <v>0</v>
      </c>
      <c r="O2700" s="1">
        <v>1</v>
      </c>
      <c r="P2700" s="2">
        <v>0</v>
      </c>
    </row>
    <row r="2701" spans="10:16">
      <c r="J2701" s="5" t="s">
        <v>3860</v>
      </c>
      <c r="K2701" t="s">
        <v>3861</v>
      </c>
      <c r="L2701" t="s">
        <v>263</v>
      </c>
      <c r="M2701" t="s">
        <v>86</v>
      </c>
      <c r="N2701" s="2">
        <v>0</v>
      </c>
      <c r="O2701" s="1">
        <v>1</v>
      </c>
      <c r="P2701" s="2">
        <v>0</v>
      </c>
    </row>
    <row r="2702" spans="10:16">
      <c r="J2702" s="5" t="s">
        <v>3922</v>
      </c>
      <c r="K2702" t="s">
        <v>3923</v>
      </c>
      <c r="L2702" t="s">
        <v>98</v>
      </c>
      <c r="M2702" t="s">
        <v>86</v>
      </c>
      <c r="N2702" s="2">
        <v>0</v>
      </c>
      <c r="O2702" s="1">
        <v>1</v>
      </c>
      <c r="P2702" s="2">
        <v>0</v>
      </c>
    </row>
    <row r="2703" spans="10:16">
      <c r="J2703" s="5" t="s">
        <v>3815</v>
      </c>
      <c r="K2703" t="s">
        <v>3816</v>
      </c>
      <c r="L2703" t="s">
        <v>228</v>
      </c>
      <c r="M2703" t="s">
        <v>86</v>
      </c>
      <c r="N2703" s="2">
        <v>0</v>
      </c>
      <c r="O2703" s="1">
        <v>12</v>
      </c>
      <c r="P2703" s="2">
        <v>0</v>
      </c>
    </row>
    <row r="2704" spans="10:16">
      <c r="J2704" s="5" t="s">
        <v>4865</v>
      </c>
      <c r="K2704" t="s">
        <v>4866</v>
      </c>
      <c r="L2704" t="s">
        <v>31</v>
      </c>
      <c r="M2704" t="s">
        <v>31</v>
      </c>
      <c r="N2704" s="2">
        <v>0</v>
      </c>
      <c r="O2704" s="1">
        <v>2</v>
      </c>
      <c r="P2704" s="2">
        <v>0</v>
      </c>
    </row>
    <row r="2705" spans="10:16">
      <c r="J2705" s="5" t="s">
        <v>964</v>
      </c>
      <c r="K2705" t="s">
        <v>965</v>
      </c>
      <c r="L2705" t="s">
        <v>944</v>
      </c>
      <c r="M2705" t="s">
        <v>125</v>
      </c>
      <c r="N2705" s="2">
        <v>0</v>
      </c>
      <c r="O2705" s="1">
        <v>2</v>
      </c>
      <c r="P2705" s="2">
        <v>0</v>
      </c>
    </row>
    <row r="2706" spans="10:16">
      <c r="J2706" s="5" t="s">
        <v>3331</v>
      </c>
      <c r="K2706" t="s">
        <v>3332</v>
      </c>
      <c r="L2706" t="s">
        <v>3321</v>
      </c>
      <c r="M2706" t="s">
        <v>86</v>
      </c>
      <c r="N2706" s="2">
        <v>0</v>
      </c>
      <c r="O2706" s="1">
        <v>1</v>
      </c>
      <c r="P2706" s="2">
        <v>0</v>
      </c>
    </row>
    <row r="2707" spans="10:16">
      <c r="J2707" s="5" t="s">
        <v>4574</v>
      </c>
      <c r="K2707" t="s">
        <v>4575</v>
      </c>
      <c r="L2707" t="s">
        <v>85</v>
      </c>
      <c r="M2707" t="s">
        <v>86</v>
      </c>
      <c r="N2707" s="2">
        <v>0</v>
      </c>
      <c r="O2707" s="1">
        <v>5</v>
      </c>
      <c r="P2707" s="2">
        <v>0</v>
      </c>
    </row>
    <row r="2708" spans="10:16">
      <c r="J2708" s="5" t="s">
        <v>530</v>
      </c>
      <c r="K2708" t="s">
        <v>531</v>
      </c>
      <c r="L2708" t="s">
        <v>219</v>
      </c>
      <c r="M2708" t="s">
        <v>86</v>
      </c>
      <c r="N2708" s="2">
        <v>0</v>
      </c>
      <c r="O2708" s="1">
        <v>12</v>
      </c>
      <c r="P2708" s="2">
        <v>0</v>
      </c>
    </row>
    <row r="2709" spans="10:16">
      <c r="J2709" s="5" t="s">
        <v>3870</v>
      </c>
      <c r="K2709" t="s">
        <v>3871</v>
      </c>
      <c r="L2709" t="s">
        <v>219</v>
      </c>
      <c r="M2709" t="s">
        <v>86</v>
      </c>
      <c r="N2709" s="2">
        <v>0</v>
      </c>
      <c r="O2709" s="1">
        <v>10</v>
      </c>
      <c r="P2709" s="2">
        <v>0</v>
      </c>
    </row>
    <row r="2710" spans="10:16">
      <c r="J2710" s="5" t="s">
        <v>4631</v>
      </c>
      <c r="K2710" t="s">
        <v>4632</v>
      </c>
      <c r="L2710" t="s">
        <v>219</v>
      </c>
      <c r="M2710" t="s">
        <v>86</v>
      </c>
      <c r="N2710" s="2">
        <v>0</v>
      </c>
      <c r="O2710" s="1">
        <v>1</v>
      </c>
      <c r="P2710" s="2">
        <v>0</v>
      </c>
    </row>
    <row r="2711" spans="10:16">
      <c r="J2711" s="5" t="s">
        <v>3718</v>
      </c>
      <c r="K2711" t="s">
        <v>3719</v>
      </c>
      <c r="L2711" t="s">
        <v>219</v>
      </c>
      <c r="M2711" t="s">
        <v>86</v>
      </c>
      <c r="N2711" s="2">
        <v>0</v>
      </c>
      <c r="O2711" s="1">
        <v>5</v>
      </c>
      <c r="P2711" s="2">
        <v>0</v>
      </c>
    </row>
    <row r="2712" spans="10:16">
      <c r="J2712" s="5" t="s">
        <v>3862</v>
      </c>
      <c r="K2712" t="s">
        <v>3863</v>
      </c>
      <c r="L2712" t="s">
        <v>263</v>
      </c>
      <c r="M2712" t="s">
        <v>86</v>
      </c>
      <c r="N2712" s="2">
        <v>0</v>
      </c>
      <c r="O2712" s="1">
        <v>10</v>
      </c>
      <c r="P2712" s="2">
        <v>0</v>
      </c>
    </row>
    <row r="2713" spans="10:16">
      <c r="J2713" s="5" t="s">
        <v>5195</v>
      </c>
      <c r="K2713" t="s">
        <v>5196</v>
      </c>
      <c r="L2713" t="s">
        <v>124</v>
      </c>
      <c r="M2713" t="s">
        <v>125</v>
      </c>
      <c r="N2713" s="2">
        <v>0</v>
      </c>
      <c r="O2713" s="1">
        <v>5</v>
      </c>
      <c r="P2713" s="2">
        <v>0</v>
      </c>
    </row>
    <row r="2714" spans="10:16">
      <c r="J2714" s="5" t="s">
        <v>3345</v>
      </c>
      <c r="K2714" t="s">
        <v>3346</v>
      </c>
      <c r="L2714" t="s">
        <v>3324</v>
      </c>
      <c r="M2714" t="s">
        <v>86</v>
      </c>
      <c r="N2714" s="2">
        <v>0</v>
      </c>
      <c r="O2714" s="1">
        <v>1</v>
      </c>
      <c r="P2714" s="2">
        <v>0</v>
      </c>
    </row>
    <row r="2715" spans="10:16">
      <c r="J2715" s="5" t="s">
        <v>3140</v>
      </c>
      <c r="K2715" t="s">
        <v>3141</v>
      </c>
      <c r="L2715" t="s">
        <v>85</v>
      </c>
      <c r="M2715" t="s">
        <v>86</v>
      </c>
      <c r="N2715" s="2">
        <v>0</v>
      </c>
      <c r="O2715" s="1">
        <v>21</v>
      </c>
      <c r="P2715" s="2">
        <v>0</v>
      </c>
    </row>
    <row r="2716" spans="10:16">
      <c r="J2716" s="5" t="s">
        <v>970</v>
      </c>
      <c r="K2716" t="s">
        <v>971</v>
      </c>
      <c r="L2716" t="s">
        <v>944</v>
      </c>
      <c r="M2716" t="s">
        <v>125</v>
      </c>
      <c r="N2716" s="2">
        <v>0</v>
      </c>
      <c r="O2716" s="1">
        <v>2</v>
      </c>
      <c r="P2716" s="2">
        <v>0</v>
      </c>
    </row>
    <row r="2717" spans="10:16">
      <c r="J2717" s="5" t="s">
        <v>3343</v>
      </c>
      <c r="K2717" t="s">
        <v>3344</v>
      </c>
      <c r="L2717" t="s">
        <v>3324</v>
      </c>
      <c r="M2717" t="s">
        <v>86</v>
      </c>
      <c r="N2717" s="2">
        <v>0</v>
      </c>
      <c r="O2717" s="1">
        <v>5</v>
      </c>
      <c r="P2717" s="2">
        <v>0</v>
      </c>
    </row>
    <row r="2718" spans="10:16">
      <c r="J2718" s="5" t="s">
        <v>3335</v>
      </c>
      <c r="K2718" t="s">
        <v>3336</v>
      </c>
      <c r="L2718" t="s">
        <v>85</v>
      </c>
      <c r="M2718" t="s">
        <v>86</v>
      </c>
      <c r="N2718" s="2">
        <v>0</v>
      </c>
      <c r="O2718" s="1">
        <v>1</v>
      </c>
      <c r="P2718" s="2">
        <v>0</v>
      </c>
    </row>
    <row r="2719" spans="10:16">
      <c r="J2719" s="5" t="s">
        <v>947</v>
      </c>
      <c r="K2719" t="s">
        <v>948</v>
      </c>
      <c r="L2719" t="s">
        <v>944</v>
      </c>
      <c r="M2719" t="s">
        <v>125</v>
      </c>
      <c r="N2719" s="2">
        <v>0</v>
      </c>
      <c r="O2719" s="1">
        <v>2</v>
      </c>
      <c r="P2719" s="2">
        <v>0</v>
      </c>
    </row>
    <row r="2720" spans="10:16">
      <c r="J2720" s="5" t="s">
        <v>3327</v>
      </c>
      <c r="K2720" t="s">
        <v>3328</v>
      </c>
      <c r="L2720" t="s">
        <v>3324</v>
      </c>
      <c r="M2720" t="s">
        <v>86</v>
      </c>
      <c r="N2720" s="2">
        <v>0</v>
      </c>
      <c r="O2720" s="1">
        <v>4</v>
      </c>
      <c r="P2720" s="2">
        <v>0</v>
      </c>
    </row>
    <row r="2721" spans="10:16">
      <c r="J2721" s="5" t="s">
        <v>3316</v>
      </c>
      <c r="K2721" t="s">
        <v>3317</v>
      </c>
      <c r="L2721" t="s">
        <v>2574</v>
      </c>
      <c r="M2721" t="s">
        <v>125</v>
      </c>
      <c r="N2721" s="2">
        <v>0</v>
      </c>
      <c r="O2721" s="1">
        <v>1</v>
      </c>
      <c r="P2721" s="2">
        <v>0</v>
      </c>
    </row>
    <row r="2722" spans="10:16">
      <c r="J2722" s="5" t="s">
        <v>4227</v>
      </c>
      <c r="K2722" t="s">
        <v>4228</v>
      </c>
      <c r="L2722" t="s">
        <v>219</v>
      </c>
      <c r="M2722" t="s">
        <v>86</v>
      </c>
      <c r="N2722" s="2">
        <v>0</v>
      </c>
      <c r="O2722" s="1">
        <v>1</v>
      </c>
      <c r="P2722" s="2">
        <v>0</v>
      </c>
    </row>
    <row r="2723" spans="10:16">
      <c r="J2723" s="5" t="s">
        <v>3874</v>
      </c>
      <c r="K2723" t="s">
        <v>3875</v>
      </c>
      <c r="L2723" t="s">
        <v>219</v>
      </c>
      <c r="M2723" t="s">
        <v>86</v>
      </c>
      <c r="N2723" s="2">
        <v>0</v>
      </c>
      <c r="O2723" s="1">
        <v>10</v>
      </c>
      <c r="P2723" s="2">
        <v>0</v>
      </c>
    </row>
    <row r="2724" spans="10:16">
      <c r="J2724" s="5" t="s">
        <v>2362</v>
      </c>
      <c r="K2724" t="s">
        <v>2363</v>
      </c>
      <c r="L2724" t="s">
        <v>85</v>
      </c>
      <c r="M2724" t="s">
        <v>86</v>
      </c>
      <c r="N2724" s="2">
        <v>0</v>
      </c>
      <c r="O2724" s="1">
        <v>1</v>
      </c>
      <c r="P2724" s="2">
        <v>0</v>
      </c>
    </row>
    <row r="2725" spans="10:16">
      <c r="J2725" s="5" t="s">
        <v>4886</v>
      </c>
      <c r="K2725" t="s">
        <v>4887</v>
      </c>
      <c r="L2725" t="s">
        <v>85</v>
      </c>
      <c r="M2725" t="s">
        <v>86</v>
      </c>
      <c r="N2725" s="2">
        <v>0</v>
      </c>
      <c r="O2725" s="1">
        <v>6</v>
      </c>
      <c r="P2725" s="2">
        <v>0</v>
      </c>
    </row>
    <row r="2726" spans="10:16">
      <c r="J2726" s="5" t="s">
        <v>4779</v>
      </c>
      <c r="K2726" t="s">
        <v>4780</v>
      </c>
      <c r="L2726" t="s">
        <v>85</v>
      </c>
      <c r="M2726" t="s">
        <v>86</v>
      </c>
      <c r="N2726" s="2">
        <v>0</v>
      </c>
      <c r="O2726" s="1">
        <v>3</v>
      </c>
      <c r="P2726" s="2">
        <v>0</v>
      </c>
    </row>
    <row r="2727" spans="10:16">
      <c r="J2727" s="5" t="s">
        <v>3333</v>
      </c>
      <c r="K2727" t="s">
        <v>3334</v>
      </c>
      <c r="L2727" t="s">
        <v>85</v>
      </c>
      <c r="M2727" t="s">
        <v>86</v>
      </c>
      <c r="N2727" s="2">
        <v>0</v>
      </c>
      <c r="O2727" s="1">
        <v>1</v>
      </c>
      <c r="P2727" s="2">
        <v>0</v>
      </c>
    </row>
    <row r="2728" spans="10:16">
      <c r="J2728" s="5" t="s">
        <v>4931</v>
      </c>
      <c r="K2728" t="s">
        <v>4932</v>
      </c>
      <c r="L2728" t="s">
        <v>85</v>
      </c>
      <c r="M2728" t="s">
        <v>86</v>
      </c>
      <c r="N2728" s="2">
        <v>0</v>
      </c>
      <c r="O2728" s="1">
        <v>4</v>
      </c>
      <c r="P2728" s="2">
        <v>0</v>
      </c>
    </row>
    <row r="2729" spans="10:16">
      <c r="J2729" s="5" t="s">
        <v>3322</v>
      </c>
      <c r="K2729" t="s">
        <v>3323</v>
      </c>
      <c r="L2729" t="s">
        <v>3324</v>
      </c>
      <c r="M2729" t="s">
        <v>86</v>
      </c>
      <c r="N2729" s="2">
        <v>0</v>
      </c>
      <c r="O2729" s="1">
        <v>4</v>
      </c>
      <c r="P2729" s="2">
        <v>0</v>
      </c>
    </row>
    <row r="2730" spans="10:16">
      <c r="J2730" s="5" t="s">
        <v>3325</v>
      </c>
      <c r="K2730" t="s">
        <v>3326</v>
      </c>
      <c r="L2730" t="s">
        <v>3324</v>
      </c>
      <c r="M2730" t="s">
        <v>86</v>
      </c>
      <c r="N2730" s="2">
        <v>0</v>
      </c>
      <c r="O2730" s="1">
        <v>6</v>
      </c>
      <c r="P2730" s="2">
        <v>0</v>
      </c>
    </row>
  </sheetData>
  <conditionalFormatting pivot="1" sqref="G7:G292">
    <cfRule type="dataBar" priority="4">
      <dataBar>
        <cfvo type="min" val="0"/>
        <cfvo type="max" val="0"/>
        <color rgb="FF638EC6"/>
      </dataBar>
    </cfRule>
  </conditionalFormatting>
  <conditionalFormatting pivot="1" sqref="G7:G292">
    <cfRule type="top10" dxfId="11" priority="3" percent="1" rank="20"/>
  </conditionalFormatting>
  <conditionalFormatting pivot="1" sqref="P7:P2730">
    <cfRule type="dataBar" priority="2">
      <dataBar>
        <cfvo type="min" val="0"/>
        <cfvo type="max" val="0"/>
        <color rgb="FF638EC6"/>
      </dataBar>
    </cfRule>
  </conditionalFormatting>
  <conditionalFormatting pivot="1" sqref="P7:P2730">
    <cfRule type="top10" dxfId="10" priority="1" percent="1" rank="20"/>
  </conditionalFormatting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L287"/>
  <sheetViews>
    <sheetView showGridLines="0" zoomScale="85" zoomScaleNormal="85" workbookViewId="0">
      <selection activeCell="D4" sqref="D4"/>
    </sheetView>
  </sheetViews>
  <sheetFormatPr baseColWidth="10" defaultRowHeight="15"/>
  <cols>
    <col min="1" max="1" width="14.140625" bestFit="1" customWidth="1"/>
    <col min="2" max="2" width="10.7109375" bestFit="1" customWidth="1"/>
    <col min="3" max="3" width="11.28515625" bestFit="1" customWidth="1"/>
    <col min="4" max="4" width="33.42578125" bestFit="1" customWidth="1"/>
    <col min="5" max="5" width="9.42578125" bestFit="1" customWidth="1"/>
    <col min="6" max="6" width="17" bestFit="1" customWidth="1"/>
    <col min="7" max="7" width="8.140625" customWidth="1"/>
    <col min="8" max="8" width="8.140625" bestFit="1" customWidth="1"/>
    <col min="9" max="9" width="10.7109375" bestFit="1" customWidth="1"/>
    <col min="10" max="10" width="12.7109375" bestFit="1" customWidth="1"/>
    <col min="11" max="11" width="14.7109375" bestFit="1" customWidth="1"/>
    <col min="12" max="13" width="18.8554687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t="s">
        <v>5545</v>
      </c>
      <c r="B2" t="s">
        <v>5546</v>
      </c>
      <c r="C2" t="s">
        <v>5547</v>
      </c>
      <c r="D2" t="s">
        <v>5548</v>
      </c>
      <c r="F2" t="s">
        <v>3537</v>
      </c>
      <c r="G2" s="2">
        <v>1.35</v>
      </c>
      <c r="H2" s="2">
        <v>2.0499999999999998</v>
      </c>
      <c r="I2">
        <v>155</v>
      </c>
      <c r="J2">
        <v>235</v>
      </c>
      <c r="K2">
        <v>80</v>
      </c>
      <c r="L2" s="2">
        <f>Tabla_Esfuerzo_Ventas_Valorado[[#This Row],[Exceso Unid]]*Tabla_Esfuerzo_Ventas_Valorado[[#This Row],[CTV]]</f>
        <v>108</v>
      </c>
    </row>
    <row r="3" spans="1:12">
      <c r="A3" t="s">
        <v>5545</v>
      </c>
      <c r="B3" t="s">
        <v>5546</v>
      </c>
      <c r="C3" t="s">
        <v>5549</v>
      </c>
      <c r="D3" t="s">
        <v>5550</v>
      </c>
      <c r="F3" t="s">
        <v>3537</v>
      </c>
      <c r="G3" s="2">
        <v>6.87</v>
      </c>
      <c r="H3" s="2">
        <v>9.56</v>
      </c>
      <c r="I3">
        <v>75</v>
      </c>
      <c r="J3">
        <v>224</v>
      </c>
      <c r="K3">
        <v>149</v>
      </c>
      <c r="L3" s="2">
        <f>Tabla_Esfuerzo_Ventas_Valorado[[#This Row],[Exceso Unid]]*Tabla_Esfuerzo_Ventas_Valorado[[#This Row],[CTV]]</f>
        <v>1023.63</v>
      </c>
    </row>
    <row r="4" spans="1:12">
      <c r="A4" t="s">
        <v>5545</v>
      </c>
      <c r="B4" t="s">
        <v>5546</v>
      </c>
      <c r="C4" t="s">
        <v>5551</v>
      </c>
      <c r="D4" t="s">
        <v>5552</v>
      </c>
      <c r="F4" t="s">
        <v>3537</v>
      </c>
      <c r="G4" s="2">
        <v>6.87</v>
      </c>
      <c r="H4" s="2">
        <v>9.56</v>
      </c>
      <c r="I4">
        <v>95</v>
      </c>
      <c r="J4">
        <v>205</v>
      </c>
      <c r="K4">
        <v>110</v>
      </c>
      <c r="L4" s="2">
        <f>Tabla_Esfuerzo_Ventas_Valorado[[#This Row],[Exceso Unid]]*Tabla_Esfuerzo_Ventas_Valorado[[#This Row],[CTV]]</f>
        <v>755.7</v>
      </c>
    </row>
    <row r="5" spans="1:12">
      <c r="A5" t="s">
        <v>5545</v>
      </c>
      <c r="B5" t="s">
        <v>5546</v>
      </c>
      <c r="C5" t="s">
        <v>5553</v>
      </c>
      <c r="D5" t="s">
        <v>5554</v>
      </c>
      <c r="F5" t="s">
        <v>3537</v>
      </c>
      <c r="G5" s="2">
        <v>8</v>
      </c>
      <c r="H5" s="2">
        <v>11.96</v>
      </c>
      <c r="I5">
        <v>116</v>
      </c>
      <c r="J5">
        <v>143</v>
      </c>
      <c r="K5">
        <v>27</v>
      </c>
      <c r="L5" s="2">
        <f>Tabla_Esfuerzo_Ventas_Valorado[[#This Row],[Exceso Unid]]*Tabla_Esfuerzo_Ventas_Valorado[[#This Row],[CTV]]</f>
        <v>216</v>
      </c>
    </row>
    <row r="6" spans="1:12">
      <c r="A6" t="s">
        <v>5545</v>
      </c>
      <c r="B6" t="s">
        <v>5546</v>
      </c>
      <c r="C6" t="s">
        <v>5555</v>
      </c>
      <c r="D6" t="s">
        <v>5556</v>
      </c>
      <c r="F6" t="s">
        <v>3537</v>
      </c>
      <c r="G6" s="2">
        <v>8</v>
      </c>
      <c r="H6" s="2">
        <v>11.96</v>
      </c>
      <c r="I6">
        <v>122</v>
      </c>
      <c r="J6">
        <v>126</v>
      </c>
      <c r="K6">
        <v>4</v>
      </c>
      <c r="L6" s="2">
        <f>Tabla_Esfuerzo_Ventas_Valorado[[#This Row],[Exceso Unid]]*Tabla_Esfuerzo_Ventas_Valorado[[#This Row],[CTV]]</f>
        <v>32</v>
      </c>
    </row>
    <row r="7" spans="1:12">
      <c r="A7" t="s">
        <v>5545</v>
      </c>
      <c r="B7" t="s">
        <v>5546</v>
      </c>
      <c r="C7" t="s">
        <v>5557</v>
      </c>
      <c r="D7" t="s">
        <v>5558</v>
      </c>
      <c r="F7" t="s">
        <v>3537</v>
      </c>
      <c r="G7" s="2">
        <v>6.87</v>
      </c>
      <c r="H7" s="2">
        <v>9.56</v>
      </c>
      <c r="I7">
        <v>79</v>
      </c>
      <c r="J7">
        <v>126</v>
      </c>
      <c r="K7">
        <v>47</v>
      </c>
      <c r="L7" s="2">
        <f>Tabla_Esfuerzo_Ventas_Valorado[[#This Row],[Exceso Unid]]*Tabla_Esfuerzo_Ventas_Valorado[[#This Row],[CTV]]</f>
        <v>322.89</v>
      </c>
    </row>
    <row r="8" spans="1:12">
      <c r="A8" t="s">
        <v>5545</v>
      </c>
      <c r="B8" t="s">
        <v>5546</v>
      </c>
      <c r="C8" t="s">
        <v>5559</v>
      </c>
      <c r="D8" t="s">
        <v>5560</v>
      </c>
      <c r="F8" t="s">
        <v>3537</v>
      </c>
      <c r="G8" s="2">
        <v>6.87</v>
      </c>
      <c r="H8" s="2">
        <v>9.56</v>
      </c>
      <c r="I8">
        <v>94</v>
      </c>
      <c r="J8">
        <v>118</v>
      </c>
      <c r="K8">
        <v>24</v>
      </c>
      <c r="L8" s="2">
        <f>Tabla_Esfuerzo_Ventas_Valorado[[#This Row],[Exceso Unid]]*Tabla_Esfuerzo_Ventas_Valorado[[#This Row],[CTV]]</f>
        <v>164.88</v>
      </c>
    </row>
    <row r="9" spans="1:12">
      <c r="A9" t="s">
        <v>5545</v>
      </c>
      <c r="B9" t="s">
        <v>5546</v>
      </c>
      <c r="C9" t="s">
        <v>5561</v>
      </c>
      <c r="D9" t="s">
        <v>5562</v>
      </c>
      <c r="F9" t="s">
        <v>3537</v>
      </c>
      <c r="G9" s="2">
        <v>6.87</v>
      </c>
      <c r="H9" s="2">
        <v>9.56</v>
      </c>
      <c r="I9">
        <v>43</v>
      </c>
      <c r="J9">
        <v>64</v>
      </c>
      <c r="K9">
        <v>21</v>
      </c>
      <c r="L9" s="2">
        <f>Tabla_Esfuerzo_Ventas_Valorado[[#This Row],[Exceso Unid]]*Tabla_Esfuerzo_Ventas_Valorado[[#This Row],[CTV]]</f>
        <v>144.27000000000001</v>
      </c>
    </row>
    <row r="10" spans="1:12">
      <c r="A10" t="s">
        <v>5545</v>
      </c>
      <c r="B10" t="s">
        <v>5546</v>
      </c>
      <c r="C10" t="s">
        <v>5563</v>
      </c>
      <c r="D10" t="s">
        <v>5564</v>
      </c>
      <c r="F10" t="s">
        <v>3537</v>
      </c>
      <c r="G10" s="2">
        <v>8.66</v>
      </c>
      <c r="H10" s="2">
        <v>13.6</v>
      </c>
      <c r="I10">
        <v>52</v>
      </c>
      <c r="J10">
        <v>101</v>
      </c>
      <c r="K10">
        <v>49</v>
      </c>
      <c r="L10" s="2">
        <f>Tabla_Esfuerzo_Ventas_Valorado[[#This Row],[Exceso Unid]]*Tabla_Esfuerzo_Ventas_Valorado[[#This Row],[CTV]]</f>
        <v>424.34000000000003</v>
      </c>
    </row>
    <row r="11" spans="1:12">
      <c r="A11" t="s">
        <v>5545</v>
      </c>
      <c r="B11" t="s">
        <v>5546</v>
      </c>
      <c r="C11" t="s">
        <v>5565</v>
      </c>
      <c r="D11" t="s">
        <v>5566</v>
      </c>
      <c r="F11" t="s">
        <v>3537</v>
      </c>
      <c r="G11" s="2">
        <v>8.66</v>
      </c>
      <c r="H11" s="2">
        <v>13.6</v>
      </c>
      <c r="I11">
        <v>101</v>
      </c>
      <c r="J11">
        <v>189</v>
      </c>
      <c r="K11">
        <v>88</v>
      </c>
      <c r="L11" s="2">
        <f>Tabla_Esfuerzo_Ventas_Valorado[[#This Row],[Exceso Unid]]*Tabla_Esfuerzo_Ventas_Valorado[[#This Row],[CTV]]</f>
        <v>762.08</v>
      </c>
    </row>
    <row r="12" spans="1:12">
      <c r="A12" t="s">
        <v>5545</v>
      </c>
      <c r="B12" t="s">
        <v>5546</v>
      </c>
      <c r="C12" t="s">
        <v>5567</v>
      </c>
      <c r="D12" t="s">
        <v>5568</v>
      </c>
      <c r="F12" t="s">
        <v>3537</v>
      </c>
      <c r="G12" s="2">
        <v>12.51</v>
      </c>
      <c r="H12" s="2">
        <v>19.8</v>
      </c>
      <c r="I12">
        <v>22</v>
      </c>
      <c r="J12">
        <v>60</v>
      </c>
      <c r="K12">
        <v>38</v>
      </c>
      <c r="L12" s="2">
        <f>Tabla_Esfuerzo_Ventas_Valorado[[#This Row],[Exceso Unid]]*Tabla_Esfuerzo_Ventas_Valorado[[#This Row],[CTV]]</f>
        <v>475.38</v>
      </c>
    </row>
    <row r="13" spans="1:12">
      <c r="A13" t="s">
        <v>5545</v>
      </c>
      <c r="B13" t="s">
        <v>5546</v>
      </c>
      <c r="C13" t="s">
        <v>5569</v>
      </c>
      <c r="D13" t="s">
        <v>5570</v>
      </c>
      <c r="F13" t="s">
        <v>3537</v>
      </c>
      <c r="G13" s="2">
        <v>12.51</v>
      </c>
      <c r="H13" s="2">
        <v>19.8</v>
      </c>
      <c r="I13">
        <v>33</v>
      </c>
      <c r="J13">
        <v>47</v>
      </c>
      <c r="K13">
        <v>14</v>
      </c>
      <c r="L13" s="2">
        <f>Tabla_Esfuerzo_Ventas_Valorado[[#This Row],[Exceso Unid]]*Tabla_Esfuerzo_Ventas_Valorado[[#This Row],[CTV]]</f>
        <v>175.14</v>
      </c>
    </row>
    <row r="14" spans="1:12">
      <c r="A14" t="s">
        <v>5545</v>
      </c>
      <c r="B14" t="s">
        <v>5546</v>
      </c>
      <c r="C14" t="s">
        <v>5571</v>
      </c>
      <c r="D14" t="s">
        <v>5572</v>
      </c>
      <c r="F14" t="s">
        <v>3537</v>
      </c>
      <c r="G14" s="2">
        <v>12.51</v>
      </c>
      <c r="H14" s="2">
        <v>19.8</v>
      </c>
      <c r="I14">
        <v>17</v>
      </c>
      <c r="J14">
        <v>24</v>
      </c>
      <c r="K14">
        <v>7</v>
      </c>
      <c r="L14" s="2">
        <f>Tabla_Esfuerzo_Ventas_Valorado[[#This Row],[Exceso Unid]]*Tabla_Esfuerzo_Ventas_Valorado[[#This Row],[CTV]]</f>
        <v>87.57</v>
      </c>
    </row>
    <row r="15" spans="1:12">
      <c r="A15" t="s">
        <v>5545</v>
      </c>
      <c r="B15" t="s">
        <v>5546</v>
      </c>
      <c r="C15" t="s">
        <v>5573</v>
      </c>
      <c r="D15" t="s">
        <v>5574</v>
      </c>
      <c r="F15" t="s">
        <v>3537</v>
      </c>
      <c r="G15" s="2">
        <v>8.32</v>
      </c>
      <c r="H15" s="2">
        <v>13.51</v>
      </c>
      <c r="I15">
        <v>49</v>
      </c>
      <c r="J15">
        <v>105</v>
      </c>
      <c r="K15">
        <v>56</v>
      </c>
      <c r="L15" s="2">
        <f>Tabla_Esfuerzo_Ventas_Valorado[[#This Row],[Exceso Unid]]*Tabla_Esfuerzo_Ventas_Valorado[[#This Row],[CTV]]</f>
        <v>465.92</v>
      </c>
    </row>
    <row r="16" spans="1:12">
      <c r="A16" t="s">
        <v>5545</v>
      </c>
      <c r="B16" t="s">
        <v>5546</v>
      </c>
      <c r="C16" t="s">
        <v>5575</v>
      </c>
      <c r="D16" t="s">
        <v>5576</v>
      </c>
      <c r="F16" t="s">
        <v>3537</v>
      </c>
      <c r="G16" s="2">
        <v>10.53</v>
      </c>
      <c r="H16" s="2">
        <v>15.38</v>
      </c>
      <c r="I16">
        <v>11</v>
      </c>
      <c r="J16">
        <v>90</v>
      </c>
      <c r="K16">
        <v>79</v>
      </c>
      <c r="L16" s="2">
        <f>Tabla_Esfuerzo_Ventas_Valorado[[#This Row],[Exceso Unid]]*Tabla_Esfuerzo_Ventas_Valorado[[#This Row],[CTV]]</f>
        <v>831.87</v>
      </c>
    </row>
    <row r="17" spans="1:12">
      <c r="A17" t="s">
        <v>5545</v>
      </c>
      <c r="B17" t="s">
        <v>5546</v>
      </c>
      <c r="C17" t="s">
        <v>5577</v>
      </c>
      <c r="D17" t="s">
        <v>5578</v>
      </c>
      <c r="F17" t="s">
        <v>3537</v>
      </c>
      <c r="G17" s="2">
        <v>10.53</v>
      </c>
      <c r="H17" s="2">
        <v>15.38</v>
      </c>
      <c r="I17">
        <v>21</v>
      </c>
      <c r="J17">
        <v>85</v>
      </c>
      <c r="K17">
        <v>64</v>
      </c>
      <c r="L17" s="2">
        <f>Tabla_Esfuerzo_Ventas_Valorado[[#This Row],[Exceso Unid]]*Tabla_Esfuerzo_Ventas_Valorado[[#This Row],[CTV]]</f>
        <v>673.92</v>
      </c>
    </row>
    <row r="18" spans="1:12">
      <c r="A18" t="s">
        <v>5545</v>
      </c>
      <c r="B18" t="s">
        <v>5546</v>
      </c>
      <c r="C18" t="s">
        <v>5579</v>
      </c>
      <c r="D18" t="s">
        <v>5580</v>
      </c>
      <c r="F18" t="s">
        <v>3537</v>
      </c>
      <c r="G18" s="2">
        <v>10.53</v>
      </c>
      <c r="H18" s="2">
        <v>15.38</v>
      </c>
      <c r="I18">
        <v>18</v>
      </c>
      <c r="J18">
        <v>83</v>
      </c>
      <c r="K18">
        <v>65</v>
      </c>
      <c r="L18" s="2">
        <f>Tabla_Esfuerzo_Ventas_Valorado[[#This Row],[Exceso Unid]]*Tabla_Esfuerzo_Ventas_Valorado[[#This Row],[CTV]]</f>
        <v>684.44999999999993</v>
      </c>
    </row>
    <row r="19" spans="1:12">
      <c r="A19" t="s">
        <v>5545</v>
      </c>
      <c r="B19" t="s">
        <v>5546</v>
      </c>
      <c r="C19" t="s">
        <v>5581</v>
      </c>
      <c r="D19" t="s">
        <v>5582</v>
      </c>
      <c r="F19" t="s">
        <v>3537</v>
      </c>
      <c r="G19" s="2">
        <v>17.07</v>
      </c>
      <c r="H19" s="2">
        <v>24.94</v>
      </c>
      <c r="I19">
        <v>16</v>
      </c>
      <c r="J19">
        <v>43</v>
      </c>
      <c r="K19">
        <v>27</v>
      </c>
      <c r="L19" s="2">
        <f>Tabla_Esfuerzo_Ventas_Valorado[[#This Row],[Exceso Unid]]*Tabla_Esfuerzo_Ventas_Valorado[[#This Row],[CTV]]</f>
        <v>460.89</v>
      </c>
    </row>
    <row r="20" spans="1:12">
      <c r="A20" t="s">
        <v>5545</v>
      </c>
      <c r="B20" t="s">
        <v>5546</v>
      </c>
      <c r="C20" t="s">
        <v>5583</v>
      </c>
      <c r="D20" t="s">
        <v>5584</v>
      </c>
      <c r="F20" t="s">
        <v>3537</v>
      </c>
      <c r="G20" s="2">
        <v>17.07</v>
      </c>
      <c r="H20" s="2">
        <v>24.94</v>
      </c>
      <c r="I20">
        <v>14</v>
      </c>
      <c r="J20">
        <v>39</v>
      </c>
      <c r="K20">
        <v>25</v>
      </c>
      <c r="L20" s="2">
        <f>Tabla_Esfuerzo_Ventas_Valorado[[#This Row],[Exceso Unid]]*Tabla_Esfuerzo_Ventas_Valorado[[#This Row],[CTV]]</f>
        <v>426.75</v>
      </c>
    </row>
    <row r="21" spans="1:12">
      <c r="A21" t="s">
        <v>5545</v>
      </c>
      <c r="B21" t="s">
        <v>5546</v>
      </c>
      <c r="C21" t="s">
        <v>5585</v>
      </c>
      <c r="D21" t="s">
        <v>5586</v>
      </c>
      <c r="F21" t="s">
        <v>3537</v>
      </c>
      <c r="G21" s="2">
        <v>17.07</v>
      </c>
      <c r="H21" s="2">
        <v>24.94</v>
      </c>
      <c r="I21">
        <v>9</v>
      </c>
      <c r="J21">
        <v>37</v>
      </c>
      <c r="K21">
        <v>28</v>
      </c>
      <c r="L21" s="2">
        <f>Tabla_Esfuerzo_Ventas_Valorado[[#This Row],[Exceso Unid]]*Tabla_Esfuerzo_Ventas_Valorado[[#This Row],[CTV]]</f>
        <v>477.96000000000004</v>
      </c>
    </row>
    <row r="22" spans="1:12">
      <c r="A22" t="s">
        <v>5545</v>
      </c>
      <c r="B22" t="s">
        <v>5546</v>
      </c>
      <c r="C22" t="s">
        <v>5587</v>
      </c>
      <c r="D22" t="s">
        <v>5588</v>
      </c>
      <c r="F22" t="s">
        <v>3537</v>
      </c>
      <c r="G22" s="2">
        <v>6.38</v>
      </c>
      <c r="H22" s="2">
        <v>11.02</v>
      </c>
      <c r="I22">
        <v>13</v>
      </c>
      <c r="J22">
        <v>73</v>
      </c>
      <c r="K22">
        <v>60</v>
      </c>
      <c r="L22" s="2">
        <f>Tabla_Esfuerzo_Ventas_Valorado[[#This Row],[Exceso Unid]]*Tabla_Esfuerzo_Ventas_Valorado[[#This Row],[CTV]]</f>
        <v>382.8</v>
      </c>
    </row>
    <row r="23" spans="1:12">
      <c r="A23" t="s">
        <v>5545</v>
      </c>
      <c r="B23" t="s">
        <v>5546</v>
      </c>
      <c r="C23" t="s">
        <v>5589</v>
      </c>
      <c r="D23" t="s">
        <v>5590</v>
      </c>
      <c r="F23" t="s">
        <v>3537</v>
      </c>
      <c r="G23" s="2">
        <v>6.38</v>
      </c>
      <c r="H23" s="2">
        <v>11.02</v>
      </c>
      <c r="I23">
        <v>19</v>
      </c>
      <c r="J23">
        <v>24</v>
      </c>
      <c r="K23">
        <v>5</v>
      </c>
      <c r="L23" s="2">
        <f>Tabla_Esfuerzo_Ventas_Valorado[[#This Row],[Exceso Unid]]*Tabla_Esfuerzo_Ventas_Valorado[[#This Row],[CTV]]</f>
        <v>31.9</v>
      </c>
    </row>
    <row r="24" spans="1:12">
      <c r="A24" t="s">
        <v>5545</v>
      </c>
      <c r="B24" t="s">
        <v>5546</v>
      </c>
      <c r="C24" t="s">
        <v>5591</v>
      </c>
      <c r="D24" t="s">
        <v>5592</v>
      </c>
      <c r="F24" t="s">
        <v>3537</v>
      </c>
      <c r="G24" s="2">
        <v>1.05</v>
      </c>
      <c r="H24" s="2">
        <v>2</v>
      </c>
      <c r="I24">
        <v>1203</v>
      </c>
      <c r="J24">
        <v>1220</v>
      </c>
      <c r="K24">
        <v>17</v>
      </c>
      <c r="L24" s="2">
        <f>Tabla_Esfuerzo_Ventas_Valorado[[#This Row],[Exceso Unid]]*Tabla_Esfuerzo_Ventas_Valorado[[#This Row],[CTV]]</f>
        <v>17.850000000000001</v>
      </c>
    </row>
    <row r="25" spans="1:12">
      <c r="A25" t="s">
        <v>5545</v>
      </c>
      <c r="B25" t="s">
        <v>5546</v>
      </c>
      <c r="C25" t="s">
        <v>5593</v>
      </c>
      <c r="D25" t="s">
        <v>5594</v>
      </c>
      <c r="F25" t="s">
        <v>3537</v>
      </c>
      <c r="G25" s="2">
        <v>4.66</v>
      </c>
      <c r="H25" s="2">
        <v>7.25</v>
      </c>
      <c r="I25">
        <v>357</v>
      </c>
      <c r="J25">
        <v>840</v>
      </c>
      <c r="K25">
        <v>483</v>
      </c>
      <c r="L25" s="2">
        <f>Tabla_Esfuerzo_Ventas_Valorado[[#This Row],[Exceso Unid]]*Tabla_Esfuerzo_Ventas_Valorado[[#This Row],[CTV]]</f>
        <v>2250.7800000000002</v>
      </c>
    </row>
    <row r="26" spans="1:12">
      <c r="A26" t="s">
        <v>5545</v>
      </c>
      <c r="B26" t="s">
        <v>5546</v>
      </c>
      <c r="C26" t="s">
        <v>5595</v>
      </c>
      <c r="D26" t="s">
        <v>5596</v>
      </c>
      <c r="F26" t="s">
        <v>3537</v>
      </c>
      <c r="G26" s="2">
        <v>7.14</v>
      </c>
      <c r="H26" s="2">
        <v>11.91</v>
      </c>
      <c r="I26">
        <v>26</v>
      </c>
      <c r="J26">
        <v>89</v>
      </c>
      <c r="K26">
        <v>63</v>
      </c>
      <c r="L26" s="2">
        <f>Tabla_Esfuerzo_Ventas_Valorado[[#This Row],[Exceso Unid]]*Tabla_Esfuerzo_Ventas_Valorado[[#This Row],[CTV]]</f>
        <v>449.82</v>
      </c>
    </row>
    <row r="27" spans="1:12">
      <c r="A27" t="s">
        <v>5545</v>
      </c>
      <c r="B27" t="s">
        <v>5546</v>
      </c>
      <c r="C27" t="s">
        <v>5597</v>
      </c>
      <c r="D27" t="s">
        <v>5598</v>
      </c>
      <c r="F27" t="s">
        <v>3537</v>
      </c>
      <c r="G27" s="2">
        <v>7.14</v>
      </c>
      <c r="H27" s="2">
        <v>11.91</v>
      </c>
      <c r="I27">
        <v>18</v>
      </c>
      <c r="J27">
        <v>86</v>
      </c>
      <c r="K27">
        <v>68</v>
      </c>
      <c r="L27" s="2">
        <f>Tabla_Esfuerzo_Ventas_Valorado[[#This Row],[Exceso Unid]]*Tabla_Esfuerzo_Ventas_Valorado[[#This Row],[CTV]]</f>
        <v>485.52</v>
      </c>
    </row>
    <row r="28" spans="1:12">
      <c r="A28" t="s">
        <v>5545</v>
      </c>
      <c r="B28" t="s">
        <v>5546</v>
      </c>
      <c r="C28" t="s">
        <v>5599</v>
      </c>
      <c r="D28" t="s">
        <v>5600</v>
      </c>
      <c r="F28" t="s">
        <v>3537</v>
      </c>
      <c r="G28" s="2">
        <v>7.41</v>
      </c>
      <c r="H28" s="2">
        <v>12.27</v>
      </c>
      <c r="I28">
        <v>83</v>
      </c>
      <c r="J28">
        <v>309</v>
      </c>
      <c r="K28">
        <v>226</v>
      </c>
      <c r="L28" s="2">
        <f>Tabla_Esfuerzo_Ventas_Valorado[[#This Row],[Exceso Unid]]*Tabla_Esfuerzo_Ventas_Valorado[[#This Row],[CTV]]</f>
        <v>1674.66</v>
      </c>
    </row>
    <row r="29" spans="1:12">
      <c r="A29" t="s">
        <v>5545</v>
      </c>
      <c r="B29" t="s">
        <v>5546</v>
      </c>
      <c r="C29" t="s">
        <v>5601</v>
      </c>
      <c r="D29" t="s">
        <v>5602</v>
      </c>
      <c r="F29" t="s">
        <v>3537</v>
      </c>
      <c r="G29" s="2">
        <v>7.41</v>
      </c>
      <c r="H29" s="2">
        <v>12.27</v>
      </c>
      <c r="I29">
        <v>108</v>
      </c>
      <c r="J29">
        <v>279</v>
      </c>
      <c r="K29">
        <v>171</v>
      </c>
      <c r="L29" s="2">
        <f>Tabla_Esfuerzo_Ventas_Valorado[[#This Row],[Exceso Unid]]*Tabla_Esfuerzo_Ventas_Valorado[[#This Row],[CTV]]</f>
        <v>1267.1100000000001</v>
      </c>
    </row>
    <row r="30" spans="1:12">
      <c r="A30" t="s">
        <v>5545</v>
      </c>
      <c r="B30" t="s">
        <v>5546</v>
      </c>
      <c r="C30" t="s">
        <v>5603</v>
      </c>
      <c r="D30" t="s">
        <v>5604</v>
      </c>
      <c r="F30" t="s">
        <v>3537</v>
      </c>
      <c r="G30" s="2">
        <v>7.41</v>
      </c>
      <c r="H30" s="2">
        <v>12.27</v>
      </c>
      <c r="I30">
        <v>49</v>
      </c>
      <c r="J30">
        <v>161</v>
      </c>
      <c r="K30">
        <v>112</v>
      </c>
      <c r="L30" s="2">
        <f>Tabla_Esfuerzo_Ventas_Valorado[[#This Row],[Exceso Unid]]*Tabla_Esfuerzo_Ventas_Valorado[[#This Row],[CTV]]</f>
        <v>829.92000000000007</v>
      </c>
    </row>
    <row r="31" spans="1:12">
      <c r="A31" t="s">
        <v>5545</v>
      </c>
      <c r="B31" t="s">
        <v>5546</v>
      </c>
      <c r="C31" t="s">
        <v>5605</v>
      </c>
      <c r="D31" t="s">
        <v>5606</v>
      </c>
      <c r="F31" t="s">
        <v>3537</v>
      </c>
      <c r="G31" s="2">
        <v>7.41</v>
      </c>
      <c r="H31" s="2">
        <v>12.27</v>
      </c>
      <c r="I31">
        <v>74</v>
      </c>
      <c r="J31">
        <v>110</v>
      </c>
      <c r="K31">
        <v>36</v>
      </c>
      <c r="L31" s="2">
        <f>Tabla_Esfuerzo_Ventas_Valorado[[#This Row],[Exceso Unid]]*Tabla_Esfuerzo_Ventas_Valorado[[#This Row],[CTV]]</f>
        <v>266.76</v>
      </c>
    </row>
    <row r="32" spans="1:12">
      <c r="A32" t="s">
        <v>5545</v>
      </c>
      <c r="B32" t="s">
        <v>5546</v>
      </c>
      <c r="C32" t="s">
        <v>5607</v>
      </c>
      <c r="D32" t="s">
        <v>5608</v>
      </c>
      <c r="F32" t="s">
        <v>3537</v>
      </c>
      <c r="G32" s="2">
        <v>7.41</v>
      </c>
      <c r="H32" s="2">
        <v>12.27</v>
      </c>
      <c r="I32">
        <v>86</v>
      </c>
      <c r="J32">
        <v>110</v>
      </c>
      <c r="K32">
        <v>24</v>
      </c>
      <c r="L32" s="2">
        <f>Tabla_Esfuerzo_Ventas_Valorado[[#This Row],[Exceso Unid]]*Tabla_Esfuerzo_Ventas_Valorado[[#This Row],[CTV]]</f>
        <v>177.84</v>
      </c>
    </row>
    <row r="33" spans="1:12">
      <c r="A33" t="s">
        <v>5545</v>
      </c>
      <c r="B33" t="s">
        <v>5546</v>
      </c>
      <c r="C33" t="s">
        <v>5609</v>
      </c>
      <c r="D33" t="s">
        <v>5610</v>
      </c>
      <c r="F33" t="s">
        <v>3537</v>
      </c>
      <c r="G33" s="2">
        <v>7.41</v>
      </c>
      <c r="H33" s="2">
        <v>12.27</v>
      </c>
      <c r="I33">
        <v>285</v>
      </c>
      <c r="J33">
        <v>306</v>
      </c>
      <c r="K33">
        <v>21</v>
      </c>
      <c r="L33" s="2">
        <f>Tabla_Esfuerzo_Ventas_Valorado[[#This Row],[Exceso Unid]]*Tabla_Esfuerzo_Ventas_Valorado[[#This Row],[CTV]]</f>
        <v>155.61000000000001</v>
      </c>
    </row>
    <row r="34" spans="1:12">
      <c r="A34" t="s">
        <v>5545</v>
      </c>
      <c r="B34" t="s">
        <v>5546</v>
      </c>
      <c r="C34" t="s">
        <v>5611</v>
      </c>
      <c r="D34" t="s">
        <v>5612</v>
      </c>
      <c r="F34" t="s">
        <v>3537</v>
      </c>
      <c r="G34" s="2">
        <v>7.41</v>
      </c>
      <c r="H34" s="2">
        <v>12.27</v>
      </c>
      <c r="I34">
        <v>29</v>
      </c>
      <c r="J34">
        <v>169</v>
      </c>
      <c r="K34">
        <v>140</v>
      </c>
      <c r="L34" s="2">
        <f>Tabla_Esfuerzo_Ventas_Valorado[[#This Row],[Exceso Unid]]*Tabla_Esfuerzo_Ventas_Valorado[[#This Row],[CTV]]</f>
        <v>1037.4000000000001</v>
      </c>
    </row>
    <row r="35" spans="1:12">
      <c r="A35" t="s">
        <v>5545</v>
      </c>
      <c r="B35" t="s">
        <v>5546</v>
      </c>
      <c r="C35" t="s">
        <v>5613</v>
      </c>
      <c r="D35" t="s">
        <v>5614</v>
      </c>
      <c r="F35" t="s">
        <v>3537</v>
      </c>
      <c r="G35" s="2">
        <v>7.41</v>
      </c>
      <c r="H35" s="2">
        <v>12.27</v>
      </c>
      <c r="I35">
        <v>66</v>
      </c>
      <c r="J35">
        <v>125</v>
      </c>
      <c r="K35">
        <v>59</v>
      </c>
      <c r="L35" s="2">
        <f>Tabla_Esfuerzo_Ventas_Valorado[[#This Row],[Exceso Unid]]*Tabla_Esfuerzo_Ventas_Valorado[[#This Row],[CTV]]</f>
        <v>437.19</v>
      </c>
    </row>
    <row r="36" spans="1:12">
      <c r="A36" t="s">
        <v>5545</v>
      </c>
      <c r="B36" t="s">
        <v>5546</v>
      </c>
      <c r="C36" t="s">
        <v>5615</v>
      </c>
      <c r="D36" t="s">
        <v>5616</v>
      </c>
      <c r="F36" t="s">
        <v>3537</v>
      </c>
      <c r="G36" s="2">
        <v>7.41</v>
      </c>
      <c r="H36" s="2">
        <v>12.27</v>
      </c>
      <c r="I36">
        <v>89</v>
      </c>
      <c r="J36">
        <v>115</v>
      </c>
      <c r="K36">
        <v>26</v>
      </c>
      <c r="L36" s="2">
        <f>Tabla_Esfuerzo_Ventas_Valorado[[#This Row],[Exceso Unid]]*Tabla_Esfuerzo_Ventas_Valorado[[#This Row],[CTV]]</f>
        <v>192.66</v>
      </c>
    </row>
    <row r="37" spans="1:12">
      <c r="A37" t="s">
        <v>5545</v>
      </c>
      <c r="B37" t="s">
        <v>5546</v>
      </c>
      <c r="C37" t="s">
        <v>5617</v>
      </c>
      <c r="D37" t="s">
        <v>5618</v>
      </c>
      <c r="F37" t="s">
        <v>3537</v>
      </c>
      <c r="G37" s="2">
        <v>7.41</v>
      </c>
      <c r="H37" s="2">
        <v>12.27</v>
      </c>
      <c r="I37">
        <v>222</v>
      </c>
      <c r="J37">
        <v>476</v>
      </c>
      <c r="K37">
        <v>254</v>
      </c>
      <c r="L37" s="2">
        <f>Tabla_Esfuerzo_Ventas_Valorado[[#This Row],[Exceso Unid]]*Tabla_Esfuerzo_Ventas_Valorado[[#This Row],[CTV]]</f>
        <v>1882.14</v>
      </c>
    </row>
    <row r="38" spans="1:12">
      <c r="A38" t="s">
        <v>5545</v>
      </c>
      <c r="B38" t="s">
        <v>5546</v>
      </c>
      <c r="C38" t="s">
        <v>5619</v>
      </c>
      <c r="D38" t="s">
        <v>5620</v>
      </c>
      <c r="F38" t="s">
        <v>3537</v>
      </c>
      <c r="G38" s="2">
        <v>7.41</v>
      </c>
      <c r="H38" s="2">
        <v>12.27</v>
      </c>
      <c r="I38">
        <v>33</v>
      </c>
      <c r="J38">
        <v>143</v>
      </c>
      <c r="K38">
        <v>110</v>
      </c>
      <c r="L38" s="2">
        <f>Tabla_Esfuerzo_Ventas_Valorado[[#This Row],[Exceso Unid]]*Tabla_Esfuerzo_Ventas_Valorado[[#This Row],[CTV]]</f>
        <v>815.1</v>
      </c>
    </row>
    <row r="39" spans="1:12">
      <c r="A39" t="s">
        <v>5545</v>
      </c>
      <c r="B39" t="s">
        <v>5546</v>
      </c>
      <c r="C39" t="s">
        <v>5621</v>
      </c>
      <c r="D39" t="s">
        <v>5622</v>
      </c>
      <c r="F39" t="s">
        <v>3537</v>
      </c>
      <c r="G39" s="2">
        <v>8.9</v>
      </c>
      <c r="H39" s="2">
        <v>11.47</v>
      </c>
      <c r="I39">
        <v>42</v>
      </c>
      <c r="J39">
        <v>118</v>
      </c>
      <c r="K39">
        <v>76</v>
      </c>
      <c r="L39" s="2">
        <f>Tabla_Esfuerzo_Ventas_Valorado[[#This Row],[Exceso Unid]]*Tabla_Esfuerzo_Ventas_Valorado[[#This Row],[CTV]]</f>
        <v>676.4</v>
      </c>
    </row>
    <row r="40" spans="1:12">
      <c r="A40" t="s">
        <v>5545</v>
      </c>
      <c r="B40" t="s">
        <v>5546</v>
      </c>
      <c r="C40" t="s">
        <v>5623</v>
      </c>
      <c r="D40" t="s">
        <v>5624</v>
      </c>
      <c r="F40" t="s">
        <v>3537</v>
      </c>
      <c r="G40" s="2">
        <v>4.93</v>
      </c>
      <c r="H40" s="2">
        <v>9.14</v>
      </c>
      <c r="I40">
        <v>28</v>
      </c>
      <c r="J40">
        <v>215</v>
      </c>
      <c r="K40">
        <v>187</v>
      </c>
      <c r="L40" s="2">
        <f>Tabla_Esfuerzo_Ventas_Valorado[[#This Row],[Exceso Unid]]*Tabla_Esfuerzo_Ventas_Valorado[[#This Row],[CTV]]</f>
        <v>921.91</v>
      </c>
    </row>
    <row r="41" spans="1:12">
      <c r="A41" t="s">
        <v>5545</v>
      </c>
      <c r="B41" t="s">
        <v>5546</v>
      </c>
      <c r="C41" t="s">
        <v>5625</v>
      </c>
      <c r="D41" t="s">
        <v>5626</v>
      </c>
      <c r="F41" t="s">
        <v>3537</v>
      </c>
      <c r="G41" s="2">
        <v>4.93</v>
      </c>
      <c r="H41" s="2">
        <v>9.14</v>
      </c>
      <c r="I41">
        <v>21</v>
      </c>
      <c r="J41">
        <v>216</v>
      </c>
      <c r="K41">
        <v>195</v>
      </c>
      <c r="L41" s="2">
        <f>Tabla_Esfuerzo_Ventas_Valorado[[#This Row],[Exceso Unid]]*Tabla_Esfuerzo_Ventas_Valorado[[#This Row],[CTV]]</f>
        <v>961.34999999999991</v>
      </c>
    </row>
    <row r="42" spans="1:12">
      <c r="A42" t="s">
        <v>5545</v>
      </c>
      <c r="B42" t="s">
        <v>5546</v>
      </c>
      <c r="C42" t="s">
        <v>5627</v>
      </c>
      <c r="D42" t="s">
        <v>5628</v>
      </c>
      <c r="F42" t="s">
        <v>3537</v>
      </c>
      <c r="G42" s="2">
        <v>4.96</v>
      </c>
      <c r="H42" s="2">
        <v>7.21</v>
      </c>
      <c r="I42">
        <v>2</v>
      </c>
      <c r="J42">
        <v>92</v>
      </c>
      <c r="K42">
        <v>90</v>
      </c>
      <c r="L42" s="2">
        <f>Tabla_Esfuerzo_Ventas_Valorado[[#This Row],[Exceso Unid]]*Tabla_Esfuerzo_Ventas_Valorado[[#This Row],[CTV]]</f>
        <v>446.4</v>
      </c>
    </row>
    <row r="43" spans="1:12">
      <c r="A43" t="s">
        <v>5545</v>
      </c>
      <c r="B43" t="s">
        <v>5546</v>
      </c>
      <c r="C43" t="s">
        <v>5629</v>
      </c>
      <c r="D43" t="s">
        <v>5630</v>
      </c>
      <c r="F43" t="s">
        <v>3537</v>
      </c>
      <c r="G43" s="2">
        <v>6.64</v>
      </c>
      <c r="H43" s="2">
        <v>9.4600000000000009</v>
      </c>
      <c r="I43">
        <v>74</v>
      </c>
      <c r="J43">
        <v>186</v>
      </c>
      <c r="K43">
        <v>112</v>
      </c>
      <c r="L43" s="2">
        <f>Tabla_Esfuerzo_Ventas_Valorado[[#This Row],[Exceso Unid]]*Tabla_Esfuerzo_Ventas_Valorado[[#This Row],[CTV]]</f>
        <v>743.68</v>
      </c>
    </row>
    <row r="44" spans="1:12">
      <c r="A44" t="s">
        <v>5545</v>
      </c>
      <c r="B44" t="s">
        <v>5546</v>
      </c>
      <c r="C44" t="s">
        <v>5631</v>
      </c>
      <c r="D44" t="s">
        <v>5632</v>
      </c>
      <c r="F44" t="s">
        <v>3537</v>
      </c>
      <c r="G44" s="2">
        <v>1.64</v>
      </c>
      <c r="H44" s="2">
        <v>2.42</v>
      </c>
      <c r="I44">
        <v>50</v>
      </c>
      <c r="J44">
        <v>58</v>
      </c>
      <c r="K44">
        <v>8</v>
      </c>
      <c r="L44" s="2">
        <f>Tabla_Esfuerzo_Ventas_Valorado[[#This Row],[Exceso Unid]]*Tabla_Esfuerzo_Ventas_Valorado[[#This Row],[CTV]]</f>
        <v>13.12</v>
      </c>
    </row>
    <row r="45" spans="1:12">
      <c r="A45" t="s">
        <v>5545</v>
      </c>
      <c r="B45" t="s">
        <v>5546</v>
      </c>
      <c r="C45" t="s">
        <v>5633</v>
      </c>
      <c r="D45" t="s">
        <v>5634</v>
      </c>
      <c r="F45" t="s">
        <v>3537</v>
      </c>
      <c r="G45" s="2">
        <v>3.52</v>
      </c>
      <c r="H45" s="2">
        <v>5.5</v>
      </c>
      <c r="I45">
        <v>87</v>
      </c>
      <c r="J45">
        <v>121</v>
      </c>
      <c r="K45">
        <v>34</v>
      </c>
      <c r="L45" s="2">
        <f>Tabla_Esfuerzo_Ventas_Valorado[[#This Row],[Exceso Unid]]*Tabla_Esfuerzo_Ventas_Valorado[[#This Row],[CTV]]</f>
        <v>119.68</v>
      </c>
    </row>
    <row r="46" spans="1:12">
      <c r="A46" t="s">
        <v>5545</v>
      </c>
      <c r="B46" t="s">
        <v>5546</v>
      </c>
      <c r="C46" t="s">
        <v>5635</v>
      </c>
      <c r="D46" t="s">
        <v>5636</v>
      </c>
      <c r="F46" t="s">
        <v>3537</v>
      </c>
      <c r="G46" s="2">
        <v>3.87</v>
      </c>
      <c r="H46" s="2">
        <v>5.5</v>
      </c>
      <c r="I46">
        <v>74</v>
      </c>
      <c r="J46">
        <v>99</v>
      </c>
      <c r="K46">
        <v>25</v>
      </c>
      <c r="L46" s="2">
        <f>Tabla_Esfuerzo_Ventas_Valorado[[#This Row],[Exceso Unid]]*Tabla_Esfuerzo_Ventas_Valorado[[#This Row],[CTV]]</f>
        <v>96.75</v>
      </c>
    </row>
    <row r="47" spans="1:12">
      <c r="A47" t="s">
        <v>5545</v>
      </c>
      <c r="B47" t="s">
        <v>5546</v>
      </c>
      <c r="C47" t="s">
        <v>5637</v>
      </c>
      <c r="D47" t="s">
        <v>5638</v>
      </c>
      <c r="F47" t="s">
        <v>3537</v>
      </c>
      <c r="G47" s="2">
        <v>5.34</v>
      </c>
      <c r="H47" s="2">
        <v>8.84</v>
      </c>
      <c r="I47">
        <v>40</v>
      </c>
      <c r="J47">
        <v>68</v>
      </c>
      <c r="K47">
        <v>28</v>
      </c>
      <c r="L47" s="2">
        <f>Tabla_Esfuerzo_Ventas_Valorado[[#This Row],[Exceso Unid]]*Tabla_Esfuerzo_Ventas_Valorado[[#This Row],[CTV]]</f>
        <v>149.51999999999998</v>
      </c>
    </row>
    <row r="48" spans="1:12">
      <c r="A48" t="s">
        <v>5545</v>
      </c>
      <c r="B48" t="s">
        <v>5546</v>
      </c>
      <c r="C48" t="s">
        <v>5639</v>
      </c>
      <c r="D48" t="s">
        <v>5640</v>
      </c>
      <c r="F48" t="s">
        <v>3537</v>
      </c>
      <c r="G48" s="2">
        <v>3.41</v>
      </c>
      <c r="H48" s="2">
        <v>5.53</v>
      </c>
      <c r="I48">
        <v>52</v>
      </c>
      <c r="J48">
        <v>99</v>
      </c>
      <c r="K48">
        <v>47</v>
      </c>
      <c r="L48" s="2">
        <f>Tabla_Esfuerzo_Ventas_Valorado[[#This Row],[Exceso Unid]]*Tabla_Esfuerzo_Ventas_Valorado[[#This Row],[CTV]]</f>
        <v>160.27000000000001</v>
      </c>
    </row>
    <row r="49" spans="1:12">
      <c r="A49" t="s">
        <v>5545</v>
      </c>
      <c r="B49" t="s">
        <v>5546</v>
      </c>
      <c r="C49" t="s">
        <v>5641</v>
      </c>
      <c r="D49" t="s">
        <v>5642</v>
      </c>
      <c r="F49" t="s">
        <v>3537</v>
      </c>
      <c r="G49" s="2">
        <v>3.41</v>
      </c>
      <c r="H49" s="2">
        <v>5.53</v>
      </c>
      <c r="I49">
        <v>134</v>
      </c>
      <c r="J49">
        <v>155</v>
      </c>
      <c r="K49">
        <v>21</v>
      </c>
      <c r="L49" s="2">
        <f>Tabla_Esfuerzo_Ventas_Valorado[[#This Row],[Exceso Unid]]*Tabla_Esfuerzo_Ventas_Valorado[[#This Row],[CTV]]</f>
        <v>71.61</v>
      </c>
    </row>
    <row r="50" spans="1:12">
      <c r="A50" t="s">
        <v>5545</v>
      </c>
      <c r="B50" t="s">
        <v>5546</v>
      </c>
      <c r="C50" t="s">
        <v>5643</v>
      </c>
      <c r="D50" t="s">
        <v>5644</v>
      </c>
      <c r="F50" t="s">
        <v>3537</v>
      </c>
      <c r="G50" s="2">
        <v>5.44</v>
      </c>
      <c r="H50" s="2">
        <v>8.84</v>
      </c>
      <c r="I50">
        <v>42</v>
      </c>
      <c r="J50">
        <v>104</v>
      </c>
      <c r="K50">
        <v>62</v>
      </c>
      <c r="L50" s="2">
        <f>Tabla_Esfuerzo_Ventas_Valorado[[#This Row],[Exceso Unid]]*Tabla_Esfuerzo_Ventas_Valorado[[#This Row],[CTV]]</f>
        <v>337.28000000000003</v>
      </c>
    </row>
    <row r="51" spans="1:12">
      <c r="A51" t="s">
        <v>5545</v>
      </c>
      <c r="B51" t="s">
        <v>5546</v>
      </c>
      <c r="C51" t="s">
        <v>5645</v>
      </c>
      <c r="D51" t="s">
        <v>5646</v>
      </c>
      <c r="F51" t="s">
        <v>3537</v>
      </c>
      <c r="G51" s="2">
        <v>5.44</v>
      </c>
      <c r="H51" s="2">
        <v>8.84</v>
      </c>
      <c r="I51">
        <v>86</v>
      </c>
      <c r="J51">
        <v>101</v>
      </c>
      <c r="K51">
        <v>15</v>
      </c>
      <c r="L51" s="2">
        <f>Tabla_Esfuerzo_Ventas_Valorado[[#This Row],[Exceso Unid]]*Tabla_Esfuerzo_Ventas_Valorado[[#This Row],[CTV]]</f>
        <v>81.600000000000009</v>
      </c>
    </row>
    <row r="52" spans="1:12">
      <c r="A52" t="s">
        <v>5545</v>
      </c>
      <c r="B52" t="s">
        <v>5546</v>
      </c>
      <c r="C52" t="s">
        <v>5647</v>
      </c>
      <c r="D52" t="s">
        <v>5648</v>
      </c>
      <c r="F52" t="s">
        <v>3537</v>
      </c>
      <c r="G52" s="2">
        <v>5.44</v>
      </c>
      <c r="H52" s="2">
        <v>8.84</v>
      </c>
      <c r="I52">
        <v>108</v>
      </c>
      <c r="J52">
        <v>174</v>
      </c>
      <c r="K52">
        <v>66</v>
      </c>
      <c r="L52" s="2">
        <f>Tabla_Esfuerzo_Ventas_Valorado[[#This Row],[Exceso Unid]]*Tabla_Esfuerzo_Ventas_Valorado[[#This Row],[CTV]]</f>
        <v>359.04</v>
      </c>
    </row>
    <row r="53" spans="1:12">
      <c r="A53" t="s">
        <v>5545</v>
      </c>
      <c r="B53" t="s">
        <v>5546</v>
      </c>
      <c r="C53" t="s">
        <v>5649</v>
      </c>
      <c r="D53" t="s">
        <v>5650</v>
      </c>
      <c r="F53" t="s">
        <v>3537</v>
      </c>
      <c r="G53" s="2">
        <v>9.39</v>
      </c>
      <c r="H53" s="2">
        <v>13.72</v>
      </c>
      <c r="I53">
        <v>20</v>
      </c>
      <c r="J53">
        <v>68</v>
      </c>
      <c r="K53">
        <v>48</v>
      </c>
      <c r="L53" s="2">
        <f>Tabla_Esfuerzo_Ventas_Valorado[[#This Row],[Exceso Unid]]*Tabla_Esfuerzo_Ventas_Valorado[[#This Row],[CTV]]</f>
        <v>450.72</v>
      </c>
    </row>
    <row r="54" spans="1:12">
      <c r="A54" t="s">
        <v>5545</v>
      </c>
      <c r="B54" t="s">
        <v>5546</v>
      </c>
      <c r="C54" t="s">
        <v>5651</v>
      </c>
      <c r="D54" t="s">
        <v>5652</v>
      </c>
      <c r="F54" t="s">
        <v>3537</v>
      </c>
      <c r="G54" s="2">
        <v>9.39</v>
      </c>
      <c r="H54" s="2">
        <v>13.72</v>
      </c>
      <c r="I54">
        <v>16</v>
      </c>
      <c r="J54">
        <v>34</v>
      </c>
      <c r="K54">
        <v>18</v>
      </c>
      <c r="L54" s="2">
        <f>Tabla_Esfuerzo_Ventas_Valorado[[#This Row],[Exceso Unid]]*Tabla_Esfuerzo_Ventas_Valorado[[#This Row],[CTV]]</f>
        <v>169.02</v>
      </c>
    </row>
    <row r="55" spans="1:12">
      <c r="A55" t="s">
        <v>5545</v>
      </c>
      <c r="B55" t="s">
        <v>5546</v>
      </c>
      <c r="C55" t="s">
        <v>5653</v>
      </c>
      <c r="D55" t="s">
        <v>5654</v>
      </c>
      <c r="F55" t="s">
        <v>3537</v>
      </c>
      <c r="G55" s="2">
        <v>9.39</v>
      </c>
      <c r="H55" s="2">
        <v>13.72</v>
      </c>
      <c r="I55">
        <v>20</v>
      </c>
      <c r="J55">
        <v>32</v>
      </c>
      <c r="K55">
        <v>12</v>
      </c>
      <c r="L55" s="2">
        <f>Tabla_Esfuerzo_Ventas_Valorado[[#This Row],[Exceso Unid]]*Tabla_Esfuerzo_Ventas_Valorado[[#This Row],[CTV]]</f>
        <v>112.68</v>
      </c>
    </row>
    <row r="56" spans="1:12">
      <c r="A56" t="s">
        <v>5545</v>
      </c>
      <c r="B56" t="s">
        <v>5546</v>
      </c>
      <c r="C56" t="s">
        <v>5655</v>
      </c>
      <c r="D56" t="s">
        <v>5656</v>
      </c>
      <c r="F56" t="s">
        <v>3537</v>
      </c>
      <c r="G56" s="2">
        <v>5.84</v>
      </c>
      <c r="H56" s="2">
        <v>10.38</v>
      </c>
      <c r="I56">
        <v>20</v>
      </c>
      <c r="J56">
        <v>50</v>
      </c>
      <c r="K56">
        <v>30</v>
      </c>
      <c r="L56" s="2">
        <f>Tabla_Esfuerzo_Ventas_Valorado[[#This Row],[Exceso Unid]]*Tabla_Esfuerzo_Ventas_Valorado[[#This Row],[CTV]]</f>
        <v>175.2</v>
      </c>
    </row>
    <row r="57" spans="1:12">
      <c r="A57" t="s">
        <v>5545</v>
      </c>
      <c r="B57" t="s">
        <v>5546</v>
      </c>
      <c r="C57" t="s">
        <v>5657</v>
      </c>
      <c r="D57" t="s">
        <v>5658</v>
      </c>
      <c r="F57" t="s">
        <v>3537</v>
      </c>
      <c r="G57" s="2">
        <v>5.84</v>
      </c>
      <c r="H57" s="2">
        <v>10.38</v>
      </c>
      <c r="I57">
        <v>16</v>
      </c>
      <c r="J57">
        <v>57</v>
      </c>
      <c r="K57">
        <v>41</v>
      </c>
      <c r="L57" s="2">
        <f>Tabla_Esfuerzo_Ventas_Valorado[[#This Row],[Exceso Unid]]*Tabla_Esfuerzo_Ventas_Valorado[[#This Row],[CTV]]</f>
        <v>239.44</v>
      </c>
    </row>
    <row r="58" spans="1:12">
      <c r="A58" t="s">
        <v>5545</v>
      </c>
      <c r="B58" t="s">
        <v>5546</v>
      </c>
      <c r="C58" t="s">
        <v>5659</v>
      </c>
      <c r="D58" t="s">
        <v>5660</v>
      </c>
      <c r="F58" t="s">
        <v>3537</v>
      </c>
      <c r="G58" s="2">
        <v>5.84</v>
      </c>
      <c r="H58" s="2">
        <v>10.38</v>
      </c>
      <c r="I58">
        <v>18</v>
      </c>
      <c r="J58">
        <v>46</v>
      </c>
      <c r="K58">
        <v>28</v>
      </c>
      <c r="L58" s="2">
        <f>Tabla_Esfuerzo_Ventas_Valorado[[#This Row],[Exceso Unid]]*Tabla_Esfuerzo_Ventas_Valorado[[#This Row],[CTV]]</f>
        <v>163.51999999999998</v>
      </c>
    </row>
    <row r="59" spans="1:12">
      <c r="A59" t="s">
        <v>5545</v>
      </c>
      <c r="B59" t="s">
        <v>5546</v>
      </c>
      <c r="C59" t="s">
        <v>5661</v>
      </c>
      <c r="D59" t="s">
        <v>5662</v>
      </c>
      <c r="F59" t="s">
        <v>3537</v>
      </c>
      <c r="G59" s="2">
        <v>12.96</v>
      </c>
      <c r="H59" s="2">
        <v>23.33</v>
      </c>
      <c r="I59">
        <v>109</v>
      </c>
      <c r="J59">
        <v>125</v>
      </c>
      <c r="K59">
        <v>16</v>
      </c>
      <c r="L59" s="2">
        <f>Tabla_Esfuerzo_Ventas_Valorado[[#This Row],[Exceso Unid]]*Tabla_Esfuerzo_Ventas_Valorado[[#This Row],[CTV]]</f>
        <v>207.36</v>
      </c>
    </row>
    <row r="60" spans="1:12">
      <c r="A60" t="s">
        <v>5545</v>
      </c>
      <c r="B60" t="s">
        <v>5546</v>
      </c>
      <c r="C60" t="s">
        <v>5663</v>
      </c>
      <c r="D60" t="s">
        <v>5664</v>
      </c>
      <c r="F60" t="s">
        <v>3537</v>
      </c>
      <c r="G60" s="2">
        <v>5.75</v>
      </c>
      <c r="H60" s="2">
        <v>9.56</v>
      </c>
      <c r="I60">
        <v>38</v>
      </c>
      <c r="J60">
        <v>116</v>
      </c>
      <c r="K60">
        <v>78</v>
      </c>
      <c r="L60" s="2">
        <f>Tabla_Esfuerzo_Ventas_Valorado[[#This Row],[Exceso Unid]]*Tabla_Esfuerzo_Ventas_Valorado[[#This Row],[CTV]]</f>
        <v>448.5</v>
      </c>
    </row>
    <row r="61" spans="1:12">
      <c r="A61" t="s">
        <v>5545</v>
      </c>
      <c r="B61" t="s">
        <v>5546</v>
      </c>
      <c r="C61" t="s">
        <v>5665</v>
      </c>
      <c r="D61" t="s">
        <v>5666</v>
      </c>
      <c r="F61" t="s">
        <v>3537</v>
      </c>
      <c r="G61" s="2">
        <v>5.27</v>
      </c>
      <c r="H61" s="2">
        <v>8.08</v>
      </c>
      <c r="I61">
        <v>48</v>
      </c>
      <c r="J61">
        <v>60</v>
      </c>
      <c r="K61">
        <v>12</v>
      </c>
      <c r="L61" s="2">
        <f>Tabla_Esfuerzo_Ventas_Valorado[[#This Row],[Exceso Unid]]*Tabla_Esfuerzo_Ventas_Valorado[[#This Row],[CTV]]</f>
        <v>63.239999999999995</v>
      </c>
    </row>
    <row r="62" spans="1:12">
      <c r="A62" t="s">
        <v>5545</v>
      </c>
      <c r="B62" t="s">
        <v>5546</v>
      </c>
      <c r="C62" t="s">
        <v>5667</v>
      </c>
      <c r="D62" t="s">
        <v>5668</v>
      </c>
      <c r="F62" t="s">
        <v>3537</v>
      </c>
      <c r="G62" s="2">
        <v>5.27</v>
      </c>
      <c r="H62" s="2">
        <v>8.08</v>
      </c>
      <c r="I62">
        <v>14</v>
      </c>
      <c r="J62">
        <v>19</v>
      </c>
      <c r="K62">
        <v>5</v>
      </c>
      <c r="L62" s="2">
        <f>Tabla_Esfuerzo_Ventas_Valorado[[#This Row],[Exceso Unid]]*Tabla_Esfuerzo_Ventas_Valorado[[#This Row],[CTV]]</f>
        <v>26.349999999999998</v>
      </c>
    </row>
    <row r="63" spans="1:12">
      <c r="A63" t="s">
        <v>5545</v>
      </c>
      <c r="B63" t="s">
        <v>5546</v>
      </c>
      <c r="C63" t="s">
        <v>5669</v>
      </c>
      <c r="D63" t="s">
        <v>5670</v>
      </c>
      <c r="F63" t="s">
        <v>3537</v>
      </c>
      <c r="G63" s="2">
        <v>7.3</v>
      </c>
      <c r="H63" s="2">
        <v>10.8</v>
      </c>
      <c r="I63">
        <v>32</v>
      </c>
      <c r="J63">
        <v>41</v>
      </c>
      <c r="K63">
        <v>9</v>
      </c>
      <c r="L63" s="2">
        <f>Tabla_Esfuerzo_Ventas_Valorado[[#This Row],[Exceso Unid]]*Tabla_Esfuerzo_Ventas_Valorado[[#This Row],[CTV]]</f>
        <v>65.7</v>
      </c>
    </row>
    <row r="64" spans="1:12">
      <c r="A64" t="s">
        <v>5545</v>
      </c>
      <c r="B64" t="s">
        <v>5546</v>
      </c>
      <c r="C64" t="s">
        <v>5671</v>
      </c>
      <c r="D64" t="s">
        <v>5672</v>
      </c>
      <c r="F64" t="s">
        <v>3537</v>
      </c>
      <c r="G64" s="2">
        <v>2.21</v>
      </c>
      <c r="H64" s="2">
        <v>3.59</v>
      </c>
      <c r="I64">
        <v>31</v>
      </c>
      <c r="J64">
        <v>158</v>
      </c>
      <c r="K64">
        <v>127</v>
      </c>
      <c r="L64" s="2">
        <f>Tabla_Esfuerzo_Ventas_Valorado[[#This Row],[Exceso Unid]]*Tabla_Esfuerzo_Ventas_Valorado[[#This Row],[CTV]]</f>
        <v>280.67</v>
      </c>
    </row>
    <row r="65" spans="1:12">
      <c r="A65" t="s">
        <v>5545</v>
      </c>
      <c r="B65" t="s">
        <v>5546</v>
      </c>
      <c r="C65" t="s">
        <v>5673</v>
      </c>
      <c r="D65" t="s">
        <v>5674</v>
      </c>
      <c r="F65" t="s">
        <v>3537</v>
      </c>
      <c r="G65" s="2">
        <v>9.1300000000000008</v>
      </c>
      <c r="H65" s="2">
        <v>13.8</v>
      </c>
      <c r="I65">
        <v>48</v>
      </c>
      <c r="J65">
        <v>267</v>
      </c>
      <c r="K65">
        <v>219</v>
      </c>
      <c r="L65" s="2">
        <f>Tabla_Esfuerzo_Ventas_Valorado[[#This Row],[Exceso Unid]]*Tabla_Esfuerzo_Ventas_Valorado[[#This Row],[CTV]]</f>
        <v>1999.4700000000003</v>
      </c>
    </row>
    <row r="66" spans="1:12">
      <c r="A66" t="s">
        <v>5545</v>
      </c>
      <c r="B66" t="s">
        <v>5546</v>
      </c>
      <c r="C66" t="s">
        <v>5675</v>
      </c>
      <c r="D66" t="s">
        <v>5676</v>
      </c>
      <c r="F66" t="s">
        <v>3537</v>
      </c>
      <c r="G66" s="2">
        <v>2.61</v>
      </c>
      <c r="H66" s="2">
        <v>4.51</v>
      </c>
      <c r="I66">
        <v>19</v>
      </c>
      <c r="J66">
        <v>43</v>
      </c>
      <c r="K66">
        <v>24</v>
      </c>
      <c r="L66" s="2">
        <f>Tabla_Esfuerzo_Ventas_Valorado[[#This Row],[Exceso Unid]]*Tabla_Esfuerzo_Ventas_Valorado[[#This Row],[CTV]]</f>
        <v>62.64</v>
      </c>
    </row>
    <row r="67" spans="1:12">
      <c r="A67" t="s">
        <v>5545</v>
      </c>
      <c r="B67" t="s">
        <v>5546</v>
      </c>
      <c r="C67" t="s">
        <v>5677</v>
      </c>
      <c r="D67" t="s">
        <v>5678</v>
      </c>
      <c r="F67" t="s">
        <v>3537</v>
      </c>
      <c r="G67" s="2">
        <v>2.61</v>
      </c>
      <c r="H67" s="2">
        <v>4.51</v>
      </c>
      <c r="I67">
        <v>16</v>
      </c>
      <c r="J67">
        <v>35</v>
      </c>
      <c r="K67">
        <v>19</v>
      </c>
      <c r="L67" s="2">
        <f>Tabla_Esfuerzo_Ventas_Valorado[[#This Row],[Exceso Unid]]*Tabla_Esfuerzo_Ventas_Valorado[[#This Row],[CTV]]</f>
        <v>49.589999999999996</v>
      </c>
    </row>
    <row r="68" spans="1:12">
      <c r="A68" t="s">
        <v>5545</v>
      </c>
      <c r="B68" t="s">
        <v>5546</v>
      </c>
      <c r="C68" t="s">
        <v>5679</v>
      </c>
      <c r="D68" t="s">
        <v>5680</v>
      </c>
      <c r="F68" t="s">
        <v>3537</v>
      </c>
      <c r="G68" s="2">
        <v>10.82</v>
      </c>
      <c r="H68" s="2">
        <v>17.55</v>
      </c>
      <c r="I68">
        <v>71</v>
      </c>
      <c r="J68">
        <v>129</v>
      </c>
      <c r="K68">
        <v>58</v>
      </c>
      <c r="L68" s="2">
        <f>Tabla_Esfuerzo_Ventas_Valorado[[#This Row],[Exceso Unid]]*Tabla_Esfuerzo_Ventas_Valorado[[#This Row],[CTV]]</f>
        <v>627.56000000000006</v>
      </c>
    </row>
    <row r="69" spans="1:12">
      <c r="A69" t="s">
        <v>5545</v>
      </c>
      <c r="B69" t="s">
        <v>5546</v>
      </c>
      <c r="C69" t="s">
        <v>5681</v>
      </c>
      <c r="D69" t="s">
        <v>5682</v>
      </c>
      <c r="F69" t="s">
        <v>3537</v>
      </c>
      <c r="G69" s="2">
        <v>10.82</v>
      </c>
      <c r="H69" s="2">
        <v>17.55</v>
      </c>
      <c r="I69">
        <v>142</v>
      </c>
      <c r="J69">
        <v>155</v>
      </c>
      <c r="K69">
        <v>13</v>
      </c>
      <c r="L69" s="2">
        <f>Tabla_Esfuerzo_Ventas_Valorado[[#This Row],[Exceso Unid]]*Tabla_Esfuerzo_Ventas_Valorado[[#This Row],[CTV]]</f>
        <v>140.66</v>
      </c>
    </row>
    <row r="70" spans="1:12">
      <c r="A70" t="s">
        <v>5545</v>
      </c>
      <c r="B70" t="s">
        <v>5546</v>
      </c>
      <c r="C70" t="s">
        <v>5683</v>
      </c>
      <c r="D70" t="s">
        <v>5684</v>
      </c>
      <c r="F70" t="s">
        <v>3537</v>
      </c>
      <c r="G70" s="2">
        <v>10.82</v>
      </c>
      <c r="H70" s="2">
        <v>17.55</v>
      </c>
      <c r="I70">
        <v>91</v>
      </c>
      <c r="J70">
        <v>100</v>
      </c>
      <c r="K70">
        <v>9</v>
      </c>
      <c r="L70" s="2">
        <f>Tabla_Esfuerzo_Ventas_Valorado[[#This Row],[Exceso Unid]]*Tabla_Esfuerzo_Ventas_Valorado[[#This Row],[CTV]]</f>
        <v>97.38</v>
      </c>
    </row>
    <row r="71" spans="1:12">
      <c r="A71" t="s">
        <v>5545</v>
      </c>
      <c r="B71" t="s">
        <v>5546</v>
      </c>
      <c r="C71" t="s">
        <v>5685</v>
      </c>
      <c r="D71" t="s">
        <v>5686</v>
      </c>
      <c r="F71" t="s">
        <v>3537</v>
      </c>
      <c r="G71" s="2">
        <v>4.34</v>
      </c>
      <c r="H71" s="2">
        <v>6.56</v>
      </c>
      <c r="I71">
        <v>90</v>
      </c>
      <c r="J71">
        <v>167</v>
      </c>
      <c r="K71">
        <v>77</v>
      </c>
      <c r="L71" s="2">
        <f>Tabla_Esfuerzo_Ventas_Valorado[[#This Row],[Exceso Unid]]*Tabla_Esfuerzo_Ventas_Valorado[[#This Row],[CTV]]</f>
        <v>334.18</v>
      </c>
    </row>
    <row r="72" spans="1:12">
      <c r="A72" t="s">
        <v>5545</v>
      </c>
      <c r="B72" t="s">
        <v>5546</v>
      </c>
      <c r="C72" t="s">
        <v>5687</v>
      </c>
      <c r="D72" t="s">
        <v>5688</v>
      </c>
      <c r="F72" t="s">
        <v>3537</v>
      </c>
      <c r="G72" s="2">
        <v>4.34</v>
      </c>
      <c r="H72" s="2">
        <v>6.56</v>
      </c>
      <c r="I72">
        <v>85</v>
      </c>
      <c r="J72">
        <v>217</v>
      </c>
      <c r="K72">
        <v>132</v>
      </c>
      <c r="L72" s="2">
        <f>Tabla_Esfuerzo_Ventas_Valorado[[#This Row],[Exceso Unid]]*Tabla_Esfuerzo_Ventas_Valorado[[#This Row],[CTV]]</f>
        <v>572.88</v>
      </c>
    </row>
    <row r="73" spans="1:12">
      <c r="A73" t="s">
        <v>5545</v>
      </c>
      <c r="B73" t="s">
        <v>5546</v>
      </c>
      <c r="C73" t="s">
        <v>5689</v>
      </c>
      <c r="D73" t="s">
        <v>5690</v>
      </c>
      <c r="F73" t="s">
        <v>3537</v>
      </c>
      <c r="G73" s="2">
        <v>22.64</v>
      </c>
      <c r="H73" s="2">
        <v>33.07</v>
      </c>
      <c r="I73">
        <v>9</v>
      </c>
      <c r="J73">
        <v>45</v>
      </c>
      <c r="K73">
        <v>36</v>
      </c>
      <c r="L73" s="2">
        <f>Tabla_Esfuerzo_Ventas_Valorado[[#This Row],[Exceso Unid]]*Tabla_Esfuerzo_Ventas_Valorado[[#This Row],[CTV]]</f>
        <v>815.04</v>
      </c>
    </row>
    <row r="74" spans="1:12">
      <c r="A74" t="s">
        <v>5545</v>
      </c>
      <c r="B74" t="s">
        <v>5546</v>
      </c>
      <c r="C74" t="s">
        <v>5691</v>
      </c>
      <c r="D74" t="s">
        <v>5692</v>
      </c>
      <c r="F74" t="s">
        <v>3537</v>
      </c>
      <c r="G74" s="2">
        <v>22.64</v>
      </c>
      <c r="H74" s="2">
        <v>33.07</v>
      </c>
      <c r="I74">
        <v>12</v>
      </c>
      <c r="J74">
        <v>39</v>
      </c>
      <c r="K74">
        <v>27</v>
      </c>
      <c r="L74" s="2">
        <f>Tabla_Esfuerzo_Ventas_Valorado[[#This Row],[Exceso Unid]]*Tabla_Esfuerzo_Ventas_Valorado[[#This Row],[CTV]]</f>
        <v>611.28</v>
      </c>
    </row>
    <row r="75" spans="1:12">
      <c r="A75" t="s">
        <v>5545</v>
      </c>
      <c r="B75" t="s">
        <v>5546</v>
      </c>
      <c r="C75" t="s">
        <v>5693</v>
      </c>
      <c r="D75" t="s">
        <v>5694</v>
      </c>
      <c r="F75" t="s">
        <v>3537</v>
      </c>
      <c r="G75" s="2">
        <v>22.64</v>
      </c>
      <c r="H75" s="2">
        <v>33.07</v>
      </c>
      <c r="I75">
        <v>23</v>
      </c>
      <c r="J75">
        <v>38</v>
      </c>
      <c r="K75">
        <v>15</v>
      </c>
      <c r="L75" s="2">
        <f>Tabla_Esfuerzo_Ventas_Valorado[[#This Row],[Exceso Unid]]*Tabla_Esfuerzo_Ventas_Valorado[[#This Row],[CTV]]</f>
        <v>339.6</v>
      </c>
    </row>
    <row r="76" spans="1:12">
      <c r="A76" t="s">
        <v>5545</v>
      </c>
      <c r="B76" t="s">
        <v>5546</v>
      </c>
      <c r="C76" t="s">
        <v>5695</v>
      </c>
      <c r="D76" t="s">
        <v>5696</v>
      </c>
      <c r="F76" t="s">
        <v>5697</v>
      </c>
      <c r="G76" s="2">
        <v>15.95</v>
      </c>
      <c r="H76" s="2">
        <v>24.71</v>
      </c>
      <c r="I76">
        <v>205</v>
      </c>
      <c r="J76">
        <v>324</v>
      </c>
      <c r="K76">
        <v>119</v>
      </c>
      <c r="L76" s="2">
        <f>Tabla_Esfuerzo_Ventas_Valorado[[#This Row],[Exceso Unid]]*Tabla_Esfuerzo_Ventas_Valorado[[#This Row],[CTV]]</f>
        <v>1898.05</v>
      </c>
    </row>
    <row r="77" spans="1:12">
      <c r="A77" t="s">
        <v>5545</v>
      </c>
      <c r="B77" t="s">
        <v>5546</v>
      </c>
      <c r="C77" t="s">
        <v>5698</v>
      </c>
      <c r="D77" t="s">
        <v>5699</v>
      </c>
      <c r="F77" t="s">
        <v>5697</v>
      </c>
      <c r="G77" s="2">
        <v>12.22</v>
      </c>
      <c r="H77" s="2">
        <v>21.56</v>
      </c>
      <c r="I77">
        <v>19</v>
      </c>
      <c r="J77">
        <v>668</v>
      </c>
      <c r="K77">
        <v>649</v>
      </c>
      <c r="L77" s="2">
        <f>Tabla_Esfuerzo_Ventas_Valorado[[#This Row],[Exceso Unid]]*Tabla_Esfuerzo_Ventas_Valorado[[#This Row],[CTV]]</f>
        <v>7930.7800000000007</v>
      </c>
    </row>
    <row r="78" spans="1:12">
      <c r="A78" t="s">
        <v>5545</v>
      </c>
      <c r="B78" t="s">
        <v>5546</v>
      </c>
      <c r="C78" t="s">
        <v>5700</v>
      </c>
      <c r="D78" t="s">
        <v>5701</v>
      </c>
      <c r="F78" t="s">
        <v>5697</v>
      </c>
      <c r="G78" s="2">
        <v>16.989999999999998</v>
      </c>
      <c r="H78" s="2">
        <v>29.55</v>
      </c>
      <c r="I78">
        <v>29</v>
      </c>
      <c r="J78">
        <v>193</v>
      </c>
      <c r="K78">
        <v>164</v>
      </c>
      <c r="L78" s="2">
        <f>Tabla_Esfuerzo_Ventas_Valorado[[#This Row],[Exceso Unid]]*Tabla_Esfuerzo_Ventas_Valorado[[#This Row],[CTV]]</f>
        <v>2786.3599999999997</v>
      </c>
    </row>
    <row r="79" spans="1:12">
      <c r="A79" t="s">
        <v>5545</v>
      </c>
      <c r="B79" t="s">
        <v>5546</v>
      </c>
      <c r="C79" t="s">
        <v>5702</v>
      </c>
      <c r="D79" t="s">
        <v>5703</v>
      </c>
      <c r="F79" t="s">
        <v>5704</v>
      </c>
      <c r="G79" s="2">
        <v>12.3</v>
      </c>
      <c r="H79" s="2">
        <v>16.43</v>
      </c>
      <c r="I79">
        <v>69</v>
      </c>
      <c r="J79">
        <v>75</v>
      </c>
      <c r="K79">
        <v>6</v>
      </c>
      <c r="L79" s="2">
        <f>Tabla_Esfuerzo_Ventas_Valorado[[#This Row],[Exceso Unid]]*Tabla_Esfuerzo_Ventas_Valorado[[#This Row],[CTV]]</f>
        <v>73.800000000000011</v>
      </c>
    </row>
    <row r="80" spans="1:12">
      <c r="A80" t="s">
        <v>5545</v>
      </c>
      <c r="B80" t="s">
        <v>5546</v>
      </c>
      <c r="C80" t="s">
        <v>5705</v>
      </c>
      <c r="D80" t="s">
        <v>5706</v>
      </c>
      <c r="F80" t="s">
        <v>5704</v>
      </c>
      <c r="G80" s="2">
        <v>12.3</v>
      </c>
      <c r="H80" s="2">
        <v>16.43</v>
      </c>
      <c r="I80">
        <v>71</v>
      </c>
      <c r="J80">
        <v>72</v>
      </c>
      <c r="K80">
        <v>1</v>
      </c>
      <c r="L80" s="2">
        <f>Tabla_Esfuerzo_Ventas_Valorado[[#This Row],[Exceso Unid]]*Tabla_Esfuerzo_Ventas_Valorado[[#This Row],[CTV]]</f>
        <v>12.3</v>
      </c>
    </row>
    <row r="81" spans="1:12">
      <c r="A81" t="s">
        <v>5545</v>
      </c>
      <c r="B81" t="s">
        <v>5546</v>
      </c>
      <c r="C81" t="s">
        <v>5707</v>
      </c>
      <c r="D81" t="s">
        <v>5708</v>
      </c>
      <c r="F81" t="s">
        <v>5704</v>
      </c>
      <c r="G81" s="2">
        <v>12.3</v>
      </c>
      <c r="H81" s="2">
        <v>16.43</v>
      </c>
      <c r="I81">
        <v>18</v>
      </c>
      <c r="J81">
        <v>23</v>
      </c>
      <c r="K81">
        <v>5</v>
      </c>
      <c r="L81" s="2">
        <f>Tabla_Esfuerzo_Ventas_Valorado[[#This Row],[Exceso Unid]]*Tabla_Esfuerzo_Ventas_Valorado[[#This Row],[CTV]]</f>
        <v>61.5</v>
      </c>
    </row>
    <row r="82" spans="1:12">
      <c r="A82" t="s">
        <v>5545</v>
      </c>
      <c r="B82" t="s">
        <v>5546</v>
      </c>
      <c r="C82" t="s">
        <v>5709</v>
      </c>
      <c r="D82" t="s">
        <v>5710</v>
      </c>
      <c r="F82" t="s">
        <v>5704</v>
      </c>
      <c r="G82" s="2">
        <v>20.58</v>
      </c>
      <c r="H82" s="2">
        <v>27.5</v>
      </c>
      <c r="I82">
        <v>14</v>
      </c>
      <c r="J82">
        <v>46</v>
      </c>
      <c r="K82">
        <v>32</v>
      </c>
      <c r="L82" s="2">
        <f>Tabla_Esfuerzo_Ventas_Valorado[[#This Row],[Exceso Unid]]*Tabla_Esfuerzo_Ventas_Valorado[[#This Row],[CTV]]</f>
        <v>658.56</v>
      </c>
    </row>
    <row r="83" spans="1:12">
      <c r="A83" t="s">
        <v>5545</v>
      </c>
      <c r="B83" t="s">
        <v>5546</v>
      </c>
      <c r="C83" t="s">
        <v>5711</v>
      </c>
      <c r="D83" t="s">
        <v>5712</v>
      </c>
      <c r="F83" t="s">
        <v>5704</v>
      </c>
      <c r="G83" s="2">
        <v>20.58</v>
      </c>
      <c r="H83" s="2">
        <v>27.5</v>
      </c>
      <c r="I83">
        <v>25</v>
      </c>
      <c r="J83">
        <v>200</v>
      </c>
      <c r="K83">
        <v>175</v>
      </c>
      <c r="L83" s="2">
        <f>Tabla_Esfuerzo_Ventas_Valorado[[#This Row],[Exceso Unid]]*Tabla_Esfuerzo_Ventas_Valorado[[#This Row],[CTV]]</f>
        <v>3601.4999999999995</v>
      </c>
    </row>
    <row r="84" spans="1:12">
      <c r="A84" t="s">
        <v>5545</v>
      </c>
      <c r="B84" t="s">
        <v>5546</v>
      </c>
      <c r="C84" t="s">
        <v>5713</v>
      </c>
      <c r="D84" t="s">
        <v>5714</v>
      </c>
      <c r="F84" t="s">
        <v>5704</v>
      </c>
      <c r="G84" s="2">
        <v>20.58</v>
      </c>
      <c r="H84" s="2">
        <v>27.5</v>
      </c>
      <c r="I84">
        <v>27</v>
      </c>
      <c r="J84">
        <v>42</v>
      </c>
      <c r="K84">
        <v>15</v>
      </c>
      <c r="L84" s="2">
        <f>Tabla_Esfuerzo_Ventas_Valorado[[#This Row],[Exceso Unid]]*Tabla_Esfuerzo_Ventas_Valorado[[#This Row],[CTV]]</f>
        <v>308.7</v>
      </c>
    </row>
    <row r="85" spans="1:12">
      <c r="A85" t="s">
        <v>5545</v>
      </c>
      <c r="B85" t="s">
        <v>5546</v>
      </c>
      <c r="C85" t="s">
        <v>5715</v>
      </c>
      <c r="D85" t="s">
        <v>5716</v>
      </c>
      <c r="F85" t="s">
        <v>5704</v>
      </c>
      <c r="G85" s="2">
        <v>20.58</v>
      </c>
      <c r="H85" s="2">
        <v>27.5</v>
      </c>
      <c r="I85">
        <v>10</v>
      </c>
      <c r="J85">
        <v>37</v>
      </c>
      <c r="K85">
        <v>27</v>
      </c>
      <c r="L85" s="2">
        <f>Tabla_Esfuerzo_Ventas_Valorado[[#This Row],[Exceso Unid]]*Tabla_Esfuerzo_Ventas_Valorado[[#This Row],[CTV]]</f>
        <v>555.66</v>
      </c>
    </row>
    <row r="86" spans="1:12">
      <c r="A86" t="s">
        <v>5545</v>
      </c>
      <c r="B86" t="s">
        <v>5546</v>
      </c>
      <c r="C86" t="s">
        <v>5717</v>
      </c>
      <c r="D86" t="s">
        <v>5718</v>
      </c>
      <c r="F86" t="s">
        <v>5704</v>
      </c>
      <c r="G86" s="2">
        <v>20.58</v>
      </c>
      <c r="H86" s="2">
        <v>27.5</v>
      </c>
      <c r="I86">
        <v>14</v>
      </c>
      <c r="J86">
        <v>89</v>
      </c>
      <c r="K86">
        <v>75</v>
      </c>
      <c r="L86" s="2">
        <f>Tabla_Esfuerzo_Ventas_Valorado[[#This Row],[Exceso Unid]]*Tabla_Esfuerzo_Ventas_Valorado[[#This Row],[CTV]]</f>
        <v>1543.4999999999998</v>
      </c>
    </row>
    <row r="87" spans="1:12">
      <c r="A87" t="s">
        <v>5545</v>
      </c>
      <c r="B87" t="s">
        <v>5546</v>
      </c>
      <c r="C87" t="s">
        <v>5719</v>
      </c>
      <c r="D87" t="s">
        <v>5720</v>
      </c>
      <c r="F87" t="s">
        <v>5704</v>
      </c>
      <c r="G87" s="2">
        <v>20.58</v>
      </c>
      <c r="H87" s="2">
        <v>27.5</v>
      </c>
      <c r="I87">
        <v>2</v>
      </c>
      <c r="J87">
        <v>19</v>
      </c>
      <c r="K87">
        <v>17</v>
      </c>
      <c r="L87" s="2">
        <f>Tabla_Esfuerzo_Ventas_Valorado[[#This Row],[Exceso Unid]]*Tabla_Esfuerzo_Ventas_Valorado[[#This Row],[CTV]]</f>
        <v>349.85999999999996</v>
      </c>
    </row>
    <row r="88" spans="1:12">
      <c r="A88" t="s">
        <v>5545</v>
      </c>
      <c r="B88" t="s">
        <v>5546</v>
      </c>
      <c r="C88" t="s">
        <v>5721</v>
      </c>
      <c r="D88" t="s">
        <v>5722</v>
      </c>
      <c r="F88" t="s">
        <v>5704</v>
      </c>
      <c r="G88" s="2">
        <v>20.58</v>
      </c>
      <c r="H88" s="2">
        <v>27.5</v>
      </c>
      <c r="I88">
        <v>15</v>
      </c>
      <c r="J88">
        <v>149</v>
      </c>
      <c r="K88">
        <v>134</v>
      </c>
      <c r="L88" s="2">
        <f>Tabla_Esfuerzo_Ventas_Valorado[[#This Row],[Exceso Unid]]*Tabla_Esfuerzo_Ventas_Valorado[[#This Row],[CTV]]</f>
        <v>2757.72</v>
      </c>
    </row>
    <row r="89" spans="1:12">
      <c r="A89" t="s">
        <v>5545</v>
      </c>
      <c r="B89" t="s">
        <v>5546</v>
      </c>
      <c r="C89" t="s">
        <v>5723</v>
      </c>
      <c r="D89" t="s">
        <v>5724</v>
      </c>
      <c r="F89" t="s">
        <v>5704</v>
      </c>
      <c r="G89" s="2">
        <v>20.58</v>
      </c>
      <c r="H89" s="2">
        <v>27.5</v>
      </c>
      <c r="I89">
        <v>10</v>
      </c>
      <c r="J89">
        <v>123</v>
      </c>
      <c r="K89">
        <v>113</v>
      </c>
      <c r="L89" s="2">
        <f>Tabla_Esfuerzo_Ventas_Valorado[[#This Row],[Exceso Unid]]*Tabla_Esfuerzo_Ventas_Valorado[[#This Row],[CTV]]</f>
        <v>2325.54</v>
      </c>
    </row>
    <row r="90" spans="1:12">
      <c r="A90" t="s">
        <v>5545</v>
      </c>
      <c r="B90" t="s">
        <v>5546</v>
      </c>
      <c r="C90" t="s">
        <v>5725</v>
      </c>
      <c r="D90" t="s">
        <v>5726</v>
      </c>
      <c r="F90" t="s">
        <v>5704</v>
      </c>
      <c r="G90" s="2">
        <v>20.58</v>
      </c>
      <c r="H90" s="2">
        <v>27.5</v>
      </c>
      <c r="I90">
        <v>17</v>
      </c>
      <c r="J90">
        <v>238</v>
      </c>
      <c r="K90">
        <v>221</v>
      </c>
      <c r="L90" s="2">
        <f>Tabla_Esfuerzo_Ventas_Valorado[[#This Row],[Exceso Unid]]*Tabla_Esfuerzo_Ventas_Valorado[[#This Row],[CTV]]</f>
        <v>4548.1799999999994</v>
      </c>
    </row>
    <row r="91" spans="1:12">
      <c r="A91" t="s">
        <v>5545</v>
      </c>
      <c r="B91" t="s">
        <v>5546</v>
      </c>
      <c r="C91" t="s">
        <v>5727</v>
      </c>
      <c r="D91" t="s">
        <v>5728</v>
      </c>
      <c r="F91" t="s">
        <v>5704</v>
      </c>
      <c r="G91" s="2">
        <v>20.58</v>
      </c>
      <c r="H91" s="2">
        <v>27.5</v>
      </c>
      <c r="I91">
        <v>11</v>
      </c>
      <c r="J91">
        <v>24</v>
      </c>
      <c r="K91">
        <v>13</v>
      </c>
      <c r="L91" s="2">
        <f>Tabla_Esfuerzo_Ventas_Valorado[[#This Row],[Exceso Unid]]*Tabla_Esfuerzo_Ventas_Valorado[[#This Row],[CTV]]</f>
        <v>267.53999999999996</v>
      </c>
    </row>
    <row r="92" spans="1:12">
      <c r="A92" t="s">
        <v>5545</v>
      </c>
      <c r="B92" t="s">
        <v>5546</v>
      </c>
      <c r="C92" t="s">
        <v>5729</v>
      </c>
      <c r="D92" t="s">
        <v>5730</v>
      </c>
      <c r="F92" t="s">
        <v>5704</v>
      </c>
      <c r="G92" s="2">
        <v>20.58</v>
      </c>
      <c r="H92" s="2">
        <v>27.5</v>
      </c>
      <c r="I92">
        <v>6</v>
      </c>
      <c r="J92">
        <v>68</v>
      </c>
      <c r="K92">
        <v>62</v>
      </c>
      <c r="L92" s="2">
        <f>Tabla_Esfuerzo_Ventas_Valorado[[#This Row],[Exceso Unid]]*Tabla_Esfuerzo_Ventas_Valorado[[#This Row],[CTV]]</f>
        <v>1275.9599999999998</v>
      </c>
    </row>
    <row r="93" spans="1:12">
      <c r="A93" t="s">
        <v>5545</v>
      </c>
      <c r="B93" t="s">
        <v>5546</v>
      </c>
      <c r="C93" t="s">
        <v>5731</v>
      </c>
      <c r="D93" t="s">
        <v>5732</v>
      </c>
      <c r="F93" t="s">
        <v>5704</v>
      </c>
      <c r="G93" s="2">
        <v>20.58</v>
      </c>
      <c r="H93" s="2">
        <v>27.5</v>
      </c>
      <c r="I93">
        <v>12</v>
      </c>
      <c r="J93">
        <v>86</v>
      </c>
      <c r="K93">
        <v>74</v>
      </c>
      <c r="L93" s="2">
        <f>Tabla_Esfuerzo_Ventas_Valorado[[#This Row],[Exceso Unid]]*Tabla_Esfuerzo_Ventas_Valorado[[#This Row],[CTV]]</f>
        <v>1522.9199999999998</v>
      </c>
    </row>
    <row r="94" spans="1:12">
      <c r="A94" t="s">
        <v>5545</v>
      </c>
      <c r="B94" t="s">
        <v>5546</v>
      </c>
      <c r="C94" t="s">
        <v>5733</v>
      </c>
      <c r="D94" t="s">
        <v>5734</v>
      </c>
      <c r="F94" t="s">
        <v>5704</v>
      </c>
      <c r="G94" s="2">
        <v>20.58</v>
      </c>
      <c r="H94" s="2">
        <v>27.5</v>
      </c>
      <c r="I94">
        <v>19</v>
      </c>
      <c r="J94">
        <v>44</v>
      </c>
      <c r="K94">
        <v>25</v>
      </c>
      <c r="L94" s="2">
        <f>Tabla_Esfuerzo_Ventas_Valorado[[#This Row],[Exceso Unid]]*Tabla_Esfuerzo_Ventas_Valorado[[#This Row],[CTV]]</f>
        <v>514.5</v>
      </c>
    </row>
    <row r="95" spans="1:12">
      <c r="A95" t="s">
        <v>5545</v>
      </c>
      <c r="B95" t="s">
        <v>5546</v>
      </c>
      <c r="C95" t="s">
        <v>5735</v>
      </c>
      <c r="D95" t="s">
        <v>5736</v>
      </c>
      <c r="F95" t="s">
        <v>5704</v>
      </c>
      <c r="G95" s="2">
        <v>20.58</v>
      </c>
      <c r="H95" s="2">
        <v>27.5</v>
      </c>
      <c r="I95">
        <v>22</v>
      </c>
      <c r="J95">
        <v>46</v>
      </c>
      <c r="K95">
        <v>24</v>
      </c>
      <c r="L95" s="2">
        <f>Tabla_Esfuerzo_Ventas_Valorado[[#This Row],[Exceso Unid]]*Tabla_Esfuerzo_Ventas_Valorado[[#This Row],[CTV]]</f>
        <v>493.91999999999996</v>
      </c>
    </row>
    <row r="96" spans="1:12">
      <c r="A96" t="s">
        <v>5545</v>
      </c>
      <c r="B96" t="s">
        <v>5546</v>
      </c>
      <c r="C96" t="s">
        <v>5737</v>
      </c>
      <c r="D96" t="s">
        <v>5738</v>
      </c>
      <c r="F96" t="s">
        <v>5704</v>
      </c>
      <c r="G96" s="2">
        <v>0.77</v>
      </c>
      <c r="H96" s="2">
        <v>1.45</v>
      </c>
      <c r="I96">
        <v>604</v>
      </c>
      <c r="J96">
        <v>1459</v>
      </c>
      <c r="K96">
        <v>855</v>
      </c>
      <c r="L96" s="2">
        <f>Tabla_Esfuerzo_Ventas_Valorado[[#This Row],[Exceso Unid]]*Tabla_Esfuerzo_Ventas_Valorado[[#This Row],[CTV]]</f>
        <v>658.35</v>
      </c>
    </row>
    <row r="97" spans="1:12">
      <c r="A97" t="s">
        <v>5545</v>
      </c>
      <c r="B97" t="s">
        <v>5546</v>
      </c>
      <c r="C97" t="s">
        <v>5739</v>
      </c>
      <c r="D97" t="s">
        <v>5740</v>
      </c>
      <c r="F97" t="s">
        <v>5704</v>
      </c>
      <c r="G97" s="2">
        <v>1.38</v>
      </c>
      <c r="H97" s="2">
        <v>2.2799999999999998</v>
      </c>
      <c r="I97">
        <v>100</v>
      </c>
      <c r="J97">
        <v>405</v>
      </c>
      <c r="K97">
        <v>305</v>
      </c>
      <c r="L97" s="2">
        <f>Tabla_Esfuerzo_Ventas_Valorado[[#This Row],[Exceso Unid]]*Tabla_Esfuerzo_Ventas_Valorado[[#This Row],[CTV]]</f>
        <v>420.9</v>
      </c>
    </row>
    <row r="98" spans="1:12">
      <c r="A98" t="s">
        <v>5545</v>
      </c>
      <c r="B98" t="s">
        <v>5546</v>
      </c>
      <c r="C98" t="s">
        <v>5741</v>
      </c>
      <c r="D98" t="s">
        <v>5742</v>
      </c>
      <c r="F98" t="s">
        <v>5704</v>
      </c>
      <c r="G98" s="2">
        <v>1.38</v>
      </c>
      <c r="H98" s="2">
        <v>2.2799999999999998</v>
      </c>
      <c r="I98">
        <v>167</v>
      </c>
      <c r="J98">
        <v>341</v>
      </c>
      <c r="K98">
        <v>174</v>
      </c>
      <c r="L98" s="2">
        <f>Tabla_Esfuerzo_Ventas_Valorado[[#This Row],[Exceso Unid]]*Tabla_Esfuerzo_Ventas_Valorado[[#This Row],[CTV]]</f>
        <v>240.11999999999998</v>
      </c>
    </row>
    <row r="99" spans="1:12">
      <c r="A99" t="s">
        <v>5545</v>
      </c>
      <c r="B99" t="s">
        <v>5546</v>
      </c>
      <c r="C99" t="s">
        <v>5743</v>
      </c>
      <c r="D99" t="s">
        <v>5744</v>
      </c>
      <c r="F99" t="s">
        <v>5704</v>
      </c>
      <c r="G99" s="2">
        <v>17.98</v>
      </c>
      <c r="H99" s="2">
        <v>25.85</v>
      </c>
      <c r="I99">
        <v>13</v>
      </c>
      <c r="J99">
        <v>28</v>
      </c>
      <c r="K99">
        <v>15</v>
      </c>
      <c r="L99" s="2">
        <f>Tabla_Esfuerzo_Ventas_Valorado[[#This Row],[Exceso Unid]]*Tabla_Esfuerzo_Ventas_Valorado[[#This Row],[CTV]]</f>
        <v>269.7</v>
      </c>
    </row>
    <row r="100" spans="1:12">
      <c r="A100" t="s">
        <v>5545</v>
      </c>
      <c r="B100" t="s">
        <v>5546</v>
      </c>
      <c r="C100" t="s">
        <v>5745</v>
      </c>
      <c r="D100" t="s">
        <v>5746</v>
      </c>
      <c r="F100" t="s">
        <v>5704</v>
      </c>
      <c r="G100" s="2">
        <v>17.98</v>
      </c>
      <c r="H100" s="2">
        <v>25.85</v>
      </c>
      <c r="I100">
        <v>3</v>
      </c>
      <c r="J100">
        <v>5</v>
      </c>
      <c r="K100">
        <v>2</v>
      </c>
      <c r="L100" s="2">
        <f>Tabla_Esfuerzo_Ventas_Valorado[[#This Row],[Exceso Unid]]*Tabla_Esfuerzo_Ventas_Valorado[[#This Row],[CTV]]</f>
        <v>35.96</v>
      </c>
    </row>
    <row r="101" spans="1:12">
      <c r="A101" t="s">
        <v>5545</v>
      </c>
      <c r="B101" t="s">
        <v>5546</v>
      </c>
      <c r="C101" t="s">
        <v>5747</v>
      </c>
      <c r="D101" t="s">
        <v>5748</v>
      </c>
      <c r="F101" t="s">
        <v>5704</v>
      </c>
      <c r="G101" s="2">
        <v>17.98</v>
      </c>
      <c r="H101" s="2">
        <v>25.85</v>
      </c>
      <c r="I101">
        <v>39</v>
      </c>
      <c r="J101">
        <v>64</v>
      </c>
      <c r="K101">
        <v>25</v>
      </c>
      <c r="L101" s="2">
        <f>Tabla_Esfuerzo_Ventas_Valorado[[#This Row],[Exceso Unid]]*Tabla_Esfuerzo_Ventas_Valorado[[#This Row],[CTV]]</f>
        <v>449.5</v>
      </c>
    </row>
    <row r="102" spans="1:12">
      <c r="A102" t="s">
        <v>5545</v>
      </c>
      <c r="B102" t="s">
        <v>5546</v>
      </c>
      <c r="C102" t="s">
        <v>5749</v>
      </c>
      <c r="D102" t="s">
        <v>5750</v>
      </c>
      <c r="F102" t="s">
        <v>5704</v>
      </c>
      <c r="G102" s="2">
        <v>17.98</v>
      </c>
      <c r="H102" s="2">
        <v>25.85</v>
      </c>
      <c r="I102">
        <v>6</v>
      </c>
      <c r="J102">
        <v>9</v>
      </c>
      <c r="K102">
        <v>3</v>
      </c>
      <c r="L102" s="2">
        <f>Tabla_Esfuerzo_Ventas_Valorado[[#This Row],[Exceso Unid]]*Tabla_Esfuerzo_Ventas_Valorado[[#This Row],[CTV]]</f>
        <v>53.94</v>
      </c>
    </row>
    <row r="103" spans="1:12">
      <c r="A103" t="s">
        <v>5545</v>
      </c>
      <c r="B103" t="s">
        <v>5546</v>
      </c>
      <c r="C103" t="s">
        <v>5751</v>
      </c>
      <c r="D103" t="s">
        <v>5752</v>
      </c>
      <c r="F103" t="s">
        <v>5704</v>
      </c>
      <c r="G103" s="2">
        <v>15.24</v>
      </c>
      <c r="H103" s="2">
        <v>25.95</v>
      </c>
      <c r="I103">
        <v>59</v>
      </c>
      <c r="J103">
        <v>91</v>
      </c>
      <c r="K103">
        <v>32</v>
      </c>
      <c r="L103" s="2">
        <f>Tabla_Esfuerzo_Ventas_Valorado[[#This Row],[Exceso Unid]]*Tabla_Esfuerzo_Ventas_Valorado[[#This Row],[CTV]]</f>
        <v>487.68</v>
      </c>
    </row>
    <row r="104" spans="1:12">
      <c r="A104" t="s">
        <v>5545</v>
      </c>
      <c r="B104" t="s">
        <v>5546</v>
      </c>
      <c r="C104" t="s">
        <v>5753</v>
      </c>
      <c r="D104" t="s">
        <v>5754</v>
      </c>
      <c r="F104" t="s">
        <v>5704</v>
      </c>
      <c r="G104" s="2">
        <v>26.4</v>
      </c>
      <c r="H104" s="2">
        <v>39.5</v>
      </c>
      <c r="I104">
        <v>15</v>
      </c>
      <c r="J104">
        <v>19</v>
      </c>
      <c r="K104">
        <v>4</v>
      </c>
      <c r="L104" s="2">
        <f>Tabla_Esfuerzo_Ventas_Valorado[[#This Row],[Exceso Unid]]*Tabla_Esfuerzo_Ventas_Valorado[[#This Row],[CTV]]</f>
        <v>105.6</v>
      </c>
    </row>
    <row r="105" spans="1:12">
      <c r="A105" t="s">
        <v>5545</v>
      </c>
      <c r="B105" t="s">
        <v>5546</v>
      </c>
      <c r="C105" t="s">
        <v>5755</v>
      </c>
      <c r="D105" t="s">
        <v>5756</v>
      </c>
      <c r="F105" t="s">
        <v>5704</v>
      </c>
      <c r="G105" s="2">
        <v>26.4</v>
      </c>
      <c r="H105" s="2">
        <v>39.5</v>
      </c>
      <c r="I105">
        <v>26</v>
      </c>
      <c r="J105">
        <v>39</v>
      </c>
      <c r="K105">
        <v>13</v>
      </c>
      <c r="L105" s="2">
        <f>Tabla_Esfuerzo_Ventas_Valorado[[#This Row],[Exceso Unid]]*Tabla_Esfuerzo_Ventas_Valorado[[#This Row],[CTV]]</f>
        <v>343.2</v>
      </c>
    </row>
    <row r="106" spans="1:12">
      <c r="A106" t="s">
        <v>5545</v>
      </c>
      <c r="B106" t="s">
        <v>5546</v>
      </c>
      <c r="C106" t="s">
        <v>5757</v>
      </c>
      <c r="D106" t="s">
        <v>5758</v>
      </c>
      <c r="F106" t="s">
        <v>5704</v>
      </c>
      <c r="G106" s="2">
        <v>19.100000000000001</v>
      </c>
      <c r="H106" s="2">
        <v>34.86</v>
      </c>
      <c r="I106">
        <v>187</v>
      </c>
      <c r="J106">
        <v>273</v>
      </c>
      <c r="K106">
        <v>86</v>
      </c>
      <c r="L106" s="2">
        <f>Tabla_Esfuerzo_Ventas_Valorado[[#This Row],[Exceso Unid]]*Tabla_Esfuerzo_Ventas_Valorado[[#This Row],[CTV]]</f>
        <v>1642.6000000000001</v>
      </c>
    </row>
    <row r="107" spans="1:12">
      <c r="A107" t="s">
        <v>5545</v>
      </c>
      <c r="B107" t="s">
        <v>5546</v>
      </c>
      <c r="C107" t="s">
        <v>5759</v>
      </c>
      <c r="D107" t="s">
        <v>5760</v>
      </c>
      <c r="F107" t="s">
        <v>5704</v>
      </c>
      <c r="G107" s="2">
        <v>19.100000000000001</v>
      </c>
      <c r="H107" s="2">
        <v>34.86</v>
      </c>
      <c r="I107">
        <v>175</v>
      </c>
      <c r="J107">
        <v>299</v>
      </c>
      <c r="K107">
        <v>124</v>
      </c>
      <c r="L107" s="2">
        <f>Tabla_Esfuerzo_Ventas_Valorado[[#This Row],[Exceso Unid]]*Tabla_Esfuerzo_Ventas_Valorado[[#This Row],[CTV]]</f>
        <v>2368.4</v>
      </c>
    </row>
    <row r="108" spans="1:12">
      <c r="A108" t="s">
        <v>5545</v>
      </c>
      <c r="B108" t="s">
        <v>5546</v>
      </c>
      <c r="C108" t="s">
        <v>5761</v>
      </c>
      <c r="D108" t="s">
        <v>5762</v>
      </c>
      <c r="F108" t="s">
        <v>5704</v>
      </c>
      <c r="G108" s="2">
        <v>20.56</v>
      </c>
      <c r="H108" s="2">
        <v>34.86</v>
      </c>
      <c r="I108">
        <v>54</v>
      </c>
      <c r="J108">
        <v>68</v>
      </c>
      <c r="K108">
        <v>14</v>
      </c>
      <c r="L108" s="2">
        <f>Tabla_Esfuerzo_Ventas_Valorado[[#This Row],[Exceso Unid]]*Tabla_Esfuerzo_Ventas_Valorado[[#This Row],[CTV]]</f>
        <v>287.83999999999997</v>
      </c>
    </row>
    <row r="109" spans="1:12">
      <c r="A109" t="s">
        <v>5545</v>
      </c>
      <c r="B109" t="s">
        <v>5546</v>
      </c>
      <c r="C109" t="s">
        <v>5763</v>
      </c>
      <c r="D109" t="s">
        <v>5764</v>
      </c>
      <c r="F109" t="s">
        <v>5704</v>
      </c>
      <c r="G109" s="2">
        <v>20.56</v>
      </c>
      <c r="H109" s="2">
        <v>34.86</v>
      </c>
      <c r="I109">
        <v>51</v>
      </c>
      <c r="J109">
        <v>70</v>
      </c>
      <c r="K109">
        <v>19</v>
      </c>
      <c r="L109" s="2">
        <f>Tabla_Esfuerzo_Ventas_Valorado[[#This Row],[Exceso Unid]]*Tabla_Esfuerzo_Ventas_Valorado[[#This Row],[CTV]]</f>
        <v>390.64</v>
      </c>
    </row>
    <row r="110" spans="1:12">
      <c r="A110" t="s">
        <v>5545</v>
      </c>
      <c r="B110" t="s">
        <v>5546</v>
      </c>
      <c r="C110" t="s">
        <v>5765</v>
      </c>
      <c r="D110" t="s">
        <v>5766</v>
      </c>
      <c r="F110" t="s">
        <v>5767</v>
      </c>
      <c r="G110" s="2">
        <v>26.39</v>
      </c>
      <c r="H110" s="2">
        <v>41.2</v>
      </c>
      <c r="I110">
        <v>151</v>
      </c>
      <c r="J110">
        <v>197</v>
      </c>
      <c r="K110">
        <v>46</v>
      </c>
      <c r="L110" s="2">
        <f>Tabla_Esfuerzo_Ventas_Valorado[[#This Row],[Exceso Unid]]*Tabla_Esfuerzo_Ventas_Valorado[[#This Row],[CTV]]</f>
        <v>1213.94</v>
      </c>
    </row>
    <row r="111" spans="1:12">
      <c r="A111" t="s">
        <v>5545</v>
      </c>
      <c r="B111" t="s">
        <v>5546</v>
      </c>
      <c r="C111" t="s">
        <v>5768</v>
      </c>
      <c r="D111" t="s">
        <v>5769</v>
      </c>
      <c r="F111" t="s">
        <v>5767</v>
      </c>
      <c r="G111" s="2">
        <v>78.42</v>
      </c>
      <c r="H111" s="2">
        <v>127.98</v>
      </c>
      <c r="I111">
        <v>13</v>
      </c>
      <c r="J111">
        <v>20</v>
      </c>
      <c r="K111">
        <v>7</v>
      </c>
      <c r="L111" s="2">
        <f>Tabla_Esfuerzo_Ventas_Valorado[[#This Row],[Exceso Unid]]*Tabla_Esfuerzo_Ventas_Valorado[[#This Row],[CTV]]</f>
        <v>548.94000000000005</v>
      </c>
    </row>
    <row r="112" spans="1:12">
      <c r="A112" t="s">
        <v>5545</v>
      </c>
      <c r="B112" t="s">
        <v>5546</v>
      </c>
      <c r="C112" t="s">
        <v>5770</v>
      </c>
      <c r="D112" t="s">
        <v>5771</v>
      </c>
      <c r="F112" t="s">
        <v>5767</v>
      </c>
      <c r="G112" s="2">
        <v>62.78</v>
      </c>
      <c r="H112" s="2">
        <v>106.61</v>
      </c>
      <c r="I112">
        <v>9</v>
      </c>
      <c r="J112">
        <v>34</v>
      </c>
      <c r="K112">
        <v>25</v>
      </c>
      <c r="L112" s="2">
        <f>Tabla_Esfuerzo_Ventas_Valorado[[#This Row],[Exceso Unid]]*Tabla_Esfuerzo_Ventas_Valorado[[#This Row],[CTV]]</f>
        <v>1569.5</v>
      </c>
    </row>
    <row r="113" spans="1:12">
      <c r="A113" t="s">
        <v>5545</v>
      </c>
      <c r="B113" t="s">
        <v>5546</v>
      </c>
      <c r="C113" t="s">
        <v>5772</v>
      </c>
      <c r="D113" t="s">
        <v>5773</v>
      </c>
      <c r="F113" t="s">
        <v>5767</v>
      </c>
      <c r="G113" s="2">
        <v>65.239999999999995</v>
      </c>
      <c r="H113" s="2">
        <v>114.12</v>
      </c>
      <c r="I113">
        <v>4</v>
      </c>
      <c r="J113">
        <v>16</v>
      </c>
      <c r="K113">
        <v>12</v>
      </c>
      <c r="L113" s="2">
        <f>Tabla_Esfuerzo_Ventas_Valorado[[#This Row],[Exceso Unid]]*Tabla_Esfuerzo_Ventas_Valorado[[#This Row],[CTV]]</f>
        <v>782.87999999999988</v>
      </c>
    </row>
    <row r="114" spans="1:12">
      <c r="A114" t="s">
        <v>5545</v>
      </c>
      <c r="B114" t="s">
        <v>5546</v>
      </c>
      <c r="C114" t="s">
        <v>5774</v>
      </c>
      <c r="D114" t="s">
        <v>5775</v>
      </c>
      <c r="F114" t="s">
        <v>5767</v>
      </c>
      <c r="G114" s="2">
        <v>71.94</v>
      </c>
      <c r="H114" s="2">
        <v>125.78</v>
      </c>
      <c r="I114">
        <v>4</v>
      </c>
      <c r="J114">
        <v>14</v>
      </c>
      <c r="K114">
        <v>10</v>
      </c>
      <c r="L114" s="2">
        <f>Tabla_Esfuerzo_Ventas_Valorado[[#This Row],[Exceso Unid]]*Tabla_Esfuerzo_Ventas_Valorado[[#This Row],[CTV]]</f>
        <v>719.4</v>
      </c>
    </row>
    <row r="115" spans="1:12">
      <c r="A115" t="s">
        <v>5545</v>
      </c>
      <c r="B115" t="s">
        <v>5546</v>
      </c>
      <c r="C115" t="s">
        <v>5776</v>
      </c>
      <c r="D115" t="s">
        <v>5777</v>
      </c>
      <c r="F115" t="s">
        <v>5767</v>
      </c>
      <c r="G115" s="2">
        <v>21.7</v>
      </c>
      <c r="H115" s="2">
        <v>35.4</v>
      </c>
      <c r="I115">
        <v>250</v>
      </c>
      <c r="J115">
        <v>736</v>
      </c>
      <c r="K115">
        <v>486</v>
      </c>
      <c r="L115" s="2">
        <f>Tabla_Esfuerzo_Ventas_Valorado[[#This Row],[Exceso Unid]]*Tabla_Esfuerzo_Ventas_Valorado[[#This Row],[CTV]]</f>
        <v>10546.199999999999</v>
      </c>
    </row>
    <row r="116" spans="1:12">
      <c r="A116" t="s">
        <v>5545</v>
      </c>
      <c r="B116" t="s">
        <v>5546</v>
      </c>
      <c r="C116" t="s">
        <v>5778</v>
      </c>
      <c r="D116" t="s">
        <v>5779</v>
      </c>
      <c r="F116" t="s">
        <v>5767</v>
      </c>
      <c r="G116" s="2">
        <v>18.12</v>
      </c>
      <c r="H116" s="2">
        <v>30.38</v>
      </c>
      <c r="I116">
        <v>1439</v>
      </c>
      <c r="J116">
        <v>1744</v>
      </c>
      <c r="K116">
        <v>305</v>
      </c>
      <c r="L116" s="2">
        <f>Tabla_Esfuerzo_Ventas_Valorado[[#This Row],[Exceso Unid]]*Tabla_Esfuerzo_Ventas_Valorado[[#This Row],[CTV]]</f>
        <v>5526.6</v>
      </c>
    </row>
    <row r="117" spans="1:12">
      <c r="A117" t="s">
        <v>5545</v>
      </c>
      <c r="B117" t="s">
        <v>5546</v>
      </c>
      <c r="C117" t="s">
        <v>5780</v>
      </c>
      <c r="D117" t="s">
        <v>5781</v>
      </c>
      <c r="F117" t="s">
        <v>5767</v>
      </c>
      <c r="G117" s="2">
        <v>13.67</v>
      </c>
      <c r="H117" s="2">
        <v>19.91</v>
      </c>
      <c r="I117">
        <v>117</v>
      </c>
      <c r="J117">
        <v>271</v>
      </c>
      <c r="K117">
        <v>154</v>
      </c>
      <c r="L117" s="2">
        <f>Tabla_Esfuerzo_Ventas_Valorado[[#This Row],[Exceso Unid]]*Tabla_Esfuerzo_Ventas_Valorado[[#This Row],[CTV]]</f>
        <v>2105.1799999999998</v>
      </c>
    </row>
    <row r="118" spans="1:12">
      <c r="A118" t="s">
        <v>5545</v>
      </c>
      <c r="B118" t="s">
        <v>5546</v>
      </c>
      <c r="C118" t="s">
        <v>5782</v>
      </c>
      <c r="D118" t="s">
        <v>5783</v>
      </c>
      <c r="F118" t="s">
        <v>5767</v>
      </c>
      <c r="G118" s="2">
        <v>15.54</v>
      </c>
      <c r="H118" s="2">
        <v>26.85</v>
      </c>
      <c r="I118">
        <v>1110</v>
      </c>
      <c r="J118">
        <v>1402</v>
      </c>
      <c r="K118">
        <v>292</v>
      </c>
      <c r="L118" s="2">
        <f>Tabla_Esfuerzo_Ventas_Valorado[[#This Row],[Exceso Unid]]*Tabla_Esfuerzo_Ventas_Valorado[[#This Row],[CTV]]</f>
        <v>4537.6799999999994</v>
      </c>
    </row>
    <row r="119" spans="1:12">
      <c r="A119" t="s">
        <v>5545</v>
      </c>
      <c r="B119" t="s">
        <v>5546</v>
      </c>
      <c r="C119" t="s">
        <v>5784</v>
      </c>
      <c r="D119" t="s">
        <v>5785</v>
      </c>
      <c r="F119" t="s">
        <v>5767</v>
      </c>
      <c r="G119" s="2">
        <v>24.81</v>
      </c>
      <c r="H119" s="2">
        <v>41.64</v>
      </c>
      <c r="I119">
        <v>100</v>
      </c>
      <c r="J119">
        <v>108</v>
      </c>
      <c r="K119">
        <v>8</v>
      </c>
      <c r="L119" s="2">
        <f>Tabla_Esfuerzo_Ventas_Valorado[[#This Row],[Exceso Unid]]*Tabla_Esfuerzo_Ventas_Valorado[[#This Row],[CTV]]</f>
        <v>198.48</v>
      </c>
    </row>
    <row r="120" spans="1:12">
      <c r="A120" t="s">
        <v>5545</v>
      </c>
      <c r="B120" t="s">
        <v>5546</v>
      </c>
      <c r="C120" t="s">
        <v>5786</v>
      </c>
      <c r="D120" t="s">
        <v>5787</v>
      </c>
      <c r="F120" t="s">
        <v>5767</v>
      </c>
      <c r="G120" s="2">
        <v>12.17</v>
      </c>
      <c r="H120" s="2">
        <v>21.61</v>
      </c>
      <c r="I120">
        <v>270</v>
      </c>
      <c r="J120">
        <v>414</v>
      </c>
      <c r="K120">
        <v>144</v>
      </c>
      <c r="L120" s="2">
        <f>Tabla_Esfuerzo_Ventas_Valorado[[#This Row],[Exceso Unid]]*Tabla_Esfuerzo_Ventas_Valorado[[#This Row],[CTV]]</f>
        <v>1752.48</v>
      </c>
    </row>
    <row r="121" spans="1:12">
      <c r="A121" t="s">
        <v>5545</v>
      </c>
      <c r="B121" t="s">
        <v>5546</v>
      </c>
      <c r="C121" t="s">
        <v>5788</v>
      </c>
      <c r="D121" t="s">
        <v>5789</v>
      </c>
      <c r="F121" t="s">
        <v>5767</v>
      </c>
      <c r="G121" s="2">
        <v>17.09</v>
      </c>
      <c r="H121" s="2">
        <v>27.14</v>
      </c>
      <c r="I121">
        <v>463</v>
      </c>
      <c r="J121">
        <v>502</v>
      </c>
      <c r="K121">
        <v>39</v>
      </c>
      <c r="L121" s="2">
        <f>Tabla_Esfuerzo_Ventas_Valorado[[#This Row],[Exceso Unid]]*Tabla_Esfuerzo_Ventas_Valorado[[#This Row],[CTV]]</f>
        <v>666.51</v>
      </c>
    </row>
    <row r="122" spans="1:12">
      <c r="A122" t="s">
        <v>5545</v>
      </c>
      <c r="B122" t="s">
        <v>5546</v>
      </c>
      <c r="C122" t="s">
        <v>5790</v>
      </c>
      <c r="D122" t="s">
        <v>5791</v>
      </c>
      <c r="F122" t="s">
        <v>5767</v>
      </c>
      <c r="G122" s="2">
        <v>23.21</v>
      </c>
      <c r="H122" s="2">
        <v>38.950000000000003</v>
      </c>
      <c r="I122">
        <v>77</v>
      </c>
      <c r="J122">
        <v>168</v>
      </c>
      <c r="K122">
        <v>91</v>
      </c>
      <c r="L122" s="2">
        <f>Tabla_Esfuerzo_Ventas_Valorado[[#This Row],[Exceso Unid]]*Tabla_Esfuerzo_Ventas_Valorado[[#This Row],[CTV]]</f>
        <v>2112.11</v>
      </c>
    </row>
    <row r="123" spans="1:12">
      <c r="A123" t="s">
        <v>5545</v>
      </c>
      <c r="B123" t="s">
        <v>5546</v>
      </c>
      <c r="C123" t="s">
        <v>5792</v>
      </c>
      <c r="D123" t="s">
        <v>5793</v>
      </c>
      <c r="F123" t="s">
        <v>5767</v>
      </c>
      <c r="G123" s="2">
        <v>9.5399999999999991</v>
      </c>
      <c r="H123" s="2">
        <v>16.89</v>
      </c>
      <c r="I123">
        <v>71</v>
      </c>
      <c r="J123">
        <v>413</v>
      </c>
      <c r="K123">
        <v>342</v>
      </c>
      <c r="L123" s="2">
        <f>Tabla_Esfuerzo_Ventas_Valorado[[#This Row],[Exceso Unid]]*Tabla_Esfuerzo_Ventas_Valorado[[#This Row],[CTV]]</f>
        <v>3262.68</v>
      </c>
    </row>
    <row r="124" spans="1:12">
      <c r="A124" t="s">
        <v>5545</v>
      </c>
      <c r="B124" t="s">
        <v>5546</v>
      </c>
      <c r="C124" t="s">
        <v>5794</v>
      </c>
      <c r="D124" t="s">
        <v>5795</v>
      </c>
      <c r="F124" t="s">
        <v>5767</v>
      </c>
      <c r="G124" s="2">
        <v>12.57</v>
      </c>
      <c r="H124" s="2">
        <v>22.8</v>
      </c>
      <c r="I124">
        <v>72</v>
      </c>
      <c r="J124">
        <v>93</v>
      </c>
      <c r="K124">
        <v>21</v>
      </c>
      <c r="L124" s="2">
        <f>Tabla_Esfuerzo_Ventas_Valorado[[#This Row],[Exceso Unid]]*Tabla_Esfuerzo_Ventas_Valorado[[#This Row],[CTV]]</f>
        <v>263.97000000000003</v>
      </c>
    </row>
    <row r="125" spans="1:12">
      <c r="A125" t="s">
        <v>5545</v>
      </c>
      <c r="B125" t="s">
        <v>5546</v>
      </c>
      <c r="C125" t="s">
        <v>5796</v>
      </c>
      <c r="D125" t="s">
        <v>5797</v>
      </c>
      <c r="F125" t="s">
        <v>5767</v>
      </c>
      <c r="G125" s="2">
        <v>13.22</v>
      </c>
      <c r="H125" s="2">
        <v>23.04</v>
      </c>
      <c r="I125">
        <v>100</v>
      </c>
      <c r="J125">
        <v>852</v>
      </c>
      <c r="K125">
        <v>752</v>
      </c>
      <c r="L125" s="2">
        <f>Tabla_Esfuerzo_Ventas_Valorado[[#This Row],[Exceso Unid]]*Tabla_Esfuerzo_Ventas_Valorado[[#This Row],[CTV]]</f>
        <v>9941.44</v>
      </c>
    </row>
    <row r="126" spans="1:12">
      <c r="A126" t="s">
        <v>5545</v>
      </c>
      <c r="B126" t="s">
        <v>5546</v>
      </c>
      <c r="C126" t="s">
        <v>5798</v>
      </c>
      <c r="D126" t="s">
        <v>5799</v>
      </c>
      <c r="F126" t="s">
        <v>5767</v>
      </c>
      <c r="G126" s="2">
        <v>14.93</v>
      </c>
      <c r="H126" s="2">
        <v>24.31</v>
      </c>
      <c r="I126">
        <v>43</v>
      </c>
      <c r="J126">
        <v>709</v>
      </c>
      <c r="K126">
        <v>666</v>
      </c>
      <c r="L126" s="2">
        <f>Tabla_Esfuerzo_Ventas_Valorado[[#This Row],[Exceso Unid]]*Tabla_Esfuerzo_Ventas_Valorado[[#This Row],[CTV]]</f>
        <v>9943.3799999999992</v>
      </c>
    </row>
    <row r="127" spans="1:12">
      <c r="A127" t="s">
        <v>5545</v>
      </c>
      <c r="B127" t="s">
        <v>5546</v>
      </c>
      <c r="C127" t="s">
        <v>5800</v>
      </c>
      <c r="D127" t="s">
        <v>5801</v>
      </c>
      <c r="F127" t="s">
        <v>5767</v>
      </c>
      <c r="G127" s="2">
        <v>16.52</v>
      </c>
      <c r="H127" s="2">
        <v>27.3</v>
      </c>
      <c r="I127">
        <v>151</v>
      </c>
      <c r="J127">
        <v>634</v>
      </c>
      <c r="K127">
        <v>483</v>
      </c>
      <c r="L127" s="2">
        <f>Tabla_Esfuerzo_Ventas_Valorado[[#This Row],[Exceso Unid]]*Tabla_Esfuerzo_Ventas_Valorado[[#This Row],[CTV]]</f>
        <v>7979.16</v>
      </c>
    </row>
    <row r="128" spans="1:12">
      <c r="A128" t="s">
        <v>5545</v>
      </c>
      <c r="B128" t="s">
        <v>5546</v>
      </c>
      <c r="C128" t="s">
        <v>5802</v>
      </c>
      <c r="D128" t="s">
        <v>5803</v>
      </c>
      <c r="F128" t="s">
        <v>5767</v>
      </c>
      <c r="G128" s="2">
        <v>23.91</v>
      </c>
      <c r="H128" s="2">
        <v>40.200000000000003</v>
      </c>
      <c r="I128">
        <v>100</v>
      </c>
      <c r="J128">
        <v>150</v>
      </c>
      <c r="K128">
        <v>50</v>
      </c>
      <c r="L128" s="2">
        <f>Tabla_Esfuerzo_Ventas_Valorado[[#This Row],[Exceso Unid]]*Tabla_Esfuerzo_Ventas_Valorado[[#This Row],[CTV]]</f>
        <v>1195.5</v>
      </c>
    </row>
    <row r="129" spans="1:12">
      <c r="A129" t="s">
        <v>5545</v>
      </c>
      <c r="B129" t="s">
        <v>5546</v>
      </c>
      <c r="C129" t="s">
        <v>5804</v>
      </c>
      <c r="D129" t="s">
        <v>5805</v>
      </c>
      <c r="F129" t="s">
        <v>5767</v>
      </c>
      <c r="G129" s="2">
        <v>22.36</v>
      </c>
      <c r="H129" s="2">
        <v>34.950000000000003</v>
      </c>
      <c r="I129">
        <v>160</v>
      </c>
      <c r="J129">
        <v>215</v>
      </c>
      <c r="K129">
        <v>55</v>
      </c>
      <c r="L129" s="2">
        <f>Tabla_Esfuerzo_Ventas_Valorado[[#This Row],[Exceso Unid]]*Tabla_Esfuerzo_Ventas_Valorado[[#This Row],[CTV]]</f>
        <v>1229.8</v>
      </c>
    </row>
    <row r="130" spans="1:12">
      <c r="A130" t="s">
        <v>5545</v>
      </c>
      <c r="B130" t="s">
        <v>5546</v>
      </c>
      <c r="C130" t="s">
        <v>5806</v>
      </c>
      <c r="D130" t="s">
        <v>5807</v>
      </c>
      <c r="F130" t="s">
        <v>5767</v>
      </c>
      <c r="G130" s="2">
        <v>46.85</v>
      </c>
      <c r="H130" s="2">
        <v>69.95</v>
      </c>
      <c r="I130">
        <v>60</v>
      </c>
      <c r="J130">
        <v>65</v>
      </c>
      <c r="K130">
        <v>5</v>
      </c>
      <c r="L130" s="2">
        <f>Tabla_Esfuerzo_Ventas_Valorado[[#This Row],[Exceso Unid]]*Tabla_Esfuerzo_Ventas_Valorado[[#This Row],[CTV]]</f>
        <v>234.25</v>
      </c>
    </row>
    <row r="131" spans="1:12">
      <c r="A131" t="s">
        <v>5545</v>
      </c>
      <c r="B131" t="s">
        <v>5546</v>
      </c>
      <c r="C131" t="s">
        <v>5808</v>
      </c>
      <c r="D131" t="s">
        <v>5809</v>
      </c>
      <c r="F131" t="s">
        <v>5767</v>
      </c>
      <c r="G131" s="2">
        <v>18.100000000000001</v>
      </c>
      <c r="H131" s="2">
        <v>33.01</v>
      </c>
      <c r="I131">
        <v>300</v>
      </c>
      <c r="J131">
        <v>330</v>
      </c>
      <c r="K131">
        <v>30</v>
      </c>
      <c r="L131" s="2">
        <f>Tabla_Esfuerzo_Ventas_Valorado[[#This Row],[Exceso Unid]]*Tabla_Esfuerzo_Ventas_Valorado[[#This Row],[CTV]]</f>
        <v>543</v>
      </c>
    </row>
    <row r="132" spans="1:12">
      <c r="A132" t="s">
        <v>5545</v>
      </c>
      <c r="B132" t="s">
        <v>5546</v>
      </c>
      <c r="C132" t="s">
        <v>5810</v>
      </c>
      <c r="D132" t="s">
        <v>5811</v>
      </c>
      <c r="F132" t="s">
        <v>5767</v>
      </c>
      <c r="G132" s="2">
        <v>18.739999999999998</v>
      </c>
      <c r="H132" s="2">
        <v>28.11</v>
      </c>
      <c r="I132">
        <v>23</v>
      </c>
      <c r="J132">
        <v>28</v>
      </c>
      <c r="K132">
        <v>5</v>
      </c>
      <c r="L132" s="2">
        <f>Tabla_Esfuerzo_Ventas_Valorado[[#This Row],[Exceso Unid]]*Tabla_Esfuerzo_Ventas_Valorado[[#This Row],[CTV]]</f>
        <v>93.699999999999989</v>
      </c>
    </row>
    <row r="133" spans="1:12">
      <c r="A133" t="s">
        <v>5545</v>
      </c>
      <c r="B133" t="s">
        <v>5546</v>
      </c>
      <c r="C133" t="s">
        <v>5812</v>
      </c>
      <c r="D133" t="s">
        <v>5813</v>
      </c>
      <c r="F133" t="s">
        <v>5767</v>
      </c>
      <c r="G133" s="2">
        <v>43.17</v>
      </c>
      <c r="H133" s="2">
        <v>76.47</v>
      </c>
      <c r="I133">
        <v>40</v>
      </c>
      <c r="J133">
        <v>62</v>
      </c>
      <c r="K133">
        <v>22</v>
      </c>
      <c r="L133" s="2">
        <f>Tabla_Esfuerzo_Ventas_Valorado[[#This Row],[Exceso Unid]]*Tabla_Esfuerzo_Ventas_Valorado[[#This Row],[CTV]]</f>
        <v>949.74</v>
      </c>
    </row>
    <row r="134" spans="1:12">
      <c r="A134" t="s">
        <v>5545</v>
      </c>
      <c r="B134" t="s">
        <v>5546</v>
      </c>
      <c r="C134" t="s">
        <v>5814</v>
      </c>
      <c r="D134" t="s">
        <v>5815</v>
      </c>
      <c r="F134" t="s">
        <v>5767</v>
      </c>
      <c r="G134" s="2">
        <v>30.06</v>
      </c>
      <c r="H134" s="2">
        <v>60.92</v>
      </c>
      <c r="I134">
        <v>35</v>
      </c>
      <c r="J134">
        <v>44</v>
      </c>
      <c r="K134">
        <v>9</v>
      </c>
      <c r="L134" s="2">
        <f>Tabla_Esfuerzo_Ventas_Valorado[[#This Row],[Exceso Unid]]*Tabla_Esfuerzo_Ventas_Valorado[[#This Row],[CTV]]</f>
        <v>270.53999999999996</v>
      </c>
    </row>
    <row r="135" spans="1:12">
      <c r="A135" t="s">
        <v>5545</v>
      </c>
      <c r="B135" t="s">
        <v>5546</v>
      </c>
      <c r="C135" t="s">
        <v>5816</v>
      </c>
      <c r="D135" t="s">
        <v>5817</v>
      </c>
      <c r="F135" t="s">
        <v>5767</v>
      </c>
      <c r="G135" s="2">
        <v>12.62</v>
      </c>
      <c r="H135" s="2">
        <v>21.2</v>
      </c>
      <c r="I135">
        <v>100</v>
      </c>
      <c r="J135">
        <v>123</v>
      </c>
      <c r="K135">
        <v>23</v>
      </c>
      <c r="L135" s="2">
        <f>Tabla_Esfuerzo_Ventas_Valorado[[#This Row],[Exceso Unid]]*Tabla_Esfuerzo_Ventas_Valorado[[#This Row],[CTV]]</f>
        <v>290.26</v>
      </c>
    </row>
    <row r="136" spans="1:12">
      <c r="A136" t="s">
        <v>5545</v>
      </c>
      <c r="B136" t="s">
        <v>5546</v>
      </c>
      <c r="C136" t="s">
        <v>5818</v>
      </c>
      <c r="D136" t="s">
        <v>5819</v>
      </c>
      <c r="F136" t="s">
        <v>5767</v>
      </c>
      <c r="G136" s="2">
        <v>12.93</v>
      </c>
      <c r="H136" s="2">
        <v>28</v>
      </c>
      <c r="I136">
        <v>200</v>
      </c>
      <c r="J136">
        <v>258</v>
      </c>
      <c r="K136">
        <v>58</v>
      </c>
      <c r="L136" s="2">
        <f>Tabla_Esfuerzo_Ventas_Valorado[[#This Row],[Exceso Unid]]*Tabla_Esfuerzo_Ventas_Valorado[[#This Row],[CTV]]</f>
        <v>749.93999999999994</v>
      </c>
    </row>
    <row r="137" spans="1:12">
      <c r="A137" t="s">
        <v>5545</v>
      </c>
      <c r="B137" t="s">
        <v>5546</v>
      </c>
      <c r="C137" t="s">
        <v>5820</v>
      </c>
      <c r="D137" t="s">
        <v>5821</v>
      </c>
      <c r="F137" t="s">
        <v>5767</v>
      </c>
      <c r="G137" s="2">
        <v>18.29</v>
      </c>
      <c r="H137" s="2">
        <v>34.75</v>
      </c>
      <c r="I137">
        <v>400</v>
      </c>
      <c r="J137">
        <v>402</v>
      </c>
      <c r="K137">
        <v>2</v>
      </c>
      <c r="L137" s="2">
        <f>Tabla_Esfuerzo_Ventas_Valorado[[#This Row],[Exceso Unid]]*Tabla_Esfuerzo_Ventas_Valorado[[#This Row],[CTV]]</f>
        <v>36.58</v>
      </c>
    </row>
    <row r="138" spans="1:12">
      <c r="A138" t="s">
        <v>5545</v>
      </c>
      <c r="B138" t="s">
        <v>5546</v>
      </c>
      <c r="C138" t="s">
        <v>5822</v>
      </c>
      <c r="D138" t="s">
        <v>5823</v>
      </c>
      <c r="F138" t="s">
        <v>5767</v>
      </c>
      <c r="G138" s="2">
        <v>14.37</v>
      </c>
      <c r="H138" s="2">
        <v>24.67</v>
      </c>
      <c r="I138">
        <v>150</v>
      </c>
      <c r="J138">
        <v>173</v>
      </c>
      <c r="K138">
        <v>23</v>
      </c>
      <c r="L138" s="2">
        <f>Tabla_Esfuerzo_Ventas_Valorado[[#This Row],[Exceso Unid]]*Tabla_Esfuerzo_Ventas_Valorado[[#This Row],[CTV]]</f>
        <v>330.51</v>
      </c>
    </row>
    <row r="139" spans="1:12">
      <c r="A139" t="s">
        <v>5545</v>
      </c>
      <c r="B139" t="s">
        <v>5546</v>
      </c>
      <c r="C139" t="s">
        <v>5824</v>
      </c>
      <c r="D139" t="s">
        <v>5825</v>
      </c>
      <c r="F139" t="s">
        <v>5767</v>
      </c>
      <c r="G139" s="2">
        <v>55.63</v>
      </c>
      <c r="H139" s="2">
        <v>95.98</v>
      </c>
      <c r="I139">
        <v>14</v>
      </c>
      <c r="J139">
        <v>15</v>
      </c>
      <c r="K139">
        <v>1</v>
      </c>
      <c r="L139" s="2">
        <f>Tabla_Esfuerzo_Ventas_Valorado[[#This Row],[Exceso Unid]]*Tabla_Esfuerzo_Ventas_Valorado[[#This Row],[CTV]]</f>
        <v>55.63</v>
      </c>
    </row>
    <row r="140" spans="1:12">
      <c r="A140" t="s">
        <v>5545</v>
      </c>
      <c r="B140" t="s">
        <v>5546</v>
      </c>
      <c r="C140" t="s">
        <v>5826</v>
      </c>
      <c r="D140" t="s">
        <v>5827</v>
      </c>
      <c r="F140" t="s">
        <v>5767</v>
      </c>
      <c r="G140" s="2">
        <v>33.549999999999997</v>
      </c>
      <c r="H140" s="2">
        <v>54.21</v>
      </c>
      <c r="I140">
        <v>56</v>
      </c>
      <c r="J140">
        <v>115</v>
      </c>
      <c r="K140">
        <v>59</v>
      </c>
      <c r="L140" s="2">
        <f>Tabla_Esfuerzo_Ventas_Valorado[[#This Row],[Exceso Unid]]*Tabla_Esfuerzo_Ventas_Valorado[[#This Row],[CTV]]</f>
        <v>1979.4499999999998</v>
      </c>
    </row>
    <row r="141" spans="1:12">
      <c r="A141" t="s">
        <v>5545</v>
      </c>
      <c r="B141" t="s">
        <v>5546</v>
      </c>
      <c r="C141" t="s">
        <v>5828</v>
      </c>
      <c r="D141" t="s">
        <v>5829</v>
      </c>
      <c r="F141" t="s">
        <v>5767</v>
      </c>
      <c r="G141" s="2">
        <v>20.45</v>
      </c>
      <c r="H141" s="2">
        <v>33.89</v>
      </c>
      <c r="I141">
        <v>329</v>
      </c>
      <c r="J141">
        <v>408</v>
      </c>
      <c r="K141">
        <v>79</v>
      </c>
      <c r="L141" s="2">
        <f>Tabla_Esfuerzo_Ventas_Valorado[[#This Row],[Exceso Unid]]*Tabla_Esfuerzo_Ventas_Valorado[[#This Row],[CTV]]</f>
        <v>1615.55</v>
      </c>
    </row>
    <row r="142" spans="1:12">
      <c r="A142" t="s">
        <v>5545</v>
      </c>
      <c r="B142" t="s">
        <v>5546</v>
      </c>
      <c r="C142" t="s">
        <v>5830</v>
      </c>
      <c r="D142" t="s">
        <v>5831</v>
      </c>
      <c r="F142" t="s">
        <v>5767</v>
      </c>
      <c r="G142" s="2">
        <v>17.25</v>
      </c>
      <c r="H142" s="2">
        <v>29.89</v>
      </c>
      <c r="I142">
        <v>69</v>
      </c>
      <c r="J142">
        <v>77</v>
      </c>
      <c r="K142">
        <v>8</v>
      </c>
      <c r="L142" s="2">
        <f>Tabla_Esfuerzo_Ventas_Valorado[[#This Row],[Exceso Unid]]*Tabla_Esfuerzo_Ventas_Valorado[[#This Row],[CTV]]</f>
        <v>138</v>
      </c>
    </row>
    <row r="143" spans="1:12">
      <c r="A143" t="s">
        <v>5545</v>
      </c>
      <c r="B143" t="s">
        <v>5546</v>
      </c>
      <c r="C143" t="s">
        <v>5832</v>
      </c>
      <c r="D143" t="s">
        <v>5833</v>
      </c>
      <c r="F143" t="s">
        <v>5767</v>
      </c>
      <c r="G143" s="2">
        <v>48.32</v>
      </c>
      <c r="H143" s="2">
        <v>70</v>
      </c>
      <c r="I143">
        <v>26</v>
      </c>
      <c r="J143">
        <v>41</v>
      </c>
      <c r="K143">
        <v>15</v>
      </c>
      <c r="L143" s="2">
        <f>Tabla_Esfuerzo_Ventas_Valorado[[#This Row],[Exceso Unid]]*Tabla_Esfuerzo_Ventas_Valorado[[#This Row],[CTV]]</f>
        <v>724.8</v>
      </c>
    </row>
    <row r="144" spans="1:12">
      <c r="A144" t="s">
        <v>5545</v>
      </c>
      <c r="B144" t="s">
        <v>5546</v>
      </c>
      <c r="C144" t="s">
        <v>5834</v>
      </c>
      <c r="D144" t="s">
        <v>5835</v>
      </c>
      <c r="F144" t="s">
        <v>5767</v>
      </c>
      <c r="G144" s="2">
        <v>41.34</v>
      </c>
      <c r="H144" s="2">
        <v>79.84</v>
      </c>
      <c r="I144">
        <v>6</v>
      </c>
      <c r="J144">
        <v>12</v>
      </c>
      <c r="K144">
        <v>6</v>
      </c>
      <c r="L144" s="2">
        <f>Tabla_Esfuerzo_Ventas_Valorado[[#This Row],[Exceso Unid]]*Tabla_Esfuerzo_Ventas_Valorado[[#This Row],[CTV]]</f>
        <v>248.04000000000002</v>
      </c>
    </row>
    <row r="145" spans="1:12">
      <c r="A145" t="s">
        <v>5545</v>
      </c>
      <c r="B145" t="s">
        <v>5546</v>
      </c>
      <c r="C145" t="s">
        <v>5836</v>
      </c>
      <c r="D145" t="s">
        <v>5837</v>
      </c>
      <c r="F145" t="s">
        <v>5767</v>
      </c>
      <c r="G145" s="2">
        <v>49.33</v>
      </c>
      <c r="H145" s="2">
        <v>80.67</v>
      </c>
      <c r="I145">
        <v>10</v>
      </c>
      <c r="J145">
        <v>46</v>
      </c>
      <c r="K145">
        <v>36</v>
      </c>
      <c r="L145" s="2">
        <f>Tabla_Esfuerzo_Ventas_Valorado[[#This Row],[Exceso Unid]]*Tabla_Esfuerzo_Ventas_Valorado[[#This Row],[CTV]]</f>
        <v>1775.8799999999999</v>
      </c>
    </row>
    <row r="146" spans="1:12">
      <c r="A146" t="s">
        <v>5545</v>
      </c>
      <c r="B146" t="s">
        <v>5546</v>
      </c>
      <c r="C146" t="s">
        <v>5838</v>
      </c>
      <c r="D146" t="s">
        <v>5839</v>
      </c>
      <c r="F146" t="s">
        <v>5767</v>
      </c>
      <c r="G146" s="2">
        <v>18.97</v>
      </c>
      <c r="H146" s="2">
        <v>30.1</v>
      </c>
      <c r="I146">
        <v>15</v>
      </c>
      <c r="J146">
        <v>52</v>
      </c>
      <c r="K146">
        <v>37</v>
      </c>
      <c r="L146" s="2">
        <f>Tabla_Esfuerzo_Ventas_Valorado[[#This Row],[Exceso Unid]]*Tabla_Esfuerzo_Ventas_Valorado[[#This Row],[CTV]]</f>
        <v>701.89</v>
      </c>
    </row>
    <row r="147" spans="1:12">
      <c r="A147" t="s">
        <v>5545</v>
      </c>
      <c r="B147" t="s">
        <v>5546</v>
      </c>
      <c r="C147" t="s">
        <v>5840</v>
      </c>
      <c r="D147" t="s">
        <v>5841</v>
      </c>
      <c r="F147" t="s">
        <v>5767</v>
      </c>
      <c r="G147" s="2">
        <v>103.09</v>
      </c>
      <c r="H147" s="2">
        <v>139.16999999999999</v>
      </c>
      <c r="I147">
        <v>2</v>
      </c>
      <c r="J147">
        <v>7</v>
      </c>
      <c r="K147">
        <v>5</v>
      </c>
      <c r="L147" s="2">
        <f>Tabla_Esfuerzo_Ventas_Valorado[[#This Row],[Exceso Unid]]*Tabla_Esfuerzo_Ventas_Valorado[[#This Row],[CTV]]</f>
        <v>515.45000000000005</v>
      </c>
    </row>
    <row r="148" spans="1:12">
      <c r="A148" t="s">
        <v>5545</v>
      </c>
      <c r="B148" t="s">
        <v>5546</v>
      </c>
      <c r="C148" t="s">
        <v>5842</v>
      </c>
      <c r="D148" t="s">
        <v>5843</v>
      </c>
      <c r="F148" t="s">
        <v>5767</v>
      </c>
      <c r="G148" s="2">
        <v>118.74</v>
      </c>
      <c r="H148" s="2">
        <v>155</v>
      </c>
      <c r="I148">
        <v>2</v>
      </c>
      <c r="J148">
        <v>4</v>
      </c>
      <c r="K148">
        <v>2</v>
      </c>
      <c r="L148" s="2">
        <f>Tabla_Esfuerzo_Ventas_Valorado[[#This Row],[Exceso Unid]]*Tabla_Esfuerzo_Ventas_Valorado[[#This Row],[CTV]]</f>
        <v>237.48</v>
      </c>
    </row>
    <row r="149" spans="1:12">
      <c r="A149" t="s">
        <v>5545</v>
      </c>
      <c r="B149" t="s">
        <v>5546</v>
      </c>
      <c r="C149" t="s">
        <v>5844</v>
      </c>
      <c r="D149" t="s">
        <v>5845</v>
      </c>
      <c r="F149" t="s">
        <v>5767</v>
      </c>
      <c r="G149" s="2">
        <v>169.49</v>
      </c>
      <c r="H149" s="2">
        <v>220</v>
      </c>
      <c r="I149">
        <v>2</v>
      </c>
      <c r="J149">
        <v>6</v>
      </c>
      <c r="K149">
        <v>4</v>
      </c>
      <c r="L149" s="2">
        <f>Tabla_Esfuerzo_Ventas_Valorado[[#This Row],[Exceso Unid]]*Tabla_Esfuerzo_Ventas_Valorado[[#This Row],[CTV]]</f>
        <v>677.96</v>
      </c>
    </row>
    <row r="150" spans="1:12">
      <c r="A150" t="s">
        <v>5545</v>
      </c>
      <c r="B150" t="s">
        <v>5546</v>
      </c>
      <c r="C150" t="s">
        <v>5846</v>
      </c>
      <c r="D150" t="s">
        <v>5847</v>
      </c>
      <c r="F150" t="s">
        <v>5767</v>
      </c>
      <c r="G150" s="2">
        <v>1.25</v>
      </c>
      <c r="H150" s="2">
        <v>1.97</v>
      </c>
      <c r="I150">
        <v>329</v>
      </c>
      <c r="J150">
        <v>345</v>
      </c>
      <c r="K150">
        <v>16</v>
      </c>
      <c r="L150" s="2">
        <f>Tabla_Esfuerzo_Ventas_Valorado[[#This Row],[Exceso Unid]]*Tabla_Esfuerzo_Ventas_Valorado[[#This Row],[CTV]]</f>
        <v>20</v>
      </c>
    </row>
    <row r="151" spans="1:12">
      <c r="A151" t="s">
        <v>5545</v>
      </c>
      <c r="B151" t="s">
        <v>5546</v>
      </c>
      <c r="C151" t="s">
        <v>5848</v>
      </c>
      <c r="D151" t="s">
        <v>5849</v>
      </c>
      <c r="F151" t="s">
        <v>5767</v>
      </c>
      <c r="G151" s="2">
        <v>3.88</v>
      </c>
      <c r="H151" s="2">
        <v>6.36</v>
      </c>
      <c r="I151">
        <v>500</v>
      </c>
      <c r="J151">
        <v>551</v>
      </c>
      <c r="K151">
        <v>51</v>
      </c>
      <c r="L151" s="2">
        <f>Tabla_Esfuerzo_Ventas_Valorado[[#This Row],[Exceso Unid]]*Tabla_Esfuerzo_Ventas_Valorado[[#This Row],[CTV]]</f>
        <v>197.88</v>
      </c>
    </row>
    <row r="152" spans="1:12">
      <c r="A152" t="s">
        <v>5545</v>
      </c>
      <c r="B152" t="s">
        <v>5546</v>
      </c>
      <c r="C152" t="s">
        <v>5850</v>
      </c>
      <c r="D152" t="s">
        <v>5851</v>
      </c>
      <c r="F152" t="s">
        <v>5767</v>
      </c>
      <c r="G152" s="2">
        <v>3.1</v>
      </c>
      <c r="H152" s="2">
        <v>4.47</v>
      </c>
      <c r="I152">
        <v>358</v>
      </c>
      <c r="J152">
        <v>686</v>
      </c>
      <c r="K152">
        <v>328</v>
      </c>
      <c r="L152" s="2">
        <f>Tabla_Esfuerzo_Ventas_Valorado[[#This Row],[Exceso Unid]]*Tabla_Esfuerzo_Ventas_Valorado[[#This Row],[CTV]]</f>
        <v>1016.8000000000001</v>
      </c>
    </row>
    <row r="153" spans="1:12">
      <c r="A153" t="s">
        <v>5545</v>
      </c>
      <c r="B153" t="s">
        <v>5546</v>
      </c>
      <c r="C153" t="s">
        <v>5852</v>
      </c>
      <c r="D153" t="s">
        <v>5853</v>
      </c>
      <c r="F153" t="s">
        <v>5767</v>
      </c>
      <c r="G153" s="2">
        <v>7.46</v>
      </c>
      <c r="H153" s="2">
        <v>10.84</v>
      </c>
      <c r="I153">
        <v>50</v>
      </c>
      <c r="J153">
        <v>149</v>
      </c>
      <c r="K153">
        <v>99</v>
      </c>
      <c r="L153" s="2">
        <f>Tabla_Esfuerzo_Ventas_Valorado[[#This Row],[Exceso Unid]]*Tabla_Esfuerzo_Ventas_Valorado[[#This Row],[CTV]]</f>
        <v>738.54</v>
      </c>
    </row>
    <row r="154" spans="1:12">
      <c r="A154" t="s">
        <v>5545</v>
      </c>
      <c r="B154" t="s">
        <v>5546</v>
      </c>
      <c r="C154" t="s">
        <v>5854</v>
      </c>
      <c r="D154" t="s">
        <v>5855</v>
      </c>
      <c r="F154" t="s">
        <v>5767</v>
      </c>
      <c r="G154" s="2">
        <v>8.49</v>
      </c>
      <c r="H154" s="2">
        <v>12.35</v>
      </c>
      <c r="I154">
        <v>23</v>
      </c>
      <c r="J154">
        <v>174</v>
      </c>
      <c r="K154">
        <v>151</v>
      </c>
      <c r="L154" s="2">
        <f>Tabla_Esfuerzo_Ventas_Valorado[[#This Row],[Exceso Unid]]*Tabla_Esfuerzo_Ventas_Valorado[[#This Row],[CTV]]</f>
        <v>1281.99</v>
      </c>
    </row>
    <row r="155" spans="1:12">
      <c r="A155" t="s">
        <v>5545</v>
      </c>
      <c r="B155" t="s">
        <v>5546</v>
      </c>
      <c r="C155" t="s">
        <v>5856</v>
      </c>
      <c r="D155" t="s">
        <v>5857</v>
      </c>
      <c r="F155" t="s">
        <v>5767</v>
      </c>
      <c r="G155" s="2">
        <v>19.79</v>
      </c>
      <c r="H155" s="2">
        <v>31.99</v>
      </c>
      <c r="I155">
        <v>65</v>
      </c>
      <c r="J155">
        <v>71</v>
      </c>
      <c r="K155">
        <v>6</v>
      </c>
      <c r="L155" s="2">
        <f>Tabla_Esfuerzo_Ventas_Valorado[[#This Row],[Exceso Unid]]*Tabla_Esfuerzo_Ventas_Valorado[[#This Row],[CTV]]</f>
        <v>118.74</v>
      </c>
    </row>
    <row r="156" spans="1:12">
      <c r="A156" t="s">
        <v>5545</v>
      </c>
      <c r="B156" t="s">
        <v>5546</v>
      </c>
      <c r="C156" t="s">
        <v>5858</v>
      </c>
      <c r="D156" t="s">
        <v>5859</v>
      </c>
      <c r="F156" t="s">
        <v>5767</v>
      </c>
      <c r="G156" s="2">
        <v>11.79</v>
      </c>
      <c r="H156" s="2">
        <v>18.2</v>
      </c>
      <c r="I156">
        <v>61</v>
      </c>
      <c r="J156">
        <v>114</v>
      </c>
      <c r="K156">
        <v>53</v>
      </c>
      <c r="L156" s="2">
        <f>Tabla_Esfuerzo_Ventas_Valorado[[#This Row],[Exceso Unid]]*Tabla_Esfuerzo_Ventas_Valorado[[#This Row],[CTV]]</f>
        <v>624.87</v>
      </c>
    </row>
    <row r="157" spans="1:12">
      <c r="A157" t="s">
        <v>5545</v>
      </c>
      <c r="B157" t="s">
        <v>5546</v>
      </c>
      <c r="C157" t="s">
        <v>5860</v>
      </c>
      <c r="D157" t="s">
        <v>5861</v>
      </c>
      <c r="F157" t="s">
        <v>5767</v>
      </c>
      <c r="G157" s="2">
        <v>13.45</v>
      </c>
      <c r="H157" s="2">
        <v>20.21</v>
      </c>
      <c r="I157">
        <v>124</v>
      </c>
      <c r="J157">
        <v>151</v>
      </c>
      <c r="K157">
        <v>27</v>
      </c>
      <c r="L157" s="2">
        <f>Tabla_Esfuerzo_Ventas_Valorado[[#This Row],[Exceso Unid]]*Tabla_Esfuerzo_Ventas_Valorado[[#This Row],[CTV]]</f>
        <v>363.15</v>
      </c>
    </row>
    <row r="158" spans="1:12">
      <c r="A158" t="s">
        <v>5545</v>
      </c>
      <c r="B158" t="s">
        <v>5546</v>
      </c>
      <c r="C158" t="s">
        <v>5862</v>
      </c>
      <c r="D158" t="s">
        <v>5863</v>
      </c>
      <c r="F158" t="s">
        <v>5767</v>
      </c>
      <c r="G158" s="2">
        <v>16.02</v>
      </c>
      <c r="H158" s="2">
        <v>24</v>
      </c>
      <c r="I158">
        <v>1346</v>
      </c>
      <c r="J158">
        <v>1573</v>
      </c>
      <c r="K158">
        <v>227</v>
      </c>
      <c r="L158" s="2">
        <f>Tabla_Esfuerzo_Ventas_Valorado[[#This Row],[Exceso Unid]]*Tabla_Esfuerzo_Ventas_Valorado[[#This Row],[CTV]]</f>
        <v>3636.54</v>
      </c>
    </row>
    <row r="159" spans="1:12">
      <c r="A159" t="s">
        <v>5545</v>
      </c>
      <c r="B159" t="s">
        <v>5546</v>
      </c>
      <c r="C159" t="s">
        <v>5864</v>
      </c>
      <c r="D159" t="s">
        <v>5865</v>
      </c>
      <c r="F159" t="s">
        <v>5767</v>
      </c>
      <c r="G159" s="2">
        <v>20.81</v>
      </c>
      <c r="H159" s="2">
        <v>31.5</v>
      </c>
      <c r="I159">
        <v>517</v>
      </c>
      <c r="J159">
        <v>676</v>
      </c>
      <c r="K159">
        <v>159</v>
      </c>
      <c r="L159" s="2">
        <f>Tabla_Esfuerzo_Ventas_Valorado[[#This Row],[Exceso Unid]]*Tabla_Esfuerzo_Ventas_Valorado[[#This Row],[CTV]]</f>
        <v>3308.79</v>
      </c>
    </row>
    <row r="160" spans="1:12">
      <c r="A160" t="s">
        <v>5545</v>
      </c>
      <c r="B160" t="s">
        <v>5546</v>
      </c>
      <c r="C160" t="s">
        <v>5866</v>
      </c>
      <c r="D160" t="s">
        <v>5867</v>
      </c>
      <c r="F160" t="s">
        <v>5767</v>
      </c>
      <c r="G160" s="2">
        <v>13.34</v>
      </c>
      <c r="H160" s="2">
        <v>18.77</v>
      </c>
      <c r="I160">
        <v>45</v>
      </c>
      <c r="J160">
        <v>134</v>
      </c>
      <c r="K160">
        <v>89</v>
      </c>
      <c r="L160" s="2">
        <f>Tabla_Esfuerzo_Ventas_Valorado[[#This Row],[Exceso Unid]]*Tabla_Esfuerzo_Ventas_Valorado[[#This Row],[CTV]]</f>
        <v>1187.26</v>
      </c>
    </row>
    <row r="161" spans="1:12">
      <c r="A161" t="s">
        <v>5545</v>
      </c>
      <c r="B161" t="s">
        <v>5546</v>
      </c>
      <c r="C161" t="s">
        <v>5868</v>
      </c>
      <c r="D161" t="s">
        <v>5869</v>
      </c>
      <c r="F161" t="s">
        <v>5767</v>
      </c>
      <c r="G161" s="2">
        <v>15.69</v>
      </c>
      <c r="H161" s="2">
        <v>23.55</v>
      </c>
      <c r="I161">
        <v>148</v>
      </c>
      <c r="J161">
        <v>258</v>
      </c>
      <c r="K161">
        <v>110</v>
      </c>
      <c r="L161" s="2">
        <f>Tabla_Esfuerzo_Ventas_Valorado[[#This Row],[Exceso Unid]]*Tabla_Esfuerzo_Ventas_Valorado[[#This Row],[CTV]]</f>
        <v>1725.8999999999999</v>
      </c>
    </row>
    <row r="162" spans="1:12">
      <c r="A162" t="s">
        <v>5545</v>
      </c>
      <c r="B162" t="s">
        <v>5546</v>
      </c>
      <c r="C162" t="s">
        <v>5870</v>
      </c>
      <c r="D162" t="s">
        <v>5871</v>
      </c>
      <c r="F162" t="s">
        <v>5767</v>
      </c>
      <c r="G162" s="2">
        <v>15.05</v>
      </c>
      <c r="H162" s="2">
        <v>23.65</v>
      </c>
      <c r="I162">
        <v>209</v>
      </c>
      <c r="J162">
        <v>333</v>
      </c>
      <c r="K162">
        <v>124</v>
      </c>
      <c r="L162" s="2">
        <f>Tabla_Esfuerzo_Ventas_Valorado[[#This Row],[Exceso Unid]]*Tabla_Esfuerzo_Ventas_Valorado[[#This Row],[CTV]]</f>
        <v>1866.2</v>
      </c>
    </row>
    <row r="163" spans="1:12">
      <c r="A163" t="s">
        <v>5545</v>
      </c>
      <c r="B163" t="s">
        <v>5546</v>
      </c>
      <c r="C163" t="s">
        <v>5872</v>
      </c>
      <c r="D163" t="s">
        <v>5873</v>
      </c>
      <c r="F163" t="s">
        <v>5767</v>
      </c>
      <c r="G163" s="2">
        <v>14.19</v>
      </c>
      <c r="H163" s="2">
        <v>21.8</v>
      </c>
      <c r="I163">
        <v>314</v>
      </c>
      <c r="J163">
        <v>839</v>
      </c>
      <c r="K163">
        <v>525</v>
      </c>
      <c r="L163" s="2">
        <f>Tabla_Esfuerzo_Ventas_Valorado[[#This Row],[Exceso Unid]]*Tabla_Esfuerzo_Ventas_Valorado[[#This Row],[CTV]]</f>
        <v>7449.75</v>
      </c>
    </row>
    <row r="164" spans="1:12">
      <c r="A164" t="s">
        <v>5545</v>
      </c>
      <c r="B164" t="s">
        <v>5546</v>
      </c>
      <c r="C164" t="s">
        <v>5874</v>
      </c>
      <c r="D164" t="s">
        <v>5875</v>
      </c>
      <c r="F164" t="s">
        <v>5767</v>
      </c>
      <c r="G164" s="2">
        <v>16.87</v>
      </c>
      <c r="H164" s="2">
        <v>25.5</v>
      </c>
      <c r="I164">
        <v>449</v>
      </c>
      <c r="J164">
        <v>528</v>
      </c>
      <c r="K164">
        <v>79</v>
      </c>
      <c r="L164" s="2">
        <f>Tabla_Esfuerzo_Ventas_Valorado[[#This Row],[Exceso Unid]]*Tabla_Esfuerzo_Ventas_Valorado[[#This Row],[CTV]]</f>
        <v>1332.73</v>
      </c>
    </row>
    <row r="165" spans="1:12">
      <c r="A165" t="s">
        <v>5545</v>
      </c>
      <c r="B165" t="s">
        <v>5546</v>
      </c>
      <c r="C165" t="s">
        <v>5876</v>
      </c>
      <c r="D165" t="s">
        <v>5877</v>
      </c>
      <c r="F165" t="s">
        <v>5767</v>
      </c>
      <c r="G165" s="2">
        <v>23.57</v>
      </c>
      <c r="H165" s="2">
        <v>36.26</v>
      </c>
      <c r="I165">
        <v>566</v>
      </c>
      <c r="J165">
        <v>631</v>
      </c>
      <c r="K165">
        <v>65</v>
      </c>
      <c r="L165" s="2">
        <f>Tabla_Esfuerzo_Ventas_Valorado[[#This Row],[Exceso Unid]]*Tabla_Esfuerzo_Ventas_Valorado[[#This Row],[CTV]]</f>
        <v>1532.05</v>
      </c>
    </row>
    <row r="166" spans="1:12">
      <c r="A166" t="s">
        <v>5545</v>
      </c>
      <c r="B166" t="s">
        <v>5546</v>
      </c>
      <c r="C166" t="s">
        <v>5878</v>
      </c>
      <c r="D166" t="s">
        <v>5879</v>
      </c>
      <c r="F166" t="s">
        <v>5767</v>
      </c>
      <c r="G166" s="2">
        <v>17.059999999999999</v>
      </c>
      <c r="H166" s="2">
        <v>25</v>
      </c>
      <c r="I166">
        <v>137</v>
      </c>
      <c r="J166">
        <v>210</v>
      </c>
      <c r="K166">
        <v>73</v>
      </c>
      <c r="L166" s="2">
        <f>Tabla_Esfuerzo_Ventas_Valorado[[#This Row],[Exceso Unid]]*Tabla_Esfuerzo_Ventas_Valorado[[#This Row],[CTV]]</f>
        <v>1245.3799999999999</v>
      </c>
    </row>
    <row r="167" spans="1:12">
      <c r="A167" t="s">
        <v>5545</v>
      </c>
      <c r="B167" t="s">
        <v>5546</v>
      </c>
      <c r="C167" t="s">
        <v>5880</v>
      </c>
      <c r="D167" t="s">
        <v>5881</v>
      </c>
      <c r="F167" t="s">
        <v>5767</v>
      </c>
      <c r="G167" s="2">
        <v>13.97</v>
      </c>
      <c r="H167" s="2">
        <v>22.2</v>
      </c>
      <c r="I167">
        <v>370</v>
      </c>
      <c r="J167">
        <v>514</v>
      </c>
      <c r="K167">
        <v>144</v>
      </c>
      <c r="L167" s="2">
        <f>Tabla_Esfuerzo_Ventas_Valorado[[#This Row],[Exceso Unid]]*Tabla_Esfuerzo_Ventas_Valorado[[#This Row],[CTV]]</f>
        <v>2011.68</v>
      </c>
    </row>
    <row r="168" spans="1:12">
      <c r="A168" t="s">
        <v>5545</v>
      </c>
      <c r="B168" t="s">
        <v>5546</v>
      </c>
      <c r="C168" t="s">
        <v>5882</v>
      </c>
      <c r="D168" t="s">
        <v>5883</v>
      </c>
      <c r="F168" t="s">
        <v>5767</v>
      </c>
      <c r="G168" s="2">
        <v>15.89</v>
      </c>
      <c r="H168" s="2">
        <v>24.5</v>
      </c>
      <c r="I168">
        <v>384</v>
      </c>
      <c r="J168">
        <v>642</v>
      </c>
      <c r="K168">
        <v>258</v>
      </c>
      <c r="L168" s="2">
        <f>Tabla_Esfuerzo_Ventas_Valorado[[#This Row],[Exceso Unid]]*Tabla_Esfuerzo_Ventas_Valorado[[#This Row],[CTV]]</f>
        <v>4099.62</v>
      </c>
    </row>
    <row r="169" spans="1:12">
      <c r="A169" t="s">
        <v>5545</v>
      </c>
      <c r="B169" t="s">
        <v>5546</v>
      </c>
      <c r="C169" t="s">
        <v>5884</v>
      </c>
      <c r="D169" t="s">
        <v>5885</v>
      </c>
      <c r="F169" t="s">
        <v>5767</v>
      </c>
      <c r="G169" s="2">
        <v>14.22</v>
      </c>
      <c r="H169" s="2">
        <v>21.74</v>
      </c>
      <c r="I169">
        <v>93</v>
      </c>
      <c r="J169">
        <v>178</v>
      </c>
      <c r="K169">
        <v>85</v>
      </c>
      <c r="L169" s="2">
        <f>Tabla_Esfuerzo_Ventas_Valorado[[#This Row],[Exceso Unid]]*Tabla_Esfuerzo_Ventas_Valorado[[#This Row],[CTV]]</f>
        <v>1208.7</v>
      </c>
    </row>
    <row r="170" spans="1:12">
      <c r="A170" t="s">
        <v>5545</v>
      </c>
      <c r="B170" t="s">
        <v>5546</v>
      </c>
      <c r="C170" t="s">
        <v>5886</v>
      </c>
      <c r="D170" t="s">
        <v>5887</v>
      </c>
      <c r="F170" t="s">
        <v>5767</v>
      </c>
      <c r="G170" s="2">
        <v>15.66</v>
      </c>
      <c r="H170" s="2">
        <v>23.67</v>
      </c>
      <c r="I170">
        <v>617</v>
      </c>
      <c r="J170">
        <v>662</v>
      </c>
      <c r="K170">
        <v>45</v>
      </c>
      <c r="L170" s="2">
        <f>Tabla_Esfuerzo_Ventas_Valorado[[#This Row],[Exceso Unid]]*Tabla_Esfuerzo_Ventas_Valorado[[#This Row],[CTV]]</f>
        <v>704.7</v>
      </c>
    </row>
    <row r="171" spans="1:12">
      <c r="A171" t="s">
        <v>5545</v>
      </c>
      <c r="B171" t="s">
        <v>5546</v>
      </c>
      <c r="C171" t="s">
        <v>5888</v>
      </c>
      <c r="D171" t="s">
        <v>5889</v>
      </c>
      <c r="F171" t="s">
        <v>5767</v>
      </c>
      <c r="G171" s="2">
        <v>31.27</v>
      </c>
      <c r="H171" s="2">
        <v>45.25</v>
      </c>
      <c r="I171">
        <v>69</v>
      </c>
      <c r="J171">
        <v>78</v>
      </c>
      <c r="K171">
        <v>9</v>
      </c>
      <c r="L171" s="2">
        <f>Tabla_Esfuerzo_Ventas_Valorado[[#This Row],[Exceso Unid]]*Tabla_Esfuerzo_Ventas_Valorado[[#This Row],[CTV]]</f>
        <v>281.43</v>
      </c>
    </row>
    <row r="172" spans="1:12">
      <c r="A172" t="s">
        <v>5545</v>
      </c>
      <c r="B172" t="s">
        <v>5546</v>
      </c>
      <c r="C172" t="s">
        <v>5890</v>
      </c>
      <c r="D172" t="s">
        <v>5891</v>
      </c>
      <c r="F172" t="s">
        <v>5767</v>
      </c>
      <c r="G172" s="2">
        <v>17.46</v>
      </c>
      <c r="H172" s="2">
        <v>26.6</v>
      </c>
      <c r="I172">
        <v>222</v>
      </c>
      <c r="J172">
        <v>379</v>
      </c>
      <c r="K172">
        <v>157</v>
      </c>
      <c r="L172" s="2">
        <f>Tabla_Esfuerzo_Ventas_Valorado[[#This Row],[Exceso Unid]]*Tabla_Esfuerzo_Ventas_Valorado[[#This Row],[CTV]]</f>
        <v>2741.2200000000003</v>
      </c>
    </row>
    <row r="173" spans="1:12">
      <c r="A173" t="s">
        <v>5545</v>
      </c>
      <c r="B173" t="s">
        <v>5546</v>
      </c>
      <c r="C173" t="s">
        <v>5892</v>
      </c>
      <c r="D173" t="s">
        <v>5893</v>
      </c>
      <c r="F173" t="s">
        <v>5767</v>
      </c>
      <c r="G173" s="2">
        <v>26.46</v>
      </c>
      <c r="H173" s="2">
        <v>39.79</v>
      </c>
      <c r="I173">
        <v>42</v>
      </c>
      <c r="J173">
        <v>56</v>
      </c>
      <c r="K173">
        <v>14</v>
      </c>
      <c r="L173" s="2">
        <f>Tabla_Esfuerzo_Ventas_Valorado[[#This Row],[Exceso Unid]]*Tabla_Esfuerzo_Ventas_Valorado[[#This Row],[CTV]]</f>
        <v>370.44</v>
      </c>
    </row>
    <row r="174" spans="1:12">
      <c r="A174" t="s">
        <v>5545</v>
      </c>
      <c r="B174" t="s">
        <v>5546</v>
      </c>
      <c r="C174" t="s">
        <v>5894</v>
      </c>
      <c r="D174" t="s">
        <v>5895</v>
      </c>
      <c r="F174" t="s">
        <v>5767</v>
      </c>
      <c r="G174" s="2">
        <v>19.14</v>
      </c>
      <c r="H174" s="2">
        <v>33.79</v>
      </c>
      <c r="I174">
        <v>65</v>
      </c>
      <c r="J174">
        <v>78</v>
      </c>
      <c r="K174">
        <v>13</v>
      </c>
      <c r="L174" s="2">
        <f>Tabla_Esfuerzo_Ventas_Valorado[[#This Row],[Exceso Unid]]*Tabla_Esfuerzo_Ventas_Valorado[[#This Row],[CTV]]</f>
        <v>248.82</v>
      </c>
    </row>
    <row r="175" spans="1:12">
      <c r="A175" t="s">
        <v>5545</v>
      </c>
      <c r="B175" t="s">
        <v>5546</v>
      </c>
      <c r="C175" t="s">
        <v>5896</v>
      </c>
      <c r="D175" t="s">
        <v>5897</v>
      </c>
      <c r="F175" t="s">
        <v>5767</v>
      </c>
      <c r="G175" s="2">
        <v>15.39</v>
      </c>
      <c r="H175" s="2">
        <v>25.28</v>
      </c>
      <c r="I175">
        <v>14</v>
      </c>
      <c r="J175">
        <v>39</v>
      </c>
      <c r="K175">
        <v>25</v>
      </c>
      <c r="L175" s="2">
        <f>Tabla_Esfuerzo_Ventas_Valorado[[#This Row],[Exceso Unid]]*Tabla_Esfuerzo_Ventas_Valorado[[#This Row],[CTV]]</f>
        <v>384.75</v>
      </c>
    </row>
    <row r="176" spans="1:12">
      <c r="A176" t="s">
        <v>5545</v>
      </c>
      <c r="B176" t="s">
        <v>5546</v>
      </c>
      <c r="C176" t="s">
        <v>5898</v>
      </c>
      <c r="D176" t="s">
        <v>5899</v>
      </c>
      <c r="F176" t="s">
        <v>5767</v>
      </c>
      <c r="G176" s="2">
        <v>34.840000000000003</v>
      </c>
      <c r="H176" s="2">
        <v>50.74</v>
      </c>
      <c r="I176">
        <v>33</v>
      </c>
      <c r="J176">
        <v>100</v>
      </c>
      <c r="K176">
        <v>67</v>
      </c>
      <c r="L176" s="2">
        <f>Tabla_Esfuerzo_Ventas_Valorado[[#This Row],[Exceso Unid]]*Tabla_Esfuerzo_Ventas_Valorado[[#This Row],[CTV]]</f>
        <v>2334.2800000000002</v>
      </c>
    </row>
    <row r="177" spans="1:12">
      <c r="A177" t="s">
        <v>5545</v>
      </c>
      <c r="B177" t="s">
        <v>5546</v>
      </c>
      <c r="C177" t="s">
        <v>5900</v>
      </c>
      <c r="D177" t="s">
        <v>5901</v>
      </c>
      <c r="F177" t="s">
        <v>5767</v>
      </c>
      <c r="G177" s="2">
        <v>41.13</v>
      </c>
      <c r="H177" s="2">
        <v>59.54</v>
      </c>
      <c r="I177">
        <v>10</v>
      </c>
      <c r="J177">
        <v>80</v>
      </c>
      <c r="K177">
        <v>70</v>
      </c>
      <c r="L177" s="2">
        <f>Tabla_Esfuerzo_Ventas_Valorado[[#This Row],[Exceso Unid]]*Tabla_Esfuerzo_Ventas_Valorado[[#This Row],[CTV]]</f>
        <v>2879.1000000000004</v>
      </c>
    </row>
    <row r="178" spans="1:12">
      <c r="A178" t="s">
        <v>5545</v>
      </c>
      <c r="B178" t="s">
        <v>5546</v>
      </c>
      <c r="C178" t="s">
        <v>5902</v>
      </c>
      <c r="D178" t="s">
        <v>5903</v>
      </c>
      <c r="F178" t="s">
        <v>5767</v>
      </c>
      <c r="G178" s="2">
        <v>35.85</v>
      </c>
      <c r="H178" s="2">
        <v>48.18</v>
      </c>
      <c r="I178">
        <v>7</v>
      </c>
      <c r="J178">
        <v>169</v>
      </c>
      <c r="K178">
        <v>162</v>
      </c>
      <c r="L178" s="2">
        <f>Tabla_Esfuerzo_Ventas_Valorado[[#This Row],[Exceso Unid]]*Tabla_Esfuerzo_Ventas_Valorado[[#This Row],[CTV]]</f>
        <v>5807.7</v>
      </c>
    </row>
    <row r="179" spans="1:12">
      <c r="A179" t="s">
        <v>5545</v>
      </c>
      <c r="B179" t="s">
        <v>5546</v>
      </c>
      <c r="C179" t="s">
        <v>5904</v>
      </c>
      <c r="D179" t="s">
        <v>5905</v>
      </c>
      <c r="F179" t="s">
        <v>5767</v>
      </c>
      <c r="G179" s="2">
        <v>38.17</v>
      </c>
      <c r="H179" s="2">
        <v>54.73</v>
      </c>
      <c r="I179">
        <v>3</v>
      </c>
      <c r="J179">
        <v>296</v>
      </c>
      <c r="K179">
        <v>293</v>
      </c>
      <c r="L179" s="2">
        <f>Tabla_Esfuerzo_Ventas_Valorado[[#This Row],[Exceso Unid]]*Tabla_Esfuerzo_Ventas_Valorado[[#This Row],[CTV]]</f>
        <v>11183.810000000001</v>
      </c>
    </row>
    <row r="180" spans="1:12">
      <c r="A180" t="s">
        <v>5545</v>
      </c>
      <c r="B180" t="s">
        <v>5546</v>
      </c>
      <c r="C180" t="s">
        <v>5906</v>
      </c>
      <c r="D180" t="s">
        <v>5907</v>
      </c>
      <c r="F180" t="s">
        <v>5767</v>
      </c>
      <c r="G180" s="2">
        <v>15.88</v>
      </c>
      <c r="H180" s="2">
        <v>24.95</v>
      </c>
      <c r="I180">
        <v>185</v>
      </c>
      <c r="J180">
        <v>634</v>
      </c>
      <c r="K180">
        <v>449</v>
      </c>
      <c r="L180" s="2">
        <f>Tabla_Esfuerzo_Ventas_Valorado[[#This Row],[Exceso Unid]]*Tabla_Esfuerzo_Ventas_Valorado[[#This Row],[CTV]]</f>
        <v>7130.1200000000008</v>
      </c>
    </row>
    <row r="181" spans="1:12">
      <c r="A181" t="s">
        <v>5545</v>
      </c>
      <c r="B181" t="s">
        <v>5546</v>
      </c>
      <c r="C181" t="s">
        <v>5908</v>
      </c>
      <c r="D181" t="s">
        <v>5909</v>
      </c>
      <c r="F181" t="s">
        <v>5767</v>
      </c>
      <c r="G181" s="2">
        <v>23.05</v>
      </c>
      <c r="H181" s="2">
        <v>37.42</v>
      </c>
      <c r="I181">
        <v>202</v>
      </c>
      <c r="J181">
        <v>240</v>
      </c>
      <c r="K181">
        <v>38</v>
      </c>
      <c r="L181" s="2">
        <f>Tabla_Esfuerzo_Ventas_Valorado[[#This Row],[Exceso Unid]]*Tabla_Esfuerzo_Ventas_Valorado[[#This Row],[CTV]]</f>
        <v>875.9</v>
      </c>
    </row>
    <row r="182" spans="1:12">
      <c r="A182" t="s">
        <v>5545</v>
      </c>
      <c r="B182" t="s">
        <v>5546</v>
      </c>
      <c r="C182" t="s">
        <v>5910</v>
      </c>
      <c r="D182" t="s">
        <v>5911</v>
      </c>
      <c r="F182" t="s">
        <v>5767</v>
      </c>
      <c r="G182" s="2">
        <v>16.32</v>
      </c>
      <c r="H182" s="2">
        <v>26.85</v>
      </c>
      <c r="I182">
        <v>144</v>
      </c>
      <c r="J182">
        <v>179</v>
      </c>
      <c r="K182">
        <v>35</v>
      </c>
      <c r="L182" s="2">
        <f>Tabla_Esfuerzo_Ventas_Valorado[[#This Row],[Exceso Unid]]*Tabla_Esfuerzo_Ventas_Valorado[[#This Row],[CTV]]</f>
        <v>571.20000000000005</v>
      </c>
    </row>
    <row r="183" spans="1:12">
      <c r="A183" t="s">
        <v>5545</v>
      </c>
      <c r="B183" t="s">
        <v>5546</v>
      </c>
      <c r="C183" t="s">
        <v>5912</v>
      </c>
      <c r="D183" t="s">
        <v>5913</v>
      </c>
      <c r="F183" t="s">
        <v>5767</v>
      </c>
      <c r="G183" s="2">
        <v>17.18</v>
      </c>
      <c r="H183" s="2">
        <v>25.98</v>
      </c>
      <c r="I183">
        <v>108</v>
      </c>
      <c r="J183">
        <v>639</v>
      </c>
      <c r="K183">
        <v>531</v>
      </c>
      <c r="L183" s="2">
        <f>Tabla_Esfuerzo_Ventas_Valorado[[#This Row],[Exceso Unid]]*Tabla_Esfuerzo_Ventas_Valorado[[#This Row],[CTV]]</f>
        <v>9122.58</v>
      </c>
    </row>
    <row r="184" spans="1:12">
      <c r="A184" t="s">
        <v>5545</v>
      </c>
      <c r="B184" t="s">
        <v>5546</v>
      </c>
      <c r="C184" t="s">
        <v>5914</v>
      </c>
      <c r="D184" t="s">
        <v>5915</v>
      </c>
      <c r="F184" t="s">
        <v>5767</v>
      </c>
      <c r="G184" s="2">
        <v>3.32</v>
      </c>
      <c r="H184" s="2">
        <v>5.39</v>
      </c>
      <c r="I184">
        <v>660</v>
      </c>
      <c r="J184">
        <v>1896</v>
      </c>
      <c r="K184">
        <v>1236</v>
      </c>
      <c r="L184" s="2">
        <f>Tabla_Esfuerzo_Ventas_Valorado[[#This Row],[Exceso Unid]]*Tabla_Esfuerzo_Ventas_Valorado[[#This Row],[CTV]]</f>
        <v>4103.5199999999995</v>
      </c>
    </row>
    <row r="185" spans="1:12">
      <c r="A185" t="s">
        <v>5545</v>
      </c>
      <c r="B185" t="s">
        <v>5546</v>
      </c>
      <c r="C185" t="s">
        <v>5916</v>
      </c>
      <c r="D185" t="s">
        <v>5917</v>
      </c>
      <c r="F185" t="s">
        <v>5767</v>
      </c>
      <c r="G185" s="2">
        <v>3.91</v>
      </c>
      <c r="H185" s="2">
        <v>6.87</v>
      </c>
      <c r="I185">
        <v>35</v>
      </c>
      <c r="J185">
        <v>59</v>
      </c>
      <c r="K185">
        <v>24</v>
      </c>
      <c r="L185" s="2">
        <f>Tabla_Esfuerzo_Ventas_Valorado[[#This Row],[Exceso Unid]]*Tabla_Esfuerzo_Ventas_Valorado[[#This Row],[CTV]]</f>
        <v>93.84</v>
      </c>
    </row>
    <row r="186" spans="1:12">
      <c r="A186" t="s">
        <v>5545</v>
      </c>
      <c r="B186" t="s">
        <v>5546</v>
      </c>
      <c r="C186" t="s">
        <v>5918</v>
      </c>
      <c r="D186" t="s">
        <v>5919</v>
      </c>
      <c r="F186" t="s">
        <v>5767</v>
      </c>
      <c r="G186" s="2">
        <v>6.71</v>
      </c>
      <c r="H186" s="2">
        <v>11.15</v>
      </c>
      <c r="I186">
        <v>95</v>
      </c>
      <c r="J186">
        <v>129</v>
      </c>
      <c r="K186">
        <v>34</v>
      </c>
      <c r="L186" s="2">
        <f>Tabla_Esfuerzo_Ventas_Valorado[[#This Row],[Exceso Unid]]*Tabla_Esfuerzo_Ventas_Valorado[[#This Row],[CTV]]</f>
        <v>228.14</v>
      </c>
    </row>
    <row r="187" spans="1:12">
      <c r="A187" t="s">
        <v>5545</v>
      </c>
      <c r="B187" t="s">
        <v>5546</v>
      </c>
      <c r="C187" t="s">
        <v>5920</v>
      </c>
      <c r="D187" t="s">
        <v>5921</v>
      </c>
      <c r="F187" t="s">
        <v>5922</v>
      </c>
      <c r="G187" s="2">
        <v>6.29</v>
      </c>
      <c r="H187" s="2">
        <v>8.98</v>
      </c>
      <c r="I187">
        <v>116</v>
      </c>
      <c r="J187">
        <v>204</v>
      </c>
      <c r="K187">
        <v>88</v>
      </c>
      <c r="L187" s="2">
        <f>Tabla_Esfuerzo_Ventas_Valorado[[#This Row],[Exceso Unid]]*Tabla_Esfuerzo_Ventas_Valorado[[#This Row],[CTV]]</f>
        <v>553.52</v>
      </c>
    </row>
    <row r="188" spans="1:12">
      <c r="A188" t="s">
        <v>5545</v>
      </c>
      <c r="B188" t="s">
        <v>5546</v>
      </c>
      <c r="C188" t="s">
        <v>5923</v>
      </c>
      <c r="D188" t="s">
        <v>5924</v>
      </c>
      <c r="F188" t="s">
        <v>5922</v>
      </c>
      <c r="G188" s="2">
        <v>5.12</v>
      </c>
      <c r="H188" s="2">
        <v>8.25</v>
      </c>
      <c r="I188">
        <v>117</v>
      </c>
      <c r="J188">
        <v>208</v>
      </c>
      <c r="K188">
        <v>91</v>
      </c>
      <c r="L188" s="2">
        <f>Tabla_Esfuerzo_Ventas_Valorado[[#This Row],[Exceso Unid]]*Tabla_Esfuerzo_Ventas_Valorado[[#This Row],[CTV]]</f>
        <v>465.92</v>
      </c>
    </row>
    <row r="189" spans="1:12">
      <c r="A189" t="s">
        <v>5545</v>
      </c>
      <c r="B189" t="s">
        <v>5546</v>
      </c>
      <c r="C189" t="s">
        <v>5925</v>
      </c>
      <c r="D189" t="s">
        <v>5926</v>
      </c>
      <c r="F189" t="s">
        <v>5922</v>
      </c>
      <c r="G189" s="2">
        <v>6.05</v>
      </c>
      <c r="H189" s="2">
        <v>10.02</v>
      </c>
      <c r="I189">
        <v>38</v>
      </c>
      <c r="J189">
        <v>72</v>
      </c>
      <c r="K189">
        <v>34</v>
      </c>
      <c r="L189" s="2">
        <f>Tabla_Esfuerzo_Ventas_Valorado[[#This Row],[Exceso Unid]]*Tabla_Esfuerzo_Ventas_Valorado[[#This Row],[CTV]]</f>
        <v>205.7</v>
      </c>
    </row>
    <row r="190" spans="1:12">
      <c r="A190" t="s">
        <v>5545</v>
      </c>
      <c r="B190" t="s">
        <v>5546</v>
      </c>
      <c r="C190" t="s">
        <v>5927</v>
      </c>
      <c r="D190" t="s">
        <v>5928</v>
      </c>
      <c r="F190" t="s">
        <v>5922</v>
      </c>
      <c r="G190" s="2">
        <v>6.19</v>
      </c>
      <c r="H190" s="2">
        <v>9.77</v>
      </c>
      <c r="I190">
        <v>69</v>
      </c>
      <c r="J190">
        <v>139</v>
      </c>
      <c r="K190">
        <v>70</v>
      </c>
      <c r="L190" s="2">
        <f>Tabla_Esfuerzo_Ventas_Valorado[[#This Row],[Exceso Unid]]*Tabla_Esfuerzo_Ventas_Valorado[[#This Row],[CTV]]</f>
        <v>433.3</v>
      </c>
    </row>
    <row r="191" spans="1:12">
      <c r="A191" t="s">
        <v>5545</v>
      </c>
      <c r="B191" t="s">
        <v>5546</v>
      </c>
      <c r="C191" t="s">
        <v>5929</v>
      </c>
      <c r="D191" t="s">
        <v>5930</v>
      </c>
      <c r="F191" t="s">
        <v>5922</v>
      </c>
      <c r="G191" s="2">
        <v>4.5199999999999996</v>
      </c>
      <c r="H191" s="2">
        <v>7.5</v>
      </c>
      <c r="I191">
        <v>48</v>
      </c>
      <c r="J191">
        <v>136</v>
      </c>
      <c r="K191">
        <v>88</v>
      </c>
      <c r="L191" s="2">
        <f>Tabla_Esfuerzo_Ventas_Valorado[[#This Row],[Exceso Unid]]*Tabla_Esfuerzo_Ventas_Valorado[[#This Row],[CTV]]</f>
        <v>397.76</v>
      </c>
    </row>
    <row r="192" spans="1:12">
      <c r="A192" t="s">
        <v>5545</v>
      </c>
      <c r="B192" t="s">
        <v>5546</v>
      </c>
      <c r="C192" t="s">
        <v>5931</v>
      </c>
      <c r="D192" t="s">
        <v>5932</v>
      </c>
      <c r="F192" t="s">
        <v>5922</v>
      </c>
      <c r="G192" s="2">
        <v>17.600000000000001</v>
      </c>
      <c r="H192" s="2">
        <v>28.99</v>
      </c>
      <c r="I192">
        <v>35</v>
      </c>
      <c r="J192">
        <v>49</v>
      </c>
      <c r="K192">
        <v>14</v>
      </c>
      <c r="L192" s="2">
        <f>Tabla_Esfuerzo_Ventas_Valorado[[#This Row],[Exceso Unid]]*Tabla_Esfuerzo_Ventas_Valorado[[#This Row],[CTV]]</f>
        <v>246.40000000000003</v>
      </c>
    </row>
    <row r="193" spans="1:12">
      <c r="A193" t="s">
        <v>5545</v>
      </c>
      <c r="B193" t="s">
        <v>5546</v>
      </c>
      <c r="C193" t="s">
        <v>5933</v>
      </c>
      <c r="D193" t="s">
        <v>5934</v>
      </c>
      <c r="F193" t="s">
        <v>5922</v>
      </c>
      <c r="G193" s="2">
        <v>6.89</v>
      </c>
      <c r="H193" s="2">
        <v>10.55</v>
      </c>
      <c r="I193">
        <v>133</v>
      </c>
      <c r="J193">
        <v>152</v>
      </c>
      <c r="K193">
        <v>19</v>
      </c>
      <c r="L193" s="2">
        <f>Tabla_Esfuerzo_Ventas_Valorado[[#This Row],[Exceso Unid]]*Tabla_Esfuerzo_Ventas_Valorado[[#This Row],[CTV]]</f>
        <v>130.91</v>
      </c>
    </row>
    <row r="194" spans="1:12">
      <c r="A194" t="s">
        <v>5545</v>
      </c>
      <c r="B194" t="s">
        <v>5546</v>
      </c>
      <c r="C194" t="s">
        <v>5935</v>
      </c>
      <c r="D194" t="s">
        <v>5936</v>
      </c>
      <c r="F194" t="s">
        <v>5922</v>
      </c>
      <c r="G194" s="2">
        <v>17.87</v>
      </c>
      <c r="H194" s="2">
        <v>28.66</v>
      </c>
      <c r="I194">
        <v>11</v>
      </c>
      <c r="J194">
        <v>40</v>
      </c>
      <c r="K194">
        <v>29</v>
      </c>
      <c r="L194" s="2">
        <f>Tabla_Esfuerzo_Ventas_Valorado[[#This Row],[Exceso Unid]]*Tabla_Esfuerzo_Ventas_Valorado[[#This Row],[CTV]]</f>
        <v>518.23</v>
      </c>
    </row>
    <row r="195" spans="1:12">
      <c r="A195" t="s">
        <v>5545</v>
      </c>
      <c r="B195" t="s">
        <v>5546</v>
      </c>
      <c r="C195" t="s">
        <v>5937</v>
      </c>
      <c r="D195" t="s">
        <v>5938</v>
      </c>
      <c r="F195" t="s">
        <v>5922</v>
      </c>
      <c r="G195" s="2">
        <v>20.59</v>
      </c>
      <c r="H195" s="2">
        <v>31.92</v>
      </c>
      <c r="I195">
        <v>16</v>
      </c>
      <c r="J195">
        <v>34</v>
      </c>
      <c r="K195">
        <v>18</v>
      </c>
      <c r="L195" s="2">
        <f>Tabla_Esfuerzo_Ventas_Valorado[[#This Row],[Exceso Unid]]*Tabla_Esfuerzo_Ventas_Valorado[[#This Row],[CTV]]</f>
        <v>370.62</v>
      </c>
    </row>
    <row r="196" spans="1:12">
      <c r="A196" t="s">
        <v>5545</v>
      </c>
      <c r="B196" t="s">
        <v>5546</v>
      </c>
      <c r="C196" t="s">
        <v>5939</v>
      </c>
      <c r="D196" t="s">
        <v>5940</v>
      </c>
      <c r="F196" t="s">
        <v>5922</v>
      </c>
      <c r="G196" s="2">
        <v>2.59</v>
      </c>
      <c r="H196" s="2">
        <v>4.16</v>
      </c>
      <c r="I196">
        <v>38</v>
      </c>
      <c r="J196">
        <v>163</v>
      </c>
      <c r="K196">
        <v>125</v>
      </c>
      <c r="L196" s="2">
        <f>Tabla_Esfuerzo_Ventas_Valorado[[#This Row],[Exceso Unid]]*Tabla_Esfuerzo_Ventas_Valorado[[#This Row],[CTV]]</f>
        <v>323.75</v>
      </c>
    </row>
    <row r="197" spans="1:12">
      <c r="A197" t="s">
        <v>5545</v>
      </c>
      <c r="B197" t="s">
        <v>5546</v>
      </c>
      <c r="C197" t="s">
        <v>5941</v>
      </c>
      <c r="D197" t="s">
        <v>5942</v>
      </c>
      <c r="F197" t="s">
        <v>5922</v>
      </c>
      <c r="G197" s="2">
        <v>15.6</v>
      </c>
      <c r="H197" s="2">
        <v>24.45</v>
      </c>
      <c r="I197">
        <v>36</v>
      </c>
      <c r="J197">
        <v>84</v>
      </c>
      <c r="K197">
        <v>48</v>
      </c>
      <c r="L197" s="2">
        <f>Tabla_Esfuerzo_Ventas_Valorado[[#This Row],[Exceso Unid]]*Tabla_Esfuerzo_Ventas_Valorado[[#This Row],[CTV]]</f>
        <v>748.8</v>
      </c>
    </row>
    <row r="198" spans="1:12">
      <c r="A198" t="s">
        <v>5545</v>
      </c>
      <c r="B198" t="s">
        <v>5546</v>
      </c>
      <c r="C198" t="s">
        <v>5943</v>
      </c>
      <c r="D198" t="s">
        <v>5944</v>
      </c>
      <c r="F198" t="s">
        <v>5922</v>
      </c>
      <c r="G198" s="2">
        <v>17.600000000000001</v>
      </c>
      <c r="H198" s="2">
        <v>25.9</v>
      </c>
      <c r="I198">
        <v>36</v>
      </c>
      <c r="J198">
        <v>89</v>
      </c>
      <c r="K198">
        <v>53</v>
      </c>
      <c r="L198" s="2">
        <f>Tabla_Esfuerzo_Ventas_Valorado[[#This Row],[Exceso Unid]]*Tabla_Esfuerzo_Ventas_Valorado[[#This Row],[CTV]]</f>
        <v>932.80000000000007</v>
      </c>
    </row>
    <row r="199" spans="1:12">
      <c r="A199" t="s">
        <v>5545</v>
      </c>
      <c r="B199" t="s">
        <v>5546</v>
      </c>
      <c r="C199" t="s">
        <v>5945</v>
      </c>
      <c r="D199" t="s">
        <v>5946</v>
      </c>
      <c r="F199" t="s">
        <v>5922</v>
      </c>
      <c r="G199" s="2">
        <v>29.15</v>
      </c>
      <c r="H199" s="2">
        <v>44</v>
      </c>
      <c r="I199">
        <v>34</v>
      </c>
      <c r="J199">
        <v>36</v>
      </c>
      <c r="K199">
        <v>2</v>
      </c>
      <c r="L199" s="2">
        <f>Tabla_Esfuerzo_Ventas_Valorado[[#This Row],[Exceso Unid]]*Tabla_Esfuerzo_Ventas_Valorado[[#This Row],[CTV]]</f>
        <v>58.3</v>
      </c>
    </row>
    <row r="200" spans="1:12">
      <c r="A200" t="s">
        <v>5545</v>
      </c>
      <c r="B200" t="s">
        <v>5546</v>
      </c>
      <c r="C200" t="s">
        <v>5947</v>
      </c>
      <c r="D200" t="s">
        <v>5948</v>
      </c>
      <c r="F200" t="s">
        <v>5922</v>
      </c>
      <c r="G200" s="2">
        <v>16.43</v>
      </c>
      <c r="H200" s="2">
        <v>25</v>
      </c>
      <c r="I200">
        <v>413</v>
      </c>
      <c r="J200">
        <v>708</v>
      </c>
      <c r="K200">
        <v>295</v>
      </c>
      <c r="L200" s="2">
        <f>Tabla_Esfuerzo_Ventas_Valorado[[#This Row],[Exceso Unid]]*Tabla_Esfuerzo_Ventas_Valorado[[#This Row],[CTV]]</f>
        <v>4846.8500000000004</v>
      </c>
    </row>
    <row r="201" spans="1:12">
      <c r="A201" t="s">
        <v>5545</v>
      </c>
      <c r="B201" t="s">
        <v>5546</v>
      </c>
      <c r="C201" t="s">
        <v>5949</v>
      </c>
      <c r="D201" t="s">
        <v>5950</v>
      </c>
      <c r="F201" t="s">
        <v>5922</v>
      </c>
      <c r="G201" s="2">
        <v>18.98</v>
      </c>
      <c r="H201" s="2">
        <v>29.75</v>
      </c>
      <c r="I201">
        <v>50</v>
      </c>
      <c r="J201">
        <v>170</v>
      </c>
      <c r="K201">
        <v>120</v>
      </c>
      <c r="L201" s="2">
        <f>Tabla_Esfuerzo_Ventas_Valorado[[#This Row],[Exceso Unid]]*Tabla_Esfuerzo_Ventas_Valorado[[#This Row],[CTV]]</f>
        <v>2277.6</v>
      </c>
    </row>
    <row r="202" spans="1:12">
      <c r="A202" t="s">
        <v>5545</v>
      </c>
      <c r="B202" t="s">
        <v>5546</v>
      </c>
      <c r="C202" t="s">
        <v>5951</v>
      </c>
      <c r="D202" t="s">
        <v>5952</v>
      </c>
      <c r="F202" t="s">
        <v>5922</v>
      </c>
      <c r="G202" s="2">
        <v>21.19</v>
      </c>
      <c r="H202" s="2">
        <v>31.5</v>
      </c>
      <c r="I202">
        <v>48</v>
      </c>
      <c r="J202">
        <v>68</v>
      </c>
      <c r="K202">
        <v>20</v>
      </c>
      <c r="L202" s="2">
        <f>Tabla_Esfuerzo_Ventas_Valorado[[#This Row],[Exceso Unid]]*Tabla_Esfuerzo_Ventas_Valorado[[#This Row],[CTV]]</f>
        <v>423.8</v>
      </c>
    </row>
    <row r="203" spans="1:12">
      <c r="A203" t="s">
        <v>5545</v>
      </c>
      <c r="B203" t="s">
        <v>5546</v>
      </c>
      <c r="C203" t="s">
        <v>5953</v>
      </c>
      <c r="D203" t="s">
        <v>5954</v>
      </c>
      <c r="F203" t="s">
        <v>5922</v>
      </c>
      <c r="G203" s="2">
        <v>2.4500000000000002</v>
      </c>
      <c r="H203" s="2">
        <v>3.89</v>
      </c>
      <c r="I203">
        <v>106</v>
      </c>
      <c r="J203">
        <v>171</v>
      </c>
      <c r="K203">
        <v>65</v>
      </c>
      <c r="L203" s="2">
        <f>Tabla_Esfuerzo_Ventas_Valorado[[#This Row],[Exceso Unid]]*Tabla_Esfuerzo_Ventas_Valorado[[#This Row],[CTV]]</f>
        <v>159.25</v>
      </c>
    </row>
    <row r="204" spans="1:12">
      <c r="A204" t="s">
        <v>5545</v>
      </c>
      <c r="B204" t="s">
        <v>5546</v>
      </c>
      <c r="C204" t="s">
        <v>5955</v>
      </c>
      <c r="D204" t="s">
        <v>5956</v>
      </c>
      <c r="F204" t="s">
        <v>5922</v>
      </c>
      <c r="G204" s="2">
        <v>6.43</v>
      </c>
      <c r="H204" s="2">
        <v>11.78</v>
      </c>
      <c r="I204">
        <v>25</v>
      </c>
      <c r="J204">
        <v>130</v>
      </c>
      <c r="K204">
        <v>105</v>
      </c>
      <c r="L204" s="2">
        <f>Tabla_Esfuerzo_Ventas_Valorado[[#This Row],[Exceso Unid]]*Tabla_Esfuerzo_Ventas_Valorado[[#This Row],[CTV]]</f>
        <v>675.15</v>
      </c>
    </row>
    <row r="205" spans="1:12">
      <c r="A205" t="s">
        <v>5545</v>
      </c>
      <c r="B205" t="s">
        <v>5546</v>
      </c>
      <c r="C205" t="s">
        <v>5957</v>
      </c>
      <c r="D205" t="s">
        <v>5958</v>
      </c>
      <c r="F205" t="s">
        <v>5922</v>
      </c>
      <c r="G205" s="2">
        <v>0.73</v>
      </c>
      <c r="H205" s="2">
        <v>1.28</v>
      </c>
      <c r="I205">
        <v>65</v>
      </c>
      <c r="J205">
        <v>379</v>
      </c>
      <c r="K205">
        <v>314</v>
      </c>
      <c r="L205" s="2">
        <f>Tabla_Esfuerzo_Ventas_Valorado[[#This Row],[Exceso Unid]]*Tabla_Esfuerzo_Ventas_Valorado[[#This Row],[CTV]]</f>
        <v>229.22</v>
      </c>
    </row>
    <row r="206" spans="1:12">
      <c r="A206" t="s">
        <v>5545</v>
      </c>
      <c r="B206" t="s">
        <v>5546</v>
      </c>
      <c r="C206" t="s">
        <v>5959</v>
      </c>
      <c r="D206" t="s">
        <v>5960</v>
      </c>
      <c r="F206" t="s">
        <v>5922</v>
      </c>
      <c r="G206" s="2">
        <v>0.73</v>
      </c>
      <c r="H206" s="2">
        <v>1.28</v>
      </c>
      <c r="I206">
        <v>75</v>
      </c>
      <c r="J206">
        <v>388</v>
      </c>
      <c r="K206">
        <v>313</v>
      </c>
      <c r="L206" s="2">
        <f>Tabla_Esfuerzo_Ventas_Valorado[[#This Row],[Exceso Unid]]*Tabla_Esfuerzo_Ventas_Valorado[[#This Row],[CTV]]</f>
        <v>228.48999999999998</v>
      </c>
    </row>
    <row r="207" spans="1:12">
      <c r="A207" t="s">
        <v>5545</v>
      </c>
      <c r="B207" t="s">
        <v>5546</v>
      </c>
      <c r="C207" t="s">
        <v>5961</v>
      </c>
      <c r="D207" t="s">
        <v>5962</v>
      </c>
      <c r="F207" t="s">
        <v>5922</v>
      </c>
      <c r="G207" s="2">
        <v>0.73</v>
      </c>
      <c r="H207" s="2">
        <v>1.32</v>
      </c>
      <c r="I207">
        <v>76</v>
      </c>
      <c r="J207">
        <v>355</v>
      </c>
      <c r="K207">
        <v>279</v>
      </c>
      <c r="L207" s="2">
        <f>Tabla_Esfuerzo_Ventas_Valorado[[#This Row],[Exceso Unid]]*Tabla_Esfuerzo_Ventas_Valorado[[#This Row],[CTV]]</f>
        <v>203.67</v>
      </c>
    </row>
    <row r="208" spans="1:12">
      <c r="A208" t="s">
        <v>5545</v>
      </c>
      <c r="B208" t="s">
        <v>5546</v>
      </c>
      <c r="C208" t="s">
        <v>5963</v>
      </c>
      <c r="D208" t="s">
        <v>5964</v>
      </c>
      <c r="F208" t="s">
        <v>5922</v>
      </c>
      <c r="G208" s="2">
        <v>0.73</v>
      </c>
      <c r="H208" s="2">
        <v>1.06</v>
      </c>
      <c r="I208">
        <v>214</v>
      </c>
      <c r="J208">
        <v>303</v>
      </c>
      <c r="K208">
        <v>89</v>
      </c>
      <c r="L208" s="2">
        <f>Tabla_Esfuerzo_Ventas_Valorado[[#This Row],[Exceso Unid]]*Tabla_Esfuerzo_Ventas_Valorado[[#This Row],[CTV]]</f>
        <v>64.97</v>
      </c>
    </row>
    <row r="209" spans="1:12">
      <c r="A209" t="s">
        <v>5545</v>
      </c>
      <c r="B209" t="s">
        <v>5546</v>
      </c>
      <c r="C209" t="s">
        <v>5965</v>
      </c>
      <c r="D209" t="s">
        <v>5966</v>
      </c>
      <c r="F209" t="s">
        <v>5922</v>
      </c>
      <c r="G209" s="2">
        <v>1.17</v>
      </c>
      <c r="H209" s="2">
        <v>1.77</v>
      </c>
      <c r="I209">
        <v>521</v>
      </c>
      <c r="J209">
        <v>654</v>
      </c>
      <c r="K209">
        <v>133</v>
      </c>
      <c r="L209" s="2">
        <f>Tabla_Esfuerzo_Ventas_Valorado[[#This Row],[Exceso Unid]]*Tabla_Esfuerzo_Ventas_Valorado[[#This Row],[CTV]]</f>
        <v>155.60999999999999</v>
      </c>
    </row>
    <row r="210" spans="1:12">
      <c r="A210" t="s">
        <v>5545</v>
      </c>
      <c r="B210" t="s">
        <v>5546</v>
      </c>
      <c r="C210" t="s">
        <v>5967</v>
      </c>
      <c r="D210" t="s">
        <v>5968</v>
      </c>
      <c r="F210" t="s">
        <v>5922</v>
      </c>
      <c r="G210" s="2">
        <v>18.63</v>
      </c>
      <c r="H210" s="2">
        <v>32</v>
      </c>
      <c r="I210">
        <v>17</v>
      </c>
      <c r="J210">
        <v>32</v>
      </c>
      <c r="K210">
        <v>15</v>
      </c>
      <c r="L210" s="2">
        <f>Tabla_Esfuerzo_Ventas_Valorado[[#This Row],[Exceso Unid]]*Tabla_Esfuerzo_Ventas_Valorado[[#This Row],[CTV]]</f>
        <v>279.45</v>
      </c>
    </row>
    <row r="211" spans="1:12">
      <c r="A211" t="s">
        <v>5545</v>
      </c>
      <c r="B211" t="s">
        <v>5546</v>
      </c>
      <c r="C211" t="s">
        <v>5969</v>
      </c>
      <c r="D211" t="s">
        <v>5970</v>
      </c>
      <c r="F211" t="s">
        <v>5922</v>
      </c>
      <c r="G211" s="2">
        <v>17.100000000000001</v>
      </c>
      <c r="H211" s="2">
        <v>25.12</v>
      </c>
      <c r="I211">
        <v>12</v>
      </c>
      <c r="J211">
        <v>37</v>
      </c>
      <c r="K211">
        <v>25</v>
      </c>
      <c r="L211" s="2">
        <f>Tabla_Esfuerzo_Ventas_Valorado[[#This Row],[Exceso Unid]]*Tabla_Esfuerzo_Ventas_Valorado[[#This Row],[CTV]]</f>
        <v>427.50000000000006</v>
      </c>
    </row>
    <row r="212" spans="1:12">
      <c r="A212" t="s">
        <v>5545</v>
      </c>
      <c r="B212" t="s">
        <v>5546</v>
      </c>
      <c r="C212" t="s">
        <v>5971</v>
      </c>
      <c r="D212" t="s">
        <v>5972</v>
      </c>
      <c r="F212" t="s">
        <v>5922</v>
      </c>
      <c r="G212" s="2">
        <v>13.23</v>
      </c>
      <c r="H212" s="2">
        <v>19.5</v>
      </c>
      <c r="I212">
        <v>8</v>
      </c>
      <c r="J212">
        <v>34</v>
      </c>
      <c r="K212">
        <v>26</v>
      </c>
      <c r="L212" s="2">
        <f>Tabla_Esfuerzo_Ventas_Valorado[[#This Row],[Exceso Unid]]*Tabla_Esfuerzo_Ventas_Valorado[[#This Row],[CTV]]</f>
        <v>343.98</v>
      </c>
    </row>
    <row r="213" spans="1:12">
      <c r="A213" t="s">
        <v>5545</v>
      </c>
      <c r="B213" t="s">
        <v>5546</v>
      </c>
      <c r="C213" t="s">
        <v>5973</v>
      </c>
      <c r="D213" t="s">
        <v>5974</v>
      </c>
      <c r="F213" t="s">
        <v>5922</v>
      </c>
      <c r="G213" s="2">
        <v>3.65</v>
      </c>
      <c r="H213" s="2">
        <v>5.4</v>
      </c>
      <c r="I213">
        <v>405</v>
      </c>
      <c r="J213">
        <v>428</v>
      </c>
      <c r="K213">
        <v>23</v>
      </c>
      <c r="L213" s="2">
        <f>Tabla_Esfuerzo_Ventas_Valorado[[#This Row],[Exceso Unid]]*Tabla_Esfuerzo_Ventas_Valorado[[#This Row],[CTV]]</f>
        <v>83.95</v>
      </c>
    </row>
    <row r="214" spans="1:12">
      <c r="A214" t="s">
        <v>5545</v>
      </c>
      <c r="B214" t="s">
        <v>5546</v>
      </c>
      <c r="C214" t="s">
        <v>5975</v>
      </c>
      <c r="D214" t="s">
        <v>5976</v>
      </c>
      <c r="F214" t="s">
        <v>5922</v>
      </c>
      <c r="G214" s="2">
        <v>8.67</v>
      </c>
      <c r="H214" s="2">
        <v>13.05</v>
      </c>
      <c r="I214">
        <v>93</v>
      </c>
      <c r="J214">
        <v>156</v>
      </c>
      <c r="K214">
        <v>63</v>
      </c>
      <c r="L214" s="2">
        <f>Tabla_Esfuerzo_Ventas_Valorado[[#This Row],[Exceso Unid]]*Tabla_Esfuerzo_Ventas_Valorado[[#This Row],[CTV]]</f>
        <v>546.21</v>
      </c>
    </row>
    <row r="215" spans="1:12">
      <c r="A215" t="s">
        <v>5545</v>
      </c>
      <c r="B215" t="s">
        <v>5546</v>
      </c>
      <c r="C215" t="s">
        <v>5977</v>
      </c>
      <c r="D215" t="s">
        <v>5978</v>
      </c>
      <c r="F215" t="s">
        <v>5922</v>
      </c>
      <c r="G215" s="2">
        <v>6.13</v>
      </c>
      <c r="H215" s="2">
        <v>9.5</v>
      </c>
      <c r="I215">
        <v>121</v>
      </c>
      <c r="J215">
        <v>234</v>
      </c>
      <c r="K215">
        <v>113</v>
      </c>
      <c r="L215" s="2">
        <f>Tabla_Esfuerzo_Ventas_Valorado[[#This Row],[Exceso Unid]]*Tabla_Esfuerzo_Ventas_Valorado[[#This Row],[CTV]]</f>
        <v>692.68999999999994</v>
      </c>
    </row>
    <row r="216" spans="1:12">
      <c r="A216" t="s">
        <v>5545</v>
      </c>
      <c r="B216" t="s">
        <v>5546</v>
      </c>
      <c r="C216" t="s">
        <v>5979</v>
      </c>
      <c r="D216" t="s">
        <v>5980</v>
      </c>
      <c r="F216" t="s">
        <v>5922</v>
      </c>
      <c r="G216" s="2">
        <v>9.0500000000000007</v>
      </c>
      <c r="H216" s="2">
        <v>13.61</v>
      </c>
      <c r="I216">
        <v>123</v>
      </c>
      <c r="J216">
        <v>224</v>
      </c>
      <c r="K216">
        <v>101</v>
      </c>
      <c r="L216" s="2">
        <f>Tabla_Esfuerzo_Ventas_Valorado[[#This Row],[Exceso Unid]]*Tabla_Esfuerzo_Ventas_Valorado[[#This Row],[CTV]]</f>
        <v>914.05000000000007</v>
      </c>
    </row>
    <row r="217" spans="1:12">
      <c r="A217" t="s">
        <v>5545</v>
      </c>
      <c r="B217" t="s">
        <v>5546</v>
      </c>
      <c r="C217" t="s">
        <v>5981</v>
      </c>
      <c r="D217" t="s">
        <v>5982</v>
      </c>
      <c r="F217" t="s">
        <v>5922</v>
      </c>
      <c r="G217" s="2">
        <v>0.53</v>
      </c>
      <c r="H217" s="2">
        <v>0.8</v>
      </c>
      <c r="I217">
        <v>95</v>
      </c>
      <c r="J217">
        <v>285</v>
      </c>
      <c r="K217">
        <v>190</v>
      </c>
      <c r="L217" s="2">
        <f>Tabla_Esfuerzo_Ventas_Valorado[[#This Row],[Exceso Unid]]*Tabla_Esfuerzo_Ventas_Valorado[[#This Row],[CTV]]</f>
        <v>100.7</v>
      </c>
    </row>
    <row r="218" spans="1:12">
      <c r="A218" t="s">
        <v>5545</v>
      </c>
      <c r="B218" t="s">
        <v>5546</v>
      </c>
      <c r="C218" t="s">
        <v>5983</v>
      </c>
      <c r="D218" t="s">
        <v>5984</v>
      </c>
      <c r="F218" t="s">
        <v>5922</v>
      </c>
      <c r="G218" s="2">
        <v>0.18</v>
      </c>
      <c r="H218" s="2">
        <v>0.37</v>
      </c>
      <c r="I218">
        <v>1523</v>
      </c>
      <c r="J218">
        <v>10380</v>
      </c>
      <c r="K218">
        <v>8857</v>
      </c>
      <c r="L218" s="2">
        <f>Tabla_Esfuerzo_Ventas_Valorado[[#This Row],[Exceso Unid]]*Tabla_Esfuerzo_Ventas_Valorado[[#This Row],[CTV]]</f>
        <v>1594.26</v>
      </c>
    </row>
    <row r="219" spans="1:12">
      <c r="A219" t="s">
        <v>5545</v>
      </c>
      <c r="B219" t="s">
        <v>5546</v>
      </c>
      <c r="C219" t="s">
        <v>5985</v>
      </c>
      <c r="D219" t="s">
        <v>5986</v>
      </c>
      <c r="F219" t="s">
        <v>5922</v>
      </c>
      <c r="G219" s="2">
        <v>0.34</v>
      </c>
      <c r="H219" s="2">
        <v>0.59</v>
      </c>
      <c r="I219">
        <v>79</v>
      </c>
      <c r="J219">
        <v>330</v>
      </c>
      <c r="K219">
        <v>251</v>
      </c>
      <c r="L219" s="2">
        <f>Tabla_Esfuerzo_Ventas_Valorado[[#This Row],[Exceso Unid]]*Tabla_Esfuerzo_Ventas_Valorado[[#This Row],[CTV]]</f>
        <v>85.34</v>
      </c>
    </row>
    <row r="220" spans="1:12">
      <c r="A220" t="s">
        <v>5545</v>
      </c>
      <c r="B220" t="s">
        <v>5546</v>
      </c>
      <c r="C220" t="s">
        <v>5987</v>
      </c>
      <c r="D220" t="s">
        <v>5988</v>
      </c>
      <c r="F220" t="s">
        <v>5922</v>
      </c>
      <c r="G220" s="2">
        <v>1.46</v>
      </c>
      <c r="H220" s="2">
        <v>2.13</v>
      </c>
      <c r="I220">
        <v>678</v>
      </c>
      <c r="J220">
        <v>1445</v>
      </c>
      <c r="K220">
        <v>767</v>
      </c>
      <c r="L220" s="2">
        <f>Tabla_Esfuerzo_Ventas_Valorado[[#This Row],[Exceso Unid]]*Tabla_Esfuerzo_Ventas_Valorado[[#This Row],[CTV]]</f>
        <v>1119.82</v>
      </c>
    </row>
    <row r="221" spans="1:12">
      <c r="A221" t="s">
        <v>5545</v>
      </c>
      <c r="B221" t="s">
        <v>5546</v>
      </c>
      <c r="C221" t="s">
        <v>5989</v>
      </c>
      <c r="D221" t="s">
        <v>5990</v>
      </c>
      <c r="F221" t="s">
        <v>5922</v>
      </c>
      <c r="G221" s="2">
        <v>6.52</v>
      </c>
      <c r="H221" s="2">
        <v>10.14</v>
      </c>
      <c r="I221">
        <v>16</v>
      </c>
      <c r="J221">
        <v>61</v>
      </c>
      <c r="K221">
        <v>45</v>
      </c>
      <c r="L221" s="2">
        <f>Tabla_Esfuerzo_Ventas_Valorado[[#This Row],[Exceso Unid]]*Tabla_Esfuerzo_Ventas_Valorado[[#This Row],[CTV]]</f>
        <v>293.39999999999998</v>
      </c>
    </row>
    <row r="222" spans="1:12">
      <c r="A222" t="s">
        <v>5545</v>
      </c>
      <c r="B222" t="s">
        <v>5546</v>
      </c>
      <c r="C222" t="s">
        <v>5991</v>
      </c>
      <c r="D222" t="s">
        <v>5992</v>
      </c>
      <c r="F222" t="s">
        <v>5922</v>
      </c>
      <c r="G222" s="2">
        <v>0.37</v>
      </c>
      <c r="H222" s="2">
        <v>0.62</v>
      </c>
      <c r="I222">
        <v>500</v>
      </c>
      <c r="J222">
        <v>563</v>
      </c>
      <c r="K222">
        <v>63</v>
      </c>
      <c r="L222" s="2">
        <f>Tabla_Esfuerzo_Ventas_Valorado[[#This Row],[Exceso Unid]]*Tabla_Esfuerzo_Ventas_Valorado[[#This Row],[CTV]]</f>
        <v>23.31</v>
      </c>
    </row>
    <row r="223" spans="1:12">
      <c r="A223" t="s">
        <v>5545</v>
      </c>
      <c r="B223" t="s">
        <v>5546</v>
      </c>
      <c r="C223" t="s">
        <v>5993</v>
      </c>
      <c r="D223" t="s">
        <v>5994</v>
      </c>
      <c r="F223" t="s">
        <v>5922</v>
      </c>
      <c r="G223" s="2">
        <v>0.37</v>
      </c>
      <c r="H223" s="2">
        <v>0.62</v>
      </c>
      <c r="I223">
        <v>225</v>
      </c>
      <c r="J223">
        <v>835</v>
      </c>
      <c r="K223">
        <v>610</v>
      </c>
      <c r="L223" s="2">
        <f>Tabla_Esfuerzo_Ventas_Valorado[[#This Row],[Exceso Unid]]*Tabla_Esfuerzo_Ventas_Valorado[[#This Row],[CTV]]</f>
        <v>225.7</v>
      </c>
    </row>
    <row r="224" spans="1:12">
      <c r="A224" t="s">
        <v>5545</v>
      </c>
      <c r="B224" t="s">
        <v>5546</v>
      </c>
      <c r="C224" t="s">
        <v>5995</v>
      </c>
      <c r="D224" t="s">
        <v>5996</v>
      </c>
      <c r="F224" t="s">
        <v>5922</v>
      </c>
      <c r="G224" s="2">
        <v>0.36</v>
      </c>
      <c r="H224" s="2">
        <v>0.51</v>
      </c>
      <c r="I224">
        <v>235</v>
      </c>
      <c r="J224">
        <v>240</v>
      </c>
      <c r="K224">
        <v>5</v>
      </c>
      <c r="L224" s="2">
        <f>Tabla_Esfuerzo_Ventas_Valorado[[#This Row],[Exceso Unid]]*Tabla_Esfuerzo_Ventas_Valorado[[#This Row],[CTV]]</f>
        <v>1.7999999999999998</v>
      </c>
    </row>
    <row r="225" spans="1:12">
      <c r="A225" t="s">
        <v>5545</v>
      </c>
      <c r="B225" t="s">
        <v>5546</v>
      </c>
      <c r="C225" t="s">
        <v>5997</v>
      </c>
      <c r="D225" t="s">
        <v>5998</v>
      </c>
      <c r="F225" t="s">
        <v>5922</v>
      </c>
      <c r="G225" s="2">
        <v>0.43</v>
      </c>
      <c r="H225" s="2">
        <v>0.65</v>
      </c>
      <c r="I225">
        <v>319</v>
      </c>
      <c r="J225">
        <v>696</v>
      </c>
      <c r="K225">
        <v>377</v>
      </c>
      <c r="L225" s="2">
        <f>Tabla_Esfuerzo_Ventas_Valorado[[#This Row],[Exceso Unid]]*Tabla_Esfuerzo_Ventas_Valorado[[#This Row],[CTV]]</f>
        <v>162.10999999999999</v>
      </c>
    </row>
    <row r="226" spans="1:12">
      <c r="A226" t="s">
        <v>5545</v>
      </c>
      <c r="B226" t="s">
        <v>5546</v>
      </c>
      <c r="C226" t="s">
        <v>5999</v>
      </c>
      <c r="D226" t="s">
        <v>6000</v>
      </c>
      <c r="F226" t="s">
        <v>5922</v>
      </c>
      <c r="G226" s="2">
        <v>0.17</v>
      </c>
      <c r="H226" s="2">
        <v>0.28000000000000003</v>
      </c>
      <c r="I226">
        <v>1382</v>
      </c>
      <c r="J226">
        <v>3660</v>
      </c>
      <c r="K226">
        <v>2278</v>
      </c>
      <c r="L226" s="2">
        <f>Tabla_Esfuerzo_Ventas_Valorado[[#This Row],[Exceso Unid]]*Tabla_Esfuerzo_Ventas_Valorado[[#This Row],[CTV]]</f>
        <v>387.26000000000005</v>
      </c>
    </row>
    <row r="227" spans="1:12">
      <c r="A227" t="s">
        <v>5545</v>
      </c>
      <c r="B227" t="s">
        <v>5546</v>
      </c>
      <c r="C227" t="s">
        <v>6001</v>
      </c>
      <c r="D227" t="s">
        <v>6002</v>
      </c>
      <c r="F227" t="s">
        <v>5922</v>
      </c>
      <c r="G227" s="2">
        <v>19.72</v>
      </c>
      <c r="H227" s="2">
        <v>28.75</v>
      </c>
      <c r="I227">
        <v>59</v>
      </c>
      <c r="J227">
        <v>146</v>
      </c>
      <c r="K227">
        <v>87</v>
      </c>
      <c r="L227" s="2">
        <f>Tabla_Esfuerzo_Ventas_Valorado[[#This Row],[Exceso Unid]]*Tabla_Esfuerzo_Ventas_Valorado[[#This Row],[CTV]]</f>
        <v>1715.6399999999999</v>
      </c>
    </row>
    <row r="228" spans="1:12">
      <c r="A228" t="s">
        <v>5545</v>
      </c>
      <c r="B228" t="s">
        <v>5546</v>
      </c>
      <c r="C228" t="s">
        <v>6003</v>
      </c>
      <c r="D228" t="s">
        <v>6004</v>
      </c>
      <c r="F228" t="s">
        <v>5922</v>
      </c>
      <c r="G228" s="2">
        <v>11.02</v>
      </c>
      <c r="H228" s="2">
        <v>21.09</v>
      </c>
      <c r="I228">
        <v>37</v>
      </c>
      <c r="J228">
        <v>125</v>
      </c>
      <c r="K228">
        <v>88</v>
      </c>
      <c r="L228" s="2">
        <f>Tabla_Esfuerzo_Ventas_Valorado[[#This Row],[Exceso Unid]]*Tabla_Esfuerzo_Ventas_Valorado[[#This Row],[CTV]]</f>
        <v>969.76</v>
      </c>
    </row>
    <row r="229" spans="1:12">
      <c r="A229" t="s">
        <v>5545</v>
      </c>
      <c r="B229" t="s">
        <v>5546</v>
      </c>
      <c r="C229" t="s">
        <v>6005</v>
      </c>
      <c r="D229" t="s">
        <v>6006</v>
      </c>
      <c r="F229" t="s">
        <v>5922</v>
      </c>
      <c r="G229" s="2">
        <v>2.95</v>
      </c>
      <c r="H229" s="2">
        <v>5.2</v>
      </c>
      <c r="I229">
        <v>626</v>
      </c>
      <c r="J229">
        <v>1315</v>
      </c>
      <c r="K229">
        <v>689</v>
      </c>
      <c r="L229" s="2">
        <f>Tabla_Esfuerzo_Ventas_Valorado[[#This Row],[Exceso Unid]]*Tabla_Esfuerzo_Ventas_Valorado[[#This Row],[CTV]]</f>
        <v>2032.5500000000002</v>
      </c>
    </row>
    <row r="230" spans="1:12">
      <c r="A230" t="s">
        <v>5545</v>
      </c>
      <c r="B230" t="s">
        <v>5546</v>
      </c>
      <c r="C230" t="s">
        <v>6007</v>
      </c>
      <c r="D230" t="s">
        <v>6008</v>
      </c>
      <c r="F230" t="s">
        <v>5922</v>
      </c>
      <c r="G230" s="2">
        <v>0.08</v>
      </c>
      <c r="H230" s="2">
        <v>0.13</v>
      </c>
      <c r="I230">
        <v>2993</v>
      </c>
      <c r="J230">
        <v>3220</v>
      </c>
      <c r="K230">
        <v>227</v>
      </c>
      <c r="L230" s="2">
        <f>Tabla_Esfuerzo_Ventas_Valorado[[#This Row],[Exceso Unid]]*Tabla_Esfuerzo_Ventas_Valorado[[#This Row],[CTV]]</f>
        <v>18.16</v>
      </c>
    </row>
    <row r="231" spans="1:12">
      <c r="A231" t="s">
        <v>5545</v>
      </c>
      <c r="B231" t="s">
        <v>5546</v>
      </c>
      <c r="C231" t="s">
        <v>6009</v>
      </c>
      <c r="D231" t="s">
        <v>6010</v>
      </c>
      <c r="F231" t="s">
        <v>5922</v>
      </c>
      <c r="G231" s="2">
        <v>1.33</v>
      </c>
      <c r="H231" s="2">
        <v>2.25</v>
      </c>
      <c r="I231">
        <v>1025</v>
      </c>
      <c r="J231">
        <v>1065</v>
      </c>
      <c r="K231">
        <v>40</v>
      </c>
      <c r="L231" s="2">
        <f>Tabla_Esfuerzo_Ventas_Valorado[[#This Row],[Exceso Unid]]*Tabla_Esfuerzo_Ventas_Valorado[[#This Row],[CTV]]</f>
        <v>53.2</v>
      </c>
    </row>
    <row r="232" spans="1:12">
      <c r="A232" t="s">
        <v>5545</v>
      </c>
      <c r="B232" t="s">
        <v>5546</v>
      </c>
      <c r="C232" t="s">
        <v>6011</v>
      </c>
      <c r="D232" t="s">
        <v>6012</v>
      </c>
      <c r="F232" t="s">
        <v>5922</v>
      </c>
      <c r="G232" s="2">
        <v>0.45</v>
      </c>
      <c r="H232" s="2">
        <v>0.66</v>
      </c>
      <c r="I232">
        <v>1439</v>
      </c>
      <c r="J232">
        <v>1620</v>
      </c>
      <c r="K232">
        <v>181</v>
      </c>
      <c r="L232" s="2">
        <f>Tabla_Esfuerzo_Ventas_Valorado[[#This Row],[Exceso Unid]]*Tabla_Esfuerzo_Ventas_Valorado[[#This Row],[CTV]]</f>
        <v>81.45</v>
      </c>
    </row>
    <row r="233" spans="1:12">
      <c r="A233" t="s">
        <v>5545</v>
      </c>
      <c r="B233" t="s">
        <v>5546</v>
      </c>
      <c r="C233" t="s">
        <v>6013</v>
      </c>
      <c r="D233" t="s">
        <v>6014</v>
      </c>
      <c r="F233" t="s">
        <v>5922</v>
      </c>
      <c r="G233" s="2">
        <v>1.78</v>
      </c>
      <c r="H233" s="2">
        <v>2.4300000000000002</v>
      </c>
      <c r="I233">
        <v>983</v>
      </c>
      <c r="J233">
        <v>1098</v>
      </c>
      <c r="K233">
        <v>115</v>
      </c>
      <c r="L233" s="2">
        <f>Tabla_Esfuerzo_Ventas_Valorado[[#This Row],[Exceso Unid]]*Tabla_Esfuerzo_Ventas_Valorado[[#This Row],[CTV]]</f>
        <v>204.70000000000002</v>
      </c>
    </row>
    <row r="234" spans="1:12">
      <c r="A234" t="s">
        <v>5545</v>
      </c>
      <c r="B234" t="s">
        <v>5546</v>
      </c>
      <c r="C234" t="s">
        <v>6015</v>
      </c>
      <c r="D234" t="s">
        <v>6016</v>
      </c>
      <c r="F234" t="s">
        <v>5922</v>
      </c>
      <c r="G234" s="2">
        <v>1.93</v>
      </c>
      <c r="H234" s="2">
        <v>3.11</v>
      </c>
      <c r="I234">
        <v>118</v>
      </c>
      <c r="J234">
        <v>285</v>
      </c>
      <c r="K234">
        <v>167</v>
      </c>
      <c r="L234" s="2">
        <f>Tabla_Esfuerzo_Ventas_Valorado[[#This Row],[Exceso Unid]]*Tabla_Esfuerzo_Ventas_Valorado[[#This Row],[CTV]]</f>
        <v>322.31</v>
      </c>
    </row>
    <row r="235" spans="1:12">
      <c r="A235" t="s">
        <v>5545</v>
      </c>
      <c r="B235" t="s">
        <v>5546</v>
      </c>
      <c r="C235" t="s">
        <v>6017</v>
      </c>
      <c r="D235" t="s">
        <v>6018</v>
      </c>
      <c r="F235" t="s">
        <v>5922</v>
      </c>
      <c r="G235" s="2">
        <v>0.87</v>
      </c>
      <c r="H235" s="2">
        <v>1.42</v>
      </c>
      <c r="I235">
        <v>13</v>
      </c>
      <c r="J235">
        <v>833</v>
      </c>
      <c r="K235">
        <v>820</v>
      </c>
      <c r="L235" s="2">
        <f>Tabla_Esfuerzo_Ventas_Valorado[[#This Row],[Exceso Unid]]*Tabla_Esfuerzo_Ventas_Valorado[[#This Row],[CTV]]</f>
        <v>713.4</v>
      </c>
    </row>
    <row r="236" spans="1:12">
      <c r="A236" t="s">
        <v>5545</v>
      </c>
      <c r="B236" t="s">
        <v>5546</v>
      </c>
      <c r="C236" t="s">
        <v>6019</v>
      </c>
      <c r="D236" t="s">
        <v>6020</v>
      </c>
      <c r="F236" t="s">
        <v>5922</v>
      </c>
      <c r="G236" s="2">
        <v>0.92</v>
      </c>
      <c r="H236" s="2">
        <v>1.5</v>
      </c>
      <c r="I236">
        <v>312</v>
      </c>
      <c r="J236">
        <v>335</v>
      </c>
      <c r="K236">
        <v>23</v>
      </c>
      <c r="L236" s="2">
        <f>Tabla_Esfuerzo_Ventas_Valorado[[#This Row],[Exceso Unid]]*Tabla_Esfuerzo_Ventas_Valorado[[#This Row],[CTV]]</f>
        <v>21.16</v>
      </c>
    </row>
    <row r="237" spans="1:12">
      <c r="A237" t="s">
        <v>5545</v>
      </c>
      <c r="B237" t="s">
        <v>5546</v>
      </c>
      <c r="C237" t="s">
        <v>6021</v>
      </c>
      <c r="D237" t="s">
        <v>6022</v>
      </c>
      <c r="F237" t="s">
        <v>5922</v>
      </c>
      <c r="G237" s="2">
        <v>6.45</v>
      </c>
      <c r="H237" s="2">
        <v>10.55</v>
      </c>
      <c r="I237">
        <v>37</v>
      </c>
      <c r="J237">
        <v>457</v>
      </c>
      <c r="K237">
        <v>420</v>
      </c>
      <c r="L237" s="2">
        <f>Tabla_Esfuerzo_Ventas_Valorado[[#This Row],[Exceso Unid]]*Tabla_Esfuerzo_Ventas_Valorado[[#This Row],[CTV]]</f>
        <v>2709</v>
      </c>
    </row>
    <row r="238" spans="1:12">
      <c r="A238" t="s">
        <v>5545</v>
      </c>
      <c r="B238" t="s">
        <v>5546</v>
      </c>
      <c r="C238" t="s">
        <v>6023</v>
      </c>
      <c r="D238" t="s">
        <v>6024</v>
      </c>
      <c r="F238" t="s">
        <v>5922</v>
      </c>
      <c r="G238" s="2">
        <v>3.14</v>
      </c>
      <c r="H238" s="2">
        <v>5.15</v>
      </c>
      <c r="I238">
        <v>49</v>
      </c>
      <c r="J238">
        <v>94</v>
      </c>
      <c r="K238">
        <v>45</v>
      </c>
      <c r="L238" s="2">
        <f>Tabla_Esfuerzo_Ventas_Valorado[[#This Row],[Exceso Unid]]*Tabla_Esfuerzo_Ventas_Valorado[[#This Row],[CTV]]</f>
        <v>141.30000000000001</v>
      </c>
    </row>
    <row r="239" spans="1:12">
      <c r="A239" t="s">
        <v>5545</v>
      </c>
      <c r="B239" t="s">
        <v>5546</v>
      </c>
      <c r="C239" t="s">
        <v>6025</v>
      </c>
      <c r="D239" t="s">
        <v>6026</v>
      </c>
      <c r="F239" t="s">
        <v>5922</v>
      </c>
      <c r="G239" s="2">
        <v>2.48</v>
      </c>
      <c r="H239" s="2">
        <v>2.34</v>
      </c>
      <c r="I239">
        <v>1696</v>
      </c>
      <c r="J239">
        <v>5623</v>
      </c>
      <c r="K239">
        <v>3927</v>
      </c>
      <c r="L239" s="2">
        <f>Tabla_Esfuerzo_Ventas_Valorado[[#This Row],[Exceso Unid]]*Tabla_Esfuerzo_Ventas_Valorado[[#This Row],[CTV]]</f>
        <v>9738.9599999999991</v>
      </c>
    </row>
    <row r="240" spans="1:12">
      <c r="A240" t="s">
        <v>5545</v>
      </c>
      <c r="B240" t="s">
        <v>5546</v>
      </c>
      <c r="C240" t="s">
        <v>6027</v>
      </c>
      <c r="D240" t="s">
        <v>6028</v>
      </c>
      <c r="F240" t="s">
        <v>5922</v>
      </c>
      <c r="G240" s="2">
        <v>2.12</v>
      </c>
      <c r="H240" s="2">
        <v>4.03</v>
      </c>
      <c r="I240">
        <v>216</v>
      </c>
      <c r="J240">
        <v>301</v>
      </c>
      <c r="K240">
        <v>85</v>
      </c>
      <c r="L240" s="2">
        <f>Tabla_Esfuerzo_Ventas_Valorado[[#This Row],[Exceso Unid]]*Tabla_Esfuerzo_Ventas_Valorado[[#This Row],[CTV]]</f>
        <v>180.20000000000002</v>
      </c>
    </row>
    <row r="241" spans="1:12">
      <c r="A241" t="s">
        <v>5545</v>
      </c>
      <c r="B241" t="s">
        <v>5546</v>
      </c>
      <c r="C241" t="s">
        <v>6029</v>
      </c>
      <c r="D241" t="s">
        <v>6030</v>
      </c>
      <c r="F241" t="s">
        <v>5922</v>
      </c>
      <c r="G241" s="2">
        <v>4.79</v>
      </c>
      <c r="H241" s="2">
        <v>9.6999999999999993</v>
      </c>
      <c r="I241">
        <v>595</v>
      </c>
      <c r="J241">
        <v>657</v>
      </c>
      <c r="K241">
        <v>62</v>
      </c>
      <c r="L241" s="2">
        <f>Tabla_Esfuerzo_Ventas_Valorado[[#This Row],[Exceso Unid]]*Tabla_Esfuerzo_Ventas_Valorado[[#This Row],[CTV]]</f>
        <v>296.98</v>
      </c>
    </row>
    <row r="242" spans="1:12">
      <c r="A242" t="s">
        <v>5545</v>
      </c>
      <c r="B242" t="s">
        <v>5546</v>
      </c>
      <c r="C242" t="s">
        <v>6031</v>
      </c>
      <c r="D242" t="s">
        <v>6032</v>
      </c>
      <c r="F242" t="s">
        <v>5922</v>
      </c>
      <c r="G242" s="2">
        <v>5.18</v>
      </c>
      <c r="H242" s="2">
        <v>8</v>
      </c>
      <c r="I242">
        <v>138</v>
      </c>
      <c r="J242">
        <v>180</v>
      </c>
      <c r="K242">
        <v>42</v>
      </c>
      <c r="L242" s="2">
        <f>Tabla_Esfuerzo_Ventas_Valorado[[#This Row],[Exceso Unid]]*Tabla_Esfuerzo_Ventas_Valorado[[#This Row],[CTV]]</f>
        <v>217.56</v>
      </c>
    </row>
    <row r="243" spans="1:12">
      <c r="A243" t="s">
        <v>5545</v>
      </c>
      <c r="B243" t="s">
        <v>5546</v>
      </c>
      <c r="C243" t="s">
        <v>6033</v>
      </c>
      <c r="D243" t="s">
        <v>6034</v>
      </c>
      <c r="F243" t="s">
        <v>5922</v>
      </c>
      <c r="G243" s="2">
        <v>4.91</v>
      </c>
      <c r="H243" s="2">
        <v>8</v>
      </c>
      <c r="I243">
        <v>76</v>
      </c>
      <c r="J243">
        <v>116</v>
      </c>
      <c r="K243">
        <v>40</v>
      </c>
      <c r="L243" s="2">
        <f>Tabla_Esfuerzo_Ventas_Valorado[[#This Row],[Exceso Unid]]*Tabla_Esfuerzo_Ventas_Valorado[[#This Row],[CTV]]</f>
        <v>196.4</v>
      </c>
    </row>
    <row r="244" spans="1:12">
      <c r="A244" t="s">
        <v>5545</v>
      </c>
      <c r="B244" t="s">
        <v>5546</v>
      </c>
      <c r="C244" t="s">
        <v>6035</v>
      </c>
      <c r="D244" t="s">
        <v>6036</v>
      </c>
      <c r="F244" t="s">
        <v>5922</v>
      </c>
      <c r="G244" s="2">
        <v>2.5499999999999998</v>
      </c>
      <c r="H244" s="2">
        <v>5.56</v>
      </c>
      <c r="I244">
        <v>48</v>
      </c>
      <c r="J244">
        <v>111</v>
      </c>
      <c r="K244">
        <v>63</v>
      </c>
      <c r="L244" s="2">
        <f>Tabla_Esfuerzo_Ventas_Valorado[[#This Row],[Exceso Unid]]*Tabla_Esfuerzo_Ventas_Valorado[[#This Row],[CTV]]</f>
        <v>160.64999999999998</v>
      </c>
    </row>
    <row r="245" spans="1:12">
      <c r="A245" t="s">
        <v>5545</v>
      </c>
      <c r="B245" t="s">
        <v>5546</v>
      </c>
      <c r="C245" t="s">
        <v>6037</v>
      </c>
      <c r="D245" t="s">
        <v>6038</v>
      </c>
      <c r="F245" t="s">
        <v>5922</v>
      </c>
      <c r="G245" s="2">
        <v>1.08</v>
      </c>
      <c r="H245" s="2">
        <v>1.63</v>
      </c>
      <c r="I245">
        <v>106</v>
      </c>
      <c r="J245">
        <v>233</v>
      </c>
      <c r="K245">
        <v>127</v>
      </c>
      <c r="L245" s="2">
        <f>Tabla_Esfuerzo_Ventas_Valorado[[#This Row],[Exceso Unid]]*Tabla_Esfuerzo_Ventas_Valorado[[#This Row],[CTV]]</f>
        <v>137.16</v>
      </c>
    </row>
    <row r="246" spans="1:12">
      <c r="A246" t="s">
        <v>5545</v>
      </c>
      <c r="B246" t="s">
        <v>5546</v>
      </c>
      <c r="C246" t="s">
        <v>6039</v>
      </c>
      <c r="D246" t="s">
        <v>6040</v>
      </c>
      <c r="F246" t="s">
        <v>5922</v>
      </c>
      <c r="G246" s="2">
        <v>12.28</v>
      </c>
      <c r="H246" s="2">
        <v>19.71</v>
      </c>
      <c r="I246">
        <v>3</v>
      </c>
      <c r="J246">
        <v>20</v>
      </c>
      <c r="K246">
        <v>17</v>
      </c>
      <c r="L246" s="2">
        <f>Tabla_Esfuerzo_Ventas_Valorado[[#This Row],[Exceso Unid]]*Tabla_Esfuerzo_Ventas_Valorado[[#This Row],[CTV]]</f>
        <v>208.76</v>
      </c>
    </row>
    <row r="247" spans="1:12">
      <c r="A247" t="s">
        <v>5545</v>
      </c>
      <c r="B247" t="s">
        <v>5546</v>
      </c>
      <c r="C247" t="s">
        <v>6041</v>
      </c>
      <c r="D247" t="s">
        <v>6042</v>
      </c>
      <c r="F247" t="s">
        <v>5922</v>
      </c>
      <c r="G247" s="2">
        <v>0.6</v>
      </c>
      <c r="H247" s="2">
        <v>3.22</v>
      </c>
      <c r="I247">
        <v>96</v>
      </c>
      <c r="J247">
        <v>439</v>
      </c>
      <c r="K247">
        <v>343</v>
      </c>
      <c r="L247" s="2">
        <f>Tabla_Esfuerzo_Ventas_Valorado[[#This Row],[Exceso Unid]]*Tabla_Esfuerzo_Ventas_Valorado[[#This Row],[CTV]]</f>
        <v>205.79999999999998</v>
      </c>
    </row>
    <row r="248" spans="1:12">
      <c r="A248" t="s">
        <v>5545</v>
      </c>
      <c r="B248" t="s">
        <v>5546</v>
      </c>
      <c r="C248" t="s">
        <v>6043</v>
      </c>
      <c r="D248" t="s">
        <v>6044</v>
      </c>
      <c r="F248" t="s">
        <v>5922</v>
      </c>
      <c r="G248" s="2">
        <v>2.0299999999999998</v>
      </c>
      <c r="H248" s="2">
        <v>2.92</v>
      </c>
      <c r="I248">
        <v>155</v>
      </c>
      <c r="J248">
        <v>175</v>
      </c>
      <c r="K248">
        <v>20</v>
      </c>
      <c r="L248" s="2">
        <f>Tabla_Esfuerzo_Ventas_Valorado[[#This Row],[Exceso Unid]]*Tabla_Esfuerzo_Ventas_Valorado[[#This Row],[CTV]]</f>
        <v>40.599999999999994</v>
      </c>
    </row>
    <row r="249" spans="1:12">
      <c r="A249" t="s">
        <v>5545</v>
      </c>
      <c r="B249" t="s">
        <v>5546</v>
      </c>
      <c r="C249" t="s">
        <v>6045</v>
      </c>
      <c r="D249" t="s">
        <v>6046</v>
      </c>
      <c r="F249" t="s">
        <v>5922</v>
      </c>
      <c r="G249" s="2">
        <v>8.85</v>
      </c>
      <c r="H249" s="2">
        <v>16.940000000000001</v>
      </c>
      <c r="I249">
        <v>33</v>
      </c>
      <c r="J249">
        <v>147</v>
      </c>
      <c r="K249">
        <v>114</v>
      </c>
      <c r="L249" s="2">
        <f>Tabla_Esfuerzo_Ventas_Valorado[[#This Row],[Exceso Unid]]*Tabla_Esfuerzo_Ventas_Valorado[[#This Row],[CTV]]</f>
        <v>1008.9</v>
      </c>
    </row>
    <row r="250" spans="1:12">
      <c r="A250" t="s">
        <v>5545</v>
      </c>
      <c r="B250" t="s">
        <v>5546</v>
      </c>
      <c r="C250" t="s">
        <v>6047</v>
      </c>
      <c r="D250" t="s">
        <v>6048</v>
      </c>
      <c r="F250" t="s">
        <v>5922</v>
      </c>
      <c r="G250" s="2">
        <v>1.87</v>
      </c>
      <c r="H250" s="2">
        <v>2.99</v>
      </c>
      <c r="I250">
        <v>142</v>
      </c>
      <c r="J250">
        <v>373</v>
      </c>
      <c r="K250">
        <v>231</v>
      </c>
      <c r="L250" s="2">
        <f>Tabla_Esfuerzo_Ventas_Valorado[[#This Row],[Exceso Unid]]*Tabla_Esfuerzo_Ventas_Valorado[[#This Row],[CTV]]</f>
        <v>431.97</v>
      </c>
    </row>
    <row r="251" spans="1:12">
      <c r="A251" t="s">
        <v>5545</v>
      </c>
      <c r="B251" t="s">
        <v>5546</v>
      </c>
      <c r="C251" t="s">
        <v>6049</v>
      </c>
      <c r="D251" t="s">
        <v>6050</v>
      </c>
      <c r="F251" t="s">
        <v>5922</v>
      </c>
      <c r="G251" s="2">
        <v>3.09</v>
      </c>
      <c r="H251" s="2">
        <v>4.8099999999999996</v>
      </c>
      <c r="I251">
        <v>167</v>
      </c>
      <c r="J251">
        <v>937</v>
      </c>
      <c r="K251">
        <v>770</v>
      </c>
      <c r="L251" s="2">
        <f>Tabla_Esfuerzo_Ventas_Valorado[[#This Row],[Exceso Unid]]*Tabla_Esfuerzo_Ventas_Valorado[[#This Row],[CTV]]</f>
        <v>2379.2999999999997</v>
      </c>
    </row>
    <row r="252" spans="1:12">
      <c r="A252" t="s">
        <v>5545</v>
      </c>
      <c r="B252" t="s">
        <v>5546</v>
      </c>
      <c r="C252" t="s">
        <v>6051</v>
      </c>
      <c r="D252" t="s">
        <v>6052</v>
      </c>
      <c r="F252" t="s">
        <v>5922</v>
      </c>
      <c r="G252" s="2">
        <v>3.05</v>
      </c>
      <c r="H252" s="2">
        <v>5.05</v>
      </c>
      <c r="I252">
        <v>146</v>
      </c>
      <c r="J252">
        <v>357</v>
      </c>
      <c r="K252">
        <v>211</v>
      </c>
      <c r="L252" s="2">
        <f>Tabla_Esfuerzo_Ventas_Valorado[[#This Row],[Exceso Unid]]*Tabla_Esfuerzo_Ventas_Valorado[[#This Row],[CTV]]</f>
        <v>643.54999999999995</v>
      </c>
    </row>
    <row r="253" spans="1:12">
      <c r="A253" t="s">
        <v>5545</v>
      </c>
      <c r="B253" t="s">
        <v>5546</v>
      </c>
      <c r="C253" t="s">
        <v>6053</v>
      </c>
      <c r="D253" t="s">
        <v>6054</v>
      </c>
      <c r="F253" t="s">
        <v>5922</v>
      </c>
      <c r="G253" s="2">
        <v>0.3</v>
      </c>
      <c r="H253" s="2">
        <v>0.51</v>
      </c>
      <c r="I253">
        <v>382</v>
      </c>
      <c r="J253">
        <v>1655</v>
      </c>
      <c r="K253">
        <v>1273</v>
      </c>
      <c r="L253" s="2">
        <f>Tabla_Esfuerzo_Ventas_Valorado[[#This Row],[Exceso Unid]]*Tabla_Esfuerzo_Ventas_Valorado[[#This Row],[CTV]]</f>
        <v>381.9</v>
      </c>
    </row>
    <row r="254" spans="1:12">
      <c r="A254" t="s">
        <v>5545</v>
      </c>
      <c r="B254" t="s">
        <v>5546</v>
      </c>
      <c r="C254" t="s">
        <v>6055</v>
      </c>
      <c r="D254" t="s">
        <v>6056</v>
      </c>
      <c r="F254" t="s">
        <v>5922</v>
      </c>
      <c r="G254" s="2">
        <v>5.23</v>
      </c>
      <c r="H254" s="2">
        <v>8.6999999999999993</v>
      </c>
      <c r="I254">
        <v>40</v>
      </c>
      <c r="J254">
        <v>57</v>
      </c>
      <c r="K254">
        <v>17</v>
      </c>
      <c r="L254" s="2">
        <f>Tabla_Esfuerzo_Ventas_Valorado[[#This Row],[Exceso Unid]]*Tabla_Esfuerzo_Ventas_Valorado[[#This Row],[CTV]]</f>
        <v>88.910000000000011</v>
      </c>
    </row>
    <row r="255" spans="1:12">
      <c r="A255" t="s">
        <v>5545</v>
      </c>
      <c r="B255" t="s">
        <v>5546</v>
      </c>
      <c r="C255" t="s">
        <v>6057</v>
      </c>
      <c r="D255" t="s">
        <v>6058</v>
      </c>
      <c r="F255" t="s">
        <v>5922</v>
      </c>
      <c r="G255" s="2">
        <v>1.0900000000000001</v>
      </c>
      <c r="H255" s="2">
        <v>1.53</v>
      </c>
      <c r="I255">
        <v>578</v>
      </c>
      <c r="J255">
        <v>814</v>
      </c>
      <c r="K255">
        <v>236</v>
      </c>
      <c r="L255" s="2">
        <f>Tabla_Esfuerzo_Ventas_Valorado[[#This Row],[Exceso Unid]]*Tabla_Esfuerzo_Ventas_Valorado[[#This Row],[CTV]]</f>
        <v>257.24</v>
      </c>
    </row>
    <row r="256" spans="1:12">
      <c r="A256" t="s">
        <v>5545</v>
      </c>
      <c r="B256" t="s">
        <v>5546</v>
      </c>
      <c r="C256" t="s">
        <v>6059</v>
      </c>
      <c r="D256" t="s">
        <v>6060</v>
      </c>
      <c r="F256" t="s">
        <v>5922</v>
      </c>
      <c r="G256" s="2">
        <v>0.79</v>
      </c>
      <c r="H256" s="2">
        <v>1.18</v>
      </c>
      <c r="I256">
        <v>833</v>
      </c>
      <c r="J256">
        <v>950</v>
      </c>
      <c r="K256">
        <v>117</v>
      </c>
      <c r="L256" s="2">
        <f>Tabla_Esfuerzo_Ventas_Valorado[[#This Row],[Exceso Unid]]*Tabla_Esfuerzo_Ventas_Valorado[[#This Row],[CTV]]</f>
        <v>92.43</v>
      </c>
    </row>
    <row r="257" spans="1:12">
      <c r="A257" t="s">
        <v>5545</v>
      </c>
      <c r="B257" t="s">
        <v>5546</v>
      </c>
      <c r="C257" t="s">
        <v>6061</v>
      </c>
      <c r="D257" t="s">
        <v>6062</v>
      </c>
      <c r="F257" t="s">
        <v>5922</v>
      </c>
      <c r="G257" s="2">
        <v>0.99</v>
      </c>
      <c r="H257" s="2">
        <v>1.39</v>
      </c>
      <c r="I257">
        <v>607</v>
      </c>
      <c r="J257">
        <v>895</v>
      </c>
      <c r="K257">
        <v>288</v>
      </c>
      <c r="L257" s="2">
        <f>Tabla_Esfuerzo_Ventas_Valorado[[#This Row],[Exceso Unid]]*Tabla_Esfuerzo_Ventas_Valorado[[#This Row],[CTV]]</f>
        <v>285.12</v>
      </c>
    </row>
    <row r="258" spans="1:12">
      <c r="A258" t="s">
        <v>5545</v>
      </c>
      <c r="B258" t="s">
        <v>5546</v>
      </c>
      <c r="C258" t="s">
        <v>6063</v>
      </c>
      <c r="D258" t="s">
        <v>6064</v>
      </c>
      <c r="F258" t="s">
        <v>5922</v>
      </c>
      <c r="G258" s="2">
        <v>0.69</v>
      </c>
      <c r="H258" s="2">
        <v>0.99</v>
      </c>
      <c r="I258">
        <v>437</v>
      </c>
      <c r="J258">
        <v>535</v>
      </c>
      <c r="K258">
        <v>98</v>
      </c>
      <c r="L258" s="2">
        <f>Tabla_Esfuerzo_Ventas_Valorado[[#This Row],[Exceso Unid]]*Tabla_Esfuerzo_Ventas_Valorado[[#This Row],[CTV]]</f>
        <v>67.61999999999999</v>
      </c>
    </row>
    <row r="259" spans="1:12">
      <c r="A259" t="s">
        <v>5545</v>
      </c>
      <c r="B259" t="s">
        <v>5546</v>
      </c>
      <c r="C259" t="s">
        <v>6065</v>
      </c>
      <c r="D259" t="s">
        <v>6066</v>
      </c>
      <c r="F259" t="s">
        <v>5922</v>
      </c>
      <c r="G259" s="2">
        <v>0.84</v>
      </c>
      <c r="H259" s="2">
        <v>1.4</v>
      </c>
      <c r="I259">
        <v>3</v>
      </c>
      <c r="J259">
        <v>250</v>
      </c>
      <c r="K259">
        <v>247</v>
      </c>
      <c r="L259" s="2">
        <f>Tabla_Esfuerzo_Ventas_Valorado[[#This Row],[Exceso Unid]]*Tabla_Esfuerzo_Ventas_Valorado[[#This Row],[CTV]]</f>
        <v>207.48</v>
      </c>
    </row>
    <row r="260" spans="1:12">
      <c r="A260" t="s">
        <v>5545</v>
      </c>
      <c r="B260" t="s">
        <v>5546</v>
      </c>
      <c r="C260" t="s">
        <v>6067</v>
      </c>
      <c r="D260" t="s">
        <v>6068</v>
      </c>
      <c r="F260" t="s">
        <v>5922</v>
      </c>
      <c r="G260" s="2">
        <v>2.92</v>
      </c>
      <c r="H260" s="2">
        <v>4.5</v>
      </c>
      <c r="I260">
        <v>523</v>
      </c>
      <c r="J260">
        <v>1469</v>
      </c>
      <c r="K260">
        <v>946</v>
      </c>
      <c r="L260" s="2">
        <f>Tabla_Esfuerzo_Ventas_Valorado[[#This Row],[Exceso Unid]]*Tabla_Esfuerzo_Ventas_Valorado[[#This Row],[CTV]]</f>
        <v>2762.3199999999997</v>
      </c>
    </row>
    <row r="261" spans="1:12">
      <c r="A261" t="s">
        <v>5545</v>
      </c>
      <c r="B261" t="s">
        <v>5546</v>
      </c>
      <c r="C261" t="s">
        <v>6069</v>
      </c>
      <c r="D261" t="s">
        <v>6070</v>
      </c>
      <c r="F261" t="s">
        <v>5922</v>
      </c>
      <c r="G261" s="2">
        <v>3.43</v>
      </c>
      <c r="H261" s="2">
        <v>4.5999999999999996</v>
      </c>
      <c r="I261">
        <v>87</v>
      </c>
      <c r="J261">
        <v>111</v>
      </c>
      <c r="K261">
        <v>24</v>
      </c>
      <c r="L261" s="2">
        <f>Tabla_Esfuerzo_Ventas_Valorado[[#This Row],[Exceso Unid]]*Tabla_Esfuerzo_Ventas_Valorado[[#This Row],[CTV]]</f>
        <v>82.320000000000007</v>
      </c>
    </row>
    <row r="262" spans="1:12">
      <c r="A262" t="s">
        <v>5545</v>
      </c>
      <c r="B262" t="s">
        <v>5546</v>
      </c>
      <c r="C262" t="s">
        <v>6071</v>
      </c>
      <c r="D262" t="s">
        <v>6072</v>
      </c>
      <c r="F262" t="s">
        <v>5922</v>
      </c>
      <c r="G262" s="2">
        <v>1.3</v>
      </c>
      <c r="H262" s="2">
        <v>2.25</v>
      </c>
      <c r="I262">
        <v>325</v>
      </c>
      <c r="J262">
        <v>679</v>
      </c>
      <c r="K262">
        <v>354</v>
      </c>
      <c r="L262" s="2">
        <f>Tabla_Esfuerzo_Ventas_Valorado[[#This Row],[Exceso Unid]]*Tabla_Esfuerzo_Ventas_Valorado[[#This Row],[CTV]]</f>
        <v>460.2</v>
      </c>
    </row>
    <row r="263" spans="1:12">
      <c r="A263" t="s">
        <v>5545</v>
      </c>
      <c r="B263" t="s">
        <v>5546</v>
      </c>
      <c r="C263" t="s">
        <v>6073</v>
      </c>
      <c r="D263" t="s">
        <v>6074</v>
      </c>
      <c r="F263" t="s">
        <v>5922</v>
      </c>
      <c r="G263" s="2">
        <v>6.29</v>
      </c>
      <c r="H263" s="2">
        <v>8.6300000000000008</v>
      </c>
      <c r="I263">
        <v>123</v>
      </c>
      <c r="J263">
        <v>180</v>
      </c>
      <c r="K263">
        <v>57</v>
      </c>
      <c r="L263" s="2">
        <f>Tabla_Esfuerzo_Ventas_Valorado[[#This Row],[Exceso Unid]]*Tabla_Esfuerzo_Ventas_Valorado[[#This Row],[CTV]]</f>
        <v>358.53000000000003</v>
      </c>
    </row>
    <row r="264" spans="1:12">
      <c r="A264" t="s">
        <v>5545</v>
      </c>
      <c r="B264" t="s">
        <v>5546</v>
      </c>
      <c r="C264" t="s">
        <v>6075</v>
      </c>
      <c r="D264" t="s">
        <v>6076</v>
      </c>
      <c r="F264" t="s">
        <v>5922</v>
      </c>
      <c r="G264" s="2">
        <v>1.59</v>
      </c>
      <c r="H264" s="2">
        <v>2.79</v>
      </c>
      <c r="I264">
        <v>66</v>
      </c>
      <c r="J264">
        <v>220</v>
      </c>
      <c r="K264">
        <v>154</v>
      </c>
      <c r="L264" s="2">
        <f>Tabla_Esfuerzo_Ventas_Valorado[[#This Row],[Exceso Unid]]*Tabla_Esfuerzo_Ventas_Valorado[[#This Row],[CTV]]</f>
        <v>244.86</v>
      </c>
    </row>
    <row r="265" spans="1:12">
      <c r="A265" t="s">
        <v>5545</v>
      </c>
      <c r="B265" t="s">
        <v>5546</v>
      </c>
      <c r="C265" t="s">
        <v>6077</v>
      </c>
      <c r="D265" t="s">
        <v>6078</v>
      </c>
      <c r="F265" t="s">
        <v>5922</v>
      </c>
      <c r="G265" s="2">
        <v>1.57</v>
      </c>
      <c r="H265" s="2">
        <v>2.63</v>
      </c>
      <c r="I265">
        <v>382</v>
      </c>
      <c r="J265">
        <v>851</v>
      </c>
      <c r="K265">
        <v>469</v>
      </c>
      <c r="L265" s="2">
        <f>Tabla_Esfuerzo_Ventas_Valorado[[#This Row],[Exceso Unid]]*Tabla_Esfuerzo_Ventas_Valorado[[#This Row],[CTV]]</f>
        <v>736.33</v>
      </c>
    </row>
    <row r="266" spans="1:12">
      <c r="A266" t="s">
        <v>5545</v>
      </c>
      <c r="B266" t="s">
        <v>5546</v>
      </c>
      <c r="C266" t="s">
        <v>6079</v>
      </c>
      <c r="D266" t="s">
        <v>6080</v>
      </c>
      <c r="F266" t="s">
        <v>5922</v>
      </c>
      <c r="G266" s="2">
        <v>1.1599999999999999</v>
      </c>
      <c r="H266" s="2">
        <v>1.77</v>
      </c>
      <c r="I266">
        <v>108</v>
      </c>
      <c r="J266">
        <v>288</v>
      </c>
      <c r="K266">
        <v>180</v>
      </c>
      <c r="L266" s="2">
        <f>Tabla_Esfuerzo_Ventas_Valorado[[#This Row],[Exceso Unid]]*Tabla_Esfuerzo_Ventas_Valorado[[#This Row],[CTV]]</f>
        <v>208.79999999999998</v>
      </c>
    </row>
    <row r="267" spans="1:12">
      <c r="A267" t="s">
        <v>5545</v>
      </c>
      <c r="B267" t="s">
        <v>5546</v>
      </c>
      <c r="C267" t="s">
        <v>6081</v>
      </c>
      <c r="D267" t="s">
        <v>6082</v>
      </c>
      <c r="F267" t="s">
        <v>5922</v>
      </c>
      <c r="G267" s="2">
        <v>2.41</v>
      </c>
      <c r="H267" s="2">
        <v>2.87</v>
      </c>
      <c r="I267">
        <v>122</v>
      </c>
      <c r="J267">
        <v>414</v>
      </c>
      <c r="K267">
        <v>292</v>
      </c>
      <c r="L267" s="2">
        <f>Tabla_Esfuerzo_Ventas_Valorado[[#This Row],[Exceso Unid]]*Tabla_Esfuerzo_Ventas_Valorado[[#This Row],[CTV]]</f>
        <v>703.72</v>
      </c>
    </row>
    <row r="268" spans="1:12">
      <c r="A268" t="s">
        <v>5545</v>
      </c>
      <c r="B268" t="s">
        <v>5546</v>
      </c>
      <c r="C268" t="s">
        <v>6083</v>
      </c>
      <c r="D268" t="s">
        <v>6084</v>
      </c>
      <c r="F268" t="s">
        <v>5922</v>
      </c>
      <c r="G268" s="2">
        <v>2.0299999999999998</v>
      </c>
      <c r="H268" s="2">
        <v>2.63</v>
      </c>
      <c r="I268">
        <v>158</v>
      </c>
      <c r="J268">
        <v>250</v>
      </c>
      <c r="K268">
        <v>92</v>
      </c>
      <c r="L268" s="2">
        <f>Tabla_Esfuerzo_Ventas_Valorado[[#This Row],[Exceso Unid]]*Tabla_Esfuerzo_Ventas_Valorado[[#This Row],[CTV]]</f>
        <v>186.76</v>
      </c>
    </row>
    <row r="269" spans="1:12">
      <c r="A269" t="s">
        <v>5545</v>
      </c>
      <c r="B269" t="s">
        <v>5546</v>
      </c>
      <c r="C269" t="s">
        <v>6085</v>
      </c>
      <c r="D269" t="s">
        <v>6086</v>
      </c>
      <c r="F269" t="s">
        <v>5922</v>
      </c>
      <c r="G269" s="2">
        <v>2.41</v>
      </c>
      <c r="H269" s="2">
        <v>2.82</v>
      </c>
      <c r="I269">
        <v>63</v>
      </c>
      <c r="J269">
        <v>477</v>
      </c>
      <c r="K269">
        <v>414</v>
      </c>
      <c r="L269" s="2">
        <f>Tabla_Esfuerzo_Ventas_Valorado[[#This Row],[Exceso Unid]]*Tabla_Esfuerzo_Ventas_Valorado[[#This Row],[CTV]]</f>
        <v>997.74</v>
      </c>
    </row>
    <row r="270" spans="1:12">
      <c r="A270" t="s">
        <v>5545</v>
      </c>
      <c r="B270" t="s">
        <v>5546</v>
      </c>
      <c r="C270" t="s">
        <v>6087</v>
      </c>
      <c r="D270" t="s">
        <v>6088</v>
      </c>
      <c r="F270" t="s">
        <v>5922</v>
      </c>
      <c r="G270" s="2">
        <v>0.54</v>
      </c>
      <c r="H270" s="2">
        <v>0.86</v>
      </c>
      <c r="I270">
        <v>583</v>
      </c>
      <c r="J270">
        <v>2413</v>
      </c>
      <c r="K270">
        <v>1830</v>
      </c>
      <c r="L270" s="2">
        <f>Tabla_Esfuerzo_Ventas_Valorado[[#This Row],[Exceso Unid]]*Tabla_Esfuerzo_Ventas_Valorado[[#This Row],[CTV]]</f>
        <v>988.2</v>
      </c>
    </row>
    <row r="271" spans="1:12">
      <c r="A271" t="s">
        <v>5545</v>
      </c>
      <c r="B271" t="s">
        <v>5546</v>
      </c>
      <c r="C271" t="s">
        <v>6089</v>
      </c>
      <c r="D271" t="s">
        <v>6090</v>
      </c>
      <c r="F271" t="s">
        <v>5922</v>
      </c>
      <c r="G271" s="2">
        <v>1.34</v>
      </c>
      <c r="H271" s="2">
        <v>2.17</v>
      </c>
      <c r="I271">
        <v>828</v>
      </c>
      <c r="J271">
        <v>1306</v>
      </c>
      <c r="K271">
        <v>478</v>
      </c>
      <c r="L271" s="2">
        <f>Tabla_Esfuerzo_Ventas_Valorado[[#This Row],[Exceso Unid]]*Tabla_Esfuerzo_Ventas_Valorado[[#This Row],[CTV]]</f>
        <v>640.52</v>
      </c>
    </row>
    <row r="272" spans="1:12">
      <c r="A272" t="s">
        <v>5545</v>
      </c>
      <c r="B272" t="s">
        <v>5546</v>
      </c>
      <c r="C272" t="s">
        <v>6091</v>
      </c>
      <c r="D272" t="s">
        <v>6092</v>
      </c>
      <c r="F272" t="s">
        <v>5922</v>
      </c>
      <c r="G272" s="2">
        <v>0.28000000000000003</v>
      </c>
      <c r="H272" s="2">
        <v>0.4</v>
      </c>
      <c r="I272">
        <v>312</v>
      </c>
      <c r="J272">
        <v>2614</v>
      </c>
      <c r="K272">
        <v>2302</v>
      </c>
      <c r="L272" s="2">
        <f>Tabla_Esfuerzo_Ventas_Valorado[[#This Row],[Exceso Unid]]*Tabla_Esfuerzo_Ventas_Valorado[[#This Row],[CTV]]</f>
        <v>644.56000000000006</v>
      </c>
    </row>
    <row r="273" spans="1:12">
      <c r="A273" t="s">
        <v>5545</v>
      </c>
      <c r="B273" t="s">
        <v>5546</v>
      </c>
      <c r="C273" t="s">
        <v>6093</v>
      </c>
      <c r="D273" t="s">
        <v>6094</v>
      </c>
      <c r="F273" t="s">
        <v>5922</v>
      </c>
      <c r="G273" s="2">
        <v>5.56</v>
      </c>
      <c r="H273" s="2">
        <v>9.48</v>
      </c>
      <c r="I273">
        <v>38</v>
      </c>
      <c r="J273">
        <v>111</v>
      </c>
      <c r="K273">
        <v>73</v>
      </c>
      <c r="L273" s="2">
        <f>Tabla_Esfuerzo_Ventas_Valorado[[#This Row],[Exceso Unid]]*Tabla_Esfuerzo_Ventas_Valorado[[#This Row],[CTV]]</f>
        <v>405.88</v>
      </c>
    </row>
    <row r="274" spans="1:12">
      <c r="A274" t="s">
        <v>5545</v>
      </c>
      <c r="B274" t="s">
        <v>5546</v>
      </c>
      <c r="C274" t="s">
        <v>6095</v>
      </c>
      <c r="D274" t="s">
        <v>6096</v>
      </c>
      <c r="F274" t="s">
        <v>5922</v>
      </c>
      <c r="G274" s="2">
        <v>2.78</v>
      </c>
      <c r="H274" s="2">
        <v>4.62</v>
      </c>
      <c r="I274">
        <v>50</v>
      </c>
      <c r="J274">
        <v>102</v>
      </c>
      <c r="K274">
        <v>52</v>
      </c>
      <c r="L274" s="2">
        <f>Tabla_Esfuerzo_Ventas_Valorado[[#This Row],[Exceso Unid]]*Tabla_Esfuerzo_Ventas_Valorado[[#This Row],[CTV]]</f>
        <v>144.56</v>
      </c>
    </row>
    <row r="275" spans="1:12">
      <c r="A275" t="s">
        <v>5545</v>
      </c>
      <c r="B275" t="s">
        <v>5546</v>
      </c>
      <c r="C275" t="s">
        <v>6097</v>
      </c>
      <c r="D275" t="s">
        <v>6098</v>
      </c>
      <c r="F275" t="s">
        <v>5922</v>
      </c>
      <c r="G275" s="2">
        <v>1.46</v>
      </c>
      <c r="H275" s="2">
        <v>2.11</v>
      </c>
      <c r="I275">
        <v>50</v>
      </c>
      <c r="J275">
        <v>251</v>
      </c>
      <c r="K275">
        <v>201</v>
      </c>
      <c r="L275" s="2">
        <f>Tabla_Esfuerzo_Ventas_Valorado[[#This Row],[Exceso Unid]]*Tabla_Esfuerzo_Ventas_Valorado[[#This Row],[CTV]]</f>
        <v>293.45999999999998</v>
      </c>
    </row>
    <row r="276" spans="1:12">
      <c r="A276" t="s">
        <v>5545</v>
      </c>
      <c r="B276" t="s">
        <v>5546</v>
      </c>
      <c r="C276" t="s">
        <v>6099</v>
      </c>
      <c r="D276" t="s">
        <v>6100</v>
      </c>
      <c r="F276" t="s">
        <v>5922</v>
      </c>
      <c r="G276" s="2">
        <v>2.27</v>
      </c>
      <c r="H276" s="2">
        <v>3.78</v>
      </c>
      <c r="I276">
        <v>326</v>
      </c>
      <c r="J276">
        <v>822</v>
      </c>
      <c r="K276">
        <v>496</v>
      </c>
      <c r="L276" s="2">
        <f>Tabla_Esfuerzo_Ventas_Valorado[[#This Row],[Exceso Unid]]*Tabla_Esfuerzo_Ventas_Valorado[[#This Row],[CTV]]</f>
        <v>1125.92</v>
      </c>
    </row>
    <row r="277" spans="1:12">
      <c r="A277" t="s">
        <v>5545</v>
      </c>
      <c r="B277" t="s">
        <v>5546</v>
      </c>
      <c r="C277" t="s">
        <v>6101</v>
      </c>
      <c r="D277" t="s">
        <v>6102</v>
      </c>
      <c r="F277" t="s">
        <v>5922</v>
      </c>
      <c r="G277" s="2">
        <v>1.19</v>
      </c>
      <c r="H277" s="2">
        <v>1.91</v>
      </c>
      <c r="I277">
        <v>293</v>
      </c>
      <c r="J277">
        <v>764</v>
      </c>
      <c r="K277">
        <v>471</v>
      </c>
      <c r="L277" s="2">
        <f>Tabla_Esfuerzo_Ventas_Valorado[[#This Row],[Exceso Unid]]*Tabla_Esfuerzo_Ventas_Valorado[[#This Row],[CTV]]</f>
        <v>560.49</v>
      </c>
    </row>
    <row r="278" spans="1:12">
      <c r="A278" t="s">
        <v>5545</v>
      </c>
      <c r="B278" t="s">
        <v>5546</v>
      </c>
      <c r="C278" t="s">
        <v>6103</v>
      </c>
      <c r="D278" t="s">
        <v>6104</v>
      </c>
      <c r="F278" t="s">
        <v>5922</v>
      </c>
      <c r="G278" s="2">
        <v>1.19</v>
      </c>
      <c r="H278" s="2">
        <v>1.91</v>
      </c>
      <c r="I278">
        <v>280</v>
      </c>
      <c r="J278">
        <v>753</v>
      </c>
      <c r="K278">
        <v>473</v>
      </c>
      <c r="L278" s="2">
        <f>Tabla_Esfuerzo_Ventas_Valorado[[#This Row],[Exceso Unid]]*Tabla_Esfuerzo_Ventas_Valorado[[#This Row],[CTV]]</f>
        <v>562.87</v>
      </c>
    </row>
    <row r="279" spans="1:12">
      <c r="A279" t="s">
        <v>5545</v>
      </c>
      <c r="B279" t="s">
        <v>5546</v>
      </c>
      <c r="C279" t="s">
        <v>6105</v>
      </c>
      <c r="D279" t="s">
        <v>6106</v>
      </c>
      <c r="F279" t="s">
        <v>5922</v>
      </c>
      <c r="G279" s="2">
        <v>1.19</v>
      </c>
      <c r="H279" s="2">
        <v>2.0699999999999998</v>
      </c>
      <c r="I279">
        <v>189</v>
      </c>
      <c r="J279">
        <v>342</v>
      </c>
      <c r="K279">
        <v>153</v>
      </c>
      <c r="L279" s="2">
        <f>Tabla_Esfuerzo_Ventas_Valorado[[#This Row],[Exceso Unid]]*Tabla_Esfuerzo_Ventas_Valorado[[#This Row],[CTV]]</f>
        <v>182.07</v>
      </c>
    </row>
    <row r="280" spans="1:12">
      <c r="A280" t="s">
        <v>5545</v>
      </c>
      <c r="B280" t="s">
        <v>5546</v>
      </c>
      <c r="C280" t="s">
        <v>6107</v>
      </c>
      <c r="D280" t="s">
        <v>6108</v>
      </c>
      <c r="F280" t="s">
        <v>5922</v>
      </c>
      <c r="G280" s="2">
        <v>0.06</v>
      </c>
      <c r="H280" s="2">
        <v>0.28000000000000003</v>
      </c>
      <c r="I280">
        <v>3361</v>
      </c>
      <c r="J280">
        <v>4290</v>
      </c>
      <c r="K280">
        <v>929</v>
      </c>
      <c r="L280" s="2">
        <f>Tabla_Esfuerzo_Ventas_Valorado[[#This Row],[Exceso Unid]]*Tabla_Esfuerzo_Ventas_Valorado[[#This Row],[CTV]]</f>
        <v>55.739999999999995</v>
      </c>
    </row>
    <row r="281" spans="1:12">
      <c r="A281" t="s">
        <v>5545</v>
      </c>
      <c r="B281" t="s">
        <v>5546</v>
      </c>
      <c r="C281" t="s">
        <v>6109</v>
      </c>
      <c r="D281" t="s">
        <v>6110</v>
      </c>
      <c r="F281" t="s">
        <v>5922</v>
      </c>
      <c r="G281" s="2">
        <v>0.12</v>
      </c>
      <c r="H281" s="2">
        <v>0.2</v>
      </c>
      <c r="I281">
        <v>960</v>
      </c>
      <c r="J281">
        <v>1570</v>
      </c>
      <c r="K281">
        <v>610</v>
      </c>
      <c r="L281" s="2">
        <f>Tabla_Esfuerzo_Ventas_Valorado[[#This Row],[Exceso Unid]]*Tabla_Esfuerzo_Ventas_Valorado[[#This Row],[CTV]]</f>
        <v>73.2</v>
      </c>
    </row>
    <row r="282" spans="1:12">
      <c r="A282" t="s">
        <v>5545</v>
      </c>
      <c r="B282" t="s">
        <v>5546</v>
      </c>
      <c r="C282" t="s">
        <v>6111</v>
      </c>
      <c r="D282" t="s">
        <v>6112</v>
      </c>
      <c r="F282" t="s">
        <v>5922</v>
      </c>
      <c r="G282" s="2">
        <v>3.23</v>
      </c>
      <c r="H282" s="2">
        <v>5.2</v>
      </c>
      <c r="I282">
        <v>59</v>
      </c>
      <c r="J282">
        <v>83</v>
      </c>
      <c r="K282">
        <v>24</v>
      </c>
      <c r="L282" s="2">
        <f>Tabla_Esfuerzo_Ventas_Valorado[[#This Row],[Exceso Unid]]*Tabla_Esfuerzo_Ventas_Valorado[[#This Row],[CTV]]</f>
        <v>77.52</v>
      </c>
    </row>
    <row r="283" spans="1:12">
      <c r="A283" t="s">
        <v>5545</v>
      </c>
      <c r="B283" t="s">
        <v>5546</v>
      </c>
      <c r="C283" t="s">
        <v>6113</v>
      </c>
      <c r="D283" t="s">
        <v>6114</v>
      </c>
      <c r="F283" t="s">
        <v>5922</v>
      </c>
      <c r="G283" s="2">
        <v>1</v>
      </c>
      <c r="H283" s="2">
        <v>5.56</v>
      </c>
      <c r="I283">
        <v>65</v>
      </c>
      <c r="J283">
        <v>86</v>
      </c>
      <c r="K283">
        <v>21</v>
      </c>
      <c r="L283" s="2">
        <f>Tabla_Esfuerzo_Ventas_Valorado[[#This Row],[Exceso Unid]]*Tabla_Esfuerzo_Ventas_Valorado[[#This Row],[CTV]]</f>
        <v>21</v>
      </c>
    </row>
    <row r="284" spans="1:12">
      <c r="A284" t="s">
        <v>5545</v>
      </c>
      <c r="B284" t="s">
        <v>5546</v>
      </c>
      <c r="C284" t="s">
        <v>6115</v>
      </c>
      <c r="D284" t="s">
        <v>6116</v>
      </c>
      <c r="F284" t="s">
        <v>5922</v>
      </c>
      <c r="G284" s="2">
        <v>9.2899999999999991</v>
      </c>
      <c r="H284" s="2">
        <v>14.15</v>
      </c>
      <c r="I284">
        <v>56</v>
      </c>
      <c r="J284">
        <v>121</v>
      </c>
      <c r="K284">
        <v>65</v>
      </c>
      <c r="L284" s="2">
        <f>Tabla_Esfuerzo_Ventas_Valorado[[#This Row],[Exceso Unid]]*Tabla_Esfuerzo_Ventas_Valorado[[#This Row],[CTV]]</f>
        <v>603.84999999999991</v>
      </c>
    </row>
    <row r="285" spans="1:12">
      <c r="A285" t="s">
        <v>5545</v>
      </c>
      <c r="B285" t="s">
        <v>5546</v>
      </c>
      <c r="C285" t="s">
        <v>6117</v>
      </c>
      <c r="D285" t="s">
        <v>6118</v>
      </c>
      <c r="F285" t="s">
        <v>5922</v>
      </c>
      <c r="G285" s="2">
        <v>9.14</v>
      </c>
      <c r="H285" s="2">
        <v>14</v>
      </c>
      <c r="I285">
        <v>44</v>
      </c>
      <c r="J285">
        <v>132</v>
      </c>
      <c r="K285">
        <v>88</v>
      </c>
      <c r="L285" s="2">
        <f>Tabla_Esfuerzo_Ventas_Valorado[[#This Row],[Exceso Unid]]*Tabla_Esfuerzo_Ventas_Valorado[[#This Row],[CTV]]</f>
        <v>804.32</v>
      </c>
    </row>
    <row r="286" spans="1:12">
      <c r="A286" t="s">
        <v>5545</v>
      </c>
      <c r="B286" t="s">
        <v>5546</v>
      </c>
      <c r="C286" t="s">
        <v>6119</v>
      </c>
      <c r="D286" t="s">
        <v>6120</v>
      </c>
      <c r="F286" t="s">
        <v>5922</v>
      </c>
      <c r="G286" s="2">
        <v>1.1399999999999999</v>
      </c>
      <c r="H286" s="2">
        <v>1.89</v>
      </c>
      <c r="I286">
        <v>130</v>
      </c>
      <c r="J286">
        <v>199</v>
      </c>
      <c r="K286">
        <v>69</v>
      </c>
      <c r="L286" s="2">
        <f>Tabla_Esfuerzo_Ventas_Valorado[[#This Row],[Exceso Unid]]*Tabla_Esfuerzo_Ventas_Valorado[[#This Row],[CTV]]</f>
        <v>78.66</v>
      </c>
    </row>
    <row r="287" spans="1:12">
      <c r="A287" t="s">
        <v>5545</v>
      </c>
      <c r="B287" t="s">
        <v>5546</v>
      </c>
      <c r="C287" t="s">
        <v>6121</v>
      </c>
      <c r="D287" t="s">
        <v>6122</v>
      </c>
      <c r="F287" t="s">
        <v>6123</v>
      </c>
      <c r="G287" s="2">
        <v>18.670000000000002</v>
      </c>
      <c r="H287" s="2">
        <v>27.06</v>
      </c>
      <c r="I287">
        <v>76</v>
      </c>
      <c r="J287">
        <v>92</v>
      </c>
      <c r="K287">
        <v>16</v>
      </c>
      <c r="L287" s="2">
        <f>Tabla_Esfuerzo_Ventas_Valorado[[#This Row],[Exceso Unid]]*Tabla_Esfuerzo_Ventas_Valorado[[#This Row],[CTV]]</f>
        <v>298.72000000000003</v>
      </c>
    </row>
  </sheetData>
  <conditionalFormatting sqref="L2:L287">
    <cfRule type="dataBar" priority="5">
      <dataBar>
        <cfvo type="min" val="0"/>
        <cfvo type="max" val="0"/>
        <color rgb="FFFF555A"/>
      </dataBar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H3488"/>
  <sheetViews>
    <sheetView showGridLines="0" zoomScale="85" zoomScaleNormal="85" workbookViewId="0">
      <selection activeCell="C10" sqref="C10"/>
    </sheetView>
  </sheetViews>
  <sheetFormatPr baseColWidth="10" defaultRowHeight="15"/>
  <cols>
    <col min="1" max="1" width="21.7109375" bestFit="1" customWidth="1"/>
    <col min="2" max="2" width="27.5703125" bestFit="1" customWidth="1"/>
    <col min="3" max="3" width="81.140625" bestFit="1" customWidth="1"/>
    <col min="4" max="4" width="59.28515625" bestFit="1" customWidth="1"/>
    <col min="5" max="5" width="15.28515625" bestFit="1" customWidth="1"/>
    <col min="6" max="6" width="10.7109375" bestFit="1" customWidth="1"/>
    <col min="7" max="7" width="13.5703125" bestFit="1" customWidth="1"/>
    <col min="8" max="8" width="15.42578125" bestFit="1" customWidth="1"/>
  </cols>
  <sheetData>
    <row r="1" spans="1:8">
      <c r="A1" t="s">
        <v>24</v>
      </c>
      <c r="B1" t="s">
        <v>17</v>
      </c>
      <c r="C1" t="s">
        <v>18</v>
      </c>
      <c r="D1" t="s">
        <v>22</v>
      </c>
      <c r="E1" t="s">
        <v>23</v>
      </c>
      <c r="F1" t="s">
        <v>19</v>
      </c>
      <c r="G1" t="s">
        <v>20</v>
      </c>
      <c r="H1" t="s">
        <v>21</v>
      </c>
    </row>
    <row r="2" spans="1:8">
      <c r="A2" t="s">
        <v>3299</v>
      </c>
      <c r="B2" t="s">
        <v>29</v>
      </c>
      <c r="C2" t="s">
        <v>30</v>
      </c>
      <c r="D2" t="s">
        <v>618</v>
      </c>
      <c r="E2" t="s">
        <v>626</v>
      </c>
      <c r="F2" s="2">
        <v>6.9470000000000001</v>
      </c>
      <c r="G2">
        <v>10</v>
      </c>
      <c r="H2" s="2">
        <f>Tabla_Items_Inactivos[[#This Row],[EXISTENCIA]]*Tabla_Items_Inactivos[[#This Row],[COSTO]]</f>
        <v>69.47</v>
      </c>
    </row>
    <row r="3" spans="1:8">
      <c r="A3" t="s">
        <v>3300</v>
      </c>
      <c r="B3" t="s">
        <v>32</v>
      </c>
      <c r="C3" t="s">
        <v>33</v>
      </c>
      <c r="D3" t="s">
        <v>31</v>
      </c>
      <c r="E3" t="s">
        <v>1931</v>
      </c>
      <c r="F3" s="2">
        <v>0.6</v>
      </c>
      <c r="G3">
        <v>5</v>
      </c>
      <c r="H3" s="2">
        <f>Tabla_Items_Inactivos[[#This Row],[EXISTENCIA]]*Tabla_Items_Inactivos[[#This Row],[COSTO]]</f>
        <v>3</v>
      </c>
    </row>
    <row r="4" spans="1:8">
      <c r="A4" t="s">
        <v>3300</v>
      </c>
      <c r="B4" t="s">
        <v>34</v>
      </c>
      <c r="C4" t="s">
        <v>35</v>
      </c>
      <c r="D4" t="s">
        <v>31</v>
      </c>
      <c r="E4" t="s">
        <v>1931</v>
      </c>
      <c r="F4" s="2">
        <v>4.92</v>
      </c>
      <c r="G4">
        <v>1</v>
      </c>
      <c r="H4" s="2">
        <f>Tabla_Items_Inactivos[[#This Row],[EXISTENCIA]]*Tabla_Items_Inactivos[[#This Row],[COSTO]]</f>
        <v>4.92</v>
      </c>
    </row>
    <row r="5" spans="1:8">
      <c r="A5" t="s">
        <v>3300</v>
      </c>
      <c r="B5" t="s">
        <v>36</v>
      </c>
      <c r="C5" t="s">
        <v>37</v>
      </c>
      <c r="D5" t="s">
        <v>31</v>
      </c>
      <c r="E5" t="s">
        <v>1931</v>
      </c>
      <c r="F5" s="2">
        <v>0.72</v>
      </c>
      <c r="G5">
        <v>2</v>
      </c>
      <c r="H5" s="2">
        <f>Tabla_Items_Inactivos[[#This Row],[EXISTENCIA]]*Tabla_Items_Inactivos[[#This Row],[COSTO]]</f>
        <v>1.44</v>
      </c>
    </row>
    <row r="6" spans="1:8">
      <c r="A6" t="s">
        <v>3300</v>
      </c>
      <c r="B6" t="s">
        <v>38</v>
      </c>
      <c r="C6" t="s">
        <v>39</v>
      </c>
      <c r="D6" t="s">
        <v>31</v>
      </c>
      <c r="E6" t="s">
        <v>1931</v>
      </c>
      <c r="F6" s="2">
        <v>0.39</v>
      </c>
      <c r="G6">
        <v>4</v>
      </c>
      <c r="H6" s="2">
        <f>Tabla_Items_Inactivos[[#This Row],[EXISTENCIA]]*Tabla_Items_Inactivos[[#This Row],[COSTO]]</f>
        <v>1.56</v>
      </c>
    </row>
    <row r="7" spans="1:8">
      <c r="A7" t="s">
        <v>3300</v>
      </c>
      <c r="B7" t="s">
        <v>40</v>
      </c>
      <c r="C7" t="s">
        <v>41</v>
      </c>
      <c r="D7" t="s">
        <v>31</v>
      </c>
      <c r="E7" t="s">
        <v>1931</v>
      </c>
      <c r="F7" s="2">
        <v>1.65</v>
      </c>
      <c r="G7">
        <v>2</v>
      </c>
      <c r="H7" s="2">
        <f>Tabla_Items_Inactivos[[#This Row],[EXISTENCIA]]*Tabla_Items_Inactivos[[#This Row],[COSTO]]</f>
        <v>3.3</v>
      </c>
    </row>
    <row r="8" spans="1:8">
      <c r="A8" t="s">
        <v>3300</v>
      </c>
      <c r="B8" t="s">
        <v>42</v>
      </c>
      <c r="C8" t="s">
        <v>43</v>
      </c>
      <c r="D8" t="s">
        <v>31</v>
      </c>
      <c r="E8" t="s">
        <v>1931</v>
      </c>
      <c r="F8" s="2">
        <v>26.587</v>
      </c>
      <c r="G8">
        <v>2</v>
      </c>
      <c r="H8" s="2">
        <f>Tabla_Items_Inactivos[[#This Row],[EXISTENCIA]]*Tabla_Items_Inactivos[[#This Row],[COSTO]]</f>
        <v>53.173999999999999</v>
      </c>
    </row>
    <row r="9" spans="1:8">
      <c r="A9" t="s">
        <v>3300</v>
      </c>
      <c r="B9" t="s">
        <v>44</v>
      </c>
      <c r="C9" t="s">
        <v>45</v>
      </c>
      <c r="D9" t="s">
        <v>31</v>
      </c>
      <c r="E9" t="s">
        <v>1931</v>
      </c>
      <c r="F9" s="2">
        <v>673.23</v>
      </c>
      <c r="G9">
        <v>1</v>
      </c>
      <c r="H9" s="2">
        <f>Tabla_Items_Inactivos[[#This Row],[EXISTENCIA]]*Tabla_Items_Inactivos[[#This Row],[COSTO]]</f>
        <v>673.23</v>
      </c>
    </row>
    <row r="10" spans="1:8">
      <c r="A10" t="s">
        <v>3300</v>
      </c>
      <c r="B10" t="s">
        <v>46</v>
      </c>
      <c r="C10" t="s">
        <v>47</v>
      </c>
      <c r="D10" t="s">
        <v>31</v>
      </c>
      <c r="E10" t="s">
        <v>1931</v>
      </c>
      <c r="F10" s="2">
        <v>250</v>
      </c>
      <c r="G10">
        <v>1</v>
      </c>
      <c r="H10" s="2">
        <f>Tabla_Items_Inactivos[[#This Row],[EXISTENCIA]]*Tabla_Items_Inactivos[[#This Row],[COSTO]]</f>
        <v>250</v>
      </c>
    </row>
    <row r="11" spans="1:8">
      <c r="A11" t="s">
        <v>3300</v>
      </c>
      <c r="B11" t="s">
        <v>48</v>
      </c>
      <c r="C11" t="s">
        <v>49</v>
      </c>
      <c r="D11" t="s">
        <v>31</v>
      </c>
      <c r="E11" t="s">
        <v>1931</v>
      </c>
      <c r="F11" s="2">
        <v>150</v>
      </c>
      <c r="G11">
        <v>1</v>
      </c>
      <c r="H11" s="2">
        <f>Tabla_Items_Inactivos[[#This Row],[EXISTENCIA]]*Tabla_Items_Inactivos[[#This Row],[COSTO]]</f>
        <v>150</v>
      </c>
    </row>
    <row r="12" spans="1:8">
      <c r="A12" t="s">
        <v>3300</v>
      </c>
      <c r="B12" t="s">
        <v>50</v>
      </c>
      <c r="C12" t="s">
        <v>51</v>
      </c>
      <c r="D12" t="s">
        <v>31</v>
      </c>
      <c r="E12" t="s">
        <v>1931</v>
      </c>
      <c r="F12" s="2">
        <v>150</v>
      </c>
      <c r="G12">
        <v>1</v>
      </c>
      <c r="H12" s="2">
        <f>Tabla_Items_Inactivos[[#This Row],[EXISTENCIA]]*Tabla_Items_Inactivos[[#This Row],[COSTO]]</f>
        <v>150</v>
      </c>
    </row>
    <row r="13" spans="1:8">
      <c r="A13" t="s">
        <v>3300</v>
      </c>
      <c r="B13" t="s">
        <v>52</v>
      </c>
      <c r="C13" t="s">
        <v>53</v>
      </c>
      <c r="D13" t="s">
        <v>31</v>
      </c>
      <c r="E13" t="s">
        <v>1931</v>
      </c>
      <c r="F13" s="2">
        <v>30</v>
      </c>
      <c r="G13">
        <v>1</v>
      </c>
      <c r="H13" s="2">
        <f>Tabla_Items_Inactivos[[#This Row],[EXISTENCIA]]*Tabla_Items_Inactivos[[#This Row],[COSTO]]</f>
        <v>30</v>
      </c>
    </row>
    <row r="14" spans="1:8">
      <c r="A14" t="s">
        <v>3301</v>
      </c>
      <c r="B14" t="s">
        <v>3302</v>
      </c>
      <c r="C14" t="s">
        <v>3303</v>
      </c>
      <c r="D14" t="s">
        <v>3304</v>
      </c>
      <c r="E14" t="s">
        <v>1931</v>
      </c>
      <c r="F14" s="2">
        <v>93.86</v>
      </c>
      <c r="G14">
        <v>3</v>
      </c>
      <c r="H14" s="2">
        <f>Tabla_Items_Inactivos[[#This Row],[EXISTENCIA]]*Tabla_Items_Inactivos[[#This Row],[COSTO]]</f>
        <v>281.58</v>
      </c>
    </row>
    <row r="15" spans="1:8">
      <c r="A15" t="s">
        <v>3300</v>
      </c>
      <c r="B15" t="s">
        <v>54</v>
      </c>
      <c r="C15" t="s">
        <v>55</v>
      </c>
      <c r="D15" t="s">
        <v>31</v>
      </c>
      <c r="E15" t="s">
        <v>1931</v>
      </c>
      <c r="F15" s="2">
        <v>0.89</v>
      </c>
      <c r="G15">
        <v>11</v>
      </c>
      <c r="H15" s="2">
        <f>Tabla_Items_Inactivos[[#This Row],[EXISTENCIA]]*Tabla_Items_Inactivos[[#This Row],[COSTO]]</f>
        <v>9.7900000000000009</v>
      </c>
    </row>
    <row r="16" spans="1:8">
      <c r="A16" t="s">
        <v>3300</v>
      </c>
      <c r="B16" t="s">
        <v>56</v>
      </c>
      <c r="C16" t="s">
        <v>57</v>
      </c>
      <c r="D16" t="s">
        <v>31</v>
      </c>
      <c r="E16" t="s">
        <v>1931</v>
      </c>
      <c r="F16" s="2">
        <v>1.2090000000000001</v>
      </c>
      <c r="G16">
        <v>18</v>
      </c>
      <c r="H16" s="2">
        <f>Tabla_Items_Inactivos[[#This Row],[EXISTENCIA]]*Tabla_Items_Inactivos[[#This Row],[COSTO]]</f>
        <v>21.762</v>
      </c>
    </row>
    <row r="17" spans="1:8">
      <c r="A17" t="s">
        <v>3300</v>
      </c>
      <c r="B17" t="s">
        <v>58</v>
      </c>
      <c r="C17" t="s">
        <v>59</v>
      </c>
      <c r="D17" t="s">
        <v>31</v>
      </c>
      <c r="E17" t="s">
        <v>1931</v>
      </c>
      <c r="F17" s="2">
        <v>0.34</v>
      </c>
      <c r="G17">
        <v>28</v>
      </c>
      <c r="H17" s="2">
        <f>Tabla_Items_Inactivos[[#This Row],[EXISTENCIA]]*Tabla_Items_Inactivos[[#This Row],[COSTO]]</f>
        <v>9.5200000000000014</v>
      </c>
    </row>
    <row r="18" spans="1:8">
      <c r="A18" t="s">
        <v>3300</v>
      </c>
      <c r="B18" t="s">
        <v>60</v>
      </c>
      <c r="C18" t="s">
        <v>61</v>
      </c>
      <c r="D18" t="s">
        <v>31</v>
      </c>
      <c r="E18" t="s">
        <v>1931</v>
      </c>
      <c r="F18" s="2">
        <v>0.44600000000000001</v>
      </c>
      <c r="G18">
        <v>28</v>
      </c>
      <c r="H18" s="2">
        <f>Tabla_Items_Inactivos[[#This Row],[EXISTENCIA]]*Tabla_Items_Inactivos[[#This Row],[COSTO]]</f>
        <v>12.488</v>
      </c>
    </row>
    <row r="19" spans="1:8">
      <c r="A19" t="s">
        <v>3300</v>
      </c>
      <c r="B19" t="s">
        <v>62</v>
      </c>
      <c r="C19" t="s">
        <v>63</v>
      </c>
      <c r="D19" t="s">
        <v>31</v>
      </c>
      <c r="E19" t="s">
        <v>1931</v>
      </c>
      <c r="F19" s="2">
        <v>1.208</v>
      </c>
      <c r="G19">
        <v>22</v>
      </c>
      <c r="H19" s="2">
        <f>Tabla_Items_Inactivos[[#This Row],[EXISTENCIA]]*Tabla_Items_Inactivos[[#This Row],[COSTO]]</f>
        <v>26.576000000000001</v>
      </c>
    </row>
    <row r="20" spans="1:8">
      <c r="A20" t="s">
        <v>3300</v>
      </c>
      <c r="B20" t="s">
        <v>64</v>
      </c>
      <c r="C20" t="s">
        <v>65</v>
      </c>
      <c r="D20" t="s">
        <v>31</v>
      </c>
      <c r="E20" t="s">
        <v>1931</v>
      </c>
      <c r="F20" s="2">
        <v>0.59699999999999998</v>
      </c>
      <c r="G20">
        <v>402</v>
      </c>
      <c r="H20" s="2">
        <f>Tabla_Items_Inactivos[[#This Row],[EXISTENCIA]]*Tabla_Items_Inactivos[[#This Row],[COSTO]]</f>
        <v>239.994</v>
      </c>
    </row>
    <row r="21" spans="1:8">
      <c r="A21" t="s">
        <v>3300</v>
      </c>
      <c r="B21" t="s">
        <v>66</v>
      </c>
      <c r="C21" t="s">
        <v>67</v>
      </c>
      <c r="D21" t="s">
        <v>31</v>
      </c>
      <c r="E21" t="s">
        <v>1931</v>
      </c>
      <c r="F21" s="2">
        <v>0.72</v>
      </c>
      <c r="G21">
        <v>3</v>
      </c>
      <c r="H21" s="2">
        <f>Tabla_Items_Inactivos[[#This Row],[EXISTENCIA]]*Tabla_Items_Inactivos[[#This Row],[COSTO]]</f>
        <v>2.16</v>
      </c>
    </row>
    <row r="22" spans="1:8">
      <c r="A22" t="s">
        <v>3300</v>
      </c>
      <c r="B22" t="s">
        <v>68</v>
      </c>
      <c r="C22" t="s">
        <v>69</v>
      </c>
      <c r="D22" t="s">
        <v>31</v>
      </c>
      <c r="E22" t="s">
        <v>1931</v>
      </c>
      <c r="F22" s="2">
        <v>0.5</v>
      </c>
      <c r="G22">
        <v>2</v>
      </c>
      <c r="H22" s="2">
        <f>Tabla_Items_Inactivos[[#This Row],[EXISTENCIA]]*Tabla_Items_Inactivos[[#This Row],[COSTO]]</f>
        <v>1</v>
      </c>
    </row>
    <row r="23" spans="1:8">
      <c r="A23" t="s">
        <v>3300</v>
      </c>
      <c r="B23" t="s">
        <v>70</v>
      </c>
      <c r="C23" t="s">
        <v>71</v>
      </c>
      <c r="D23" t="s">
        <v>31</v>
      </c>
      <c r="E23" t="s">
        <v>1931</v>
      </c>
      <c r="F23" s="2">
        <v>9.7240000000000002</v>
      </c>
      <c r="G23">
        <v>5</v>
      </c>
      <c r="H23" s="2">
        <f>Tabla_Items_Inactivos[[#This Row],[EXISTENCIA]]*Tabla_Items_Inactivos[[#This Row],[COSTO]]</f>
        <v>48.620000000000005</v>
      </c>
    </row>
    <row r="24" spans="1:8">
      <c r="A24" t="s">
        <v>3300</v>
      </c>
      <c r="B24" t="s">
        <v>72</v>
      </c>
      <c r="C24" t="s">
        <v>73</v>
      </c>
      <c r="D24" t="s">
        <v>31</v>
      </c>
      <c r="E24" t="s">
        <v>1931</v>
      </c>
      <c r="F24" s="2">
        <v>51.39</v>
      </c>
      <c r="G24">
        <v>1</v>
      </c>
      <c r="H24" s="2">
        <f>Tabla_Items_Inactivos[[#This Row],[EXISTENCIA]]*Tabla_Items_Inactivos[[#This Row],[COSTO]]</f>
        <v>51.39</v>
      </c>
    </row>
    <row r="25" spans="1:8">
      <c r="A25" t="s">
        <v>3300</v>
      </c>
      <c r="B25" t="s">
        <v>74</v>
      </c>
      <c r="C25" t="s">
        <v>75</v>
      </c>
      <c r="D25" t="s">
        <v>31</v>
      </c>
      <c r="E25" t="s">
        <v>1931</v>
      </c>
      <c r="F25" s="2">
        <v>30.7</v>
      </c>
      <c r="G25">
        <v>8</v>
      </c>
      <c r="H25" s="2">
        <f>Tabla_Items_Inactivos[[#This Row],[EXISTENCIA]]*Tabla_Items_Inactivos[[#This Row],[COSTO]]</f>
        <v>245.6</v>
      </c>
    </row>
    <row r="26" spans="1:8">
      <c r="A26" t="s">
        <v>3300</v>
      </c>
      <c r="B26" t="s">
        <v>76</v>
      </c>
      <c r="C26" t="s">
        <v>77</v>
      </c>
      <c r="D26" t="s">
        <v>31</v>
      </c>
      <c r="E26" t="s">
        <v>1931</v>
      </c>
      <c r="F26" s="2">
        <v>0.36499999999999999</v>
      </c>
      <c r="G26">
        <v>22</v>
      </c>
      <c r="H26" s="2">
        <f>Tabla_Items_Inactivos[[#This Row],[EXISTENCIA]]*Tabla_Items_Inactivos[[#This Row],[COSTO]]</f>
        <v>8.0299999999999994</v>
      </c>
    </row>
    <row r="27" spans="1:8">
      <c r="A27" t="s">
        <v>3300</v>
      </c>
      <c r="B27" t="s">
        <v>78</v>
      </c>
      <c r="C27" t="s">
        <v>79</v>
      </c>
      <c r="D27" t="s">
        <v>31</v>
      </c>
      <c r="E27" t="s">
        <v>1931</v>
      </c>
      <c r="F27" s="2">
        <v>0.75</v>
      </c>
      <c r="G27">
        <v>24</v>
      </c>
      <c r="H27" s="2">
        <f>Tabla_Items_Inactivos[[#This Row],[EXISTENCIA]]*Tabla_Items_Inactivos[[#This Row],[COSTO]]</f>
        <v>18</v>
      </c>
    </row>
    <row r="28" spans="1:8">
      <c r="A28" t="s">
        <v>3300</v>
      </c>
      <c r="B28" t="s">
        <v>80</v>
      </c>
      <c r="C28" t="s">
        <v>81</v>
      </c>
      <c r="D28" t="s">
        <v>31</v>
      </c>
      <c r="E28" t="s">
        <v>1931</v>
      </c>
      <c r="F28" s="2">
        <v>0.05</v>
      </c>
      <c r="G28">
        <v>6</v>
      </c>
      <c r="H28" s="2">
        <f>Tabla_Items_Inactivos[[#This Row],[EXISTENCIA]]*Tabla_Items_Inactivos[[#This Row],[COSTO]]</f>
        <v>0.30000000000000004</v>
      </c>
    </row>
    <row r="29" spans="1:8">
      <c r="A29" t="s">
        <v>3300</v>
      </c>
      <c r="B29" t="s">
        <v>82</v>
      </c>
      <c r="C29" t="s">
        <v>83</v>
      </c>
      <c r="D29" t="s">
        <v>31</v>
      </c>
      <c r="E29" t="s">
        <v>1931</v>
      </c>
      <c r="F29" s="2">
        <v>2.5000000000000001E-2</v>
      </c>
      <c r="G29">
        <v>6</v>
      </c>
      <c r="H29" s="2">
        <f>Tabla_Items_Inactivos[[#This Row],[EXISTENCIA]]*Tabla_Items_Inactivos[[#This Row],[COSTO]]</f>
        <v>0.15000000000000002</v>
      </c>
    </row>
    <row r="30" spans="1:8">
      <c r="A30" t="s">
        <v>3300</v>
      </c>
      <c r="B30" t="s">
        <v>84</v>
      </c>
      <c r="C30" t="s">
        <v>3305</v>
      </c>
      <c r="D30" t="s">
        <v>85</v>
      </c>
      <c r="E30" t="s">
        <v>86</v>
      </c>
      <c r="F30" s="2">
        <v>2.3769999999999998</v>
      </c>
      <c r="G30">
        <v>35</v>
      </c>
      <c r="H30" s="2">
        <f>Tabla_Items_Inactivos[[#This Row],[EXISTENCIA]]*Tabla_Items_Inactivos[[#This Row],[COSTO]]</f>
        <v>83.194999999999993</v>
      </c>
    </row>
    <row r="31" spans="1:8">
      <c r="A31" t="s">
        <v>3301</v>
      </c>
      <c r="B31" t="s">
        <v>3306</v>
      </c>
      <c r="C31" t="s">
        <v>3307</v>
      </c>
      <c r="D31" t="s">
        <v>3304</v>
      </c>
      <c r="E31" t="s">
        <v>1931</v>
      </c>
      <c r="F31" s="2">
        <v>146.35</v>
      </c>
      <c r="G31">
        <v>2</v>
      </c>
      <c r="H31" s="2">
        <f>Tabla_Items_Inactivos[[#This Row],[EXISTENCIA]]*Tabla_Items_Inactivos[[#This Row],[COSTO]]</f>
        <v>292.7</v>
      </c>
    </row>
    <row r="32" spans="1:8">
      <c r="A32" t="s">
        <v>3300</v>
      </c>
      <c r="B32" t="s">
        <v>3308</v>
      </c>
      <c r="C32" t="s">
        <v>3309</v>
      </c>
      <c r="D32" t="s">
        <v>85</v>
      </c>
      <c r="E32" t="s">
        <v>86</v>
      </c>
      <c r="F32" s="2">
        <v>3.5999999999999997E-2</v>
      </c>
      <c r="G32">
        <v>9</v>
      </c>
      <c r="H32" s="2">
        <f>Tabla_Items_Inactivos[[#This Row],[EXISTENCIA]]*Tabla_Items_Inactivos[[#This Row],[COSTO]]</f>
        <v>0.32399999999999995</v>
      </c>
    </row>
    <row r="33" spans="1:8">
      <c r="A33" t="s">
        <v>3300</v>
      </c>
      <c r="B33" t="s">
        <v>3310</v>
      </c>
      <c r="C33" t="s">
        <v>3311</v>
      </c>
      <c r="D33" t="s">
        <v>31</v>
      </c>
      <c r="E33" t="s">
        <v>1931</v>
      </c>
      <c r="F33" s="2">
        <v>2.3E-2</v>
      </c>
      <c r="G33">
        <v>46</v>
      </c>
      <c r="H33" s="2">
        <f>Tabla_Items_Inactivos[[#This Row],[EXISTENCIA]]*Tabla_Items_Inactivos[[#This Row],[COSTO]]</f>
        <v>1.0580000000000001</v>
      </c>
    </row>
    <row r="34" spans="1:8">
      <c r="A34" t="s">
        <v>3300</v>
      </c>
      <c r="B34" t="s">
        <v>3312</v>
      </c>
      <c r="C34" t="s">
        <v>3313</v>
      </c>
      <c r="D34" t="s">
        <v>85</v>
      </c>
      <c r="E34" t="s">
        <v>86</v>
      </c>
      <c r="F34" s="2">
        <v>5.1999999999999998E-2</v>
      </c>
      <c r="G34">
        <v>12</v>
      </c>
      <c r="H34" s="2">
        <f>Tabla_Items_Inactivos[[#This Row],[EXISTENCIA]]*Tabla_Items_Inactivos[[#This Row],[COSTO]]</f>
        <v>0.624</v>
      </c>
    </row>
    <row r="35" spans="1:8">
      <c r="A35" t="s">
        <v>3300</v>
      </c>
      <c r="B35" t="s">
        <v>2661</v>
      </c>
      <c r="C35" t="s">
        <v>2662</v>
      </c>
      <c r="D35" t="s">
        <v>31</v>
      </c>
      <c r="E35" t="s">
        <v>1931</v>
      </c>
      <c r="F35" s="2">
        <v>3.2000000000000001E-2</v>
      </c>
      <c r="G35">
        <v>181</v>
      </c>
      <c r="H35" s="2">
        <f>Tabla_Items_Inactivos[[#This Row],[EXISTENCIA]]*Tabla_Items_Inactivos[[#This Row],[COSTO]]</f>
        <v>5.7919999999999998</v>
      </c>
    </row>
    <row r="36" spans="1:8">
      <c r="A36" t="s">
        <v>3300</v>
      </c>
      <c r="B36" t="s">
        <v>2663</v>
      </c>
      <c r="C36" t="s">
        <v>2664</v>
      </c>
      <c r="D36" t="s">
        <v>31</v>
      </c>
      <c r="E36" t="s">
        <v>1931</v>
      </c>
      <c r="F36" s="2">
        <v>6.4000000000000001E-2</v>
      </c>
      <c r="G36">
        <v>79</v>
      </c>
      <c r="H36" s="2">
        <f>Tabla_Items_Inactivos[[#This Row],[EXISTENCIA]]*Tabla_Items_Inactivos[[#This Row],[COSTO]]</f>
        <v>5.056</v>
      </c>
    </row>
    <row r="37" spans="1:8">
      <c r="A37" t="s">
        <v>3301</v>
      </c>
      <c r="B37" t="s">
        <v>3314</v>
      </c>
      <c r="C37" t="s">
        <v>3315</v>
      </c>
      <c r="D37" t="s">
        <v>3179</v>
      </c>
      <c r="E37" t="s">
        <v>125</v>
      </c>
      <c r="F37" s="2">
        <v>230</v>
      </c>
      <c r="G37">
        <v>1</v>
      </c>
      <c r="H37" s="2">
        <f>Tabla_Items_Inactivos[[#This Row],[EXISTENCIA]]*Tabla_Items_Inactivos[[#This Row],[COSTO]]</f>
        <v>230</v>
      </c>
    </row>
    <row r="38" spans="1:8">
      <c r="A38" t="s">
        <v>3301</v>
      </c>
      <c r="B38" t="s">
        <v>3316</v>
      </c>
      <c r="C38" t="s">
        <v>3317</v>
      </c>
      <c r="D38" t="s">
        <v>2574</v>
      </c>
      <c r="E38" t="s">
        <v>125</v>
      </c>
      <c r="F38" s="2">
        <v>0</v>
      </c>
      <c r="G38">
        <v>1</v>
      </c>
      <c r="H38" s="2">
        <f>Tabla_Items_Inactivos[[#This Row],[EXISTENCIA]]*Tabla_Items_Inactivos[[#This Row],[COSTO]]</f>
        <v>0</v>
      </c>
    </row>
    <row r="39" spans="1:8">
      <c r="A39" t="s">
        <v>3300</v>
      </c>
      <c r="B39" t="s">
        <v>87</v>
      </c>
      <c r="C39" t="s">
        <v>88</v>
      </c>
      <c r="D39" t="s">
        <v>89</v>
      </c>
      <c r="E39" t="s">
        <v>86</v>
      </c>
      <c r="F39" s="2">
        <v>132.91</v>
      </c>
      <c r="G39">
        <v>3</v>
      </c>
      <c r="H39" s="2">
        <f>Tabla_Items_Inactivos[[#This Row],[EXISTENCIA]]*Tabla_Items_Inactivos[[#This Row],[COSTO]]</f>
        <v>398.73</v>
      </c>
    </row>
    <row r="40" spans="1:8">
      <c r="A40" t="s">
        <v>3300</v>
      </c>
      <c r="B40" t="s">
        <v>90</v>
      </c>
      <c r="C40" t="s">
        <v>91</v>
      </c>
      <c r="D40" t="s">
        <v>89</v>
      </c>
      <c r="E40" t="s">
        <v>86</v>
      </c>
      <c r="F40" s="2">
        <v>132.91</v>
      </c>
      <c r="G40">
        <v>1</v>
      </c>
      <c r="H40" s="2">
        <f>Tabla_Items_Inactivos[[#This Row],[EXISTENCIA]]*Tabla_Items_Inactivos[[#This Row],[COSTO]]</f>
        <v>132.91</v>
      </c>
    </row>
    <row r="41" spans="1:8">
      <c r="A41" t="s">
        <v>3300</v>
      </c>
      <c r="B41" t="s">
        <v>92</v>
      </c>
      <c r="C41" t="s">
        <v>93</v>
      </c>
      <c r="D41" t="s">
        <v>31</v>
      </c>
      <c r="E41" t="s">
        <v>1931</v>
      </c>
      <c r="F41" s="2">
        <v>136.5</v>
      </c>
      <c r="G41">
        <v>2</v>
      </c>
      <c r="H41" s="2">
        <f>Tabla_Items_Inactivos[[#This Row],[EXISTENCIA]]*Tabla_Items_Inactivos[[#This Row],[COSTO]]</f>
        <v>273</v>
      </c>
    </row>
    <row r="42" spans="1:8">
      <c r="A42" t="s">
        <v>3300</v>
      </c>
      <c r="B42" t="s">
        <v>94</v>
      </c>
      <c r="C42" t="s">
        <v>95</v>
      </c>
      <c r="D42" t="s">
        <v>31</v>
      </c>
      <c r="E42" t="s">
        <v>1931</v>
      </c>
      <c r="F42" s="2">
        <v>373.37</v>
      </c>
      <c r="G42">
        <v>1</v>
      </c>
      <c r="H42" s="2">
        <f>Tabla_Items_Inactivos[[#This Row],[EXISTENCIA]]*Tabla_Items_Inactivos[[#This Row],[COSTO]]</f>
        <v>373.37</v>
      </c>
    </row>
    <row r="43" spans="1:8">
      <c r="A43" t="s">
        <v>3300</v>
      </c>
      <c r="B43" t="s">
        <v>96</v>
      </c>
      <c r="C43" t="s">
        <v>97</v>
      </c>
      <c r="D43" t="s">
        <v>3318</v>
      </c>
      <c r="E43" t="s">
        <v>1931</v>
      </c>
      <c r="F43" s="2">
        <v>57.79</v>
      </c>
      <c r="G43">
        <v>2</v>
      </c>
      <c r="H43" s="2">
        <f>Tabla_Items_Inactivos[[#This Row],[EXISTENCIA]]*Tabla_Items_Inactivos[[#This Row],[COSTO]]</f>
        <v>115.58</v>
      </c>
    </row>
    <row r="44" spans="1:8">
      <c r="A44" t="s">
        <v>3300</v>
      </c>
      <c r="B44" t="s">
        <v>3319</v>
      </c>
      <c r="C44" t="s">
        <v>3320</v>
      </c>
      <c r="D44" t="s">
        <v>3321</v>
      </c>
      <c r="E44" t="s">
        <v>86</v>
      </c>
      <c r="F44" s="2">
        <v>0</v>
      </c>
      <c r="G44">
        <v>1</v>
      </c>
      <c r="H44" s="2">
        <f>Tabla_Items_Inactivos[[#This Row],[EXISTENCIA]]*Tabla_Items_Inactivos[[#This Row],[COSTO]]</f>
        <v>0</v>
      </c>
    </row>
    <row r="45" spans="1:8">
      <c r="A45" t="s">
        <v>3300</v>
      </c>
      <c r="B45" t="s">
        <v>3322</v>
      </c>
      <c r="C45" t="s">
        <v>3323</v>
      </c>
      <c r="D45" t="s">
        <v>3324</v>
      </c>
      <c r="E45" t="s">
        <v>86</v>
      </c>
      <c r="F45" s="2">
        <v>0</v>
      </c>
      <c r="G45">
        <v>4</v>
      </c>
      <c r="H45" s="2">
        <f>Tabla_Items_Inactivos[[#This Row],[EXISTENCIA]]*Tabla_Items_Inactivos[[#This Row],[COSTO]]</f>
        <v>0</v>
      </c>
    </row>
    <row r="46" spans="1:8">
      <c r="A46" t="s">
        <v>3300</v>
      </c>
      <c r="B46" t="s">
        <v>3325</v>
      </c>
      <c r="C46" t="s">
        <v>3326</v>
      </c>
      <c r="D46" t="s">
        <v>3324</v>
      </c>
      <c r="E46" t="s">
        <v>86</v>
      </c>
      <c r="F46" s="2">
        <v>0</v>
      </c>
      <c r="G46">
        <v>6</v>
      </c>
      <c r="H46" s="2">
        <f>Tabla_Items_Inactivos[[#This Row],[EXISTENCIA]]*Tabla_Items_Inactivos[[#This Row],[COSTO]]</f>
        <v>0</v>
      </c>
    </row>
    <row r="47" spans="1:8">
      <c r="A47" t="s">
        <v>3300</v>
      </c>
      <c r="B47" t="s">
        <v>3327</v>
      </c>
      <c r="C47" t="s">
        <v>3328</v>
      </c>
      <c r="D47" t="s">
        <v>3324</v>
      </c>
      <c r="E47" t="s">
        <v>86</v>
      </c>
      <c r="F47" s="2">
        <v>0</v>
      </c>
      <c r="G47">
        <v>4</v>
      </c>
      <c r="H47" s="2">
        <f>Tabla_Items_Inactivos[[#This Row],[EXISTENCIA]]*Tabla_Items_Inactivos[[#This Row],[COSTO]]</f>
        <v>0</v>
      </c>
    </row>
    <row r="48" spans="1:8">
      <c r="A48" t="s">
        <v>3300</v>
      </c>
      <c r="B48" t="s">
        <v>3329</v>
      </c>
      <c r="C48" t="s">
        <v>3330</v>
      </c>
      <c r="D48" t="s">
        <v>3324</v>
      </c>
      <c r="E48" t="s">
        <v>86</v>
      </c>
      <c r="F48" s="2">
        <v>0</v>
      </c>
      <c r="G48">
        <v>1</v>
      </c>
      <c r="H48" s="2">
        <f>Tabla_Items_Inactivos[[#This Row],[EXISTENCIA]]*Tabla_Items_Inactivos[[#This Row],[COSTO]]</f>
        <v>0</v>
      </c>
    </row>
    <row r="49" spans="1:8">
      <c r="A49" t="s">
        <v>3300</v>
      </c>
      <c r="B49" t="s">
        <v>3331</v>
      </c>
      <c r="C49" t="s">
        <v>3332</v>
      </c>
      <c r="D49" t="s">
        <v>3321</v>
      </c>
      <c r="E49" t="s">
        <v>86</v>
      </c>
      <c r="F49" s="2">
        <v>0</v>
      </c>
      <c r="G49">
        <v>1</v>
      </c>
      <c r="H49" s="2">
        <f>Tabla_Items_Inactivos[[#This Row],[EXISTENCIA]]*Tabla_Items_Inactivos[[#This Row],[COSTO]]</f>
        <v>0</v>
      </c>
    </row>
    <row r="50" spans="1:8">
      <c r="A50" t="s">
        <v>3300</v>
      </c>
      <c r="B50" t="s">
        <v>3333</v>
      </c>
      <c r="C50" t="s">
        <v>3334</v>
      </c>
      <c r="D50" t="s">
        <v>85</v>
      </c>
      <c r="E50" t="s">
        <v>86</v>
      </c>
      <c r="F50" s="2">
        <v>0</v>
      </c>
      <c r="G50">
        <v>1</v>
      </c>
      <c r="H50" s="2">
        <f>Tabla_Items_Inactivos[[#This Row],[EXISTENCIA]]*Tabla_Items_Inactivos[[#This Row],[COSTO]]</f>
        <v>0</v>
      </c>
    </row>
    <row r="51" spans="1:8">
      <c r="A51" t="s">
        <v>3300</v>
      </c>
      <c r="B51" t="s">
        <v>3335</v>
      </c>
      <c r="C51" t="s">
        <v>3336</v>
      </c>
      <c r="D51" t="s">
        <v>85</v>
      </c>
      <c r="E51" t="s">
        <v>86</v>
      </c>
      <c r="F51" s="2">
        <v>0</v>
      </c>
      <c r="G51">
        <v>1</v>
      </c>
      <c r="H51" s="2">
        <f>Tabla_Items_Inactivos[[#This Row],[EXISTENCIA]]*Tabla_Items_Inactivos[[#This Row],[COSTO]]</f>
        <v>0</v>
      </c>
    </row>
    <row r="52" spans="1:8">
      <c r="A52" t="s">
        <v>3300</v>
      </c>
      <c r="B52" t="s">
        <v>3337</v>
      </c>
      <c r="C52" t="s">
        <v>3338</v>
      </c>
      <c r="D52" t="s">
        <v>85</v>
      </c>
      <c r="E52" t="s">
        <v>86</v>
      </c>
      <c r="F52" s="2">
        <v>0</v>
      </c>
      <c r="G52">
        <v>1</v>
      </c>
      <c r="H52" s="2">
        <f>Tabla_Items_Inactivos[[#This Row],[EXISTENCIA]]*Tabla_Items_Inactivos[[#This Row],[COSTO]]</f>
        <v>0</v>
      </c>
    </row>
    <row r="53" spans="1:8">
      <c r="A53" t="s">
        <v>3300</v>
      </c>
      <c r="B53" t="s">
        <v>3339</v>
      </c>
      <c r="C53" t="s">
        <v>3340</v>
      </c>
      <c r="D53" t="s">
        <v>31</v>
      </c>
      <c r="E53" t="s">
        <v>31</v>
      </c>
      <c r="F53" s="2">
        <v>0</v>
      </c>
      <c r="G53">
        <v>1</v>
      </c>
      <c r="H53" s="2">
        <f>Tabla_Items_Inactivos[[#This Row],[EXISTENCIA]]*Tabla_Items_Inactivos[[#This Row],[COSTO]]</f>
        <v>0</v>
      </c>
    </row>
    <row r="54" spans="1:8">
      <c r="A54" t="s">
        <v>3300</v>
      </c>
      <c r="B54" t="s">
        <v>3341</v>
      </c>
      <c r="C54" t="s">
        <v>3342</v>
      </c>
      <c r="D54" t="s">
        <v>3324</v>
      </c>
      <c r="E54" t="s">
        <v>86</v>
      </c>
      <c r="F54" s="2">
        <v>0</v>
      </c>
      <c r="G54">
        <v>1</v>
      </c>
      <c r="H54" s="2">
        <f>Tabla_Items_Inactivos[[#This Row],[EXISTENCIA]]*Tabla_Items_Inactivos[[#This Row],[COSTO]]</f>
        <v>0</v>
      </c>
    </row>
    <row r="55" spans="1:8">
      <c r="A55" t="s">
        <v>3300</v>
      </c>
      <c r="B55" t="s">
        <v>3343</v>
      </c>
      <c r="C55" t="s">
        <v>3344</v>
      </c>
      <c r="D55" t="s">
        <v>3324</v>
      </c>
      <c r="E55" t="s">
        <v>86</v>
      </c>
      <c r="F55" s="2">
        <v>0</v>
      </c>
      <c r="G55">
        <v>5</v>
      </c>
      <c r="H55" s="2">
        <f>Tabla_Items_Inactivos[[#This Row],[EXISTENCIA]]*Tabla_Items_Inactivos[[#This Row],[COSTO]]</f>
        <v>0</v>
      </c>
    </row>
    <row r="56" spans="1:8">
      <c r="A56" t="s">
        <v>3300</v>
      </c>
      <c r="B56" t="s">
        <v>3345</v>
      </c>
      <c r="C56" t="s">
        <v>3346</v>
      </c>
      <c r="D56" t="s">
        <v>3324</v>
      </c>
      <c r="E56" t="s">
        <v>86</v>
      </c>
      <c r="F56" s="2">
        <v>0</v>
      </c>
      <c r="G56">
        <v>1</v>
      </c>
      <c r="H56" s="2">
        <f>Tabla_Items_Inactivos[[#This Row],[EXISTENCIA]]*Tabla_Items_Inactivos[[#This Row],[COSTO]]</f>
        <v>0</v>
      </c>
    </row>
    <row r="57" spans="1:8">
      <c r="A57" t="s">
        <v>3300</v>
      </c>
      <c r="B57" t="s">
        <v>3347</v>
      </c>
      <c r="C57" t="s">
        <v>3348</v>
      </c>
      <c r="D57" t="s">
        <v>3324</v>
      </c>
      <c r="E57" t="s">
        <v>86</v>
      </c>
      <c r="F57" s="2">
        <v>0</v>
      </c>
      <c r="G57">
        <v>1</v>
      </c>
      <c r="H57" s="2">
        <f>Tabla_Items_Inactivos[[#This Row],[EXISTENCIA]]*Tabla_Items_Inactivos[[#This Row],[COSTO]]</f>
        <v>0</v>
      </c>
    </row>
    <row r="58" spans="1:8">
      <c r="A58" t="s">
        <v>3300</v>
      </c>
      <c r="B58" t="s">
        <v>3349</v>
      </c>
      <c r="C58" t="s">
        <v>3350</v>
      </c>
      <c r="D58" t="s">
        <v>3324</v>
      </c>
      <c r="E58" t="s">
        <v>86</v>
      </c>
      <c r="F58" s="2">
        <v>0</v>
      </c>
      <c r="G58">
        <v>1</v>
      </c>
      <c r="H58" s="2">
        <f>Tabla_Items_Inactivos[[#This Row],[EXISTENCIA]]*Tabla_Items_Inactivos[[#This Row],[COSTO]]</f>
        <v>0</v>
      </c>
    </row>
    <row r="59" spans="1:8">
      <c r="A59" t="s">
        <v>3300</v>
      </c>
      <c r="B59" t="s">
        <v>3351</v>
      </c>
      <c r="C59" t="s">
        <v>3352</v>
      </c>
      <c r="D59" t="s">
        <v>3353</v>
      </c>
      <c r="E59" t="s">
        <v>86</v>
      </c>
      <c r="F59" s="2">
        <v>0</v>
      </c>
      <c r="G59">
        <v>1</v>
      </c>
      <c r="H59" s="2">
        <f>Tabla_Items_Inactivos[[#This Row],[EXISTENCIA]]*Tabla_Items_Inactivos[[#This Row],[COSTO]]</f>
        <v>0</v>
      </c>
    </row>
    <row r="60" spans="1:8">
      <c r="A60" t="s">
        <v>3300</v>
      </c>
      <c r="B60" t="s">
        <v>3354</v>
      </c>
      <c r="C60" t="s">
        <v>3355</v>
      </c>
      <c r="D60" t="s">
        <v>3353</v>
      </c>
      <c r="E60" t="s">
        <v>86</v>
      </c>
      <c r="F60" s="2">
        <v>0</v>
      </c>
      <c r="G60">
        <v>3</v>
      </c>
      <c r="H60" s="2">
        <f>Tabla_Items_Inactivos[[#This Row],[EXISTENCIA]]*Tabla_Items_Inactivos[[#This Row],[COSTO]]</f>
        <v>0</v>
      </c>
    </row>
    <row r="61" spans="1:8">
      <c r="A61" t="s">
        <v>3301</v>
      </c>
      <c r="B61" t="s">
        <v>3356</v>
      </c>
      <c r="C61" t="s">
        <v>3357</v>
      </c>
      <c r="D61" t="s">
        <v>3353</v>
      </c>
      <c r="E61" t="s">
        <v>86</v>
      </c>
      <c r="F61" s="2">
        <v>279.70530000000002</v>
      </c>
      <c r="G61">
        <v>7</v>
      </c>
      <c r="H61" s="2">
        <f>Tabla_Items_Inactivos[[#This Row],[EXISTENCIA]]*Tabla_Items_Inactivos[[#This Row],[COSTO]]</f>
        <v>1957.9371000000001</v>
      </c>
    </row>
    <row r="62" spans="1:8">
      <c r="A62" t="s">
        <v>3300</v>
      </c>
      <c r="B62" t="s">
        <v>3356</v>
      </c>
      <c r="C62" t="s">
        <v>3357</v>
      </c>
      <c r="D62" t="s">
        <v>3353</v>
      </c>
      <c r="E62" t="s">
        <v>86</v>
      </c>
      <c r="F62" s="2">
        <v>279.70530000000002</v>
      </c>
      <c r="G62">
        <v>7</v>
      </c>
      <c r="H62" s="2">
        <f>Tabla_Items_Inactivos[[#This Row],[EXISTENCIA]]*Tabla_Items_Inactivos[[#This Row],[COSTO]]</f>
        <v>1957.9371000000001</v>
      </c>
    </row>
    <row r="63" spans="1:8">
      <c r="A63" t="s">
        <v>3300</v>
      </c>
      <c r="B63" t="s">
        <v>3358</v>
      </c>
      <c r="C63" t="s">
        <v>3359</v>
      </c>
      <c r="D63" t="s">
        <v>3353</v>
      </c>
      <c r="E63" t="s">
        <v>86</v>
      </c>
      <c r="F63" s="2">
        <v>0</v>
      </c>
      <c r="G63">
        <v>6</v>
      </c>
      <c r="H63" s="2">
        <f>Tabla_Items_Inactivos[[#This Row],[EXISTENCIA]]*Tabla_Items_Inactivos[[#This Row],[COSTO]]</f>
        <v>0</v>
      </c>
    </row>
    <row r="64" spans="1:8">
      <c r="A64" t="s">
        <v>3300</v>
      </c>
      <c r="B64" t="s">
        <v>3360</v>
      </c>
      <c r="C64" t="s">
        <v>3361</v>
      </c>
      <c r="D64" t="s">
        <v>89</v>
      </c>
      <c r="E64" t="s">
        <v>86</v>
      </c>
      <c r="F64" s="2">
        <v>15.853</v>
      </c>
      <c r="G64">
        <v>5</v>
      </c>
      <c r="H64" s="2">
        <f>Tabla_Items_Inactivos[[#This Row],[EXISTENCIA]]*Tabla_Items_Inactivos[[#This Row],[COSTO]]</f>
        <v>79.265000000000001</v>
      </c>
    </row>
    <row r="65" spans="1:8">
      <c r="A65" t="s">
        <v>3299</v>
      </c>
      <c r="B65" t="s">
        <v>3362</v>
      </c>
      <c r="C65" t="s">
        <v>3363</v>
      </c>
      <c r="D65" t="s">
        <v>3364</v>
      </c>
      <c r="E65" t="s">
        <v>112</v>
      </c>
      <c r="F65" s="2">
        <v>3152.5</v>
      </c>
      <c r="G65">
        <v>1</v>
      </c>
      <c r="H65" s="2">
        <f>Tabla_Items_Inactivos[[#This Row],[EXISTENCIA]]*Tabla_Items_Inactivos[[#This Row],[COSTO]]</f>
        <v>3152.5</v>
      </c>
    </row>
    <row r="66" spans="1:8">
      <c r="A66" t="s">
        <v>3299</v>
      </c>
      <c r="B66" t="s">
        <v>99</v>
      </c>
      <c r="C66" t="s">
        <v>100</v>
      </c>
      <c r="D66" t="s">
        <v>101</v>
      </c>
      <c r="E66" t="s">
        <v>102</v>
      </c>
      <c r="F66" s="2">
        <v>0.80869999999999997</v>
      </c>
      <c r="G66">
        <v>2425</v>
      </c>
      <c r="H66" s="2">
        <f>Tabla_Items_Inactivos[[#This Row],[EXISTENCIA]]*Tabla_Items_Inactivos[[#This Row],[COSTO]]</f>
        <v>1961.0974999999999</v>
      </c>
    </row>
    <row r="67" spans="1:8">
      <c r="A67" t="s">
        <v>3299</v>
      </c>
      <c r="B67" t="s">
        <v>103</v>
      </c>
      <c r="C67" t="s">
        <v>104</v>
      </c>
      <c r="D67" t="s">
        <v>101</v>
      </c>
      <c r="E67" t="s">
        <v>102</v>
      </c>
      <c r="F67" s="2">
        <v>0.35</v>
      </c>
      <c r="G67">
        <v>733</v>
      </c>
      <c r="H67" s="2">
        <f>Tabla_Items_Inactivos[[#This Row],[EXISTENCIA]]*Tabla_Items_Inactivos[[#This Row],[COSTO]]</f>
        <v>256.55</v>
      </c>
    </row>
    <row r="68" spans="1:8">
      <c r="A68" t="s">
        <v>3299</v>
      </c>
      <c r="B68" t="s">
        <v>105</v>
      </c>
      <c r="C68" t="s">
        <v>106</v>
      </c>
      <c r="D68" t="s">
        <v>101</v>
      </c>
      <c r="E68" t="s">
        <v>102</v>
      </c>
      <c r="F68" s="2">
        <v>0.81320000000000003</v>
      </c>
      <c r="G68">
        <v>862</v>
      </c>
      <c r="H68" s="2">
        <f>Tabla_Items_Inactivos[[#This Row],[EXISTENCIA]]*Tabla_Items_Inactivos[[#This Row],[COSTO]]</f>
        <v>700.97840000000008</v>
      </c>
    </row>
    <row r="69" spans="1:8">
      <c r="A69" t="s">
        <v>3299</v>
      </c>
      <c r="B69" t="s">
        <v>107</v>
      </c>
      <c r="C69" t="s">
        <v>108</v>
      </c>
      <c r="D69" t="s">
        <v>101</v>
      </c>
      <c r="E69" t="s">
        <v>102</v>
      </c>
      <c r="F69" s="2">
        <v>0.496</v>
      </c>
      <c r="G69">
        <v>1392</v>
      </c>
      <c r="H69" s="2">
        <f>Tabla_Items_Inactivos[[#This Row],[EXISTENCIA]]*Tabla_Items_Inactivos[[#This Row],[COSTO]]</f>
        <v>690.43200000000002</v>
      </c>
    </row>
    <row r="70" spans="1:8">
      <c r="A70" t="s">
        <v>3300</v>
      </c>
      <c r="B70" t="s">
        <v>109</v>
      </c>
      <c r="C70" t="s">
        <v>110</v>
      </c>
      <c r="D70" t="s">
        <v>111</v>
      </c>
      <c r="E70" t="s">
        <v>112</v>
      </c>
      <c r="F70" s="2">
        <v>16870.98</v>
      </c>
      <c r="G70">
        <v>1</v>
      </c>
      <c r="H70" s="2">
        <f>Tabla_Items_Inactivos[[#This Row],[EXISTENCIA]]*Tabla_Items_Inactivos[[#This Row],[COSTO]]</f>
        <v>16870.98</v>
      </c>
    </row>
    <row r="71" spans="1:8">
      <c r="A71" t="s">
        <v>3301</v>
      </c>
      <c r="B71" t="s">
        <v>113</v>
      </c>
      <c r="C71" t="s">
        <v>114</v>
      </c>
      <c r="D71" t="s">
        <v>115</v>
      </c>
      <c r="E71" t="s">
        <v>102</v>
      </c>
      <c r="F71" s="2">
        <v>2.6200000000000001E-2</v>
      </c>
      <c r="G71">
        <v>2538</v>
      </c>
      <c r="H71" s="2">
        <f>Tabla_Items_Inactivos[[#This Row],[EXISTENCIA]]*Tabla_Items_Inactivos[[#This Row],[COSTO]]</f>
        <v>66.495599999999996</v>
      </c>
    </row>
    <row r="72" spans="1:8">
      <c r="A72" t="s">
        <v>3299</v>
      </c>
      <c r="B72" t="s">
        <v>113</v>
      </c>
      <c r="C72" t="s">
        <v>114</v>
      </c>
      <c r="D72" t="s">
        <v>115</v>
      </c>
      <c r="E72" t="s">
        <v>102</v>
      </c>
      <c r="F72" s="2">
        <v>2.6200000000000001E-2</v>
      </c>
      <c r="G72">
        <v>2538</v>
      </c>
      <c r="H72" s="2">
        <f>Tabla_Items_Inactivos[[#This Row],[EXISTENCIA]]*Tabla_Items_Inactivos[[#This Row],[COSTO]]</f>
        <v>66.495599999999996</v>
      </c>
    </row>
    <row r="73" spans="1:8">
      <c r="A73" t="s">
        <v>3299</v>
      </c>
      <c r="B73" t="s">
        <v>116</v>
      </c>
      <c r="C73" t="s">
        <v>117</v>
      </c>
      <c r="D73" t="s">
        <v>115</v>
      </c>
      <c r="E73" t="s">
        <v>102</v>
      </c>
      <c r="F73" s="2">
        <v>4.8899999999999999E-2</v>
      </c>
      <c r="G73">
        <v>2934</v>
      </c>
      <c r="H73" s="2">
        <f>Tabla_Items_Inactivos[[#This Row],[EXISTENCIA]]*Tabla_Items_Inactivos[[#This Row],[COSTO]]</f>
        <v>143.4726</v>
      </c>
    </row>
    <row r="74" spans="1:8">
      <c r="A74" t="s">
        <v>3299</v>
      </c>
      <c r="B74" t="s">
        <v>118</v>
      </c>
      <c r="C74" t="s">
        <v>119</v>
      </c>
      <c r="D74" t="s">
        <v>115</v>
      </c>
      <c r="E74" t="s">
        <v>102</v>
      </c>
      <c r="F74" s="2">
        <v>4.7100000000000003E-2</v>
      </c>
      <c r="G74">
        <v>3182</v>
      </c>
      <c r="H74" s="2">
        <f>Tabla_Items_Inactivos[[#This Row],[EXISTENCIA]]*Tabla_Items_Inactivos[[#This Row],[COSTO]]</f>
        <v>149.87220000000002</v>
      </c>
    </row>
    <row r="75" spans="1:8">
      <c r="A75" t="s">
        <v>3301</v>
      </c>
      <c r="B75" t="s">
        <v>3365</v>
      </c>
      <c r="C75" t="s">
        <v>3366</v>
      </c>
      <c r="D75" t="s">
        <v>618</v>
      </c>
      <c r="E75" t="s">
        <v>626</v>
      </c>
      <c r="F75" s="2">
        <v>9.69</v>
      </c>
      <c r="G75">
        <v>14</v>
      </c>
      <c r="H75" s="2">
        <f>Tabla_Items_Inactivos[[#This Row],[EXISTENCIA]]*Tabla_Items_Inactivos[[#This Row],[COSTO]]</f>
        <v>135.66</v>
      </c>
    </row>
    <row r="76" spans="1:8">
      <c r="A76" t="s">
        <v>3301</v>
      </c>
      <c r="B76" t="s">
        <v>3367</v>
      </c>
      <c r="C76" t="s">
        <v>3368</v>
      </c>
      <c r="D76" t="s">
        <v>618</v>
      </c>
      <c r="E76" t="s">
        <v>626</v>
      </c>
      <c r="F76" s="2">
        <v>10.66</v>
      </c>
      <c r="G76">
        <v>10</v>
      </c>
      <c r="H76" s="2">
        <f>Tabla_Items_Inactivos[[#This Row],[EXISTENCIA]]*Tabla_Items_Inactivos[[#This Row],[COSTO]]</f>
        <v>106.6</v>
      </c>
    </row>
    <row r="77" spans="1:8">
      <c r="A77" t="s">
        <v>3301</v>
      </c>
      <c r="B77" t="s">
        <v>3369</v>
      </c>
      <c r="C77" t="s">
        <v>3370</v>
      </c>
      <c r="D77" t="s">
        <v>618</v>
      </c>
      <c r="E77" t="s">
        <v>626</v>
      </c>
      <c r="F77" s="2">
        <v>11.32</v>
      </c>
      <c r="G77">
        <v>9</v>
      </c>
      <c r="H77" s="2">
        <f>Tabla_Items_Inactivos[[#This Row],[EXISTENCIA]]*Tabla_Items_Inactivos[[#This Row],[COSTO]]</f>
        <v>101.88</v>
      </c>
    </row>
    <row r="78" spans="1:8">
      <c r="A78" t="s">
        <v>3301</v>
      </c>
      <c r="B78" t="s">
        <v>3371</v>
      </c>
      <c r="C78" t="s">
        <v>3372</v>
      </c>
      <c r="D78" t="s">
        <v>618</v>
      </c>
      <c r="E78" t="s">
        <v>626</v>
      </c>
      <c r="F78" s="2">
        <v>0</v>
      </c>
      <c r="G78">
        <v>1</v>
      </c>
      <c r="H78" s="2">
        <f>Tabla_Items_Inactivos[[#This Row],[EXISTENCIA]]*Tabla_Items_Inactivos[[#This Row],[COSTO]]</f>
        <v>0</v>
      </c>
    </row>
    <row r="79" spans="1:8">
      <c r="A79" t="s">
        <v>3301</v>
      </c>
      <c r="B79" t="s">
        <v>3373</v>
      </c>
      <c r="C79" t="s">
        <v>3374</v>
      </c>
      <c r="D79" t="s">
        <v>618</v>
      </c>
      <c r="E79" t="s">
        <v>626</v>
      </c>
      <c r="F79" s="2">
        <v>0</v>
      </c>
      <c r="G79">
        <v>1</v>
      </c>
      <c r="H79" s="2">
        <f>Tabla_Items_Inactivos[[#This Row],[EXISTENCIA]]*Tabla_Items_Inactivos[[#This Row],[COSTO]]</f>
        <v>0</v>
      </c>
    </row>
    <row r="80" spans="1:8">
      <c r="A80" t="s">
        <v>3300</v>
      </c>
      <c r="B80" t="s">
        <v>2665</v>
      </c>
      <c r="C80" t="s">
        <v>2666</v>
      </c>
      <c r="D80" t="s">
        <v>3375</v>
      </c>
      <c r="E80" t="s">
        <v>125</v>
      </c>
      <c r="F80" s="2">
        <v>142.62719999999999</v>
      </c>
      <c r="G80">
        <v>8</v>
      </c>
      <c r="H80" s="2">
        <f>Tabla_Items_Inactivos[[#This Row],[EXISTENCIA]]*Tabla_Items_Inactivos[[#This Row],[COSTO]]</f>
        <v>1141.0175999999999</v>
      </c>
    </row>
    <row r="81" spans="1:8">
      <c r="A81" t="s">
        <v>3301</v>
      </c>
      <c r="B81" t="s">
        <v>2665</v>
      </c>
      <c r="C81" t="s">
        <v>2666</v>
      </c>
      <c r="D81" t="s">
        <v>3375</v>
      </c>
      <c r="E81" t="s">
        <v>125</v>
      </c>
      <c r="F81" s="2">
        <v>142.62719999999999</v>
      </c>
      <c r="G81">
        <v>8</v>
      </c>
      <c r="H81" s="2">
        <f>Tabla_Items_Inactivos[[#This Row],[EXISTENCIA]]*Tabla_Items_Inactivos[[#This Row],[COSTO]]</f>
        <v>1141.0175999999999</v>
      </c>
    </row>
    <row r="82" spans="1:8">
      <c r="A82" t="s">
        <v>3300</v>
      </c>
      <c r="B82" t="s">
        <v>120</v>
      </c>
      <c r="C82" t="s">
        <v>121</v>
      </c>
      <c r="D82" t="s">
        <v>3375</v>
      </c>
      <c r="E82" t="s">
        <v>125</v>
      </c>
      <c r="F82" s="2">
        <v>56.992400000000004</v>
      </c>
      <c r="G82">
        <v>1</v>
      </c>
      <c r="H82" s="2">
        <f>Tabla_Items_Inactivos[[#This Row],[EXISTENCIA]]*Tabla_Items_Inactivos[[#This Row],[COSTO]]</f>
        <v>56.992400000000004</v>
      </c>
    </row>
    <row r="83" spans="1:8">
      <c r="A83" t="s">
        <v>3301</v>
      </c>
      <c r="B83" t="s">
        <v>120</v>
      </c>
      <c r="C83" t="s">
        <v>121</v>
      </c>
      <c r="D83" t="s">
        <v>3375</v>
      </c>
      <c r="E83" t="s">
        <v>125</v>
      </c>
      <c r="F83" s="2">
        <v>56.992400000000004</v>
      </c>
      <c r="G83">
        <v>1</v>
      </c>
      <c r="H83" s="2">
        <f>Tabla_Items_Inactivos[[#This Row],[EXISTENCIA]]*Tabla_Items_Inactivos[[#This Row],[COSTO]]</f>
        <v>56.992400000000004</v>
      </c>
    </row>
    <row r="84" spans="1:8">
      <c r="A84" t="s">
        <v>3301</v>
      </c>
      <c r="B84" t="s">
        <v>122</v>
      </c>
      <c r="C84" t="s">
        <v>123</v>
      </c>
      <c r="D84" t="s">
        <v>124</v>
      </c>
      <c r="E84" t="s">
        <v>125</v>
      </c>
      <c r="F84" s="2">
        <v>198.49889999999999</v>
      </c>
      <c r="G84">
        <v>1</v>
      </c>
      <c r="H84" s="2">
        <f>Tabla_Items_Inactivos[[#This Row],[EXISTENCIA]]*Tabla_Items_Inactivos[[#This Row],[COSTO]]</f>
        <v>198.49889999999999</v>
      </c>
    </row>
    <row r="85" spans="1:8">
      <c r="A85" t="s">
        <v>3300</v>
      </c>
      <c r="B85" t="s">
        <v>122</v>
      </c>
      <c r="C85" t="s">
        <v>123</v>
      </c>
      <c r="D85" t="s">
        <v>124</v>
      </c>
      <c r="E85" t="s">
        <v>125</v>
      </c>
      <c r="F85" s="2">
        <v>198.49889999999999</v>
      </c>
      <c r="G85">
        <v>1</v>
      </c>
      <c r="H85" s="2">
        <f>Tabla_Items_Inactivos[[#This Row],[EXISTENCIA]]*Tabla_Items_Inactivos[[#This Row],[COSTO]]</f>
        <v>198.49889999999999</v>
      </c>
    </row>
    <row r="86" spans="1:8">
      <c r="A86" t="s">
        <v>3300</v>
      </c>
      <c r="B86" t="s">
        <v>126</v>
      </c>
      <c r="C86" t="s">
        <v>127</v>
      </c>
      <c r="D86" t="s">
        <v>128</v>
      </c>
      <c r="E86" t="s">
        <v>125</v>
      </c>
      <c r="F86" s="2">
        <v>12.65</v>
      </c>
      <c r="G86">
        <v>1</v>
      </c>
      <c r="H86" s="2">
        <f>Tabla_Items_Inactivos[[#This Row],[EXISTENCIA]]*Tabla_Items_Inactivos[[#This Row],[COSTO]]</f>
        <v>12.65</v>
      </c>
    </row>
    <row r="87" spans="1:8">
      <c r="A87" t="s">
        <v>3300</v>
      </c>
      <c r="B87" t="s">
        <v>129</v>
      </c>
      <c r="C87" t="s">
        <v>130</v>
      </c>
      <c r="D87" t="s">
        <v>131</v>
      </c>
      <c r="E87" t="s">
        <v>125</v>
      </c>
      <c r="F87" s="2">
        <v>36.46</v>
      </c>
      <c r="G87">
        <v>1</v>
      </c>
      <c r="H87" s="2">
        <f>Tabla_Items_Inactivos[[#This Row],[EXISTENCIA]]*Tabla_Items_Inactivos[[#This Row],[COSTO]]</f>
        <v>36.46</v>
      </c>
    </row>
    <row r="88" spans="1:8">
      <c r="A88" t="s">
        <v>3301</v>
      </c>
      <c r="B88" t="s">
        <v>2667</v>
      </c>
      <c r="C88" t="s">
        <v>2668</v>
      </c>
      <c r="D88" t="s">
        <v>128</v>
      </c>
      <c r="E88" t="s">
        <v>125</v>
      </c>
      <c r="F88" s="2">
        <v>13.719799999999999</v>
      </c>
      <c r="G88">
        <v>8</v>
      </c>
      <c r="H88" s="2">
        <f>Tabla_Items_Inactivos[[#This Row],[EXISTENCIA]]*Tabla_Items_Inactivos[[#This Row],[COSTO]]</f>
        <v>109.75839999999999</v>
      </c>
    </row>
    <row r="89" spans="1:8">
      <c r="A89" t="s">
        <v>3300</v>
      </c>
      <c r="B89" t="s">
        <v>2667</v>
      </c>
      <c r="C89" t="s">
        <v>2668</v>
      </c>
      <c r="D89" t="s">
        <v>128</v>
      </c>
      <c r="E89" t="s">
        <v>125</v>
      </c>
      <c r="F89" s="2">
        <v>13.719799999999999</v>
      </c>
      <c r="G89">
        <v>8</v>
      </c>
      <c r="H89" s="2">
        <f>Tabla_Items_Inactivos[[#This Row],[EXISTENCIA]]*Tabla_Items_Inactivos[[#This Row],[COSTO]]</f>
        <v>109.75839999999999</v>
      </c>
    </row>
    <row r="90" spans="1:8">
      <c r="A90" t="s">
        <v>3300</v>
      </c>
      <c r="B90" t="s">
        <v>3376</v>
      </c>
      <c r="C90" t="s">
        <v>3377</v>
      </c>
      <c r="D90" t="s">
        <v>128</v>
      </c>
      <c r="E90" t="s">
        <v>125</v>
      </c>
      <c r="F90" s="2">
        <v>21.723700000000001</v>
      </c>
      <c r="G90">
        <v>1</v>
      </c>
      <c r="H90" s="2">
        <f>Tabla_Items_Inactivos[[#This Row],[EXISTENCIA]]*Tabla_Items_Inactivos[[#This Row],[COSTO]]</f>
        <v>21.723700000000001</v>
      </c>
    </row>
    <row r="91" spans="1:8">
      <c r="A91" t="s">
        <v>3301</v>
      </c>
      <c r="B91" t="s">
        <v>3376</v>
      </c>
      <c r="C91" t="s">
        <v>3377</v>
      </c>
      <c r="D91" t="s">
        <v>128</v>
      </c>
      <c r="E91" t="s">
        <v>125</v>
      </c>
      <c r="F91" s="2">
        <v>21.723700000000001</v>
      </c>
      <c r="G91">
        <v>1</v>
      </c>
      <c r="H91" s="2">
        <f>Tabla_Items_Inactivos[[#This Row],[EXISTENCIA]]*Tabla_Items_Inactivos[[#This Row],[COSTO]]</f>
        <v>21.723700000000001</v>
      </c>
    </row>
    <row r="92" spans="1:8">
      <c r="A92" t="s">
        <v>3300</v>
      </c>
      <c r="B92" t="s">
        <v>3378</v>
      </c>
      <c r="C92" t="s">
        <v>3379</v>
      </c>
      <c r="D92" t="s">
        <v>128</v>
      </c>
      <c r="E92" t="s">
        <v>125</v>
      </c>
      <c r="F92" s="2">
        <v>5.6021000000000001</v>
      </c>
      <c r="G92">
        <v>1</v>
      </c>
      <c r="H92" s="2">
        <f>Tabla_Items_Inactivos[[#This Row],[EXISTENCIA]]*Tabla_Items_Inactivos[[#This Row],[COSTO]]</f>
        <v>5.6021000000000001</v>
      </c>
    </row>
    <row r="93" spans="1:8">
      <c r="A93" t="s">
        <v>3301</v>
      </c>
      <c r="B93" t="s">
        <v>3378</v>
      </c>
      <c r="C93" t="s">
        <v>3379</v>
      </c>
      <c r="D93" t="s">
        <v>128</v>
      </c>
      <c r="E93" t="s">
        <v>125</v>
      </c>
      <c r="F93" s="2">
        <v>5.6021000000000001</v>
      </c>
      <c r="G93">
        <v>1</v>
      </c>
      <c r="H93" s="2">
        <f>Tabla_Items_Inactivos[[#This Row],[EXISTENCIA]]*Tabla_Items_Inactivos[[#This Row],[COSTO]]</f>
        <v>5.6021000000000001</v>
      </c>
    </row>
    <row r="94" spans="1:8">
      <c r="A94" t="s">
        <v>3300</v>
      </c>
      <c r="B94" t="s">
        <v>2669</v>
      </c>
      <c r="C94" t="s">
        <v>2670</v>
      </c>
      <c r="D94" t="s">
        <v>128</v>
      </c>
      <c r="E94" t="s">
        <v>125</v>
      </c>
      <c r="F94" s="2">
        <v>5.1239999999999997</v>
      </c>
      <c r="G94">
        <v>6</v>
      </c>
      <c r="H94" s="2">
        <f>Tabla_Items_Inactivos[[#This Row],[EXISTENCIA]]*Tabla_Items_Inactivos[[#This Row],[COSTO]]</f>
        <v>30.744</v>
      </c>
    </row>
    <row r="95" spans="1:8">
      <c r="A95" t="s">
        <v>3301</v>
      </c>
      <c r="B95" t="s">
        <v>2669</v>
      </c>
      <c r="C95" t="s">
        <v>2670</v>
      </c>
      <c r="D95" t="s">
        <v>128</v>
      </c>
      <c r="E95" t="s">
        <v>125</v>
      </c>
      <c r="F95" s="2">
        <v>5.1239999999999997</v>
      </c>
      <c r="G95">
        <v>6</v>
      </c>
      <c r="H95" s="2">
        <f>Tabla_Items_Inactivos[[#This Row],[EXISTENCIA]]*Tabla_Items_Inactivos[[#This Row],[COSTO]]</f>
        <v>30.744</v>
      </c>
    </row>
    <row r="96" spans="1:8">
      <c r="A96" t="s">
        <v>3300</v>
      </c>
      <c r="B96" t="s">
        <v>2671</v>
      </c>
      <c r="C96" t="s">
        <v>2672</v>
      </c>
      <c r="D96" t="s">
        <v>128</v>
      </c>
      <c r="E96" t="s">
        <v>125</v>
      </c>
      <c r="F96" s="2">
        <v>20.67</v>
      </c>
      <c r="G96">
        <v>4</v>
      </c>
      <c r="H96" s="2">
        <f>Tabla_Items_Inactivos[[#This Row],[EXISTENCIA]]*Tabla_Items_Inactivos[[#This Row],[COSTO]]</f>
        <v>82.68</v>
      </c>
    </row>
    <row r="97" spans="1:8">
      <c r="A97" t="s">
        <v>3300</v>
      </c>
      <c r="B97" t="s">
        <v>2673</v>
      </c>
      <c r="C97" t="s">
        <v>2674</v>
      </c>
      <c r="D97" t="s">
        <v>128</v>
      </c>
      <c r="E97" t="s">
        <v>125</v>
      </c>
      <c r="F97" s="2">
        <v>9.6679999999999993</v>
      </c>
      <c r="G97">
        <v>4</v>
      </c>
      <c r="H97" s="2">
        <f>Tabla_Items_Inactivos[[#This Row],[EXISTENCIA]]*Tabla_Items_Inactivos[[#This Row],[COSTO]]</f>
        <v>38.671999999999997</v>
      </c>
    </row>
    <row r="98" spans="1:8">
      <c r="A98" t="s">
        <v>3300</v>
      </c>
      <c r="B98" t="s">
        <v>3380</v>
      </c>
      <c r="C98" t="s">
        <v>3381</v>
      </c>
      <c r="D98" t="s">
        <v>128</v>
      </c>
      <c r="E98" t="s">
        <v>125</v>
      </c>
      <c r="F98" s="2">
        <v>40.728000000000002</v>
      </c>
      <c r="G98">
        <v>1</v>
      </c>
      <c r="H98" s="2">
        <f>Tabla_Items_Inactivos[[#This Row],[EXISTENCIA]]*Tabla_Items_Inactivos[[#This Row],[COSTO]]</f>
        <v>40.728000000000002</v>
      </c>
    </row>
    <row r="99" spans="1:8">
      <c r="A99" t="s">
        <v>3300</v>
      </c>
      <c r="B99" t="s">
        <v>132</v>
      </c>
      <c r="C99" t="s">
        <v>133</v>
      </c>
      <c r="D99" t="s">
        <v>131</v>
      </c>
      <c r="E99" t="s">
        <v>125</v>
      </c>
      <c r="F99" s="2">
        <v>139.18</v>
      </c>
      <c r="G99">
        <v>2</v>
      </c>
      <c r="H99" s="2">
        <f>Tabla_Items_Inactivos[[#This Row],[EXISTENCIA]]*Tabla_Items_Inactivos[[#This Row],[COSTO]]</f>
        <v>278.36</v>
      </c>
    </row>
    <row r="100" spans="1:8">
      <c r="A100" t="s">
        <v>3300</v>
      </c>
      <c r="B100" t="s">
        <v>134</v>
      </c>
      <c r="C100" t="s">
        <v>135</v>
      </c>
      <c r="D100" t="s">
        <v>136</v>
      </c>
      <c r="E100" t="s">
        <v>125</v>
      </c>
      <c r="F100" s="2">
        <v>321.99</v>
      </c>
      <c r="G100">
        <v>1</v>
      </c>
      <c r="H100" s="2">
        <f>Tabla_Items_Inactivos[[#This Row],[EXISTENCIA]]*Tabla_Items_Inactivos[[#This Row],[COSTO]]</f>
        <v>321.99</v>
      </c>
    </row>
    <row r="101" spans="1:8">
      <c r="A101" t="s">
        <v>3300</v>
      </c>
      <c r="B101" t="s">
        <v>137</v>
      </c>
      <c r="C101" t="s">
        <v>138</v>
      </c>
      <c r="D101" t="s">
        <v>128</v>
      </c>
      <c r="E101" t="s">
        <v>125</v>
      </c>
      <c r="F101" s="2">
        <v>7.44</v>
      </c>
      <c r="G101">
        <v>1</v>
      </c>
      <c r="H101" s="2">
        <f>Tabla_Items_Inactivos[[#This Row],[EXISTENCIA]]*Tabla_Items_Inactivos[[#This Row],[COSTO]]</f>
        <v>7.44</v>
      </c>
    </row>
    <row r="102" spans="1:8">
      <c r="A102" t="s">
        <v>3300</v>
      </c>
      <c r="B102" t="s">
        <v>139</v>
      </c>
      <c r="C102" t="s">
        <v>140</v>
      </c>
      <c r="D102" t="s">
        <v>141</v>
      </c>
      <c r="E102" t="s">
        <v>125</v>
      </c>
      <c r="F102" s="2">
        <v>1.46</v>
      </c>
      <c r="G102">
        <v>1</v>
      </c>
      <c r="H102" s="2">
        <f>Tabla_Items_Inactivos[[#This Row],[EXISTENCIA]]*Tabla_Items_Inactivos[[#This Row],[COSTO]]</f>
        <v>1.46</v>
      </c>
    </row>
    <row r="103" spans="1:8">
      <c r="A103" t="s">
        <v>3300</v>
      </c>
      <c r="B103" t="s">
        <v>142</v>
      </c>
      <c r="C103" t="s">
        <v>143</v>
      </c>
      <c r="D103" t="s">
        <v>141</v>
      </c>
      <c r="E103" t="s">
        <v>125</v>
      </c>
      <c r="F103" s="2">
        <v>38.883699999999997</v>
      </c>
      <c r="G103">
        <v>2</v>
      </c>
      <c r="H103" s="2">
        <f>Tabla_Items_Inactivos[[#This Row],[EXISTENCIA]]*Tabla_Items_Inactivos[[#This Row],[COSTO]]</f>
        <v>77.767399999999995</v>
      </c>
    </row>
    <row r="104" spans="1:8">
      <c r="A104" t="s">
        <v>3301</v>
      </c>
      <c r="B104" t="s">
        <v>142</v>
      </c>
      <c r="C104" t="s">
        <v>143</v>
      </c>
      <c r="D104" t="s">
        <v>141</v>
      </c>
      <c r="E104" t="s">
        <v>125</v>
      </c>
      <c r="F104" s="2">
        <v>38.883699999999997</v>
      </c>
      <c r="G104">
        <v>2</v>
      </c>
      <c r="H104" s="2">
        <f>Tabla_Items_Inactivos[[#This Row],[EXISTENCIA]]*Tabla_Items_Inactivos[[#This Row],[COSTO]]</f>
        <v>77.767399999999995</v>
      </c>
    </row>
    <row r="105" spans="1:8">
      <c r="A105" t="s">
        <v>3300</v>
      </c>
      <c r="B105" t="s">
        <v>3382</v>
      </c>
      <c r="C105" t="s">
        <v>3383</v>
      </c>
      <c r="D105" t="s">
        <v>141</v>
      </c>
      <c r="E105" t="s">
        <v>125</v>
      </c>
      <c r="F105" s="2">
        <v>53.76</v>
      </c>
      <c r="G105">
        <v>1</v>
      </c>
      <c r="H105" s="2">
        <f>Tabla_Items_Inactivos[[#This Row],[EXISTENCIA]]*Tabla_Items_Inactivos[[#This Row],[COSTO]]</f>
        <v>53.76</v>
      </c>
    </row>
    <row r="106" spans="1:8">
      <c r="A106" t="s">
        <v>3300</v>
      </c>
      <c r="B106" t="s">
        <v>3384</v>
      </c>
      <c r="C106" t="s">
        <v>3385</v>
      </c>
      <c r="D106" t="s">
        <v>131</v>
      </c>
      <c r="E106" t="s">
        <v>125</v>
      </c>
      <c r="F106" s="2">
        <v>41.18</v>
      </c>
      <c r="G106">
        <v>1</v>
      </c>
      <c r="H106" s="2">
        <f>Tabla_Items_Inactivos[[#This Row],[EXISTENCIA]]*Tabla_Items_Inactivos[[#This Row],[COSTO]]</f>
        <v>41.18</v>
      </c>
    </row>
    <row r="107" spans="1:8">
      <c r="A107" t="s">
        <v>3300</v>
      </c>
      <c r="B107" t="s">
        <v>144</v>
      </c>
      <c r="C107" t="s">
        <v>145</v>
      </c>
      <c r="D107" t="s">
        <v>146</v>
      </c>
      <c r="E107" t="s">
        <v>125</v>
      </c>
      <c r="F107" s="2">
        <v>599.89430000000004</v>
      </c>
      <c r="G107">
        <v>1</v>
      </c>
      <c r="H107" s="2">
        <f>Tabla_Items_Inactivos[[#This Row],[EXISTENCIA]]*Tabla_Items_Inactivos[[#This Row],[COSTO]]</f>
        <v>599.89430000000004</v>
      </c>
    </row>
    <row r="108" spans="1:8">
      <c r="A108" t="s">
        <v>3301</v>
      </c>
      <c r="B108" t="s">
        <v>144</v>
      </c>
      <c r="C108" t="s">
        <v>145</v>
      </c>
      <c r="D108" t="s">
        <v>146</v>
      </c>
      <c r="E108" t="s">
        <v>125</v>
      </c>
      <c r="F108" s="2">
        <v>599.89430000000004</v>
      </c>
      <c r="G108">
        <v>1</v>
      </c>
      <c r="H108" s="2">
        <f>Tabla_Items_Inactivos[[#This Row],[EXISTENCIA]]*Tabla_Items_Inactivos[[#This Row],[COSTO]]</f>
        <v>599.89430000000004</v>
      </c>
    </row>
    <row r="109" spans="1:8">
      <c r="A109" t="s">
        <v>3300</v>
      </c>
      <c r="B109" t="s">
        <v>147</v>
      </c>
      <c r="C109" t="s">
        <v>148</v>
      </c>
      <c r="D109" t="s">
        <v>141</v>
      </c>
      <c r="E109" t="s">
        <v>125</v>
      </c>
      <c r="F109" s="2">
        <v>112.05</v>
      </c>
      <c r="G109">
        <v>1</v>
      </c>
      <c r="H109" s="2">
        <f>Tabla_Items_Inactivos[[#This Row],[EXISTENCIA]]*Tabla_Items_Inactivos[[#This Row],[COSTO]]</f>
        <v>112.05</v>
      </c>
    </row>
    <row r="110" spans="1:8">
      <c r="A110" t="s">
        <v>3300</v>
      </c>
      <c r="B110" t="s">
        <v>149</v>
      </c>
      <c r="C110" t="s">
        <v>150</v>
      </c>
      <c r="D110" t="s">
        <v>141</v>
      </c>
      <c r="E110" t="s">
        <v>125</v>
      </c>
      <c r="F110" s="2">
        <v>102.61</v>
      </c>
      <c r="G110">
        <v>1</v>
      </c>
      <c r="H110" s="2">
        <f>Tabla_Items_Inactivos[[#This Row],[EXISTENCIA]]*Tabla_Items_Inactivos[[#This Row],[COSTO]]</f>
        <v>102.61</v>
      </c>
    </row>
    <row r="111" spans="1:8">
      <c r="A111" t="s">
        <v>3300</v>
      </c>
      <c r="B111" t="s">
        <v>5498</v>
      </c>
      <c r="C111" t="s">
        <v>5499</v>
      </c>
      <c r="D111" t="s">
        <v>153</v>
      </c>
      <c r="E111" t="s">
        <v>125</v>
      </c>
      <c r="F111" s="2">
        <v>816.45010000000002</v>
      </c>
      <c r="G111">
        <v>5</v>
      </c>
      <c r="H111" s="2">
        <f>Tabla_Items_Inactivos[[#This Row],[EXISTENCIA]]*Tabla_Items_Inactivos[[#This Row],[COSTO]]</f>
        <v>4082.2505000000001</v>
      </c>
    </row>
    <row r="112" spans="1:8">
      <c r="A112" t="s">
        <v>3301</v>
      </c>
      <c r="B112" t="s">
        <v>5498</v>
      </c>
      <c r="C112" t="s">
        <v>5499</v>
      </c>
      <c r="D112" t="s">
        <v>153</v>
      </c>
      <c r="E112" t="s">
        <v>125</v>
      </c>
      <c r="F112" s="2">
        <v>816.45010000000002</v>
      </c>
      <c r="G112">
        <v>5</v>
      </c>
      <c r="H112" s="2">
        <f>Tabla_Items_Inactivos[[#This Row],[EXISTENCIA]]*Tabla_Items_Inactivos[[#This Row],[COSTO]]</f>
        <v>4082.2505000000001</v>
      </c>
    </row>
    <row r="113" spans="1:8">
      <c r="A113" t="s">
        <v>3300</v>
      </c>
      <c r="B113" t="s">
        <v>151</v>
      </c>
      <c r="C113" t="s">
        <v>152</v>
      </c>
      <c r="D113" t="s">
        <v>31</v>
      </c>
      <c r="E113" t="s">
        <v>125</v>
      </c>
      <c r="F113" s="2">
        <v>159.12530000000001</v>
      </c>
      <c r="G113">
        <v>1</v>
      </c>
      <c r="H113" s="2">
        <f>Tabla_Items_Inactivos[[#This Row],[EXISTENCIA]]*Tabla_Items_Inactivos[[#This Row],[COSTO]]</f>
        <v>159.12530000000001</v>
      </c>
    </row>
    <row r="114" spans="1:8">
      <c r="A114" t="s">
        <v>3300</v>
      </c>
      <c r="B114" t="s">
        <v>3386</v>
      </c>
      <c r="C114" t="s">
        <v>3387</v>
      </c>
      <c r="D114" t="s">
        <v>3375</v>
      </c>
      <c r="E114" t="s">
        <v>125</v>
      </c>
      <c r="F114" s="2">
        <v>352.65730000000002</v>
      </c>
      <c r="G114">
        <v>3</v>
      </c>
      <c r="H114" s="2">
        <f>Tabla_Items_Inactivos[[#This Row],[EXISTENCIA]]*Tabla_Items_Inactivos[[#This Row],[COSTO]]</f>
        <v>1057.9719</v>
      </c>
    </row>
    <row r="115" spans="1:8">
      <c r="A115" t="s">
        <v>3301</v>
      </c>
      <c r="B115" t="s">
        <v>3386</v>
      </c>
      <c r="C115" t="s">
        <v>3387</v>
      </c>
      <c r="D115" t="s">
        <v>3375</v>
      </c>
      <c r="E115" t="s">
        <v>125</v>
      </c>
      <c r="F115" s="2">
        <v>352.65730000000002</v>
      </c>
      <c r="G115">
        <v>3</v>
      </c>
      <c r="H115" s="2">
        <f>Tabla_Items_Inactivos[[#This Row],[EXISTENCIA]]*Tabla_Items_Inactivos[[#This Row],[COSTO]]</f>
        <v>1057.9719</v>
      </c>
    </row>
    <row r="116" spans="1:8">
      <c r="A116" t="s">
        <v>3301</v>
      </c>
      <c r="B116" t="s">
        <v>3388</v>
      </c>
      <c r="C116" t="s">
        <v>3389</v>
      </c>
      <c r="D116" t="s">
        <v>203</v>
      </c>
      <c r="E116" t="s">
        <v>125</v>
      </c>
      <c r="F116" s="2">
        <v>404.4151</v>
      </c>
      <c r="G116">
        <v>3</v>
      </c>
      <c r="H116" s="2">
        <f>Tabla_Items_Inactivos[[#This Row],[EXISTENCIA]]*Tabla_Items_Inactivos[[#This Row],[COSTO]]</f>
        <v>1213.2453</v>
      </c>
    </row>
    <row r="117" spans="1:8">
      <c r="A117" t="s">
        <v>3300</v>
      </c>
      <c r="B117" t="s">
        <v>3388</v>
      </c>
      <c r="C117" t="s">
        <v>3389</v>
      </c>
      <c r="D117" t="s">
        <v>203</v>
      </c>
      <c r="E117" t="s">
        <v>125</v>
      </c>
      <c r="F117" s="2">
        <v>404.4151</v>
      </c>
      <c r="G117">
        <v>3</v>
      </c>
      <c r="H117" s="2">
        <f>Tabla_Items_Inactivos[[#This Row],[EXISTENCIA]]*Tabla_Items_Inactivos[[#This Row],[COSTO]]</f>
        <v>1213.2453</v>
      </c>
    </row>
    <row r="118" spans="1:8">
      <c r="A118" t="s">
        <v>3300</v>
      </c>
      <c r="B118" t="s">
        <v>154</v>
      </c>
      <c r="C118" t="s">
        <v>155</v>
      </c>
      <c r="D118" t="s">
        <v>128</v>
      </c>
      <c r="E118" t="s">
        <v>125</v>
      </c>
      <c r="F118" s="2">
        <v>6.92</v>
      </c>
      <c r="G118">
        <v>18</v>
      </c>
      <c r="H118" s="2">
        <f>Tabla_Items_Inactivos[[#This Row],[EXISTENCIA]]*Tabla_Items_Inactivos[[#This Row],[COSTO]]</f>
        <v>124.56</v>
      </c>
    </row>
    <row r="119" spans="1:8">
      <c r="A119" t="s">
        <v>3300</v>
      </c>
      <c r="B119" t="s">
        <v>156</v>
      </c>
      <c r="C119" t="s">
        <v>157</v>
      </c>
      <c r="D119" t="s">
        <v>128</v>
      </c>
      <c r="E119" t="s">
        <v>125</v>
      </c>
      <c r="F119" s="2">
        <v>8.9611000000000001</v>
      </c>
      <c r="G119">
        <v>16</v>
      </c>
      <c r="H119" s="2">
        <f>Tabla_Items_Inactivos[[#This Row],[EXISTENCIA]]*Tabla_Items_Inactivos[[#This Row],[COSTO]]</f>
        <v>143.3776</v>
      </c>
    </row>
    <row r="120" spans="1:8">
      <c r="A120" t="s">
        <v>3301</v>
      </c>
      <c r="B120" t="s">
        <v>156</v>
      </c>
      <c r="C120" t="s">
        <v>157</v>
      </c>
      <c r="D120" t="s">
        <v>128</v>
      </c>
      <c r="E120" t="s">
        <v>125</v>
      </c>
      <c r="F120" s="2">
        <v>8.9611000000000001</v>
      </c>
      <c r="G120">
        <v>16</v>
      </c>
      <c r="H120" s="2">
        <f>Tabla_Items_Inactivos[[#This Row],[EXISTENCIA]]*Tabla_Items_Inactivos[[#This Row],[COSTO]]</f>
        <v>143.3776</v>
      </c>
    </row>
    <row r="121" spans="1:8">
      <c r="A121" t="s">
        <v>3300</v>
      </c>
      <c r="B121" t="s">
        <v>158</v>
      </c>
      <c r="C121" t="s">
        <v>159</v>
      </c>
      <c r="D121" t="s">
        <v>160</v>
      </c>
      <c r="E121" t="s">
        <v>125</v>
      </c>
      <c r="F121" s="2">
        <v>11.96</v>
      </c>
      <c r="G121">
        <v>17</v>
      </c>
      <c r="H121" s="2">
        <f>Tabla_Items_Inactivos[[#This Row],[EXISTENCIA]]*Tabla_Items_Inactivos[[#This Row],[COSTO]]</f>
        <v>203.32000000000002</v>
      </c>
    </row>
    <row r="122" spans="1:8">
      <c r="A122" t="s">
        <v>3300</v>
      </c>
      <c r="B122" t="s">
        <v>161</v>
      </c>
      <c r="C122" t="s">
        <v>162</v>
      </c>
      <c r="D122" t="s">
        <v>160</v>
      </c>
      <c r="E122" t="s">
        <v>125</v>
      </c>
      <c r="F122" s="2">
        <v>12.56</v>
      </c>
      <c r="G122">
        <v>1</v>
      </c>
      <c r="H122" s="2">
        <f>Tabla_Items_Inactivos[[#This Row],[EXISTENCIA]]*Tabla_Items_Inactivos[[#This Row],[COSTO]]</f>
        <v>12.56</v>
      </c>
    </row>
    <row r="123" spans="1:8">
      <c r="A123" t="s">
        <v>3300</v>
      </c>
      <c r="B123" t="s">
        <v>163</v>
      </c>
      <c r="C123" t="s">
        <v>164</v>
      </c>
      <c r="D123" t="s">
        <v>128</v>
      </c>
      <c r="E123" t="s">
        <v>125</v>
      </c>
      <c r="F123" s="2">
        <v>5.9630000000000001</v>
      </c>
      <c r="G123">
        <v>6</v>
      </c>
      <c r="H123" s="2">
        <f>Tabla_Items_Inactivos[[#This Row],[EXISTENCIA]]*Tabla_Items_Inactivos[[#This Row],[COSTO]]</f>
        <v>35.777999999999999</v>
      </c>
    </row>
    <row r="124" spans="1:8">
      <c r="A124" t="s">
        <v>3300</v>
      </c>
      <c r="B124" t="s">
        <v>165</v>
      </c>
      <c r="C124" t="s">
        <v>166</v>
      </c>
      <c r="D124" t="s">
        <v>128</v>
      </c>
      <c r="E124" t="s">
        <v>125</v>
      </c>
      <c r="F124" s="2">
        <v>5.79</v>
      </c>
      <c r="G124">
        <v>6</v>
      </c>
      <c r="H124" s="2">
        <f>Tabla_Items_Inactivos[[#This Row],[EXISTENCIA]]*Tabla_Items_Inactivos[[#This Row],[COSTO]]</f>
        <v>34.74</v>
      </c>
    </row>
    <row r="125" spans="1:8">
      <c r="A125" t="s">
        <v>3300</v>
      </c>
      <c r="B125" t="s">
        <v>167</v>
      </c>
      <c r="C125" t="s">
        <v>168</v>
      </c>
      <c r="D125" t="s">
        <v>128</v>
      </c>
      <c r="E125" t="s">
        <v>125</v>
      </c>
      <c r="F125" s="2">
        <v>5.79</v>
      </c>
      <c r="G125">
        <v>4</v>
      </c>
      <c r="H125" s="2">
        <f>Tabla_Items_Inactivos[[#This Row],[EXISTENCIA]]*Tabla_Items_Inactivos[[#This Row],[COSTO]]</f>
        <v>23.16</v>
      </c>
    </row>
    <row r="126" spans="1:8">
      <c r="A126" t="s">
        <v>3300</v>
      </c>
      <c r="B126" t="s">
        <v>169</v>
      </c>
      <c r="C126" t="s">
        <v>170</v>
      </c>
      <c r="D126" t="s">
        <v>128</v>
      </c>
      <c r="E126" t="s">
        <v>125</v>
      </c>
      <c r="F126" s="2">
        <v>5.79</v>
      </c>
      <c r="G126">
        <v>9</v>
      </c>
      <c r="H126" s="2">
        <f>Tabla_Items_Inactivos[[#This Row],[EXISTENCIA]]*Tabla_Items_Inactivos[[#This Row],[COSTO]]</f>
        <v>52.11</v>
      </c>
    </row>
    <row r="127" spans="1:8">
      <c r="A127" t="s">
        <v>3300</v>
      </c>
      <c r="B127" t="s">
        <v>171</v>
      </c>
      <c r="C127" t="s">
        <v>172</v>
      </c>
      <c r="D127" t="s">
        <v>128</v>
      </c>
      <c r="E127" t="s">
        <v>125</v>
      </c>
      <c r="F127" s="2">
        <v>6.36</v>
      </c>
      <c r="G127">
        <v>5</v>
      </c>
      <c r="H127" s="2">
        <f>Tabla_Items_Inactivos[[#This Row],[EXISTENCIA]]*Tabla_Items_Inactivos[[#This Row],[COSTO]]</f>
        <v>31.8</v>
      </c>
    </row>
    <row r="128" spans="1:8">
      <c r="A128" t="s">
        <v>3301</v>
      </c>
      <c r="B128" t="s">
        <v>2675</v>
      </c>
      <c r="C128" t="s">
        <v>2676</v>
      </c>
      <c r="D128" t="s">
        <v>128</v>
      </c>
      <c r="E128" t="s">
        <v>125</v>
      </c>
      <c r="F128" s="2">
        <v>8.5138999999999996</v>
      </c>
      <c r="G128">
        <v>6</v>
      </c>
      <c r="H128" s="2">
        <f>Tabla_Items_Inactivos[[#This Row],[EXISTENCIA]]*Tabla_Items_Inactivos[[#This Row],[COSTO]]</f>
        <v>51.083399999999997</v>
      </c>
    </row>
    <row r="129" spans="1:8">
      <c r="A129" t="s">
        <v>3300</v>
      </c>
      <c r="B129" t="s">
        <v>2675</v>
      </c>
      <c r="C129" t="s">
        <v>2676</v>
      </c>
      <c r="D129" t="s">
        <v>128</v>
      </c>
      <c r="E129" t="s">
        <v>125</v>
      </c>
      <c r="F129" s="2">
        <v>8.5138999999999996</v>
      </c>
      <c r="G129">
        <v>6</v>
      </c>
      <c r="H129" s="2">
        <f>Tabla_Items_Inactivos[[#This Row],[EXISTENCIA]]*Tabla_Items_Inactivos[[#This Row],[COSTO]]</f>
        <v>51.083399999999997</v>
      </c>
    </row>
    <row r="130" spans="1:8">
      <c r="A130" t="s">
        <v>3300</v>
      </c>
      <c r="B130" t="s">
        <v>3390</v>
      </c>
      <c r="C130" t="s">
        <v>3391</v>
      </c>
      <c r="D130" t="s">
        <v>128</v>
      </c>
      <c r="E130" t="s">
        <v>125</v>
      </c>
      <c r="F130" s="2">
        <v>9.2960999999999991</v>
      </c>
      <c r="G130">
        <v>4</v>
      </c>
      <c r="H130" s="2">
        <f>Tabla_Items_Inactivos[[#This Row],[EXISTENCIA]]*Tabla_Items_Inactivos[[#This Row],[COSTO]]</f>
        <v>37.184399999999997</v>
      </c>
    </row>
    <row r="131" spans="1:8">
      <c r="A131" t="s">
        <v>3301</v>
      </c>
      <c r="B131" t="s">
        <v>3390</v>
      </c>
      <c r="C131" t="s">
        <v>3391</v>
      </c>
      <c r="D131" t="s">
        <v>128</v>
      </c>
      <c r="E131" t="s">
        <v>125</v>
      </c>
      <c r="F131" s="2">
        <v>9.2960999999999991</v>
      </c>
      <c r="G131">
        <v>4</v>
      </c>
      <c r="H131" s="2">
        <f>Tabla_Items_Inactivos[[#This Row],[EXISTENCIA]]*Tabla_Items_Inactivos[[#This Row],[COSTO]]</f>
        <v>37.184399999999997</v>
      </c>
    </row>
    <row r="132" spans="1:8">
      <c r="A132" t="s">
        <v>3300</v>
      </c>
      <c r="B132" t="s">
        <v>2677</v>
      </c>
      <c r="C132" t="s">
        <v>2678</v>
      </c>
      <c r="D132" t="s">
        <v>128</v>
      </c>
      <c r="E132" t="s">
        <v>125</v>
      </c>
      <c r="F132" s="2">
        <v>5.2973999999999997</v>
      </c>
      <c r="G132">
        <v>8</v>
      </c>
      <c r="H132" s="2">
        <f>Tabla_Items_Inactivos[[#This Row],[EXISTENCIA]]*Tabla_Items_Inactivos[[#This Row],[COSTO]]</f>
        <v>42.379199999999997</v>
      </c>
    </row>
    <row r="133" spans="1:8">
      <c r="A133" t="s">
        <v>3301</v>
      </c>
      <c r="B133" t="s">
        <v>2677</v>
      </c>
      <c r="C133" t="s">
        <v>2678</v>
      </c>
      <c r="D133" t="s">
        <v>128</v>
      </c>
      <c r="E133" t="s">
        <v>125</v>
      </c>
      <c r="F133" s="2">
        <v>5.2973999999999997</v>
      </c>
      <c r="G133">
        <v>8</v>
      </c>
      <c r="H133" s="2">
        <f>Tabla_Items_Inactivos[[#This Row],[EXISTENCIA]]*Tabla_Items_Inactivos[[#This Row],[COSTO]]</f>
        <v>42.379199999999997</v>
      </c>
    </row>
    <row r="134" spans="1:8">
      <c r="A134" t="s">
        <v>3301</v>
      </c>
      <c r="B134" t="s">
        <v>2679</v>
      </c>
      <c r="C134" t="s">
        <v>2680</v>
      </c>
      <c r="D134" t="s">
        <v>128</v>
      </c>
      <c r="E134" t="s">
        <v>125</v>
      </c>
      <c r="F134" s="2">
        <v>15.575699999999999</v>
      </c>
      <c r="G134">
        <v>6</v>
      </c>
      <c r="H134" s="2">
        <f>Tabla_Items_Inactivos[[#This Row],[EXISTENCIA]]*Tabla_Items_Inactivos[[#This Row],[COSTO]]</f>
        <v>93.4542</v>
      </c>
    </row>
    <row r="135" spans="1:8">
      <c r="A135" t="s">
        <v>3300</v>
      </c>
      <c r="B135" t="s">
        <v>2679</v>
      </c>
      <c r="C135" t="s">
        <v>2680</v>
      </c>
      <c r="D135" t="s">
        <v>128</v>
      </c>
      <c r="E135" t="s">
        <v>125</v>
      </c>
      <c r="F135" s="2">
        <v>15.575699999999999</v>
      </c>
      <c r="G135">
        <v>6</v>
      </c>
      <c r="H135" s="2">
        <f>Tabla_Items_Inactivos[[#This Row],[EXISTENCIA]]*Tabla_Items_Inactivos[[#This Row],[COSTO]]</f>
        <v>93.4542</v>
      </c>
    </row>
    <row r="136" spans="1:8">
      <c r="A136" t="s">
        <v>3301</v>
      </c>
      <c r="B136" t="s">
        <v>173</v>
      </c>
      <c r="C136" t="s">
        <v>174</v>
      </c>
      <c r="D136" t="s">
        <v>3375</v>
      </c>
      <c r="E136" t="s">
        <v>125</v>
      </c>
      <c r="F136" s="2">
        <v>54.101100000000002</v>
      </c>
      <c r="G136">
        <v>1</v>
      </c>
      <c r="H136" s="2">
        <f>Tabla_Items_Inactivos[[#This Row],[EXISTENCIA]]*Tabla_Items_Inactivos[[#This Row],[COSTO]]</f>
        <v>54.101100000000002</v>
      </c>
    </row>
    <row r="137" spans="1:8">
      <c r="A137" t="s">
        <v>3300</v>
      </c>
      <c r="B137" t="s">
        <v>173</v>
      </c>
      <c r="C137" t="s">
        <v>174</v>
      </c>
      <c r="D137" t="s">
        <v>3375</v>
      </c>
      <c r="E137" t="s">
        <v>125</v>
      </c>
      <c r="F137" s="2">
        <v>54.101100000000002</v>
      </c>
      <c r="G137">
        <v>1</v>
      </c>
      <c r="H137" s="2">
        <f>Tabla_Items_Inactivos[[#This Row],[EXISTENCIA]]*Tabla_Items_Inactivos[[#This Row],[COSTO]]</f>
        <v>54.101100000000002</v>
      </c>
    </row>
    <row r="138" spans="1:8">
      <c r="A138" t="s">
        <v>3300</v>
      </c>
      <c r="B138" t="s">
        <v>175</v>
      </c>
      <c r="C138" t="s">
        <v>176</v>
      </c>
      <c r="D138" t="s">
        <v>3375</v>
      </c>
      <c r="E138" t="s">
        <v>125</v>
      </c>
      <c r="F138" s="2">
        <v>77.523200000000003</v>
      </c>
      <c r="G138">
        <v>1</v>
      </c>
      <c r="H138" s="2">
        <f>Tabla_Items_Inactivos[[#This Row],[EXISTENCIA]]*Tabla_Items_Inactivos[[#This Row],[COSTO]]</f>
        <v>77.523200000000003</v>
      </c>
    </row>
    <row r="139" spans="1:8">
      <c r="A139" t="s">
        <v>3301</v>
      </c>
      <c r="B139" t="s">
        <v>175</v>
      </c>
      <c r="C139" t="s">
        <v>176</v>
      </c>
      <c r="D139" t="s">
        <v>3375</v>
      </c>
      <c r="E139" t="s">
        <v>125</v>
      </c>
      <c r="F139" s="2">
        <v>77.523200000000003</v>
      </c>
      <c r="G139">
        <v>1</v>
      </c>
      <c r="H139" s="2">
        <f>Tabla_Items_Inactivos[[#This Row],[EXISTENCIA]]*Tabla_Items_Inactivos[[#This Row],[COSTO]]</f>
        <v>77.523200000000003</v>
      </c>
    </row>
    <row r="140" spans="1:8">
      <c r="A140" t="s">
        <v>3301</v>
      </c>
      <c r="B140" t="s">
        <v>2681</v>
      </c>
      <c r="C140" t="s">
        <v>2682</v>
      </c>
      <c r="D140" t="s">
        <v>128</v>
      </c>
      <c r="E140" t="s">
        <v>125</v>
      </c>
      <c r="F140" s="2">
        <v>2.9241999999999999</v>
      </c>
      <c r="G140">
        <v>5</v>
      </c>
      <c r="H140" s="2">
        <f>Tabla_Items_Inactivos[[#This Row],[EXISTENCIA]]*Tabla_Items_Inactivos[[#This Row],[COSTO]]</f>
        <v>14.620999999999999</v>
      </c>
    </row>
    <row r="141" spans="1:8">
      <c r="A141" t="s">
        <v>3300</v>
      </c>
      <c r="B141" t="s">
        <v>2681</v>
      </c>
      <c r="C141" t="s">
        <v>2682</v>
      </c>
      <c r="D141" t="s">
        <v>128</v>
      </c>
      <c r="E141" t="s">
        <v>125</v>
      </c>
      <c r="F141" s="2">
        <v>2.9241999999999999</v>
      </c>
      <c r="G141">
        <v>5</v>
      </c>
      <c r="H141" s="2">
        <f>Tabla_Items_Inactivos[[#This Row],[EXISTENCIA]]*Tabla_Items_Inactivos[[#This Row],[COSTO]]</f>
        <v>14.620999999999999</v>
      </c>
    </row>
    <row r="142" spans="1:8">
      <c r="A142" t="s">
        <v>3300</v>
      </c>
      <c r="B142" t="s">
        <v>3392</v>
      </c>
      <c r="C142" t="s">
        <v>3393</v>
      </c>
      <c r="D142" t="s">
        <v>128</v>
      </c>
      <c r="E142" t="s">
        <v>125</v>
      </c>
      <c r="F142" s="2">
        <v>2.9241999999999999</v>
      </c>
      <c r="G142">
        <v>2</v>
      </c>
      <c r="H142" s="2">
        <f>Tabla_Items_Inactivos[[#This Row],[EXISTENCIA]]*Tabla_Items_Inactivos[[#This Row],[COSTO]]</f>
        <v>5.8483999999999998</v>
      </c>
    </row>
    <row r="143" spans="1:8">
      <c r="A143" t="s">
        <v>3301</v>
      </c>
      <c r="B143" t="s">
        <v>3392</v>
      </c>
      <c r="C143" t="s">
        <v>3393</v>
      </c>
      <c r="D143" t="s">
        <v>128</v>
      </c>
      <c r="E143" t="s">
        <v>125</v>
      </c>
      <c r="F143" s="2">
        <v>2.9241999999999999</v>
      </c>
      <c r="G143">
        <v>2</v>
      </c>
      <c r="H143" s="2">
        <f>Tabla_Items_Inactivos[[#This Row],[EXISTENCIA]]*Tabla_Items_Inactivos[[#This Row],[COSTO]]</f>
        <v>5.8483999999999998</v>
      </c>
    </row>
    <row r="144" spans="1:8">
      <c r="A144" t="s">
        <v>3300</v>
      </c>
      <c r="B144" t="s">
        <v>177</v>
      </c>
      <c r="C144" t="s">
        <v>178</v>
      </c>
      <c r="D144" t="s">
        <v>131</v>
      </c>
      <c r="E144" t="s">
        <v>125</v>
      </c>
      <c r="F144" s="2">
        <v>9.4</v>
      </c>
      <c r="G144">
        <v>1</v>
      </c>
      <c r="H144" s="2">
        <f>Tabla_Items_Inactivos[[#This Row],[EXISTENCIA]]*Tabla_Items_Inactivos[[#This Row],[COSTO]]</f>
        <v>9.4</v>
      </c>
    </row>
    <row r="145" spans="1:8">
      <c r="A145" t="s">
        <v>3300</v>
      </c>
      <c r="B145" t="s">
        <v>3394</v>
      </c>
      <c r="C145" t="s">
        <v>3395</v>
      </c>
      <c r="D145" t="s">
        <v>131</v>
      </c>
      <c r="E145" t="s">
        <v>125</v>
      </c>
      <c r="F145" s="2">
        <v>22.774999999999999</v>
      </c>
      <c r="G145">
        <v>2</v>
      </c>
      <c r="H145" s="2">
        <f>Tabla_Items_Inactivos[[#This Row],[EXISTENCIA]]*Tabla_Items_Inactivos[[#This Row],[COSTO]]</f>
        <v>45.55</v>
      </c>
    </row>
    <row r="146" spans="1:8">
      <c r="A146" t="s">
        <v>3300</v>
      </c>
      <c r="B146" t="s">
        <v>2683</v>
      </c>
      <c r="C146" t="s">
        <v>2684</v>
      </c>
      <c r="D146" t="s">
        <v>131</v>
      </c>
      <c r="E146" t="s">
        <v>125</v>
      </c>
      <c r="F146" s="2">
        <v>9.2870000000000008</v>
      </c>
      <c r="G146">
        <v>9</v>
      </c>
      <c r="H146" s="2">
        <f>Tabla_Items_Inactivos[[#This Row],[EXISTENCIA]]*Tabla_Items_Inactivos[[#This Row],[COSTO]]</f>
        <v>83.583000000000013</v>
      </c>
    </row>
    <row r="147" spans="1:8">
      <c r="A147" t="s">
        <v>3300</v>
      </c>
      <c r="B147" t="s">
        <v>179</v>
      </c>
      <c r="C147" t="s">
        <v>180</v>
      </c>
      <c r="D147" t="s">
        <v>131</v>
      </c>
      <c r="E147" t="s">
        <v>125</v>
      </c>
      <c r="F147" s="2">
        <v>11.57</v>
      </c>
      <c r="G147">
        <v>1</v>
      </c>
      <c r="H147" s="2">
        <f>Tabla_Items_Inactivos[[#This Row],[EXISTENCIA]]*Tabla_Items_Inactivos[[#This Row],[COSTO]]</f>
        <v>11.57</v>
      </c>
    </row>
    <row r="148" spans="1:8">
      <c r="A148" t="s">
        <v>3300</v>
      </c>
      <c r="B148" t="s">
        <v>181</v>
      </c>
      <c r="C148" t="s">
        <v>182</v>
      </c>
      <c r="D148" t="s">
        <v>131</v>
      </c>
      <c r="E148" t="s">
        <v>125</v>
      </c>
      <c r="F148" s="2">
        <v>21.31</v>
      </c>
      <c r="G148">
        <v>1</v>
      </c>
      <c r="H148" s="2">
        <f>Tabla_Items_Inactivos[[#This Row],[EXISTENCIA]]*Tabla_Items_Inactivos[[#This Row],[COSTO]]</f>
        <v>21.31</v>
      </c>
    </row>
    <row r="149" spans="1:8">
      <c r="A149" t="s">
        <v>3300</v>
      </c>
      <c r="B149" t="s">
        <v>183</v>
      </c>
      <c r="C149" t="s">
        <v>184</v>
      </c>
      <c r="D149" t="s">
        <v>131</v>
      </c>
      <c r="E149" t="s">
        <v>125</v>
      </c>
      <c r="F149" s="2">
        <v>18.059999999999999</v>
      </c>
      <c r="G149">
        <v>1</v>
      </c>
      <c r="H149" s="2">
        <f>Tabla_Items_Inactivos[[#This Row],[EXISTENCIA]]*Tabla_Items_Inactivos[[#This Row],[COSTO]]</f>
        <v>18.059999999999999</v>
      </c>
    </row>
    <row r="150" spans="1:8">
      <c r="A150" t="s">
        <v>3300</v>
      </c>
      <c r="B150" t="s">
        <v>3396</v>
      </c>
      <c r="C150" t="s">
        <v>3397</v>
      </c>
      <c r="D150" t="s">
        <v>131</v>
      </c>
      <c r="E150" t="s">
        <v>125</v>
      </c>
      <c r="F150" s="2">
        <v>255.96700000000001</v>
      </c>
      <c r="G150">
        <v>3</v>
      </c>
      <c r="H150" s="2">
        <f>Tabla_Items_Inactivos[[#This Row],[EXISTENCIA]]*Tabla_Items_Inactivos[[#This Row],[COSTO]]</f>
        <v>767.90100000000007</v>
      </c>
    </row>
    <row r="151" spans="1:8">
      <c r="A151" t="s">
        <v>3301</v>
      </c>
      <c r="B151" t="s">
        <v>2685</v>
      </c>
      <c r="C151" t="s">
        <v>2686</v>
      </c>
      <c r="D151" t="s">
        <v>128</v>
      </c>
      <c r="E151" t="s">
        <v>125</v>
      </c>
      <c r="F151" s="2">
        <v>2.9241999999999999</v>
      </c>
      <c r="G151">
        <v>5</v>
      </c>
      <c r="H151" s="2">
        <f>Tabla_Items_Inactivos[[#This Row],[EXISTENCIA]]*Tabla_Items_Inactivos[[#This Row],[COSTO]]</f>
        <v>14.620999999999999</v>
      </c>
    </row>
    <row r="152" spans="1:8">
      <c r="A152" t="s">
        <v>3300</v>
      </c>
      <c r="B152" t="s">
        <v>2685</v>
      </c>
      <c r="C152" t="s">
        <v>2686</v>
      </c>
      <c r="D152" t="s">
        <v>128</v>
      </c>
      <c r="E152" t="s">
        <v>125</v>
      </c>
      <c r="F152" s="2">
        <v>2.9241999999999999</v>
      </c>
      <c r="G152">
        <v>5</v>
      </c>
      <c r="H152" s="2">
        <f>Tabla_Items_Inactivos[[#This Row],[EXISTENCIA]]*Tabla_Items_Inactivos[[#This Row],[COSTO]]</f>
        <v>14.620999999999999</v>
      </c>
    </row>
    <row r="153" spans="1:8">
      <c r="A153" t="s">
        <v>3300</v>
      </c>
      <c r="B153" t="s">
        <v>2687</v>
      </c>
      <c r="C153" t="s">
        <v>2688</v>
      </c>
      <c r="D153" t="s">
        <v>131</v>
      </c>
      <c r="E153" t="s">
        <v>125</v>
      </c>
      <c r="F153" s="2">
        <v>9.2870000000000008</v>
      </c>
      <c r="G153">
        <v>9</v>
      </c>
      <c r="H153" s="2">
        <f>Tabla_Items_Inactivos[[#This Row],[EXISTENCIA]]*Tabla_Items_Inactivos[[#This Row],[COSTO]]</f>
        <v>83.583000000000013</v>
      </c>
    </row>
    <row r="154" spans="1:8">
      <c r="A154" t="s">
        <v>3300</v>
      </c>
      <c r="B154" t="s">
        <v>3398</v>
      </c>
      <c r="C154" t="s">
        <v>3399</v>
      </c>
      <c r="D154" t="s">
        <v>141</v>
      </c>
      <c r="E154" t="s">
        <v>125</v>
      </c>
      <c r="F154" s="2">
        <v>10.730399999999999</v>
      </c>
      <c r="G154">
        <v>1</v>
      </c>
      <c r="H154" s="2">
        <f>Tabla_Items_Inactivos[[#This Row],[EXISTENCIA]]*Tabla_Items_Inactivos[[#This Row],[COSTO]]</f>
        <v>10.730399999999999</v>
      </c>
    </row>
    <row r="155" spans="1:8">
      <c r="A155" t="s">
        <v>3301</v>
      </c>
      <c r="B155" t="s">
        <v>3398</v>
      </c>
      <c r="C155" t="s">
        <v>3399</v>
      </c>
      <c r="D155" t="s">
        <v>141</v>
      </c>
      <c r="E155" t="s">
        <v>125</v>
      </c>
      <c r="F155" s="2">
        <v>10.730399999999999</v>
      </c>
      <c r="G155">
        <v>1</v>
      </c>
      <c r="H155" s="2">
        <f>Tabla_Items_Inactivos[[#This Row],[EXISTENCIA]]*Tabla_Items_Inactivos[[#This Row],[COSTO]]</f>
        <v>10.730399999999999</v>
      </c>
    </row>
    <row r="156" spans="1:8">
      <c r="A156" t="s">
        <v>3300</v>
      </c>
      <c r="B156" t="s">
        <v>185</v>
      </c>
      <c r="C156" t="s">
        <v>186</v>
      </c>
      <c r="D156" t="s">
        <v>187</v>
      </c>
      <c r="E156" t="s">
        <v>125</v>
      </c>
      <c r="F156" s="2">
        <v>70.819000000000003</v>
      </c>
      <c r="G156">
        <v>5</v>
      </c>
      <c r="H156" s="2">
        <f>Tabla_Items_Inactivos[[#This Row],[EXISTENCIA]]*Tabla_Items_Inactivos[[#This Row],[COSTO]]</f>
        <v>354.09500000000003</v>
      </c>
    </row>
    <row r="157" spans="1:8">
      <c r="A157" t="s">
        <v>3300</v>
      </c>
      <c r="B157" t="s">
        <v>188</v>
      </c>
      <c r="C157" t="s">
        <v>189</v>
      </c>
      <c r="D157" t="s">
        <v>1821</v>
      </c>
      <c r="E157" t="s">
        <v>125</v>
      </c>
      <c r="F157" s="2">
        <v>124.462</v>
      </c>
      <c r="G157">
        <v>8</v>
      </c>
      <c r="H157" s="2">
        <f>Tabla_Items_Inactivos[[#This Row],[EXISTENCIA]]*Tabla_Items_Inactivos[[#This Row],[COSTO]]</f>
        <v>995.69600000000003</v>
      </c>
    </row>
    <row r="158" spans="1:8">
      <c r="A158" t="s">
        <v>3301</v>
      </c>
      <c r="B158" t="s">
        <v>188</v>
      </c>
      <c r="C158" t="s">
        <v>189</v>
      </c>
      <c r="D158" t="s">
        <v>1821</v>
      </c>
      <c r="E158" t="s">
        <v>125</v>
      </c>
      <c r="F158" s="2">
        <v>124.462</v>
      </c>
      <c r="G158">
        <v>8</v>
      </c>
      <c r="H158" s="2">
        <f>Tabla_Items_Inactivos[[#This Row],[EXISTENCIA]]*Tabla_Items_Inactivos[[#This Row],[COSTO]]</f>
        <v>995.69600000000003</v>
      </c>
    </row>
    <row r="159" spans="1:8">
      <c r="A159" t="s">
        <v>3301</v>
      </c>
      <c r="B159" t="s">
        <v>3400</v>
      </c>
      <c r="C159" t="s">
        <v>3401</v>
      </c>
      <c r="D159" t="s">
        <v>1847</v>
      </c>
      <c r="E159" t="s">
        <v>125</v>
      </c>
      <c r="F159" s="2">
        <v>670.42110000000002</v>
      </c>
      <c r="G159">
        <v>1</v>
      </c>
      <c r="H159" s="2">
        <f>Tabla_Items_Inactivos[[#This Row],[EXISTENCIA]]*Tabla_Items_Inactivos[[#This Row],[COSTO]]</f>
        <v>670.42110000000002</v>
      </c>
    </row>
    <row r="160" spans="1:8">
      <c r="A160" t="s">
        <v>3300</v>
      </c>
      <c r="B160" t="s">
        <v>3400</v>
      </c>
      <c r="C160" t="s">
        <v>3401</v>
      </c>
      <c r="D160" t="s">
        <v>1847</v>
      </c>
      <c r="E160" t="s">
        <v>125</v>
      </c>
      <c r="F160" s="2">
        <v>670.42110000000002</v>
      </c>
      <c r="G160">
        <v>1</v>
      </c>
      <c r="H160" s="2">
        <f>Tabla_Items_Inactivos[[#This Row],[EXISTENCIA]]*Tabla_Items_Inactivos[[#This Row],[COSTO]]</f>
        <v>670.42110000000002</v>
      </c>
    </row>
    <row r="161" spans="1:8">
      <c r="A161" t="s">
        <v>3300</v>
      </c>
      <c r="B161" t="s">
        <v>3402</v>
      </c>
      <c r="C161" t="s">
        <v>3403</v>
      </c>
      <c r="D161" t="s">
        <v>141</v>
      </c>
      <c r="E161" t="s">
        <v>125</v>
      </c>
      <c r="F161" s="2">
        <v>44.420999999999999</v>
      </c>
      <c r="G161">
        <v>8</v>
      </c>
      <c r="H161" s="2">
        <f>Tabla_Items_Inactivos[[#This Row],[EXISTENCIA]]*Tabla_Items_Inactivos[[#This Row],[COSTO]]</f>
        <v>355.36799999999999</v>
      </c>
    </row>
    <row r="162" spans="1:8">
      <c r="A162" t="s">
        <v>3300</v>
      </c>
      <c r="B162" t="s">
        <v>190</v>
      </c>
      <c r="C162" t="s">
        <v>191</v>
      </c>
      <c r="D162" t="s">
        <v>141</v>
      </c>
      <c r="E162" t="s">
        <v>125</v>
      </c>
      <c r="F162" s="2">
        <v>32.228000000000002</v>
      </c>
      <c r="G162">
        <v>5</v>
      </c>
      <c r="H162" s="2">
        <f>Tabla_Items_Inactivos[[#This Row],[EXISTENCIA]]*Tabla_Items_Inactivos[[#This Row],[COSTO]]</f>
        <v>161.14000000000001</v>
      </c>
    </row>
    <row r="163" spans="1:8">
      <c r="A163" t="s">
        <v>3300</v>
      </c>
      <c r="B163" t="s">
        <v>2689</v>
      </c>
      <c r="C163" t="s">
        <v>2690</v>
      </c>
      <c r="D163" t="s">
        <v>31</v>
      </c>
      <c r="E163" t="s">
        <v>125</v>
      </c>
      <c r="F163" s="2">
        <v>32.228000000000002</v>
      </c>
      <c r="G163">
        <v>5</v>
      </c>
      <c r="H163" s="2">
        <f>Tabla_Items_Inactivos[[#This Row],[EXISTENCIA]]*Tabla_Items_Inactivos[[#This Row],[COSTO]]</f>
        <v>161.14000000000001</v>
      </c>
    </row>
    <row r="164" spans="1:8">
      <c r="A164" t="s">
        <v>3300</v>
      </c>
      <c r="B164" t="s">
        <v>3404</v>
      </c>
      <c r="C164" t="s">
        <v>3405</v>
      </c>
      <c r="D164" t="s">
        <v>141</v>
      </c>
      <c r="E164" t="s">
        <v>125</v>
      </c>
      <c r="F164" s="2">
        <v>65.608000000000004</v>
      </c>
      <c r="G164">
        <v>2</v>
      </c>
      <c r="H164" s="2">
        <f>Tabla_Items_Inactivos[[#This Row],[EXISTENCIA]]*Tabla_Items_Inactivos[[#This Row],[COSTO]]</f>
        <v>131.21600000000001</v>
      </c>
    </row>
    <row r="165" spans="1:8">
      <c r="A165" t="s">
        <v>3300</v>
      </c>
      <c r="B165" t="s">
        <v>2691</v>
      </c>
      <c r="C165" t="s">
        <v>2692</v>
      </c>
      <c r="D165" t="s">
        <v>141</v>
      </c>
      <c r="E165" t="s">
        <v>125</v>
      </c>
      <c r="F165" s="2">
        <v>2.1705000000000001</v>
      </c>
      <c r="G165">
        <v>15</v>
      </c>
      <c r="H165" s="2">
        <f>Tabla_Items_Inactivos[[#This Row],[EXISTENCIA]]*Tabla_Items_Inactivos[[#This Row],[COSTO]]</f>
        <v>32.557500000000005</v>
      </c>
    </row>
    <row r="166" spans="1:8">
      <c r="A166" t="s">
        <v>3301</v>
      </c>
      <c r="B166" t="s">
        <v>2691</v>
      </c>
      <c r="C166" t="s">
        <v>2692</v>
      </c>
      <c r="D166" t="s">
        <v>141</v>
      </c>
      <c r="E166" t="s">
        <v>125</v>
      </c>
      <c r="F166" s="2">
        <v>2.1705000000000001</v>
      </c>
      <c r="G166">
        <v>15</v>
      </c>
      <c r="H166" s="2">
        <f>Tabla_Items_Inactivos[[#This Row],[EXISTENCIA]]*Tabla_Items_Inactivos[[#This Row],[COSTO]]</f>
        <v>32.557500000000005</v>
      </c>
    </row>
    <row r="167" spans="1:8">
      <c r="A167" t="s">
        <v>3300</v>
      </c>
      <c r="B167" t="s">
        <v>3406</v>
      </c>
      <c r="C167" t="s">
        <v>3407</v>
      </c>
      <c r="D167" t="s">
        <v>3375</v>
      </c>
      <c r="E167" t="s">
        <v>125</v>
      </c>
      <c r="F167" s="2">
        <v>129.22739999999999</v>
      </c>
      <c r="G167">
        <v>1</v>
      </c>
      <c r="H167" s="2">
        <f>Tabla_Items_Inactivos[[#This Row],[EXISTENCIA]]*Tabla_Items_Inactivos[[#This Row],[COSTO]]</f>
        <v>129.22739999999999</v>
      </c>
    </row>
    <row r="168" spans="1:8">
      <c r="A168" t="s">
        <v>3301</v>
      </c>
      <c r="B168" t="s">
        <v>3406</v>
      </c>
      <c r="C168" t="s">
        <v>3407</v>
      </c>
      <c r="D168" t="s">
        <v>3375</v>
      </c>
      <c r="E168" t="s">
        <v>125</v>
      </c>
      <c r="F168" s="2">
        <v>129.22739999999999</v>
      </c>
      <c r="G168">
        <v>1</v>
      </c>
      <c r="H168" s="2">
        <f>Tabla_Items_Inactivos[[#This Row],[EXISTENCIA]]*Tabla_Items_Inactivos[[#This Row],[COSTO]]</f>
        <v>129.22739999999999</v>
      </c>
    </row>
    <row r="169" spans="1:8">
      <c r="A169" t="s">
        <v>3300</v>
      </c>
      <c r="B169" t="s">
        <v>192</v>
      </c>
      <c r="C169" t="s">
        <v>193</v>
      </c>
      <c r="D169" t="s">
        <v>31</v>
      </c>
      <c r="E169" t="s">
        <v>1931</v>
      </c>
      <c r="F169" s="2">
        <v>19.809999999999999</v>
      </c>
      <c r="G169">
        <v>1</v>
      </c>
      <c r="H169" s="2">
        <f>Tabla_Items_Inactivos[[#This Row],[EXISTENCIA]]*Tabla_Items_Inactivos[[#This Row],[COSTO]]</f>
        <v>19.809999999999999</v>
      </c>
    </row>
    <row r="170" spans="1:8">
      <c r="A170" t="s">
        <v>3300</v>
      </c>
      <c r="B170" t="s">
        <v>3408</v>
      </c>
      <c r="C170" t="s">
        <v>2542</v>
      </c>
      <c r="D170" t="s">
        <v>128</v>
      </c>
      <c r="E170" t="s">
        <v>125</v>
      </c>
      <c r="F170" s="2">
        <v>5.5359999999999996</v>
      </c>
      <c r="G170">
        <v>30</v>
      </c>
      <c r="H170" s="2">
        <f>Tabla_Items_Inactivos[[#This Row],[EXISTENCIA]]*Tabla_Items_Inactivos[[#This Row],[COSTO]]</f>
        <v>166.07999999999998</v>
      </c>
    </row>
    <row r="171" spans="1:8">
      <c r="A171" t="s">
        <v>3300</v>
      </c>
      <c r="B171" t="s">
        <v>194</v>
      </c>
      <c r="C171" t="s">
        <v>195</v>
      </c>
      <c r="D171" t="s">
        <v>141</v>
      </c>
      <c r="E171" t="s">
        <v>125</v>
      </c>
      <c r="F171" s="2">
        <v>119.12</v>
      </c>
      <c r="G171">
        <v>1</v>
      </c>
      <c r="H171" s="2">
        <f>Tabla_Items_Inactivos[[#This Row],[EXISTENCIA]]*Tabla_Items_Inactivos[[#This Row],[COSTO]]</f>
        <v>119.12</v>
      </c>
    </row>
    <row r="172" spans="1:8">
      <c r="A172" t="s">
        <v>3300</v>
      </c>
      <c r="B172" t="s">
        <v>196</v>
      </c>
      <c r="C172" t="s">
        <v>197</v>
      </c>
      <c r="D172" t="s">
        <v>141</v>
      </c>
      <c r="E172" t="s">
        <v>125</v>
      </c>
      <c r="F172" s="2">
        <v>109.69</v>
      </c>
      <c r="G172">
        <v>1</v>
      </c>
      <c r="H172" s="2">
        <f>Tabla_Items_Inactivos[[#This Row],[EXISTENCIA]]*Tabla_Items_Inactivos[[#This Row],[COSTO]]</f>
        <v>109.69</v>
      </c>
    </row>
    <row r="173" spans="1:8">
      <c r="A173" t="s">
        <v>3300</v>
      </c>
      <c r="B173" t="s">
        <v>198</v>
      </c>
      <c r="C173" t="s">
        <v>199</v>
      </c>
      <c r="D173" t="s">
        <v>128</v>
      </c>
      <c r="E173" t="s">
        <v>125</v>
      </c>
      <c r="F173" s="2">
        <v>25.95</v>
      </c>
      <c r="G173">
        <v>1</v>
      </c>
      <c r="H173" s="2">
        <f>Tabla_Items_Inactivos[[#This Row],[EXISTENCIA]]*Tabla_Items_Inactivos[[#This Row],[COSTO]]</f>
        <v>25.95</v>
      </c>
    </row>
    <row r="174" spans="1:8">
      <c r="A174" t="s">
        <v>3300</v>
      </c>
      <c r="B174" t="s">
        <v>3409</v>
      </c>
      <c r="C174" t="s">
        <v>3410</v>
      </c>
      <c r="D174" t="s">
        <v>3411</v>
      </c>
      <c r="E174" t="s">
        <v>125</v>
      </c>
      <c r="F174" s="2">
        <v>27.610900000000001</v>
      </c>
      <c r="G174">
        <v>1</v>
      </c>
      <c r="H174" s="2">
        <f>Tabla_Items_Inactivos[[#This Row],[EXISTENCIA]]*Tabla_Items_Inactivos[[#This Row],[COSTO]]</f>
        <v>27.610900000000001</v>
      </c>
    </row>
    <row r="175" spans="1:8">
      <c r="A175" t="s">
        <v>3301</v>
      </c>
      <c r="B175" t="s">
        <v>3409</v>
      </c>
      <c r="C175" t="s">
        <v>3410</v>
      </c>
      <c r="D175" t="s">
        <v>3411</v>
      </c>
      <c r="E175" t="s">
        <v>125</v>
      </c>
      <c r="F175" s="2">
        <v>27.610900000000001</v>
      </c>
      <c r="G175">
        <v>1</v>
      </c>
      <c r="H175" s="2">
        <f>Tabla_Items_Inactivos[[#This Row],[EXISTENCIA]]*Tabla_Items_Inactivos[[#This Row],[COSTO]]</f>
        <v>27.610900000000001</v>
      </c>
    </row>
    <row r="176" spans="1:8">
      <c r="A176" t="s">
        <v>3300</v>
      </c>
      <c r="B176" t="s">
        <v>3412</v>
      </c>
      <c r="C176" t="s">
        <v>3413</v>
      </c>
      <c r="D176" t="s">
        <v>141</v>
      </c>
      <c r="E176" t="s">
        <v>125</v>
      </c>
      <c r="F176" s="2">
        <v>215.84</v>
      </c>
      <c r="G176">
        <v>2</v>
      </c>
      <c r="H176" s="2">
        <f>Tabla_Items_Inactivos[[#This Row],[EXISTENCIA]]*Tabla_Items_Inactivos[[#This Row],[COSTO]]</f>
        <v>431.68</v>
      </c>
    </row>
    <row r="177" spans="1:8">
      <c r="A177" t="s">
        <v>3300</v>
      </c>
      <c r="B177" t="s">
        <v>2693</v>
      </c>
      <c r="C177" t="s">
        <v>2694</v>
      </c>
      <c r="D177" t="s">
        <v>131</v>
      </c>
      <c r="E177" t="s">
        <v>125</v>
      </c>
      <c r="F177" s="2">
        <v>207.02</v>
      </c>
      <c r="G177">
        <v>1</v>
      </c>
      <c r="H177" s="2">
        <f>Tabla_Items_Inactivos[[#This Row],[EXISTENCIA]]*Tabla_Items_Inactivos[[#This Row],[COSTO]]</f>
        <v>207.02</v>
      </c>
    </row>
    <row r="178" spans="1:8">
      <c r="A178" t="s">
        <v>3300</v>
      </c>
      <c r="B178" t="s">
        <v>201</v>
      </c>
      <c r="C178" t="s">
        <v>202</v>
      </c>
      <c r="D178" t="s">
        <v>203</v>
      </c>
      <c r="E178" t="s">
        <v>125</v>
      </c>
      <c r="F178" s="2">
        <v>653.46839999999997</v>
      </c>
      <c r="G178">
        <v>1</v>
      </c>
      <c r="H178" s="2">
        <f>Tabla_Items_Inactivos[[#This Row],[EXISTENCIA]]*Tabla_Items_Inactivos[[#This Row],[COSTO]]</f>
        <v>653.46839999999997</v>
      </c>
    </row>
    <row r="179" spans="1:8">
      <c r="A179" t="s">
        <v>3301</v>
      </c>
      <c r="B179" t="s">
        <v>201</v>
      </c>
      <c r="C179" t="s">
        <v>202</v>
      </c>
      <c r="D179" t="s">
        <v>203</v>
      </c>
      <c r="E179" t="s">
        <v>125</v>
      </c>
      <c r="F179" s="2">
        <v>653.46839999999997</v>
      </c>
      <c r="G179">
        <v>1</v>
      </c>
      <c r="H179" s="2">
        <f>Tabla_Items_Inactivos[[#This Row],[EXISTENCIA]]*Tabla_Items_Inactivos[[#This Row],[COSTO]]</f>
        <v>653.46839999999997</v>
      </c>
    </row>
    <row r="180" spans="1:8">
      <c r="A180" t="s">
        <v>3300</v>
      </c>
      <c r="B180" t="s">
        <v>3414</v>
      </c>
      <c r="C180" t="s">
        <v>3415</v>
      </c>
      <c r="D180" t="s">
        <v>203</v>
      </c>
      <c r="E180" t="s">
        <v>125</v>
      </c>
      <c r="F180" s="2">
        <v>905.41890000000001</v>
      </c>
      <c r="G180">
        <v>1</v>
      </c>
      <c r="H180" s="2">
        <f>Tabla_Items_Inactivos[[#This Row],[EXISTENCIA]]*Tabla_Items_Inactivos[[#This Row],[COSTO]]</f>
        <v>905.41890000000001</v>
      </c>
    </row>
    <row r="181" spans="1:8">
      <c r="A181" t="s">
        <v>3301</v>
      </c>
      <c r="B181" t="s">
        <v>3414</v>
      </c>
      <c r="C181" t="s">
        <v>3415</v>
      </c>
      <c r="D181" t="s">
        <v>203</v>
      </c>
      <c r="E181" t="s">
        <v>125</v>
      </c>
      <c r="F181" s="2">
        <v>905.41890000000001</v>
      </c>
      <c r="G181">
        <v>1</v>
      </c>
      <c r="H181" s="2">
        <f>Tabla_Items_Inactivos[[#This Row],[EXISTENCIA]]*Tabla_Items_Inactivos[[#This Row],[COSTO]]</f>
        <v>905.41890000000001</v>
      </c>
    </row>
    <row r="182" spans="1:8">
      <c r="A182" t="s">
        <v>3300</v>
      </c>
      <c r="B182" t="s">
        <v>3416</v>
      </c>
      <c r="C182" t="s">
        <v>3417</v>
      </c>
      <c r="D182" t="s">
        <v>203</v>
      </c>
      <c r="E182" t="s">
        <v>125</v>
      </c>
      <c r="F182" s="2">
        <v>435.05419999999998</v>
      </c>
      <c r="G182">
        <v>3</v>
      </c>
      <c r="H182" s="2">
        <f>Tabla_Items_Inactivos[[#This Row],[EXISTENCIA]]*Tabla_Items_Inactivos[[#This Row],[COSTO]]</f>
        <v>1305.1625999999999</v>
      </c>
    </row>
    <row r="183" spans="1:8">
      <c r="A183" t="s">
        <v>3301</v>
      </c>
      <c r="B183" t="s">
        <v>3416</v>
      </c>
      <c r="C183" t="s">
        <v>3417</v>
      </c>
      <c r="D183" t="s">
        <v>203</v>
      </c>
      <c r="E183" t="s">
        <v>125</v>
      </c>
      <c r="F183" s="2">
        <v>435.05419999999998</v>
      </c>
      <c r="G183">
        <v>3</v>
      </c>
      <c r="H183" s="2">
        <f>Tabla_Items_Inactivos[[#This Row],[EXISTENCIA]]*Tabla_Items_Inactivos[[#This Row],[COSTO]]</f>
        <v>1305.1625999999999</v>
      </c>
    </row>
    <row r="184" spans="1:8">
      <c r="A184" t="s">
        <v>3300</v>
      </c>
      <c r="B184" t="s">
        <v>3418</v>
      </c>
      <c r="C184" t="s">
        <v>3419</v>
      </c>
      <c r="D184" t="s">
        <v>203</v>
      </c>
      <c r="E184" t="s">
        <v>125</v>
      </c>
      <c r="F184" s="2">
        <v>687.08159999999998</v>
      </c>
      <c r="G184">
        <v>3</v>
      </c>
      <c r="H184" s="2">
        <f>Tabla_Items_Inactivos[[#This Row],[EXISTENCIA]]*Tabla_Items_Inactivos[[#This Row],[COSTO]]</f>
        <v>2061.2447999999999</v>
      </c>
    </row>
    <row r="185" spans="1:8">
      <c r="A185" t="s">
        <v>3301</v>
      </c>
      <c r="B185" t="s">
        <v>3418</v>
      </c>
      <c r="C185" t="s">
        <v>3419</v>
      </c>
      <c r="D185" t="s">
        <v>203</v>
      </c>
      <c r="E185" t="s">
        <v>125</v>
      </c>
      <c r="F185" s="2">
        <v>687.08159999999998</v>
      </c>
      <c r="G185">
        <v>3</v>
      </c>
      <c r="H185" s="2">
        <f>Tabla_Items_Inactivos[[#This Row],[EXISTENCIA]]*Tabla_Items_Inactivos[[#This Row],[COSTO]]</f>
        <v>2061.2447999999999</v>
      </c>
    </row>
    <row r="186" spans="1:8">
      <c r="A186" t="s">
        <v>3300</v>
      </c>
      <c r="B186" t="s">
        <v>3420</v>
      </c>
      <c r="C186" t="s">
        <v>3421</v>
      </c>
      <c r="D186" t="s">
        <v>200</v>
      </c>
      <c r="E186" t="s">
        <v>125</v>
      </c>
      <c r="F186" s="2">
        <v>33.512999999999998</v>
      </c>
      <c r="G186">
        <v>3</v>
      </c>
      <c r="H186" s="2">
        <f>Tabla_Items_Inactivos[[#This Row],[EXISTENCIA]]*Tabla_Items_Inactivos[[#This Row],[COSTO]]</f>
        <v>100.53899999999999</v>
      </c>
    </row>
    <row r="187" spans="1:8">
      <c r="A187" t="s">
        <v>3300</v>
      </c>
      <c r="B187" t="s">
        <v>2695</v>
      </c>
      <c r="C187" t="s">
        <v>2696</v>
      </c>
      <c r="D187" t="s">
        <v>128</v>
      </c>
      <c r="E187" t="s">
        <v>125</v>
      </c>
      <c r="F187" s="2">
        <v>5.0827</v>
      </c>
      <c r="G187">
        <v>20</v>
      </c>
      <c r="H187" s="2">
        <f>Tabla_Items_Inactivos[[#This Row],[EXISTENCIA]]*Tabla_Items_Inactivos[[#This Row],[COSTO]]</f>
        <v>101.654</v>
      </c>
    </row>
    <row r="188" spans="1:8">
      <c r="A188" t="s">
        <v>3301</v>
      </c>
      <c r="B188" t="s">
        <v>2695</v>
      </c>
      <c r="C188" t="s">
        <v>2696</v>
      </c>
      <c r="D188" t="s">
        <v>128</v>
      </c>
      <c r="E188" t="s">
        <v>125</v>
      </c>
      <c r="F188" s="2">
        <v>5.0827</v>
      </c>
      <c r="G188">
        <v>20</v>
      </c>
      <c r="H188" s="2">
        <f>Tabla_Items_Inactivos[[#This Row],[EXISTENCIA]]*Tabla_Items_Inactivos[[#This Row],[COSTO]]</f>
        <v>101.654</v>
      </c>
    </row>
    <row r="189" spans="1:8">
      <c r="A189" t="s">
        <v>3300</v>
      </c>
      <c r="B189" t="s">
        <v>3422</v>
      </c>
      <c r="C189" t="s">
        <v>3423</v>
      </c>
      <c r="D189" t="s">
        <v>141</v>
      </c>
      <c r="E189" t="s">
        <v>125</v>
      </c>
      <c r="F189" s="2">
        <v>70.755399999999995</v>
      </c>
      <c r="G189">
        <v>1</v>
      </c>
      <c r="H189" s="2">
        <f>Tabla_Items_Inactivos[[#This Row],[EXISTENCIA]]*Tabla_Items_Inactivos[[#This Row],[COSTO]]</f>
        <v>70.755399999999995</v>
      </c>
    </row>
    <row r="190" spans="1:8">
      <c r="A190" t="s">
        <v>3301</v>
      </c>
      <c r="B190" t="s">
        <v>3422</v>
      </c>
      <c r="C190" t="s">
        <v>3423</v>
      </c>
      <c r="D190" t="s">
        <v>141</v>
      </c>
      <c r="E190" t="s">
        <v>125</v>
      </c>
      <c r="F190" s="2">
        <v>70.755399999999995</v>
      </c>
      <c r="G190">
        <v>1</v>
      </c>
      <c r="H190" s="2">
        <f>Tabla_Items_Inactivos[[#This Row],[EXISTENCIA]]*Tabla_Items_Inactivos[[#This Row],[COSTO]]</f>
        <v>70.755399999999995</v>
      </c>
    </row>
    <row r="191" spans="1:8">
      <c r="A191" t="s">
        <v>3300</v>
      </c>
      <c r="B191" t="s">
        <v>3424</v>
      </c>
      <c r="C191" t="s">
        <v>3425</v>
      </c>
      <c r="D191" t="s">
        <v>128</v>
      </c>
      <c r="E191" t="s">
        <v>125</v>
      </c>
      <c r="F191" s="2">
        <v>24.4697</v>
      </c>
      <c r="G191">
        <v>1</v>
      </c>
      <c r="H191" s="2">
        <f>Tabla_Items_Inactivos[[#This Row],[EXISTENCIA]]*Tabla_Items_Inactivos[[#This Row],[COSTO]]</f>
        <v>24.4697</v>
      </c>
    </row>
    <row r="192" spans="1:8">
      <c r="A192" t="s">
        <v>3301</v>
      </c>
      <c r="B192" t="s">
        <v>3424</v>
      </c>
      <c r="C192" t="s">
        <v>3425</v>
      </c>
      <c r="D192" t="s">
        <v>128</v>
      </c>
      <c r="E192" t="s">
        <v>125</v>
      </c>
      <c r="F192" s="2">
        <v>24.4697</v>
      </c>
      <c r="G192">
        <v>1</v>
      </c>
      <c r="H192" s="2">
        <f>Tabla_Items_Inactivos[[#This Row],[EXISTENCIA]]*Tabla_Items_Inactivos[[#This Row],[COSTO]]</f>
        <v>24.4697</v>
      </c>
    </row>
    <row r="193" spans="1:8">
      <c r="A193" t="s">
        <v>3300</v>
      </c>
      <c r="B193" t="s">
        <v>2697</v>
      </c>
      <c r="C193" t="s">
        <v>2698</v>
      </c>
      <c r="D193" t="s">
        <v>187</v>
      </c>
      <c r="E193" t="s">
        <v>125</v>
      </c>
      <c r="F193" s="2">
        <v>22.716000000000001</v>
      </c>
      <c r="G193">
        <v>5</v>
      </c>
      <c r="H193" s="2">
        <f>Tabla_Items_Inactivos[[#This Row],[EXISTENCIA]]*Tabla_Items_Inactivos[[#This Row],[COSTO]]</f>
        <v>113.58000000000001</v>
      </c>
    </row>
    <row r="194" spans="1:8">
      <c r="A194" t="s">
        <v>3300</v>
      </c>
      <c r="B194" t="s">
        <v>204</v>
      </c>
      <c r="C194" t="s">
        <v>205</v>
      </c>
      <c r="D194" t="s">
        <v>187</v>
      </c>
      <c r="E194" t="s">
        <v>125</v>
      </c>
      <c r="F194" s="2">
        <v>102.005</v>
      </c>
      <c r="G194">
        <v>1</v>
      </c>
      <c r="H194" s="2">
        <f>Tabla_Items_Inactivos[[#This Row],[EXISTENCIA]]*Tabla_Items_Inactivos[[#This Row],[COSTO]]</f>
        <v>102.005</v>
      </c>
    </row>
    <row r="195" spans="1:8">
      <c r="A195" t="s">
        <v>3300</v>
      </c>
      <c r="B195" t="s">
        <v>206</v>
      </c>
      <c r="C195" t="s">
        <v>207</v>
      </c>
      <c r="D195" t="s">
        <v>141</v>
      </c>
      <c r="E195" t="s">
        <v>125</v>
      </c>
      <c r="F195" s="2">
        <v>43.72</v>
      </c>
      <c r="G195">
        <v>1</v>
      </c>
      <c r="H195" s="2">
        <f>Tabla_Items_Inactivos[[#This Row],[EXISTENCIA]]*Tabla_Items_Inactivos[[#This Row],[COSTO]]</f>
        <v>43.72</v>
      </c>
    </row>
    <row r="196" spans="1:8">
      <c r="A196" t="s">
        <v>3300</v>
      </c>
      <c r="B196" t="s">
        <v>209</v>
      </c>
      <c r="C196" t="s">
        <v>210</v>
      </c>
      <c r="D196" t="s">
        <v>141</v>
      </c>
      <c r="E196" t="s">
        <v>125</v>
      </c>
      <c r="F196" s="2">
        <v>56.466999999999999</v>
      </c>
      <c r="G196">
        <v>2</v>
      </c>
      <c r="H196" s="2">
        <f>Tabla_Items_Inactivos[[#This Row],[EXISTENCIA]]*Tabla_Items_Inactivos[[#This Row],[COSTO]]</f>
        <v>112.934</v>
      </c>
    </row>
    <row r="197" spans="1:8">
      <c r="A197" t="s">
        <v>3300</v>
      </c>
      <c r="B197" t="s">
        <v>2699</v>
      </c>
      <c r="C197" t="s">
        <v>2700</v>
      </c>
      <c r="D197" t="s">
        <v>128</v>
      </c>
      <c r="E197" t="s">
        <v>125</v>
      </c>
      <c r="F197" s="2">
        <v>20.78</v>
      </c>
      <c r="G197">
        <v>6</v>
      </c>
      <c r="H197" s="2">
        <f>Tabla_Items_Inactivos[[#This Row],[EXISTENCIA]]*Tabla_Items_Inactivos[[#This Row],[COSTO]]</f>
        <v>124.68</v>
      </c>
    </row>
    <row r="198" spans="1:8">
      <c r="A198" t="s">
        <v>3300</v>
      </c>
      <c r="B198" t="s">
        <v>3426</v>
      </c>
      <c r="C198" t="s">
        <v>3427</v>
      </c>
      <c r="D198" t="s">
        <v>141</v>
      </c>
      <c r="E198" t="s">
        <v>125</v>
      </c>
      <c r="F198" s="2">
        <v>9.2250999999999994</v>
      </c>
      <c r="G198">
        <v>5</v>
      </c>
      <c r="H198" s="2">
        <f>Tabla_Items_Inactivos[[#This Row],[EXISTENCIA]]*Tabla_Items_Inactivos[[#This Row],[COSTO]]</f>
        <v>46.125499999999995</v>
      </c>
    </row>
    <row r="199" spans="1:8">
      <c r="A199" t="s">
        <v>3301</v>
      </c>
      <c r="B199" t="s">
        <v>3426</v>
      </c>
      <c r="C199" t="s">
        <v>3427</v>
      </c>
      <c r="D199" t="s">
        <v>141</v>
      </c>
      <c r="E199" t="s">
        <v>125</v>
      </c>
      <c r="F199" s="2">
        <v>9.2250999999999994</v>
      </c>
      <c r="G199">
        <v>5</v>
      </c>
      <c r="H199" s="2">
        <f>Tabla_Items_Inactivos[[#This Row],[EXISTENCIA]]*Tabla_Items_Inactivos[[#This Row],[COSTO]]</f>
        <v>46.125499999999995</v>
      </c>
    </row>
    <row r="200" spans="1:8">
      <c r="A200" t="s">
        <v>3300</v>
      </c>
      <c r="B200" t="s">
        <v>2701</v>
      </c>
      <c r="C200" t="s">
        <v>2702</v>
      </c>
      <c r="D200" t="s">
        <v>160</v>
      </c>
      <c r="E200" t="s">
        <v>125</v>
      </c>
      <c r="F200" s="2">
        <v>103.648</v>
      </c>
      <c r="G200">
        <v>1</v>
      </c>
      <c r="H200" s="2">
        <f>Tabla_Items_Inactivos[[#This Row],[EXISTENCIA]]*Tabla_Items_Inactivos[[#This Row],[COSTO]]</f>
        <v>103.648</v>
      </c>
    </row>
    <row r="201" spans="1:8">
      <c r="A201" t="s">
        <v>3300</v>
      </c>
      <c r="B201" t="s">
        <v>211</v>
      </c>
      <c r="C201" t="s">
        <v>212</v>
      </c>
      <c r="D201" t="s">
        <v>31</v>
      </c>
      <c r="E201" t="s">
        <v>125</v>
      </c>
      <c r="F201" s="2">
        <v>20.587</v>
      </c>
      <c r="G201">
        <v>4</v>
      </c>
      <c r="H201" s="2">
        <f>Tabla_Items_Inactivos[[#This Row],[EXISTENCIA]]*Tabla_Items_Inactivos[[#This Row],[COSTO]]</f>
        <v>82.347999999999999</v>
      </c>
    </row>
    <row r="202" spans="1:8">
      <c r="A202" t="s">
        <v>3300</v>
      </c>
      <c r="B202" t="s">
        <v>213</v>
      </c>
      <c r="C202" t="s">
        <v>214</v>
      </c>
      <c r="D202" t="s">
        <v>31</v>
      </c>
      <c r="E202" t="s">
        <v>125</v>
      </c>
      <c r="F202" s="2">
        <v>4.5951000000000004</v>
      </c>
      <c r="G202">
        <v>18</v>
      </c>
      <c r="H202" s="2">
        <f>Tabla_Items_Inactivos[[#This Row],[EXISTENCIA]]*Tabla_Items_Inactivos[[#This Row],[COSTO]]</f>
        <v>82.711800000000011</v>
      </c>
    </row>
    <row r="203" spans="1:8">
      <c r="A203" t="s">
        <v>3301</v>
      </c>
      <c r="B203" t="s">
        <v>213</v>
      </c>
      <c r="C203" t="s">
        <v>214</v>
      </c>
      <c r="D203" t="s">
        <v>31</v>
      </c>
      <c r="E203" t="s">
        <v>125</v>
      </c>
      <c r="F203" s="2">
        <v>4.5951000000000004</v>
      </c>
      <c r="G203">
        <v>18</v>
      </c>
      <c r="H203" s="2">
        <f>Tabla_Items_Inactivos[[#This Row],[EXISTENCIA]]*Tabla_Items_Inactivos[[#This Row],[COSTO]]</f>
        <v>82.711800000000011</v>
      </c>
    </row>
    <row r="204" spans="1:8">
      <c r="A204" t="s">
        <v>3300</v>
      </c>
      <c r="B204" t="s">
        <v>2703</v>
      </c>
      <c r="C204" t="s">
        <v>2704</v>
      </c>
      <c r="D204" t="s">
        <v>1119</v>
      </c>
      <c r="E204" t="s">
        <v>125</v>
      </c>
      <c r="F204" s="2">
        <v>28.870699999999999</v>
      </c>
      <c r="G204">
        <v>6</v>
      </c>
      <c r="H204" s="2">
        <f>Tabla_Items_Inactivos[[#This Row],[EXISTENCIA]]*Tabla_Items_Inactivos[[#This Row],[COSTO]]</f>
        <v>173.2242</v>
      </c>
    </row>
    <row r="205" spans="1:8">
      <c r="A205" t="s">
        <v>3301</v>
      </c>
      <c r="B205" t="s">
        <v>2703</v>
      </c>
      <c r="C205" t="s">
        <v>2704</v>
      </c>
      <c r="D205" t="s">
        <v>1119</v>
      </c>
      <c r="E205" t="s">
        <v>125</v>
      </c>
      <c r="F205" s="2">
        <v>28.870699999999999</v>
      </c>
      <c r="G205">
        <v>6</v>
      </c>
      <c r="H205" s="2">
        <f>Tabla_Items_Inactivos[[#This Row],[EXISTENCIA]]*Tabla_Items_Inactivos[[#This Row],[COSTO]]</f>
        <v>173.2242</v>
      </c>
    </row>
    <row r="206" spans="1:8">
      <c r="A206" t="s">
        <v>3301</v>
      </c>
      <c r="B206" t="s">
        <v>2705</v>
      </c>
      <c r="C206" t="s">
        <v>2706</v>
      </c>
      <c r="D206" t="s">
        <v>1119</v>
      </c>
      <c r="E206" t="s">
        <v>125</v>
      </c>
      <c r="F206" s="2">
        <v>5.2610999999999999</v>
      </c>
      <c r="G206">
        <v>3</v>
      </c>
      <c r="H206" s="2">
        <f>Tabla_Items_Inactivos[[#This Row],[EXISTENCIA]]*Tabla_Items_Inactivos[[#This Row],[COSTO]]</f>
        <v>15.783300000000001</v>
      </c>
    </row>
    <row r="207" spans="1:8">
      <c r="A207" t="s">
        <v>3300</v>
      </c>
      <c r="B207" t="s">
        <v>2705</v>
      </c>
      <c r="C207" t="s">
        <v>2706</v>
      </c>
      <c r="D207" t="s">
        <v>1119</v>
      </c>
      <c r="E207" t="s">
        <v>125</v>
      </c>
      <c r="F207" s="2">
        <v>5.2610999999999999</v>
      </c>
      <c r="G207">
        <v>3</v>
      </c>
      <c r="H207" s="2">
        <f>Tabla_Items_Inactivos[[#This Row],[EXISTENCIA]]*Tabla_Items_Inactivos[[#This Row],[COSTO]]</f>
        <v>15.783300000000001</v>
      </c>
    </row>
    <row r="208" spans="1:8">
      <c r="A208" t="s">
        <v>3300</v>
      </c>
      <c r="B208" t="s">
        <v>2707</v>
      </c>
      <c r="C208" t="s">
        <v>2708</v>
      </c>
      <c r="D208" t="s">
        <v>187</v>
      </c>
      <c r="E208" t="s">
        <v>125</v>
      </c>
      <c r="F208" s="2">
        <v>42.837000000000003</v>
      </c>
      <c r="G208">
        <v>3</v>
      </c>
      <c r="H208" s="2">
        <f>Tabla_Items_Inactivos[[#This Row],[EXISTENCIA]]*Tabla_Items_Inactivos[[#This Row],[COSTO]]</f>
        <v>128.51100000000002</v>
      </c>
    </row>
    <row r="209" spans="1:8">
      <c r="A209" t="s">
        <v>3300</v>
      </c>
      <c r="B209" t="s">
        <v>215</v>
      </c>
      <c r="C209" t="s">
        <v>216</v>
      </c>
      <c r="D209" t="s">
        <v>141</v>
      </c>
      <c r="E209" t="s">
        <v>125</v>
      </c>
      <c r="F209" s="2">
        <v>5.1130000000000004</v>
      </c>
      <c r="G209">
        <v>1</v>
      </c>
      <c r="H209" s="2">
        <f>Tabla_Items_Inactivos[[#This Row],[EXISTENCIA]]*Tabla_Items_Inactivos[[#This Row],[COSTO]]</f>
        <v>5.1130000000000004</v>
      </c>
    </row>
    <row r="210" spans="1:8">
      <c r="A210" t="s">
        <v>3300</v>
      </c>
      <c r="B210" t="s">
        <v>3428</v>
      </c>
      <c r="C210" t="s">
        <v>3429</v>
      </c>
      <c r="D210" t="s">
        <v>3430</v>
      </c>
      <c r="E210" t="s">
        <v>1931</v>
      </c>
      <c r="F210" s="2">
        <v>770.02</v>
      </c>
      <c r="G210">
        <v>1</v>
      </c>
      <c r="H210" s="2">
        <f>Tabla_Items_Inactivos[[#This Row],[EXISTENCIA]]*Tabla_Items_Inactivos[[#This Row],[COSTO]]</f>
        <v>770.02</v>
      </c>
    </row>
    <row r="211" spans="1:8">
      <c r="A211" t="s">
        <v>3301</v>
      </c>
      <c r="B211" t="s">
        <v>3431</v>
      </c>
      <c r="C211" t="s">
        <v>3432</v>
      </c>
      <c r="D211" t="s">
        <v>89</v>
      </c>
      <c r="E211" t="s">
        <v>86</v>
      </c>
      <c r="F211" s="2">
        <v>318.25</v>
      </c>
      <c r="G211">
        <v>2</v>
      </c>
      <c r="H211" s="2">
        <f>Tabla_Items_Inactivos[[#This Row],[EXISTENCIA]]*Tabla_Items_Inactivos[[#This Row],[COSTO]]</f>
        <v>636.5</v>
      </c>
    </row>
    <row r="212" spans="1:8">
      <c r="A212" t="s">
        <v>3301</v>
      </c>
      <c r="B212" t="s">
        <v>3433</v>
      </c>
      <c r="C212" t="s">
        <v>3434</v>
      </c>
      <c r="D212" t="s">
        <v>89</v>
      </c>
      <c r="E212" t="s">
        <v>86</v>
      </c>
      <c r="F212" s="2">
        <v>302.39999999999998</v>
      </c>
      <c r="G212">
        <v>2</v>
      </c>
      <c r="H212" s="2">
        <f>Tabla_Items_Inactivos[[#This Row],[EXISTENCIA]]*Tabla_Items_Inactivos[[#This Row],[COSTO]]</f>
        <v>604.79999999999995</v>
      </c>
    </row>
    <row r="213" spans="1:8">
      <c r="A213" t="s">
        <v>3301</v>
      </c>
      <c r="B213" t="s">
        <v>3435</v>
      </c>
      <c r="C213" t="s">
        <v>3436</v>
      </c>
      <c r="D213" t="s">
        <v>89</v>
      </c>
      <c r="E213" t="s">
        <v>86</v>
      </c>
      <c r="F213" s="2">
        <v>470.9</v>
      </c>
      <c r="G213">
        <v>2</v>
      </c>
      <c r="H213" s="2">
        <f>Tabla_Items_Inactivos[[#This Row],[EXISTENCIA]]*Tabla_Items_Inactivos[[#This Row],[COSTO]]</f>
        <v>941.8</v>
      </c>
    </row>
    <row r="214" spans="1:8">
      <c r="A214" t="s">
        <v>3301</v>
      </c>
      <c r="B214" t="s">
        <v>3437</v>
      </c>
      <c r="C214" t="s">
        <v>3438</v>
      </c>
      <c r="D214" t="s">
        <v>89</v>
      </c>
      <c r="E214" t="s">
        <v>86</v>
      </c>
      <c r="F214" s="2">
        <v>588</v>
      </c>
      <c r="G214">
        <v>2</v>
      </c>
      <c r="H214" s="2">
        <f>Tabla_Items_Inactivos[[#This Row],[EXISTENCIA]]*Tabla_Items_Inactivos[[#This Row],[COSTO]]</f>
        <v>1176</v>
      </c>
    </row>
    <row r="215" spans="1:8">
      <c r="A215" t="s">
        <v>3301</v>
      </c>
      <c r="B215" t="s">
        <v>3439</v>
      </c>
      <c r="C215" t="s">
        <v>3440</v>
      </c>
      <c r="D215" t="s">
        <v>618</v>
      </c>
      <c r="E215" t="s">
        <v>626</v>
      </c>
      <c r="F215" s="2">
        <v>3.34</v>
      </c>
      <c r="G215">
        <v>17</v>
      </c>
      <c r="H215" s="2">
        <f>Tabla_Items_Inactivos[[#This Row],[EXISTENCIA]]*Tabla_Items_Inactivos[[#This Row],[COSTO]]</f>
        <v>56.78</v>
      </c>
    </row>
    <row r="216" spans="1:8">
      <c r="A216" t="s">
        <v>3299</v>
      </c>
      <c r="B216" t="s">
        <v>3441</v>
      </c>
      <c r="C216" t="s">
        <v>3442</v>
      </c>
      <c r="D216" t="s">
        <v>3443</v>
      </c>
      <c r="E216" t="s">
        <v>112</v>
      </c>
      <c r="F216" s="2">
        <v>168.88890000000001</v>
      </c>
      <c r="G216">
        <v>2</v>
      </c>
      <c r="H216" s="2">
        <f>Tabla_Items_Inactivos[[#This Row],[EXISTENCIA]]*Tabla_Items_Inactivos[[#This Row],[COSTO]]</f>
        <v>337.77780000000001</v>
      </c>
    </row>
    <row r="217" spans="1:8">
      <c r="A217" t="s">
        <v>3300</v>
      </c>
      <c r="B217" t="s">
        <v>3441</v>
      </c>
      <c r="C217" t="s">
        <v>3442</v>
      </c>
      <c r="D217" t="s">
        <v>3443</v>
      </c>
      <c r="E217" t="s">
        <v>112</v>
      </c>
      <c r="F217" s="2">
        <v>168.88890000000001</v>
      </c>
      <c r="G217">
        <v>2</v>
      </c>
      <c r="H217" s="2">
        <f>Tabla_Items_Inactivos[[#This Row],[EXISTENCIA]]*Tabla_Items_Inactivos[[#This Row],[COSTO]]</f>
        <v>337.77780000000001</v>
      </c>
    </row>
    <row r="218" spans="1:8">
      <c r="A218" t="s">
        <v>3301</v>
      </c>
      <c r="B218" t="s">
        <v>3441</v>
      </c>
      <c r="C218" t="s">
        <v>3442</v>
      </c>
      <c r="D218" t="s">
        <v>3443</v>
      </c>
      <c r="E218" t="s">
        <v>112</v>
      </c>
      <c r="F218" s="2">
        <v>168.88890000000001</v>
      </c>
      <c r="G218">
        <v>2</v>
      </c>
      <c r="H218" s="2">
        <f>Tabla_Items_Inactivos[[#This Row],[EXISTENCIA]]*Tabla_Items_Inactivos[[#This Row],[COSTO]]</f>
        <v>337.77780000000001</v>
      </c>
    </row>
    <row r="219" spans="1:8">
      <c r="A219" t="s">
        <v>3299</v>
      </c>
      <c r="B219" t="s">
        <v>3444</v>
      </c>
      <c r="C219" t="s">
        <v>3445</v>
      </c>
      <c r="D219" t="s">
        <v>3443</v>
      </c>
      <c r="E219" t="s">
        <v>112</v>
      </c>
      <c r="F219" s="2">
        <v>68.703699999999998</v>
      </c>
      <c r="G219">
        <v>1</v>
      </c>
      <c r="H219" s="2">
        <f>Tabla_Items_Inactivos[[#This Row],[EXISTENCIA]]*Tabla_Items_Inactivos[[#This Row],[COSTO]]</f>
        <v>68.703699999999998</v>
      </c>
    </row>
    <row r="220" spans="1:8">
      <c r="A220" t="s">
        <v>3300</v>
      </c>
      <c r="B220" t="s">
        <v>3444</v>
      </c>
      <c r="C220" t="s">
        <v>3445</v>
      </c>
      <c r="D220" t="s">
        <v>3443</v>
      </c>
      <c r="E220" t="s">
        <v>112</v>
      </c>
      <c r="F220" s="2">
        <v>68.703699999999998</v>
      </c>
      <c r="G220">
        <v>1</v>
      </c>
      <c r="H220" s="2">
        <f>Tabla_Items_Inactivos[[#This Row],[EXISTENCIA]]*Tabla_Items_Inactivos[[#This Row],[COSTO]]</f>
        <v>68.703699999999998</v>
      </c>
    </row>
    <row r="221" spans="1:8">
      <c r="A221" t="s">
        <v>3301</v>
      </c>
      <c r="B221" t="s">
        <v>3444</v>
      </c>
      <c r="C221" t="s">
        <v>3445</v>
      </c>
      <c r="D221" t="s">
        <v>3443</v>
      </c>
      <c r="E221" t="s">
        <v>112</v>
      </c>
      <c r="F221" s="2">
        <v>68.703699999999998</v>
      </c>
      <c r="G221">
        <v>1</v>
      </c>
      <c r="H221" s="2">
        <f>Tabla_Items_Inactivos[[#This Row],[EXISTENCIA]]*Tabla_Items_Inactivos[[#This Row],[COSTO]]</f>
        <v>68.703699999999998</v>
      </c>
    </row>
    <row r="222" spans="1:8">
      <c r="A222" t="s">
        <v>3301</v>
      </c>
      <c r="B222" t="s">
        <v>3446</v>
      </c>
      <c r="C222" t="s">
        <v>3447</v>
      </c>
      <c r="D222" t="s">
        <v>476</v>
      </c>
      <c r="E222" t="s">
        <v>86</v>
      </c>
      <c r="F222" s="2">
        <v>1.7937000000000001</v>
      </c>
      <c r="G222">
        <v>78</v>
      </c>
      <c r="H222" s="2">
        <f>Tabla_Items_Inactivos[[#This Row],[EXISTENCIA]]*Tabla_Items_Inactivos[[#This Row],[COSTO]]</f>
        <v>139.90860000000001</v>
      </c>
    </row>
    <row r="223" spans="1:8">
      <c r="A223" t="s">
        <v>3300</v>
      </c>
      <c r="B223" t="s">
        <v>3446</v>
      </c>
      <c r="C223" t="s">
        <v>3447</v>
      </c>
      <c r="D223" t="s">
        <v>476</v>
      </c>
      <c r="E223" t="s">
        <v>86</v>
      </c>
      <c r="F223" s="2">
        <v>1.7937000000000001</v>
      </c>
      <c r="G223">
        <v>78</v>
      </c>
      <c r="H223" s="2">
        <f>Tabla_Items_Inactivos[[#This Row],[EXISTENCIA]]*Tabla_Items_Inactivos[[#This Row],[COSTO]]</f>
        <v>139.90860000000001</v>
      </c>
    </row>
    <row r="224" spans="1:8">
      <c r="A224" t="s">
        <v>3299</v>
      </c>
      <c r="B224" t="s">
        <v>3446</v>
      </c>
      <c r="C224" t="s">
        <v>3447</v>
      </c>
      <c r="D224" t="s">
        <v>476</v>
      </c>
      <c r="E224" t="s">
        <v>86</v>
      </c>
      <c r="F224" s="2">
        <v>1.7937000000000001</v>
      </c>
      <c r="G224">
        <v>78</v>
      </c>
      <c r="H224" s="2">
        <f>Tabla_Items_Inactivos[[#This Row],[EXISTENCIA]]*Tabla_Items_Inactivos[[#This Row],[COSTO]]</f>
        <v>139.90860000000001</v>
      </c>
    </row>
    <row r="225" spans="1:8">
      <c r="A225" t="s">
        <v>3300</v>
      </c>
      <c r="B225" t="s">
        <v>3448</v>
      </c>
      <c r="C225" t="s">
        <v>3295</v>
      </c>
      <c r="D225" t="s">
        <v>228</v>
      </c>
      <c r="E225" t="s">
        <v>86</v>
      </c>
      <c r="F225" s="2">
        <v>46.560400000000001</v>
      </c>
      <c r="G225">
        <v>14</v>
      </c>
      <c r="H225" s="2">
        <f>Tabla_Items_Inactivos[[#This Row],[EXISTENCIA]]*Tabla_Items_Inactivos[[#This Row],[COSTO]]</f>
        <v>651.84559999999999</v>
      </c>
    </row>
    <row r="226" spans="1:8">
      <c r="A226" t="s">
        <v>3301</v>
      </c>
      <c r="B226" t="s">
        <v>3448</v>
      </c>
      <c r="C226" t="s">
        <v>3295</v>
      </c>
      <c r="D226" t="s">
        <v>228</v>
      </c>
      <c r="E226" t="s">
        <v>86</v>
      </c>
      <c r="F226" s="2">
        <v>46.560400000000001</v>
      </c>
      <c r="G226">
        <v>14</v>
      </c>
      <c r="H226" s="2">
        <f>Tabla_Items_Inactivos[[#This Row],[EXISTENCIA]]*Tabla_Items_Inactivos[[#This Row],[COSTO]]</f>
        <v>651.84559999999999</v>
      </c>
    </row>
    <row r="227" spans="1:8">
      <c r="A227" t="s">
        <v>3300</v>
      </c>
      <c r="B227" t="s">
        <v>2709</v>
      </c>
      <c r="C227" t="s">
        <v>2710</v>
      </c>
      <c r="D227" t="s">
        <v>219</v>
      </c>
      <c r="E227" t="s">
        <v>86</v>
      </c>
      <c r="F227" s="2">
        <v>21.29</v>
      </c>
      <c r="G227">
        <v>5</v>
      </c>
      <c r="H227" s="2">
        <f>Tabla_Items_Inactivos[[#This Row],[EXISTENCIA]]*Tabla_Items_Inactivos[[#This Row],[COSTO]]</f>
        <v>106.44999999999999</v>
      </c>
    </row>
    <row r="228" spans="1:8">
      <c r="A228" t="s">
        <v>3300</v>
      </c>
      <c r="B228" t="s">
        <v>5500</v>
      </c>
      <c r="C228" t="s">
        <v>5501</v>
      </c>
      <c r="D228" t="s">
        <v>436</v>
      </c>
      <c r="E228" t="s">
        <v>86</v>
      </c>
      <c r="F228" s="2">
        <v>20.83</v>
      </c>
      <c r="G228">
        <v>5</v>
      </c>
      <c r="H228" s="2">
        <f>Tabla_Items_Inactivos[[#This Row],[EXISTENCIA]]*Tabla_Items_Inactivos[[#This Row],[COSTO]]</f>
        <v>104.14999999999999</v>
      </c>
    </row>
    <row r="229" spans="1:8">
      <c r="A229" t="s">
        <v>3300</v>
      </c>
      <c r="B229" t="s">
        <v>217</v>
      </c>
      <c r="C229" t="s">
        <v>218</v>
      </c>
      <c r="D229" t="s">
        <v>219</v>
      </c>
      <c r="E229" t="s">
        <v>86</v>
      </c>
      <c r="F229" s="2">
        <v>39.49</v>
      </c>
      <c r="G229">
        <v>3</v>
      </c>
      <c r="H229" s="2">
        <f>Tabla_Items_Inactivos[[#This Row],[EXISTENCIA]]*Tabla_Items_Inactivos[[#This Row],[COSTO]]</f>
        <v>118.47</v>
      </c>
    </row>
    <row r="230" spans="1:8">
      <c r="A230" t="s">
        <v>3300</v>
      </c>
      <c r="B230" t="s">
        <v>2711</v>
      </c>
      <c r="C230" t="s">
        <v>2712</v>
      </c>
      <c r="D230" t="s">
        <v>219</v>
      </c>
      <c r="E230" t="s">
        <v>86</v>
      </c>
      <c r="F230" s="2">
        <v>28.908999999999999</v>
      </c>
      <c r="G230">
        <v>8</v>
      </c>
      <c r="H230" s="2">
        <f>Tabla_Items_Inactivos[[#This Row],[EXISTENCIA]]*Tabla_Items_Inactivos[[#This Row],[COSTO]]</f>
        <v>231.27199999999999</v>
      </c>
    </row>
    <row r="231" spans="1:8">
      <c r="A231" t="s">
        <v>3300</v>
      </c>
      <c r="B231" t="s">
        <v>2713</v>
      </c>
      <c r="C231" t="s">
        <v>2714</v>
      </c>
      <c r="D231" t="s">
        <v>219</v>
      </c>
      <c r="E231" t="s">
        <v>86</v>
      </c>
      <c r="F231" s="2">
        <v>2.7696000000000001</v>
      </c>
      <c r="G231">
        <v>21</v>
      </c>
      <c r="H231" s="2">
        <f>Tabla_Items_Inactivos[[#This Row],[EXISTENCIA]]*Tabla_Items_Inactivos[[#This Row],[COSTO]]</f>
        <v>58.1616</v>
      </c>
    </row>
    <row r="232" spans="1:8">
      <c r="A232" t="s">
        <v>3301</v>
      </c>
      <c r="B232" t="s">
        <v>2713</v>
      </c>
      <c r="C232" t="s">
        <v>2714</v>
      </c>
      <c r="D232" t="s">
        <v>219</v>
      </c>
      <c r="E232" t="s">
        <v>86</v>
      </c>
      <c r="F232" s="2">
        <v>2.7696000000000001</v>
      </c>
      <c r="G232">
        <v>21</v>
      </c>
      <c r="H232" s="2">
        <f>Tabla_Items_Inactivos[[#This Row],[EXISTENCIA]]*Tabla_Items_Inactivos[[#This Row],[COSTO]]</f>
        <v>58.1616</v>
      </c>
    </row>
    <row r="233" spans="1:8">
      <c r="A233" t="s">
        <v>3300</v>
      </c>
      <c r="B233" t="s">
        <v>220</v>
      </c>
      <c r="C233" t="s">
        <v>3449</v>
      </c>
      <c r="D233" t="s">
        <v>98</v>
      </c>
      <c r="E233" t="s">
        <v>86</v>
      </c>
      <c r="F233" s="2">
        <v>3.08</v>
      </c>
      <c r="G233">
        <v>2</v>
      </c>
      <c r="H233" s="2">
        <f>Tabla_Items_Inactivos[[#This Row],[EXISTENCIA]]*Tabla_Items_Inactivos[[#This Row],[COSTO]]</f>
        <v>6.16</v>
      </c>
    </row>
    <row r="234" spans="1:8">
      <c r="A234" t="s">
        <v>3300</v>
      </c>
      <c r="B234" t="s">
        <v>3450</v>
      </c>
      <c r="C234" t="s">
        <v>3451</v>
      </c>
      <c r="D234" t="s">
        <v>223</v>
      </c>
      <c r="E234" t="s">
        <v>86</v>
      </c>
      <c r="F234" s="2">
        <v>3.2212000000000001</v>
      </c>
      <c r="G234">
        <v>21</v>
      </c>
      <c r="H234" s="2">
        <f>Tabla_Items_Inactivos[[#This Row],[EXISTENCIA]]*Tabla_Items_Inactivos[[#This Row],[COSTO]]</f>
        <v>67.645200000000003</v>
      </c>
    </row>
    <row r="235" spans="1:8">
      <c r="A235" t="s">
        <v>3300</v>
      </c>
      <c r="B235" t="s">
        <v>5502</v>
      </c>
      <c r="C235" t="s">
        <v>5503</v>
      </c>
      <c r="D235" t="s">
        <v>85</v>
      </c>
      <c r="E235" t="s">
        <v>86</v>
      </c>
      <c r="F235" s="2">
        <v>2.8837000000000002</v>
      </c>
      <c r="G235">
        <v>70</v>
      </c>
      <c r="H235" s="2">
        <f>Tabla_Items_Inactivos[[#This Row],[EXISTENCIA]]*Tabla_Items_Inactivos[[#This Row],[COSTO]]</f>
        <v>201.85900000000001</v>
      </c>
    </row>
    <row r="236" spans="1:8">
      <c r="A236" t="s">
        <v>3300</v>
      </c>
      <c r="B236" t="s">
        <v>3452</v>
      </c>
      <c r="C236" t="s">
        <v>3453</v>
      </c>
      <c r="D236" t="s">
        <v>219</v>
      </c>
      <c r="E236" t="s">
        <v>86</v>
      </c>
      <c r="F236" s="2">
        <v>3.4</v>
      </c>
      <c r="G236">
        <v>10</v>
      </c>
      <c r="H236" s="2">
        <f>Tabla_Items_Inactivos[[#This Row],[EXISTENCIA]]*Tabla_Items_Inactivos[[#This Row],[COSTO]]</f>
        <v>34</v>
      </c>
    </row>
    <row r="237" spans="1:8">
      <c r="A237" t="s">
        <v>3300</v>
      </c>
      <c r="B237" t="s">
        <v>3454</v>
      </c>
      <c r="C237" t="s">
        <v>3455</v>
      </c>
      <c r="D237" t="s">
        <v>436</v>
      </c>
      <c r="E237" t="s">
        <v>86</v>
      </c>
      <c r="F237" s="2">
        <v>2.84</v>
      </c>
      <c r="G237">
        <v>10</v>
      </c>
      <c r="H237" s="2">
        <f>Tabla_Items_Inactivos[[#This Row],[EXISTENCIA]]*Tabla_Items_Inactivos[[#This Row],[COSTO]]</f>
        <v>28.4</v>
      </c>
    </row>
    <row r="238" spans="1:8">
      <c r="A238" t="s">
        <v>3300</v>
      </c>
      <c r="B238" t="s">
        <v>2715</v>
      </c>
      <c r="C238" t="s">
        <v>3456</v>
      </c>
      <c r="D238" t="s">
        <v>219</v>
      </c>
      <c r="E238" t="s">
        <v>86</v>
      </c>
      <c r="F238" s="2">
        <v>3.7431000000000001</v>
      </c>
      <c r="G238">
        <v>30</v>
      </c>
      <c r="H238" s="2">
        <f>Tabla_Items_Inactivos[[#This Row],[EXISTENCIA]]*Tabla_Items_Inactivos[[#This Row],[COSTO]]</f>
        <v>112.29300000000001</v>
      </c>
    </row>
    <row r="239" spans="1:8">
      <c r="A239" t="s">
        <v>3301</v>
      </c>
      <c r="B239" t="s">
        <v>2715</v>
      </c>
      <c r="C239" t="s">
        <v>3456</v>
      </c>
      <c r="D239" t="s">
        <v>219</v>
      </c>
      <c r="E239" t="s">
        <v>86</v>
      </c>
      <c r="F239" s="2">
        <v>3.7431000000000001</v>
      </c>
      <c r="G239">
        <v>30</v>
      </c>
      <c r="H239" s="2">
        <f>Tabla_Items_Inactivos[[#This Row],[EXISTENCIA]]*Tabla_Items_Inactivos[[#This Row],[COSTO]]</f>
        <v>112.29300000000001</v>
      </c>
    </row>
    <row r="240" spans="1:8">
      <c r="A240" t="s">
        <v>3300</v>
      </c>
      <c r="B240" t="s">
        <v>3457</v>
      </c>
      <c r="C240" t="s">
        <v>3458</v>
      </c>
      <c r="D240" t="s">
        <v>219</v>
      </c>
      <c r="E240" t="s">
        <v>86</v>
      </c>
      <c r="F240" s="2">
        <v>4.0423999999999998</v>
      </c>
      <c r="G240">
        <v>30</v>
      </c>
      <c r="H240" s="2">
        <f>Tabla_Items_Inactivos[[#This Row],[EXISTENCIA]]*Tabla_Items_Inactivos[[#This Row],[COSTO]]</f>
        <v>121.27199999999999</v>
      </c>
    </row>
    <row r="241" spans="1:8">
      <c r="A241" t="s">
        <v>3300</v>
      </c>
      <c r="B241" t="s">
        <v>3459</v>
      </c>
      <c r="C241" t="s">
        <v>3460</v>
      </c>
      <c r="D241" t="s">
        <v>219</v>
      </c>
      <c r="E241" t="s">
        <v>86</v>
      </c>
      <c r="F241" s="2">
        <v>3.738</v>
      </c>
      <c r="G241">
        <v>5</v>
      </c>
      <c r="H241" s="2">
        <f>Tabla_Items_Inactivos[[#This Row],[EXISTENCIA]]*Tabla_Items_Inactivos[[#This Row],[COSTO]]</f>
        <v>18.690000000000001</v>
      </c>
    </row>
    <row r="242" spans="1:8">
      <c r="A242" t="s">
        <v>3300</v>
      </c>
      <c r="B242" t="s">
        <v>3461</v>
      </c>
      <c r="C242" t="s">
        <v>3462</v>
      </c>
      <c r="D242" t="s">
        <v>85</v>
      </c>
      <c r="E242" t="s">
        <v>86</v>
      </c>
      <c r="F242" s="2">
        <v>1.3424</v>
      </c>
      <c r="G242">
        <v>61</v>
      </c>
      <c r="H242" s="2">
        <f>Tabla_Items_Inactivos[[#This Row],[EXISTENCIA]]*Tabla_Items_Inactivos[[#This Row],[COSTO]]</f>
        <v>81.886400000000009</v>
      </c>
    </row>
    <row r="243" spans="1:8">
      <c r="A243" t="s">
        <v>3300</v>
      </c>
      <c r="B243" t="s">
        <v>3463</v>
      </c>
      <c r="C243" t="s">
        <v>3464</v>
      </c>
      <c r="D243" t="s">
        <v>85</v>
      </c>
      <c r="E243" t="s">
        <v>86</v>
      </c>
      <c r="F243" s="2">
        <v>0.89910000000000001</v>
      </c>
      <c r="G243">
        <v>115</v>
      </c>
      <c r="H243" s="2">
        <f>Tabla_Items_Inactivos[[#This Row],[EXISTENCIA]]*Tabla_Items_Inactivos[[#This Row],[COSTO]]</f>
        <v>103.3965</v>
      </c>
    </row>
    <row r="244" spans="1:8">
      <c r="A244" t="s">
        <v>3300</v>
      </c>
      <c r="B244" t="s">
        <v>3465</v>
      </c>
      <c r="C244" t="s">
        <v>3466</v>
      </c>
      <c r="D244" t="s">
        <v>219</v>
      </c>
      <c r="E244" t="s">
        <v>86</v>
      </c>
      <c r="F244" s="2">
        <v>4.1820000000000004</v>
      </c>
      <c r="G244">
        <v>8</v>
      </c>
      <c r="H244" s="2">
        <f>Tabla_Items_Inactivos[[#This Row],[EXISTENCIA]]*Tabla_Items_Inactivos[[#This Row],[COSTO]]</f>
        <v>33.456000000000003</v>
      </c>
    </row>
    <row r="245" spans="1:8">
      <c r="A245" t="s">
        <v>3300</v>
      </c>
      <c r="B245" t="s">
        <v>3467</v>
      </c>
      <c r="C245" t="s">
        <v>3468</v>
      </c>
      <c r="D245" t="s">
        <v>219</v>
      </c>
      <c r="E245" t="s">
        <v>86</v>
      </c>
      <c r="F245" s="2">
        <v>0.1</v>
      </c>
      <c r="G245">
        <v>5</v>
      </c>
      <c r="H245" s="2">
        <f>Tabla_Items_Inactivos[[#This Row],[EXISTENCIA]]*Tabla_Items_Inactivos[[#This Row],[COSTO]]</f>
        <v>0.5</v>
      </c>
    </row>
    <row r="246" spans="1:8">
      <c r="A246" t="s">
        <v>3300</v>
      </c>
      <c r="B246" t="s">
        <v>221</v>
      </c>
      <c r="C246" t="s">
        <v>222</v>
      </c>
      <c r="D246" t="s">
        <v>223</v>
      </c>
      <c r="E246" t="s">
        <v>86</v>
      </c>
      <c r="F246" s="2">
        <v>44.99</v>
      </c>
      <c r="G246">
        <v>1</v>
      </c>
      <c r="H246" s="2">
        <f>Tabla_Items_Inactivos[[#This Row],[EXISTENCIA]]*Tabla_Items_Inactivos[[#This Row],[COSTO]]</f>
        <v>44.99</v>
      </c>
    </row>
    <row r="247" spans="1:8">
      <c r="A247" t="s">
        <v>3301</v>
      </c>
      <c r="B247" t="s">
        <v>2716</v>
      </c>
      <c r="C247" t="s">
        <v>2717</v>
      </c>
      <c r="D247" t="s">
        <v>219</v>
      </c>
      <c r="E247" t="s">
        <v>86</v>
      </c>
      <c r="F247" s="2">
        <v>64.968199999999996</v>
      </c>
      <c r="G247">
        <v>3</v>
      </c>
      <c r="H247" s="2">
        <f>Tabla_Items_Inactivos[[#This Row],[EXISTENCIA]]*Tabla_Items_Inactivos[[#This Row],[COSTO]]</f>
        <v>194.90459999999999</v>
      </c>
    </row>
    <row r="248" spans="1:8">
      <c r="A248" t="s">
        <v>3300</v>
      </c>
      <c r="B248" t="s">
        <v>2716</v>
      </c>
      <c r="C248" t="s">
        <v>2717</v>
      </c>
      <c r="D248" t="s">
        <v>219</v>
      </c>
      <c r="E248" t="s">
        <v>86</v>
      </c>
      <c r="F248" s="2">
        <v>64.968199999999996</v>
      </c>
      <c r="G248">
        <v>3</v>
      </c>
      <c r="H248" s="2">
        <f>Tabla_Items_Inactivos[[#This Row],[EXISTENCIA]]*Tabla_Items_Inactivos[[#This Row],[COSTO]]</f>
        <v>194.90459999999999</v>
      </c>
    </row>
    <row r="249" spans="1:8">
      <c r="A249" t="s">
        <v>3300</v>
      </c>
      <c r="B249" t="s">
        <v>3469</v>
      </c>
      <c r="C249" t="s">
        <v>3470</v>
      </c>
      <c r="D249" t="s">
        <v>85</v>
      </c>
      <c r="E249" t="s">
        <v>86</v>
      </c>
      <c r="F249" s="2">
        <v>64.734999999999999</v>
      </c>
      <c r="G249">
        <v>2</v>
      </c>
      <c r="H249" s="2">
        <f>Tabla_Items_Inactivos[[#This Row],[EXISTENCIA]]*Tabla_Items_Inactivos[[#This Row],[COSTO]]</f>
        <v>129.47</v>
      </c>
    </row>
    <row r="250" spans="1:8">
      <c r="A250" t="s">
        <v>3300</v>
      </c>
      <c r="B250" t="s">
        <v>2718</v>
      </c>
      <c r="C250" t="s">
        <v>2719</v>
      </c>
      <c r="D250" t="s">
        <v>85</v>
      </c>
      <c r="E250" t="s">
        <v>86</v>
      </c>
      <c r="F250" s="2">
        <v>77.747</v>
      </c>
      <c r="G250">
        <v>3</v>
      </c>
      <c r="H250" s="2">
        <f>Tabla_Items_Inactivos[[#This Row],[EXISTENCIA]]*Tabla_Items_Inactivos[[#This Row],[COSTO]]</f>
        <v>233.24099999999999</v>
      </c>
    </row>
    <row r="251" spans="1:8">
      <c r="A251" t="s">
        <v>3300</v>
      </c>
      <c r="B251" t="s">
        <v>224</v>
      </c>
      <c r="C251" t="s">
        <v>225</v>
      </c>
      <c r="D251" t="s">
        <v>98</v>
      </c>
      <c r="E251" t="s">
        <v>86</v>
      </c>
      <c r="F251" s="2">
        <v>61.25</v>
      </c>
      <c r="G251">
        <v>4</v>
      </c>
      <c r="H251" s="2">
        <f>Tabla_Items_Inactivos[[#This Row],[EXISTENCIA]]*Tabla_Items_Inactivos[[#This Row],[COSTO]]</f>
        <v>245</v>
      </c>
    </row>
    <row r="252" spans="1:8">
      <c r="A252" t="s">
        <v>3300</v>
      </c>
      <c r="B252" t="s">
        <v>3471</v>
      </c>
      <c r="C252" t="s">
        <v>3472</v>
      </c>
      <c r="D252" t="s">
        <v>219</v>
      </c>
      <c r="E252" t="s">
        <v>86</v>
      </c>
      <c r="F252" s="2">
        <v>72.88</v>
      </c>
      <c r="G252">
        <v>1</v>
      </c>
      <c r="H252" s="2">
        <f>Tabla_Items_Inactivos[[#This Row],[EXISTENCIA]]*Tabla_Items_Inactivos[[#This Row],[COSTO]]</f>
        <v>72.88</v>
      </c>
    </row>
    <row r="253" spans="1:8">
      <c r="A253" t="s">
        <v>3300</v>
      </c>
      <c r="B253" t="s">
        <v>2720</v>
      </c>
      <c r="C253" t="s">
        <v>2721</v>
      </c>
      <c r="D253" t="s">
        <v>219</v>
      </c>
      <c r="E253" t="s">
        <v>86</v>
      </c>
      <c r="F253" s="2">
        <v>63.685000000000002</v>
      </c>
      <c r="G253">
        <v>2</v>
      </c>
      <c r="H253" s="2">
        <f>Tabla_Items_Inactivos[[#This Row],[EXISTENCIA]]*Tabla_Items_Inactivos[[#This Row],[COSTO]]</f>
        <v>127.37</v>
      </c>
    </row>
    <row r="254" spans="1:8">
      <c r="A254" t="s">
        <v>3300</v>
      </c>
      <c r="B254" t="s">
        <v>3473</v>
      </c>
      <c r="C254" t="s">
        <v>3474</v>
      </c>
      <c r="D254" t="s">
        <v>98</v>
      </c>
      <c r="E254" t="s">
        <v>86</v>
      </c>
      <c r="F254" s="2">
        <v>61.226700000000001</v>
      </c>
      <c r="G254">
        <v>3</v>
      </c>
      <c r="H254" s="2">
        <f>Tabla_Items_Inactivos[[#This Row],[EXISTENCIA]]*Tabla_Items_Inactivos[[#This Row],[COSTO]]</f>
        <v>183.68010000000001</v>
      </c>
    </row>
    <row r="255" spans="1:8">
      <c r="A255" t="s">
        <v>3300</v>
      </c>
      <c r="B255" t="s">
        <v>3475</v>
      </c>
      <c r="C255" t="s">
        <v>3476</v>
      </c>
      <c r="D255" t="s">
        <v>85</v>
      </c>
      <c r="E255" t="s">
        <v>86</v>
      </c>
      <c r="F255" s="2">
        <v>0.436</v>
      </c>
      <c r="G255">
        <v>9</v>
      </c>
      <c r="H255" s="2">
        <f>Tabla_Items_Inactivos[[#This Row],[EXISTENCIA]]*Tabla_Items_Inactivos[[#This Row],[COSTO]]</f>
        <v>3.9239999999999999</v>
      </c>
    </row>
    <row r="256" spans="1:8">
      <c r="A256" t="s">
        <v>3300</v>
      </c>
      <c r="B256" t="s">
        <v>3477</v>
      </c>
      <c r="C256" t="s">
        <v>3478</v>
      </c>
      <c r="D256" t="s">
        <v>219</v>
      </c>
      <c r="E256" t="s">
        <v>86</v>
      </c>
      <c r="F256" s="2">
        <v>157.29</v>
      </c>
      <c r="G256">
        <v>1</v>
      </c>
      <c r="H256" s="2">
        <f>Tabla_Items_Inactivos[[#This Row],[EXISTENCIA]]*Tabla_Items_Inactivos[[#This Row],[COSTO]]</f>
        <v>157.29</v>
      </c>
    </row>
    <row r="257" spans="1:8">
      <c r="A257" t="s">
        <v>3300</v>
      </c>
      <c r="B257" t="s">
        <v>2722</v>
      </c>
      <c r="C257" t="s">
        <v>3479</v>
      </c>
      <c r="D257" t="s">
        <v>85</v>
      </c>
      <c r="E257" t="s">
        <v>86</v>
      </c>
      <c r="F257" s="2">
        <v>129.80500000000001</v>
      </c>
      <c r="G257">
        <v>3</v>
      </c>
      <c r="H257" s="2">
        <f>Tabla_Items_Inactivos[[#This Row],[EXISTENCIA]]*Tabla_Items_Inactivos[[#This Row],[COSTO]]</f>
        <v>389.41500000000002</v>
      </c>
    </row>
    <row r="258" spans="1:8">
      <c r="A258" t="s">
        <v>3300</v>
      </c>
      <c r="B258" t="s">
        <v>3480</v>
      </c>
      <c r="C258" t="s">
        <v>3481</v>
      </c>
      <c r="D258" t="s">
        <v>3482</v>
      </c>
      <c r="E258" t="s">
        <v>86</v>
      </c>
      <c r="F258" s="2">
        <v>41.71</v>
      </c>
      <c r="G258">
        <v>1</v>
      </c>
      <c r="H258" s="2">
        <f>Tabla_Items_Inactivos[[#This Row],[EXISTENCIA]]*Tabla_Items_Inactivos[[#This Row],[COSTO]]</f>
        <v>41.71</v>
      </c>
    </row>
    <row r="259" spans="1:8">
      <c r="A259" t="s">
        <v>3300</v>
      </c>
      <c r="B259" t="s">
        <v>2723</v>
      </c>
      <c r="C259" t="s">
        <v>3483</v>
      </c>
      <c r="D259" t="s">
        <v>85</v>
      </c>
      <c r="E259" t="s">
        <v>86</v>
      </c>
      <c r="F259" s="2">
        <v>109.913</v>
      </c>
      <c r="G259">
        <v>3</v>
      </c>
      <c r="H259" s="2">
        <f>Tabla_Items_Inactivos[[#This Row],[EXISTENCIA]]*Tabla_Items_Inactivos[[#This Row],[COSTO]]</f>
        <v>329.73899999999998</v>
      </c>
    </row>
    <row r="260" spans="1:8">
      <c r="A260" t="s">
        <v>3300</v>
      </c>
      <c r="B260" t="s">
        <v>2724</v>
      </c>
      <c r="C260" t="s">
        <v>3484</v>
      </c>
      <c r="D260" t="s">
        <v>85</v>
      </c>
      <c r="E260" t="s">
        <v>86</v>
      </c>
      <c r="F260" s="2">
        <v>45.77</v>
      </c>
      <c r="G260">
        <v>3</v>
      </c>
      <c r="H260" s="2">
        <f>Tabla_Items_Inactivos[[#This Row],[EXISTENCIA]]*Tabla_Items_Inactivos[[#This Row],[COSTO]]</f>
        <v>137.31</v>
      </c>
    </row>
    <row r="261" spans="1:8">
      <c r="A261" t="s">
        <v>3300</v>
      </c>
      <c r="B261" t="s">
        <v>3485</v>
      </c>
      <c r="C261" t="s">
        <v>3486</v>
      </c>
      <c r="D261" t="s">
        <v>263</v>
      </c>
      <c r="E261" t="s">
        <v>86</v>
      </c>
      <c r="F261" s="2">
        <v>2.1937000000000002</v>
      </c>
      <c r="G261">
        <v>26</v>
      </c>
      <c r="H261" s="2">
        <f>Tabla_Items_Inactivos[[#This Row],[EXISTENCIA]]*Tabla_Items_Inactivos[[#This Row],[COSTO]]</f>
        <v>57.036200000000008</v>
      </c>
    </row>
    <row r="262" spans="1:8">
      <c r="A262" t="s">
        <v>3301</v>
      </c>
      <c r="B262" t="s">
        <v>3485</v>
      </c>
      <c r="C262" t="s">
        <v>3486</v>
      </c>
      <c r="D262" t="s">
        <v>263</v>
      </c>
      <c r="E262" t="s">
        <v>86</v>
      </c>
      <c r="F262" s="2">
        <v>2.1937000000000002</v>
      </c>
      <c r="G262">
        <v>26</v>
      </c>
      <c r="H262" s="2">
        <f>Tabla_Items_Inactivos[[#This Row],[EXISTENCIA]]*Tabla_Items_Inactivos[[#This Row],[COSTO]]</f>
        <v>57.036200000000008</v>
      </c>
    </row>
    <row r="263" spans="1:8">
      <c r="A263" t="s">
        <v>3300</v>
      </c>
      <c r="B263" t="s">
        <v>3487</v>
      </c>
      <c r="C263" t="s">
        <v>3488</v>
      </c>
      <c r="D263" t="s">
        <v>85</v>
      </c>
      <c r="E263" t="s">
        <v>86</v>
      </c>
      <c r="F263" s="2">
        <v>0.59499999999999997</v>
      </c>
      <c r="G263">
        <v>21</v>
      </c>
      <c r="H263" s="2">
        <f>Tabla_Items_Inactivos[[#This Row],[EXISTENCIA]]*Tabla_Items_Inactivos[[#This Row],[COSTO]]</f>
        <v>12.494999999999999</v>
      </c>
    </row>
    <row r="264" spans="1:8">
      <c r="A264" t="s">
        <v>3300</v>
      </c>
      <c r="B264" t="s">
        <v>3489</v>
      </c>
      <c r="C264" t="s">
        <v>3490</v>
      </c>
      <c r="D264" t="s">
        <v>219</v>
      </c>
      <c r="E264" t="s">
        <v>86</v>
      </c>
      <c r="F264" s="2">
        <v>0</v>
      </c>
      <c r="G264">
        <v>20</v>
      </c>
      <c r="H264" s="2">
        <f>Tabla_Items_Inactivos[[#This Row],[EXISTENCIA]]*Tabla_Items_Inactivos[[#This Row],[COSTO]]</f>
        <v>0</v>
      </c>
    </row>
    <row r="265" spans="1:8">
      <c r="A265" t="s">
        <v>3300</v>
      </c>
      <c r="B265" t="s">
        <v>3491</v>
      </c>
      <c r="C265" t="s">
        <v>3492</v>
      </c>
      <c r="D265" t="s">
        <v>85</v>
      </c>
      <c r="E265" t="s">
        <v>86</v>
      </c>
      <c r="F265" s="2">
        <v>1.4666999999999999</v>
      </c>
      <c r="G265">
        <v>47</v>
      </c>
      <c r="H265" s="2">
        <f>Tabla_Items_Inactivos[[#This Row],[EXISTENCIA]]*Tabla_Items_Inactivos[[#This Row],[COSTO]]</f>
        <v>68.934899999999999</v>
      </c>
    </row>
    <row r="266" spans="1:8">
      <c r="A266" t="s">
        <v>3300</v>
      </c>
      <c r="B266" t="s">
        <v>3493</v>
      </c>
      <c r="C266" t="s">
        <v>3488</v>
      </c>
      <c r="D266" t="s">
        <v>85</v>
      </c>
      <c r="E266" t="s">
        <v>86</v>
      </c>
      <c r="F266" s="2">
        <v>0.77500000000000002</v>
      </c>
      <c r="G266">
        <v>20</v>
      </c>
      <c r="H266" s="2">
        <f>Tabla_Items_Inactivos[[#This Row],[EXISTENCIA]]*Tabla_Items_Inactivos[[#This Row],[COSTO]]</f>
        <v>15.5</v>
      </c>
    </row>
    <row r="267" spans="1:8">
      <c r="A267" t="s">
        <v>3300</v>
      </c>
      <c r="B267" t="s">
        <v>3494</v>
      </c>
      <c r="C267" t="s">
        <v>3495</v>
      </c>
      <c r="D267" t="s">
        <v>85</v>
      </c>
      <c r="E267" t="s">
        <v>86</v>
      </c>
      <c r="F267" s="2">
        <v>1.0972</v>
      </c>
      <c r="G267">
        <v>55</v>
      </c>
      <c r="H267" s="2">
        <f>Tabla_Items_Inactivos[[#This Row],[EXISTENCIA]]*Tabla_Items_Inactivos[[#This Row],[COSTO]]</f>
        <v>60.345999999999997</v>
      </c>
    </row>
    <row r="268" spans="1:8">
      <c r="A268" t="s">
        <v>3300</v>
      </c>
      <c r="B268" t="s">
        <v>3496</v>
      </c>
      <c r="C268" t="s">
        <v>3497</v>
      </c>
      <c r="D268" t="s">
        <v>219</v>
      </c>
      <c r="E268" t="s">
        <v>86</v>
      </c>
      <c r="F268" s="2">
        <v>3.1204999999999998</v>
      </c>
      <c r="G268">
        <v>20</v>
      </c>
      <c r="H268" s="2">
        <f>Tabla_Items_Inactivos[[#This Row],[EXISTENCIA]]*Tabla_Items_Inactivos[[#This Row],[COSTO]]</f>
        <v>62.41</v>
      </c>
    </row>
    <row r="269" spans="1:8">
      <c r="A269" t="s">
        <v>3301</v>
      </c>
      <c r="B269" t="s">
        <v>3496</v>
      </c>
      <c r="C269" t="s">
        <v>3497</v>
      </c>
      <c r="D269" t="s">
        <v>219</v>
      </c>
      <c r="E269" t="s">
        <v>86</v>
      </c>
      <c r="F269" s="2">
        <v>3.1204999999999998</v>
      </c>
      <c r="G269">
        <v>20</v>
      </c>
      <c r="H269" s="2">
        <f>Tabla_Items_Inactivos[[#This Row],[EXISTENCIA]]*Tabla_Items_Inactivos[[#This Row],[COSTO]]</f>
        <v>62.41</v>
      </c>
    </row>
    <row r="270" spans="1:8">
      <c r="A270" t="s">
        <v>3300</v>
      </c>
      <c r="B270" t="s">
        <v>3498</v>
      </c>
      <c r="C270" t="s">
        <v>3499</v>
      </c>
      <c r="D270" t="s">
        <v>219</v>
      </c>
      <c r="E270" t="s">
        <v>86</v>
      </c>
      <c r="F270" s="2">
        <v>2.1674000000000002</v>
      </c>
      <c r="G270">
        <v>9</v>
      </c>
      <c r="H270" s="2">
        <f>Tabla_Items_Inactivos[[#This Row],[EXISTENCIA]]*Tabla_Items_Inactivos[[#This Row],[COSTO]]</f>
        <v>19.506600000000002</v>
      </c>
    </row>
    <row r="271" spans="1:8">
      <c r="A271" t="s">
        <v>3301</v>
      </c>
      <c r="B271" t="s">
        <v>3498</v>
      </c>
      <c r="C271" t="s">
        <v>3499</v>
      </c>
      <c r="D271" t="s">
        <v>219</v>
      </c>
      <c r="E271" t="s">
        <v>86</v>
      </c>
      <c r="F271" s="2">
        <v>2.1674000000000002</v>
      </c>
      <c r="G271">
        <v>9</v>
      </c>
      <c r="H271" s="2">
        <f>Tabla_Items_Inactivos[[#This Row],[EXISTENCIA]]*Tabla_Items_Inactivos[[#This Row],[COSTO]]</f>
        <v>19.506600000000002</v>
      </c>
    </row>
    <row r="272" spans="1:8">
      <c r="A272" t="s">
        <v>3300</v>
      </c>
      <c r="B272" t="s">
        <v>3500</v>
      </c>
      <c r="C272" t="s">
        <v>3501</v>
      </c>
      <c r="D272" t="s">
        <v>219</v>
      </c>
      <c r="E272" t="s">
        <v>86</v>
      </c>
      <c r="F272" s="2">
        <v>1.67</v>
      </c>
      <c r="G272">
        <v>5</v>
      </c>
      <c r="H272" s="2">
        <f>Tabla_Items_Inactivos[[#This Row],[EXISTENCIA]]*Tabla_Items_Inactivos[[#This Row],[COSTO]]</f>
        <v>8.35</v>
      </c>
    </row>
    <row r="273" spans="1:8">
      <c r="A273" t="s">
        <v>3300</v>
      </c>
      <c r="B273" t="s">
        <v>3502</v>
      </c>
      <c r="C273" t="s">
        <v>3503</v>
      </c>
      <c r="D273" t="s">
        <v>436</v>
      </c>
      <c r="E273" t="s">
        <v>86</v>
      </c>
      <c r="F273" s="2">
        <v>0.38</v>
      </c>
      <c r="G273">
        <v>5</v>
      </c>
      <c r="H273" s="2">
        <f>Tabla_Items_Inactivos[[#This Row],[EXISTENCIA]]*Tabla_Items_Inactivos[[#This Row],[COSTO]]</f>
        <v>1.9</v>
      </c>
    </row>
    <row r="274" spans="1:8">
      <c r="A274" t="s">
        <v>3300</v>
      </c>
      <c r="B274" t="s">
        <v>3504</v>
      </c>
      <c r="C274" t="s">
        <v>3505</v>
      </c>
      <c r="D274" t="s">
        <v>85</v>
      </c>
      <c r="E274" t="s">
        <v>86</v>
      </c>
      <c r="F274" s="2">
        <v>0.436</v>
      </c>
      <c r="G274">
        <v>15</v>
      </c>
      <c r="H274" s="2">
        <f>Tabla_Items_Inactivos[[#This Row],[EXISTENCIA]]*Tabla_Items_Inactivos[[#This Row],[COSTO]]</f>
        <v>6.54</v>
      </c>
    </row>
    <row r="275" spans="1:8">
      <c r="A275" t="s">
        <v>3300</v>
      </c>
      <c r="B275" t="s">
        <v>2725</v>
      </c>
      <c r="C275" t="s">
        <v>2726</v>
      </c>
      <c r="D275" t="s">
        <v>85</v>
      </c>
      <c r="E275" t="s">
        <v>86</v>
      </c>
      <c r="F275" s="2">
        <v>1.196</v>
      </c>
      <c r="G275">
        <v>12</v>
      </c>
      <c r="H275" s="2">
        <f>Tabla_Items_Inactivos[[#This Row],[EXISTENCIA]]*Tabla_Items_Inactivos[[#This Row],[COSTO]]</f>
        <v>14.352</v>
      </c>
    </row>
    <row r="276" spans="1:8">
      <c r="A276" t="s">
        <v>3300</v>
      </c>
      <c r="B276" t="s">
        <v>3506</v>
      </c>
      <c r="C276" t="s">
        <v>3507</v>
      </c>
      <c r="D276" t="s">
        <v>219</v>
      </c>
      <c r="E276" t="s">
        <v>86</v>
      </c>
      <c r="F276" s="2">
        <v>3.35</v>
      </c>
      <c r="G276">
        <v>10</v>
      </c>
      <c r="H276" s="2">
        <f>Tabla_Items_Inactivos[[#This Row],[EXISTENCIA]]*Tabla_Items_Inactivos[[#This Row],[COSTO]]</f>
        <v>33.5</v>
      </c>
    </row>
    <row r="277" spans="1:8">
      <c r="A277" t="s">
        <v>3300</v>
      </c>
      <c r="B277" t="s">
        <v>3508</v>
      </c>
      <c r="C277" t="s">
        <v>3509</v>
      </c>
      <c r="D277" t="s">
        <v>219</v>
      </c>
      <c r="E277" t="s">
        <v>86</v>
      </c>
      <c r="F277" s="2">
        <v>2.95</v>
      </c>
      <c r="G277">
        <v>6</v>
      </c>
      <c r="H277" s="2">
        <f>Tabla_Items_Inactivos[[#This Row],[EXISTENCIA]]*Tabla_Items_Inactivos[[#This Row],[COSTO]]</f>
        <v>17.700000000000003</v>
      </c>
    </row>
    <row r="278" spans="1:8">
      <c r="A278" t="s">
        <v>3300</v>
      </c>
      <c r="B278" t="s">
        <v>3510</v>
      </c>
      <c r="C278" t="s">
        <v>3511</v>
      </c>
      <c r="D278" t="s">
        <v>219</v>
      </c>
      <c r="E278" t="s">
        <v>86</v>
      </c>
      <c r="F278" s="2">
        <v>1.23</v>
      </c>
      <c r="G278">
        <v>10</v>
      </c>
      <c r="H278" s="2">
        <f>Tabla_Items_Inactivos[[#This Row],[EXISTENCIA]]*Tabla_Items_Inactivos[[#This Row],[COSTO]]</f>
        <v>12.3</v>
      </c>
    </row>
    <row r="279" spans="1:8">
      <c r="A279" t="s">
        <v>3300</v>
      </c>
      <c r="B279" t="s">
        <v>2727</v>
      </c>
      <c r="C279" t="s">
        <v>2728</v>
      </c>
      <c r="D279" t="s">
        <v>219</v>
      </c>
      <c r="E279" t="s">
        <v>86</v>
      </c>
      <c r="F279" s="2">
        <v>1.01</v>
      </c>
      <c r="G279">
        <v>10</v>
      </c>
      <c r="H279" s="2">
        <f>Tabla_Items_Inactivos[[#This Row],[EXISTENCIA]]*Tabla_Items_Inactivos[[#This Row],[COSTO]]</f>
        <v>10.1</v>
      </c>
    </row>
    <row r="280" spans="1:8">
      <c r="A280" t="s">
        <v>3300</v>
      </c>
      <c r="B280" t="s">
        <v>3512</v>
      </c>
      <c r="C280" t="s">
        <v>3513</v>
      </c>
      <c r="D280" t="s">
        <v>219</v>
      </c>
      <c r="E280" t="s">
        <v>86</v>
      </c>
      <c r="F280" s="2">
        <v>4.21</v>
      </c>
      <c r="G280">
        <v>4</v>
      </c>
      <c r="H280" s="2">
        <f>Tabla_Items_Inactivos[[#This Row],[EXISTENCIA]]*Tabla_Items_Inactivos[[#This Row],[COSTO]]</f>
        <v>16.84</v>
      </c>
    </row>
    <row r="281" spans="1:8">
      <c r="A281" t="s">
        <v>3300</v>
      </c>
      <c r="B281" t="s">
        <v>3514</v>
      </c>
      <c r="C281" t="s">
        <v>3515</v>
      </c>
      <c r="D281" t="s">
        <v>219</v>
      </c>
      <c r="E281" t="s">
        <v>86</v>
      </c>
      <c r="F281" s="2">
        <v>6.53</v>
      </c>
      <c r="G281">
        <v>3</v>
      </c>
      <c r="H281" s="2">
        <f>Tabla_Items_Inactivos[[#This Row],[EXISTENCIA]]*Tabla_Items_Inactivos[[#This Row],[COSTO]]</f>
        <v>19.59</v>
      </c>
    </row>
    <row r="282" spans="1:8">
      <c r="A282" t="s">
        <v>3300</v>
      </c>
      <c r="B282" t="s">
        <v>2729</v>
      </c>
      <c r="C282" t="s">
        <v>2730</v>
      </c>
      <c r="D282" t="s">
        <v>219</v>
      </c>
      <c r="E282" t="s">
        <v>86</v>
      </c>
      <c r="F282" s="2">
        <v>5.2539999999999996</v>
      </c>
      <c r="G282">
        <v>10</v>
      </c>
      <c r="H282" s="2">
        <f>Tabla_Items_Inactivos[[#This Row],[EXISTENCIA]]*Tabla_Items_Inactivos[[#This Row],[COSTO]]</f>
        <v>52.539999999999992</v>
      </c>
    </row>
    <row r="283" spans="1:8">
      <c r="A283" t="s">
        <v>3300</v>
      </c>
      <c r="B283" t="s">
        <v>3516</v>
      </c>
      <c r="C283" t="s">
        <v>3517</v>
      </c>
      <c r="D283" t="s">
        <v>219</v>
      </c>
      <c r="E283" t="s">
        <v>86</v>
      </c>
      <c r="F283" s="2">
        <v>2.95</v>
      </c>
      <c r="G283">
        <v>3</v>
      </c>
      <c r="H283" s="2">
        <f>Tabla_Items_Inactivos[[#This Row],[EXISTENCIA]]*Tabla_Items_Inactivos[[#This Row],[COSTO]]</f>
        <v>8.8500000000000014</v>
      </c>
    </row>
    <row r="284" spans="1:8">
      <c r="A284" t="s">
        <v>3300</v>
      </c>
      <c r="B284" t="s">
        <v>2731</v>
      </c>
      <c r="C284" t="s">
        <v>2732</v>
      </c>
      <c r="D284" t="s">
        <v>223</v>
      </c>
      <c r="E284" t="s">
        <v>86</v>
      </c>
      <c r="F284" s="2">
        <v>0.55600000000000005</v>
      </c>
      <c r="G284">
        <v>20</v>
      </c>
      <c r="H284" s="2">
        <f>Tabla_Items_Inactivos[[#This Row],[EXISTENCIA]]*Tabla_Items_Inactivos[[#This Row],[COSTO]]</f>
        <v>11.120000000000001</v>
      </c>
    </row>
    <row r="285" spans="1:8">
      <c r="A285" t="s">
        <v>3300</v>
      </c>
      <c r="B285" t="s">
        <v>3518</v>
      </c>
      <c r="C285" t="s">
        <v>3519</v>
      </c>
      <c r="D285" t="s">
        <v>219</v>
      </c>
      <c r="E285" t="s">
        <v>86</v>
      </c>
      <c r="F285" s="2">
        <v>1.65</v>
      </c>
      <c r="G285">
        <v>6</v>
      </c>
      <c r="H285" s="2">
        <f>Tabla_Items_Inactivos[[#This Row],[EXISTENCIA]]*Tabla_Items_Inactivos[[#This Row],[COSTO]]</f>
        <v>9.8999999999999986</v>
      </c>
    </row>
    <row r="286" spans="1:8">
      <c r="A286" t="s">
        <v>3300</v>
      </c>
      <c r="B286" t="s">
        <v>2733</v>
      </c>
      <c r="C286" t="s">
        <v>3520</v>
      </c>
      <c r="D286" t="s">
        <v>219</v>
      </c>
      <c r="E286" t="s">
        <v>86</v>
      </c>
      <c r="F286" s="2">
        <v>0.71319999999999995</v>
      </c>
      <c r="G286">
        <v>25</v>
      </c>
      <c r="H286" s="2">
        <f>Tabla_Items_Inactivos[[#This Row],[EXISTENCIA]]*Tabla_Items_Inactivos[[#This Row],[COSTO]]</f>
        <v>17.829999999999998</v>
      </c>
    </row>
    <row r="287" spans="1:8">
      <c r="A287" t="s">
        <v>3300</v>
      </c>
      <c r="B287" t="s">
        <v>2734</v>
      </c>
      <c r="C287" t="s">
        <v>2735</v>
      </c>
      <c r="D287" t="s">
        <v>219</v>
      </c>
      <c r="E287" t="s">
        <v>86</v>
      </c>
      <c r="F287" s="2">
        <v>0.66390000000000005</v>
      </c>
      <c r="G287">
        <v>25</v>
      </c>
      <c r="H287" s="2">
        <f>Tabla_Items_Inactivos[[#This Row],[EXISTENCIA]]*Tabla_Items_Inactivos[[#This Row],[COSTO]]</f>
        <v>16.5975</v>
      </c>
    </row>
    <row r="288" spans="1:8">
      <c r="A288" t="s">
        <v>3300</v>
      </c>
      <c r="B288" t="s">
        <v>3521</v>
      </c>
      <c r="C288" t="s">
        <v>3522</v>
      </c>
      <c r="D288" t="s">
        <v>85</v>
      </c>
      <c r="E288" t="s">
        <v>86</v>
      </c>
      <c r="F288" s="2">
        <v>0.25850000000000001</v>
      </c>
      <c r="G288">
        <v>69</v>
      </c>
      <c r="H288" s="2">
        <f>Tabla_Items_Inactivos[[#This Row],[EXISTENCIA]]*Tabla_Items_Inactivos[[#This Row],[COSTO]]</f>
        <v>17.836500000000001</v>
      </c>
    </row>
    <row r="289" spans="1:8">
      <c r="A289" t="s">
        <v>3300</v>
      </c>
      <c r="B289" t="s">
        <v>3523</v>
      </c>
      <c r="C289" t="s">
        <v>3524</v>
      </c>
      <c r="D289" t="s">
        <v>436</v>
      </c>
      <c r="E289" t="s">
        <v>86</v>
      </c>
      <c r="F289" s="2">
        <v>0.81</v>
      </c>
      <c r="G289">
        <v>20</v>
      </c>
      <c r="H289" s="2">
        <f>Tabla_Items_Inactivos[[#This Row],[EXISTENCIA]]*Tabla_Items_Inactivos[[#This Row],[COSTO]]</f>
        <v>16.200000000000003</v>
      </c>
    </row>
    <row r="290" spans="1:8">
      <c r="A290" t="s">
        <v>3300</v>
      </c>
      <c r="B290" t="s">
        <v>2736</v>
      </c>
      <c r="C290" t="s">
        <v>2737</v>
      </c>
      <c r="D290" t="s">
        <v>85</v>
      </c>
      <c r="E290" t="s">
        <v>86</v>
      </c>
      <c r="F290" s="2">
        <v>0.83889999999999998</v>
      </c>
      <c r="G290">
        <v>18</v>
      </c>
      <c r="H290" s="2">
        <f>Tabla_Items_Inactivos[[#This Row],[EXISTENCIA]]*Tabla_Items_Inactivos[[#This Row],[COSTO]]</f>
        <v>15.100199999999999</v>
      </c>
    </row>
    <row r="291" spans="1:8">
      <c r="A291" t="s">
        <v>3300</v>
      </c>
      <c r="B291" t="s">
        <v>3525</v>
      </c>
      <c r="C291" t="s">
        <v>3526</v>
      </c>
      <c r="D291" t="s">
        <v>85</v>
      </c>
      <c r="E291" t="s">
        <v>86</v>
      </c>
      <c r="F291" s="2">
        <v>1.34</v>
      </c>
      <c r="G291">
        <v>10</v>
      </c>
      <c r="H291" s="2">
        <f>Tabla_Items_Inactivos[[#This Row],[EXISTENCIA]]*Tabla_Items_Inactivos[[#This Row],[COSTO]]</f>
        <v>13.4</v>
      </c>
    </row>
    <row r="292" spans="1:8">
      <c r="A292" t="s">
        <v>3300</v>
      </c>
      <c r="B292" t="s">
        <v>2738</v>
      </c>
      <c r="C292" t="s">
        <v>2739</v>
      </c>
      <c r="D292" t="s">
        <v>85</v>
      </c>
      <c r="E292" t="s">
        <v>86</v>
      </c>
      <c r="F292" s="2">
        <v>1.2270000000000001</v>
      </c>
      <c r="G292">
        <v>20</v>
      </c>
      <c r="H292" s="2">
        <f>Tabla_Items_Inactivos[[#This Row],[EXISTENCIA]]*Tabla_Items_Inactivos[[#This Row],[COSTO]]</f>
        <v>24.540000000000003</v>
      </c>
    </row>
    <row r="293" spans="1:8">
      <c r="A293" t="s">
        <v>3300</v>
      </c>
      <c r="B293" t="s">
        <v>3527</v>
      </c>
      <c r="C293" t="s">
        <v>3528</v>
      </c>
      <c r="D293" t="s">
        <v>436</v>
      </c>
      <c r="E293" t="s">
        <v>86</v>
      </c>
      <c r="F293" s="2">
        <v>32.9</v>
      </c>
      <c r="G293">
        <v>4</v>
      </c>
      <c r="H293" s="2">
        <f>Tabla_Items_Inactivos[[#This Row],[EXISTENCIA]]*Tabla_Items_Inactivos[[#This Row],[COSTO]]</f>
        <v>131.6</v>
      </c>
    </row>
    <row r="294" spans="1:8">
      <c r="A294" t="s">
        <v>3300</v>
      </c>
      <c r="B294" t="s">
        <v>3529</v>
      </c>
      <c r="C294" t="s">
        <v>3530</v>
      </c>
      <c r="D294" t="s">
        <v>85</v>
      </c>
      <c r="E294" t="s">
        <v>86</v>
      </c>
      <c r="F294" s="2">
        <v>28.9602</v>
      </c>
      <c r="G294">
        <v>6</v>
      </c>
      <c r="H294" s="2">
        <f>Tabla_Items_Inactivos[[#This Row],[EXISTENCIA]]*Tabla_Items_Inactivos[[#This Row],[COSTO]]</f>
        <v>173.7612</v>
      </c>
    </row>
    <row r="295" spans="1:8">
      <c r="A295" t="s">
        <v>3300</v>
      </c>
      <c r="B295" t="s">
        <v>3531</v>
      </c>
      <c r="C295" t="s">
        <v>3532</v>
      </c>
      <c r="D295" t="s">
        <v>219</v>
      </c>
      <c r="E295" t="s">
        <v>86</v>
      </c>
      <c r="F295" s="2">
        <v>119.48</v>
      </c>
      <c r="G295">
        <v>1</v>
      </c>
      <c r="H295" s="2">
        <f>Tabla_Items_Inactivos[[#This Row],[EXISTENCIA]]*Tabla_Items_Inactivos[[#This Row],[COSTO]]</f>
        <v>119.48</v>
      </c>
    </row>
    <row r="296" spans="1:8">
      <c r="A296" t="s">
        <v>3300</v>
      </c>
      <c r="B296" t="s">
        <v>3533</v>
      </c>
      <c r="C296" t="s">
        <v>3534</v>
      </c>
      <c r="D296" t="s">
        <v>98</v>
      </c>
      <c r="E296" t="s">
        <v>86</v>
      </c>
      <c r="F296" s="2">
        <v>44.93</v>
      </c>
      <c r="G296">
        <v>4</v>
      </c>
      <c r="H296" s="2">
        <f>Tabla_Items_Inactivos[[#This Row],[EXISTENCIA]]*Tabla_Items_Inactivos[[#This Row],[COSTO]]</f>
        <v>179.72</v>
      </c>
    </row>
    <row r="297" spans="1:8">
      <c r="A297" t="s">
        <v>3300</v>
      </c>
      <c r="B297" t="s">
        <v>2740</v>
      </c>
      <c r="C297" t="s">
        <v>2741</v>
      </c>
      <c r="D297" t="s">
        <v>85</v>
      </c>
      <c r="E297" t="s">
        <v>86</v>
      </c>
      <c r="F297" s="2">
        <v>46.802999999999997</v>
      </c>
      <c r="G297">
        <v>4</v>
      </c>
      <c r="H297" s="2">
        <f>Tabla_Items_Inactivos[[#This Row],[EXISTENCIA]]*Tabla_Items_Inactivos[[#This Row],[COSTO]]</f>
        <v>187.21199999999999</v>
      </c>
    </row>
    <row r="298" spans="1:8">
      <c r="A298" t="s">
        <v>3301</v>
      </c>
      <c r="B298" t="s">
        <v>3535</v>
      </c>
      <c r="C298" t="s">
        <v>3536</v>
      </c>
      <c r="D298" t="s">
        <v>3537</v>
      </c>
      <c r="E298" t="s">
        <v>86</v>
      </c>
      <c r="F298" s="2">
        <v>2.1415000000000002</v>
      </c>
      <c r="G298">
        <v>63</v>
      </c>
      <c r="H298" s="2">
        <f>Tabla_Items_Inactivos[[#This Row],[EXISTENCIA]]*Tabla_Items_Inactivos[[#This Row],[COSTO]]</f>
        <v>134.9145</v>
      </c>
    </row>
    <row r="299" spans="1:8">
      <c r="A299" t="s">
        <v>3300</v>
      </c>
      <c r="B299" t="s">
        <v>3535</v>
      </c>
      <c r="C299" t="s">
        <v>3536</v>
      </c>
      <c r="D299" t="s">
        <v>3537</v>
      </c>
      <c r="E299" t="s">
        <v>86</v>
      </c>
      <c r="F299" s="2">
        <v>2.1415000000000002</v>
      </c>
      <c r="G299">
        <v>63</v>
      </c>
      <c r="H299" s="2">
        <f>Tabla_Items_Inactivos[[#This Row],[EXISTENCIA]]*Tabla_Items_Inactivos[[#This Row],[COSTO]]</f>
        <v>134.9145</v>
      </c>
    </row>
    <row r="300" spans="1:8">
      <c r="A300" t="s">
        <v>3300</v>
      </c>
      <c r="B300" t="s">
        <v>3538</v>
      </c>
      <c r="C300" t="s">
        <v>3539</v>
      </c>
      <c r="D300" t="s">
        <v>436</v>
      </c>
      <c r="E300" t="s">
        <v>86</v>
      </c>
      <c r="F300" s="2">
        <v>2.14</v>
      </c>
      <c r="G300">
        <v>2</v>
      </c>
      <c r="H300" s="2">
        <f>Tabla_Items_Inactivos[[#This Row],[EXISTENCIA]]*Tabla_Items_Inactivos[[#This Row],[COSTO]]</f>
        <v>4.28</v>
      </c>
    </row>
    <row r="301" spans="1:8">
      <c r="A301" t="s">
        <v>3300</v>
      </c>
      <c r="B301" t="s">
        <v>226</v>
      </c>
      <c r="C301" t="s">
        <v>227</v>
      </c>
      <c r="D301" t="s">
        <v>228</v>
      </c>
      <c r="E301" t="s">
        <v>86</v>
      </c>
      <c r="F301" s="2">
        <v>16.968900000000001</v>
      </c>
      <c r="G301">
        <v>21</v>
      </c>
      <c r="H301" s="2">
        <f>Tabla_Items_Inactivos[[#This Row],[EXISTENCIA]]*Tabla_Items_Inactivos[[#This Row],[COSTO]]</f>
        <v>356.34690000000001</v>
      </c>
    </row>
    <row r="302" spans="1:8">
      <c r="A302" t="s">
        <v>3301</v>
      </c>
      <c r="B302" t="s">
        <v>226</v>
      </c>
      <c r="C302" t="s">
        <v>227</v>
      </c>
      <c r="D302" t="s">
        <v>228</v>
      </c>
      <c r="E302" t="s">
        <v>86</v>
      </c>
      <c r="F302" s="2">
        <v>16.968900000000001</v>
      </c>
      <c r="G302">
        <v>21</v>
      </c>
      <c r="H302" s="2">
        <f>Tabla_Items_Inactivos[[#This Row],[EXISTENCIA]]*Tabla_Items_Inactivos[[#This Row],[COSTO]]</f>
        <v>356.34690000000001</v>
      </c>
    </row>
    <row r="303" spans="1:8">
      <c r="A303" t="s">
        <v>3300</v>
      </c>
      <c r="B303" t="s">
        <v>229</v>
      </c>
      <c r="C303" t="s">
        <v>230</v>
      </c>
      <c r="D303" t="s">
        <v>228</v>
      </c>
      <c r="E303" t="s">
        <v>86</v>
      </c>
      <c r="F303" s="2">
        <v>26.801100000000002</v>
      </c>
      <c r="G303">
        <v>24</v>
      </c>
      <c r="H303" s="2">
        <f>Tabla_Items_Inactivos[[#This Row],[EXISTENCIA]]*Tabla_Items_Inactivos[[#This Row],[COSTO]]</f>
        <v>643.22640000000001</v>
      </c>
    </row>
    <row r="304" spans="1:8">
      <c r="A304" t="s">
        <v>3301</v>
      </c>
      <c r="B304" t="s">
        <v>229</v>
      </c>
      <c r="C304" t="s">
        <v>230</v>
      </c>
      <c r="D304" t="s">
        <v>228</v>
      </c>
      <c r="E304" t="s">
        <v>86</v>
      </c>
      <c r="F304" s="2">
        <v>26.801100000000002</v>
      </c>
      <c r="G304">
        <v>24</v>
      </c>
      <c r="H304" s="2">
        <f>Tabla_Items_Inactivos[[#This Row],[EXISTENCIA]]*Tabla_Items_Inactivos[[#This Row],[COSTO]]</f>
        <v>643.22640000000001</v>
      </c>
    </row>
    <row r="305" spans="1:8">
      <c r="A305" t="s">
        <v>3299</v>
      </c>
      <c r="B305" t="s">
        <v>3540</v>
      </c>
      <c r="C305" t="s">
        <v>3541</v>
      </c>
      <c r="D305" t="s">
        <v>228</v>
      </c>
      <c r="E305" t="s">
        <v>86</v>
      </c>
      <c r="F305" s="2">
        <v>53.326900000000002</v>
      </c>
      <c r="G305">
        <v>4</v>
      </c>
      <c r="H305" s="2">
        <f>Tabla_Items_Inactivos[[#This Row],[EXISTENCIA]]*Tabla_Items_Inactivos[[#This Row],[COSTO]]</f>
        <v>213.30760000000001</v>
      </c>
    </row>
    <row r="306" spans="1:8">
      <c r="A306" t="s">
        <v>3300</v>
      </c>
      <c r="B306" t="s">
        <v>3540</v>
      </c>
      <c r="C306" t="s">
        <v>3541</v>
      </c>
      <c r="D306" t="s">
        <v>228</v>
      </c>
      <c r="E306" t="s">
        <v>86</v>
      </c>
      <c r="F306" s="2">
        <v>53.326900000000002</v>
      </c>
      <c r="G306">
        <v>4</v>
      </c>
      <c r="H306" s="2">
        <f>Tabla_Items_Inactivos[[#This Row],[EXISTENCIA]]*Tabla_Items_Inactivos[[#This Row],[COSTO]]</f>
        <v>213.30760000000001</v>
      </c>
    </row>
    <row r="307" spans="1:8">
      <c r="A307" t="s">
        <v>3301</v>
      </c>
      <c r="B307" t="s">
        <v>3540</v>
      </c>
      <c r="C307" t="s">
        <v>3541</v>
      </c>
      <c r="D307" t="s">
        <v>228</v>
      </c>
      <c r="E307" t="s">
        <v>86</v>
      </c>
      <c r="F307" s="2">
        <v>53.326900000000002</v>
      </c>
      <c r="G307">
        <v>4</v>
      </c>
      <c r="H307" s="2">
        <f>Tabla_Items_Inactivos[[#This Row],[EXISTENCIA]]*Tabla_Items_Inactivos[[#This Row],[COSTO]]</f>
        <v>213.30760000000001</v>
      </c>
    </row>
    <row r="308" spans="1:8">
      <c r="A308" t="s">
        <v>3300</v>
      </c>
      <c r="B308" t="s">
        <v>3542</v>
      </c>
      <c r="C308" t="s">
        <v>3543</v>
      </c>
      <c r="D308" t="s">
        <v>219</v>
      </c>
      <c r="E308" t="s">
        <v>86</v>
      </c>
      <c r="F308" s="2">
        <v>111.27</v>
      </c>
      <c r="G308">
        <v>2</v>
      </c>
      <c r="H308" s="2">
        <f>Tabla_Items_Inactivos[[#This Row],[EXISTENCIA]]*Tabla_Items_Inactivos[[#This Row],[COSTO]]</f>
        <v>222.54</v>
      </c>
    </row>
    <row r="309" spans="1:8">
      <c r="A309" t="s">
        <v>3300</v>
      </c>
      <c r="B309" t="s">
        <v>3544</v>
      </c>
      <c r="C309" t="s">
        <v>3545</v>
      </c>
      <c r="D309" t="s">
        <v>219</v>
      </c>
      <c r="E309" t="s">
        <v>86</v>
      </c>
      <c r="F309" s="2">
        <v>2.52</v>
      </c>
      <c r="G309">
        <v>5</v>
      </c>
      <c r="H309" s="2">
        <f>Tabla_Items_Inactivos[[#This Row],[EXISTENCIA]]*Tabla_Items_Inactivos[[#This Row],[COSTO]]</f>
        <v>12.6</v>
      </c>
    </row>
    <row r="310" spans="1:8">
      <c r="A310" t="s">
        <v>3300</v>
      </c>
      <c r="B310" t="s">
        <v>3546</v>
      </c>
      <c r="C310" t="s">
        <v>3547</v>
      </c>
      <c r="D310" t="s">
        <v>219</v>
      </c>
      <c r="E310" t="s">
        <v>86</v>
      </c>
      <c r="F310" s="2">
        <v>1.1200000000000001</v>
      </c>
      <c r="G310">
        <v>5</v>
      </c>
      <c r="H310" s="2">
        <f>Tabla_Items_Inactivos[[#This Row],[EXISTENCIA]]*Tabla_Items_Inactivos[[#This Row],[COSTO]]</f>
        <v>5.6000000000000005</v>
      </c>
    </row>
    <row r="311" spans="1:8">
      <c r="A311" t="s">
        <v>3300</v>
      </c>
      <c r="B311" t="s">
        <v>3548</v>
      </c>
      <c r="C311" t="s">
        <v>3549</v>
      </c>
      <c r="D311" t="s">
        <v>219</v>
      </c>
      <c r="E311" t="s">
        <v>86</v>
      </c>
      <c r="F311" s="2">
        <v>1.28</v>
      </c>
      <c r="G311">
        <v>5</v>
      </c>
      <c r="H311" s="2">
        <f>Tabla_Items_Inactivos[[#This Row],[EXISTENCIA]]*Tabla_Items_Inactivos[[#This Row],[COSTO]]</f>
        <v>6.4</v>
      </c>
    </row>
    <row r="312" spans="1:8">
      <c r="A312" t="s">
        <v>3300</v>
      </c>
      <c r="B312" t="s">
        <v>3550</v>
      </c>
      <c r="C312" t="s">
        <v>3551</v>
      </c>
      <c r="D312" t="s">
        <v>219</v>
      </c>
      <c r="E312" t="s">
        <v>86</v>
      </c>
      <c r="F312" s="2">
        <v>6.48</v>
      </c>
      <c r="G312">
        <v>5</v>
      </c>
      <c r="H312" s="2">
        <f>Tabla_Items_Inactivos[[#This Row],[EXISTENCIA]]*Tabla_Items_Inactivos[[#This Row],[COSTO]]</f>
        <v>32.400000000000006</v>
      </c>
    </row>
    <row r="313" spans="1:8">
      <c r="A313" t="s">
        <v>3300</v>
      </c>
      <c r="B313" t="s">
        <v>3552</v>
      </c>
      <c r="C313" t="s">
        <v>3553</v>
      </c>
      <c r="D313" t="s">
        <v>219</v>
      </c>
      <c r="E313" t="s">
        <v>86</v>
      </c>
      <c r="F313" s="2">
        <v>1.1200000000000001</v>
      </c>
      <c r="G313">
        <v>5</v>
      </c>
      <c r="H313" s="2">
        <f>Tabla_Items_Inactivos[[#This Row],[EXISTENCIA]]*Tabla_Items_Inactivos[[#This Row],[COSTO]]</f>
        <v>5.6000000000000005</v>
      </c>
    </row>
    <row r="314" spans="1:8">
      <c r="A314" t="s">
        <v>3300</v>
      </c>
      <c r="B314" t="s">
        <v>3554</v>
      </c>
      <c r="C314" t="s">
        <v>3555</v>
      </c>
      <c r="D314" t="s">
        <v>219</v>
      </c>
      <c r="E314" t="s">
        <v>86</v>
      </c>
      <c r="F314" s="2">
        <v>9.52</v>
      </c>
      <c r="G314">
        <v>5</v>
      </c>
      <c r="H314" s="2">
        <f>Tabla_Items_Inactivos[[#This Row],[EXISTENCIA]]*Tabla_Items_Inactivos[[#This Row],[COSTO]]</f>
        <v>47.599999999999994</v>
      </c>
    </row>
    <row r="315" spans="1:8">
      <c r="A315" t="s">
        <v>3300</v>
      </c>
      <c r="B315" t="s">
        <v>2742</v>
      </c>
      <c r="C315" t="s">
        <v>2743</v>
      </c>
      <c r="D315" t="s">
        <v>219</v>
      </c>
      <c r="E315" t="s">
        <v>86</v>
      </c>
      <c r="F315" s="2">
        <v>53.430199999999999</v>
      </c>
      <c r="G315">
        <v>4</v>
      </c>
      <c r="H315" s="2">
        <f>Tabla_Items_Inactivos[[#This Row],[EXISTENCIA]]*Tabla_Items_Inactivos[[#This Row],[COSTO]]</f>
        <v>213.7208</v>
      </c>
    </row>
    <row r="316" spans="1:8">
      <c r="A316" t="s">
        <v>3300</v>
      </c>
      <c r="B316" t="s">
        <v>3556</v>
      </c>
      <c r="C316" t="s">
        <v>3557</v>
      </c>
      <c r="D316" t="s">
        <v>85</v>
      </c>
      <c r="E316" t="s">
        <v>86</v>
      </c>
      <c r="F316" s="2">
        <v>32.294899999999998</v>
      </c>
      <c r="G316">
        <v>9</v>
      </c>
      <c r="H316" s="2">
        <f>Tabla_Items_Inactivos[[#This Row],[EXISTENCIA]]*Tabla_Items_Inactivos[[#This Row],[COSTO]]</f>
        <v>290.65409999999997</v>
      </c>
    </row>
    <row r="317" spans="1:8">
      <c r="A317" t="s">
        <v>3301</v>
      </c>
      <c r="B317" t="s">
        <v>3556</v>
      </c>
      <c r="C317" t="s">
        <v>3557</v>
      </c>
      <c r="D317" t="s">
        <v>85</v>
      </c>
      <c r="E317" t="s">
        <v>86</v>
      </c>
      <c r="F317" s="2">
        <v>32.294899999999998</v>
      </c>
      <c r="G317">
        <v>9</v>
      </c>
      <c r="H317" s="2">
        <f>Tabla_Items_Inactivos[[#This Row],[EXISTENCIA]]*Tabla_Items_Inactivos[[#This Row],[COSTO]]</f>
        <v>290.65409999999997</v>
      </c>
    </row>
    <row r="318" spans="1:8">
      <c r="A318" t="s">
        <v>3300</v>
      </c>
      <c r="B318" t="s">
        <v>3558</v>
      </c>
      <c r="C318" t="s">
        <v>3559</v>
      </c>
      <c r="D318" t="s">
        <v>436</v>
      </c>
      <c r="E318" t="s">
        <v>86</v>
      </c>
      <c r="F318" s="2">
        <v>26.18</v>
      </c>
      <c r="G318">
        <v>2</v>
      </c>
      <c r="H318" s="2">
        <f>Tabla_Items_Inactivos[[#This Row],[EXISTENCIA]]*Tabla_Items_Inactivos[[#This Row],[COSTO]]</f>
        <v>52.36</v>
      </c>
    </row>
    <row r="319" spans="1:8">
      <c r="A319" t="s">
        <v>3300</v>
      </c>
      <c r="B319" t="s">
        <v>2744</v>
      </c>
      <c r="C319" t="s">
        <v>2745</v>
      </c>
      <c r="D319" t="s">
        <v>85</v>
      </c>
      <c r="E319" t="s">
        <v>86</v>
      </c>
      <c r="F319" s="2">
        <v>29.754999999999999</v>
      </c>
      <c r="G319">
        <v>8</v>
      </c>
      <c r="H319" s="2">
        <f>Tabla_Items_Inactivos[[#This Row],[EXISTENCIA]]*Tabla_Items_Inactivos[[#This Row],[COSTO]]</f>
        <v>238.04</v>
      </c>
    </row>
    <row r="320" spans="1:8">
      <c r="A320" t="s">
        <v>3300</v>
      </c>
      <c r="B320" t="s">
        <v>2746</v>
      </c>
      <c r="C320" t="s">
        <v>2747</v>
      </c>
      <c r="D320" t="s">
        <v>85</v>
      </c>
      <c r="E320" t="s">
        <v>86</v>
      </c>
      <c r="F320" s="2">
        <v>29.276</v>
      </c>
      <c r="G320">
        <v>7</v>
      </c>
      <c r="H320" s="2">
        <f>Tabla_Items_Inactivos[[#This Row],[EXISTENCIA]]*Tabla_Items_Inactivos[[#This Row],[COSTO]]</f>
        <v>204.93199999999999</v>
      </c>
    </row>
    <row r="321" spans="1:8">
      <c r="A321" t="s">
        <v>3300</v>
      </c>
      <c r="B321" t="s">
        <v>2748</v>
      </c>
      <c r="C321" t="s">
        <v>2749</v>
      </c>
      <c r="D321" t="s">
        <v>219</v>
      </c>
      <c r="E321" t="s">
        <v>86</v>
      </c>
      <c r="F321" s="2">
        <v>32.01</v>
      </c>
      <c r="G321">
        <v>3</v>
      </c>
      <c r="H321" s="2">
        <f>Tabla_Items_Inactivos[[#This Row],[EXISTENCIA]]*Tabla_Items_Inactivos[[#This Row],[COSTO]]</f>
        <v>96.03</v>
      </c>
    </row>
    <row r="322" spans="1:8">
      <c r="A322" t="s">
        <v>3300</v>
      </c>
      <c r="B322" t="s">
        <v>2750</v>
      </c>
      <c r="C322" t="s">
        <v>2751</v>
      </c>
      <c r="D322" t="s">
        <v>219</v>
      </c>
      <c r="E322" t="s">
        <v>86</v>
      </c>
      <c r="F322" s="2">
        <v>49.57</v>
      </c>
      <c r="G322">
        <v>4</v>
      </c>
      <c r="H322" s="2">
        <f>Tabla_Items_Inactivos[[#This Row],[EXISTENCIA]]*Tabla_Items_Inactivos[[#This Row],[COSTO]]</f>
        <v>198.28</v>
      </c>
    </row>
    <row r="323" spans="1:8">
      <c r="A323" t="s">
        <v>3300</v>
      </c>
      <c r="B323" t="s">
        <v>3560</v>
      </c>
      <c r="C323" t="s">
        <v>3561</v>
      </c>
      <c r="D323" t="s">
        <v>436</v>
      </c>
      <c r="E323" t="s">
        <v>86</v>
      </c>
      <c r="F323" s="2">
        <v>9.5399999999999991</v>
      </c>
      <c r="G323">
        <v>3</v>
      </c>
      <c r="H323" s="2">
        <f>Tabla_Items_Inactivos[[#This Row],[EXISTENCIA]]*Tabla_Items_Inactivos[[#This Row],[COSTO]]</f>
        <v>28.619999999999997</v>
      </c>
    </row>
    <row r="324" spans="1:8">
      <c r="A324" t="s">
        <v>3300</v>
      </c>
      <c r="B324" t="s">
        <v>3562</v>
      </c>
      <c r="C324" t="s">
        <v>3563</v>
      </c>
      <c r="D324" t="s">
        <v>219</v>
      </c>
      <c r="E324" t="s">
        <v>86</v>
      </c>
      <c r="F324" s="2">
        <v>2.7408000000000001</v>
      </c>
      <c r="G324">
        <v>23</v>
      </c>
      <c r="H324" s="2">
        <f>Tabla_Items_Inactivos[[#This Row],[EXISTENCIA]]*Tabla_Items_Inactivos[[#This Row],[COSTO]]</f>
        <v>63.038400000000003</v>
      </c>
    </row>
    <row r="325" spans="1:8">
      <c r="A325" t="s">
        <v>3301</v>
      </c>
      <c r="B325" t="s">
        <v>3562</v>
      </c>
      <c r="C325" t="s">
        <v>3563</v>
      </c>
      <c r="D325" t="s">
        <v>219</v>
      </c>
      <c r="E325" t="s">
        <v>86</v>
      </c>
      <c r="F325" s="2">
        <v>2.7408000000000001</v>
      </c>
      <c r="G325">
        <v>23</v>
      </c>
      <c r="H325" s="2">
        <f>Tabla_Items_Inactivos[[#This Row],[EXISTENCIA]]*Tabla_Items_Inactivos[[#This Row],[COSTO]]</f>
        <v>63.038400000000003</v>
      </c>
    </row>
    <row r="326" spans="1:8">
      <c r="A326" t="s">
        <v>3300</v>
      </c>
      <c r="B326" t="s">
        <v>2752</v>
      </c>
      <c r="C326" t="s">
        <v>2753</v>
      </c>
      <c r="D326" t="s">
        <v>436</v>
      </c>
      <c r="E326" t="s">
        <v>86</v>
      </c>
      <c r="F326" s="2">
        <v>9.3970000000000002</v>
      </c>
      <c r="G326">
        <v>2</v>
      </c>
      <c r="H326" s="2">
        <f>Tabla_Items_Inactivos[[#This Row],[EXISTENCIA]]*Tabla_Items_Inactivos[[#This Row],[COSTO]]</f>
        <v>18.794</v>
      </c>
    </row>
    <row r="327" spans="1:8">
      <c r="A327" t="s">
        <v>3300</v>
      </c>
      <c r="B327" t="s">
        <v>3564</v>
      </c>
      <c r="C327" t="s">
        <v>3565</v>
      </c>
      <c r="D327" t="s">
        <v>85</v>
      </c>
      <c r="E327" t="s">
        <v>86</v>
      </c>
      <c r="F327" s="2">
        <v>1.4630000000000001</v>
      </c>
      <c r="G327">
        <v>10</v>
      </c>
      <c r="H327" s="2">
        <f>Tabla_Items_Inactivos[[#This Row],[EXISTENCIA]]*Tabla_Items_Inactivos[[#This Row],[COSTO]]</f>
        <v>14.63</v>
      </c>
    </row>
    <row r="328" spans="1:8">
      <c r="A328" t="s">
        <v>3300</v>
      </c>
      <c r="B328" t="s">
        <v>3566</v>
      </c>
      <c r="C328" t="s">
        <v>3567</v>
      </c>
      <c r="D328" t="s">
        <v>85</v>
      </c>
      <c r="E328" t="s">
        <v>86</v>
      </c>
      <c r="F328" s="2">
        <v>1.5409999999999999</v>
      </c>
      <c r="G328">
        <v>11</v>
      </c>
      <c r="H328" s="2">
        <f>Tabla_Items_Inactivos[[#This Row],[EXISTENCIA]]*Tabla_Items_Inactivos[[#This Row],[COSTO]]</f>
        <v>16.951000000000001</v>
      </c>
    </row>
    <row r="329" spans="1:8">
      <c r="A329" t="s">
        <v>3300</v>
      </c>
      <c r="B329" t="s">
        <v>3568</v>
      </c>
      <c r="C329" t="s">
        <v>3569</v>
      </c>
      <c r="D329" t="s">
        <v>98</v>
      </c>
      <c r="E329" t="s">
        <v>86</v>
      </c>
      <c r="F329" s="2">
        <v>2.3525999999999998</v>
      </c>
      <c r="G329">
        <v>2</v>
      </c>
      <c r="H329" s="2">
        <f>Tabla_Items_Inactivos[[#This Row],[EXISTENCIA]]*Tabla_Items_Inactivos[[#This Row],[COSTO]]</f>
        <v>4.7051999999999996</v>
      </c>
    </row>
    <row r="330" spans="1:8">
      <c r="A330" t="s">
        <v>3301</v>
      </c>
      <c r="B330" t="s">
        <v>3568</v>
      </c>
      <c r="C330" t="s">
        <v>3569</v>
      </c>
      <c r="D330" t="s">
        <v>98</v>
      </c>
      <c r="E330" t="s">
        <v>86</v>
      </c>
      <c r="F330" s="2">
        <v>2.3525999999999998</v>
      </c>
      <c r="G330">
        <v>2</v>
      </c>
      <c r="H330" s="2">
        <f>Tabla_Items_Inactivos[[#This Row],[EXISTENCIA]]*Tabla_Items_Inactivos[[#This Row],[COSTO]]</f>
        <v>4.7051999999999996</v>
      </c>
    </row>
    <row r="331" spans="1:8">
      <c r="A331" t="s">
        <v>3300</v>
      </c>
      <c r="B331" t="s">
        <v>3570</v>
      </c>
      <c r="C331" t="s">
        <v>3571</v>
      </c>
      <c r="D331" t="s">
        <v>85</v>
      </c>
      <c r="E331" t="s">
        <v>86</v>
      </c>
      <c r="F331" s="2">
        <v>0.49299999999999999</v>
      </c>
      <c r="G331">
        <v>28</v>
      </c>
      <c r="H331" s="2">
        <f>Tabla_Items_Inactivos[[#This Row],[EXISTENCIA]]*Tabla_Items_Inactivos[[#This Row],[COSTO]]</f>
        <v>13.804</v>
      </c>
    </row>
    <row r="332" spans="1:8">
      <c r="A332" t="s">
        <v>3300</v>
      </c>
      <c r="B332" t="s">
        <v>2754</v>
      </c>
      <c r="C332" t="s">
        <v>3572</v>
      </c>
      <c r="D332" t="s">
        <v>219</v>
      </c>
      <c r="E332" t="s">
        <v>86</v>
      </c>
      <c r="F332" s="2">
        <v>1.0169999999999999</v>
      </c>
      <c r="G332">
        <v>10</v>
      </c>
      <c r="H332" s="2">
        <f>Tabla_Items_Inactivos[[#This Row],[EXISTENCIA]]*Tabla_Items_Inactivos[[#This Row],[COSTO]]</f>
        <v>10.169999999999998</v>
      </c>
    </row>
    <row r="333" spans="1:8">
      <c r="A333" t="s">
        <v>3300</v>
      </c>
      <c r="B333" t="s">
        <v>3573</v>
      </c>
      <c r="C333" t="s">
        <v>3574</v>
      </c>
      <c r="D333" t="s">
        <v>219</v>
      </c>
      <c r="E333" t="s">
        <v>86</v>
      </c>
      <c r="F333" s="2">
        <v>1.6226</v>
      </c>
      <c r="G333">
        <v>22</v>
      </c>
      <c r="H333" s="2">
        <f>Tabla_Items_Inactivos[[#This Row],[EXISTENCIA]]*Tabla_Items_Inactivos[[#This Row],[COSTO]]</f>
        <v>35.697200000000002</v>
      </c>
    </row>
    <row r="334" spans="1:8">
      <c r="A334" t="s">
        <v>3301</v>
      </c>
      <c r="B334" t="s">
        <v>2755</v>
      </c>
      <c r="C334" t="s">
        <v>3575</v>
      </c>
      <c r="D334" t="s">
        <v>85</v>
      </c>
      <c r="E334" t="s">
        <v>86</v>
      </c>
      <c r="F334" s="2">
        <v>2.4287999999999998</v>
      </c>
      <c r="G334">
        <v>33</v>
      </c>
      <c r="H334" s="2">
        <f>Tabla_Items_Inactivos[[#This Row],[EXISTENCIA]]*Tabla_Items_Inactivos[[#This Row],[COSTO]]</f>
        <v>80.150399999999991</v>
      </c>
    </row>
    <row r="335" spans="1:8">
      <c r="A335" t="s">
        <v>3300</v>
      </c>
      <c r="B335" t="s">
        <v>2755</v>
      </c>
      <c r="C335" t="s">
        <v>3575</v>
      </c>
      <c r="D335" t="s">
        <v>85</v>
      </c>
      <c r="E335" t="s">
        <v>86</v>
      </c>
      <c r="F335" s="2">
        <v>2.4287999999999998</v>
      </c>
      <c r="G335">
        <v>33</v>
      </c>
      <c r="H335" s="2">
        <f>Tabla_Items_Inactivos[[#This Row],[EXISTENCIA]]*Tabla_Items_Inactivos[[#This Row],[COSTO]]</f>
        <v>80.150399999999991</v>
      </c>
    </row>
    <row r="336" spans="1:8">
      <c r="A336" t="s">
        <v>3300</v>
      </c>
      <c r="B336" t="s">
        <v>2756</v>
      </c>
      <c r="C336" t="s">
        <v>2757</v>
      </c>
      <c r="D336" t="s">
        <v>85</v>
      </c>
      <c r="E336" t="s">
        <v>86</v>
      </c>
      <c r="F336" s="2">
        <v>1.1448</v>
      </c>
      <c r="G336">
        <v>24</v>
      </c>
      <c r="H336" s="2">
        <f>Tabla_Items_Inactivos[[#This Row],[EXISTENCIA]]*Tabla_Items_Inactivos[[#This Row],[COSTO]]</f>
        <v>27.475200000000001</v>
      </c>
    </row>
    <row r="337" spans="1:8">
      <c r="A337" t="s">
        <v>3300</v>
      </c>
      <c r="B337" t="s">
        <v>3576</v>
      </c>
      <c r="C337" t="s">
        <v>3577</v>
      </c>
      <c r="D337" t="s">
        <v>219</v>
      </c>
      <c r="E337" t="s">
        <v>86</v>
      </c>
      <c r="F337" s="2">
        <v>1.2087000000000001</v>
      </c>
      <c r="G337">
        <v>22</v>
      </c>
      <c r="H337" s="2">
        <f>Tabla_Items_Inactivos[[#This Row],[EXISTENCIA]]*Tabla_Items_Inactivos[[#This Row],[COSTO]]</f>
        <v>26.591400000000004</v>
      </c>
    </row>
    <row r="338" spans="1:8">
      <c r="A338" t="s">
        <v>3301</v>
      </c>
      <c r="B338" t="s">
        <v>3576</v>
      </c>
      <c r="C338" t="s">
        <v>3577</v>
      </c>
      <c r="D338" t="s">
        <v>219</v>
      </c>
      <c r="E338" t="s">
        <v>86</v>
      </c>
      <c r="F338" s="2">
        <v>1.2087000000000001</v>
      </c>
      <c r="G338">
        <v>22</v>
      </c>
      <c r="H338" s="2">
        <f>Tabla_Items_Inactivos[[#This Row],[EXISTENCIA]]*Tabla_Items_Inactivos[[#This Row],[COSTO]]</f>
        <v>26.591400000000004</v>
      </c>
    </row>
    <row r="339" spans="1:8">
      <c r="A339" t="s">
        <v>3300</v>
      </c>
      <c r="B339" t="s">
        <v>2758</v>
      </c>
      <c r="C339" t="s">
        <v>2759</v>
      </c>
      <c r="D339" t="s">
        <v>85</v>
      </c>
      <c r="E339" t="s">
        <v>86</v>
      </c>
      <c r="F339" s="2">
        <v>1.462</v>
      </c>
      <c r="G339">
        <v>15</v>
      </c>
      <c r="H339" s="2">
        <f>Tabla_Items_Inactivos[[#This Row],[EXISTENCIA]]*Tabla_Items_Inactivos[[#This Row],[COSTO]]</f>
        <v>21.93</v>
      </c>
    </row>
    <row r="340" spans="1:8">
      <c r="A340" t="s">
        <v>3300</v>
      </c>
      <c r="B340" t="s">
        <v>231</v>
      </c>
      <c r="C340" t="s">
        <v>232</v>
      </c>
      <c r="D340" t="s">
        <v>223</v>
      </c>
      <c r="E340" t="s">
        <v>86</v>
      </c>
      <c r="F340" s="2">
        <v>1.7024999999999999</v>
      </c>
      <c r="G340">
        <v>1</v>
      </c>
      <c r="H340" s="2">
        <f>Tabla_Items_Inactivos[[#This Row],[EXISTENCIA]]*Tabla_Items_Inactivos[[#This Row],[COSTO]]</f>
        <v>1.7024999999999999</v>
      </c>
    </row>
    <row r="341" spans="1:8">
      <c r="A341" t="s">
        <v>3301</v>
      </c>
      <c r="B341" t="s">
        <v>231</v>
      </c>
      <c r="C341" t="s">
        <v>232</v>
      </c>
      <c r="D341" t="s">
        <v>223</v>
      </c>
      <c r="E341" t="s">
        <v>86</v>
      </c>
      <c r="F341" s="2">
        <v>1.7024999999999999</v>
      </c>
      <c r="G341">
        <v>1</v>
      </c>
      <c r="H341" s="2">
        <f>Tabla_Items_Inactivos[[#This Row],[EXISTENCIA]]*Tabla_Items_Inactivos[[#This Row],[COSTO]]</f>
        <v>1.7024999999999999</v>
      </c>
    </row>
    <row r="342" spans="1:8">
      <c r="A342" t="s">
        <v>3300</v>
      </c>
      <c r="B342" t="s">
        <v>3578</v>
      </c>
      <c r="C342" t="s">
        <v>3579</v>
      </c>
      <c r="D342" t="s">
        <v>31</v>
      </c>
      <c r="E342" t="s">
        <v>31</v>
      </c>
      <c r="F342" s="2">
        <v>0</v>
      </c>
      <c r="G342">
        <v>10</v>
      </c>
      <c r="H342" s="2">
        <f>Tabla_Items_Inactivos[[#This Row],[EXISTENCIA]]*Tabla_Items_Inactivos[[#This Row],[COSTO]]</f>
        <v>0</v>
      </c>
    </row>
    <row r="343" spans="1:8">
      <c r="A343" t="s">
        <v>3300</v>
      </c>
      <c r="B343" t="s">
        <v>3580</v>
      </c>
      <c r="C343" t="s">
        <v>3581</v>
      </c>
      <c r="D343" t="s">
        <v>219</v>
      </c>
      <c r="E343" t="s">
        <v>86</v>
      </c>
      <c r="F343" s="2">
        <v>0.93</v>
      </c>
      <c r="G343">
        <v>4</v>
      </c>
      <c r="H343" s="2">
        <f>Tabla_Items_Inactivos[[#This Row],[EXISTENCIA]]*Tabla_Items_Inactivos[[#This Row],[COSTO]]</f>
        <v>3.72</v>
      </c>
    </row>
    <row r="344" spans="1:8">
      <c r="A344" t="s">
        <v>3300</v>
      </c>
      <c r="B344" t="s">
        <v>3582</v>
      </c>
      <c r="C344" t="s">
        <v>3583</v>
      </c>
      <c r="D344" t="s">
        <v>219</v>
      </c>
      <c r="E344" t="s">
        <v>86</v>
      </c>
      <c r="F344" s="2">
        <v>0.68</v>
      </c>
      <c r="G344">
        <v>10</v>
      </c>
      <c r="H344" s="2">
        <f>Tabla_Items_Inactivos[[#This Row],[EXISTENCIA]]*Tabla_Items_Inactivos[[#This Row],[COSTO]]</f>
        <v>6.8000000000000007</v>
      </c>
    </row>
    <row r="345" spans="1:8">
      <c r="A345" t="s">
        <v>3300</v>
      </c>
      <c r="B345" t="s">
        <v>2760</v>
      </c>
      <c r="C345" t="s">
        <v>2761</v>
      </c>
      <c r="D345" t="s">
        <v>85</v>
      </c>
      <c r="E345" t="s">
        <v>86</v>
      </c>
      <c r="F345" s="2">
        <v>4.7637</v>
      </c>
      <c r="G345">
        <v>12</v>
      </c>
      <c r="H345" s="2">
        <f>Tabla_Items_Inactivos[[#This Row],[EXISTENCIA]]*Tabla_Items_Inactivos[[#This Row],[COSTO]]</f>
        <v>57.164400000000001</v>
      </c>
    </row>
    <row r="346" spans="1:8">
      <c r="A346" t="s">
        <v>3300</v>
      </c>
      <c r="B346" t="s">
        <v>3584</v>
      </c>
      <c r="C346" t="s">
        <v>3585</v>
      </c>
      <c r="D346" t="s">
        <v>219</v>
      </c>
      <c r="E346" t="s">
        <v>86</v>
      </c>
      <c r="F346" s="2">
        <v>5.3045</v>
      </c>
      <c r="G346">
        <v>21</v>
      </c>
      <c r="H346" s="2">
        <f>Tabla_Items_Inactivos[[#This Row],[EXISTENCIA]]*Tabla_Items_Inactivos[[#This Row],[COSTO]]</f>
        <v>111.39449999999999</v>
      </c>
    </row>
    <row r="347" spans="1:8">
      <c r="A347" t="s">
        <v>3300</v>
      </c>
      <c r="B347" t="s">
        <v>2762</v>
      </c>
      <c r="C347" t="s">
        <v>2763</v>
      </c>
      <c r="D347" t="s">
        <v>219</v>
      </c>
      <c r="E347" t="s">
        <v>86</v>
      </c>
      <c r="F347" s="2">
        <v>2.536</v>
      </c>
      <c r="G347">
        <v>11</v>
      </c>
      <c r="H347" s="2">
        <f>Tabla_Items_Inactivos[[#This Row],[EXISTENCIA]]*Tabla_Items_Inactivos[[#This Row],[COSTO]]</f>
        <v>27.896000000000001</v>
      </c>
    </row>
    <row r="348" spans="1:8">
      <c r="A348" t="s">
        <v>3300</v>
      </c>
      <c r="B348" t="s">
        <v>2764</v>
      </c>
      <c r="C348" t="s">
        <v>3586</v>
      </c>
      <c r="D348" t="s">
        <v>98</v>
      </c>
      <c r="E348" t="s">
        <v>86</v>
      </c>
      <c r="F348" s="2">
        <v>1.8859999999999999</v>
      </c>
      <c r="G348">
        <v>26</v>
      </c>
      <c r="H348" s="2">
        <f>Tabla_Items_Inactivos[[#This Row],[EXISTENCIA]]*Tabla_Items_Inactivos[[#This Row],[COSTO]]</f>
        <v>49.035999999999994</v>
      </c>
    </row>
    <row r="349" spans="1:8">
      <c r="A349" t="s">
        <v>3300</v>
      </c>
      <c r="B349" t="s">
        <v>3587</v>
      </c>
      <c r="C349" t="s">
        <v>3269</v>
      </c>
      <c r="D349" t="s">
        <v>98</v>
      </c>
      <c r="E349" t="s">
        <v>86</v>
      </c>
      <c r="F349" s="2">
        <v>5.4509999999999996</v>
      </c>
      <c r="G349">
        <v>14</v>
      </c>
      <c r="H349" s="2">
        <f>Tabla_Items_Inactivos[[#This Row],[EXISTENCIA]]*Tabla_Items_Inactivos[[#This Row],[COSTO]]</f>
        <v>76.313999999999993</v>
      </c>
    </row>
    <row r="350" spans="1:8">
      <c r="A350" t="s">
        <v>3300</v>
      </c>
      <c r="B350" t="s">
        <v>2765</v>
      </c>
      <c r="C350" t="s">
        <v>2766</v>
      </c>
      <c r="D350" t="s">
        <v>98</v>
      </c>
      <c r="E350" t="s">
        <v>86</v>
      </c>
      <c r="F350" s="2">
        <v>0.47799999999999998</v>
      </c>
      <c r="G350">
        <v>22</v>
      </c>
      <c r="H350" s="2">
        <f>Tabla_Items_Inactivos[[#This Row],[EXISTENCIA]]*Tabla_Items_Inactivos[[#This Row],[COSTO]]</f>
        <v>10.516</v>
      </c>
    </row>
    <row r="351" spans="1:8">
      <c r="A351" t="s">
        <v>3300</v>
      </c>
      <c r="B351" t="s">
        <v>3588</v>
      </c>
      <c r="C351" t="s">
        <v>2116</v>
      </c>
      <c r="D351" t="s">
        <v>85</v>
      </c>
      <c r="E351" t="s">
        <v>86</v>
      </c>
      <c r="F351" s="2">
        <v>0.57940000000000003</v>
      </c>
      <c r="G351">
        <v>14</v>
      </c>
      <c r="H351" s="2">
        <f>Tabla_Items_Inactivos[[#This Row],[EXISTENCIA]]*Tabla_Items_Inactivos[[#This Row],[COSTO]]</f>
        <v>8.111600000000001</v>
      </c>
    </row>
    <row r="352" spans="1:8">
      <c r="A352" t="s">
        <v>3300</v>
      </c>
      <c r="B352" t="s">
        <v>3589</v>
      </c>
      <c r="C352" t="s">
        <v>2140</v>
      </c>
      <c r="D352" t="s">
        <v>98</v>
      </c>
      <c r="E352" t="s">
        <v>86</v>
      </c>
      <c r="F352" s="2">
        <v>0.41789999999999999</v>
      </c>
      <c r="G352">
        <v>10</v>
      </c>
      <c r="H352" s="2">
        <f>Tabla_Items_Inactivos[[#This Row],[EXISTENCIA]]*Tabla_Items_Inactivos[[#This Row],[COSTO]]</f>
        <v>4.1790000000000003</v>
      </c>
    </row>
    <row r="353" spans="1:8">
      <c r="A353" t="s">
        <v>3300</v>
      </c>
      <c r="B353" t="s">
        <v>3590</v>
      </c>
      <c r="C353" t="s">
        <v>3591</v>
      </c>
      <c r="D353" t="s">
        <v>85</v>
      </c>
      <c r="E353" t="s">
        <v>86</v>
      </c>
      <c r="F353" s="2">
        <v>0.47</v>
      </c>
      <c r="G353">
        <v>20</v>
      </c>
      <c r="H353" s="2">
        <f>Tabla_Items_Inactivos[[#This Row],[EXISTENCIA]]*Tabla_Items_Inactivos[[#This Row],[COSTO]]</f>
        <v>9.3999999999999986</v>
      </c>
    </row>
    <row r="354" spans="1:8">
      <c r="A354" t="s">
        <v>3300</v>
      </c>
      <c r="B354" t="s">
        <v>3592</v>
      </c>
      <c r="C354" t="s">
        <v>3593</v>
      </c>
      <c r="D354" t="s">
        <v>98</v>
      </c>
      <c r="E354" t="s">
        <v>86</v>
      </c>
      <c r="F354" s="2">
        <v>0.20100000000000001</v>
      </c>
      <c r="G354">
        <v>12</v>
      </c>
      <c r="H354" s="2">
        <f>Tabla_Items_Inactivos[[#This Row],[EXISTENCIA]]*Tabla_Items_Inactivos[[#This Row],[COSTO]]</f>
        <v>2.4119999999999999</v>
      </c>
    </row>
    <row r="355" spans="1:8">
      <c r="A355" t="s">
        <v>3300</v>
      </c>
      <c r="B355" t="s">
        <v>2767</v>
      </c>
      <c r="C355" t="s">
        <v>2768</v>
      </c>
      <c r="D355" t="s">
        <v>98</v>
      </c>
      <c r="E355" t="s">
        <v>86</v>
      </c>
      <c r="F355" s="2">
        <v>2.3719999999999999</v>
      </c>
      <c r="G355">
        <v>10</v>
      </c>
      <c r="H355" s="2">
        <f>Tabla_Items_Inactivos[[#This Row],[EXISTENCIA]]*Tabla_Items_Inactivos[[#This Row],[COSTO]]</f>
        <v>23.72</v>
      </c>
    </row>
    <row r="356" spans="1:8">
      <c r="A356" t="s">
        <v>3300</v>
      </c>
      <c r="B356" t="s">
        <v>3594</v>
      </c>
      <c r="C356" t="s">
        <v>3595</v>
      </c>
      <c r="D356" t="s">
        <v>85</v>
      </c>
      <c r="E356" t="s">
        <v>86</v>
      </c>
      <c r="F356" s="2">
        <v>0.61160000000000003</v>
      </c>
      <c r="G356">
        <v>18</v>
      </c>
      <c r="H356" s="2">
        <f>Tabla_Items_Inactivos[[#This Row],[EXISTENCIA]]*Tabla_Items_Inactivos[[#This Row],[COSTO]]</f>
        <v>11.008800000000001</v>
      </c>
    </row>
    <row r="357" spans="1:8">
      <c r="A357" t="s">
        <v>3300</v>
      </c>
      <c r="B357" t="s">
        <v>3596</v>
      </c>
      <c r="C357" t="s">
        <v>3597</v>
      </c>
      <c r="D357" t="s">
        <v>85</v>
      </c>
      <c r="E357" t="s">
        <v>86</v>
      </c>
      <c r="F357" s="2">
        <v>0.62</v>
      </c>
      <c r="G357">
        <v>10</v>
      </c>
      <c r="H357" s="2">
        <f>Tabla_Items_Inactivos[[#This Row],[EXISTENCIA]]*Tabla_Items_Inactivos[[#This Row],[COSTO]]</f>
        <v>6.2</v>
      </c>
    </row>
    <row r="358" spans="1:8">
      <c r="A358" t="s">
        <v>3300</v>
      </c>
      <c r="B358" t="s">
        <v>2769</v>
      </c>
      <c r="C358" t="s">
        <v>2770</v>
      </c>
      <c r="D358" t="s">
        <v>98</v>
      </c>
      <c r="E358" t="s">
        <v>86</v>
      </c>
      <c r="F358" s="2">
        <v>45.685000000000002</v>
      </c>
      <c r="G358">
        <v>6</v>
      </c>
      <c r="H358" s="2">
        <f>Tabla_Items_Inactivos[[#This Row],[EXISTENCIA]]*Tabla_Items_Inactivos[[#This Row],[COSTO]]</f>
        <v>274.11</v>
      </c>
    </row>
    <row r="359" spans="1:8">
      <c r="A359" t="s">
        <v>3300</v>
      </c>
      <c r="B359" t="s">
        <v>3598</v>
      </c>
      <c r="C359" t="s">
        <v>3599</v>
      </c>
      <c r="D359" t="s">
        <v>98</v>
      </c>
      <c r="E359" t="s">
        <v>86</v>
      </c>
      <c r="F359" s="2">
        <v>2.4439000000000002</v>
      </c>
      <c r="G359">
        <v>18</v>
      </c>
      <c r="H359" s="2">
        <f>Tabla_Items_Inactivos[[#This Row],[EXISTENCIA]]*Tabla_Items_Inactivos[[#This Row],[COSTO]]</f>
        <v>43.990200000000002</v>
      </c>
    </row>
    <row r="360" spans="1:8">
      <c r="A360" t="s">
        <v>3300</v>
      </c>
      <c r="B360" t="s">
        <v>3600</v>
      </c>
      <c r="C360" t="s">
        <v>3601</v>
      </c>
      <c r="D360" t="s">
        <v>85</v>
      </c>
      <c r="E360" t="s">
        <v>86</v>
      </c>
      <c r="F360" s="2">
        <v>0.626</v>
      </c>
      <c r="G360">
        <v>22</v>
      </c>
      <c r="H360" s="2">
        <f>Tabla_Items_Inactivos[[#This Row],[EXISTENCIA]]*Tabla_Items_Inactivos[[#This Row],[COSTO]]</f>
        <v>13.772</v>
      </c>
    </row>
    <row r="361" spans="1:8">
      <c r="A361" t="s">
        <v>3301</v>
      </c>
      <c r="B361" t="s">
        <v>3600</v>
      </c>
      <c r="C361" t="s">
        <v>3601</v>
      </c>
      <c r="D361" t="s">
        <v>85</v>
      </c>
      <c r="E361" t="s">
        <v>86</v>
      </c>
      <c r="F361" s="2">
        <v>0.626</v>
      </c>
      <c r="G361">
        <v>22</v>
      </c>
      <c r="H361" s="2">
        <f>Tabla_Items_Inactivos[[#This Row],[EXISTENCIA]]*Tabla_Items_Inactivos[[#This Row],[COSTO]]</f>
        <v>13.772</v>
      </c>
    </row>
    <row r="362" spans="1:8">
      <c r="A362" t="s">
        <v>3300</v>
      </c>
      <c r="B362" t="s">
        <v>3602</v>
      </c>
      <c r="C362" t="s">
        <v>3233</v>
      </c>
      <c r="D362" t="s">
        <v>85</v>
      </c>
      <c r="E362" t="s">
        <v>86</v>
      </c>
      <c r="F362" s="2">
        <v>5.6051000000000002</v>
      </c>
      <c r="G362">
        <v>22</v>
      </c>
      <c r="H362" s="2">
        <f>Tabla_Items_Inactivos[[#This Row],[EXISTENCIA]]*Tabla_Items_Inactivos[[#This Row],[COSTO]]</f>
        <v>123.3122</v>
      </c>
    </row>
    <row r="363" spans="1:8">
      <c r="A363" t="s">
        <v>3301</v>
      </c>
      <c r="B363" t="s">
        <v>3602</v>
      </c>
      <c r="C363" t="s">
        <v>3233</v>
      </c>
      <c r="D363" t="s">
        <v>85</v>
      </c>
      <c r="E363" t="s">
        <v>86</v>
      </c>
      <c r="F363" s="2">
        <v>5.6051000000000002</v>
      </c>
      <c r="G363">
        <v>22</v>
      </c>
      <c r="H363" s="2">
        <f>Tabla_Items_Inactivos[[#This Row],[EXISTENCIA]]*Tabla_Items_Inactivos[[#This Row],[COSTO]]</f>
        <v>123.3122</v>
      </c>
    </row>
    <row r="364" spans="1:8">
      <c r="A364" t="s">
        <v>3300</v>
      </c>
      <c r="B364" t="s">
        <v>3603</v>
      </c>
      <c r="C364" t="s">
        <v>3226</v>
      </c>
      <c r="D364" t="s">
        <v>85</v>
      </c>
      <c r="E364" t="s">
        <v>86</v>
      </c>
      <c r="F364" s="2">
        <v>0.51700000000000002</v>
      </c>
      <c r="G364">
        <v>21</v>
      </c>
      <c r="H364" s="2">
        <f>Tabla_Items_Inactivos[[#This Row],[EXISTENCIA]]*Tabla_Items_Inactivos[[#This Row],[COSTO]]</f>
        <v>10.857000000000001</v>
      </c>
    </row>
    <row r="365" spans="1:8">
      <c r="A365" t="s">
        <v>3300</v>
      </c>
      <c r="B365" t="s">
        <v>2771</v>
      </c>
      <c r="C365" t="s">
        <v>3604</v>
      </c>
      <c r="D365" t="s">
        <v>98</v>
      </c>
      <c r="E365" t="s">
        <v>86</v>
      </c>
      <c r="F365" s="2">
        <v>0.47899999999999998</v>
      </c>
      <c r="G365">
        <v>1</v>
      </c>
      <c r="H365" s="2">
        <f>Tabla_Items_Inactivos[[#This Row],[EXISTENCIA]]*Tabla_Items_Inactivos[[#This Row],[COSTO]]</f>
        <v>0.47899999999999998</v>
      </c>
    </row>
    <row r="366" spans="1:8">
      <c r="A366" t="s">
        <v>3300</v>
      </c>
      <c r="B366" t="s">
        <v>3605</v>
      </c>
      <c r="C366" t="s">
        <v>3606</v>
      </c>
      <c r="D366" t="s">
        <v>98</v>
      </c>
      <c r="E366" t="s">
        <v>86</v>
      </c>
      <c r="F366" s="2">
        <v>1</v>
      </c>
      <c r="G366">
        <v>13</v>
      </c>
      <c r="H366" s="2">
        <f>Tabla_Items_Inactivos[[#This Row],[EXISTENCIA]]*Tabla_Items_Inactivos[[#This Row],[COSTO]]</f>
        <v>13</v>
      </c>
    </row>
    <row r="367" spans="1:8">
      <c r="A367" t="s">
        <v>3300</v>
      </c>
      <c r="B367" t="s">
        <v>2772</v>
      </c>
      <c r="C367" t="s">
        <v>2773</v>
      </c>
      <c r="D367" t="s">
        <v>98</v>
      </c>
      <c r="E367" t="s">
        <v>86</v>
      </c>
      <c r="F367" s="2">
        <v>5.0350000000000001</v>
      </c>
      <c r="G367">
        <v>13</v>
      </c>
      <c r="H367" s="2">
        <f>Tabla_Items_Inactivos[[#This Row],[EXISTENCIA]]*Tabla_Items_Inactivos[[#This Row],[COSTO]]</f>
        <v>65.454999999999998</v>
      </c>
    </row>
    <row r="368" spans="1:8">
      <c r="A368" t="s">
        <v>3300</v>
      </c>
      <c r="B368" t="s">
        <v>2774</v>
      </c>
      <c r="C368" t="s">
        <v>2775</v>
      </c>
      <c r="D368" t="s">
        <v>98</v>
      </c>
      <c r="E368" t="s">
        <v>86</v>
      </c>
      <c r="F368" s="2">
        <v>1.8520000000000001</v>
      </c>
      <c r="G368">
        <v>18</v>
      </c>
      <c r="H368" s="2">
        <f>Tabla_Items_Inactivos[[#This Row],[EXISTENCIA]]*Tabla_Items_Inactivos[[#This Row],[COSTO]]</f>
        <v>33.335999999999999</v>
      </c>
    </row>
    <row r="369" spans="1:8">
      <c r="A369" t="s">
        <v>3300</v>
      </c>
      <c r="B369" t="s">
        <v>3607</v>
      </c>
      <c r="C369" t="s">
        <v>3608</v>
      </c>
      <c r="D369" t="s">
        <v>98</v>
      </c>
      <c r="E369" t="s">
        <v>86</v>
      </c>
      <c r="F369" s="2">
        <v>4.2300000000000004</v>
      </c>
      <c r="G369">
        <v>13</v>
      </c>
      <c r="H369" s="2">
        <f>Tabla_Items_Inactivos[[#This Row],[EXISTENCIA]]*Tabla_Items_Inactivos[[#This Row],[COSTO]]</f>
        <v>54.990000000000009</v>
      </c>
    </row>
    <row r="370" spans="1:8">
      <c r="A370" t="s">
        <v>3300</v>
      </c>
      <c r="B370" t="s">
        <v>2776</v>
      </c>
      <c r="C370" t="s">
        <v>2777</v>
      </c>
      <c r="D370" t="s">
        <v>85</v>
      </c>
      <c r="E370" t="s">
        <v>86</v>
      </c>
      <c r="F370" s="2">
        <v>0.48199999999999998</v>
      </c>
      <c r="G370">
        <v>28</v>
      </c>
      <c r="H370" s="2">
        <f>Tabla_Items_Inactivos[[#This Row],[EXISTENCIA]]*Tabla_Items_Inactivos[[#This Row],[COSTO]]</f>
        <v>13.495999999999999</v>
      </c>
    </row>
    <row r="371" spans="1:8">
      <c r="A371" t="s">
        <v>3300</v>
      </c>
      <c r="B371" t="s">
        <v>3609</v>
      </c>
      <c r="C371" t="s">
        <v>3610</v>
      </c>
      <c r="D371" t="s">
        <v>85</v>
      </c>
      <c r="E371" t="s">
        <v>86</v>
      </c>
      <c r="F371" s="2">
        <v>0.6</v>
      </c>
      <c r="G371">
        <v>13</v>
      </c>
      <c r="H371" s="2">
        <f>Tabla_Items_Inactivos[[#This Row],[EXISTENCIA]]*Tabla_Items_Inactivos[[#This Row],[COSTO]]</f>
        <v>7.8</v>
      </c>
    </row>
    <row r="372" spans="1:8">
      <c r="A372" t="s">
        <v>3300</v>
      </c>
      <c r="B372" t="s">
        <v>3611</v>
      </c>
      <c r="C372" t="s">
        <v>3612</v>
      </c>
      <c r="D372" t="s">
        <v>85</v>
      </c>
      <c r="E372" t="s">
        <v>86</v>
      </c>
      <c r="F372" s="2">
        <v>5.1136999999999997</v>
      </c>
      <c r="G372">
        <v>27</v>
      </c>
      <c r="H372" s="2">
        <f>Tabla_Items_Inactivos[[#This Row],[EXISTENCIA]]*Tabla_Items_Inactivos[[#This Row],[COSTO]]</f>
        <v>138.06989999999999</v>
      </c>
    </row>
    <row r="373" spans="1:8">
      <c r="A373" t="s">
        <v>3301</v>
      </c>
      <c r="B373" t="s">
        <v>3611</v>
      </c>
      <c r="C373" t="s">
        <v>3612</v>
      </c>
      <c r="D373" t="s">
        <v>85</v>
      </c>
      <c r="E373" t="s">
        <v>86</v>
      </c>
      <c r="F373" s="2">
        <v>5.1136999999999997</v>
      </c>
      <c r="G373">
        <v>27</v>
      </c>
      <c r="H373" s="2">
        <f>Tabla_Items_Inactivos[[#This Row],[EXISTENCIA]]*Tabla_Items_Inactivos[[#This Row],[COSTO]]</f>
        <v>138.06989999999999</v>
      </c>
    </row>
    <row r="374" spans="1:8">
      <c r="A374" t="s">
        <v>3300</v>
      </c>
      <c r="B374" t="s">
        <v>3613</v>
      </c>
      <c r="C374" t="s">
        <v>3614</v>
      </c>
      <c r="D374" t="s">
        <v>85</v>
      </c>
      <c r="E374" t="s">
        <v>86</v>
      </c>
      <c r="F374" s="2">
        <v>2.1086999999999998</v>
      </c>
      <c r="G374">
        <v>19</v>
      </c>
      <c r="H374" s="2">
        <f>Tabla_Items_Inactivos[[#This Row],[EXISTENCIA]]*Tabla_Items_Inactivos[[#This Row],[COSTO]]</f>
        <v>40.065299999999993</v>
      </c>
    </row>
    <row r="375" spans="1:8">
      <c r="A375" t="s">
        <v>3300</v>
      </c>
      <c r="B375" t="s">
        <v>2778</v>
      </c>
      <c r="C375" t="s">
        <v>2779</v>
      </c>
      <c r="D375" t="s">
        <v>98</v>
      </c>
      <c r="E375" t="s">
        <v>86</v>
      </c>
      <c r="F375" s="2">
        <v>2.6419999999999999</v>
      </c>
      <c r="G375">
        <v>64</v>
      </c>
      <c r="H375" s="2">
        <f>Tabla_Items_Inactivos[[#This Row],[EXISTENCIA]]*Tabla_Items_Inactivos[[#This Row],[COSTO]]</f>
        <v>169.08799999999999</v>
      </c>
    </row>
    <row r="376" spans="1:8">
      <c r="A376" t="s">
        <v>3300</v>
      </c>
      <c r="B376" t="s">
        <v>2780</v>
      </c>
      <c r="C376" t="s">
        <v>3615</v>
      </c>
      <c r="D376" t="s">
        <v>85</v>
      </c>
      <c r="E376" t="s">
        <v>86</v>
      </c>
      <c r="F376" s="2">
        <v>1.6497999999999999</v>
      </c>
      <c r="G376">
        <v>17</v>
      </c>
      <c r="H376" s="2">
        <f>Tabla_Items_Inactivos[[#This Row],[EXISTENCIA]]*Tabla_Items_Inactivos[[#This Row],[COSTO]]</f>
        <v>28.046599999999998</v>
      </c>
    </row>
    <row r="377" spans="1:8">
      <c r="A377" t="s">
        <v>3300</v>
      </c>
      <c r="B377" t="s">
        <v>3616</v>
      </c>
      <c r="C377" t="s">
        <v>3617</v>
      </c>
      <c r="D377" t="s">
        <v>85</v>
      </c>
      <c r="E377" t="s">
        <v>86</v>
      </c>
      <c r="F377" s="2">
        <v>0.9536</v>
      </c>
      <c r="G377">
        <v>7</v>
      </c>
      <c r="H377" s="2">
        <f>Tabla_Items_Inactivos[[#This Row],[EXISTENCIA]]*Tabla_Items_Inactivos[[#This Row],[COSTO]]</f>
        <v>6.6752000000000002</v>
      </c>
    </row>
    <row r="378" spans="1:8">
      <c r="A378" t="s">
        <v>3301</v>
      </c>
      <c r="B378" t="s">
        <v>3618</v>
      </c>
      <c r="C378" t="s">
        <v>3619</v>
      </c>
      <c r="D378" t="s">
        <v>85</v>
      </c>
      <c r="E378" t="s">
        <v>86</v>
      </c>
      <c r="F378" s="2">
        <v>5.5382999999999996</v>
      </c>
      <c r="G378">
        <v>8</v>
      </c>
      <c r="H378" s="2">
        <f>Tabla_Items_Inactivos[[#This Row],[EXISTENCIA]]*Tabla_Items_Inactivos[[#This Row],[COSTO]]</f>
        <v>44.306399999999996</v>
      </c>
    </row>
    <row r="379" spans="1:8">
      <c r="A379" t="s">
        <v>3300</v>
      </c>
      <c r="B379" t="s">
        <v>3618</v>
      </c>
      <c r="C379" t="s">
        <v>3619</v>
      </c>
      <c r="D379" t="s">
        <v>85</v>
      </c>
      <c r="E379" t="s">
        <v>86</v>
      </c>
      <c r="F379" s="2">
        <v>5.5382999999999996</v>
      </c>
      <c r="G379">
        <v>8</v>
      </c>
      <c r="H379" s="2">
        <f>Tabla_Items_Inactivos[[#This Row],[EXISTENCIA]]*Tabla_Items_Inactivos[[#This Row],[COSTO]]</f>
        <v>44.306399999999996</v>
      </c>
    </row>
    <row r="380" spans="1:8">
      <c r="A380" t="s">
        <v>3300</v>
      </c>
      <c r="B380" t="s">
        <v>3620</v>
      </c>
      <c r="C380" t="s">
        <v>3621</v>
      </c>
      <c r="D380" t="s">
        <v>85</v>
      </c>
      <c r="E380" t="s">
        <v>86</v>
      </c>
      <c r="F380" s="2">
        <v>5.2450000000000001</v>
      </c>
      <c r="G380">
        <v>15</v>
      </c>
      <c r="H380" s="2">
        <f>Tabla_Items_Inactivos[[#This Row],[EXISTENCIA]]*Tabla_Items_Inactivos[[#This Row],[COSTO]]</f>
        <v>78.674999999999997</v>
      </c>
    </row>
    <row r="381" spans="1:8">
      <c r="A381" t="s">
        <v>3300</v>
      </c>
      <c r="B381" t="s">
        <v>233</v>
      </c>
      <c r="C381" t="s">
        <v>234</v>
      </c>
      <c r="D381" t="s">
        <v>85</v>
      </c>
      <c r="E381" t="s">
        <v>86</v>
      </c>
      <c r="F381" s="2">
        <v>1.49</v>
      </c>
      <c r="G381">
        <v>18</v>
      </c>
      <c r="H381" s="2">
        <f>Tabla_Items_Inactivos[[#This Row],[EXISTENCIA]]*Tabla_Items_Inactivos[[#This Row],[COSTO]]</f>
        <v>26.82</v>
      </c>
    </row>
    <row r="382" spans="1:8">
      <c r="A382" t="s">
        <v>3300</v>
      </c>
      <c r="B382" t="s">
        <v>2781</v>
      </c>
      <c r="C382" t="s">
        <v>2782</v>
      </c>
      <c r="D382" t="s">
        <v>85</v>
      </c>
      <c r="E382" t="s">
        <v>86</v>
      </c>
      <c r="F382" s="2">
        <v>2.4319999999999999</v>
      </c>
      <c r="G382">
        <v>17</v>
      </c>
      <c r="H382" s="2">
        <f>Tabla_Items_Inactivos[[#This Row],[EXISTENCIA]]*Tabla_Items_Inactivos[[#This Row],[COSTO]]</f>
        <v>41.344000000000001</v>
      </c>
    </row>
    <row r="383" spans="1:8">
      <c r="A383" t="s">
        <v>3301</v>
      </c>
      <c r="B383" t="s">
        <v>2783</v>
      </c>
      <c r="C383" t="s">
        <v>2784</v>
      </c>
      <c r="D383" t="s">
        <v>373</v>
      </c>
      <c r="E383" t="s">
        <v>86</v>
      </c>
      <c r="F383" s="2">
        <v>15.6289</v>
      </c>
      <c r="G383">
        <v>30</v>
      </c>
      <c r="H383" s="2">
        <f>Tabla_Items_Inactivos[[#This Row],[EXISTENCIA]]*Tabla_Items_Inactivos[[#This Row],[COSTO]]</f>
        <v>468.86700000000002</v>
      </c>
    </row>
    <row r="384" spans="1:8">
      <c r="A384" t="s">
        <v>3300</v>
      </c>
      <c r="B384" t="s">
        <v>2783</v>
      </c>
      <c r="C384" t="s">
        <v>2784</v>
      </c>
      <c r="D384" t="s">
        <v>373</v>
      </c>
      <c r="E384" t="s">
        <v>86</v>
      </c>
      <c r="F384" s="2">
        <v>15.6289</v>
      </c>
      <c r="G384">
        <v>30</v>
      </c>
      <c r="H384" s="2">
        <f>Tabla_Items_Inactivos[[#This Row],[EXISTENCIA]]*Tabla_Items_Inactivos[[#This Row],[COSTO]]</f>
        <v>468.86700000000002</v>
      </c>
    </row>
    <row r="385" spans="1:8">
      <c r="A385" t="s">
        <v>3300</v>
      </c>
      <c r="B385" t="s">
        <v>3622</v>
      </c>
      <c r="C385" t="s">
        <v>3623</v>
      </c>
      <c r="D385" t="s">
        <v>219</v>
      </c>
      <c r="E385" t="s">
        <v>86</v>
      </c>
      <c r="F385" s="2">
        <v>6.5129999999999999</v>
      </c>
      <c r="G385">
        <v>4</v>
      </c>
      <c r="H385" s="2">
        <f>Tabla_Items_Inactivos[[#This Row],[EXISTENCIA]]*Tabla_Items_Inactivos[[#This Row],[COSTO]]</f>
        <v>26.052</v>
      </c>
    </row>
    <row r="386" spans="1:8">
      <c r="A386" t="s">
        <v>3300</v>
      </c>
      <c r="B386" t="s">
        <v>235</v>
      </c>
      <c r="C386" t="s">
        <v>236</v>
      </c>
      <c r="D386" t="s">
        <v>219</v>
      </c>
      <c r="E386" t="s">
        <v>86</v>
      </c>
      <c r="F386" s="2">
        <v>4.5250000000000004</v>
      </c>
      <c r="G386">
        <v>2</v>
      </c>
      <c r="H386" s="2">
        <f>Tabla_Items_Inactivos[[#This Row],[EXISTENCIA]]*Tabla_Items_Inactivos[[#This Row],[COSTO]]</f>
        <v>9.0500000000000007</v>
      </c>
    </row>
    <row r="387" spans="1:8">
      <c r="A387" t="s">
        <v>3300</v>
      </c>
      <c r="B387" t="s">
        <v>2785</v>
      </c>
      <c r="C387" t="s">
        <v>2786</v>
      </c>
      <c r="D387" t="s">
        <v>219</v>
      </c>
      <c r="E387" t="s">
        <v>86</v>
      </c>
      <c r="F387" s="2">
        <v>3.36</v>
      </c>
      <c r="G387">
        <v>8</v>
      </c>
      <c r="H387" s="2">
        <f>Tabla_Items_Inactivos[[#This Row],[EXISTENCIA]]*Tabla_Items_Inactivos[[#This Row],[COSTO]]</f>
        <v>26.88</v>
      </c>
    </row>
    <row r="388" spans="1:8">
      <c r="A388" t="s">
        <v>3300</v>
      </c>
      <c r="B388" t="s">
        <v>3624</v>
      </c>
      <c r="C388" t="s">
        <v>3625</v>
      </c>
      <c r="D388" t="s">
        <v>436</v>
      </c>
      <c r="E388" t="s">
        <v>86</v>
      </c>
      <c r="F388" s="2">
        <v>0.47</v>
      </c>
      <c r="G388">
        <v>2</v>
      </c>
      <c r="H388" s="2">
        <f>Tabla_Items_Inactivos[[#This Row],[EXISTENCIA]]*Tabla_Items_Inactivos[[#This Row],[COSTO]]</f>
        <v>0.94</v>
      </c>
    </row>
    <row r="389" spans="1:8">
      <c r="A389" t="s">
        <v>3300</v>
      </c>
      <c r="B389" t="s">
        <v>3626</v>
      </c>
      <c r="C389" t="s">
        <v>3627</v>
      </c>
      <c r="D389" t="s">
        <v>219</v>
      </c>
      <c r="E389" t="s">
        <v>86</v>
      </c>
      <c r="F389" s="2">
        <v>0.432</v>
      </c>
      <c r="G389">
        <v>5</v>
      </c>
      <c r="H389" s="2">
        <f>Tabla_Items_Inactivos[[#This Row],[EXISTENCIA]]*Tabla_Items_Inactivos[[#This Row],[COSTO]]</f>
        <v>2.16</v>
      </c>
    </row>
    <row r="390" spans="1:8">
      <c r="A390" t="s">
        <v>3300</v>
      </c>
      <c r="B390" t="s">
        <v>3628</v>
      </c>
      <c r="C390" t="s">
        <v>3629</v>
      </c>
      <c r="D390" t="s">
        <v>219</v>
      </c>
      <c r="E390" t="s">
        <v>86</v>
      </c>
      <c r="F390" s="2">
        <v>3.66</v>
      </c>
      <c r="G390">
        <v>2</v>
      </c>
      <c r="H390" s="2">
        <f>Tabla_Items_Inactivos[[#This Row],[EXISTENCIA]]*Tabla_Items_Inactivos[[#This Row],[COSTO]]</f>
        <v>7.32</v>
      </c>
    </row>
    <row r="391" spans="1:8">
      <c r="A391" t="s">
        <v>3300</v>
      </c>
      <c r="B391" t="s">
        <v>2787</v>
      </c>
      <c r="C391" t="s">
        <v>3630</v>
      </c>
      <c r="D391" t="s">
        <v>85</v>
      </c>
      <c r="E391" t="s">
        <v>86</v>
      </c>
      <c r="F391" s="2">
        <v>0.22</v>
      </c>
      <c r="G391">
        <v>13</v>
      </c>
      <c r="H391" s="2">
        <f>Tabla_Items_Inactivos[[#This Row],[EXISTENCIA]]*Tabla_Items_Inactivos[[#This Row],[COSTO]]</f>
        <v>2.86</v>
      </c>
    </row>
    <row r="392" spans="1:8">
      <c r="A392" t="s">
        <v>3300</v>
      </c>
      <c r="B392" t="s">
        <v>3631</v>
      </c>
      <c r="C392" t="s">
        <v>3632</v>
      </c>
      <c r="D392" t="s">
        <v>98</v>
      </c>
      <c r="E392" t="s">
        <v>86</v>
      </c>
      <c r="F392" s="2">
        <v>0.3</v>
      </c>
      <c r="G392">
        <v>21</v>
      </c>
      <c r="H392" s="2">
        <f>Tabla_Items_Inactivos[[#This Row],[EXISTENCIA]]*Tabla_Items_Inactivos[[#This Row],[COSTO]]</f>
        <v>6.3</v>
      </c>
    </row>
    <row r="393" spans="1:8">
      <c r="A393" t="s">
        <v>3300</v>
      </c>
      <c r="B393" t="s">
        <v>3633</v>
      </c>
      <c r="C393" t="s">
        <v>3634</v>
      </c>
      <c r="D393" t="s">
        <v>436</v>
      </c>
      <c r="E393" t="s">
        <v>86</v>
      </c>
      <c r="F393" s="2">
        <v>2.79</v>
      </c>
      <c r="G393">
        <v>2</v>
      </c>
      <c r="H393" s="2">
        <f>Tabla_Items_Inactivos[[#This Row],[EXISTENCIA]]*Tabla_Items_Inactivos[[#This Row],[COSTO]]</f>
        <v>5.58</v>
      </c>
    </row>
    <row r="394" spans="1:8">
      <c r="A394" t="s">
        <v>3300</v>
      </c>
      <c r="B394" t="s">
        <v>2788</v>
      </c>
      <c r="C394" t="s">
        <v>2789</v>
      </c>
      <c r="D394" t="s">
        <v>85</v>
      </c>
      <c r="E394" t="s">
        <v>86</v>
      </c>
      <c r="F394" s="2">
        <v>1.651</v>
      </c>
      <c r="G394">
        <v>5</v>
      </c>
      <c r="H394" s="2">
        <f>Tabla_Items_Inactivos[[#This Row],[EXISTENCIA]]*Tabla_Items_Inactivos[[#This Row],[COSTO]]</f>
        <v>8.2550000000000008</v>
      </c>
    </row>
    <row r="395" spans="1:8">
      <c r="A395" t="s">
        <v>3300</v>
      </c>
      <c r="B395" t="s">
        <v>2790</v>
      </c>
      <c r="C395" t="s">
        <v>2791</v>
      </c>
      <c r="D395" t="s">
        <v>85</v>
      </c>
      <c r="E395" t="s">
        <v>86</v>
      </c>
      <c r="F395" s="2">
        <v>4.5780000000000003</v>
      </c>
      <c r="G395">
        <v>7</v>
      </c>
      <c r="H395" s="2">
        <f>Tabla_Items_Inactivos[[#This Row],[EXISTENCIA]]*Tabla_Items_Inactivos[[#This Row],[COSTO]]</f>
        <v>32.045999999999999</v>
      </c>
    </row>
    <row r="396" spans="1:8">
      <c r="A396" t="s">
        <v>3300</v>
      </c>
      <c r="B396" t="s">
        <v>3635</v>
      </c>
      <c r="C396" t="s">
        <v>3636</v>
      </c>
      <c r="D396" t="s">
        <v>85</v>
      </c>
      <c r="E396" t="s">
        <v>86</v>
      </c>
      <c r="F396" s="2">
        <v>3.9969999999999999</v>
      </c>
      <c r="G396">
        <v>8</v>
      </c>
      <c r="H396" s="2">
        <f>Tabla_Items_Inactivos[[#This Row],[EXISTENCIA]]*Tabla_Items_Inactivos[[#This Row],[COSTO]]</f>
        <v>31.975999999999999</v>
      </c>
    </row>
    <row r="397" spans="1:8">
      <c r="A397" t="s">
        <v>3300</v>
      </c>
      <c r="B397" t="s">
        <v>2792</v>
      </c>
      <c r="C397" t="s">
        <v>2793</v>
      </c>
      <c r="D397" t="s">
        <v>85</v>
      </c>
      <c r="E397" t="s">
        <v>86</v>
      </c>
      <c r="F397" s="2">
        <v>4.9889999999999999</v>
      </c>
      <c r="G397">
        <v>7</v>
      </c>
      <c r="H397" s="2">
        <f>Tabla_Items_Inactivos[[#This Row],[EXISTENCIA]]*Tabla_Items_Inactivos[[#This Row],[COSTO]]</f>
        <v>34.923000000000002</v>
      </c>
    </row>
    <row r="398" spans="1:8">
      <c r="A398" t="s">
        <v>3301</v>
      </c>
      <c r="B398" t="s">
        <v>237</v>
      </c>
      <c r="C398" t="s">
        <v>3637</v>
      </c>
      <c r="D398" t="s">
        <v>228</v>
      </c>
      <c r="E398" t="s">
        <v>86</v>
      </c>
      <c r="F398" s="2">
        <v>52.164200000000001</v>
      </c>
      <c r="G398">
        <v>33</v>
      </c>
      <c r="H398" s="2">
        <f>Tabla_Items_Inactivos[[#This Row],[EXISTENCIA]]*Tabla_Items_Inactivos[[#This Row],[COSTO]]</f>
        <v>1721.4186</v>
      </c>
    </row>
    <row r="399" spans="1:8">
      <c r="A399" t="s">
        <v>3299</v>
      </c>
      <c r="B399" t="s">
        <v>237</v>
      </c>
      <c r="C399" t="s">
        <v>3637</v>
      </c>
      <c r="D399" t="s">
        <v>228</v>
      </c>
      <c r="E399" t="s">
        <v>86</v>
      </c>
      <c r="F399" s="2">
        <v>52.164200000000001</v>
      </c>
      <c r="G399">
        <v>33</v>
      </c>
      <c r="H399" s="2">
        <f>Tabla_Items_Inactivos[[#This Row],[EXISTENCIA]]*Tabla_Items_Inactivos[[#This Row],[COSTO]]</f>
        <v>1721.4186</v>
      </c>
    </row>
    <row r="400" spans="1:8">
      <c r="A400" t="s">
        <v>3300</v>
      </c>
      <c r="B400" t="s">
        <v>237</v>
      </c>
      <c r="C400" t="s">
        <v>3637</v>
      </c>
      <c r="D400" t="s">
        <v>228</v>
      </c>
      <c r="E400" t="s">
        <v>86</v>
      </c>
      <c r="F400" s="2">
        <v>52.164200000000001</v>
      </c>
      <c r="G400">
        <v>33</v>
      </c>
      <c r="H400" s="2">
        <f>Tabla_Items_Inactivos[[#This Row],[EXISTENCIA]]*Tabla_Items_Inactivos[[#This Row],[COSTO]]</f>
        <v>1721.4186</v>
      </c>
    </row>
    <row r="401" spans="1:8">
      <c r="A401" t="s">
        <v>3300</v>
      </c>
      <c r="B401" t="s">
        <v>2794</v>
      </c>
      <c r="C401" t="s">
        <v>2795</v>
      </c>
      <c r="D401" t="s">
        <v>98</v>
      </c>
      <c r="E401" t="s">
        <v>86</v>
      </c>
      <c r="F401" s="2">
        <v>7.984</v>
      </c>
      <c r="G401">
        <v>11</v>
      </c>
      <c r="H401" s="2">
        <f>Tabla_Items_Inactivos[[#This Row],[EXISTENCIA]]*Tabla_Items_Inactivos[[#This Row],[COSTO]]</f>
        <v>87.823999999999998</v>
      </c>
    </row>
    <row r="402" spans="1:8">
      <c r="A402" t="s">
        <v>3300</v>
      </c>
      <c r="B402" t="s">
        <v>2796</v>
      </c>
      <c r="C402" t="s">
        <v>2797</v>
      </c>
      <c r="D402" t="s">
        <v>219</v>
      </c>
      <c r="E402" t="s">
        <v>86</v>
      </c>
      <c r="F402" s="2">
        <v>7.2279999999999998</v>
      </c>
      <c r="G402">
        <v>16</v>
      </c>
      <c r="H402" s="2">
        <f>Tabla_Items_Inactivos[[#This Row],[EXISTENCIA]]*Tabla_Items_Inactivos[[#This Row],[COSTO]]</f>
        <v>115.648</v>
      </c>
    </row>
    <row r="403" spans="1:8">
      <c r="A403" t="s">
        <v>3300</v>
      </c>
      <c r="B403" t="s">
        <v>2798</v>
      </c>
      <c r="C403" t="s">
        <v>3638</v>
      </c>
      <c r="D403" t="s">
        <v>85</v>
      </c>
      <c r="E403" t="s">
        <v>86</v>
      </c>
      <c r="F403" s="2">
        <v>4.5030000000000001</v>
      </c>
      <c r="G403">
        <v>4</v>
      </c>
      <c r="H403" s="2">
        <f>Tabla_Items_Inactivos[[#This Row],[EXISTENCIA]]*Tabla_Items_Inactivos[[#This Row],[COSTO]]</f>
        <v>18.012</v>
      </c>
    </row>
    <row r="404" spans="1:8">
      <c r="A404" t="s">
        <v>3300</v>
      </c>
      <c r="B404" t="s">
        <v>3639</v>
      </c>
      <c r="C404" t="s">
        <v>3640</v>
      </c>
      <c r="D404" t="s">
        <v>219</v>
      </c>
      <c r="E404" t="s">
        <v>86</v>
      </c>
      <c r="F404" s="2">
        <v>8.08</v>
      </c>
      <c r="G404">
        <v>5</v>
      </c>
      <c r="H404" s="2">
        <f>Tabla_Items_Inactivos[[#This Row],[EXISTENCIA]]*Tabla_Items_Inactivos[[#This Row],[COSTO]]</f>
        <v>40.4</v>
      </c>
    </row>
    <row r="405" spans="1:8">
      <c r="A405" t="s">
        <v>3300</v>
      </c>
      <c r="B405" t="s">
        <v>3641</v>
      </c>
      <c r="C405" t="s">
        <v>3642</v>
      </c>
      <c r="D405" t="s">
        <v>219</v>
      </c>
      <c r="E405" t="s">
        <v>86</v>
      </c>
      <c r="F405" s="2">
        <v>6.44</v>
      </c>
      <c r="G405">
        <v>5</v>
      </c>
      <c r="H405" s="2">
        <f>Tabla_Items_Inactivos[[#This Row],[EXISTENCIA]]*Tabla_Items_Inactivos[[#This Row],[COSTO]]</f>
        <v>32.200000000000003</v>
      </c>
    </row>
    <row r="406" spans="1:8">
      <c r="A406" t="s">
        <v>3300</v>
      </c>
      <c r="B406" t="s">
        <v>3643</v>
      </c>
      <c r="C406" t="s">
        <v>3644</v>
      </c>
      <c r="D406" t="s">
        <v>85</v>
      </c>
      <c r="E406" t="s">
        <v>86</v>
      </c>
      <c r="F406" s="2">
        <v>8.2468000000000004</v>
      </c>
      <c r="G406">
        <v>5</v>
      </c>
      <c r="H406" s="2">
        <f>Tabla_Items_Inactivos[[#This Row],[EXISTENCIA]]*Tabla_Items_Inactivos[[#This Row],[COSTO]]</f>
        <v>41.234000000000002</v>
      </c>
    </row>
    <row r="407" spans="1:8">
      <c r="A407" t="s">
        <v>3300</v>
      </c>
      <c r="B407" t="s">
        <v>2799</v>
      </c>
      <c r="C407" t="s">
        <v>2800</v>
      </c>
      <c r="D407" t="s">
        <v>223</v>
      </c>
      <c r="E407" t="s">
        <v>86</v>
      </c>
      <c r="F407" s="2">
        <v>1.752</v>
      </c>
      <c r="G407">
        <v>37</v>
      </c>
      <c r="H407" s="2">
        <f>Tabla_Items_Inactivos[[#This Row],[EXISTENCIA]]*Tabla_Items_Inactivos[[#This Row],[COSTO]]</f>
        <v>64.823999999999998</v>
      </c>
    </row>
    <row r="408" spans="1:8">
      <c r="A408" t="s">
        <v>3301</v>
      </c>
      <c r="B408" t="s">
        <v>2799</v>
      </c>
      <c r="C408" t="s">
        <v>2800</v>
      </c>
      <c r="D408" t="s">
        <v>223</v>
      </c>
      <c r="E408" t="s">
        <v>86</v>
      </c>
      <c r="F408" s="2">
        <v>1.752</v>
      </c>
      <c r="G408">
        <v>37</v>
      </c>
      <c r="H408" s="2">
        <f>Tabla_Items_Inactivos[[#This Row],[EXISTENCIA]]*Tabla_Items_Inactivos[[#This Row],[COSTO]]</f>
        <v>64.823999999999998</v>
      </c>
    </row>
    <row r="409" spans="1:8">
      <c r="A409" t="s">
        <v>3300</v>
      </c>
      <c r="B409" t="s">
        <v>3645</v>
      </c>
      <c r="C409" t="s">
        <v>3646</v>
      </c>
      <c r="D409" t="s">
        <v>98</v>
      </c>
      <c r="E409" t="s">
        <v>86</v>
      </c>
      <c r="F409" s="2">
        <v>1.4430000000000001</v>
      </c>
      <c r="G409">
        <v>10</v>
      </c>
      <c r="H409" s="2">
        <f>Tabla_Items_Inactivos[[#This Row],[EXISTENCIA]]*Tabla_Items_Inactivos[[#This Row],[COSTO]]</f>
        <v>14.43</v>
      </c>
    </row>
    <row r="410" spans="1:8">
      <c r="A410" t="s">
        <v>3300</v>
      </c>
      <c r="B410" t="s">
        <v>3647</v>
      </c>
      <c r="C410" t="s">
        <v>3648</v>
      </c>
      <c r="D410" t="s">
        <v>85</v>
      </c>
      <c r="E410" t="s">
        <v>86</v>
      </c>
      <c r="F410" s="2">
        <v>1.0944</v>
      </c>
      <c r="G410">
        <v>18</v>
      </c>
      <c r="H410" s="2">
        <f>Tabla_Items_Inactivos[[#This Row],[EXISTENCIA]]*Tabla_Items_Inactivos[[#This Row],[COSTO]]</f>
        <v>19.699200000000001</v>
      </c>
    </row>
    <row r="411" spans="1:8">
      <c r="A411" t="s">
        <v>3300</v>
      </c>
      <c r="B411" t="s">
        <v>2801</v>
      </c>
      <c r="C411" t="s">
        <v>2802</v>
      </c>
      <c r="D411" t="s">
        <v>85</v>
      </c>
      <c r="E411" t="s">
        <v>86</v>
      </c>
      <c r="F411" s="2">
        <v>2.63</v>
      </c>
      <c r="G411">
        <v>10</v>
      </c>
      <c r="H411" s="2">
        <f>Tabla_Items_Inactivos[[#This Row],[EXISTENCIA]]*Tabla_Items_Inactivos[[#This Row],[COSTO]]</f>
        <v>26.299999999999997</v>
      </c>
    </row>
    <row r="412" spans="1:8">
      <c r="A412" t="s">
        <v>3300</v>
      </c>
      <c r="B412" t="s">
        <v>2803</v>
      </c>
      <c r="C412" t="s">
        <v>2804</v>
      </c>
      <c r="D412" t="s">
        <v>85</v>
      </c>
      <c r="E412" t="s">
        <v>86</v>
      </c>
      <c r="F412" s="2">
        <v>1.8009999999999999</v>
      </c>
      <c r="G412">
        <v>6</v>
      </c>
      <c r="H412" s="2">
        <f>Tabla_Items_Inactivos[[#This Row],[EXISTENCIA]]*Tabla_Items_Inactivos[[#This Row],[COSTO]]</f>
        <v>10.805999999999999</v>
      </c>
    </row>
    <row r="413" spans="1:8">
      <c r="A413" t="s">
        <v>3300</v>
      </c>
      <c r="B413" t="s">
        <v>3649</v>
      </c>
      <c r="C413" t="s">
        <v>3650</v>
      </c>
      <c r="D413" t="s">
        <v>85</v>
      </c>
      <c r="E413" t="s">
        <v>86</v>
      </c>
      <c r="F413" s="2">
        <v>1.0980000000000001</v>
      </c>
      <c r="G413">
        <v>5</v>
      </c>
      <c r="H413" s="2">
        <f>Tabla_Items_Inactivos[[#This Row],[EXISTENCIA]]*Tabla_Items_Inactivos[[#This Row],[COSTO]]</f>
        <v>5.49</v>
      </c>
    </row>
    <row r="414" spans="1:8">
      <c r="A414" t="s">
        <v>3300</v>
      </c>
      <c r="B414" t="s">
        <v>2805</v>
      </c>
      <c r="C414" t="s">
        <v>2806</v>
      </c>
      <c r="D414" t="s">
        <v>85</v>
      </c>
      <c r="E414" t="s">
        <v>86</v>
      </c>
      <c r="F414" s="2">
        <v>2.9820000000000002</v>
      </c>
      <c r="G414">
        <v>5</v>
      </c>
      <c r="H414" s="2">
        <f>Tabla_Items_Inactivos[[#This Row],[EXISTENCIA]]*Tabla_Items_Inactivos[[#This Row],[COSTO]]</f>
        <v>14.91</v>
      </c>
    </row>
    <row r="415" spans="1:8">
      <c r="A415" t="s">
        <v>3300</v>
      </c>
      <c r="B415" t="s">
        <v>3651</v>
      </c>
      <c r="C415" t="s">
        <v>3652</v>
      </c>
      <c r="D415" t="s">
        <v>85</v>
      </c>
      <c r="E415" t="s">
        <v>86</v>
      </c>
      <c r="F415" s="2">
        <v>4.0401999999999996</v>
      </c>
      <c r="G415">
        <v>3</v>
      </c>
      <c r="H415" s="2">
        <f>Tabla_Items_Inactivos[[#This Row],[EXISTENCIA]]*Tabla_Items_Inactivos[[#This Row],[COSTO]]</f>
        <v>12.1206</v>
      </c>
    </row>
    <row r="416" spans="1:8">
      <c r="A416" t="s">
        <v>3300</v>
      </c>
      <c r="B416" t="s">
        <v>3653</v>
      </c>
      <c r="C416" t="s">
        <v>3654</v>
      </c>
      <c r="D416" t="s">
        <v>85</v>
      </c>
      <c r="E416" t="s">
        <v>86</v>
      </c>
      <c r="F416" s="2">
        <v>1.6639999999999999</v>
      </c>
      <c r="G416">
        <v>7</v>
      </c>
      <c r="H416" s="2">
        <f>Tabla_Items_Inactivos[[#This Row],[EXISTENCIA]]*Tabla_Items_Inactivos[[#This Row],[COSTO]]</f>
        <v>11.648</v>
      </c>
    </row>
    <row r="417" spans="1:8">
      <c r="A417" t="s">
        <v>3300</v>
      </c>
      <c r="B417" t="s">
        <v>3655</v>
      </c>
      <c r="C417" t="s">
        <v>3656</v>
      </c>
      <c r="D417" t="s">
        <v>219</v>
      </c>
      <c r="E417" t="s">
        <v>86</v>
      </c>
      <c r="F417" s="2">
        <v>6.89</v>
      </c>
      <c r="G417">
        <v>3</v>
      </c>
      <c r="H417" s="2">
        <f>Tabla_Items_Inactivos[[#This Row],[EXISTENCIA]]*Tabla_Items_Inactivos[[#This Row],[COSTO]]</f>
        <v>20.669999999999998</v>
      </c>
    </row>
    <row r="418" spans="1:8">
      <c r="A418" t="s">
        <v>3300</v>
      </c>
      <c r="B418" t="s">
        <v>2807</v>
      </c>
      <c r="C418" t="s">
        <v>2808</v>
      </c>
      <c r="D418" t="s">
        <v>98</v>
      </c>
      <c r="E418" t="s">
        <v>86</v>
      </c>
      <c r="F418" s="2">
        <v>3.0148999999999999</v>
      </c>
      <c r="G418">
        <v>12</v>
      </c>
      <c r="H418" s="2">
        <f>Tabla_Items_Inactivos[[#This Row],[EXISTENCIA]]*Tabla_Items_Inactivos[[#This Row],[COSTO]]</f>
        <v>36.178799999999995</v>
      </c>
    </row>
    <row r="419" spans="1:8">
      <c r="A419" t="s">
        <v>3300</v>
      </c>
      <c r="B419" t="s">
        <v>2809</v>
      </c>
      <c r="C419" t="s">
        <v>2810</v>
      </c>
      <c r="D419" t="s">
        <v>219</v>
      </c>
      <c r="E419" t="s">
        <v>86</v>
      </c>
      <c r="F419" s="2">
        <v>7.9809999999999999</v>
      </c>
      <c r="G419">
        <v>8</v>
      </c>
      <c r="H419" s="2">
        <f>Tabla_Items_Inactivos[[#This Row],[EXISTENCIA]]*Tabla_Items_Inactivos[[#This Row],[COSTO]]</f>
        <v>63.847999999999999</v>
      </c>
    </row>
    <row r="420" spans="1:8">
      <c r="A420" t="s">
        <v>3300</v>
      </c>
      <c r="B420" t="s">
        <v>3657</v>
      </c>
      <c r="C420" t="s">
        <v>3658</v>
      </c>
      <c r="D420" t="s">
        <v>219</v>
      </c>
      <c r="E420" t="s">
        <v>86</v>
      </c>
      <c r="F420" s="2">
        <v>3.96</v>
      </c>
      <c r="G420">
        <v>2</v>
      </c>
      <c r="H420" s="2">
        <f>Tabla_Items_Inactivos[[#This Row],[EXISTENCIA]]*Tabla_Items_Inactivos[[#This Row],[COSTO]]</f>
        <v>7.92</v>
      </c>
    </row>
    <row r="421" spans="1:8">
      <c r="A421" t="s">
        <v>3300</v>
      </c>
      <c r="B421" t="s">
        <v>3659</v>
      </c>
      <c r="C421" t="s">
        <v>3660</v>
      </c>
      <c r="D421" t="s">
        <v>219</v>
      </c>
      <c r="E421" t="s">
        <v>86</v>
      </c>
      <c r="F421" s="2">
        <v>0.53</v>
      </c>
      <c r="G421">
        <v>5</v>
      </c>
      <c r="H421" s="2">
        <f>Tabla_Items_Inactivos[[#This Row],[EXISTENCIA]]*Tabla_Items_Inactivos[[#This Row],[COSTO]]</f>
        <v>2.6500000000000004</v>
      </c>
    </row>
    <row r="422" spans="1:8">
      <c r="A422" t="s">
        <v>3300</v>
      </c>
      <c r="B422" t="s">
        <v>2811</v>
      </c>
      <c r="C422" t="s">
        <v>2812</v>
      </c>
      <c r="D422" t="s">
        <v>85</v>
      </c>
      <c r="E422" t="s">
        <v>86</v>
      </c>
      <c r="F422" s="2">
        <v>1.6365000000000001</v>
      </c>
      <c r="G422">
        <v>5</v>
      </c>
      <c r="H422" s="2">
        <f>Tabla_Items_Inactivos[[#This Row],[EXISTENCIA]]*Tabla_Items_Inactivos[[#This Row],[COSTO]]</f>
        <v>8.182500000000001</v>
      </c>
    </row>
    <row r="423" spans="1:8">
      <c r="A423" t="s">
        <v>3300</v>
      </c>
      <c r="B423" t="s">
        <v>3661</v>
      </c>
      <c r="C423" t="s">
        <v>3662</v>
      </c>
      <c r="D423" t="s">
        <v>436</v>
      </c>
      <c r="E423" t="s">
        <v>86</v>
      </c>
      <c r="F423" s="2">
        <v>4.51</v>
      </c>
      <c r="G423">
        <v>1</v>
      </c>
      <c r="H423" s="2">
        <f>Tabla_Items_Inactivos[[#This Row],[EXISTENCIA]]*Tabla_Items_Inactivos[[#This Row],[COSTO]]</f>
        <v>4.51</v>
      </c>
    </row>
    <row r="424" spans="1:8">
      <c r="A424" t="s">
        <v>3300</v>
      </c>
      <c r="B424" t="s">
        <v>2813</v>
      </c>
      <c r="C424" t="s">
        <v>2814</v>
      </c>
      <c r="D424" t="s">
        <v>85</v>
      </c>
      <c r="E424" t="s">
        <v>86</v>
      </c>
      <c r="F424" s="2">
        <v>11.42</v>
      </c>
      <c r="G424">
        <v>3</v>
      </c>
      <c r="H424" s="2">
        <f>Tabla_Items_Inactivos[[#This Row],[EXISTENCIA]]*Tabla_Items_Inactivos[[#This Row],[COSTO]]</f>
        <v>34.26</v>
      </c>
    </row>
    <row r="425" spans="1:8">
      <c r="A425" t="s">
        <v>3301</v>
      </c>
      <c r="B425" t="s">
        <v>3663</v>
      </c>
      <c r="C425" t="s">
        <v>3664</v>
      </c>
      <c r="D425" t="s">
        <v>436</v>
      </c>
      <c r="E425" t="s">
        <v>86</v>
      </c>
      <c r="F425" s="2">
        <v>1.9737</v>
      </c>
      <c r="G425">
        <v>14</v>
      </c>
      <c r="H425" s="2">
        <f>Tabla_Items_Inactivos[[#This Row],[EXISTENCIA]]*Tabla_Items_Inactivos[[#This Row],[COSTO]]</f>
        <v>27.631799999999998</v>
      </c>
    </row>
    <row r="426" spans="1:8">
      <c r="A426" t="s">
        <v>3300</v>
      </c>
      <c r="B426" t="s">
        <v>3663</v>
      </c>
      <c r="C426" t="s">
        <v>3664</v>
      </c>
      <c r="D426" t="s">
        <v>436</v>
      </c>
      <c r="E426" t="s">
        <v>86</v>
      </c>
      <c r="F426" s="2">
        <v>1.9737</v>
      </c>
      <c r="G426">
        <v>14</v>
      </c>
      <c r="H426" s="2">
        <f>Tabla_Items_Inactivos[[#This Row],[EXISTENCIA]]*Tabla_Items_Inactivos[[#This Row],[COSTO]]</f>
        <v>27.631799999999998</v>
      </c>
    </row>
    <row r="427" spans="1:8">
      <c r="A427" t="s">
        <v>3300</v>
      </c>
      <c r="B427" t="s">
        <v>2815</v>
      </c>
      <c r="C427" t="s">
        <v>3665</v>
      </c>
      <c r="D427" t="s">
        <v>85</v>
      </c>
      <c r="E427" t="s">
        <v>86</v>
      </c>
      <c r="F427" s="2">
        <v>1.4359</v>
      </c>
      <c r="G427">
        <v>12</v>
      </c>
      <c r="H427" s="2">
        <f>Tabla_Items_Inactivos[[#This Row],[EXISTENCIA]]*Tabla_Items_Inactivos[[#This Row],[COSTO]]</f>
        <v>17.230799999999999</v>
      </c>
    </row>
    <row r="428" spans="1:8">
      <c r="A428" t="s">
        <v>3300</v>
      </c>
      <c r="B428" t="s">
        <v>2816</v>
      </c>
      <c r="C428" t="s">
        <v>2817</v>
      </c>
      <c r="D428" t="s">
        <v>85</v>
      </c>
      <c r="E428" t="s">
        <v>86</v>
      </c>
      <c r="F428" s="2">
        <v>2.94</v>
      </c>
      <c r="G428">
        <v>5</v>
      </c>
      <c r="H428" s="2">
        <f>Tabla_Items_Inactivos[[#This Row],[EXISTENCIA]]*Tabla_Items_Inactivos[[#This Row],[COSTO]]</f>
        <v>14.7</v>
      </c>
    </row>
    <row r="429" spans="1:8">
      <c r="A429" t="s">
        <v>3300</v>
      </c>
      <c r="B429" t="s">
        <v>2818</v>
      </c>
      <c r="C429" t="s">
        <v>2819</v>
      </c>
      <c r="D429" t="s">
        <v>85</v>
      </c>
      <c r="E429" t="s">
        <v>86</v>
      </c>
      <c r="F429" s="2">
        <v>0.83599999999999997</v>
      </c>
      <c r="G429">
        <v>41</v>
      </c>
      <c r="H429" s="2">
        <f>Tabla_Items_Inactivos[[#This Row],[EXISTENCIA]]*Tabla_Items_Inactivos[[#This Row],[COSTO]]</f>
        <v>34.275999999999996</v>
      </c>
    </row>
    <row r="430" spans="1:8">
      <c r="A430" t="s">
        <v>3300</v>
      </c>
      <c r="B430" t="s">
        <v>3666</v>
      </c>
      <c r="C430" t="s">
        <v>3667</v>
      </c>
      <c r="D430" t="s">
        <v>85</v>
      </c>
      <c r="E430" t="s">
        <v>86</v>
      </c>
      <c r="F430" s="2">
        <v>0.38</v>
      </c>
      <c r="G430">
        <v>20</v>
      </c>
      <c r="H430" s="2">
        <f>Tabla_Items_Inactivos[[#This Row],[EXISTENCIA]]*Tabla_Items_Inactivos[[#This Row],[COSTO]]</f>
        <v>7.6</v>
      </c>
    </row>
    <row r="431" spans="1:8">
      <c r="A431" t="s">
        <v>3300</v>
      </c>
      <c r="B431" t="s">
        <v>3668</v>
      </c>
      <c r="C431" t="s">
        <v>3669</v>
      </c>
      <c r="D431" t="s">
        <v>85</v>
      </c>
      <c r="E431" t="s">
        <v>86</v>
      </c>
      <c r="F431" s="2">
        <v>1.17</v>
      </c>
      <c r="G431">
        <v>5</v>
      </c>
      <c r="H431" s="2">
        <f>Tabla_Items_Inactivos[[#This Row],[EXISTENCIA]]*Tabla_Items_Inactivos[[#This Row],[COSTO]]</f>
        <v>5.85</v>
      </c>
    </row>
    <row r="432" spans="1:8">
      <c r="A432" t="s">
        <v>3300</v>
      </c>
      <c r="B432" t="s">
        <v>2820</v>
      </c>
      <c r="C432" t="s">
        <v>2821</v>
      </c>
      <c r="D432" t="s">
        <v>85</v>
      </c>
      <c r="E432" t="s">
        <v>86</v>
      </c>
      <c r="F432" s="2">
        <v>2.4</v>
      </c>
      <c r="G432">
        <v>7</v>
      </c>
      <c r="H432" s="2">
        <f>Tabla_Items_Inactivos[[#This Row],[EXISTENCIA]]*Tabla_Items_Inactivos[[#This Row],[COSTO]]</f>
        <v>16.8</v>
      </c>
    </row>
    <row r="433" spans="1:8">
      <c r="A433" t="s">
        <v>3300</v>
      </c>
      <c r="B433" t="s">
        <v>3670</v>
      </c>
      <c r="C433" t="s">
        <v>3671</v>
      </c>
      <c r="D433" t="s">
        <v>85</v>
      </c>
      <c r="E433" t="s">
        <v>86</v>
      </c>
      <c r="F433" s="2">
        <v>2.68</v>
      </c>
      <c r="G433">
        <v>4</v>
      </c>
      <c r="H433" s="2">
        <f>Tabla_Items_Inactivos[[#This Row],[EXISTENCIA]]*Tabla_Items_Inactivos[[#This Row],[COSTO]]</f>
        <v>10.72</v>
      </c>
    </row>
    <row r="434" spans="1:8">
      <c r="A434" t="s">
        <v>3300</v>
      </c>
      <c r="B434" t="s">
        <v>3672</v>
      </c>
      <c r="C434" t="s">
        <v>3673</v>
      </c>
      <c r="D434" t="s">
        <v>219</v>
      </c>
      <c r="E434" t="s">
        <v>86</v>
      </c>
      <c r="F434" s="2">
        <v>1.05</v>
      </c>
      <c r="G434">
        <v>6</v>
      </c>
      <c r="H434" s="2">
        <f>Tabla_Items_Inactivos[[#This Row],[EXISTENCIA]]*Tabla_Items_Inactivos[[#This Row],[COSTO]]</f>
        <v>6.3000000000000007</v>
      </c>
    </row>
    <row r="435" spans="1:8">
      <c r="A435" t="s">
        <v>3300</v>
      </c>
      <c r="B435" t="s">
        <v>3674</v>
      </c>
      <c r="C435" t="s">
        <v>3675</v>
      </c>
      <c r="D435" t="s">
        <v>98</v>
      </c>
      <c r="E435" t="s">
        <v>86</v>
      </c>
      <c r="F435" s="2">
        <v>0.46</v>
      </c>
      <c r="G435">
        <v>5</v>
      </c>
      <c r="H435" s="2">
        <f>Tabla_Items_Inactivos[[#This Row],[EXISTENCIA]]*Tabla_Items_Inactivos[[#This Row],[COSTO]]</f>
        <v>2.3000000000000003</v>
      </c>
    </row>
    <row r="436" spans="1:8">
      <c r="A436" t="s">
        <v>3300</v>
      </c>
      <c r="B436" t="s">
        <v>2822</v>
      </c>
      <c r="C436" t="s">
        <v>2823</v>
      </c>
      <c r="D436" t="s">
        <v>85</v>
      </c>
      <c r="E436" t="s">
        <v>86</v>
      </c>
      <c r="F436" s="2">
        <v>0.67600000000000005</v>
      </c>
      <c r="G436">
        <v>6</v>
      </c>
      <c r="H436" s="2">
        <f>Tabla_Items_Inactivos[[#This Row],[EXISTENCIA]]*Tabla_Items_Inactivos[[#This Row],[COSTO]]</f>
        <v>4.056</v>
      </c>
    </row>
    <row r="437" spans="1:8">
      <c r="A437" t="s">
        <v>3301</v>
      </c>
      <c r="B437" t="s">
        <v>3676</v>
      </c>
      <c r="C437" t="s">
        <v>3677</v>
      </c>
      <c r="D437" t="s">
        <v>3678</v>
      </c>
      <c r="E437" t="s">
        <v>86</v>
      </c>
      <c r="F437" s="2">
        <v>5.2460000000000004</v>
      </c>
      <c r="G437">
        <v>126</v>
      </c>
      <c r="H437" s="2">
        <f>Tabla_Items_Inactivos[[#This Row],[EXISTENCIA]]*Tabla_Items_Inactivos[[#This Row],[COSTO]]</f>
        <v>660.99600000000009</v>
      </c>
    </row>
    <row r="438" spans="1:8">
      <c r="A438" t="s">
        <v>3300</v>
      </c>
      <c r="B438" t="s">
        <v>3676</v>
      </c>
      <c r="C438" t="s">
        <v>3677</v>
      </c>
      <c r="D438" t="s">
        <v>3678</v>
      </c>
      <c r="E438" t="s">
        <v>86</v>
      </c>
      <c r="F438" s="2">
        <v>5.2460000000000004</v>
      </c>
      <c r="G438">
        <v>126</v>
      </c>
      <c r="H438" s="2">
        <f>Tabla_Items_Inactivos[[#This Row],[EXISTENCIA]]*Tabla_Items_Inactivos[[#This Row],[COSTO]]</f>
        <v>660.99600000000009</v>
      </c>
    </row>
    <row r="439" spans="1:8">
      <c r="A439" t="s">
        <v>3300</v>
      </c>
      <c r="B439" t="s">
        <v>3679</v>
      </c>
      <c r="C439" t="s">
        <v>3680</v>
      </c>
      <c r="D439" t="s">
        <v>98</v>
      </c>
      <c r="E439" t="s">
        <v>86</v>
      </c>
      <c r="F439" s="2">
        <v>0.84</v>
      </c>
      <c r="G439">
        <v>4</v>
      </c>
      <c r="H439" s="2">
        <f>Tabla_Items_Inactivos[[#This Row],[EXISTENCIA]]*Tabla_Items_Inactivos[[#This Row],[COSTO]]</f>
        <v>3.36</v>
      </c>
    </row>
    <row r="440" spans="1:8">
      <c r="A440" t="s">
        <v>3300</v>
      </c>
      <c r="B440" t="s">
        <v>3681</v>
      </c>
      <c r="C440" t="s">
        <v>3682</v>
      </c>
      <c r="D440" t="s">
        <v>219</v>
      </c>
      <c r="E440" t="s">
        <v>86</v>
      </c>
      <c r="F440" s="2">
        <v>0.81</v>
      </c>
      <c r="G440">
        <v>5</v>
      </c>
      <c r="H440" s="2">
        <f>Tabla_Items_Inactivos[[#This Row],[EXISTENCIA]]*Tabla_Items_Inactivos[[#This Row],[COSTO]]</f>
        <v>4.0500000000000007</v>
      </c>
    </row>
    <row r="441" spans="1:8">
      <c r="A441" t="s">
        <v>3300</v>
      </c>
      <c r="B441" t="s">
        <v>2824</v>
      </c>
      <c r="C441" t="s">
        <v>2825</v>
      </c>
      <c r="D441" t="s">
        <v>98</v>
      </c>
      <c r="E441" t="s">
        <v>86</v>
      </c>
      <c r="F441" s="2">
        <v>3.6669999999999998</v>
      </c>
      <c r="G441">
        <v>7</v>
      </c>
      <c r="H441" s="2">
        <f>Tabla_Items_Inactivos[[#This Row],[EXISTENCIA]]*Tabla_Items_Inactivos[[#This Row],[COSTO]]</f>
        <v>25.668999999999997</v>
      </c>
    </row>
    <row r="442" spans="1:8">
      <c r="A442" t="s">
        <v>3300</v>
      </c>
      <c r="B442" t="s">
        <v>3683</v>
      </c>
      <c r="C442" t="s">
        <v>3684</v>
      </c>
      <c r="D442" t="s">
        <v>98</v>
      </c>
      <c r="E442" t="s">
        <v>86</v>
      </c>
      <c r="F442" s="2">
        <v>1.86</v>
      </c>
      <c r="G442">
        <v>5</v>
      </c>
      <c r="H442" s="2">
        <f>Tabla_Items_Inactivos[[#This Row],[EXISTENCIA]]*Tabla_Items_Inactivos[[#This Row],[COSTO]]</f>
        <v>9.3000000000000007</v>
      </c>
    </row>
    <row r="443" spans="1:8">
      <c r="A443" t="s">
        <v>3300</v>
      </c>
      <c r="B443" t="s">
        <v>3685</v>
      </c>
      <c r="C443" t="s">
        <v>3686</v>
      </c>
      <c r="D443" t="s">
        <v>219</v>
      </c>
      <c r="E443" t="s">
        <v>86</v>
      </c>
      <c r="F443" s="2">
        <v>1.44</v>
      </c>
      <c r="G443">
        <v>4</v>
      </c>
      <c r="H443" s="2">
        <f>Tabla_Items_Inactivos[[#This Row],[EXISTENCIA]]*Tabla_Items_Inactivos[[#This Row],[COSTO]]</f>
        <v>5.76</v>
      </c>
    </row>
    <row r="444" spans="1:8">
      <c r="A444" t="s">
        <v>3300</v>
      </c>
      <c r="B444" t="s">
        <v>2826</v>
      </c>
      <c r="C444" t="s">
        <v>2827</v>
      </c>
      <c r="D444" t="s">
        <v>85</v>
      </c>
      <c r="E444" t="s">
        <v>86</v>
      </c>
      <c r="F444" s="2">
        <v>45.029000000000003</v>
      </c>
      <c r="G444">
        <v>7</v>
      </c>
      <c r="H444" s="2">
        <f>Tabla_Items_Inactivos[[#This Row],[EXISTENCIA]]*Tabla_Items_Inactivos[[#This Row],[COSTO]]</f>
        <v>315.20300000000003</v>
      </c>
    </row>
    <row r="445" spans="1:8">
      <c r="A445" t="s">
        <v>3300</v>
      </c>
      <c r="B445" t="s">
        <v>2828</v>
      </c>
      <c r="C445" t="s">
        <v>2829</v>
      </c>
      <c r="D445" t="s">
        <v>98</v>
      </c>
      <c r="E445" t="s">
        <v>86</v>
      </c>
      <c r="F445" s="2">
        <v>26.635999999999999</v>
      </c>
      <c r="G445">
        <v>6</v>
      </c>
      <c r="H445" s="2">
        <f>Tabla_Items_Inactivos[[#This Row],[EXISTENCIA]]*Tabla_Items_Inactivos[[#This Row],[COSTO]]</f>
        <v>159.816</v>
      </c>
    </row>
    <row r="446" spans="1:8">
      <c r="A446" t="s">
        <v>3300</v>
      </c>
      <c r="B446" t="s">
        <v>2830</v>
      </c>
      <c r="C446" t="s">
        <v>2831</v>
      </c>
      <c r="D446" t="s">
        <v>85</v>
      </c>
      <c r="E446" t="s">
        <v>86</v>
      </c>
      <c r="F446" s="2">
        <v>32.438000000000002</v>
      </c>
      <c r="G446">
        <v>5</v>
      </c>
      <c r="H446" s="2">
        <f>Tabla_Items_Inactivos[[#This Row],[EXISTENCIA]]*Tabla_Items_Inactivos[[#This Row],[COSTO]]</f>
        <v>162.19</v>
      </c>
    </row>
    <row r="447" spans="1:8">
      <c r="A447" t="s">
        <v>3300</v>
      </c>
      <c r="B447" t="s">
        <v>3687</v>
      </c>
      <c r="C447" t="s">
        <v>3688</v>
      </c>
      <c r="D447" t="s">
        <v>219</v>
      </c>
      <c r="E447" t="s">
        <v>86</v>
      </c>
      <c r="F447" s="2">
        <v>30.4</v>
      </c>
      <c r="G447">
        <v>2</v>
      </c>
      <c r="H447" s="2">
        <f>Tabla_Items_Inactivos[[#This Row],[EXISTENCIA]]*Tabla_Items_Inactivos[[#This Row],[COSTO]]</f>
        <v>60.8</v>
      </c>
    </row>
    <row r="448" spans="1:8">
      <c r="A448" t="s">
        <v>3300</v>
      </c>
      <c r="B448" t="s">
        <v>2832</v>
      </c>
      <c r="C448" t="s">
        <v>2833</v>
      </c>
      <c r="D448" t="s">
        <v>223</v>
      </c>
      <c r="E448" t="s">
        <v>86</v>
      </c>
      <c r="F448" s="2">
        <v>48.274999999999999</v>
      </c>
      <c r="G448">
        <v>4</v>
      </c>
      <c r="H448" s="2">
        <f>Tabla_Items_Inactivos[[#This Row],[EXISTENCIA]]*Tabla_Items_Inactivos[[#This Row],[COSTO]]</f>
        <v>193.1</v>
      </c>
    </row>
    <row r="449" spans="1:8">
      <c r="A449" t="s">
        <v>3300</v>
      </c>
      <c r="B449" t="s">
        <v>3689</v>
      </c>
      <c r="C449" t="s">
        <v>3690</v>
      </c>
      <c r="D449" t="s">
        <v>85</v>
      </c>
      <c r="E449" t="s">
        <v>86</v>
      </c>
      <c r="F449" s="2">
        <v>23.2075</v>
      </c>
      <c r="G449">
        <v>4</v>
      </c>
      <c r="H449" s="2">
        <f>Tabla_Items_Inactivos[[#This Row],[EXISTENCIA]]*Tabla_Items_Inactivos[[#This Row],[COSTO]]</f>
        <v>92.83</v>
      </c>
    </row>
    <row r="450" spans="1:8">
      <c r="A450" t="s">
        <v>3300</v>
      </c>
      <c r="B450" t="s">
        <v>2834</v>
      </c>
      <c r="C450" t="s">
        <v>2835</v>
      </c>
      <c r="D450" t="s">
        <v>219</v>
      </c>
      <c r="E450" t="s">
        <v>86</v>
      </c>
      <c r="F450" s="2">
        <v>41.911099999999998</v>
      </c>
      <c r="G450">
        <v>2</v>
      </c>
      <c r="H450" s="2">
        <f>Tabla_Items_Inactivos[[#This Row],[EXISTENCIA]]*Tabla_Items_Inactivos[[#This Row],[COSTO]]</f>
        <v>83.822199999999995</v>
      </c>
    </row>
    <row r="451" spans="1:8">
      <c r="A451" t="s">
        <v>3301</v>
      </c>
      <c r="B451" t="s">
        <v>2834</v>
      </c>
      <c r="C451" t="s">
        <v>2835</v>
      </c>
      <c r="D451" t="s">
        <v>219</v>
      </c>
      <c r="E451" t="s">
        <v>86</v>
      </c>
      <c r="F451" s="2">
        <v>41.911099999999998</v>
      </c>
      <c r="G451">
        <v>2</v>
      </c>
      <c r="H451" s="2">
        <f>Tabla_Items_Inactivos[[#This Row],[EXISTENCIA]]*Tabla_Items_Inactivos[[#This Row],[COSTO]]</f>
        <v>83.822199999999995</v>
      </c>
    </row>
    <row r="452" spans="1:8">
      <c r="A452" t="s">
        <v>3300</v>
      </c>
      <c r="B452" t="s">
        <v>2836</v>
      </c>
      <c r="C452" t="s">
        <v>3691</v>
      </c>
      <c r="D452" t="s">
        <v>219</v>
      </c>
      <c r="E452" t="s">
        <v>86</v>
      </c>
      <c r="F452" s="2">
        <v>31.977399999999999</v>
      </c>
      <c r="G452">
        <v>5</v>
      </c>
      <c r="H452" s="2">
        <f>Tabla_Items_Inactivos[[#This Row],[EXISTENCIA]]*Tabla_Items_Inactivos[[#This Row],[COSTO]]</f>
        <v>159.887</v>
      </c>
    </row>
    <row r="453" spans="1:8">
      <c r="A453" t="s">
        <v>3300</v>
      </c>
      <c r="B453" t="s">
        <v>2837</v>
      </c>
      <c r="C453" t="s">
        <v>2838</v>
      </c>
      <c r="D453" t="s">
        <v>219</v>
      </c>
      <c r="E453" t="s">
        <v>86</v>
      </c>
      <c r="F453" s="2">
        <v>28.54</v>
      </c>
      <c r="G453">
        <v>4</v>
      </c>
      <c r="H453" s="2">
        <f>Tabla_Items_Inactivos[[#This Row],[EXISTENCIA]]*Tabla_Items_Inactivos[[#This Row],[COSTO]]</f>
        <v>114.16</v>
      </c>
    </row>
    <row r="454" spans="1:8">
      <c r="A454" t="s">
        <v>3300</v>
      </c>
      <c r="B454" t="s">
        <v>3692</v>
      </c>
      <c r="C454" t="s">
        <v>3693</v>
      </c>
      <c r="D454" t="s">
        <v>436</v>
      </c>
      <c r="E454" t="s">
        <v>86</v>
      </c>
      <c r="F454" s="2">
        <v>30.78</v>
      </c>
      <c r="G454">
        <v>2</v>
      </c>
      <c r="H454" s="2">
        <f>Tabla_Items_Inactivos[[#This Row],[EXISTENCIA]]*Tabla_Items_Inactivos[[#This Row],[COSTO]]</f>
        <v>61.56</v>
      </c>
    </row>
    <row r="455" spans="1:8">
      <c r="A455" t="s">
        <v>3300</v>
      </c>
      <c r="B455" t="s">
        <v>2839</v>
      </c>
      <c r="C455" t="s">
        <v>2840</v>
      </c>
      <c r="D455" t="s">
        <v>219</v>
      </c>
      <c r="E455" t="s">
        <v>86</v>
      </c>
      <c r="F455" s="2">
        <v>27.847999999999999</v>
      </c>
      <c r="G455">
        <v>6</v>
      </c>
      <c r="H455" s="2">
        <f>Tabla_Items_Inactivos[[#This Row],[EXISTENCIA]]*Tabla_Items_Inactivos[[#This Row],[COSTO]]</f>
        <v>167.08799999999999</v>
      </c>
    </row>
    <row r="456" spans="1:8">
      <c r="A456" t="s">
        <v>3300</v>
      </c>
      <c r="B456" t="s">
        <v>3694</v>
      </c>
      <c r="C456" t="s">
        <v>3695</v>
      </c>
      <c r="D456" t="s">
        <v>85</v>
      </c>
      <c r="E456" t="s">
        <v>86</v>
      </c>
      <c r="F456" s="2">
        <v>28.984999999999999</v>
      </c>
      <c r="G456">
        <v>2</v>
      </c>
      <c r="H456" s="2">
        <f>Tabla_Items_Inactivos[[#This Row],[EXISTENCIA]]*Tabla_Items_Inactivos[[#This Row],[COSTO]]</f>
        <v>57.97</v>
      </c>
    </row>
    <row r="457" spans="1:8">
      <c r="A457" t="s">
        <v>3300</v>
      </c>
      <c r="B457" t="s">
        <v>3696</v>
      </c>
      <c r="C457" t="s">
        <v>3697</v>
      </c>
      <c r="D457" t="s">
        <v>85</v>
      </c>
      <c r="E457" t="s">
        <v>86</v>
      </c>
      <c r="F457" s="2">
        <v>0.37</v>
      </c>
      <c r="G457">
        <v>20</v>
      </c>
      <c r="H457" s="2">
        <f>Tabla_Items_Inactivos[[#This Row],[EXISTENCIA]]*Tabla_Items_Inactivos[[#This Row],[COSTO]]</f>
        <v>7.4</v>
      </c>
    </row>
    <row r="458" spans="1:8">
      <c r="A458" t="s">
        <v>3300</v>
      </c>
      <c r="B458" t="s">
        <v>3698</v>
      </c>
      <c r="C458" t="s">
        <v>3699</v>
      </c>
      <c r="D458" t="s">
        <v>219</v>
      </c>
      <c r="E458" t="s">
        <v>86</v>
      </c>
      <c r="F458" s="2">
        <v>3.54</v>
      </c>
      <c r="G458">
        <v>4</v>
      </c>
      <c r="H458" s="2">
        <f>Tabla_Items_Inactivos[[#This Row],[EXISTENCIA]]*Tabla_Items_Inactivos[[#This Row],[COSTO]]</f>
        <v>14.16</v>
      </c>
    </row>
    <row r="459" spans="1:8">
      <c r="A459" t="s">
        <v>3300</v>
      </c>
      <c r="B459" t="s">
        <v>2841</v>
      </c>
      <c r="C459" t="s">
        <v>2842</v>
      </c>
      <c r="D459" t="s">
        <v>219</v>
      </c>
      <c r="E459" t="s">
        <v>86</v>
      </c>
      <c r="F459" s="2">
        <v>34.761200000000002</v>
      </c>
      <c r="G459">
        <v>2</v>
      </c>
      <c r="H459" s="2">
        <f>Tabla_Items_Inactivos[[#This Row],[EXISTENCIA]]*Tabla_Items_Inactivos[[#This Row],[COSTO]]</f>
        <v>69.522400000000005</v>
      </c>
    </row>
    <row r="460" spans="1:8">
      <c r="A460" t="s">
        <v>3300</v>
      </c>
      <c r="B460" t="s">
        <v>3700</v>
      </c>
      <c r="C460" t="s">
        <v>3701</v>
      </c>
      <c r="D460" t="s">
        <v>436</v>
      </c>
      <c r="E460" t="s">
        <v>86</v>
      </c>
      <c r="F460" s="2">
        <v>7.4420000000000002</v>
      </c>
      <c r="G460">
        <v>4</v>
      </c>
      <c r="H460" s="2">
        <f>Tabla_Items_Inactivos[[#This Row],[EXISTENCIA]]*Tabla_Items_Inactivos[[#This Row],[COSTO]]</f>
        <v>29.768000000000001</v>
      </c>
    </row>
    <row r="461" spans="1:8">
      <c r="A461" t="s">
        <v>3300</v>
      </c>
      <c r="B461" t="s">
        <v>239</v>
      </c>
      <c r="C461" t="s">
        <v>240</v>
      </c>
      <c r="D461" t="s">
        <v>219</v>
      </c>
      <c r="E461" t="s">
        <v>86</v>
      </c>
      <c r="F461" s="2">
        <v>8.5869999999999997</v>
      </c>
      <c r="G461">
        <v>6</v>
      </c>
      <c r="H461" s="2">
        <f>Tabla_Items_Inactivos[[#This Row],[EXISTENCIA]]*Tabla_Items_Inactivos[[#This Row],[COSTO]]</f>
        <v>51.521999999999998</v>
      </c>
    </row>
    <row r="462" spans="1:8">
      <c r="A462" t="s">
        <v>3300</v>
      </c>
      <c r="B462" t="s">
        <v>3702</v>
      </c>
      <c r="C462" t="s">
        <v>3703</v>
      </c>
      <c r="D462" t="s">
        <v>436</v>
      </c>
      <c r="E462" t="s">
        <v>86</v>
      </c>
      <c r="F462" s="2">
        <v>12.46</v>
      </c>
      <c r="G462">
        <v>3</v>
      </c>
      <c r="H462" s="2">
        <f>Tabla_Items_Inactivos[[#This Row],[EXISTENCIA]]*Tabla_Items_Inactivos[[#This Row],[COSTO]]</f>
        <v>37.380000000000003</v>
      </c>
    </row>
    <row r="463" spans="1:8">
      <c r="A463" t="s">
        <v>3300</v>
      </c>
      <c r="B463" t="s">
        <v>3704</v>
      </c>
      <c r="C463" t="s">
        <v>3705</v>
      </c>
      <c r="D463" t="s">
        <v>85</v>
      </c>
      <c r="E463" t="s">
        <v>86</v>
      </c>
      <c r="F463" s="2">
        <v>11.226699999999999</v>
      </c>
      <c r="G463">
        <v>31</v>
      </c>
      <c r="H463" s="2">
        <f>Tabla_Items_Inactivos[[#This Row],[EXISTENCIA]]*Tabla_Items_Inactivos[[#This Row],[COSTO]]</f>
        <v>348.02769999999998</v>
      </c>
    </row>
    <row r="464" spans="1:8">
      <c r="A464" t="s">
        <v>3300</v>
      </c>
      <c r="B464" t="s">
        <v>3706</v>
      </c>
      <c r="C464" t="s">
        <v>3707</v>
      </c>
      <c r="D464" t="s">
        <v>85</v>
      </c>
      <c r="E464" t="s">
        <v>86</v>
      </c>
      <c r="F464" s="2">
        <v>13.66</v>
      </c>
      <c r="G464">
        <v>2</v>
      </c>
      <c r="H464" s="2">
        <f>Tabla_Items_Inactivos[[#This Row],[EXISTENCIA]]*Tabla_Items_Inactivos[[#This Row],[COSTO]]</f>
        <v>27.32</v>
      </c>
    </row>
    <row r="465" spans="1:8">
      <c r="A465" t="s">
        <v>3300</v>
      </c>
      <c r="B465" t="s">
        <v>2843</v>
      </c>
      <c r="C465" t="s">
        <v>2844</v>
      </c>
      <c r="D465" t="s">
        <v>85</v>
      </c>
      <c r="E465" t="s">
        <v>86</v>
      </c>
      <c r="F465" s="2">
        <v>15.912000000000001</v>
      </c>
      <c r="G465">
        <v>29</v>
      </c>
      <c r="H465" s="2">
        <f>Tabla_Items_Inactivos[[#This Row],[EXISTENCIA]]*Tabla_Items_Inactivos[[#This Row],[COSTO]]</f>
        <v>461.44800000000004</v>
      </c>
    </row>
    <row r="466" spans="1:8">
      <c r="A466" t="s">
        <v>3300</v>
      </c>
      <c r="B466" t="s">
        <v>2845</v>
      </c>
      <c r="C466" t="s">
        <v>2846</v>
      </c>
      <c r="D466" t="s">
        <v>85</v>
      </c>
      <c r="E466" t="s">
        <v>86</v>
      </c>
      <c r="F466" s="2">
        <v>15.795999999999999</v>
      </c>
      <c r="G466">
        <v>17</v>
      </c>
      <c r="H466" s="2">
        <f>Tabla_Items_Inactivos[[#This Row],[EXISTENCIA]]*Tabla_Items_Inactivos[[#This Row],[COSTO]]</f>
        <v>268.53199999999998</v>
      </c>
    </row>
    <row r="467" spans="1:8">
      <c r="A467" t="s">
        <v>3300</v>
      </c>
      <c r="B467" t="s">
        <v>3708</v>
      </c>
      <c r="C467" t="s">
        <v>3709</v>
      </c>
      <c r="D467" t="s">
        <v>219</v>
      </c>
      <c r="E467" t="s">
        <v>86</v>
      </c>
      <c r="F467" s="2">
        <v>43.43</v>
      </c>
      <c r="G467">
        <v>1</v>
      </c>
      <c r="H467" s="2">
        <f>Tabla_Items_Inactivos[[#This Row],[EXISTENCIA]]*Tabla_Items_Inactivos[[#This Row],[COSTO]]</f>
        <v>43.43</v>
      </c>
    </row>
    <row r="468" spans="1:8">
      <c r="A468" t="s">
        <v>3300</v>
      </c>
      <c r="B468" t="s">
        <v>241</v>
      </c>
      <c r="C468" t="s">
        <v>242</v>
      </c>
      <c r="D468" t="s">
        <v>243</v>
      </c>
      <c r="E468" t="s">
        <v>86</v>
      </c>
      <c r="F468" s="2">
        <v>5.63</v>
      </c>
      <c r="G468">
        <v>2</v>
      </c>
      <c r="H468" s="2">
        <f>Tabla_Items_Inactivos[[#This Row],[EXISTENCIA]]*Tabla_Items_Inactivos[[#This Row],[COSTO]]</f>
        <v>11.26</v>
      </c>
    </row>
    <row r="469" spans="1:8">
      <c r="A469" t="s">
        <v>3300</v>
      </c>
      <c r="B469" t="s">
        <v>3710</v>
      </c>
      <c r="C469" t="s">
        <v>3711</v>
      </c>
      <c r="D469" t="s">
        <v>85</v>
      </c>
      <c r="E469" t="s">
        <v>86</v>
      </c>
      <c r="F469" s="2">
        <v>4.0529000000000002</v>
      </c>
      <c r="G469">
        <v>17</v>
      </c>
      <c r="H469" s="2">
        <f>Tabla_Items_Inactivos[[#This Row],[EXISTENCIA]]*Tabla_Items_Inactivos[[#This Row],[COSTO]]</f>
        <v>68.899299999999997</v>
      </c>
    </row>
    <row r="470" spans="1:8">
      <c r="A470" t="s">
        <v>3300</v>
      </c>
      <c r="B470" t="s">
        <v>3712</v>
      </c>
      <c r="C470" t="s">
        <v>3713</v>
      </c>
      <c r="D470" t="s">
        <v>85</v>
      </c>
      <c r="E470" t="s">
        <v>86</v>
      </c>
      <c r="F470" s="2">
        <v>6.0575000000000001</v>
      </c>
      <c r="G470">
        <v>21</v>
      </c>
      <c r="H470" s="2">
        <f>Tabla_Items_Inactivos[[#This Row],[EXISTENCIA]]*Tabla_Items_Inactivos[[#This Row],[COSTO]]</f>
        <v>127.2075</v>
      </c>
    </row>
    <row r="471" spans="1:8">
      <c r="A471" t="s">
        <v>3300</v>
      </c>
      <c r="B471" t="s">
        <v>3714</v>
      </c>
      <c r="C471" t="s">
        <v>3715</v>
      </c>
      <c r="D471" t="s">
        <v>85</v>
      </c>
      <c r="E471" t="s">
        <v>86</v>
      </c>
      <c r="F471" s="2">
        <v>4.6900000000000004</v>
      </c>
      <c r="G471">
        <v>15</v>
      </c>
      <c r="H471" s="2">
        <f>Tabla_Items_Inactivos[[#This Row],[EXISTENCIA]]*Tabla_Items_Inactivos[[#This Row],[COSTO]]</f>
        <v>70.350000000000009</v>
      </c>
    </row>
    <row r="472" spans="1:8">
      <c r="A472" t="s">
        <v>3300</v>
      </c>
      <c r="B472" t="s">
        <v>3716</v>
      </c>
      <c r="C472" t="s">
        <v>3717</v>
      </c>
      <c r="D472" t="s">
        <v>85</v>
      </c>
      <c r="E472" t="s">
        <v>86</v>
      </c>
      <c r="F472" s="2">
        <v>4.62</v>
      </c>
      <c r="G472">
        <v>5</v>
      </c>
      <c r="H472" s="2">
        <f>Tabla_Items_Inactivos[[#This Row],[EXISTENCIA]]*Tabla_Items_Inactivos[[#This Row],[COSTO]]</f>
        <v>23.1</v>
      </c>
    </row>
    <row r="473" spans="1:8">
      <c r="A473" t="s">
        <v>3300</v>
      </c>
      <c r="B473" t="s">
        <v>2847</v>
      </c>
      <c r="C473" t="s">
        <v>2848</v>
      </c>
      <c r="D473" t="s">
        <v>85</v>
      </c>
      <c r="E473" t="s">
        <v>86</v>
      </c>
      <c r="F473" s="2">
        <v>0.59399999999999997</v>
      </c>
      <c r="G473">
        <v>12</v>
      </c>
      <c r="H473" s="2">
        <f>Tabla_Items_Inactivos[[#This Row],[EXISTENCIA]]*Tabla_Items_Inactivos[[#This Row],[COSTO]]</f>
        <v>7.1280000000000001</v>
      </c>
    </row>
    <row r="474" spans="1:8">
      <c r="A474" t="s">
        <v>3300</v>
      </c>
      <c r="B474" t="s">
        <v>3718</v>
      </c>
      <c r="C474" t="s">
        <v>3719</v>
      </c>
      <c r="D474" t="s">
        <v>219</v>
      </c>
      <c r="E474" t="s">
        <v>86</v>
      </c>
      <c r="F474" s="2">
        <v>0</v>
      </c>
      <c r="G474">
        <v>5</v>
      </c>
      <c r="H474" s="2">
        <f>Tabla_Items_Inactivos[[#This Row],[EXISTENCIA]]*Tabla_Items_Inactivos[[#This Row],[COSTO]]</f>
        <v>0</v>
      </c>
    </row>
    <row r="475" spans="1:8">
      <c r="A475" t="s">
        <v>3300</v>
      </c>
      <c r="B475" t="s">
        <v>3720</v>
      </c>
      <c r="C475" t="s">
        <v>3721</v>
      </c>
      <c r="D475" t="s">
        <v>85</v>
      </c>
      <c r="E475" t="s">
        <v>86</v>
      </c>
      <c r="F475" s="2">
        <v>0.63270000000000004</v>
      </c>
      <c r="G475">
        <v>143</v>
      </c>
      <c r="H475" s="2">
        <f>Tabla_Items_Inactivos[[#This Row],[EXISTENCIA]]*Tabla_Items_Inactivos[[#This Row],[COSTO]]</f>
        <v>90.476100000000002</v>
      </c>
    </row>
    <row r="476" spans="1:8">
      <c r="A476" t="s">
        <v>3300</v>
      </c>
      <c r="B476" t="s">
        <v>3722</v>
      </c>
      <c r="C476" t="s">
        <v>3723</v>
      </c>
      <c r="D476" t="s">
        <v>85</v>
      </c>
      <c r="E476" t="s">
        <v>86</v>
      </c>
      <c r="F476" s="2">
        <v>0.98599999999999999</v>
      </c>
      <c r="G476">
        <v>22</v>
      </c>
      <c r="H476" s="2">
        <f>Tabla_Items_Inactivos[[#This Row],[EXISTENCIA]]*Tabla_Items_Inactivos[[#This Row],[COSTO]]</f>
        <v>21.692</v>
      </c>
    </row>
    <row r="477" spans="1:8">
      <c r="A477" t="s">
        <v>3301</v>
      </c>
      <c r="B477" t="s">
        <v>3724</v>
      </c>
      <c r="C477" t="s">
        <v>3725</v>
      </c>
      <c r="D477" t="s">
        <v>219</v>
      </c>
      <c r="E477" t="s">
        <v>86</v>
      </c>
      <c r="F477" s="2">
        <v>6.2965999999999998</v>
      </c>
      <c r="G477">
        <v>3</v>
      </c>
      <c r="H477" s="2">
        <f>Tabla_Items_Inactivos[[#This Row],[EXISTENCIA]]*Tabla_Items_Inactivos[[#This Row],[COSTO]]</f>
        <v>18.889800000000001</v>
      </c>
    </row>
    <row r="478" spans="1:8">
      <c r="A478" t="s">
        <v>3300</v>
      </c>
      <c r="B478" t="s">
        <v>3724</v>
      </c>
      <c r="C478" t="s">
        <v>3725</v>
      </c>
      <c r="D478" t="s">
        <v>219</v>
      </c>
      <c r="E478" t="s">
        <v>86</v>
      </c>
      <c r="F478" s="2">
        <v>6.2965999999999998</v>
      </c>
      <c r="G478">
        <v>3</v>
      </c>
      <c r="H478" s="2">
        <f>Tabla_Items_Inactivos[[#This Row],[EXISTENCIA]]*Tabla_Items_Inactivos[[#This Row],[COSTO]]</f>
        <v>18.889800000000001</v>
      </c>
    </row>
    <row r="479" spans="1:8">
      <c r="A479" t="s">
        <v>3300</v>
      </c>
      <c r="B479" t="s">
        <v>2849</v>
      </c>
      <c r="C479" t="s">
        <v>2850</v>
      </c>
      <c r="D479" t="s">
        <v>85</v>
      </c>
      <c r="E479" t="s">
        <v>86</v>
      </c>
      <c r="F479" s="2">
        <v>3.0179999999999998</v>
      </c>
      <c r="G479">
        <v>19</v>
      </c>
      <c r="H479" s="2">
        <f>Tabla_Items_Inactivos[[#This Row],[EXISTENCIA]]*Tabla_Items_Inactivos[[#This Row],[COSTO]]</f>
        <v>57.341999999999999</v>
      </c>
    </row>
    <row r="480" spans="1:8">
      <c r="A480" t="s">
        <v>3300</v>
      </c>
      <c r="B480" t="s">
        <v>2851</v>
      </c>
      <c r="C480" t="s">
        <v>2852</v>
      </c>
      <c r="D480" t="s">
        <v>85</v>
      </c>
      <c r="E480" t="s">
        <v>86</v>
      </c>
      <c r="F480" s="2">
        <v>0.91200000000000003</v>
      </c>
      <c r="G480">
        <v>12</v>
      </c>
      <c r="H480" s="2">
        <f>Tabla_Items_Inactivos[[#This Row],[EXISTENCIA]]*Tabla_Items_Inactivos[[#This Row],[COSTO]]</f>
        <v>10.944000000000001</v>
      </c>
    </row>
    <row r="481" spans="1:8">
      <c r="A481" t="s">
        <v>3300</v>
      </c>
      <c r="B481" t="s">
        <v>2853</v>
      </c>
      <c r="C481" t="s">
        <v>2854</v>
      </c>
      <c r="D481" t="s">
        <v>98</v>
      </c>
      <c r="E481" t="s">
        <v>86</v>
      </c>
      <c r="F481" s="2">
        <v>1.431</v>
      </c>
      <c r="G481">
        <v>12</v>
      </c>
      <c r="H481" s="2">
        <f>Tabla_Items_Inactivos[[#This Row],[EXISTENCIA]]*Tabla_Items_Inactivos[[#This Row],[COSTO]]</f>
        <v>17.172000000000001</v>
      </c>
    </row>
    <row r="482" spans="1:8">
      <c r="A482" t="s">
        <v>3300</v>
      </c>
      <c r="B482" t="s">
        <v>3726</v>
      </c>
      <c r="C482" t="s">
        <v>3727</v>
      </c>
      <c r="D482" t="s">
        <v>85</v>
      </c>
      <c r="E482" t="s">
        <v>86</v>
      </c>
      <c r="F482" s="2">
        <v>0.42430000000000001</v>
      </c>
      <c r="G482">
        <v>15</v>
      </c>
      <c r="H482" s="2">
        <f>Tabla_Items_Inactivos[[#This Row],[EXISTENCIA]]*Tabla_Items_Inactivos[[#This Row],[COSTO]]</f>
        <v>6.3645000000000005</v>
      </c>
    </row>
    <row r="483" spans="1:8">
      <c r="A483" t="s">
        <v>3300</v>
      </c>
      <c r="B483" t="s">
        <v>2855</v>
      </c>
      <c r="C483" t="s">
        <v>2856</v>
      </c>
      <c r="D483" t="s">
        <v>85</v>
      </c>
      <c r="E483" t="s">
        <v>86</v>
      </c>
      <c r="F483" s="2">
        <v>0.50800000000000001</v>
      </c>
      <c r="G483">
        <v>13</v>
      </c>
      <c r="H483" s="2">
        <f>Tabla_Items_Inactivos[[#This Row],[EXISTENCIA]]*Tabla_Items_Inactivos[[#This Row],[COSTO]]</f>
        <v>6.6040000000000001</v>
      </c>
    </row>
    <row r="484" spans="1:8">
      <c r="A484" t="s">
        <v>3300</v>
      </c>
      <c r="B484" t="s">
        <v>3728</v>
      </c>
      <c r="C484" t="s">
        <v>3729</v>
      </c>
      <c r="D484" t="s">
        <v>85</v>
      </c>
      <c r="E484" t="s">
        <v>86</v>
      </c>
      <c r="F484" s="2">
        <v>0.46500000000000002</v>
      </c>
      <c r="G484">
        <v>20</v>
      </c>
      <c r="H484" s="2">
        <f>Tabla_Items_Inactivos[[#This Row],[EXISTENCIA]]*Tabla_Items_Inactivos[[#This Row],[COSTO]]</f>
        <v>9.3000000000000007</v>
      </c>
    </row>
    <row r="485" spans="1:8">
      <c r="A485" t="s">
        <v>3301</v>
      </c>
      <c r="B485" t="s">
        <v>2857</v>
      </c>
      <c r="C485" t="s">
        <v>2858</v>
      </c>
      <c r="D485" t="s">
        <v>219</v>
      </c>
      <c r="E485" t="s">
        <v>86</v>
      </c>
      <c r="F485" s="2">
        <v>14.206099999999999</v>
      </c>
      <c r="G485">
        <v>10</v>
      </c>
      <c r="H485" s="2">
        <f>Tabla_Items_Inactivos[[#This Row],[EXISTENCIA]]*Tabla_Items_Inactivos[[#This Row],[COSTO]]</f>
        <v>142.06099999999998</v>
      </c>
    </row>
    <row r="486" spans="1:8">
      <c r="A486" t="s">
        <v>3300</v>
      </c>
      <c r="B486" t="s">
        <v>2857</v>
      </c>
      <c r="C486" t="s">
        <v>2858</v>
      </c>
      <c r="D486" t="s">
        <v>219</v>
      </c>
      <c r="E486" t="s">
        <v>86</v>
      </c>
      <c r="F486" s="2">
        <v>14.206099999999999</v>
      </c>
      <c r="G486">
        <v>10</v>
      </c>
      <c r="H486" s="2">
        <f>Tabla_Items_Inactivos[[#This Row],[EXISTENCIA]]*Tabla_Items_Inactivos[[#This Row],[COSTO]]</f>
        <v>142.06099999999998</v>
      </c>
    </row>
    <row r="487" spans="1:8">
      <c r="A487" t="s">
        <v>3300</v>
      </c>
      <c r="B487" t="s">
        <v>2859</v>
      </c>
      <c r="C487" t="s">
        <v>2860</v>
      </c>
      <c r="D487" t="s">
        <v>219</v>
      </c>
      <c r="E487" t="s">
        <v>86</v>
      </c>
      <c r="F487" s="2">
        <v>12.6945</v>
      </c>
      <c r="G487">
        <v>9</v>
      </c>
      <c r="H487" s="2">
        <f>Tabla_Items_Inactivos[[#This Row],[EXISTENCIA]]*Tabla_Items_Inactivos[[#This Row],[COSTO]]</f>
        <v>114.2505</v>
      </c>
    </row>
    <row r="488" spans="1:8">
      <c r="A488" t="s">
        <v>3300</v>
      </c>
      <c r="B488" t="s">
        <v>3730</v>
      </c>
      <c r="C488" t="s">
        <v>3731</v>
      </c>
      <c r="D488" t="s">
        <v>85</v>
      </c>
      <c r="E488" t="s">
        <v>86</v>
      </c>
      <c r="F488" s="2">
        <v>0.54</v>
      </c>
      <c r="G488">
        <v>3</v>
      </c>
      <c r="H488" s="2">
        <f>Tabla_Items_Inactivos[[#This Row],[EXISTENCIA]]*Tabla_Items_Inactivos[[#This Row],[COSTO]]</f>
        <v>1.62</v>
      </c>
    </row>
    <row r="489" spans="1:8">
      <c r="A489" t="s">
        <v>3300</v>
      </c>
      <c r="B489" t="s">
        <v>2861</v>
      </c>
      <c r="C489" t="s">
        <v>2862</v>
      </c>
      <c r="D489" t="s">
        <v>223</v>
      </c>
      <c r="E489" t="s">
        <v>86</v>
      </c>
      <c r="F489" s="2">
        <v>27.007999999999999</v>
      </c>
      <c r="G489">
        <v>4</v>
      </c>
      <c r="H489" s="2">
        <f>Tabla_Items_Inactivos[[#This Row],[EXISTENCIA]]*Tabla_Items_Inactivos[[#This Row],[COSTO]]</f>
        <v>108.032</v>
      </c>
    </row>
    <row r="490" spans="1:8">
      <c r="A490" t="s">
        <v>3300</v>
      </c>
      <c r="B490" t="s">
        <v>3732</v>
      </c>
      <c r="C490" t="s">
        <v>3733</v>
      </c>
      <c r="D490" t="s">
        <v>219</v>
      </c>
      <c r="E490" t="s">
        <v>86</v>
      </c>
      <c r="F490" s="2">
        <v>57.62</v>
      </c>
      <c r="G490">
        <v>1</v>
      </c>
      <c r="H490" s="2">
        <f>Tabla_Items_Inactivos[[#This Row],[EXISTENCIA]]*Tabla_Items_Inactivos[[#This Row],[COSTO]]</f>
        <v>57.62</v>
      </c>
    </row>
    <row r="491" spans="1:8">
      <c r="A491" t="s">
        <v>3300</v>
      </c>
      <c r="B491" t="s">
        <v>3734</v>
      </c>
      <c r="C491" t="s">
        <v>3735</v>
      </c>
      <c r="D491" t="s">
        <v>219</v>
      </c>
      <c r="E491" t="s">
        <v>86</v>
      </c>
      <c r="F491" s="2">
        <v>43.23</v>
      </c>
      <c r="G491">
        <v>1</v>
      </c>
      <c r="H491" s="2">
        <f>Tabla_Items_Inactivos[[#This Row],[EXISTENCIA]]*Tabla_Items_Inactivos[[#This Row],[COSTO]]</f>
        <v>43.23</v>
      </c>
    </row>
    <row r="492" spans="1:8">
      <c r="A492" t="s">
        <v>3300</v>
      </c>
      <c r="B492" t="s">
        <v>3736</v>
      </c>
      <c r="C492" t="s">
        <v>3737</v>
      </c>
      <c r="D492" t="s">
        <v>436</v>
      </c>
      <c r="E492" t="s">
        <v>86</v>
      </c>
      <c r="F492" s="2">
        <v>16.52</v>
      </c>
      <c r="G492">
        <v>2</v>
      </c>
      <c r="H492" s="2">
        <f>Tabla_Items_Inactivos[[#This Row],[EXISTENCIA]]*Tabla_Items_Inactivos[[#This Row],[COSTO]]</f>
        <v>33.04</v>
      </c>
    </row>
    <row r="493" spans="1:8">
      <c r="A493" t="s">
        <v>3300</v>
      </c>
      <c r="B493" t="s">
        <v>2863</v>
      </c>
      <c r="C493" t="s">
        <v>2864</v>
      </c>
      <c r="D493" t="s">
        <v>85</v>
      </c>
      <c r="E493" t="s">
        <v>86</v>
      </c>
      <c r="F493" s="2">
        <v>29.588999999999999</v>
      </c>
      <c r="G493">
        <v>8</v>
      </c>
      <c r="H493" s="2">
        <f>Tabla_Items_Inactivos[[#This Row],[EXISTENCIA]]*Tabla_Items_Inactivos[[#This Row],[COSTO]]</f>
        <v>236.71199999999999</v>
      </c>
    </row>
    <row r="494" spans="1:8">
      <c r="A494" t="s">
        <v>3300</v>
      </c>
      <c r="B494" t="s">
        <v>3738</v>
      </c>
      <c r="C494" t="s">
        <v>3739</v>
      </c>
      <c r="D494" t="s">
        <v>85</v>
      </c>
      <c r="E494" t="s">
        <v>86</v>
      </c>
      <c r="F494" s="2">
        <v>12.37</v>
      </c>
      <c r="G494">
        <v>8</v>
      </c>
      <c r="H494" s="2">
        <f>Tabla_Items_Inactivos[[#This Row],[EXISTENCIA]]*Tabla_Items_Inactivos[[#This Row],[COSTO]]</f>
        <v>98.96</v>
      </c>
    </row>
    <row r="495" spans="1:8">
      <c r="A495" t="s">
        <v>3300</v>
      </c>
      <c r="B495" t="s">
        <v>244</v>
      </c>
      <c r="C495" t="s">
        <v>245</v>
      </c>
      <c r="D495" t="s">
        <v>223</v>
      </c>
      <c r="E495" t="s">
        <v>86</v>
      </c>
      <c r="F495" s="2">
        <v>4.18</v>
      </c>
      <c r="G495">
        <v>2</v>
      </c>
      <c r="H495" s="2">
        <f>Tabla_Items_Inactivos[[#This Row],[EXISTENCIA]]*Tabla_Items_Inactivos[[#This Row],[COSTO]]</f>
        <v>8.36</v>
      </c>
    </row>
    <row r="496" spans="1:8">
      <c r="A496" t="s">
        <v>3300</v>
      </c>
      <c r="B496" t="s">
        <v>3740</v>
      </c>
      <c r="C496" t="s">
        <v>3741</v>
      </c>
      <c r="D496" t="s">
        <v>436</v>
      </c>
      <c r="E496" t="s">
        <v>86</v>
      </c>
      <c r="F496" s="2">
        <v>4.93</v>
      </c>
      <c r="G496">
        <v>2</v>
      </c>
      <c r="H496" s="2">
        <f>Tabla_Items_Inactivos[[#This Row],[EXISTENCIA]]*Tabla_Items_Inactivos[[#This Row],[COSTO]]</f>
        <v>9.86</v>
      </c>
    </row>
    <row r="497" spans="1:8">
      <c r="A497" t="s">
        <v>3300</v>
      </c>
      <c r="B497" t="s">
        <v>3742</v>
      </c>
      <c r="C497" t="s">
        <v>3743</v>
      </c>
      <c r="D497" t="s">
        <v>85</v>
      </c>
      <c r="E497" t="s">
        <v>86</v>
      </c>
      <c r="F497" s="2">
        <v>2.8068</v>
      </c>
      <c r="G497">
        <v>13</v>
      </c>
      <c r="H497" s="2">
        <f>Tabla_Items_Inactivos[[#This Row],[EXISTENCIA]]*Tabla_Items_Inactivos[[#This Row],[COSTO]]</f>
        <v>36.488399999999999</v>
      </c>
    </row>
    <row r="498" spans="1:8">
      <c r="A498" t="s">
        <v>3300</v>
      </c>
      <c r="B498" t="s">
        <v>2865</v>
      </c>
      <c r="C498" t="s">
        <v>2866</v>
      </c>
      <c r="D498" t="s">
        <v>219</v>
      </c>
      <c r="E498" t="s">
        <v>86</v>
      </c>
      <c r="F498" s="2">
        <v>6.7720000000000002</v>
      </c>
      <c r="G498">
        <v>7</v>
      </c>
      <c r="H498" s="2">
        <f>Tabla_Items_Inactivos[[#This Row],[EXISTENCIA]]*Tabla_Items_Inactivos[[#This Row],[COSTO]]</f>
        <v>47.404000000000003</v>
      </c>
    </row>
    <row r="499" spans="1:8">
      <c r="A499" t="s">
        <v>3301</v>
      </c>
      <c r="B499" t="s">
        <v>2865</v>
      </c>
      <c r="C499" t="s">
        <v>2866</v>
      </c>
      <c r="D499" t="s">
        <v>219</v>
      </c>
      <c r="E499" t="s">
        <v>86</v>
      </c>
      <c r="F499" s="2">
        <v>6.7720000000000002</v>
      </c>
      <c r="G499">
        <v>7</v>
      </c>
      <c r="H499" s="2">
        <f>Tabla_Items_Inactivos[[#This Row],[EXISTENCIA]]*Tabla_Items_Inactivos[[#This Row],[COSTO]]</f>
        <v>47.404000000000003</v>
      </c>
    </row>
    <row r="500" spans="1:8">
      <c r="A500" t="s">
        <v>3300</v>
      </c>
      <c r="B500" t="s">
        <v>3744</v>
      </c>
      <c r="C500" t="s">
        <v>3745</v>
      </c>
      <c r="D500" t="s">
        <v>219</v>
      </c>
      <c r="E500" t="s">
        <v>86</v>
      </c>
      <c r="F500" s="2">
        <v>7.46</v>
      </c>
      <c r="G500">
        <v>4</v>
      </c>
      <c r="H500" s="2">
        <f>Tabla_Items_Inactivos[[#This Row],[EXISTENCIA]]*Tabla_Items_Inactivos[[#This Row],[COSTO]]</f>
        <v>29.84</v>
      </c>
    </row>
    <row r="501" spans="1:8">
      <c r="A501" t="s">
        <v>3300</v>
      </c>
      <c r="B501" t="s">
        <v>246</v>
      </c>
      <c r="C501" t="s">
        <v>247</v>
      </c>
      <c r="D501" t="s">
        <v>219</v>
      </c>
      <c r="E501" t="s">
        <v>86</v>
      </c>
      <c r="F501" s="2">
        <v>5.42</v>
      </c>
      <c r="G501">
        <v>3</v>
      </c>
      <c r="H501" s="2">
        <f>Tabla_Items_Inactivos[[#This Row],[EXISTENCIA]]*Tabla_Items_Inactivos[[#This Row],[COSTO]]</f>
        <v>16.259999999999998</v>
      </c>
    </row>
    <row r="502" spans="1:8">
      <c r="A502" t="s">
        <v>3300</v>
      </c>
      <c r="B502" t="s">
        <v>2867</v>
      </c>
      <c r="C502" t="s">
        <v>2868</v>
      </c>
      <c r="D502" t="s">
        <v>219</v>
      </c>
      <c r="E502" t="s">
        <v>86</v>
      </c>
      <c r="F502" s="2">
        <v>3.2513000000000001</v>
      </c>
      <c r="G502">
        <v>13</v>
      </c>
      <c r="H502" s="2">
        <f>Tabla_Items_Inactivos[[#This Row],[EXISTENCIA]]*Tabla_Items_Inactivos[[#This Row],[COSTO]]</f>
        <v>42.2669</v>
      </c>
    </row>
    <row r="503" spans="1:8">
      <c r="A503" t="s">
        <v>3300</v>
      </c>
      <c r="B503" t="s">
        <v>3746</v>
      </c>
      <c r="C503" t="s">
        <v>3747</v>
      </c>
      <c r="D503" t="s">
        <v>219</v>
      </c>
      <c r="E503" t="s">
        <v>86</v>
      </c>
      <c r="F503" s="2">
        <v>2.1579999999999999</v>
      </c>
      <c r="G503">
        <v>5</v>
      </c>
      <c r="H503" s="2">
        <f>Tabla_Items_Inactivos[[#This Row],[EXISTENCIA]]*Tabla_Items_Inactivos[[#This Row],[COSTO]]</f>
        <v>10.79</v>
      </c>
    </row>
    <row r="504" spans="1:8">
      <c r="A504" t="s">
        <v>3300</v>
      </c>
      <c r="B504" t="s">
        <v>3748</v>
      </c>
      <c r="C504" t="s">
        <v>3749</v>
      </c>
      <c r="D504" t="s">
        <v>223</v>
      </c>
      <c r="E504" t="s">
        <v>86</v>
      </c>
      <c r="F504" s="2">
        <v>2.7602000000000002</v>
      </c>
      <c r="G504">
        <v>3</v>
      </c>
      <c r="H504" s="2">
        <f>Tabla_Items_Inactivos[[#This Row],[EXISTENCIA]]*Tabla_Items_Inactivos[[#This Row],[COSTO]]</f>
        <v>8.2805999999999997</v>
      </c>
    </row>
    <row r="505" spans="1:8">
      <c r="A505" t="s">
        <v>3300</v>
      </c>
      <c r="B505" t="s">
        <v>3750</v>
      </c>
      <c r="C505" t="s">
        <v>3751</v>
      </c>
      <c r="D505" t="s">
        <v>98</v>
      </c>
      <c r="E505" t="s">
        <v>86</v>
      </c>
      <c r="F505" s="2">
        <v>3.3264</v>
      </c>
      <c r="G505">
        <v>13</v>
      </c>
      <c r="H505" s="2">
        <f>Tabla_Items_Inactivos[[#This Row],[EXISTENCIA]]*Tabla_Items_Inactivos[[#This Row],[COSTO]]</f>
        <v>43.243200000000002</v>
      </c>
    </row>
    <row r="506" spans="1:8">
      <c r="A506" t="s">
        <v>3300</v>
      </c>
      <c r="B506" t="s">
        <v>3752</v>
      </c>
      <c r="C506" t="s">
        <v>3753</v>
      </c>
      <c r="D506" t="s">
        <v>85</v>
      </c>
      <c r="E506" t="s">
        <v>86</v>
      </c>
      <c r="F506" s="2">
        <v>3.6831</v>
      </c>
      <c r="G506">
        <v>63</v>
      </c>
      <c r="H506" s="2">
        <f>Tabla_Items_Inactivos[[#This Row],[EXISTENCIA]]*Tabla_Items_Inactivos[[#This Row],[COSTO]]</f>
        <v>232.03530000000001</v>
      </c>
    </row>
    <row r="507" spans="1:8">
      <c r="A507" t="s">
        <v>3301</v>
      </c>
      <c r="B507" t="s">
        <v>3752</v>
      </c>
      <c r="C507" t="s">
        <v>3753</v>
      </c>
      <c r="D507" t="s">
        <v>85</v>
      </c>
      <c r="E507" t="s">
        <v>86</v>
      </c>
      <c r="F507" s="2">
        <v>3.6831</v>
      </c>
      <c r="G507">
        <v>63</v>
      </c>
      <c r="H507" s="2">
        <f>Tabla_Items_Inactivos[[#This Row],[EXISTENCIA]]*Tabla_Items_Inactivos[[#This Row],[COSTO]]</f>
        <v>232.03530000000001</v>
      </c>
    </row>
    <row r="508" spans="1:8">
      <c r="A508" t="s">
        <v>3300</v>
      </c>
      <c r="B508" t="s">
        <v>3754</v>
      </c>
      <c r="C508" t="s">
        <v>3755</v>
      </c>
      <c r="D508" t="s">
        <v>243</v>
      </c>
      <c r="E508" t="s">
        <v>86</v>
      </c>
      <c r="F508" s="2">
        <v>2.1011000000000002</v>
      </c>
      <c r="G508">
        <v>10</v>
      </c>
      <c r="H508" s="2">
        <f>Tabla_Items_Inactivos[[#This Row],[EXISTENCIA]]*Tabla_Items_Inactivos[[#This Row],[COSTO]]</f>
        <v>21.011000000000003</v>
      </c>
    </row>
    <row r="509" spans="1:8">
      <c r="A509" t="s">
        <v>3301</v>
      </c>
      <c r="B509" t="s">
        <v>3754</v>
      </c>
      <c r="C509" t="s">
        <v>3755</v>
      </c>
      <c r="D509" t="s">
        <v>243</v>
      </c>
      <c r="E509" t="s">
        <v>86</v>
      </c>
      <c r="F509" s="2">
        <v>2.1011000000000002</v>
      </c>
      <c r="G509">
        <v>10</v>
      </c>
      <c r="H509" s="2">
        <f>Tabla_Items_Inactivos[[#This Row],[EXISTENCIA]]*Tabla_Items_Inactivos[[#This Row],[COSTO]]</f>
        <v>21.011000000000003</v>
      </c>
    </row>
    <row r="510" spans="1:8">
      <c r="A510" t="s">
        <v>3300</v>
      </c>
      <c r="B510" t="s">
        <v>3756</v>
      </c>
      <c r="C510" t="s">
        <v>3757</v>
      </c>
      <c r="D510" t="s">
        <v>219</v>
      </c>
      <c r="E510" t="s">
        <v>86</v>
      </c>
      <c r="F510" s="2">
        <v>4.133</v>
      </c>
      <c r="G510">
        <v>7</v>
      </c>
      <c r="H510" s="2">
        <f>Tabla_Items_Inactivos[[#This Row],[EXISTENCIA]]*Tabla_Items_Inactivos[[#This Row],[COSTO]]</f>
        <v>28.931000000000001</v>
      </c>
    </row>
    <row r="511" spans="1:8">
      <c r="A511" t="s">
        <v>3300</v>
      </c>
      <c r="B511" t="s">
        <v>3758</v>
      </c>
      <c r="C511" t="s">
        <v>3759</v>
      </c>
      <c r="D511" t="s">
        <v>219</v>
      </c>
      <c r="E511" t="s">
        <v>86</v>
      </c>
      <c r="F511" s="2">
        <v>1.746</v>
      </c>
      <c r="G511">
        <v>8</v>
      </c>
      <c r="H511" s="2">
        <f>Tabla_Items_Inactivos[[#This Row],[EXISTENCIA]]*Tabla_Items_Inactivos[[#This Row],[COSTO]]</f>
        <v>13.968</v>
      </c>
    </row>
    <row r="512" spans="1:8">
      <c r="A512" t="s">
        <v>3301</v>
      </c>
      <c r="B512" t="s">
        <v>3758</v>
      </c>
      <c r="C512" t="s">
        <v>3759</v>
      </c>
      <c r="D512" t="s">
        <v>219</v>
      </c>
      <c r="E512" t="s">
        <v>86</v>
      </c>
      <c r="F512" s="2">
        <v>1.746</v>
      </c>
      <c r="G512">
        <v>8</v>
      </c>
      <c r="H512" s="2">
        <f>Tabla_Items_Inactivos[[#This Row],[EXISTENCIA]]*Tabla_Items_Inactivos[[#This Row],[COSTO]]</f>
        <v>13.968</v>
      </c>
    </row>
    <row r="513" spans="1:8">
      <c r="A513" t="s">
        <v>3300</v>
      </c>
      <c r="B513" t="s">
        <v>3760</v>
      </c>
      <c r="C513" t="s">
        <v>3761</v>
      </c>
      <c r="D513" t="s">
        <v>219</v>
      </c>
      <c r="E513" t="s">
        <v>86</v>
      </c>
      <c r="F513" s="2">
        <v>1.5</v>
      </c>
      <c r="G513">
        <v>6</v>
      </c>
      <c r="H513" s="2">
        <f>Tabla_Items_Inactivos[[#This Row],[EXISTENCIA]]*Tabla_Items_Inactivos[[#This Row],[COSTO]]</f>
        <v>9</v>
      </c>
    </row>
    <row r="514" spans="1:8">
      <c r="A514" t="s">
        <v>3300</v>
      </c>
      <c r="B514" t="s">
        <v>3762</v>
      </c>
      <c r="C514" t="s">
        <v>3763</v>
      </c>
      <c r="D514" t="s">
        <v>436</v>
      </c>
      <c r="E514" t="s">
        <v>86</v>
      </c>
      <c r="F514" s="2">
        <v>0.63</v>
      </c>
      <c r="G514">
        <v>5</v>
      </c>
      <c r="H514" s="2">
        <f>Tabla_Items_Inactivos[[#This Row],[EXISTENCIA]]*Tabla_Items_Inactivos[[#This Row],[COSTO]]</f>
        <v>3.15</v>
      </c>
    </row>
    <row r="515" spans="1:8">
      <c r="A515" t="s">
        <v>3300</v>
      </c>
      <c r="B515" t="s">
        <v>2869</v>
      </c>
      <c r="C515" t="s">
        <v>2870</v>
      </c>
      <c r="D515" t="s">
        <v>219</v>
      </c>
      <c r="E515" t="s">
        <v>86</v>
      </c>
      <c r="F515" s="2">
        <v>6.7492000000000001</v>
      </c>
      <c r="G515">
        <v>18</v>
      </c>
      <c r="H515" s="2">
        <f>Tabla_Items_Inactivos[[#This Row],[EXISTENCIA]]*Tabla_Items_Inactivos[[#This Row],[COSTO]]</f>
        <v>121.48560000000001</v>
      </c>
    </row>
    <row r="516" spans="1:8">
      <c r="A516" t="s">
        <v>3301</v>
      </c>
      <c r="B516" t="s">
        <v>2869</v>
      </c>
      <c r="C516" t="s">
        <v>2870</v>
      </c>
      <c r="D516" t="s">
        <v>219</v>
      </c>
      <c r="E516" t="s">
        <v>86</v>
      </c>
      <c r="F516" s="2">
        <v>6.7492000000000001</v>
      </c>
      <c r="G516">
        <v>18</v>
      </c>
      <c r="H516" s="2">
        <f>Tabla_Items_Inactivos[[#This Row],[EXISTENCIA]]*Tabla_Items_Inactivos[[#This Row],[COSTO]]</f>
        <v>121.48560000000001</v>
      </c>
    </row>
    <row r="517" spans="1:8">
      <c r="A517" t="s">
        <v>3300</v>
      </c>
      <c r="B517" t="s">
        <v>2871</v>
      </c>
      <c r="C517" t="s">
        <v>3764</v>
      </c>
      <c r="D517" t="s">
        <v>85</v>
      </c>
      <c r="E517" t="s">
        <v>86</v>
      </c>
      <c r="F517" s="2">
        <v>4.1496000000000004</v>
      </c>
      <c r="G517">
        <v>66</v>
      </c>
      <c r="H517" s="2">
        <f>Tabla_Items_Inactivos[[#This Row],[EXISTENCIA]]*Tabla_Items_Inactivos[[#This Row],[COSTO]]</f>
        <v>273.87360000000001</v>
      </c>
    </row>
    <row r="518" spans="1:8">
      <c r="A518" t="s">
        <v>3300</v>
      </c>
      <c r="B518" t="s">
        <v>3765</v>
      </c>
      <c r="C518" t="s">
        <v>3766</v>
      </c>
      <c r="D518" t="s">
        <v>219</v>
      </c>
      <c r="E518" t="s">
        <v>86</v>
      </c>
      <c r="F518" s="2">
        <v>4.5999999999999996</v>
      </c>
      <c r="G518">
        <v>3</v>
      </c>
      <c r="H518" s="2">
        <f>Tabla_Items_Inactivos[[#This Row],[EXISTENCIA]]*Tabla_Items_Inactivos[[#This Row],[COSTO]]</f>
        <v>13.799999999999999</v>
      </c>
    </row>
    <row r="519" spans="1:8">
      <c r="A519" t="s">
        <v>3300</v>
      </c>
      <c r="B519" t="s">
        <v>3767</v>
      </c>
      <c r="C519" t="s">
        <v>3768</v>
      </c>
      <c r="D519" t="s">
        <v>219</v>
      </c>
      <c r="E519" t="s">
        <v>86</v>
      </c>
      <c r="F519" s="2">
        <v>2.5299999999999998</v>
      </c>
      <c r="G519">
        <v>2</v>
      </c>
      <c r="H519" s="2">
        <f>Tabla_Items_Inactivos[[#This Row],[EXISTENCIA]]*Tabla_Items_Inactivos[[#This Row],[COSTO]]</f>
        <v>5.0599999999999996</v>
      </c>
    </row>
    <row r="520" spans="1:8">
      <c r="A520" t="s">
        <v>3301</v>
      </c>
      <c r="B520" t="s">
        <v>2872</v>
      </c>
      <c r="C520" t="s">
        <v>3769</v>
      </c>
      <c r="D520" t="s">
        <v>98</v>
      </c>
      <c r="E520" t="s">
        <v>86</v>
      </c>
      <c r="F520" s="2">
        <v>3.8134000000000001</v>
      </c>
      <c r="G520">
        <v>138</v>
      </c>
      <c r="H520" s="2">
        <f>Tabla_Items_Inactivos[[#This Row],[EXISTENCIA]]*Tabla_Items_Inactivos[[#This Row],[COSTO]]</f>
        <v>526.24919999999997</v>
      </c>
    </row>
    <row r="521" spans="1:8">
      <c r="A521" t="s">
        <v>3300</v>
      </c>
      <c r="B521" t="s">
        <v>2872</v>
      </c>
      <c r="C521" t="s">
        <v>3769</v>
      </c>
      <c r="D521" t="s">
        <v>98</v>
      </c>
      <c r="E521" t="s">
        <v>86</v>
      </c>
      <c r="F521" s="2">
        <v>3.8134000000000001</v>
      </c>
      <c r="G521">
        <v>138</v>
      </c>
      <c r="H521" s="2">
        <f>Tabla_Items_Inactivos[[#This Row],[EXISTENCIA]]*Tabla_Items_Inactivos[[#This Row],[COSTO]]</f>
        <v>526.24919999999997</v>
      </c>
    </row>
    <row r="522" spans="1:8">
      <c r="A522" t="s">
        <v>3300</v>
      </c>
      <c r="B522" t="s">
        <v>3770</v>
      </c>
      <c r="C522" t="s">
        <v>3771</v>
      </c>
      <c r="D522" t="s">
        <v>219</v>
      </c>
      <c r="E522" t="s">
        <v>86</v>
      </c>
      <c r="F522" s="2">
        <v>3.1</v>
      </c>
      <c r="G522">
        <v>2</v>
      </c>
      <c r="H522" s="2">
        <f>Tabla_Items_Inactivos[[#This Row],[EXISTENCIA]]*Tabla_Items_Inactivos[[#This Row],[COSTO]]</f>
        <v>6.2</v>
      </c>
    </row>
    <row r="523" spans="1:8">
      <c r="A523" t="s">
        <v>3300</v>
      </c>
      <c r="B523" t="s">
        <v>3772</v>
      </c>
      <c r="C523" t="s">
        <v>3773</v>
      </c>
      <c r="D523" t="s">
        <v>219</v>
      </c>
      <c r="E523" t="s">
        <v>86</v>
      </c>
      <c r="F523" s="2">
        <v>0.98299999999999998</v>
      </c>
      <c r="G523">
        <v>3</v>
      </c>
      <c r="H523" s="2">
        <f>Tabla_Items_Inactivos[[#This Row],[EXISTENCIA]]*Tabla_Items_Inactivos[[#This Row],[COSTO]]</f>
        <v>2.9489999999999998</v>
      </c>
    </row>
    <row r="524" spans="1:8">
      <c r="A524" t="s">
        <v>3300</v>
      </c>
      <c r="B524" t="s">
        <v>3774</v>
      </c>
      <c r="C524" t="s">
        <v>3775</v>
      </c>
      <c r="D524" t="s">
        <v>219</v>
      </c>
      <c r="E524" t="s">
        <v>86</v>
      </c>
      <c r="F524" s="2">
        <v>0.88300000000000001</v>
      </c>
      <c r="G524">
        <v>3</v>
      </c>
      <c r="H524" s="2">
        <f>Tabla_Items_Inactivos[[#This Row],[EXISTENCIA]]*Tabla_Items_Inactivos[[#This Row],[COSTO]]</f>
        <v>2.649</v>
      </c>
    </row>
    <row r="525" spans="1:8">
      <c r="A525" t="s">
        <v>3300</v>
      </c>
      <c r="B525" t="s">
        <v>248</v>
      </c>
      <c r="C525" t="s">
        <v>249</v>
      </c>
      <c r="D525" t="s">
        <v>219</v>
      </c>
      <c r="E525" t="s">
        <v>86</v>
      </c>
      <c r="F525" s="2">
        <v>1.56</v>
      </c>
      <c r="G525">
        <v>31</v>
      </c>
      <c r="H525" s="2">
        <f>Tabla_Items_Inactivos[[#This Row],[EXISTENCIA]]*Tabla_Items_Inactivos[[#This Row],[COSTO]]</f>
        <v>48.36</v>
      </c>
    </row>
    <row r="526" spans="1:8">
      <c r="A526" t="s">
        <v>3300</v>
      </c>
      <c r="B526" t="s">
        <v>250</v>
      </c>
      <c r="C526" t="s">
        <v>251</v>
      </c>
      <c r="D526" t="s">
        <v>243</v>
      </c>
      <c r="E526" t="s">
        <v>86</v>
      </c>
      <c r="F526" s="2">
        <v>2.0289999999999999</v>
      </c>
      <c r="G526">
        <v>20</v>
      </c>
      <c r="H526" s="2">
        <f>Tabla_Items_Inactivos[[#This Row],[EXISTENCIA]]*Tabla_Items_Inactivos[[#This Row],[COSTO]]</f>
        <v>40.58</v>
      </c>
    </row>
    <row r="527" spans="1:8">
      <c r="A527" t="s">
        <v>3300</v>
      </c>
      <c r="B527" t="s">
        <v>2873</v>
      </c>
      <c r="C527" t="s">
        <v>2874</v>
      </c>
      <c r="D527" t="s">
        <v>85</v>
      </c>
      <c r="E527" t="s">
        <v>86</v>
      </c>
      <c r="F527" s="2">
        <v>1.9359999999999999</v>
      </c>
      <c r="G527">
        <v>10</v>
      </c>
      <c r="H527" s="2">
        <f>Tabla_Items_Inactivos[[#This Row],[EXISTENCIA]]*Tabla_Items_Inactivos[[#This Row],[COSTO]]</f>
        <v>19.36</v>
      </c>
    </row>
    <row r="528" spans="1:8">
      <c r="A528" t="s">
        <v>3300</v>
      </c>
      <c r="B528" t="s">
        <v>3776</v>
      </c>
      <c r="C528" t="s">
        <v>3777</v>
      </c>
      <c r="D528" t="s">
        <v>98</v>
      </c>
      <c r="E528" t="s">
        <v>86</v>
      </c>
      <c r="F528" s="2">
        <v>1.4126000000000001</v>
      </c>
      <c r="G528">
        <v>9</v>
      </c>
      <c r="H528" s="2">
        <f>Tabla_Items_Inactivos[[#This Row],[EXISTENCIA]]*Tabla_Items_Inactivos[[#This Row],[COSTO]]</f>
        <v>12.7134</v>
      </c>
    </row>
    <row r="529" spans="1:8">
      <c r="A529" t="s">
        <v>3301</v>
      </c>
      <c r="B529" t="s">
        <v>3776</v>
      </c>
      <c r="C529" t="s">
        <v>3777</v>
      </c>
      <c r="D529" t="s">
        <v>98</v>
      </c>
      <c r="E529" t="s">
        <v>86</v>
      </c>
      <c r="F529" s="2">
        <v>1.4126000000000001</v>
      </c>
      <c r="G529">
        <v>9</v>
      </c>
      <c r="H529" s="2">
        <f>Tabla_Items_Inactivos[[#This Row],[EXISTENCIA]]*Tabla_Items_Inactivos[[#This Row],[COSTO]]</f>
        <v>12.7134</v>
      </c>
    </row>
    <row r="530" spans="1:8">
      <c r="A530" t="s">
        <v>3300</v>
      </c>
      <c r="B530" t="s">
        <v>3778</v>
      </c>
      <c r="C530" t="s">
        <v>3779</v>
      </c>
      <c r="D530" t="s">
        <v>219</v>
      </c>
      <c r="E530" t="s">
        <v>86</v>
      </c>
      <c r="F530" s="2">
        <v>0.89</v>
      </c>
      <c r="G530">
        <v>6</v>
      </c>
      <c r="H530" s="2">
        <f>Tabla_Items_Inactivos[[#This Row],[EXISTENCIA]]*Tabla_Items_Inactivos[[#This Row],[COSTO]]</f>
        <v>5.34</v>
      </c>
    </row>
    <row r="531" spans="1:8">
      <c r="A531" t="s">
        <v>3300</v>
      </c>
      <c r="B531" t="s">
        <v>3780</v>
      </c>
      <c r="C531" t="s">
        <v>3781</v>
      </c>
      <c r="D531" t="s">
        <v>219</v>
      </c>
      <c r="E531" t="s">
        <v>86</v>
      </c>
      <c r="F531" s="2">
        <v>0.56999999999999995</v>
      </c>
      <c r="G531">
        <v>6</v>
      </c>
      <c r="H531" s="2">
        <f>Tabla_Items_Inactivos[[#This Row],[EXISTENCIA]]*Tabla_Items_Inactivos[[#This Row],[COSTO]]</f>
        <v>3.42</v>
      </c>
    </row>
    <row r="532" spans="1:8">
      <c r="A532" t="s">
        <v>3300</v>
      </c>
      <c r="B532" t="s">
        <v>3782</v>
      </c>
      <c r="C532" t="s">
        <v>3783</v>
      </c>
      <c r="D532" t="s">
        <v>85</v>
      </c>
      <c r="E532" t="s">
        <v>86</v>
      </c>
      <c r="F532" s="2">
        <v>0.58960000000000001</v>
      </c>
      <c r="G532">
        <v>14</v>
      </c>
      <c r="H532" s="2">
        <f>Tabla_Items_Inactivos[[#This Row],[EXISTENCIA]]*Tabla_Items_Inactivos[[#This Row],[COSTO]]</f>
        <v>8.2544000000000004</v>
      </c>
    </row>
    <row r="533" spans="1:8">
      <c r="A533" t="s">
        <v>3300</v>
      </c>
      <c r="B533" t="s">
        <v>3784</v>
      </c>
      <c r="C533" t="s">
        <v>3785</v>
      </c>
      <c r="D533" t="s">
        <v>219</v>
      </c>
      <c r="E533" t="s">
        <v>86</v>
      </c>
      <c r="F533" s="2">
        <v>1.7</v>
      </c>
      <c r="G533">
        <v>3</v>
      </c>
      <c r="H533" s="2">
        <f>Tabla_Items_Inactivos[[#This Row],[EXISTENCIA]]*Tabla_Items_Inactivos[[#This Row],[COSTO]]</f>
        <v>5.0999999999999996</v>
      </c>
    </row>
    <row r="534" spans="1:8">
      <c r="A534" t="s">
        <v>3300</v>
      </c>
      <c r="B534" t="s">
        <v>3786</v>
      </c>
      <c r="C534" t="s">
        <v>3787</v>
      </c>
      <c r="D534" t="s">
        <v>219</v>
      </c>
      <c r="E534" t="s">
        <v>86</v>
      </c>
      <c r="F534" s="2">
        <v>2.0299999999999998</v>
      </c>
      <c r="G534">
        <v>4</v>
      </c>
      <c r="H534" s="2">
        <f>Tabla_Items_Inactivos[[#This Row],[EXISTENCIA]]*Tabla_Items_Inactivos[[#This Row],[COSTO]]</f>
        <v>8.1199999999999992</v>
      </c>
    </row>
    <row r="535" spans="1:8">
      <c r="A535" t="s">
        <v>3300</v>
      </c>
      <c r="B535" t="s">
        <v>2875</v>
      </c>
      <c r="C535" t="s">
        <v>3788</v>
      </c>
      <c r="D535" t="s">
        <v>85</v>
      </c>
      <c r="E535" t="s">
        <v>86</v>
      </c>
      <c r="F535" s="2">
        <v>3.1991000000000001</v>
      </c>
      <c r="G535">
        <v>41</v>
      </c>
      <c r="H535" s="2">
        <f>Tabla_Items_Inactivos[[#This Row],[EXISTENCIA]]*Tabla_Items_Inactivos[[#This Row],[COSTO]]</f>
        <v>131.16310000000001</v>
      </c>
    </row>
    <row r="536" spans="1:8">
      <c r="A536" t="s">
        <v>3300</v>
      </c>
      <c r="B536" t="s">
        <v>3789</v>
      </c>
      <c r="C536" t="s">
        <v>3790</v>
      </c>
      <c r="D536" t="s">
        <v>219</v>
      </c>
      <c r="E536" t="s">
        <v>86</v>
      </c>
      <c r="F536" s="2">
        <v>2.7795000000000001</v>
      </c>
      <c r="G536">
        <v>8</v>
      </c>
      <c r="H536" s="2">
        <f>Tabla_Items_Inactivos[[#This Row],[EXISTENCIA]]*Tabla_Items_Inactivos[[#This Row],[COSTO]]</f>
        <v>22.236000000000001</v>
      </c>
    </row>
    <row r="537" spans="1:8">
      <c r="A537" t="s">
        <v>3300</v>
      </c>
      <c r="B537" t="s">
        <v>3791</v>
      </c>
      <c r="C537" t="s">
        <v>3792</v>
      </c>
      <c r="D537" t="s">
        <v>436</v>
      </c>
      <c r="E537" t="s">
        <v>86</v>
      </c>
      <c r="F537" s="2">
        <v>5.1100000000000003</v>
      </c>
      <c r="G537">
        <v>4</v>
      </c>
      <c r="H537" s="2">
        <f>Tabla_Items_Inactivos[[#This Row],[EXISTENCIA]]*Tabla_Items_Inactivos[[#This Row],[COSTO]]</f>
        <v>20.440000000000001</v>
      </c>
    </row>
    <row r="538" spans="1:8">
      <c r="A538" t="s">
        <v>3300</v>
      </c>
      <c r="B538" t="s">
        <v>2876</v>
      </c>
      <c r="C538" t="s">
        <v>2877</v>
      </c>
      <c r="D538" t="s">
        <v>85</v>
      </c>
      <c r="E538" t="s">
        <v>86</v>
      </c>
      <c r="F538" s="2">
        <v>3.0960000000000001</v>
      </c>
      <c r="G538">
        <v>9</v>
      </c>
      <c r="H538" s="2">
        <f>Tabla_Items_Inactivos[[#This Row],[EXISTENCIA]]*Tabla_Items_Inactivos[[#This Row],[COSTO]]</f>
        <v>27.864000000000001</v>
      </c>
    </row>
    <row r="539" spans="1:8">
      <c r="A539" t="s">
        <v>3300</v>
      </c>
      <c r="B539" t="s">
        <v>3793</v>
      </c>
      <c r="C539" t="s">
        <v>3794</v>
      </c>
      <c r="D539" t="s">
        <v>85</v>
      </c>
      <c r="E539" t="s">
        <v>86</v>
      </c>
      <c r="F539" s="2">
        <v>1.38</v>
      </c>
      <c r="G539">
        <v>10</v>
      </c>
      <c r="H539" s="2">
        <f>Tabla_Items_Inactivos[[#This Row],[EXISTENCIA]]*Tabla_Items_Inactivos[[#This Row],[COSTO]]</f>
        <v>13.799999999999999</v>
      </c>
    </row>
    <row r="540" spans="1:8">
      <c r="A540" t="s">
        <v>3300</v>
      </c>
      <c r="B540" t="s">
        <v>3795</v>
      </c>
      <c r="C540" t="s">
        <v>3796</v>
      </c>
      <c r="D540" t="s">
        <v>436</v>
      </c>
      <c r="E540" t="s">
        <v>86</v>
      </c>
      <c r="F540" s="2">
        <v>1.03</v>
      </c>
      <c r="G540">
        <v>2</v>
      </c>
      <c r="H540" s="2">
        <f>Tabla_Items_Inactivos[[#This Row],[EXISTENCIA]]*Tabla_Items_Inactivos[[#This Row],[COSTO]]</f>
        <v>2.06</v>
      </c>
    </row>
    <row r="541" spans="1:8">
      <c r="A541" t="s">
        <v>3300</v>
      </c>
      <c r="B541" t="s">
        <v>3797</v>
      </c>
      <c r="C541" t="s">
        <v>3798</v>
      </c>
      <c r="D541" t="s">
        <v>85</v>
      </c>
      <c r="E541" t="s">
        <v>86</v>
      </c>
      <c r="F541" s="2">
        <v>1.44</v>
      </c>
      <c r="G541">
        <v>10</v>
      </c>
      <c r="H541" s="2">
        <f>Tabla_Items_Inactivos[[#This Row],[EXISTENCIA]]*Tabla_Items_Inactivos[[#This Row],[COSTO]]</f>
        <v>14.399999999999999</v>
      </c>
    </row>
    <row r="542" spans="1:8">
      <c r="A542" t="s">
        <v>3300</v>
      </c>
      <c r="B542" t="s">
        <v>3799</v>
      </c>
      <c r="C542" t="s">
        <v>3800</v>
      </c>
      <c r="D542" t="s">
        <v>85</v>
      </c>
      <c r="E542" t="s">
        <v>86</v>
      </c>
      <c r="F542" s="2">
        <v>0.56999999999999995</v>
      </c>
      <c r="G542">
        <v>10</v>
      </c>
      <c r="H542" s="2">
        <f>Tabla_Items_Inactivos[[#This Row],[EXISTENCIA]]*Tabla_Items_Inactivos[[#This Row],[COSTO]]</f>
        <v>5.6999999999999993</v>
      </c>
    </row>
    <row r="543" spans="1:8">
      <c r="A543" t="s">
        <v>3300</v>
      </c>
      <c r="B543" t="s">
        <v>3801</v>
      </c>
      <c r="C543" t="s">
        <v>3802</v>
      </c>
      <c r="D543" t="s">
        <v>436</v>
      </c>
      <c r="E543" t="s">
        <v>86</v>
      </c>
      <c r="F543" s="2">
        <v>1.4</v>
      </c>
      <c r="G543">
        <v>2</v>
      </c>
      <c r="H543" s="2">
        <f>Tabla_Items_Inactivos[[#This Row],[EXISTENCIA]]*Tabla_Items_Inactivos[[#This Row],[COSTO]]</f>
        <v>2.8</v>
      </c>
    </row>
    <row r="544" spans="1:8">
      <c r="A544" t="s">
        <v>3300</v>
      </c>
      <c r="B544" t="s">
        <v>3803</v>
      </c>
      <c r="C544" t="s">
        <v>3804</v>
      </c>
      <c r="D544" t="s">
        <v>219</v>
      </c>
      <c r="E544" t="s">
        <v>86</v>
      </c>
      <c r="F544" s="2">
        <v>1.4</v>
      </c>
      <c r="G544">
        <v>5</v>
      </c>
      <c r="H544" s="2">
        <f>Tabla_Items_Inactivos[[#This Row],[EXISTENCIA]]*Tabla_Items_Inactivos[[#This Row],[COSTO]]</f>
        <v>7</v>
      </c>
    </row>
    <row r="545" spans="1:8">
      <c r="A545" t="s">
        <v>3300</v>
      </c>
      <c r="B545" t="s">
        <v>2878</v>
      </c>
      <c r="C545" t="s">
        <v>2879</v>
      </c>
      <c r="D545" t="s">
        <v>85</v>
      </c>
      <c r="E545" t="s">
        <v>86</v>
      </c>
      <c r="F545" s="2">
        <v>1.413</v>
      </c>
      <c r="G545">
        <v>11</v>
      </c>
      <c r="H545" s="2">
        <f>Tabla_Items_Inactivos[[#This Row],[EXISTENCIA]]*Tabla_Items_Inactivos[[#This Row],[COSTO]]</f>
        <v>15.543000000000001</v>
      </c>
    </row>
    <row r="546" spans="1:8">
      <c r="A546" t="s">
        <v>3300</v>
      </c>
      <c r="B546" t="s">
        <v>3805</v>
      </c>
      <c r="C546" t="s">
        <v>3806</v>
      </c>
      <c r="D546" t="s">
        <v>263</v>
      </c>
      <c r="E546" t="s">
        <v>86</v>
      </c>
      <c r="F546" s="2">
        <v>26.824999999999999</v>
      </c>
      <c r="G546">
        <v>2</v>
      </c>
      <c r="H546" s="2">
        <f>Tabla_Items_Inactivos[[#This Row],[EXISTENCIA]]*Tabla_Items_Inactivos[[#This Row],[COSTO]]</f>
        <v>53.65</v>
      </c>
    </row>
    <row r="547" spans="1:8">
      <c r="A547" t="s">
        <v>3300</v>
      </c>
      <c r="B547" t="s">
        <v>3807</v>
      </c>
      <c r="C547" t="s">
        <v>3808</v>
      </c>
      <c r="D547" t="s">
        <v>85</v>
      </c>
      <c r="E547" t="s">
        <v>86</v>
      </c>
      <c r="F547" s="2">
        <v>0.3</v>
      </c>
      <c r="G547">
        <v>10</v>
      </c>
      <c r="H547" s="2">
        <f>Tabla_Items_Inactivos[[#This Row],[EXISTENCIA]]*Tabla_Items_Inactivos[[#This Row],[COSTO]]</f>
        <v>3</v>
      </c>
    </row>
    <row r="548" spans="1:8">
      <c r="A548" t="s">
        <v>3300</v>
      </c>
      <c r="B548" t="s">
        <v>3809</v>
      </c>
      <c r="C548" t="s">
        <v>3810</v>
      </c>
      <c r="D548" t="s">
        <v>263</v>
      </c>
      <c r="E548" t="s">
        <v>86</v>
      </c>
      <c r="F548" s="2">
        <v>32.6</v>
      </c>
      <c r="G548">
        <v>3</v>
      </c>
      <c r="H548" s="2">
        <f>Tabla_Items_Inactivos[[#This Row],[EXISTENCIA]]*Tabla_Items_Inactivos[[#This Row],[COSTO]]</f>
        <v>97.800000000000011</v>
      </c>
    </row>
    <row r="549" spans="1:8">
      <c r="A549" t="s">
        <v>3300</v>
      </c>
      <c r="B549" t="s">
        <v>3811</v>
      </c>
      <c r="C549" t="s">
        <v>3812</v>
      </c>
      <c r="D549" t="s">
        <v>223</v>
      </c>
      <c r="E549" t="s">
        <v>86</v>
      </c>
      <c r="F549" s="2">
        <v>9.39</v>
      </c>
      <c r="G549">
        <v>4</v>
      </c>
      <c r="H549" s="2">
        <f>Tabla_Items_Inactivos[[#This Row],[EXISTENCIA]]*Tabla_Items_Inactivos[[#This Row],[COSTO]]</f>
        <v>37.56</v>
      </c>
    </row>
    <row r="550" spans="1:8">
      <c r="A550" t="s">
        <v>3300</v>
      </c>
      <c r="B550" t="s">
        <v>3813</v>
      </c>
      <c r="C550" t="s">
        <v>3814</v>
      </c>
      <c r="D550" t="s">
        <v>31</v>
      </c>
      <c r="E550" t="s">
        <v>31</v>
      </c>
      <c r="F550" s="2">
        <v>0</v>
      </c>
      <c r="G550">
        <v>1</v>
      </c>
      <c r="H550" s="2">
        <f>Tabla_Items_Inactivos[[#This Row],[EXISTENCIA]]*Tabla_Items_Inactivos[[#This Row],[COSTO]]</f>
        <v>0</v>
      </c>
    </row>
    <row r="551" spans="1:8">
      <c r="A551" t="s">
        <v>3300</v>
      </c>
      <c r="B551" t="s">
        <v>3815</v>
      </c>
      <c r="C551" t="s">
        <v>3816</v>
      </c>
      <c r="D551" t="s">
        <v>228</v>
      </c>
      <c r="E551" t="s">
        <v>86</v>
      </c>
      <c r="F551" s="2">
        <v>0</v>
      </c>
      <c r="G551">
        <v>12</v>
      </c>
      <c r="H551" s="2">
        <f>Tabla_Items_Inactivos[[#This Row],[EXISTENCIA]]*Tabla_Items_Inactivos[[#This Row],[COSTO]]</f>
        <v>0</v>
      </c>
    </row>
    <row r="552" spans="1:8">
      <c r="A552" t="s">
        <v>3300</v>
      </c>
      <c r="B552" t="s">
        <v>3817</v>
      </c>
      <c r="C552" t="s">
        <v>3818</v>
      </c>
      <c r="D552" t="s">
        <v>3819</v>
      </c>
      <c r="E552" t="s">
        <v>86</v>
      </c>
      <c r="F552" s="2">
        <v>38.07</v>
      </c>
      <c r="G552">
        <v>2</v>
      </c>
      <c r="H552" s="2">
        <f>Tabla_Items_Inactivos[[#This Row],[EXISTENCIA]]*Tabla_Items_Inactivos[[#This Row],[COSTO]]</f>
        <v>76.14</v>
      </c>
    </row>
    <row r="553" spans="1:8">
      <c r="A553" t="s">
        <v>3300</v>
      </c>
      <c r="B553" t="s">
        <v>253</v>
      </c>
      <c r="C553" t="s">
        <v>254</v>
      </c>
      <c r="D553" t="s">
        <v>98</v>
      </c>
      <c r="E553" t="s">
        <v>86</v>
      </c>
      <c r="F553" s="2">
        <v>0.56999999999999995</v>
      </c>
      <c r="G553">
        <v>9</v>
      </c>
      <c r="H553" s="2">
        <f>Tabla_Items_Inactivos[[#This Row],[EXISTENCIA]]*Tabla_Items_Inactivos[[#This Row],[COSTO]]</f>
        <v>5.13</v>
      </c>
    </row>
    <row r="554" spans="1:8">
      <c r="A554" t="s">
        <v>3300</v>
      </c>
      <c r="B554" t="s">
        <v>3820</v>
      </c>
      <c r="C554" t="s">
        <v>3821</v>
      </c>
      <c r="D554" t="s">
        <v>263</v>
      </c>
      <c r="E554" t="s">
        <v>86</v>
      </c>
      <c r="F554" s="2">
        <v>37.119999999999997</v>
      </c>
      <c r="G554">
        <v>4</v>
      </c>
      <c r="H554" s="2">
        <f>Tabla_Items_Inactivos[[#This Row],[EXISTENCIA]]*Tabla_Items_Inactivos[[#This Row],[COSTO]]</f>
        <v>148.47999999999999</v>
      </c>
    </row>
    <row r="555" spans="1:8">
      <c r="A555" t="s">
        <v>3300</v>
      </c>
      <c r="B555" t="s">
        <v>255</v>
      </c>
      <c r="C555" t="s">
        <v>256</v>
      </c>
      <c r="D555" t="s">
        <v>223</v>
      </c>
      <c r="E555" t="s">
        <v>86</v>
      </c>
      <c r="F555" s="2">
        <v>3.21</v>
      </c>
      <c r="G555">
        <v>3</v>
      </c>
      <c r="H555" s="2">
        <f>Tabla_Items_Inactivos[[#This Row],[EXISTENCIA]]*Tabla_Items_Inactivos[[#This Row],[COSTO]]</f>
        <v>9.629999999999999</v>
      </c>
    </row>
    <row r="556" spans="1:8">
      <c r="A556" t="s">
        <v>3300</v>
      </c>
      <c r="B556" t="s">
        <v>3822</v>
      </c>
      <c r="C556" t="s">
        <v>257</v>
      </c>
      <c r="D556" t="s">
        <v>223</v>
      </c>
      <c r="E556" t="s">
        <v>86</v>
      </c>
      <c r="F556" s="2">
        <v>49.6</v>
      </c>
      <c r="G556">
        <v>2</v>
      </c>
      <c r="H556" s="2">
        <f>Tabla_Items_Inactivos[[#This Row],[EXISTENCIA]]*Tabla_Items_Inactivos[[#This Row],[COSTO]]</f>
        <v>99.2</v>
      </c>
    </row>
    <row r="557" spans="1:8">
      <c r="A557" t="s">
        <v>3300</v>
      </c>
      <c r="B557" t="s">
        <v>3823</v>
      </c>
      <c r="C557" t="s">
        <v>3824</v>
      </c>
      <c r="D557" t="s">
        <v>98</v>
      </c>
      <c r="E557" t="s">
        <v>86</v>
      </c>
      <c r="F557" s="2">
        <v>0.92100000000000004</v>
      </c>
      <c r="G557">
        <v>5</v>
      </c>
      <c r="H557" s="2">
        <f>Tabla_Items_Inactivos[[#This Row],[EXISTENCIA]]*Tabla_Items_Inactivos[[#This Row],[COSTO]]</f>
        <v>4.6050000000000004</v>
      </c>
    </row>
    <row r="558" spans="1:8">
      <c r="A558" t="s">
        <v>3300</v>
      </c>
      <c r="B558" t="s">
        <v>3825</v>
      </c>
      <c r="C558" t="s">
        <v>3826</v>
      </c>
      <c r="D558" t="s">
        <v>263</v>
      </c>
      <c r="E558" t="s">
        <v>86</v>
      </c>
      <c r="F558" s="2">
        <v>48.115299999999998</v>
      </c>
      <c r="G558">
        <v>5</v>
      </c>
      <c r="H558" s="2">
        <f>Tabla_Items_Inactivos[[#This Row],[EXISTENCIA]]*Tabla_Items_Inactivos[[#This Row],[COSTO]]</f>
        <v>240.57649999999998</v>
      </c>
    </row>
    <row r="559" spans="1:8">
      <c r="A559" t="s">
        <v>3301</v>
      </c>
      <c r="B559" t="s">
        <v>3825</v>
      </c>
      <c r="C559" t="s">
        <v>3826</v>
      </c>
      <c r="D559" t="s">
        <v>263</v>
      </c>
      <c r="E559" t="s">
        <v>86</v>
      </c>
      <c r="F559" s="2">
        <v>48.115299999999998</v>
      </c>
      <c r="G559">
        <v>5</v>
      </c>
      <c r="H559" s="2">
        <f>Tabla_Items_Inactivos[[#This Row],[EXISTENCIA]]*Tabla_Items_Inactivos[[#This Row],[COSTO]]</f>
        <v>240.57649999999998</v>
      </c>
    </row>
    <row r="560" spans="1:8">
      <c r="A560" t="s">
        <v>3300</v>
      </c>
      <c r="B560" t="s">
        <v>3827</v>
      </c>
      <c r="C560" t="s">
        <v>3828</v>
      </c>
      <c r="D560" t="s">
        <v>85</v>
      </c>
      <c r="E560" t="s">
        <v>86</v>
      </c>
      <c r="F560" s="2">
        <v>50.678800000000003</v>
      </c>
      <c r="G560">
        <v>5</v>
      </c>
      <c r="H560" s="2">
        <f>Tabla_Items_Inactivos[[#This Row],[EXISTENCIA]]*Tabla_Items_Inactivos[[#This Row],[COSTO]]</f>
        <v>253.39400000000001</v>
      </c>
    </row>
    <row r="561" spans="1:8">
      <c r="A561" t="s">
        <v>3299</v>
      </c>
      <c r="B561" t="s">
        <v>3827</v>
      </c>
      <c r="C561" t="s">
        <v>3828</v>
      </c>
      <c r="D561" t="s">
        <v>85</v>
      </c>
      <c r="E561" t="s">
        <v>86</v>
      </c>
      <c r="F561" s="2">
        <v>50.678800000000003</v>
      </c>
      <c r="G561">
        <v>5</v>
      </c>
      <c r="H561" s="2">
        <f>Tabla_Items_Inactivos[[#This Row],[EXISTENCIA]]*Tabla_Items_Inactivos[[#This Row],[COSTO]]</f>
        <v>253.39400000000001</v>
      </c>
    </row>
    <row r="562" spans="1:8">
      <c r="A562" t="s">
        <v>3300</v>
      </c>
      <c r="B562" t="s">
        <v>3829</v>
      </c>
      <c r="C562" t="s">
        <v>3830</v>
      </c>
      <c r="D562" t="s">
        <v>436</v>
      </c>
      <c r="E562" t="s">
        <v>86</v>
      </c>
      <c r="F562" s="2">
        <v>3.74</v>
      </c>
      <c r="G562">
        <v>3</v>
      </c>
      <c r="H562" s="2">
        <f>Tabla_Items_Inactivos[[#This Row],[EXISTENCIA]]*Tabla_Items_Inactivos[[#This Row],[COSTO]]</f>
        <v>11.22</v>
      </c>
    </row>
    <row r="563" spans="1:8">
      <c r="A563" t="s">
        <v>3300</v>
      </c>
      <c r="B563" t="s">
        <v>2880</v>
      </c>
      <c r="C563" t="s">
        <v>2881</v>
      </c>
      <c r="D563" t="s">
        <v>85</v>
      </c>
      <c r="E563" t="s">
        <v>86</v>
      </c>
      <c r="F563" s="2">
        <v>9.4290000000000003</v>
      </c>
      <c r="G563">
        <v>7</v>
      </c>
      <c r="H563" s="2">
        <f>Tabla_Items_Inactivos[[#This Row],[EXISTENCIA]]*Tabla_Items_Inactivos[[#This Row],[COSTO]]</f>
        <v>66.003</v>
      </c>
    </row>
    <row r="564" spans="1:8">
      <c r="A564" t="s">
        <v>3300</v>
      </c>
      <c r="B564" t="s">
        <v>258</v>
      </c>
      <c r="C564" t="s">
        <v>259</v>
      </c>
      <c r="D564" t="s">
        <v>228</v>
      </c>
      <c r="E564" t="s">
        <v>86</v>
      </c>
      <c r="F564" s="2">
        <v>16.2666</v>
      </c>
      <c r="G564">
        <v>23</v>
      </c>
      <c r="H564" s="2">
        <f>Tabla_Items_Inactivos[[#This Row],[EXISTENCIA]]*Tabla_Items_Inactivos[[#This Row],[COSTO]]</f>
        <v>374.1318</v>
      </c>
    </row>
    <row r="565" spans="1:8">
      <c r="A565" t="s">
        <v>3301</v>
      </c>
      <c r="B565" t="s">
        <v>258</v>
      </c>
      <c r="C565" t="s">
        <v>259</v>
      </c>
      <c r="D565" t="s">
        <v>228</v>
      </c>
      <c r="E565" t="s">
        <v>86</v>
      </c>
      <c r="F565" s="2">
        <v>16.2666</v>
      </c>
      <c r="G565">
        <v>23</v>
      </c>
      <c r="H565" s="2">
        <f>Tabla_Items_Inactivos[[#This Row],[EXISTENCIA]]*Tabla_Items_Inactivos[[#This Row],[COSTO]]</f>
        <v>374.1318</v>
      </c>
    </row>
    <row r="566" spans="1:8">
      <c r="A566" t="s">
        <v>3301</v>
      </c>
      <c r="B566" t="s">
        <v>260</v>
      </c>
      <c r="C566" t="s">
        <v>3831</v>
      </c>
      <c r="D566" t="s">
        <v>228</v>
      </c>
      <c r="E566" t="s">
        <v>86</v>
      </c>
      <c r="F566" s="2">
        <v>26.092600000000001</v>
      </c>
      <c r="G566">
        <v>32</v>
      </c>
      <c r="H566" s="2">
        <f>Tabla_Items_Inactivos[[#This Row],[EXISTENCIA]]*Tabla_Items_Inactivos[[#This Row],[COSTO]]</f>
        <v>834.96320000000003</v>
      </c>
    </row>
    <row r="567" spans="1:8">
      <c r="A567" t="s">
        <v>3300</v>
      </c>
      <c r="B567" t="s">
        <v>260</v>
      </c>
      <c r="C567" t="s">
        <v>3831</v>
      </c>
      <c r="D567" t="s">
        <v>228</v>
      </c>
      <c r="E567" t="s">
        <v>86</v>
      </c>
      <c r="F567" s="2">
        <v>26.092600000000001</v>
      </c>
      <c r="G567">
        <v>32</v>
      </c>
      <c r="H567" s="2">
        <f>Tabla_Items_Inactivos[[#This Row],[EXISTENCIA]]*Tabla_Items_Inactivos[[#This Row],[COSTO]]</f>
        <v>834.96320000000003</v>
      </c>
    </row>
    <row r="568" spans="1:8">
      <c r="A568" t="s">
        <v>3300</v>
      </c>
      <c r="B568" t="s">
        <v>3832</v>
      </c>
      <c r="C568" t="s">
        <v>3833</v>
      </c>
      <c r="D568" t="s">
        <v>263</v>
      </c>
      <c r="E568" t="s">
        <v>86</v>
      </c>
      <c r="F568" s="2">
        <v>47.47</v>
      </c>
      <c r="G568">
        <v>3</v>
      </c>
      <c r="H568" s="2">
        <f>Tabla_Items_Inactivos[[#This Row],[EXISTENCIA]]*Tabla_Items_Inactivos[[#This Row],[COSTO]]</f>
        <v>142.41</v>
      </c>
    </row>
    <row r="569" spans="1:8">
      <c r="A569" t="s">
        <v>3300</v>
      </c>
      <c r="B569" t="s">
        <v>3834</v>
      </c>
      <c r="C569" t="s">
        <v>3257</v>
      </c>
      <c r="D569" t="s">
        <v>263</v>
      </c>
      <c r="E569" t="s">
        <v>86</v>
      </c>
      <c r="F569" s="2">
        <v>9.8818999999999999</v>
      </c>
      <c r="G569">
        <v>30</v>
      </c>
      <c r="H569" s="2">
        <f>Tabla_Items_Inactivos[[#This Row],[EXISTENCIA]]*Tabla_Items_Inactivos[[#This Row],[COSTO]]</f>
        <v>296.45699999999999</v>
      </c>
    </row>
    <row r="570" spans="1:8">
      <c r="A570" t="s">
        <v>3301</v>
      </c>
      <c r="B570" t="s">
        <v>3834</v>
      </c>
      <c r="C570" t="s">
        <v>3257</v>
      </c>
      <c r="D570" t="s">
        <v>263</v>
      </c>
      <c r="E570" t="s">
        <v>86</v>
      </c>
      <c r="F570" s="2">
        <v>9.8818999999999999</v>
      </c>
      <c r="G570">
        <v>30</v>
      </c>
      <c r="H570" s="2">
        <f>Tabla_Items_Inactivos[[#This Row],[EXISTENCIA]]*Tabla_Items_Inactivos[[#This Row],[COSTO]]</f>
        <v>296.45699999999999</v>
      </c>
    </row>
    <row r="571" spans="1:8">
      <c r="A571" t="s">
        <v>3300</v>
      </c>
      <c r="B571" t="s">
        <v>3835</v>
      </c>
      <c r="C571" t="s">
        <v>3836</v>
      </c>
      <c r="D571" t="s">
        <v>85</v>
      </c>
      <c r="E571" t="s">
        <v>86</v>
      </c>
      <c r="F571" s="2">
        <v>14.2921</v>
      </c>
      <c r="G571">
        <v>6</v>
      </c>
      <c r="H571" s="2">
        <f>Tabla_Items_Inactivos[[#This Row],[EXISTENCIA]]*Tabla_Items_Inactivos[[#This Row],[COSTO]]</f>
        <v>85.752600000000001</v>
      </c>
    </row>
    <row r="572" spans="1:8">
      <c r="A572" t="s">
        <v>3300</v>
      </c>
      <c r="B572" t="s">
        <v>3837</v>
      </c>
      <c r="C572" t="s">
        <v>3838</v>
      </c>
      <c r="D572" t="s">
        <v>436</v>
      </c>
      <c r="E572" t="s">
        <v>86</v>
      </c>
      <c r="F572" s="2">
        <v>13.88</v>
      </c>
      <c r="G572">
        <v>2</v>
      </c>
      <c r="H572" s="2">
        <f>Tabla_Items_Inactivos[[#This Row],[EXISTENCIA]]*Tabla_Items_Inactivos[[#This Row],[COSTO]]</f>
        <v>27.76</v>
      </c>
    </row>
    <row r="573" spans="1:8">
      <c r="A573" t="s">
        <v>3300</v>
      </c>
      <c r="B573" t="s">
        <v>3839</v>
      </c>
      <c r="C573" t="s">
        <v>3840</v>
      </c>
      <c r="D573" t="s">
        <v>85</v>
      </c>
      <c r="E573" t="s">
        <v>86</v>
      </c>
      <c r="F573" s="2">
        <v>9.6037999999999997</v>
      </c>
      <c r="G573">
        <v>15</v>
      </c>
      <c r="H573" s="2">
        <f>Tabla_Items_Inactivos[[#This Row],[EXISTENCIA]]*Tabla_Items_Inactivos[[#This Row],[COSTO]]</f>
        <v>144.05699999999999</v>
      </c>
    </row>
    <row r="574" spans="1:8">
      <c r="A574" t="s">
        <v>3300</v>
      </c>
      <c r="B574" t="s">
        <v>2882</v>
      </c>
      <c r="C574" t="s">
        <v>2883</v>
      </c>
      <c r="D574" t="s">
        <v>85</v>
      </c>
      <c r="E574" t="s">
        <v>86</v>
      </c>
      <c r="F574" s="2">
        <v>1.583</v>
      </c>
      <c r="G574">
        <v>5</v>
      </c>
      <c r="H574" s="2">
        <f>Tabla_Items_Inactivos[[#This Row],[EXISTENCIA]]*Tabla_Items_Inactivos[[#This Row],[COSTO]]</f>
        <v>7.915</v>
      </c>
    </row>
    <row r="575" spans="1:8">
      <c r="A575" t="s">
        <v>3300</v>
      </c>
      <c r="B575" t="s">
        <v>3841</v>
      </c>
      <c r="C575" t="s">
        <v>3842</v>
      </c>
      <c r="D575" t="s">
        <v>223</v>
      </c>
      <c r="E575" t="s">
        <v>86</v>
      </c>
      <c r="F575" s="2">
        <v>0.5</v>
      </c>
      <c r="G575">
        <v>5</v>
      </c>
      <c r="H575" s="2">
        <f>Tabla_Items_Inactivos[[#This Row],[EXISTENCIA]]*Tabla_Items_Inactivos[[#This Row],[COSTO]]</f>
        <v>2.5</v>
      </c>
    </row>
    <row r="576" spans="1:8">
      <c r="A576" t="s">
        <v>3300</v>
      </c>
      <c r="B576" t="s">
        <v>3843</v>
      </c>
      <c r="C576" t="s">
        <v>3844</v>
      </c>
      <c r="D576" t="s">
        <v>223</v>
      </c>
      <c r="E576" t="s">
        <v>86</v>
      </c>
      <c r="F576" s="2">
        <v>3.28</v>
      </c>
      <c r="G576">
        <v>5</v>
      </c>
      <c r="H576" s="2">
        <f>Tabla_Items_Inactivos[[#This Row],[EXISTENCIA]]*Tabla_Items_Inactivos[[#This Row],[COSTO]]</f>
        <v>16.399999999999999</v>
      </c>
    </row>
    <row r="577" spans="1:8">
      <c r="A577" t="s">
        <v>3300</v>
      </c>
      <c r="B577" t="s">
        <v>3845</v>
      </c>
      <c r="C577" t="s">
        <v>3846</v>
      </c>
      <c r="D577" t="s">
        <v>98</v>
      </c>
      <c r="E577" t="s">
        <v>86</v>
      </c>
      <c r="F577" s="2">
        <v>0.51439999999999997</v>
      </c>
      <c r="G577">
        <v>66</v>
      </c>
      <c r="H577" s="2">
        <f>Tabla_Items_Inactivos[[#This Row],[EXISTENCIA]]*Tabla_Items_Inactivos[[#This Row],[COSTO]]</f>
        <v>33.950399999999995</v>
      </c>
    </row>
    <row r="578" spans="1:8">
      <c r="A578" t="s">
        <v>3300</v>
      </c>
      <c r="B578" t="s">
        <v>3847</v>
      </c>
      <c r="C578" t="s">
        <v>3848</v>
      </c>
      <c r="D578" t="s">
        <v>98</v>
      </c>
      <c r="E578" t="s">
        <v>86</v>
      </c>
      <c r="F578" s="2">
        <v>19.0273</v>
      </c>
      <c r="G578">
        <v>7</v>
      </c>
      <c r="H578" s="2">
        <f>Tabla_Items_Inactivos[[#This Row],[EXISTENCIA]]*Tabla_Items_Inactivos[[#This Row],[COSTO]]</f>
        <v>133.19110000000001</v>
      </c>
    </row>
    <row r="579" spans="1:8">
      <c r="A579" t="s">
        <v>3301</v>
      </c>
      <c r="B579" t="s">
        <v>3847</v>
      </c>
      <c r="C579" t="s">
        <v>3848</v>
      </c>
      <c r="D579" t="s">
        <v>98</v>
      </c>
      <c r="E579" t="s">
        <v>86</v>
      </c>
      <c r="F579" s="2">
        <v>19.0273</v>
      </c>
      <c r="G579">
        <v>7</v>
      </c>
      <c r="H579" s="2">
        <f>Tabla_Items_Inactivos[[#This Row],[EXISTENCIA]]*Tabla_Items_Inactivos[[#This Row],[COSTO]]</f>
        <v>133.19110000000001</v>
      </c>
    </row>
    <row r="580" spans="1:8">
      <c r="A580" t="s">
        <v>3300</v>
      </c>
      <c r="B580" t="s">
        <v>3849</v>
      </c>
      <c r="C580" t="s">
        <v>3850</v>
      </c>
      <c r="D580" t="s">
        <v>98</v>
      </c>
      <c r="E580" t="s">
        <v>86</v>
      </c>
      <c r="F580" s="2">
        <v>14.2</v>
      </c>
      <c r="G580">
        <v>2</v>
      </c>
      <c r="H580" s="2">
        <f>Tabla_Items_Inactivos[[#This Row],[EXISTENCIA]]*Tabla_Items_Inactivos[[#This Row],[COSTO]]</f>
        <v>28.4</v>
      </c>
    </row>
    <row r="581" spans="1:8">
      <c r="A581" t="s">
        <v>3300</v>
      </c>
      <c r="B581" t="s">
        <v>3851</v>
      </c>
      <c r="C581" t="s">
        <v>3852</v>
      </c>
      <c r="D581" t="s">
        <v>85</v>
      </c>
      <c r="E581" t="s">
        <v>86</v>
      </c>
      <c r="F581" s="2">
        <v>9.3955000000000002</v>
      </c>
      <c r="G581">
        <v>5</v>
      </c>
      <c r="H581" s="2">
        <f>Tabla_Items_Inactivos[[#This Row],[EXISTENCIA]]*Tabla_Items_Inactivos[[#This Row],[COSTO]]</f>
        <v>46.977499999999999</v>
      </c>
    </row>
    <row r="582" spans="1:8">
      <c r="A582" t="s">
        <v>3301</v>
      </c>
      <c r="B582" t="s">
        <v>3851</v>
      </c>
      <c r="C582" t="s">
        <v>3852</v>
      </c>
      <c r="D582" t="s">
        <v>85</v>
      </c>
      <c r="E582" t="s">
        <v>86</v>
      </c>
      <c r="F582" s="2">
        <v>9.3955000000000002</v>
      </c>
      <c r="G582">
        <v>5</v>
      </c>
      <c r="H582" s="2">
        <f>Tabla_Items_Inactivos[[#This Row],[EXISTENCIA]]*Tabla_Items_Inactivos[[#This Row],[COSTO]]</f>
        <v>46.977499999999999</v>
      </c>
    </row>
    <row r="583" spans="1:8">
      <c r="A583" t="s">
        <v>3300</v>
      </c>
      <c r="B583" t="s">
        <v>3853</v>
      </c>
      <c r="C583" t="s">
        <v>3852</v>
      </c>
      <c r="D583" t="s">
        <v>98</v>
      </c>
      <c r="E583" t="s">
        <v>86</v>
      </c>
      <c r="F583" s="2">
        <v>10.196</v>
      </c>
      <c r="G583">
        <v>8</v>
      </c>
      <c r="H583" s="2">
        <f>Tabla_Items_Inactivos[[#This Row],[EXISTENCIA]]*Tabla_Items_Inactivos[[#This Row],[COSTO]]</f>
        <v>81.567999999999998</v>
      </c>
    </row>
    <row r="584" spans="1:8">
      <c r="A584" t="s">
        <v>3301</v>
      </c>
      <c r="B584" t="s">
        <v>3854</v>
      </c>
      <c r="C584" t="s">
        <v>3855</v>
      </c>
      <c r="D584" t="s">
        <v>98</v>
      </c>
      <c r="E584" t="s">
        <v>86</v>
      </c>
      <c r="F584" s="2">
        <v>1.4433</v>
      </c>
      <c r="G584">
        <v>12</v>
      </c>
      <c r="H584" s="2">
        <f>Tabla_Items_Inactivos[[#This Row],[EXISTENCIA]]*Tabla_Items_Inactivos[[#This Row],[COSTO]]</f>
        <v>17.319600000000001</v>
      </c>
    </row>
    <row r="585" spans="1:8">
      <c r="A585" t="s">
        <v>3300</v>
      </c>
      <c r="B585" t="s">
        <v>3854</v>
      </c>
      <c r="C585" t="s">
        <v>3855</v>
      </c>
      <c r="D585" t="s">
        <v>98</v>
      </c>
      <c r="E585" t="s">
        <v>86</v>
      </c>
      <c r="F585" s="2">
        <v>1.4433</v>
      </c>
      <c r="G585">
        <v>12</v>
      </c>
      <c r="H585" s="2">
        <f>Tabla_Items_Inactivos[[#This Row],[EXISTENCIA]]*Tabla_Items_Inactivos[[#This Row],[COSTO]]</f>
        <v>17.319600000000001</v>
      </c>
    </row>
    <row r="586" spans="1:8">
      <c r="A586" t="s">
        <v>3300</v>
      </c>
      <c r="B586" t="s">
        <v>261</v>
      </c>
      <c r="C586" t="s">
        <v>262</v>
      </c>
      <c r="D586" t="s">
        <v>263</v>
      </c>
      <c r="E586" t="s">
        <v>86</v>
      </c>
      <c r="F586" s="2">
        <v>20.987400000000001</v>
      </c>
      <c r="G586">
        <v>13</v>
      </c>
      <c r="H586" s="2">
        <f>Tabla_Items_Inactivos[[#This Row],[EXISTENCIA]]*Tabla_Items_Inactivos[[#This Row],[COSTO]]</f>
        <v>272.83620000000002</v>
      </c>
    </row>
    <row r="587" spans="1:8">
      <c r="A587" t="s">
        <v>3301</v>
      </c>
      <c r="B587" t="s">
        <v>261</v>
      </c>
      <c r="C587" t="s">
        <v>262</v>
      </c>
      <c r="D587" t="s">
        <v>263</v>
      </c>
      <c r="E587" t="s">
        <v>86</v>
      </c>
      <c r="F587" s="2">
        <v>20.987400000000001</v>
      </c>
      <c r="G587">
        <v>13</v>
      </c>
      <c r="H587" s="2">
        <f>Tabla_Items_Inactivos[[#This Row],[EXISTENCIA]]*Tabla_Items_Inactivos[[#This Row],[COSTO]]</f>
        <v>272.83620000000002</v>
      </c>
    </row>
    <row r="588" spans="1:8">
      <c r="A588" t="s">
        <v>3300</v>
      </c>
      <c r="B588" t="s">
        <v>2884</v>
      </c>
      <c r="C588" t="s">
        <v>2885</v>
      </c>
      <c r="D588" t="s">
        <v>263</v>
      </c>
      <c r="E588" t="s">
        <v>86</v>
      </c>
      <c r="F588" s="2">
        <v>40.005499999999998</v>
      </c>
      <c r="G588">
        <v>33</v>
      </c>
      <c r="H588" s="2">
        <f>Tabla_Items_Inactivos[[#This Row],[EXISTENCIA]]*Tabla_Items_Inactivos[[#This Row],[COSTO]]</f>
        <v>1320.1814999999999</v>
      </c>
    </row>
    <row r="589" spans="1:8">
      <c r="A589" t="s">
        <v>3301</v>
      </c>
      <c r="B589" t="s">
        <v>2884</v>
      </c>
      <c r="C589" t="s">
        <v>2885</v>
      </c>
      <c r="D589" t="s">
        <v>263</v>
      </c>
      <c r="E589" t="s">
        <v>86</v>
      </c>
      <c r="F589" s="2">
        <v>40.005499999999998</v>
      </c>
      <c r="G589">
        <v>33</v>
      </c>
      <c r="H589" s="2">
        <f>Tabla_Items_Inactivos[[#This Row],[EXISTENCIA]]*Tabla_Items_Inactivos[[#This Row],[COSTO]]</f>
        <v>1320.1814999999999</v>
      </c>
    </row>
    <row r="590" spans="1:8">
      <c r="A590" t="s">
        <v>3300</v>
      </c>
      <c r="B590" t="s">
        <v>3856</v>
      </c>
      <c r="C590" t="s">
        <v>3857</v>
      </c>
      <c r="D590" t="s">
        <v>263</v>
      </c>
      <c r="E590" t="s">
        <v>86</v>
      </c>
      <c r="F590" s="2">
        <v>84.997900000000001</v>
      </c>
      <c r="G590">
        <v>3</v>
      </c>
      <c r="H590" s="2">
        <f>Tabla_Items_Inactivos[[#This Row],[EXISTENCIA]]*Tabla_Items_Inactivos[[#This Row],[COSTO]]</f>
        <v>254.99369999999999</v>
      </c>
    </row>
    <row r="591" spans="1:8">
      <c r="A591" t="s">
        <v>3301</v>
      </c>
      <c r="B591" t="s">
        <v>3856</v>
      </c>
      <c r="C591" t="s">
        <v>3857</v>
      </c>
      <c r="D591" t="s">
        <v>263</v>
      </c>
      <c r="E591" t="s">
        <v>86</v>
      </c>
      <c r="F591" s="2">
        <v>84.997900000000001</v>
      </c>
      <c r="G591">
        <v>3</v>
      </c>
      <c r="H591" s="2">
        <f>Tabla_Items_Inactivos[[#This Row],[EXISTENCIA]]*Tabla_Items_Inactivos[[#This Row],[COSTO]]</f>
        <v>254.99369999999999</v>
      </c>
    </row>
    <row r="592" spans="1:8">
      <c r="A592" t="s">
        <v>3301</v>
      </c>
      <c r="B592" t="s">
        <v>3858</v>
      </c>
      <c r="C592" t="s">
        <v>3859</v>
      </c>
      <c r="D592" t="s">
        <v>263</v>
      </c>
      <c r="E592" t="s">
        <v>86</v>
      </c>
      <c r="F592" s="2">
        <v>79.515900000000002</v>
      </c>
      <c r="G592">
        <v>3</v>
      </c>
      <c r="H592" s="2">
        <f>Tabla_Items_Inactivos[[#This Row],[EXISTENCIA]]*Tabla_Items_Inactivos[[#This Row],[COSTO]]</f>
        <v>238.54770000000002</v>
      </c>
    </row>
    <row r="593" spans="1:8">
      <c r="A593" t="s">
        <v>3300</v>
      </c>
      <c r="B593" t="s">
        <v>3858</v>
      </c>
      <c r="C593" t="s">
        <v>3859</v>
      </c>
      <c r="D593" t="s">
        <v>263</v>
      </c>
      <c r="E593" t="s">
        <v>86</v>
      </c>
      <c r="F593" s="2">
        <v>79.515900000000002</v>
      </c>
      <c r="G593">
        <v>3</v>
      </c>
      <c r="H593" s="2">
        <f>Tabla_Items_Inactivos[[#This Row],[EXISTENCIA]]*Tabla_Items_Inactivos[[#This Row],[COSTO]]</f>
        <v>238.54770000000002</v>
      </c>
    </row>
    <row r="594" spans="1:8">
      <c r="A594" t="s">
        <v>3301</v>
      </c>
      <c r="B594" t="s">
        <v>3860</v>
      </c>
      <c r="C594" t="s">
        <v>3861</v>
      </c>
      <c r="D594" t="s">
        <v>263</v>
      </c>
      <c r="E594" t="s">
        <v>86</v>
      </c>
      <c r="F594" s="2">
        <v>0</v>
      </c>
      <c r="G594">
        <v>1</v>
      </c>
      <c r="H594" s="2">
        <f>Tabla_Items_Inactivos[[#This Row],[EXISTENCIA]]*Tabla_Items_Inactivos[[#This Row],[COSTO]]</f>
        <v>0</v>
      </c>
    </row>
    <row r="595" spans="1:8">
      <c r="A595" t="s">
        <v>3300</v>
      </c>
      <c r="B595" t="s">
        <v>3862</v>
      </c>
      <c r="C595" t="s">
        <v>3863</v>
      </c>
      <c r="D595" t="s">
        <v>263</v>
      </c>
      <c r="E595" t="s">
        <v>86</v>
      </c>
      <c r="F595" s="2">
        <v>0</v>
      </c>
      <c r="G595">
        <v>5</v>
      </c>
      <c r="H595" s="2">
        <f>Tabla_Items_Inactivos[[#This Row],[EXISTENCIA]]*Tabla_Items_Inactivos[[#This Row],[COSTO]]</f>
        <v>0</v>
      </c>
    </row>
    <row r="596" spans="1:8">
      <c r="A596" t="s">
        <v>3301</v>
      </c>
      <c r="B596" t="s">
        <v>3862</v>
      </c>
      <c r="C596" t="s">
        <v>3863</v>
      </c>
      <c r="D596" t="s">
        <v>263</v>
      </c>
      <c r="E596" t="s">
        <v>86</v>
      </c>
      <c r="F596" s="2">
        <v>0</v>
      </c>
      <c r="G596">
        <v>5</v>
      </c>
      <c r="H596" s="2">
        <f>Tabla_Items_Inactivos[[#This Row],[EXISTENCIA]]*Tabla_Items_Inactivos[[#This Row],[COSTO]]</f>
        <v>0</v>
      </c>
    </row>
    <row r="597" spans="1:8">
      <c r="A597" t="s">
        <v>3300</v>
      </c>
      <c r="B597" t="s">
        <v>2886</v>
      </c>
      <c r="C597" t="s">
        <v>2887</v>
      </c>
      <c r="D597" t="s">
        <v>263</v>
      </c>
      <c r="E597" t="s">
        <v>86</v>
      </c>
      <c r="F597" s="2">
        <v>34.529499999999999</v>
      </c>
      <c r="G597">
        <v>15</v>
      </c>
      <c r="H597" s="2">
        <f>Tabla_Items_Inactivos[[#This Row],[EXISTENCIA]]*Tabla_Items_Inactivos[[#This Row],[COSTO]]</f>
        <v>517.9425</v>
      </c>
    </row>
    <row r="598" spans="1:8">
      <c r="A598" t="s">
        <v>3301</v>
      </c>
      <c r="B598" t="s">
        <v>2886</v>
      </c>
      <c r="C598" t="s">
        <v>2887</v>
      </c>
      <c r="D598" t="s">
        <v>263</v>
      </c>
      <c r="E598" t="s">
        <v>86</v>
      </c>
      <c r="F598" s="2">
        <v>34.529499999999999</v>
      </c>
      <c r="G598">
        <v>15</v>
      </c>
      <c r="H598" s="2">
        <f>Tabla_Items_Inactivos[[#This Row],[EXISTENCIA]]*Tabla_Items_Inactivos[[#This Row],[COSTO]]</f>
        <v>517.9425</v>
      </c>
    </row>
    <row r="599" spans="1:8">
      <c r="A599" t="s">
        <v>3300</v>
      </c>
      <c r="B599" t="s">
        <v>3864</v>
      </c>
      <c r="C599" t="s">
        <v>3865</v>
      </c>
      <c r="D599" t="s">
        <v>263</v>
      </c>
      <c r="E599" t="s">
        <v>86</v>
      </c>
      <c r="F599" s="2">
        <v>17.704599999999999</v>
      </c>
      <c r="G599">
        <v>18</v>
      </c>
      <c r="H599" s="2">
        <f>Tabla_Items_Inactivos[[#This Row],[EXISTENCIA]]*Tabla_Items_Inactivos[[#This Row],[COSTO]]</f>
        <v>318.68279999999999</v>
      </c>
    </row>
    <row r="600" spans="1:8">
      <c r="A600" t="s">
        <v>3301</v>
      </c>
      <c r="B600" t="s">
        <v>3864</v>
      </c>
      <c r="C600" t="s">
        <v>3865</v>
      </c>
      <c r="D600" t="s">
        <v>263</v>
      </c>
      <c r="E600" t="s">
        <v>86</v>
      </c>
      <c r="F600" s="2">
        <v>17.704599999999999</v>
      </c>
      <c r="G600">
        <v>18</v>
      </c>
      <c r="H600" s="2">
        <f>Tabla_Items_Inactivos[[#This Row],[EXISTENCIA]]*Tabla_Items_Inactivos[[#This Row],[COSTO]]</f>
        <v>318.68279999999999</v>
      </c>
    </row>
    <row r="601" spans="1:8">
      <c r="A601" t="s">
        <v>3300</v>
      </c>
      <c r="B601" t="s">
        <v>2888</v>
      </c>
      <c r="C601" t="s">
        <v>2889</v>
      </c>
      <c r="D601" t="s">
        <v>263</v>
      </c>
      <c r="E601" t="s">
        <v>86</v>
      </c>
      <c r="F601" s="2">
        <v>36.409999999999997</v>
      </c>
      <c r="G601">
        <v>4</v>
      </c>
      <c r="H601" s="2">
        <f>Tabla_Items_Inactivos[[#This Row],[EXISTENCIA]]*Tabla_Items_Inactivos[[#This Row],[COSTO]]</f>
        <v>145.63999999999999</v>
      </c>
    </row>
    <row r="602" spans="1:8">
      <c r="A602" t="s">
        <v>3300</v>
      </c>
      <c r="B602" t="s">
        <v>2890</v>
      </c>
      <c r="C602" t="s">
        <v>2891</v>
      </c>
      <c r="D602" t="s">
        <v>263</v>
      </c>
      <c r="E602" t="s">
        <v>86</v>
      </c>
      <c r="F602" s="2">
        <v>18.4908</v>
      </c>
      <c r="G602">
        <v>8</v>
      </c>
      <c r="H602" s="2">
        <f>Tabla_Items_Inactivos[[#This Row],[EXISTENCIA]]*Tabla_Items_Inactivos[[#This Row],[COSTO]]</f>
        <v>147.9264</v>
      </c>
    </row>
    <row r="603" spans="1:8">
      <c r="A603" t="s">
        <v>3301</v>
      </c>
      <c r="B603" t="s">
        <v>2890</v>
      </c>
      <c r="C603" t="s">
        <v>2891</v>
      </c>
      <c r="D603" t="s">
        <v>263</v>
      </c>
      <c r="E603" t="s">
        <v>86</v>
      </c>
      <c r="F603" s="2">
        <v>18.4908</v>
      </c>
      <c r="G603">
        <v>8</v>
      </c>
      <c r="H603" s="2">
        <f>Tabla_Items_Inactivos[[#This Row],[EXISTENCIA]]*Tabla_Items_Inactivos[[#This Row],[COSTO]]</f>
        <v>147.9264</v>
      </c>
    </row>
    <row r="604" spans="1:8">
      <c r="A604" t="s">
        <v>3300</v>
      </c>
      <c r="B604" t="s">
        <v>3866</v>
      </c>
      <c r="C604" t="s">
        <v>3867</v>
      </c>
      <c r="D604" t="s">
        <v>219</v>
      </c>
      <c r="E604" t="s">
        <v>86</v>
      </c>
      <c r="F604" s="2">
        <v>0.76</v>
      </c>
      <c r="G604">
        <v>10</v>
      </c>
      <c r="H604" s="2">
        <f>Tabla_Items_Inactivos[[#This Row],[EXISTENCIA]]*Tabla_Items_Inactivos[[#This Row],[COSTO]]</f>
        <v>7.6</v>
      </c>
    </row>
    <row r="605" spans="1:8">
      <c r="A605" t="s">
        <v>3300</v>
      </c>
      <c r="B605" t="s">
        <v>264</v>
      </c>
      <c r="C605" t="s">
        <v>265</v>
      </c>
      <c r="D605" t="s">
        <v>219</v>
      </c>
      <c r="E605" t="s">
        <v>86</v>
      </c>
      <c r="F605" s="2">
        <v>0.76900000000000002</v>
      </c>
      <c r="G605">
        <v>32</v>
      </c>
      <c r="H605" s="2">
        <f>Tabla_Items_Inactivos[[#This Row],[EXISTENCIA]]*Tabla_Items_Inactivos[[#This Row],[COSTO]]</f>
        <v>24.608000000000001</v>
      </c>
    </row>
    <row r="606" spans="1:8">
      <c r="A606" t="s">
        <v>3300</v>
      </c>
      <c r="B606" t="s">
        <v>3868</v>
      </c>
      <c r="C606" t="s">
        <v>3869</v>
      </c>
      <c r="D606" t="s">
        <v>219</v>
      </c>
      <c r="E606" t="s">
        <v>86</v>
      </c>
      <c r="F606" s="2">
        <v>2.6</v>
      </c>
      <c r="G606">
        <v>5</v>
      </c>
      <c r="H606" s="2">
        <f>Tabla_Items_Inactivos[[#This Row],[EXISTENCIA]]*Tabla_Items_Inactivos[[#This Row],[COSTO]]</f>
        <v>13</v>
      </c>
    </row>
    <row r="607" spans="1:8">
      <c r="A607" t="s">
        <v>3300</v>
      </c>
      <c r="B607" t="s">
        <v>3870</v>
      </c>
      <c r="C607" t="s">
        <v>3871</v>
      </c>
      <c r="D607" t="s">
        <v>219</v>
      </c>
      <c r="E607" t="s">
        <v>86</v>
      </c>
      <c r="F607" s="2">
        <v>0</v>
      </c>
      <c r="G607">
        <v>10</v>
      </c>
      <c r="H607" s="2">
        <f>Tabla_Items_Inactivos[[#This Row],[EXISTENCIA]]*Tabla_Items_Inactivos[[#This Row],[COSTO]]</f>
        <v>0</v>
      </c>
    </row>
    <row r="608" spans="1:8">
      <c r="A608" t="s">
        <v>3300</v>
      </c>
      <c r="B608" t="s">
        <v>3872</v>
      </c>
      <c r="C608" t="s">
        <v>3873</v>
      </c>
      <c r="D608" t="s">
        <v>219</v>
      </c>
      <c r="E608" t="s">
        <v>86</v>
      </c>
      <c r="F608" s="2">
        <v>2.74</v>
      </c>
      <c r="G608">
        <v>5</v>
      </c>
      <c r="H608" s="2">
        <f>Tabla_Items_Inactivos[[#This Row],[EXISTENCIA]]*Tabla_Items_Inactivos[[#This Row],[COSTO]]</f>
        <v>13.700000000000001</v>
      </c>
    </row>
    <row r="609" spans="1:8">
      <c r="A609" t="s">
        <v>3300</v>
      </c>
      <c r="B609" t="s">
        <v>3874</v>
      </c>
      <c r="C609" t="s">
        <v>3875</v>
      </c>
      <c r="D609" t="s">
        <v>219</v>
      </c>
      <c r="E609" t="s">
        <v>86</v>
      </c>
      <c r="F609" s="2">
        <v>0</v>
      </c>
      <c r="G609">
        <v>10</v>
      </c>
      <c r="H609" s="2">
        <f>Tabla_Items_Inactivos[[#This Row],[EXISTENCIA]]*Tabla_Items_Inactivos[[#This Row],[COSTO]]</f>
        <v>0</v>
      </c>
    </row>
    <row r="610" spans="1:8">
      <c r="A610" t="s">
        <v>3300</v>
      </c>
      <c r="B610" t="s">
        <v>3876</v>
      </c>
      <c r="C610" t="s">
        <v>3877</v>
      </c>
      <c r="D610" t="s">
        <v>219</v>
      </c>
      <c r="E610" t="s">
        <v>86</v>
      </c>
      <c r="F610" s="2">
        <v>2.1</v>
      </c>
      <c r="G610">
        <v>5</v>
      </c>
      <c r="H610" s="2">
        <f>Tabla_Items_Inactivos[[#This Row],[EXISTENCIA]]*Tabla_Items_Inactivos[[#This Row],[COSTO]]</f>
        <v>10.5</v>
      </c>
    </row>
    <row r="611" spans="1:8">
      <c r="A611" t="s">
        <v>3300</v>
      </c>
      <c r="B611" t="s">
        <v>266</v>
      </c>
      <c r="C611" t="s">
        <v>267</v>
      </c>
      <c r="D611" t="s">
        <v>219</v>
      </c>
      <c r="E611" t="s">
        <v>86</v>
      </c>
      <c r="F611" s="2">
        <v>0.30199999999999999</v>
      </c>
      <c r="G611">
        <v>4</v>
      </c>
      <c r="H611" s="2">
        <f>Tabla_Items_Inactivos[[#This Row],[EXISTENCIA]]*Tabla_Items_Inactivos[[#This Row],[COSTO]]</f>
        <v>1.208</v>
      </c>
    </row>
    <row r="612" spans="1:8">
      <c r="A612" t="s">
        <v>3300</v>
      </c>
      <c r="B612" t="s">
        <v>3878</v>
      </c>
      <c r="C612" t="s">
        <v>3879</v>
      </c>
      <c r="D612" t="s">
        <v>219</v>
      </c>
      <c r="E612" t="s">
        <v>86</v>
      </c>
      <c r="F612" s="2">
        <v>0.64</v>
      </c>
      <c r="G612">
        <v>10</v>
      </c>
      <c r="H612" s="2">
        <f>Tabla_Items_Inactivos[[#This Row],[EXISTENCIA]]*Tabla_Items_Inactivos[[#This Row],[COSTO]]</f>
        <v>6.4</v>
      </c>
    </row>
    <row r="613" spans="1:8">
      <c r="A613" t="s">
        <v>3300</v>
      </c>
      <c r="B613" t="s">
        <v>3880</v>
      </c>
      <c r="C613" t="s">
        <v>3881</v>
      </c>
      <c r="D613" t="s">
        <v>219</v>
      </c>
      <c r="E613" t="s">
        <v>86</v>
      </c>
      <c r="F613" s="2">
        <v>0.3584</v>
      </c>
      <c r="G613">
        <v>49</v>
      </c>
      <c r="H613" s="2">
        <f>Tabla_Items_Inactivos[[#This Row],[EXISTENCIA]]*Tabla_Items_Inactivos[[#This Row],[COSTO]]</f>
        <v>17.561599999999999</v>
      </c>
    </row>
    <row r="614" spans="1:8">
      <c r="A614" t="s">
        <v>3300</v>
      </c>
      <c r="B614" t="s">
        <v>3882</v>
      </c>
      <c r="C614" t="s">
        <v>3883</v>
      </c>
      <c r="D614" t="s">
        <v>219</v>
      </c>
      <c r="E614" t="s">
        <v>86</v>
      </c>
      <c r="F614" s="2">
        <v>21.28</v>
      </c>
      <c r="G614">
        <v>1</v>
      </c>
      <c r="H614" s="2">
        <f>Tabla_Items_Inactivos[[#This Row],[EXISTENCIA]]*Tabla_Items_Inactivos[[#This Row],[COSTO]]</f>
        <v>21.28</v>
      </c>
    </row>
    <row r="615" spans="1:8">
      <c r="A615" t="s">
        <v>3300</v>
      </c>
      <c r="B615" t="s">
        <v>3884</v>
      </c>
      <c r="C615" t="s">
        <v>3885</v>
      </c>
      <c r="D615" t="s">
        <v>219</v>
      </c>
      <c r="E615" t="s">
        <v>86</v>
      </c>
      <c r="F615" s="2">
        <v>0</v>
      </c>
      <c r="G615">
        <v>10</v>
      </c>
      <c r="H615" s="2">
        <f>Tabla_Items_Inactivos[[#This Row],[EXISTENCIA]]*Tabla_Items_Inactivos[[#This Row],[COSTO]]</f>
        <v>0</v>
      </c>
    </row>
    <row r="616" spans="1:8">
      <c r="A616" t="s">
        <v>3300</v>
      </c>
      <c r="B616" t="s">
        <v>3886</v>
      </c>
      <c r="C616" t="s">
        <v>3887</v>
      </c>
      <c r="D616" t="s">
        <v>219</v>
      </c>
      <c r="E616" t="s">
        <v>86</v>
      </c>
      <c r="F616" s="2">
        <v>0.1</v>
      </c>
      <c r="G616">
        <v>2</v>
      </c>
      <c r="H616" s="2">
        <f>Tabla_Items_Inactivos[[#This Row],[EXISTENCIA]]*Tabla_Items_Inactivos[[#This Row],[COSTO]]</f>
        <v>0.2</v>
      </c>
    </row>
    <row r="617" spans="1:8">
      <c r="A617" t="s">
        <v>3300</v>
      </c>
      <c r="B617" t="s">
        <v>2892</v>
      </c>
      <c r="C617" t="s">
        <v>3888</v>
      </c>
      <c r="D617" t="s">
        <v>219</v>
      </c>
      <c r="E617" t="s">
        <v>86</v>
      </c>
      <c r="F617" s="2">
        <v>14.083299999999999</v>
      </c>
      <c r="G617">
        <v>5</v>
      </c>
      <c r="H617" s="2">
        <f>Tabla_Items_Inactivos[[#This Row],[EXISTENCIA]]*Tabla_Items_Inactivos[[#This Row],[COSTO]]</f>
        <v>70.416499999999999</v>
      </c>
    </row>
    <row r="618" spans="1:8">
      <c r="A618" t="s">
        <v>3300</v>
      </c>
      <c r="B618" t="s">
        <v>3889</v>
      </c>
      <c r="C618" t="s">
        <v>3890</v>
      </c>
      <c r="D618" t="s">
        <v>85</v>
      </c>
      <c r="E618" t="s">
        <v>86</v>
      </c>
      <c r="F618" s="2">
        <v>7.45</v>
      </c>
      <c r="G618">
        <v>2</v>
      </c>
      <c r="H618" s="2">
        <f>Tabla_Items_Inactivos[[#This Row],[EXISTENCIA]]*Tabla_Items_Inactivos[[#This Row],[COSTO]]</f>
        <v>14.9</v>
      </c>
    </row>
    <row r="619" spans="1:8">
      <c r="A619" t="s">
        <v>3300</v>
      </c>
      <c r="B619" t="s">
        <v>3891</v>
      </c>
      <c r="C619" t="s">
        <v>3892</v>
      </c>
      <c r="D619" t="s">
        <v>85</v>
      </c>
      <c r="E619" t="s">
        <v>86</v>
      </c>
      <c r="F619" s="2">
        <v>4.6614000000000004</v>
      </c>
      <c r="G619">
        <v>7</v>
      </c>
      <c r="H619" s="2">
        <f>Tabla_Items_Inactivos[[#This Row],[EXISTENCIA]]*Tabla_Items_Inactivos[[#This Row],[COSTO]]</f>
        <v>32.629800000000003</v>
      </c>
    </row>
    <row r="620" spans="1:8">
      <c r="A620" t="s">
        <v>3300</v>
      </c>
      <c r="B620" t="s">
        <v>3893</v>
      </c>
      <c r="C620" t="s">
        <v>3894</v>
      </c>
      <c r="D620" t="s">
        <v>219</v>
      </c>
      <c r="E620" t="s">
        <v>86</v>
      </c>
      <c r="F620" s="2">
        <v>15.56</v>
      </c>
      <c r="G620">
        <v>1</v>
      </c>
      <c r="H620" s="2">
        <f>Tabla_Items_Inactivos[[#This Row],[EXISTENCIA]]*Tabla_Items_Inactivos[[#This Row],[COSTO]]</f>
        <v>15.56</v>
      </c>
    </row>
    <row r="621" spans="1:8">
      <c r="A621" t="s">
        <v>3300</v>
      </c>
      <c r="B621" t="s">
        <v>3895</v>
      </c>
      <c r="C621" t="s">
        <v>3896</v>
      </c>
      <c r="D621" t="s">
        <v>219</v>
      </c>
      <c r="E621" t="s">
        <v>86</v>
      </c>
      <c r="F621" s="2">
        <v>7.3541999999999996</v>
      </c>
      <c r="G621">
        <v>3</v>
      </c>
      <c r="H621" s="2">
        <f>Tabla_Items_Inactivos[[#This Row],[EXISTENCIA]]*Tabla_Items_Inactivos[[#This Row],[COSTO]]</f>
        <v>22.0626</v>
      </c>
    </row>
    <row r="622" spans="1:8">
      <c r="A622" t="s">
        <v>3301</v>
      </c>
      <c r="B622" t="s">
        <v>3895</v>
      </c>
      <c r="C622" t="s">
        <v>3896</v>
      </c>
      <c r="D622" t="s">
        <v>219</v>
      </c>
      <c r="E622" t="s">
        <v>86</v>
      </c>
      <c r="F622" s="2">
        <v>7.3541999999999996</v>
      </c>
      <c r="G622">
        <v>3</v>
      </c>
      <c r="H622" s="2">
        <f>Tabla_Items_Inactivos[[#This Row],[EXISTENCIA]]*Tabla_Items_Inactivos[[#This Row],[COSTO]]</f>
        <v>22.0626</v>
      </c>
    </row>
    <row r="623" spans="1:8">
      <c r="A623" t="s">
        <v>3300</v>
      </c>
      <c r="B623" t="s">
        <v>268</v>
      </c>
      <c r="C623" t="s">
        <v>3897</v>
      </c>
      <c r="D623" t="s">
        <v>219</v>
      </c>
      <c r="E623" t="s">
        <v>86</v>
      </c>
      <c r="F623" s="2">
        <v>7.84</v>
      </c>
      <c r="G623">
        <v>1</v>
      </c>
      <c r="H623" s="2">
        <f>Tabla_Items_Inactivos[[#This Row],[EXISTENCIA]]*Tabla_Items_Inactivos[[#This Row],[COSTO]]</f>
        <v>7.84</v>
      </c>
    </row>
    <row r="624" spans="1:8">
      <c r="A624" t="s">
        <v>3300</v>
      </c>
      <c r="B624" t="s">
        <v>3898</v>
      </c>
      <c r="C624" t="s">
        <v>3899</v>
      </c>
      <c r="D624" t="s">
        <v>98</v>
      </c>
      <c r="E624" t="s">
        <v>86</v>
      </c>
      <c r="F624" s="2">
        <v>0.7</v>
      </c>
      <c r="G624">
        <v>10</v>
      </c>
      <c r="H624" s="2">
        <f>Tabla_Items_Inactivos[[#This Row],[EXISTENCIA]]*Tabla_Items_Inactivos[[#This Row],[COSTO]]</f>
        <v>7</v>
      </c>
    </row>
    <row r="625" spans="1:8">
      <c r="A625" t="s">
        <v>3300</v>
      </c>
      <c r="B625" t="s">
        <v>269</v>
      </c>
      <c r="C625" t="s">
        <v>270</v>
      </c>
      <c r="D625" t="s">
        <v>98</v>
      </c>
      <c r="E625" t="s">
        <v>86</v>
      </c>
      <c r="F625" s="2">
        <v>3.26</v>
      </c>
      <c r="G625">
        <v>4</v>
      </c>
      <c r="H625" s="2">
        <f>Tabla_Items_Inactivos[[#This Row],[EXISTENCIA]]*Tabla_Items_Inactivos[[#This Row],[COSTO]]</f>
        <v>13.04</v>
      </c>
    </row>
    <row r="626" spans="1:8">
      <c r="A626" t="s">
        <v>3301</v>
      </c>
      <c r="B626" t="s">
        <v>3900</v>
      </c>
      <c r="C626" t="s">
        <v>3901</v>
      </c>
      <c r="D626" t="s">
        <v>98</v>
      </c>
      <c r="E626" t="s">
        <v>86</v>
      </c>
      <c r="F626" s="2">
        <v>9.7028999999999996</v>
      </c>
      <c r="G626">
        <v>13</v>
      </c>
      <c r="H626" s="2">
        <f>Tabla_Items_Inactivos[[#This Row],[EXISTENCIA]]*Tabla_Items_Inactivos[[#This Row],[COSTO]]</f>
        <v>126.1377</v>
      </c>
    </row>
    <row r="627" spans="1:8">
      <c r="A627" t="s">
        <v>3300</v>
      </c>
      <c r="B627" t="s">
        <v>3900</v>
      </c>
      <c r="C627" t="s">
        <v>3901</v>
      </c>
      <c r="D627" t="s">
        <v>98</v>
      </c>
      <c r="E627" t="s">
        <v>86</v>
      </c>
      <c r="F627" s="2">
        <v>9.7028999999999996</v>
      </c>
      <c r="G627">
        <v>13</v>
      </c>
      <c r="H627" s="2">
        <f>Tabla_Items_Inactivos[[#This Row],[EXISTENCIA]]*Tabla_Items_Inactivos[[#This Row],[COSTO]]</f>
        <v>126.1377</v>
      </c>
    </row>
    <row r="628" spans="1:8">
      <c r="A628" t="s">
        <v>3300</v>
      </c>
      <c r="B628" t="s">
        <v>3902</v>
      </c>
      <c r="C628" t="s">
        <v>3903</v>
      </c>
      <c r="D628" t="s">
        <v>98</v>
      </c>
      <c r="E628" t="s">
        <v>86</v>
      </c>
      <c r="F628" s="2">
        <v>8.5120000000000005</v>
      </c>
      <c r="G628">
        <v>15</v>
      </c>
      <c r="H628" s="2">
        <f>Tabla_Items_Inactivos[[#This Row],[EXISTENCIA]]*Tabla_Items_Inactivos[[#This Row],[COSTO]]</f>
        <v>127.68</v>
      </c>
    </row>
    <row r="629" spans="1:8">
      <c r="A629" t="s">
        <v>3300</v>
      </c>
      <c r="B629" t="s">
        <v>3904</v>
      </c>
      <c r="C629" t="s">
        <v>3905</v>
      </c>
      <c r="D629" t="s">
        <v>85</v>
      </c>
      <c r="E629" t="s">
        <v>86</v>
      </c>
      <c r="F629" s="2">
        <v>6.1418999999999997</v>
      </c>
      <c r="G629">
        <v>4</v>
      </c>
      <c r="H629" s="2">
        <f>Tabla_Items_Inactivos[[#This Row],[EXISTENCIA]]*Tabla_Items_Inactivos[[#This Row],[COSTO]]</f>
        <v>24.567599999999999</v>
      </c>
    </row>
    <row r="630" spans="1:8">
      <c r="A630" t="s">
        <v>3301</v>
      </c>
      <c r="B630" t="s">
        <v>3904</v>
      </c>
      <c r="C630" t="s">
        <v>3905</v>
      </c>
      <c r="D630" t="s">
        <v>85</v>
      </c>
      <c r="E630" t="s">
        <v>86</v>
      </c>
      <c r="F630" s="2">
        <v>6.1418999999999997</v>
      </c>
      <c r="G630">
        <v>4</v>
      </c>
      <c r="H630" s="2">
        <f>Tabla_Items_Inactivos[[#This Row],[EXISTENCIA]]*Tabla_Items_Inactivos[[#This Row],[COSTO]]</f>
        <v>24.567599999999999</v>
      </c>
    </row>
    <row r="631" spans="1:8">
      <c r="A631" t="s">
        <v>3300</v>
      </c>
      <c r="B631" t="s">
        <v>3906</v>
      </c>
      <c r="C631" t="s">
        <v>2367</v>
      </c>
      <c r="D631" t="s">
        <v>98</v>
      </c>
      <c r="E631" t="s">
        <v>86</v>
      </c>
      <c r="F631" s="2">
        <v>38.993299999999998</v>
      </c>
      <c r="G631">
        <v>2</v>
      </c>
      <c r="H631" s="2">
        <f>Tabla_Items_Inactivos[[#This Row],[EXISTENCIA]]*Tabla_Items_Inactivos[[#This Row],[COSTO]]</f>
        <v>77.986599999999996</v>
      </c>
    </row>
    <row r="632" spans="1:8">
      <c r="A632" t="s">
        <v>3300</v>
      </c>
      <c r="B632" t="s">
        <v>3907</v>
      </c>
      <c r="C632" t="s">
        <v>3908</v>
      </c>
      <c r="D632" t="s">
        <v>476</v>
      </c>
      <c r="E632" t="s">
        <v>86</v>
      </c>
      <c r="F632" s="2">
        <v>12.2471</v>
      </c>
      <c r="G632">
        <v>8</v>
      </c>
      <c r="H632" s="2">
        <f>Tabla_Items_Inactivos[[#This Row],[EXISTENCIA]]*Tabla_Items_Inactivos[[#This Row],[COSTO]]</f>
        <v>97.976799999999997</v>
      </c>
    </row>
    <row r="633" spans="1:8">
      <c r="A633" t="s">
        <v>3301</v>
      </c>
      <c r="B633" t="s">
        <v>3907</v>
      </c>
      <c r="C633" t="s">
        <v>3908</v>
      </c>
      <c r="D633" t="s">
        <v>476</v>
      </c>
      <c r="E633" t="s">
        <v>86</v>
      </c>
      <c r="F633" s="2">
        <v>12.2471</v>
      </c>
      <c r="G633">
        <v>8</v>
      </c>
      <c r="H633" s="2">
        <f>Tabla_Items_Inactivos[[#This Row],[EXISTENCIA]]*Tabla_Items_Inactivos[[#This Row],[COSTO]]</f>
        <v>97.976799999999997</v>
      </c>
    </row>
    <row r="634" spans="1:8">
      <c r="A634" t="s">
        <v>3300</v>
      </c>
      <c r="B634" t="s">
        <v>3909</v>
      </c>
      <c r="C634" t="s">
        <v>3910</v>
      </c>
      <c r="D634" t="s">
        <v>476</v>
      </c>
      <c r="E634" t="s">
        <v>86</v>
      </c>
      <c r="F634" s="2">
        <v>13.3588</v>
      </c>
      <c r="G634">
        <v>6</v>
      </c>
      <c r="H634" s="2">
        <f>Tabla_Items_Inactivos[[#This Row],[EXISTENCIA]]*Tabla_Items_Inactivos[[#This Row],[COSTO]]</f>
        <v>80.152799999999999</v>
      </c>
    </row>
    <row r="635" spans="1:8">
      <c r="A635" t="s">
        <v>3301</v>
      </c>
      <c r="B635" t="s">
        <v>3909</v>
      </c>
      <c r="C635" t="s">
        <v>3910</v>
      </c>
      <c r="D635" t="s">
        <v>476</v>
      </c>
      <c r="E635" t="s">
        <v>86</v>
      </c>
      <c r="F635" s="2">
        <v>13.3588</v>
      </c>
      <c r="G635">
        <v>6</v>
      </c>
      <c r="H635" s="2">
        <f>Tabla_Items_Inactivos[[#This Row],[EXISTENCIA]]*Tabla_Items_Inactivos[[#This Row],[COSTO]]</f>
        <v>80.152799999999999</v>
      </c>
    </row>
    <row r="636" spans="1:8">
      <c r="A636" t="s">
        <v>3300</v>
      </c>
      <c r="B636" t="s">
        <v>3911</v>
      </c>
      <c r="C636" t="s">
        <v>3261</v>
      </c>
      <c r="D636" t="s">
        <v>476</v>
      </c>
      <c r="E636" t="s">
        <v>86</v>
      </c>
      <c r="F636" s="2">
        <v>20.116</v>
      </c>
      <c r="G636">
        <v>2</v>
      </c>
      <c r="H636" s="2">
        <f>Tabla_Items_Inactivos[[#This Row],[EXISTENCIA]]*Tabla_Items_Inactivos[[#This Row],[COSTO]]</f>
        <v>40.231999999999999</v>
      </c>
    </row>
    <row r="637" spans="1:8">
      <c r="A637" t="s">
        <v>3300</v>
      </c>
      <c r="B637" t="s">
        <v>3912</v>
      </c>
      <c r="C637" t="s">
        <v>3913</v>
      </c>
      <c r="D637" t="s">
        <v>98</v>
      </c>
      <c r="E637" t="s">
        <v>86</v>
      </c>
      <c r="F637" s="2">
        <v>6.6505000000000001</v>
      </c>
      <c r="G637">
        <v>8</v>
      </c>
      <c r="H637" s="2">
        <f>Tabla_Items_Inactivos[[#This Row],[EXISTENCIA]]*Tabla_Items_Inactivos[[#This Row],[COSTO]]</f>
        <v>53.204000000000001</v>
      </c>
    </row>
    <row r="638" spans="1:8">
      <c r="A638" t="s">
        <v>3301</v>
      </c>
      <c r="B638" t="s">
        <v>3912</v>
      </c>
      <c r="C638" t="s">
        <v>3913</v>
      </c>
      <c r="D638" t="s">
        <v>98</v>
      </c>
      <c r="E638" t="s">
        <v>86</v>
      </c>
      <c r="F638" s="2">
        <v>6.6505000000000001</v>
      </c>
      <c r="G638">
        <v>8</v>
      </c>
      <c r="H638" s="2">
        <f>Tabla_Items_Inactivos[[#This Row],[EXISTENCIA]]*Tabla_Items_Inactivos[[#This Row],[COSTO]]</f>
        <v>53.204000000000001</v>
      </c>
    </row>
    <row r="639" spans="1:8">
      <c r="A639" t="s">
        <v>3300</v>
      </c>
      <c r="B639" t="s">
        <v>3914</v>
      </c>
      <c r="C639" t="s">
        <v>3915</v>
      </c>
      <c r="D639" t="s">
        <v>98</v>
      </c>
      <c r="E639" t="s">
        <v>86</v>
      </c>
      <c r="F639" s="2">
        <v>11.0951</v>
      </c>
      <c r="G639">
        <v>13</v>
      </c>
      <c r="H639" s="2">
        <f>Tabla_Items_Inactivos[[#This Row],[EXISTENCIA]]*Tabla_Items_Inactivos[[#This Row],[COSTO]]</f>
        <v>144.2363</v>
      </c>
    </row>
    <row r="640" spans="1:8">
      <c r="A640" t="s">
        <v>3301</v>
      </c>
      <c r="B640" t="s">
        <v>3914</v>
      </c>
      <c r="C640" t="s">
        <v>3915</v>
      </c>
      <c r="D640" t="s">
        <v>98</v>
      </c>
      <c r="E640" t="s">
        <v>86</v>
      </c>
      <c r="F640" s="2">
        <v>11.0951</v>
      </c>
      <c r="G640">
        <v>13</v>
      </c>
      <c r="H640" s="2">
        <f>Tabla_Items_Inactivos[[#This Row],[EXISTENCIA]]*Tabla_Items_Inactivos[[#This Row],[COSTO]]</f>
        <v>144.2363</v>
      </c>
    </row>
    <row r="641" spans="1:8">
      <c r="A641" t="s">
        <v>3301</v>
      </c>
      <c r="B641" t="s">
        <v>3916</v>
      </c>
      <c r="C641" t="s">
        <v>3917</v>
      </c>
      <c r="D641" t="s">
        <v>98</v>
      </c>
      <c r="E641" t="s">
        <v>86</v>
      </c>
      <c r="F641" s="2">
        <v>4.4017999999999997</v>
      </c>
      <c r="G641">
        <v>39</v>
      </c>
      <c r="H641" s="2">
        <f>Tabla_Items_Inactivos[[#This Row],[EXISTENCIA]]*Tabla_Items_Inactivos[[#This Row],[COSTO]]</f>
        <v>171.67019999999999</v>
      </c>
    </row>
    <row r="642" spans="1:8">
      <c r="A642" t="s">
        <v>3300</v>
      </c>
      <c r="B642" t="s">
        <v>3916</v>
      </c>
      <c r="C642" t="s">
        <v>3917</v>
      </c>
      <c r="D642" t="s">
        <v>98</v>
      </c>
      <c r="E642" t="s">
        <v>86</v>
      </c>
      <c r="F642" s="2">
        <v>4.4017999999999997</v>
      </c>
      <c r="G642">
        <v>39</v>
      </c>
      <c r="H642" s="2">
        <f>Tabla_Items_Inactivos[[#This Row],[EXISTENCIA]]*Tabla_Items_Inactivos[[#This Row],[COSTO]]</f>
        <v>171.67019999999999</v>
      </c>
    </row>
    <row r="643" spans="1:8">
      <c r="A643" t="s">
        <v>3300</v>
      </c>
      <c r="B643" t="s">
        <v>3918</v>
      </c>
      <c r="C643" t="s">
        <v>3919</v>
      </c>
      <c r="D643" t="s">
        <v>98</v>
      </c>
      <c r="E643" t="s">
        <v>86</v>
      </c>
      <c r="F643" s="2">
        <v>7.6612999999999998</v>
      </c>
      <c r="G643">
        <v>5</v>
      </c>
      <c r="H643" s="2">
        <f>Tabla_Items_Inactivos[[#This Row],[EXISTENCIA]]*Tabla_Items_Inactivos[[#This Row],[COSTO]]</f>
        <v>38.3065</v>
      </c>
    </row>
    <row r="644" spans="1:8">
      <c r="A644" t="s">
        <v>3301</v>
      </c>
      <c r="B644" t="s">
        <v>3918</v>
      </c>
      <c r="C644" t="s">
        <v>3919</v>
      </c>
      <c r="D644" t="s">
        <v>98</v>
      </c>
      <c r="E644" t="s">
        <v>86</v>
      </c>
      <c r="F644" s="2">
        <v>7.6612999999999998</v>
      </c>
      <c r="G644">
        <v>5</v>
      </c>
      <c r="H644" s="2">
        <f>Tabla_Items_Inactivos[[#This Row],[EXISTENCIA]]*Tabla_Items_Inactivos[[#This Row],[COSTO]]</f>
        <v>38.3065</v>
      </c>
    </row>
    <row r="645" spans="1:8">
      <c r="A645" t="s">
        <v>3300</v>
      </c>
      <c r="B645" t="s">
        <v>3920</v>
      </c>
      <c r="C645" t="s">
        <v>3921</v>
      </c>
      <c r="D645" t="s">
        <v>98</v>
      </c>
      <c r="E645" t="s">
        <v>86</v>
      </c>
      <c r="F645" s="2">
        <v>17.9816</v>
      </c>
      <c r="G645">
        <v>2</v>
      </c>
      <c r="H645" s="2">
        <f>Tabla_Items_Inactivos[[#This Row],[EXISTENCIA]]*Tabla_Items_Inactivos[[#This Row],[COSTO]]</f>
        <v>35.963200000000001</v>
      </c>
    </row>
    <row r="646" spans="1:8">
      <c r="A646" t="s">
        <v>3301</v>
      </c>
      <c r="B646" t="s">
        <v>3920</v>
      </c>
      <c r="C646" t="s">
        <v>3921</v>
      </c>
      <c r="D646" t="s">
        <v>98</v>
      </c>
      <c r="E646" t="s">
        <v>86</v>
      </c>
      <c r="F646" s="2">
        <v>17.9816</v>
      </c>
      <c r="G646">
        <v>2</v>
      </c>
      <c r="H646" s="2">
        <f>Tabla_Items_Inactivos[[#This Row],[EXISTENCIA]]*Tabla_Items_Inactivos[[#This Row],[COSTO]]</f>
        <v>35.963200000000001</v>
      </c>
    </row>
    <row r="647" spans="1:8">
      <c r="A647" t="s">
        <v>3300</v>
      </c>
      <c r="B647" t="s">
        <v>3922</v>
      </c>
      <c r="C647" t="s">
        <v>3923</v>
      </c>
      <c r="D647" t="s">
        <v>98</v>
      </c>
      <c r="E647" t="s">
        <v>86</v>
      </c>
      <c r="F647" s="2">
        <v>0</v>
      </c>
      <c r="G647">
        <v>1</v>
      </c>
      <c r="H647" s="2">
        <f>Tabla_Items_Inactivos[[#This Row],[EXISTENCIA]]*Tabla_Items_Inactivos[[#This Row],[COSTO]]</f>
        <v>0</v>
      </c>
    </row>
    <row r="648" spans="1:8">
      <c r="A648" t="s">
        <v>3300</v>
      </c>
      <c r="B648" t="s">
        <v>3924</v>
      </c>
      <c r="C648" t="s">
        <v>3925</v>
      </c>
      <c r="D648" t="s">
        <v>98</v>
      </c>
      <c r="E648" t="s">
        <v>86</v>
      </c>
      <c r="F648" s="2">
        <v>0</v>
      </c>
      <c r="G648">
        <v>1</v>
      </c>
      <c r="H648" s="2">
        <f>Tabla_Items_Inactivos[[#This Row],[EXISTENCIA]]*Tabla_Items_Inactivos[[#This Row],[COSTO]]</f>
        <v>0</v>
      </c>
    </row>
    <row r="649" spans="1:8">
      <c r="A649" t="s">
        <v>3300</v>
      </c>
      <c r="B649" t="s">
        <v>3926</v>
      </c>
      <c r="C649" t="s">
        <v>3262</v>
      </c>
      <c r="D649" t="s">
        <v>98</v>
      </c>
      <c r="E649" t="s">
        <v>86</v>
      </c>
      <c r="F649" s="2">
        <v>30.545999999999999</v>
      </c>
      <c r="G649">
        <v>7</v>
      </c>
      <c r="H649" s="2">
        <f>Tabla_Items_Inactivos[[#This Row],[EXISTENCIA]]*Tabla_Items_Inactivos[[#This Row],[COSTO]]</f>
        <v>213.822</v>
      </c>
    </row>
    <row r="650" spans="1:8">
      <c r="A650" t="s">
        <v>3301</v>
      </c>
      <c r="B650" t="s">
        <v>3927</v>
      </c>
      <c r="C650" t="s">
        <v>3852</v>
      </c>
      <c r="D650" t="s">
        <v>98</v>
      </c>
      <c r="E650" t="s">
        <v>86</v>
      </c>
      <c r="F650" s="2">
        <v>9.9381000000000004</v>
      </c>
      <c r="G650">
        <v>14</v>
      </c>
      <c r="H650" s="2">
        <f>Tabla_Items_Inactivos[[#This Row],[EXISTENCIA]]*Tabla_Items_Inactivos[[#This Row],[COSTO]]</f>
        <v>139.13339999999999</v>
      </c>
    </row>
    <row r="651" spans="1:8">
      <c r="A651" t="s">
        <v>3300</v>
      </c>
      <c r="B651" t="s">
        <v>3927</v>
      </c>
      <c r="C651" t="s">
        <v>3852</v>
      </c>
      <c r="D651" t="s">
        <v>98</v>
      </c>
      <c r="E651" t="s">
        <v>86</v>
      </c>
      <c r="F651" s="2">
        <v>9.9381000000000004</v>
      </c>
      <c r="G651">
        <v>14</v>
      </c>
      <c r="H651" s="2">
        <f>Tabla_Items_Inactivos[[#This Row],[EXISTENCIA]]*Tabla_Items_Inactivos[[#This Row],[COSTO]]</f>
        <v>139.13339999999999</v>
      </c>
    </row>
    <row r="652" spans="1:8">
      <c r="A652" t="s">
        <v>3300</v>
      </c>
      <c r="B652" t="s">
        <v>3928</v>
      </c>
      <c r="C652" t="s">
        <v>3929</v>
      </c>
      <c r="D652" t="s">
        <v>98</v>
      </c>
      <c r="E652" t="s">
        <v>86</v>
      </c>
      <c r="F652" s="2">
        <v>5.6044999999999998</v>
      </c>
      <c r="G652">
        <v>11</v>
      </c>
      <c r="H652" s="2">
        <f>Tabla_Items_Inactivos[[#This Row],[EXISTENCIA]]*Tabla_Items_Inactivos[[#This Row],[COSTO]]</f>
        <v>61.649499999999996</v>
      </c>
    </row>
    <row r="653" spans="1:8">
      <c r="A653" t="s">
        <v>3301</v>
      </c>
      <c r="B653" t="s">
        <v>3928</v>
      </c>
      <c r="C653" t="s">
        <v>3929</v>
      </c>
      <c r="D653" t="s">
        <v>98</v>
      </c>
      <c r="E653" t="s">
        <v>86</v>
      </c>
      <c r="F653" s="2">
        <v>5.6044999999999998</v>
      </c>
      <c r="G653">
        <v>11</v>
      </c>
      <c r="H653" s="2">
        <f>Tabla_Items_Inactivos[[#This Row],[EXISTENCIA]]*Tabla_Items_Inactivos[[#This Row],[COSTO]]</f>
        <v>61.649499999999996</v>
      </c>
    </row>
    <row r="654" spans="1:8">
      <c r="A654" t="s">
        <v>3300</v>
      </c>
      <c r="B654" t="s">
        <v>3930</v>
      </c>
      <c r="C654" t="s">
        <v>3929</v>
      </c>
      <c r="D654" t="s">
        <v>98</v>
      </c>
      <c r="E654" t="s">
        <v>86</v>
      </c>
      <c r="F654" s="2">
        <v>8.2509999999999994</v>
      </c>
      <c r="G654">
        <v>5</v>
      </c>
      <c r="H654" s="2">
        <f>Tabla_Items_Inactivos[[#This Row],[EXISTENCIA]]*Tabla_Items_Inactivos[[#This Row],[COSTO]]</f>
        <v>41.254999999999995</v>
      </c>
    </row>
    <row r="655" spans="1:8">
      <c r="A655" t="s">
        <v>3300</v>
      </c>
      <c r="B655" t="s">
        <v>3931</v>
      </c>
      <c r="C655" t="s">
        <v>3263</v>
      </c>
      <c r="D655" t="s">
        <v>98</v>
      </c>
      <c r="E655" t="s">
        <v>86</v>
      </c>
      <c r="F655" s="2">
        <v>1.6306</v>
      </c>
      <c r="G655">
        <v>4</v>
      </c>
      <c r="H655" s="2">
        <f>Tabla_Items_Inactivos[[#This Row],[EXISTENCIA]]*Tabla_Items_Inactivos[[#This Row],[COSTO]]</f>
        <v>6.5224000000000002</v>
      </c>
    </row>
    <row r="656" spans="1:8">
      <c r="A656" t="s">
        <v>3300</v>
      </c>
      <c r="B656" t="s">
        <v>2893</v>
      </c>
      <c r="C656" t="s">
        <v>2894</v>
      </c>
      <c r="D656" t="s">
        <v>98</v>
      </c>
      <c r="E656" t="s">
        <v>86</v>
      </c>
      <c r="F656" s="2">
        <v>7.718</v>
      </c>
      <c r="G656">
        <v>5</v>
      </c>
      <c r="H656" s="2">
        <f>Tabla_Items_Inactivos[[#This Row],[EXISTENCIA]]*Tabla_Items_Inactivos[[#This Row],[COSTO]]</f>
        <v>38.590000000000003</v>
      </c>
    </row>
    <row r="657" spans="1:8">
      <c r="A657" t="s">
        <v>3300</v>
      </c>
      <c r="B657" t="s">
        <v>3932</v>
      </c>
      <c r="C657" t="s">
        <v>2368</v>
      </c>
      <c r="D657" t="s">
        <v>98</v>
      </c>
      <c r="E657" t="s">
        <v>86</v>
      </c>
      <c r="F657" s="2">
        <v>13.555</v>
      </c>
      <c r="G657">
        <v>2</v>
      </c>
      <c r="H657" s="2">
        <f>Tabla_Items_Inactivos[[#This Row],[EXISTENCIA]]*Tabla_Items_Inactivos[[#This Row],[COSTO]]</f>
        <v>27.11</v>
      </c>
    </row>
    <row r="658" spans="1:8">
      <c r="A658" t="s">
        <v>3300</v>
      </c>
      <c r="B658" t="s">
        <v>3933</v>
      </c>
      <c r="C658" t="s">
        <v>3934</v>
      </c>
      <c r="D658" t="s">
        <v>98</v>
      </c>
      <c r="E658" t="s">
        <v>86</v>
      </c>
      <c r="F658" s="2">
        <v>50.094999999999999</v>
      </c>
      <c r="G658">
        <v>3</v>
      </c>
      <c r="H658" s="2">
        <f>Tabla_Items_Inactivos[[#This Row],[EXISTENCIA]]*Tabla_Items_Inactivos[[#This Row],[COSTO]]</f>
        <v>150.285</v>
      </c>
    </row>
    <row r="659" spans="1:8">
      <c r="A659" t="s">
        <v>3300</v>
      </c>
      <c r="B659" t="s">
        <v>271</v>
      </c>
      <c r="C659" t="s">
        <v>272</v>
      </c>
      <c r="D659" t="s">
        <v>467</v>
      </c>
      <c r="E659" t="s">
        <v>86</v>
      </c>
      <c r="F659" s="2">
        <v>291.92309999999998</v>
      </c>
      <c r="G659">
        <v>7</v>
      </c>
      <c r="H659" s="2">
        <f>Tabla_Items_Inactivos[[#This Row],[EXISTENCIA]]*Tabla_Items_Inactivos[[#This Row],[COSTO]]</f>
        <v>2043.4616999999998</v>
      </c>
    </row>
    <row r="660" spans="1:8">
      <c r="A660" t="s">
        <v>3301</v>
      </c>
      <c r="B660" t="s">
        <v>271</v>
      </c>
      <c r="C660" t="s">
        <v>272</v>
      </c>
      <c r="D660" t="s">
        <v>467</v>
      </c>
      <c r="E660" t="s">
        <v>86</v>
      </c>
      <c r="F660" s="2">
        <v>291.92309999999998</v>
      </c>
      <c r="G660">
        <v>7</v>
      </c>
      <c r="H660" s="2">
        <f>Tabla_Items_Inactivos[[#This Row],[EXISTENCIA]]*Tabla_Items_Inactivos[[#This Row],[COSTO]]</f>
        <v>2043.4616999999998</v>
      </c>
    </row>
    <row r="661" spans="1:8">
      <c r="A661" t="s">
        <v>3300</v>
      </c>
      <c r="B661" t="s">
        <v>3935</v>
      </c>
      <c r="C661" t="s">
        <v>3936</v>
      </c>
      <c r="D661" t="s">
        <v>467</v>
      </c>
      <c r="E661" t="s">
        <v>86</v>
      </c>
      <c r="F661" s="2">
        <v>253.95689999999999</v>
      </c>
      <c r="G661">
        <v>3</v>
      </c>
      <c r="H661" s="2">
        <f>Tabla_Items_Inactivos[[#This Row],[EXISTENCIA]]*Tabla_Items_Inactivos[[#This Row],[COSTO]]</f>
        <v>761.87069999999994</v>
      </c>
    </row>
    <row r="662" spans="1:8">
      <c r="A662" t="s">
        <v>3301</v>
      </c>
      <c r="B662" t="s">
        <v>3935</v>
      </c>
      <c r="C662" t="s">
        <v>3936</v>
      </c>
      <c r="D662" t="s">
        <v>467</v>
      </c>
      <c r="E662" t="s">
        <v>86</v>
      </c>
      <c r="F662" s="2">
        <v>253.95689999999999</v>
      </c>
      <c r="G662">
        <v>3</v>
      </c>
      <c r="H662" s="2">
        <f>Tabla_Items_Inactivos[[#This Row],[EXISTENCIA]]*Tabla_Items_Inactivos[[#This Row],[COSTO]]</f>
        <v>761.87069999999994</v>
      </c>
    </row>
    <row r="663" spans="1:8">
      <c r="A663" t="s">
        <v>3300</v>
      </c>
      <c r="B663" t="s">
        <v>273</v>
      </c>
      <c r="C663" t="s">
        <v>274</v>
      </c>
      <c r="D663" t="s">
        <v>98</v>
      </c>
      <c r="E663" t="s">
        <v>86</v>
      </c>
      <c r="F663" s="2">
        <v>5.96</v>
      </c>
      <c r="G663">
        <v>5</v>
      </c>
      <c r="H663" s="2">
        <f>Tabla_Items_Inactivos[[#This Row],[EXISTENCIA]]*Tabla_Items_Inactivos[[#This Row],[COSTO]]</f>
        <v>29.8</v>
      </c>
    </row>
    <row r="664" spans="1:8">
      <c r="A664" t="s">
        <v>3300</v>
      </c>
      <c r="B664" t="s">
        <v>275</v>
      </c>
      <c r="C664" t="s">
        <v>276</v>
      </c>
      <c r="D664" t="s">
        <v>98</v>
      </c>
      <c r="E664" t="s">
        <v>86</v>
      </c>
      <c r="F664" s="2">
        <v>5.83</v>
      </c>
      <c r="G664">
        <v>5</v>
      </c>
      <c r="H664" s="2">
        <f>Tabla_Items_Inactivos[[#This Row],[EXISTENCIA]]*Tabla_Items_Inactivos[[#This Row],[COSTO]]</f>
        <v>29.15</v>
      </c>
    </row>
    <row r="665" spans="1:8">
      <c r="A665" t="s">
        <v>3300</v>
      </c>
      <c r="B665" t="s">
        <v>277</v>
      </c>
      <c r="C665" t="s">
        <v>278</v>
      </c>
      <c r="D665" t="s">
        <v>98</v>
      </c>
      <c r="E665" t="s">
        <v>86</v>
      </c>
      <c r="F665" s="2">
        <v>2.98</v>
      </c>
      <c r="G665">
        <v>5</v>
      </c>
      <c r="H665" s="2">
        <f>Tabla_Items_Inactivos[[#This Row],[EXISTENCIA]]*Tabla_Items_Inactivos[[#This Row],[COSTO]]</f>
        <v>14.9</v>
      </c>
    </row>
    <row r="666" spans="1:8">
      <c r="A666" t="s">
        <v>3300</v>
      </c>
      <c r="B666" t="s">
        <v>279</v>
      </c>
      <c r="C666" t="s">
        <v>280</v>
      </c>
      <c r="D666" t="s">
        <v>98</v>
      </c>
      <c r="E666" t="s">
        <v>86</v>
      </c>
      <c r="F666" s="2">
        <v>6.1</v>
      </c>
      <c r="G666">
        <v>4</v>
      </c>
      <c r="H666" s="2">
        <f>Tabla_Items_Inactivos[[#This Row],[EXISTENCIA]]*Tabla_Items_Inactivos[[#This Row],[COSTO]]</f>
        <v>24.4</v>
      </c>
    </row>
    <row r="667" spans="1:8">
      <c r="A667" t="s">
        <v>3300</v>
      </c>
      <c r="B667" t="s">
        <v>281</v>
      </c>
      <c r="C667" t="s">
        <v>282</v>
      </c>
      <c r="D667" t="s">
        <v>98</v>
      </c>
      <c r="E667" t="s">
        <v>86</v>
      </c>
      <c r="F667" s="2">
        <v>8.1</v>
      </c>
      <c r="G667">
        <v>2</v>
      </c>
      <c r="H667" s="2">
        <f>Tabla_Items_Inactivos[[#This Row],[EXISTENCIA]]*Tabla_Items_Inactivos[[#This Row],[COSTO]]</f>
        <v>16.2</v>
      </c>
    </row>
    <row r="668" spans="1:8">
      <c r="A668" t="s">
        <v>3300</v>
      </c>
      <c r="B668" t="s">
        <v>284</v>
      </c>
      <c r="C668" t="s">
        <v>285</v>
      </c>
      <c r="D668" t="s">
        <v>98</v>
      </c>
      <c r="E668" t="s">
        <v>86</v>
      </c>
      <c r="F668" s="2">
        <v>14.06</v>
      </c>
      <c r="G668">
        <v>2</v>
      </c>
      <c r="H668" s="2">
        <f>Tabla_Items_Inactivos[[#This Row],[EXISTENCIA]]*Tabla_Items_Inactivos[[#This Row],[COSTO]]</f>
        <v>28.12</v>
      </c>
    </row>
    <row r="669" spans="1:8">
      <c r="A669" t="s">
        <v>3300</v>
      </c>
      <c r="B669" t="s">
        <v>3937</v>
      </c>
      <c r="C669" t="s">
        <v>3938</v>
      </c>
      <c r="D669" t="s">
        <v>3482</v>
      </c>
      <c r="E669" t="s">
        <v>86</v>
      </c>
      <c r="F669" s="2">
        <v>40.54</v>
      </c>
      <c r="G669">
        <v>4</v>
      </c>
      <c r="H669" s="2">
        <f>Tabla_Items_Inactivos[[#This Row],[EXISTENCIA]]*Tabla_Items_Inactivos[[#This Row],[COSTO]]</f>
        <v>162.16</v>
      </c>
    </row>
    <row r="670" spans="1:8">
      <c r="A670" t="s">
        <v>3300</v>
      </c>
      <c r="B670" t="s">
        <v>3939</v>
      </c>
      <c r="C670" t="s">
        <v>3940</v>
      </c>
      <c r="D670" t="s">
        <v>2499</v>
      </c>
      <c r="E670" t="s">
        <v>1931</v>
      </c>
      <c r="F670" s="2">
        <v>9.8140000000000001</v>
      </c>
      <c r="G670">
        <v>8</v>
      </c>
      <c r="H670" s="2">
        <f>Tabla_Items_Inactivos[[#This Row],[EXISTENCIA]]*Tabla_Items_Inactivos[[#This Row],[COSTO]]</f>
        <v>78.512</v>
      </c>
    </row>
    <row r="671" spans="1:8">
      <c r="A671" t="s">
        <v>3300</v>
      </c>
      <c r="B671" t="s">
        <v>3941</v>
      </c>
      <c r="C671" t="s">
        <v>3942</v>
      </c>
      <c r="D671" t="s">
        <v>85</v>
      </c>
      <c r="E671" t="s">
        <v>86</v>
      </c>
      <c r="F671" s="2">
        <v>7.3685999999999998</v>
      </c>
      <c r="G671">
        <v>23</v>
      </c>
      <c r="H671" s="2">
        <f>Tabla_Items_Inactivos[[#This Row],[EXISTENCIA]]*Tabla_Items_Inactivos[[#This Row],[COSTO]]</f>
        <v>169.4778</v>
      </c>
    </row>
    <row r="672" spans="1:8">
      <c r="A672" t="s">
        <v>3300</v>
      </c>
      <c r="B672" t="s">
        <v>3943</v>
      </c>
      <c r="C672" t="s">
        <v>3944</v>
      </c>
      <c r="D672" t="s">
        <v>436</v>
      </c>
      <c r="E672" t="s">
        <v>86</v>
      </c>
      <c r="F672" s="2">
        <v>13.66</v>
      </c>
      <c r="G672">
        <v>2</v>
      </c>
      <c r="H672" s="2">
        <f>Tabla_Items_Inactivos[[#This Row],[EXISTENCIA]]*Tabla_Items_Inactivos[[#This Row],[COSTO]]</f>
        <v>27.32</v>
      </c>
    </row>
    <row r="673" spans="1:8">
      <c r="A673" t="s">
        <v>3300</v>
      </c>
      <c r="B673" t="s">
        <v>3945</v>
      </c>
      <c r="C673" t="s">
        <v>3946</v>
      </c>
      <c r="D673" t="s">
        <v>436</v>
      </c>
      <c r="E673" t="s">
        <v>86</v>
      </c>
      <c r="F673" s="2">
        <v>28.41</v>
      </c>
      <c r="G673">
        <v>2</v>
      </c>
      <c r="H673" s="2">
        <f>Tabla_Items_Inactivos[[#This Row],[EXISTENCIA]]*Tabla_Items_Inactivos[[#This Row],[COSTO]]</f>
        <v>56.82</v>
      </c>
    </row>
    <row r="674" spans="1:8">
      <c r="A674" t="s">
        <v>3300</v>
      </c>
      <c r="B674" t="s">
        <v>2895</v>
      </c>
      <c r="C674" t="s">
        <v>2896</v>
      </c>
      <c r="D674" t="s">
        <v>85</v>
      </c>
      <c r="E674" t="s">
        <v>86</v>
      </c>
      <c r="F674" s="2">
        <v>12.879</v>
      </c>
      <c r="G674">
        <v>9</v>
      </c>
      <c r="H674" s="2">
        <f>Tabla_Items_Inactivos[[#This Row],[EXISTENCIA]]*Tabla_Items_Inactivos[[#This Row],[COSTO]]</f>
        <v>115.911</v>
      </c>
    </row>
    <row r="675" spans="1:8">
      <c r="A675" t="s">
        <v>3300</v>
      </c>
      <c r="B675" t="s">
        <v>3947</v>
      </c>
      <c r="C675" t="s">
        <v>3948</v>
      </c>
      <c r="D675" t="s">
        <v>436</v>
      </c>
      <c r="E675" t="s">
        <v>86</v>
      </c>
      <c r="F675" s="2">
        <v>8.81</v>
      </c>
      <c r="G675">
        <v>1</v>
      </c>
      <c r="H675" s="2">
        <f>Tabla_Items_Inactivos[[#This Row],[EXISTENCIA]]*Tabla_Items_Inactivos[[#This Row],[COSTO]]</f>
        <v>8.81</v>
      </c>
    </row>
    <row r="676" spans="1:8">
      <c r="A676" t="s">
        <v>3300</v>
      </c>
      <c r="B676" t="s">
        <v>3949</v>
      </c>
      <c r="C676" t="s">
        <v>3950</v>
      </c>
      <c r="D676" t="s">
        <v>436</v>
      </c>
      <c r="E676" t="s">
        <v>86</v>
      </c>
      <c r="F676" s="2">
        <v>10.4</v>
      </c>
      <c r="G676">
        <v>2</v>
      </c>
      <c r="H676" s="2">
        <f>Tabla_Items_Inactivos[[#This Row],[EXISTENCIA]]*Tabla_Items_Inactivos[[#This Row],[COSTO]]</f>
        <v>20.8</v>
      </c>
    </row>
    <row r="677" spans="1:8">
      <c r="A677" t="s">
        <v>3300</v>
      </c>
      <c r="B677" t="s">
        <v>3951</v>
      </c>
      <c r="C677" t="s">
        <v>3952</v>
      </c>
      <c r="D677" t="s">
        <v>85</v>
      </c>
      <c r="E677" t="s">
        <v>86</v>
      </c>
      <c r="F677" s="2">
        <v>11.47</v>
      </c>
      <c r="G677">
        <v>9</v>
      </c>
      <c r="H677" s="2">
        <f>Tabla_Items_Inactivos[[#This Row],[EXISTENCIA]]*Tabla_Items_Inactivos[[#This Row],[COSTO]]</f>
        <v>103.23</v>
      </c>
    </row>
    <row r="678" spans="1:8">
      <c r="A678" t="s">
        <v>3300</v>
      </c>
      <c r="B678" t="s">
        <v>2897</v>
      </c>
      <c r="C678" t="s">
        <v>2898</v>
      </c>
      <c r="D678" t="s">
        <v>85</v>
      </c>
      <c r="E678" t="s">
        <v>86</v>
      </c>
      <c r="F678" s="2">
        <v>37.082999999999998</v>
      </c>
      <c r="G678">
        <v>6</v>
      </c>
      <c r="H678" s="2">
        <f>Tabla_Items_Inactivos[[#This Row],[EXISTENCIA]]*Tabla_Items_Inactivos[[#This Row],[COSTO]]</f>
        <v>222.49799999999999</v>
      </c>
    </row>
    <row r="679" spans="1:8">
      <c r="A679" t="s">
        <v>3300</v>
      </c>
      <c r="B679" t="s">
        <v>2899</v>
      </c>
      <c r="C679" t="s">
        <v>2900</v>
      </c>
      <c r="D679" t="s">
        <v>85</v>
      </c>
      <c r="E679" t="s">
        <v>86</v>
      </c>
      <c r="F679" s="2">
        <v>29.117000000000001</v>
      </c>
      <c r="G679">
        <v>4</v>
      </c>
      <c r="H679" s="2">
        <f>Tabla_Items_Inactivos[[#This Row],[EXISTENCIA]]*Tabla_Items_Inactivos[[#This Row],[COSTO]]</f>
        <v>116.468</v>
      </c>
    </row>
    <row r="680" spans="1:8">
      <c r="A680" t="s">
        <v>3300</v>
      </c>
      <c r="B680" t="s">
        <v>2901</v>
      </c>
      <c r="C680" t="s">
        <v>2902</v>
      </c>
      <c r="D680" t="s">
        <v>85</v>
      </c>
      <c r="E680" t="s">
        <v>86</v>
      </c>
      <c r="F680" s="2">
        <v>62.703000000000003</v>
      </c>
      <c r="G680">
        <v>4</v>
      </c>
      <c r="H680" s="2">
        <f>Tabla_Items_Inactivos[[#This Row],[EXISTENCIA]]*Tabla_Items_Inactivos[[#This Row],[COSTO]]</f>
        <v>250.81200000000001</v>
      </c>
    </row>
    <row r="681" spans="1:8">
      <c r="A681" t="s">
        <v>3300</v>
      </c>
      <c r="B681" t="s">
        <v>3953</v>
      </c>
      <c r="C681" t="s">
        <v>3954</v>
      </c>
      <c r="D681" t="s">
        <v>436</v>
      </c>
      <c r="E681" t="s">
        <v>86</v>
      </c>
      <c r="F681" s="2">
        <v>25.04</v>
      </c>
      <c r="G681">
        <v>2</v>
      </c>
      <c r="H681" s="2">
        <f>Tabla_Items_Inactivos[[#This Row],[EXISTENCIA]]*Tabla_Items_Inactivos[[#This Row],[COSTO]]</f>
        <v>50.08</v>
      </c>
    </row>
    <row r="682" spans="1:8">
      <c r="A682" t="s">
        <v>3300</v>
      </c>
      <c r="B682" t="s">
        <v>3955</v>
      </c>
      <c r="C682" t="s">
        <v>3956</v>
      </c>
      <c r="D682" t="s">
        <v>436</v>
      </c>
      <c r="E682" t="s">
        <v>86</v>
      </c>
      <c r="F682" s="2">
        <v>34.71</v>
      </c>
      <c r="G682">
        <v>2</v>
      </c>
      <c r="H682" s="2">
        <f>Tabla_Items_Inactivos[[#This Row],[EXISTENCIA]]*Tabla_Items_Inactivos[[#This Row],[COSTO]]</f>
        <v>69.42</v>
      </c>
    </row>
    <row r="683" spans="1:8">
      <c r="A683" t="s">
        <v>3300</v>
      </c>
      <c r="B683" t="s">
        <v>3957</v>
      </c>
      <c r="C683" t="s">
        <v>3958</v>
      </c>
      <c r="D683" t="s">
        <v>85</v>
      </c>
      <c r="E683" t="s">
        <v>86</v>
      </c>
      <c r="F683" s="2">
        <v>0.22</v>
      </c>
      <c r="G683">
        <v>50</v>
      </c>
      <c r="H683" s="2">
        <f>Tabla_Items_Inactivos[[#This Row],[EXISTENCIA]]*Tabla_Items_Inactivos[[#This Row],[COSTO]]</f>
        <v>11</v>
      </c>
    </row>
    <row r="684" spans="1:8">
      <c r="A684" t="s">
        <v>3300</v>
      </c>
      <c r="B684" t="s">
        <v>3959</v>
      </c>
      <c r="C684" t="s">
        <v>3960</v>
      </c>
      <c r="D684" t="s">
        <v>436</v>
      </c>
      <c r="E684" t="s">
        <v>86</v>
      </c>
      <c r="F684" s="2">
        <v>3.07</v>
      </c>
      <c r="G684">
        <v>2</v>
      </c>
      <c r="H684" s="2">
        <f>Tabla_Items_Inactivos[[#This Row],[EXISTENCIA]]*Tabla_Items_Inactivos[[#This Row],[COSTO]]</f>
        <v>6.14</v>
      </c>
    </row>
    <row r="685" spans="1:8">
      <c r="A685" t="s">
        <v>3300</v>
      </c>
      <c r="B685" t="s">
        <v>3961</v>
      </c>
      <c r="C685" t="s">
        <v>3962</v>
      </c>
      <c r="D685" t="s">
        <v>436</v>
      </c>
      <c r="E685" t="s">
        <v>86</v>
      </c>
      <c r="F685" s="2">
        <v>4.91</v>
      </c>
      <c r="G685">
        <v>2</v>
      </c>
      <c r="H685" s="2">
        <f>Tabla_Items_Inactivos[[#This Row],[EXISTENCIA]]*Tabla_Items_Inactivos[[#This Row],[COSTO]]</f>
        <v>9.82</v>
      </c>
    </row>
    <row r="686" spans="1:8">
      <c r="A686" t="s">
        <v>3300</v>
      </c>
      <c r="B686" t="s">
        <v>3963</v>
      </c>
      <c r="C686" t="s">
        <v>3964</v>
      </c>
      <c r="D686" t="s">
        <v>436</v>
      </c>
      <c r="E686" t="s">
        <v>86</v>
      </c>
      <c r="F686" s="2">
        <v>1.2</v>
      </c>
      <c r="G686">
        <v>10</v>
      </c>
      <c r="H686" s="2">
        <f>Tabla_Items_Inactivos[[#This Row],[EXISTENCIA]]*Tabla_Items_Inactivos[[#This Row],[COSTO]]</f>
        <v>12</v>
      </c>
    </row>
    <row r="687" spans="1:8">
      <c r="A687" t="s">
        <v>3300</v>
      </c>
      <c r="B687" t="s">
        <v>286</v>
      </c>
      <c r="C687" t="s">
        <v>287</v>
      </c>
      <c r="D687" t="s">
        <v>85</v>
      </c>
      <c r="E687" t="s">
        <v>86</v>
      </c>
      <c r="F687" s="2">
        <v>16.667000000000002</v>
      </c>
      <c r="G687">
        <v>4</v>
      </c>
      <c r="H687" s="2">
        <f>Tabla_Items_Inactivos[[#This Row],[EXISTENCIA]]*Tabla_Items_Inactivos[[#This Row],[COSTO]]</f>
        <v>66.668000000000006</v>
      </c>
    </row>
    <row r="688" spans="1:8">
      <c r="A688" t="s">
        <v>3300</v>
      </c>
      <c r="B688" t="s">
        <v>3965</v>
      </c>
      <c r="C688" t="s">
        <v>3966</v>
      </c>
      <c r="D688" t="s">
        <v>85</v>
      </c>
      <c r="E688" t="s">
        <v>86</v>
      </c>
      <c r="F688" s="2">
        <v>10.521800000000001</v>
      </c>
      <c r="G688">
        <v>10</v>
      </c>
      <c r="H688" s="2">
        <f>Tabla_Items_Inactivos[[#This Row],[EXISTENCIA]]*Tabla_Items_Inactivos[[#This Row],[COSTO]]</f>
        <v>105.218</v>
      </c>
    </row>
    <row r="689" spans="1:8">
      <c r="A689" t="s">
        <v>3301</v>
      </c>
      <c r="B689" t="s">
        <v>3967</v>
      </c>
      <c r="C689" t="s">
        <v>3968</v>
      </c>
      <c r="D689" t="s">
        <v>85</v>
      </c>
      <c r="E689" t="s">
        <v>86</v>
      </c>
      <c r="F689" s="2">
        <v>6.8849999999999998</v>
      </c>
      <c r="G689">
        <v>5</v>
      </c>
      <c r="H689" s="2">
        <f>Tabla_Items_Inactivos[[#This Row],[EXISTENCIA]]*Tabla_Items_Inactivos[[#This Row],[COSTO]]</f>
        <v>34.424999999999997</v>
      </c>
    </row>
    <row r="690" spans="1:8">
      <c r="A690" t="s">
        <v>3300</v>
      </c>
      <c r="B690" t="s">
        <v>3967</v>
      </c>
      <c r="C690" t="s">
        <v>3968</v>
      </c>
      <c r="D690" t="s">
        <v>85</v>
      </c>
      <c r="E690" t="s">
        <v>86</v>
      </c>
      <c r="F690" s="2">
        <v>6.8849999999999998</v>
      </c>
      <c r="G690">
        <v>5</v>
      </c>
      <c r="H690" s="2">
        <f>Tabla_Items_Inactivos[[#This Row],[EXISTENCIA]]*Tabla_Items_Inactivos[[#This Row],[COSTO]]</f>
        <v>34.424999999999997</v>
      </c>
    </row>
    <row r="691" spans="1:8">
      <c r="A691" t="s">
        <v>3300</v>
      </c>
      <c r="B691" t="s">
        <v>2903</v>
      </c>
      <c r="C691" t="s">
        <v>3969</v>
      </c>
      <c r="D691" t="s">
        <v>85</v>
      </c>
      <c r="E691" t="s">
        <v>86</v>
      </c>
      <c r="F691" s="2">
        <v>18.7254</v>
      </c>
      <c r="G691">
        <v>18</v>
      </c>
      <c r="H691" s="2">
        <f>Tabla_Items_Inactivos[[#This Row],[EXISTENCIA]]*Tabla_Items_Inactivos[[#This Row],[COSTO]]</f>
        <v>337.05720000000002</v>
      </c>
    </row>
    <row r="692" spans="1:8">
      <c r="A692" t="s">
        <v>3300</v>
      </c>
      <c r="B692" t="s">
        <v>2904</v>
      </c>
      <c r="C692" t="s">
        <v>2905</v>
      </c>
      <c r="D692" t="s">
        <v>85</v>
      </c>
      <c r="E692" t="s">
        <v>86</v>
      </c>
      <c r="F692" s="2">
        <v>5.5354999999999999</v>
      </c>
      <c r="G692">
        <v>19</v>
      </c>
      <c r="H692" s="2">
        <f>Tabla_Items_Inactivos[[#This Row],[EXISTENCIA]]*Tabla_Items_Inactivos[[#This Row],[COSTO]]</f>
        <v>105.17449999999999</v>
      </c>
    </row>
    <row r="693" spans="1:8">
      <c r="A693" t="s">
        <v>3300</v>
      </c>
      <c r="B693" t="s">
        <v>2906</v>
      </c>
      <c r="C693" t="s">
        <v>3970</v>
      </c>
      <c r="D693" t="s">
        <v>85</v>
      </c>
      <c r="E693" t="s">
        <v>86</v>
      </c>
      <c r="F693" s="2">
        <v>3.8340999999999998</v>
      </c>
      <c r="G693">
        <v>39</v>
      </c>
      <c r="H693" s="2">
        <f>Tabla_Items_Inactivos[[#This Row],[EXISTENCIA]]*Tabla_Items_Inactivos[[#This Row],[COSTO]]</f>
        <v>149.5299</v>
      </c>
    </row>
    <row r="694" spans="1:8">
      <c r="A694" t="s">
        <v>3300</v>
      </c>
      <c r="B694" t="s">
        <v>288</v>
      </c>
      <c r="C694" t="s">
        <v>3971</v>
      </c>
      <c r="D694" t="s">
        <v>85</v>
      </c>
      <c r="E694" t="s">
        <v>86</v>
      </c>
      <c r="F694" s="2">
        <v>4.3357000000000001</v>
      </c>
      <c r="G694">
        <v>9</v>
      </c>
      <c r="H694" s="2">
        <f>Tabla_Items_Inactivos[[#This Row],[EXISTENCIA]]*Tabla_Items_Inactivos[[#This Row],[COSTO]]</f>
        <v>39.021300000000004</v>
      </c>
    </row>
    <row r="695" spans="1:8">
      <c r="A695" t="s">
        <v>3300</v>
      </c>
      <c r="B695" t="s">
        <v>3972</v>
      </c>
      <c r="C695" t="s">
        <v>3973</v>
      </c>
      <c r="D695" t="s">
        <v>85</v>
      </c>
      <c r="E695" t="s">
        <v>86</v>
      </c>
      <c r="F695" s="2">
        <v>0.93</v>
      </c>
      <c r="G695">
        <v>12</v>
      </c>
      <c r="H695" s="2">
        <f>Tabla_Items_Inactivos[[#This Row],[EXISTENCIA]]*Tabla_Items_Inactivos[[#This Row],[COSTO]]</f>
        <v>11.16</v>
      </c>
    </row>
    <row r="696" spans="1:8">
      <c r="A696" t="s">
        <v>3300</v>
      </c>
      <c r="B696" t="s">
        <v>2907</v>
      </c>
      <c r="C696" t="s">
        <v>2908</v>
      </c>
      <c r="D696" t="s">
        <v>85</v>
      </c>
      <c r="E696" t="s">
        <v>86</v>
      </c>
      <c r="F696" s="2">
        <v>0.56289999999999996</v>
      </c>
      <c r="G696">
        <v>194</v>
      </c>
      <c r="H696" s="2">
        <f>Tabla_Items_Inactivos[[#This Row],[EXISTENCIA]]*Tabla_Items_Inactivos[[#This Row],[COSTO]]</f>
        <v>109.20259999999999</v>
      </c>
    </row>
    <row r="697" spans="1:8">
      <c r="A697" t="s">
        <v>3301</v>
      </c>
      <c r="B697" t="s">
        <v>2907</v>
      </c>
      <c r="C697" t="s">
        <v>2908</v>
      </c>
      <c r="D697" t="s">
        <v>85</v>
      </c>
      <c r="E697" t="s">
        <v>86</v>
      </c>
      <c r="F697" s="2">
        <v>0.56289999999999996</v>
      </c>
      <c r="G697">
        <v>194</v>
      </c>
      <c r="H697" s="2">
        <f>Tabla_Items_Inactivos[[#This Row],[EXISTENCIA]]*Tabla_Items_Inactivos[[#This Row],[COSTO]]</f>
        <v>109.20259999999999</v>
      </c>
    </row>
    <row r="698" spans="1:8">
      <c r="A698" t="s">
        <v>3300</v>
      </c>
      <c r="B698" t="s">
        <v>2909</v>
      </c>
      <c r="C698" t="s">
        <v>2910</v>
      </c>
      <c r="D698" t="s">
        <v>85</v>
      </c>
      <c r="E698" t="s">
        <v>86</v>
      </c>
      <c r="F698" s="2">
        <v>0.28160000000000002</v>
      </c>
      <c r="G698">
        <v>106</v>
      </c>
      <c r="H698" s="2">
        <f>Tabla_Items_Inactivos[[#This Row],[EXISTENCIA]]*Tabla_Items_Inactivos[[#This Row],[COSTO]]</f>
        <v>29.849600000000002</v>
      </c>
    </row>
    <row r="699" spans="1:8">
      <c r="A699" t="s">
        <v>3300</v>
      </c>
      <c r="B699" t="s">
        <v>3974</v>
      </c>
      <c r="C699" t="s">
        <v>3975</v>
      </c>
      <c r="D699" t="s">
        <v>85</v>
      </c>
      <c r="E699" t="s">
        <v>86</v>
      </c>
      <c r="F699" s="2">
        <v>1.4636</v>
      </c>
      <c r="G699">
        <v>35</v>
      </c>
      <c r="H699" s="2">
        <f>Tabla_Items_Inactivos[[#This Row],[EXISTENCIA]]*Tabla_Items_Inactivos[[#This Row],[COSTO]]</f>
        <v>51.225999999999999</v>
      </c>
    </row>
    <row r="700" spans="1:8">
      <c r="A700" t="s">
        <v>3300</v>
      </c>
      <c r="B700" t="s">
        <v>3976</v>
      </c>
      <c r="C700" t="s">
        <v>3977</v>
      </c>
      <c r="D700" t="s">
        <v>85</v>
      </c>
      <c r="E700" t="s">
        <v>86</v>
      </c>
      <c r="F700" s="2">
        <v>0.29449999999999998</v>
      </c>
      <c r="G700">
        <v>244</v>
      </c>
      <c r="H700" s="2">
        <f>Tabla_Items_Inactivos[[#This Row],[EXISTENCIA]]*Tabla_Items_Inactivos[[#This Row],[COSTO]]</f>
        <v>71.85799999999999</v>
      </c>
    </row>
    <row r="701" spans="1:8">
      <c r="A701" t="s">
        <v>3300</v>
      </c>
      <c r="B701" t="s">
        <v>3978</v>
      </c>
      <c r="C701" t="s">
        <v>3979</v>
      </c>
      <c r="D701" t="s">
        <v>85</v>
      </c>
      <c r="E701" t="s">
        <v>86</v>
      </c>
      <c r="F701" s="2">
        <v>1.2172000000000001</v>
      </c>
      <c r="G701">
        <v>46</v>
      </c>
      <c r="H701" s="2">
        <f>Tabla_Items_Inactivos[[#This Row],[EXISTENCIA]]*Tabla_Items_Inactivos[[#This Row],[COSTO]]</f>
        <v>55.991200000000006</v>
      </c>
    </row>
    <row r="702" spans="1:8">
      <c r="A702" t="s">
        <v>3300</v>
      </c>
      <c r="B702" t="s">
        <v>289</v>
      </c>
      <c r="C702" t="s">
        <v>290</v>
      </c>
      <c r="D702" t="s">
        <v>228</v>
      </c>
      <c r="E702" t="s">
        <v>86</v>
      </c>
      <c r="F702" s="2">
        <v>0.7</v>
      </c>
      <c r="G702">
        <v>24</v>
      </c>
      <c r="H702" s="2">
        <f>Tabla_Items_Inactivos[[#This Row],[EXISTENCIA]]*Tabla_Items_Inactivos[[#This Row],[COSTO]]</f>
        <v>16.799999999999997</v>
      </c>
    </row>
    <row r="703" spans="1:8">
      <c r="A703" t="s">
        <v>3301</v>
      </c>
      <c r="B703" t="s">
        <v>291</v>
      </c>
      <c r="C703" t="s">
        <v>292</v>
      </c>
      <c r="D703" t="s">
        <v>3980</v>
      </c>
      <c r="E703" t="s">
        <v>86</v>
      </c>
      <c r="F703" s="2">
        <v>4.0030000000000001</v>
      </c>
      <c r="G703">
        <v>94</v>
      </c>
      <c r="H703" s="2">
        <f>Tabla_Items_Inactivos[[#This Row],[EXISTENCIA]]*Tabla_Items_Inactivos[[#This Row],[COSTO]]</f>
        <v>376.28200000000004</v>
      </c>
    </row>
    <row r="704" spans="1:8">
      <c r="A704" t="s">
        <v>3300</v>
      </c>
      <c r="B704" t="s">
        <v>291</v>
      </c>
      <c r="C704" t="s">
        <v>292</v>
      </c>
      <c r="D704" t="s">
        <v>3980</v>
      </c>
      <c r="E704" t="s">
        <v>86</v>
      </c>
      <c r="F704" s="2">
        <v>4.0030000000000001</v>
      </c>
      <c r="G704">
        <v>94</v>
      </c>
      <c r="H704" s="2">
        <f>Tabla_Items_Inactivos[[#This Row],[EXISTENCIA]]*Tabla_Items_Inactivos[[#This Row],[COSTO]]</f>
        <v>376.28200000000004</v>
      </c>
    </row>
    <row r="705" spans="1:8">
      <c r="A705" t="s">
        <v>3300</v>
      </c>
      <c r="B705" t="s">
        <v>293</v>
      </c>
      <c r="C705" t="s">
        <v>294</v>
      </c>
      <c r="D705" t="s">
        <v>228</v>
      </c>
      <c r="E705" t="s">
        <v>86</v>
      </c>
      <c r="F705" s="2">
        <v>36.978700000000003</v>
      </c>
      <c r="G705">
        <v>5</v>
      </c>
      <c r="H705" s="2">
        <f>Tabla_Items_Inactivos[[#This Row],[EXISTENCIA]]*Tabla_Items_Inactivos[[#This Row],[COSTO]]</f>
        <v>184.89350000000002</v>
      </c>
    </row>
    <row r="706" spans="1:8">
      <c r="A706" t="s">
        <v>3301</v>
      </c>
      <c r="B706" t="s">
        <v>293</v>
      </c>
      <c r="C706" t="s">
        <v>294</v>
      </c>
      <c r="D706" t="s">
        <v>228</v>
      </c>
      <c r="E706" t="s">
        <v>86</v>
      </c>
      <c r="F706" s="2">
        <v>36.978700000000003</v>
      </c>
      <c r="G706">
        <v>5</v>
      </c>
      <c r="H706" s="2">
        <f>Tabla_Items_Inactivos[[#This Row],[EXISTENCIA]]*Tabla_Items_Inactivos[[#This Row],[COSTO]]</f>
        <v>184.89350000000002</v>
      </c>
    </row>
    <row r="707" spans="1:8">
      <c r="A707" t="s">
        <v>3300</v>
      </c>
      <c r="B707" t="s">
        <v>295</v>
      </c>
      <c r="C707" t="s">
        <v>296</v>
      </c>
      <c r="D707" t="s">
        <v>228</v>
      </c>
      <c r="E707" t="s">
        <v>86</v>
      </c>
      <c r="F707" s="2">
        <v>139.29669999999999</v>
      </c>
      <c r="G707">
        <v>4</v>
      </c>
      <c r="H707" s="2">
        <f>Tabla_Items_Inactivos[[#This Row],[EXISTENCIA]]*Tabla_Items_Inactivos[[#This Row],[COSTO]]</f>
        <v>557.18679999999995</v>
      </c>
    </row>
    <row r="708" spans="1:8">
      <c r="A708" t="s">
        <v>3300</v>
      </c>
      <c r="B708" t="s">
        <v>297</v>
      </c>
      <c r="C708" t="s">
        <v>298</v>
      </c>
      <c r="D708" t="s">
        <v>228</v>
      </c>
      <c r="E708" t="s">
        <v>86</v>
      </c>
      <c r="F708" s="2">
        <v>179.3486</v>
      </c>
      <c r="G708">
        <v>2</v>
      </c>
      <c r="H708" s="2">
        <f>Tabla_Items_Inactivos[[#This Row],[EXISTENCIA]]*Tabla_Items_Inactivos[[#This Row],[COSTO]]</f>
        <v>358.69720000000001</v>
      </c>
    </row>
    <row r="709" spans="1:8">
      <c r="A709" t="s">
        <v>3300</v>
      </c>
      <c r="B709" t="s">
        <v>3981</v>
      </c>
      <c r="C709" t="s">
        <v>3982</v>
      </c>
      <c r="D709" t="s">
        <v>219</v>
      </c>
      <c r="E709" t="s">
        <v>86</v>
      </c>
      <c r="F709" s="2">
        <v>4.37</v>
      </c>
      <c r="G709">
        <v>6</v>
      </c>
      <c r="H709" s="2">
        <f>Tabla_Items_Inactivos[[#This Row],[EXISTENCIA]]*Tabla_Items_Inactivos[[#This Row],[COSTO]]</f>
        <v>26.22</v>
      </c>
    </row>
    <row r="710" spans="1:8">
      <c r="A710" t="s">
        <v>3300</v>
      </c>
      <c r="B710" t="s">
        <v>2911</v>
      </c>
      <c r="C710" t="s">
        <v>2912</v>
      </c>
      <c r="D710" t="s">
        <v>85</v>
      </c>
      <c r="E710" t="s">
        <v>86</v>
      </c>
      <c r="F710" s="2">
        <v>4.1748000000000003</v>
      </c>
      <c r="G710">
        <v>14</v>
      </c>
      <c r="H710" s="2">
        <f>Tabla_Items_Inactivos[[#This Row],[EXISTENCIA]]*Tabla_Items_Inactivos[[#This Row],[COSTO]]</f>
        <v>58.447200000000002</v>
      </c>
    </row>
    <row r="711" spans="1:8">
      <c r="A711" t="s">
        <v>3301</v>
      </c>
      <c r="B711" t="s">
        <v>2911</v>
      </c>
      <c r="C711" t="s">
        <v>2912</v>
      </c>
      <c r="D711" t="s">
        <v>85</v>
      </c>
      <c r="E711" t="s">
        <v>86</v>
      </c>
      <c r="F711" s="2">
        <v>4.1748000000000003</v>
      </c>
      <c r="G711">
        <v>14</v>
      </c>
      <c r="H711" s="2">
        <f>Tabla_Items_Inactivos[[#This Row],[EXISTENCIA]]*Tabla_Items_Inactivos[[#This Row],[COSTO]]</f>
        <v>58.447200000000002</v>
      </c>
    </row>
    <row r="712" spans="1:8">
      <c r="A712" t="s">
        <v>3300</v>
      </c>
      <c r="B712" t="s">
        <v>299</v>
      </c>
      <c r="C712" t="s">
        <v>300</v>
      </c>
      <c r="D712" t="s">
        <v>223</v>
      </c>
      <c r="E712" t="s">
        <v>86</v>
      </c>
      <c r="F712" s="2">
        <v>1.044</v>
      </c>
      <c r="G712">
        <v>5</v>
      </c>
      <c r="H712" s="2">
        <f>Tabla_Items_Inactivos[[#This Row],[EXISTENCIA]]*Tabla_Items_Inactivos[[#This Row],[COSTO]]</f>
        <v>5.2200000000000006</v>
      </c>
    </row>
    <row r="713" spans="1:8">
      <c r="A713" t="s">
        <v>3300</v>
      </c>
      <c r="B713" t="s">
        <v>3983</v>
      </c>
      <c r="C713" t="s">
        <v>3984</v>
      </c>
      <c r="D713" t="s">
        <v>98</v>
      </c>
      <c r="E713" t="s">
        <v>86</v>
      </c>
      <c r="F713" s="2">
        <v>1.05</v>
      </c>
      <c r="G713">
        <v>5</v>
      </c>
      <c r="H713" s="2">
        <f>Tabla_Items_Inactivos[[#This Row],[EXISTENCIA]]*Tabla_Items_Inactivos[[#This Row],[COSTO]]</f>
        <v>5.25</v>
      </c>
    </row>
    <row r="714" spans="1:8">
      <c r="A714" t="s">
        <v>3300</v>
      </c>
      <c r="B714" t="s">
        <v>301</v>
      </c>
      <c r="C714" t="s">
        <v>3985</v>
      </c>
      <c r="D714" t="s">
        <v>98</v>
      </c>
      <c r="E714" t="s">
        <v>86</v>
      </c>
      <c r="F714" s="2">
        <v>0.79</v>
      </c>
      <c r="G714">
        <v>3</v>
      </c>
      <c r="H714" s="2">
        <f>Tabla_Items_Inactivos[[#This Row],[EXISTENCIA]]*Tabla_Items_Inactivos[[#This Row],[COSTO]]</f>
        <v>2.37</v>
      </c>
    </row>
    <row r="715" spans="1:8">
      <c r="A715" t="s">
        <v>3300</v>
      </c>
      <c r="B715" t="s">
        <v>3986</v>
      </c>
      <c r="C715" t="s">
        <v>3987</v>
      </c>
      <c r="D715" t="s">
        <v>98</v>
      </c>
      <c r="E715" t="s">
        <v>86</v>
      </c>
      <c r="F715" s="2">
        <v>9.2799999999999994</v>
      </c>
      <c r="G715">
        <v>15</v>
      </c>
      <c r="H715" s="2">
        <f>Tabla_Items_Inactivos[[#This Row],[EXISTENCIA]]*Tabla_Items_Inactivos[[#This Row],[COSTO]]</f>
        <v>139.19999999999999</v>
      </c>
    </row>
    <row r="716" spans="1:8">
      <c r="A716" t="s">
        <v>3300</v>
      </c>
      <c r="B716" t="s">
        <v>3988</v>
      </c>
      <c r="C716" t="s">
        <v>3989</v>
      </c>
      <c r="D716" t="s">
        <v>98</v>
      </c>
      <c r="E716" t="s">
        <v>86</v>
      </c>
      <c r="F716" s="2">
        <v>2.1760999999999999</v>
      </c>
      <c r="G716">
        <v>7</v>
      </c>
      <c r="H716" s="2">
        <f>Tabla_Items_Inactivos[[#This Row],[EXISTENCIA]]*Tabla_Items_Inactivos[[#This Row],[COSTO]]</f>
        <v>15.232699999999999</v>
      </c>
    </row>
    <row r="717" spans="1:8">
      <c r="A717" t="s">
        <v>3301</v>
      </c>
      <c r="B717" t="s">
        <v>3988</v>
      </c>
      <c r="C717" t="s">
        <v>3989</v>
      </c>
      <c r="D717" t="s">
        <v>98</v>
      </c>
      <c r="E717" t="s">
        <v>86</v>
      </c>
      <c r="F717" s="2">
        <v>2.1760999999999999</v>
      </c>
      <c r="G717">
        <v>7</v>
      </c>
      <c r="H717" s="2">
        <f>Tabla_Items_Inactivos[[#This Row],[EXISTENCIA]]*Tabla_Items_Inactivos[[#This Row],[COSTO]]</f>
        <v>15.232699999999999</v>
      </c>
    </row>
    <row r="718" spans="1:8">
      <c r="A718" t="s">
        <v>3300</v>
      </c>
      <c r="B718" t="s">
        <v>3990</v>
      </c>
      <c r="C718" t="s">
        <v>3991</v>
      </c>
      <c r="D718" t="s">
        <v>98</v>
      </c>
      <c r="E718" t="s">
        <v>86</v>
      </c>
      <c r="F718" s="2">
        <v>6.1205999999999996</v>
      </c>
      <c r="G718">
        <v>10</v>
      </c>
      <c r="H718" s="2">
        <f>Tabla_Items_Inactivos[[#This Row],[EXISTENCIA]]*Tabla_Items_Inactivos[[#This Row],[COSTO]]</f>
        <v>61.205999999999996</v>
      </c>
    </row>
    <row r="719" spans="1:8">
      <c r="A719" t="s">
        <v>3300</v>
      </c>
      <c r="B719" t="s">
        <v>3992</v>
      </c>
      <c r="C719" t="s">
        <v>3993</v>
      </c>
      <c r="D719" t="s">
        <v>98</v>
      </c>
      <c r="E719" t="s">
        <v>86</v>
      </c>
      <c r="F719" s="2">
        <v>2.0099999999999998</v>
      </c>
      <c r="G719">
        <v>5</v>
      </c>
      <c r="H719" s="2">
        <f>Tabla_Items_Inactivos[[#This Row],[EXISTENCIA]]*Tabla_Items_Inactivos[[#This Row],[COSTO]]</f>
        <v>10.049999999999999</v>
      </c>
    </row>
    <row r="720" spans="1:8">
      <c r="A720" t="s">
        <v>3300</v>
      </c>
      <c r="B720" t="s">
        <v>3994</v>
      </c>
      <c r="C720" t="s">
        <v>3995</v>
      </c>
      <c r="D720" t="s">
        <v>98</v>
      </c>
      <c r="E720" t="s">
        <v>86</v>
      </c>
      <c r="F720" s="2">
        <v>16.02</v>
      </c>
      <c r="G720">
        <v>3</v>
      </c>
      <c r="H720" s="2">
        <f>Tabla_Items_Inactivos[[#This Row],[EXISTENCIA]]*Tabla_Items_Inactivos[[#This Row],[COSTO]]</f>
        <v>48.06</v>
      </c>
    </row>
    <row r="721" spans="1:8">
      <c r="A721" t="s">
        <v>3300</v>
      </c>
      <c r="B721" t="s">
        <v>302</v>
      </c>
      <c r="C721" t="s">
        <v>303</v>
      </c>
      <c r="D721" t="s">
        <v>98</v>
      </c>
      <c r="E721" t="s">
        <v>86</v>
      </c>
      <c r="F721" s="2">
        <v>1.0179</v>
      </c>
      <c r="G721">
        <v>14</v>
      </c>
      <c r="H721" s="2">
        <f>Tabla_Items_Inactivos[[#This Row],[EXISTENCIA]]*Tabla_Items_Inactivos[[#This Row],[COSTO]]</f>
        <v>14.2506</v>
      </c>
    </row>
    <row r="722" spans="1:8">
      <c r="A722" t="s">
        <v>3300</v>
      </c>
      <c r="B722" t="s">
        <v>304</v>
      </c>
      <c r="C722" t="s">
        <v>3996</v>
      </c>
      <c r="D722" t="s">
        <v>98</v>
      </c>
      <c r="E722" t="s">
        <v>86</v>
      </c>
      <c r="F722" s="2">
        <v>2.0375999999999999</v>
      </c>
      <c r="G722">
        <v>14</v>
      </c>
      <c r="H722" s="2">
        <f>Tabla_Items_Inactivos[[#This Row],[EXISTENCIA]]*Tabla_Items_Inactivos[[#This Row],[COSTO]]</f>
        <v>28.526399999999999</v>
      </c>
    </row>
    <row r="723" spans="1:8">
      <c r="A723" t="s">
        <v>3301</v>
      </c>
      <c r="B723" t="s">
        <v>304</v>
      </c>
      <c r="C723" t="s">
        <v>3996</v>
      </c>
      <c r="D723" t="s">
        <v>98</v>
      </c>
      <c r="E723" t="s">
        <v>86</v>
      </c>
      <c r="F723" s="2">
        <v>2.0375999999999999</v>
      </c>
      <c r="G723">
        <v>14</v>
      </c>
      <c r="H723" s="2">
        <f>Tabla_Items_Inactivos[[#This Row],[EXISTENCIA]]*Tabla_Items_Inactivos[[#This Row],[COSTO]]</f>
        <v>28.526399999999999</v>
      </c>
    </row>
    <row r="724" spans="1:8">
      <c r="A724" t="s">
        <v>3301</v>
      </c>
      <c r="B724" t="s">
        <v>3997</v>
      </c>
      <c r="C724" t="s">
        <v>3998</v>
      </c>
      <c r="D724" t="s">
        <v>98</v>
      </c>
      <c r="E724" t="s">
        <v>86</v>
      </c>
      <c r="F724" s="2">
        <v>5.7895000000000003</v>
      </c>
      <c r="G724">
        <v>2</v>
      </c>
      <c r="H724" s="2">
        <f>Tabla_Items_Inactivos[[#This Row],[EXISTENCIA]]*Tabla_Items_Inactivos[[#This Row],[COSTO]]</f>
        <v>11.579000000000001</v>
      </c>
    </row>
    <row r="725" spans="1:8">
      <c r="A725" t="s">
        <v>3300</v>
      </c>
      <c r="B725" t="s">
        <v>3997</v>
      </c>
      <c r="C725" t="s">
        <v>3998</v>
      </c>
      <c r="D725" t="s">
        <v>98</v>
      </c>
      <c r="E725" t="s">
        <v>86</v>
      </c>
      <c r="F725" s="2">
        <v>5.7895000000000003</v>
      </c>
      <c r="G725">
        <v>2</v>
      </c>
      <c r="H725" s="2">
        <f>Tabla_Items_Inactivos[[#This Row],[EXISTENCIA]]*Tabla_Items_Inactivos[[#This Row],[COSTO]]</f>
        <v>11.579000000000001</v>
      </c>
    </row>
    <row r="726" spans="1:8">
      <c r="A726" t="s">
        <v>3300</v>
      </c>
      <c r="B726" t="s">
        <v>3999</v>
      </c>
      <c r="C726" t="s">
        <v>4000</v>
      </c>
      <c r="D726" t="s">
        <v>98</v>
      </c>
      <c r="E726" t="s">
        <v>86</v>
      </c>
      <c r="F726" s="2">
        <v>8.5626999999999995</v>
      </c>
      <c r="G726">
        <v>7</v>
      </c>
      <c r="H726" s="2">
        <f>Tabla_Items_Inactivos[[#This Row],[EXISTENCIA]]*Tabla_Items_Inactivos[[#This Row],[COSTO]]</f>
        <v>59.938899999999997</v>
      </c>
    </row>
    <row r="727" spans="1:8">
      <c r="A727" t="s">
        <v>3300</v>
      </c>
      <c r="B727" t="s">
        <v>4001</v>
      </c>
      <c r="C727" t="s">
        <v>4002</v>
      </c>
      <c r="D727" t="s">
        <v>98</v>
      </c>
      <c r="E727" t="s">
        <v>86</v>
      </c>
      <c r="F727" s="2">
        <v>0.94</v>
      </c>
      <c r="G727">
        <v>3</v>
      </c>
      <c r="H727" s="2">
        <f>Tabla_Items_Inactivos[[#This Row],[EXISTENCIA]]*Tabla_Items_Inactivos[[#This Row],[COSTO]]</f>
        <v>2.82</v>
      </c>
    </row>
    <row r="728" spans="1:8">
      <c r="A728" t="s">
        <v>3300</v>
      </c>
      <c r="B728" t="s">
        <v>4003</v>
      </c>
      <c r="C728" t="s">
        <v>4004</v>
      </c>
      <c r="D728" t="s">
        <v>98</v>
      </c>
      <c r="E728" t="s">
        <v>86</v>
      </c>
      <c r="F728" s="2">
        <v>0</v>
      </c>
      <c r="G728">
        <v>5</v>
      </c>
      <c r="H728" s="2">
        <f>Tabla_Items_Inactivos[[#This Row],[EXISTENCIA]]*Tabla_Items_Inactivos[[#This Row],[COSTO]]</f>
        <v>0</v>
      </c>
    </row>
    <row r="729" spans="1:8">
      <c r="A729" t="s">
        <v>3300</v>
      </c>
      <c r="B729" t="s">
        <v>4005</v>
      </c>
      <c r="C729" t="s">
        <v>4006</v>
      </c>
      <c r="D729" t="s">
        <v>98</v>
      </c>
      <c r="E729" t="s">
        <v>86</v>
      </c>
      <c r="F729" s="2">
        <v>6.3253000000000004</v>
      </c>
      <c r="G729">
        <v>12</v>
      </c>
      <c r="H729" s="2">
        <f>Tabla_Items_Inactivos[[#This Row],[EXISTENCIA]]*Tabla_Items_Inactivos[[#This Row],[COSTO]]</f>
        <v>75.903600000000012</v>
      </c>
    </row>
    <row r="730" spans="1:8">
      <c r="A730" t="s">
        <v>3301</v>
      </c>
      <c r="B730" t="s">
        <v>4005</v>
      </c>
      <c r="C730" t="s">
        <v>4006</v>
      </c>
      <c r="D730" t="s">
        <v>98</v>
      </c>
      <c r="E730" t="s">
        <v>86</v>
      </c>
      <c r="F730" s="2">
        <v>6.3253000000000004</v>
      </c>
      <c r="G730">
        <v>12</v>
      </c>
      <c r="H730" s="2">
        <f>Tabla_Items_Inactivos[[#This Row],[EXISTENCIA]]*Tabla_Items_Inactivos[[#This Row],[COSTO]]</f>
        <v>75.903600000000012</v>
      </c>
    </row>
    <row r="731" spans="1:8">
      <c r="A731" t="s">
        <v>3300</v>
      </c>
      <c r="B731" t="s">
        <v>4007</v>
      </c>
      <c r="C731" t="s">
        <v>4008</v>
      </c>
      <c r="D731" t="s">
        <v>98</v>
      </c>
      <c r="E731" t="s">
        <v>86</v>
      </c>
      <c r="F731" s="2">
        <v>0</v>
      </c>
      <c r="G731">
        <v>5</v>
      </c>
      <c r="H731" s="2">
        <f>Tabla_Items_Inactivos[[#This Row],[EXISTENCIA]]*Tabla_Items_Inactivos[[#This Row],[COSTO]]</f>
        <v>0</v>
      </c>
    </row>
    <row r="732" spans="1:8">
      <c r="A732" t="s">
        <v>3300</v>
      </c>
      <c r="B732" t="s">
        <v>2913</v>
      </c>
      <c r="C732" t="s">
        <v>2914</v>
      </c>
      <c r="D732" t="s">
        <v>98</v>
      </c>
      <c r="E732" t="s">
        <v>86</v>
      </c>
      <c r="F732" s="2">
        <v>2.7669999999999999</v>
      </c>
      <c r="G732">
        <v>10</v>
      </c>
      <c r="H732" s="2">
        <f>Tabla_Items_Inactivos[[#This Row],[EXISTENCIA]]*Tabla_Items_Inactivos[[#This Row],[COSTO]]</f>
        <v>27.669999999999998</v>
      </c>
    </row>
    <row r="733" spans="1:8">
      <c r="A733" t="s">
        <v>3300</v>
      </c>
      <c r="B733" t="s">
        <v>2915</v>
      </c>
      <c r="C733" t="s">
        <v>2916</v>
      </c>
      <c r="D733" t="s">
        <v>98</v>
      </c>
      <c r="E733" t="s">
        <v>86</v>
      </c>
      <c r="F733" s="2">
        <v>1.363</v>
      </c>
      <c r="G733">
        <v>10</v>
      </c>
      <c r="H733" s="2">
        <f>Tabla_Items_Inactivos[[#This Row],[EXISTENCIA]]*Tabla_Items_Inactivos[[#This Row],[COSTO]]</f>
        <v>13.629999999999999</v>
      </c>
    </row>
    <row r="734" spans="1:8">
      <c r="A734" t="s">
        <v>3300</v>
      </c>
      <c r="B734" t="s">
        <v>4009</v>
      </c>
      <c r="C734" t="s">
        <v>4010</v>
      </c>
      <c r="D734" t="s">
        <v>98</v>
      </c>
      <c r="E734" t="s">
        <v>86</v>
      </c>
      <c r="F734" s="2">
        <v>23.974699999999999</v>
      </c>
      <c r="G734">
        <v>10</v>
      </c>
      <c r="H734" s="2">
        <f>Tabla_Items_Inactivos[[#This Row],[EXISTENCIA]]*Tabla_Items_Inactivos[[#This Row],[COSTO]]</f>
        <v>239.74699999999999</v>
      </c>
    </row>
    <row r="735" spans="1:8">
      <c r="A735" t="s">
        <v>3301</v>
      </c>
      <c r="B735" t="s">
        <v>4009</v>
      </c>
      <c r="C735" t="s">
        <v>4010</v>
      </c>
      <c r="D735" t="s">
        <v>98</v>
      </c>
      <c r="E735" t="s">
        <v>86</v>
      </c>
      <c r="F735" s="2">
        <v>23.974699999999999</v>
      </c>
      <c r="G735">
        <v>10</v>
      </c>
      <c r="H735" s="2">
        <f>Tabla_Items_Inactivos[[#This Row],[EXISTENCIA]]*Tabla_Items_Inactivos[[#This Row],[COSTO]]</f>
        <v>239.74699999999999</v>
      </c>
    </row>
    <row r="736" spans="1:8">
      <c r="A736" t="s">
        <v>3300</v>
      </c>
      <c r="B736" t="s">
        <v>2917</v>
      </c>
      <c r="C736" t="s">
        <v>2918</v>
      </c>
      <c r="D736" t="s">
        <v>98</v>
      </c>
      <c r="E736" t="s">
        <v>86</v>
      </c>
      <c r="F736" s="2">
        <v>0.35799999999999998</v>
      </c>
      <c r="G736">
        <v>10</v>
      </c>
      <c r="H736" s="2">
        <f>Tabla_Items_Inactivos[[#This Row],[EXISTENCIA]]*Tabla_Items_Inactivos[[#This Row],[COSTO]]</f>
        <v>3.58</v>
      </c>
    </row>
    <row r="737" spans="1:8">
      <c r="A737" t="s">
        <v>3300</v>
      </c>
      <c r="B737" t="s">
        <v>2919</v>
      </c>
      <c r="C737" t="s">
        <v>4011</v>
      </c>
      <c r="D737" t="s">
        <v>98</v>
      </c>
      <c r="E737" t="s">
        <v>86</v>
      </c>
      <c r="F737" s="2">
        <v>6.7830000000000004</v>
      </c>
      <c r="G737">
        <v>3</v>
      </c>
      <c r="H737" s="2">
        <f>Tabla_Items_Inactivos[[#This Row],[EXISTENCIA]]*Tabla_Items_Inactivos[[#This Row],[COSTO]]</f>
        <v>20.349</v>
      </c>
    </row>
    <row r="738" spans="1:8">
      <c r="A738" t="s">
        <v>3301</v>
      </c>
      <c r="B738" t="s">
        <v>4012</v>
      </c>
      <c r="C738" t="s">
        <v>4013</v>
      </c>
      <c r="D738" t="s">
        <v>98</v>
      </c>
      <c r="E738" t="s">
        <v>86</v>
      </c>
      <c r="F738" s="2">
        <v>5.7126000000000001</v>
      </c>
      <c r="G738">
        <v>4</v>
      </c>
      <c r="H738" s="2">
        <f>Tabla_Items_Inactivos[[#This Row],[EXISTENCIA]]*Tabla_Items_Inactivos[[#This Row],[COSTO]]</f>
        <v>22.8504</v>
      </c>
    </row>
    <row r="739" spans="1:8">
      <c r="A739" t="s">
        <v>3300</v>
      </c>
      <c r="B739" t="s">
        <v>4012</v>
      </c>
      <c r="C739" t="s">
        <v>4013</v>
      </c>
      <c r="D739" t="s">
        <v>98</v>
      </c>
      <c r="E739" t="s">
        <v>86</v>
      </c>
      <c r="F739" s="2">
        <v>5.7126000000000001</v>
      </c>
      <c r="G739">
        <v>4</v>
      </c>
      <c r="H739" s="2">
        <f>Tabla_Items_Inactivos[[#This Row],[EXISTENCIA]]*Tabla_Items_Inactivos[[#This Row],[COSTO]]</f>
        <v>22.8504</v>
      </c>
    </row>
    <row r="740" spans="1:8">
      <c r="A740" t="s">
        <v>3300</v>
      </c>
      <c r="B740" t="s">
        <v>4014</v>
      </c>
      <c r="C740" t="s">
        <v>4015</v>
      </c>
      <c r="D740" t="s">
        <v>98</v>
      </c>
      <c r="E740" t="s">
        <v>86</v>
      </c>
      <c r="F740" s="2">
        <v>14.241199999999999</v>
      </c>
      <c r="G740">
        <v>4</v>
      </c>
      <c r="H740" s="2">
        <f>Tabla_Items_Inactivos[[#This Row],[EXISTENCIA]]*Tabla_Items_Inactivos[[#This Row],[COSTO]]</f>
        <v>56.964799999999997</v>
      </c>
    </row>
    <row r="741" spans="1:8">
      <c r="A741" t="s">
        <v>3301</v>
      </c>
      <c r="B741" t="s">
        <v>305</v>
      </c>
      <c r="C741" t="s">
        <v>306</v>
      </c>
      <c r="D741" t="s">
        <v>98</v>
      </c>
      <c r="E741" t="s">
        <v>86</v>
      </c>
      <c r="F741" s="2">
        <v>4.5282</v>
      </c>
      <c r="G741">
        <v>7</v>
      </c>
      <c r="H741" s="2">
        <f>Tabla_Items_Inactivos[[#This Row],[EXISTENCIA]]*Tabla_Items_Inactivos[[#This Row],[COSTO]]</f>
        <v>31.697400000000002</v>
      </c>
    </row>
    <row r="742" spans="1:8">
      <c r="A742" t="s">
        <v>3300</v>
      </c>
      <c r="B742" t="s">
        <v>305</v>
      </c>
      <c r="C742" t="s">
        <v>306</v>
      </c>
      <c r="D742" t="s">
        <v>98</v>
      </c>
      <c r="E742" t="s">
        <v>86</v>
      </c>
      <c r="F742" s="2">
        <v>4.5282</v>
      </c>
      <c r="G742">
        <v>7</v>
      </c>
      <c r="H742" s="2">
        <f>Tabla_Items_Inactivos[[#This Row],[EXISTENCIA]]*Tabla_Items_Inactivos[[#This Row],[COSTO]]</f>
        <v>31.697400000000002</v>
      </c>
    </row>
    <row r="743" spans="1:8">
      <c r="A743" t="s">
        <v>3300</v>
      </c>
      <c r="B743" t="s">
        <v>307</v>
      </c>
      <c r="C743" t="s">
        <v>4016</v>
      </c>
      <c r="D743" t="s">
        <v>85</v>
      </c>
      <c r="E743" t="s">
        <v>86</v>
      </c>
      <c r="F743" s="2">
        <v>3.8853</v>
      </c>
      <c r="G743">
        <v>7</v>
      </c>
      <c r="H743" s="2">
        <f>Tabla_Items_Inactivos[[#This Row],[EXISTENCIA]]*Tabla_Items_Inactivos[[#This Row],[COSTO]]</f>
        <v>27.197099999999999</v>
      </c>
    </row>
    <row r="744" spans="1:8">
      <c r="A744" t="s">
        <v>3301</v>
      </c>
      <c r="B744" t="s">
        <v>307</v>
      </c>
      <c r="C744" t="s">
        <v>4016</v>
      </c>
      <c r="D744" t="s">
        <v>85</v>
      </c>
      <c r="E744" t="s">
        <v>86</v>
      </c>
      <c r="F744" s="2">
        <v>3.8853</v>
      </c>
      <c r="G744">
        <v>7</v>
      </c>
      <c r="H744" s="2">
        <f>Tabla_Items_Inactivos[[#This Row],[EXISTENCIA]]*Tabla_Items_Inactivos[[#This Row],[COSTO]]</f>
        <v>27.197099999999999</v>
      </c>
    </row>
    <row r="745" spans="1:8">
      <c r="A745" t="s">
        <v>3300</v>
      </c>
      <c r="B745" t="s">
        <v>308</v>
      </c>
      <c r="C745" t="s">
        <v>309</v>
      </c>
      <c r="D745" t="s">
        <v>98</v>
      </c>
      <c r="E745" t="s">
        <v>86</v>
      </c>
      <c r="F745" s="2">
        <v>1.8842000000000001</v>
      </c>
      <c r="G745">
        <v>8</v>
      </c>
      <c r="H745" s="2">
        <f>Tabla_Items_Inactivos[[#This Row],[EXISTENCIA]]*Tabla_Items_Inactivos[[#This Row],[COSTO]]</f>
        <v>15.073600000000001</v>
      </c>
    </row>
    <row r="746" spans="1:8">
      <c r="A746" t="s">
        <v>3301</v>
      </c>
      <c r="B746" t="s">
        <v>308</v>
      </c>
      <c r="C746" t="s">
        <v>309</v>
      </c>
      <c r="D746" t="s">
        <v>98</v>
      </c>
      <c r="E746" t="s">
        <v>86</v>
      </c>
      <c r="F746" s="2">
        <v>1.8842000000000001</v>
      </c>
      <c r="G746">
        <v>8</v>
      </c>
      <c r="H746" s="2">
        <f>Tabla_Items_Inactivos[[#This Row],[EXISTENCIA]]*Tabla_Items_Inactivos[[#This Row],[COSTO]]</f>
        <v>15.073600000000001</v>
      </c>
    </row>
    <row r="747" spans="1:8">
      <c r="A747" t="s">
        <v>3300</v>
      </c>
      <c r="B747" t="s">
        <v>2920</v>
      </c>
      <c r="C747" t="s">
        <v>2921</v>
      </c>
      <c r="D747" t="s">
        <v>98</v>
      </c>
      <c r="E747" t="s">
        <v>86</v>
      </c>
      <c r="F747" s="2">
        <v>5.1749999999999998</v>
      </c>
      <c r="G747">
        <v>5</v>
      </c>
      <c r="H747" s="2">
        <f>Tabla_Items_Inactivos[[#This Row],[EXISTENCIA]]*Tabla_Items_Inactivos[[#This Row],[COSTO]]</f>
        <v>25.875</v>
      </c>
    </row>
    <row r="748" spans="1:8">
      <c r="A748" t="s">
        <v>3300</v>
      </c>
      <c r="B748" t="s">
        <v>2922</v>
      </c>
      <c r="C748" t="s">
        <v>2923</v>
      </c>
      <c r="D748" t="s">
        <v>98</v>
      </c>
      <c r="E748" t="s">
        <v>86</v>
      </c>
      <c r="F748" s="2">
        <v>4.3360000000000003</v>
      </c>
      <c r="G748">
        <v>10</v>
      </c>
      <c r="H748" s="2">
        <f>Tabla_Items_Inactivos[[#This Row],[EXISTENCIA]]*Tabla_Items_Inactivos[[#This Row],[COSTO]]</f>
        <v>43.36</v>
      </c>
    </row>
    <row r="749" spans="1:8">
      <c r="A749" t="s">
        <v>3301</v>
      </c>
      <c r="B749" t="s">
        <v>4017</v>
      </c>
      <c r="C749" t="s">
        <v>4018</v>
      </c>
      <c r="D749" t="s">
        <v>98</v>
      </c>
      <c r="E749" t="s">
        <v>86</v>
      </c>
      <c r="F749" s="2">
        <v>9.9243000000000006</v>
      </c>
      <c r="G749">
        <v>6</v>
      </c>
      <c r="H749" s="2">
        <f>Tabla_Items_Inactivos[[#This Row],[EXISTENCIA]]*Tabla_Items_Inactivos[[#This Row],[COSTO]]</f>
        <v>59.5458</v>
      </c>
    </row>
    <row r="750" spans="1:8">
      <c r="A750" t="s">
        <v>3300</v>
      </c>
      <c r="B750" t="s">
        <v>4017</v>
      </c>
      <c r="C750" t="s">
        <v>4018</v>
      </c>
      <c r="D750" t="s">
        <v>98</v>
      </c>
      <c r="E750" t="s">
        <v>86</v>
      </c>
      <c r="F750" s="2">
        <v>9.9243000000000006</v>
      </c>
      <c r="G750">
        <v>6</v>
      </c>
      <c r="H750" s="2">
        <f>Tabla_Items_Inactivos[[#This Row],[EXISTENCIA]]*Tabla_Items_Inactivos[[#This Row],[COSTO]]</f>
        <v>59.5458</v>
      </c>
    </row>
    <row r="751" spans="1:8">
      <c r="A751" t="s">
        <v>3300</v>
      </c>
      <c r="B751" t="s">
        <v>4019</v>
      </c>
      <c r="C751" t="s">
        <v>4020</v>
      </c>
      <c r="D751" t="s">
        <v>98</v>
      </c>
      <c r="E751" t="s">
        <v>86</v>
      </c>
      <c r="F751" s="2">
        <v>4.05</v>
      </c>
      <c r="G751">
        <v>5</v>
      </c>
      <c r="H751" s="2">
        <f>Tabla_Items_Inactivos[[#This Row],[EXISTENCIA]]*Tabla_Items_Inactivos[[#This Row],[COSTO]]</f>
        <v>20.25</v>
      </c>
    </row>
    <row r="752" spans="1:8">
      <c r="A752" t="s">
        <v>3300</v>
      </c>
      <c r="B752" t="s">
        <v>4021</v>
      </c>
      <c r="C752" t="s">
        <v>4022</v>
      </c>
      <c r="D752" t="s">
        <v>98</v>
      </c>
      <c r="E752" t="s">
        <v>86</v>
      </c>
      <c r="F752" s="2">
        <v>4.6950000000000003</v>
      </c>
      <c r="G752">
        <v>15</v>
      </c>
      <c r="H752" s="2">
        <f>Tabla_Items_Inactivos[[#This Row],[EXISTENCIA]]*Tabla_Items_Inactivos[[#This Row],[COSTO]]</f>
        <v>70.425000000000011</v>
      </c>
    </row>
    <row r="753" spans="1:8">
      <c r="A753" t="s">
        <v>3300</v>
      </c>
      <c r="B753" t="s">
        <v>2924</v>
      </c>
      <c r="C753" t="s">
        <v>2925</v>
      </c>
      <c r="D753" t="s">
        <v>98</v>
      </c>
      <c r="E753" t="s">
        <v>86</v>
      </c>
      <c r="F753" s="2">
        <v>3.28</v>
      </c>
      <c r="G753">
        <v>6</v>
      </c>
      <c r="H753" s="2">
        <f>Tabla_Items_Inactivos[[#This Row],[EXISTENCIA]]*Tabla_Items_Inactivos[[#This Row],[COSTO]]</f>
        <v>19.68</v>
      </c>
    </row>
    <row r="754" spans="1:8">
      <c r="A754" t="s">
        <v>3300</v>
      </c>
      <c r="B754" t="s">
        <v>310</v>
      </c>
      <c r="C754" t="s">
        <v>311</v>
      </c>
      <c r="D754" t="s">
        <v>98</v>
      </c>
      <c r="E754" t="s">
        <v>86</v>
      </c>
      <c r="F754" s="2">
        <v>2.02</v>
      </c>
      <c r="G754">
        <v>3</v>
      </c>
      <c r="H754" s="2">
        <f>Tabla_Items_Inactivos[[#This Row],[EXISTENCIA]]*Tabla_Items_Inactivos[[#This Row],[COSTO]]</f>
        <v>6.0600000000000005</v>
      </c>
    </row>
    <row r="755" spans="1:8">
      <c r="A755" t="s">
        <v>3300</v>
      </c>
      <c r="B755" t="s">
        <v>2926</v>
      </c>
      <c r="C755" t="s">
        <v>2927</v>
      </c>
      <c r="D755" t="s">
        <v>98</v>
      </c>
      <c r="E755" t="s">
        <v>86</v>
      </c>
      <c r="F755" s="2">
        <v>15.083</v>
      </c>
      <c r="G755">
        <v>4</v>
      </c>
      <c r="H755" s="2">
        <f>Tabla_Items_Inactivos[[#This Row],[EXISTENCIA]]*Tabla_Items_Inactivos[[#This Row],[COSTO]]</f>
        <v>60.332000000000001</v>
      </c>
    </row>
    <row r="756" spans="1:8">
      <c r="A756" t="s">
        <v>3300</v>
      </c>
      <c r="B756" t="s">
        <v>312</v>
      </c>
      <c r="C756" t="s">
        <v>313</v>
      </c>
      <c r="D756" t="s">
        <v>98</v>
      </c>
      <c r="E756" t="s">
        <v>86</v>
      </c>
      <c r="F756" s="2">
        <v>1.52</v>
      </c>
      <c r="G756">
        <v>10</v>
      </c>
      <c r="H756" s="2">
        <f>Tabla_Items_Inactivos[[#This Row],[EXISTENCIA]]*Tabla_Items_Inactivos[[#This Row],[COSTO]]</f>
        <v>15.2</v>
      </c>
    </row>
    <row r="757" spans="1:8">
      <c r="A757" t="s">
        <v>3300</v>
      </c>
      <c r="B757" t="s">
        <v>2928</v>
      </c>
      <c r="C757" t="s">
        <v>2929</v>
      </c>
      <c r="D757" t="s">
        <v>98</v>
      </c>
      <c r="E757" t="s">
        <v>86</v>
      </c>
      <c r="F757" s="2">
        <v>4.6429999999999998</v>
      </c>
      <c r="G757">
        <v>14</v>
      </c>
      <c r="H757" s="2">
        <f>Tabla_Items_Inactivos[[#This Row],[EXISTENCIA]]*Tabla_Items_Inactivos[[#This Row],[COSTO]]</f>
        <v>65.001999999999995</v>
      </c>
    </row>
    <row r="758" spans="1:8">
      <c r="A758" t="s">
        <v>3300</v>
      </c>
      <c r="B758" t="s">
        <v>314</v>
      </c>
      <c r="C758" t="s">
        <v>315</v>
      </c>
      <c r="D758" t="s">
        <v>98</v>
      </c>
      <c r="E758" t="s">
        <v>86</v>
      </c>
      <c r="F758" s="2">
        <v>6.3170999999999999</v>
      </c>
      <c r="G758">
        <v>5</v>
      </c>
      <c r="H758" s="2">
        <f>Tabla_Items_Inactivos[[#This Row],[EXISTENCIA]]*Tabla_Items_Inactivos[[#This Row],[COSTO]]</f>
        <v>31.5855</v>
      </c>
    </row>
    <row r="759" spans="1:8">
      <c r="A759" t="s">
        <v>3301</v>
      </c>
      <c r="B759" t="s">
        <v>314</v>
      </c>
      <c r="C759" t="s">
        <v>315</v>
      </c>
      <c r="D759" t="s">
        <v>98</v>
      </c>
      <c r="E759" t="s">
        <v>86</v>
      </c>
      <c r="F759" s="2">
        <v>6.3170999999999999</v>
      </c>
      <c r="G759">
        <v>5</v>
      </c>
      <c r="H759" s="2">
        <f>Tabla_Items_Inactivos[[#This Row],[EXISTENCIA]]*Tabla_Items_Inactivos[[#This Row],[COSTO]]</f>
        <v>31.5855</v>
      </c>
    </row>
    <row r="760" spans="1:8">
      <c r="A760" t="s">
        <v>3300</v>
      </c>
      <c r="B760" t="s">
        <v>4023</v>
      </c>
      <c r="C760" t="s">
        <v>4024</v>
      </c>
      <c r="D760" t="s">
        <v>98</v>
      </c>
      <c r="E760" t="s">
        <v>86</v>
      </c>
      <c r="F760" s="2">
        <v>7.3390000000000004</v>
      </c>
      <c r="G760">
        <v>10</v>
      </c>
      <c r="H760" s="2">
        <f>Tabla_Items_Inactivos[[#This Row],[EXISTENCIA]]*Tabla_Items_Inactivos[[#This Row],[COSTO]]</f>
        <v>73.39</v>
      </c>
    </row>
    <row r="761" spans="1:8">
      <c r="A761" t="s">
        <v>3300</v>
      </c>
      <c r="B761" t="s">
        <v>4025</v>
      </c>
      <c r="C761" t="s">
        <v>4026</v>
      </c>
      <c r="D761" t="s">
        <v>98</v>
      </c>
      <c r="E761" t="s">
        <v>86</v>
      </c>
      <c r="F761" s="2">
        <v>0.57999999999999996</v>
      </c>
      <c r="G761">
        <v>16</v>
      </c>
      <c r="H761" s="2">
        <f>Tabla_Items_Inactivos[[#This Row],[EXISTENCIA]]*Tabla_Items_Inactivos[[#This Row],[COSTO]]</f>
        <v>9.2799999999999994</v>
      </c>
    </row>
    <row r="762" spans="1:8">
      <c r="A762" t="s">
        <v>3300</v>
      </c>
      <c r="B762" t="s">
        <v>4027</v>
      </c>
      <c r="C762" t="s">
        <v>4028</v>
      </c>
      <c r="D762" t="s">
        <v>98</v>
      </c>
      <c r="E762" t="s">
        <v>86</v>
      </c>
      <c r="F762" s="2">
        <v>2.19</v>
      </c>
      <c r="G762">
        <v>17</v>
      </c>
      <c r="H762" s="2">
        <f>Tabla_Items_Inactivos[[#This Row],[EXISTENCIA]]*Tabla_Items_Inactivos[[#This Row],[COSTO]]</f>
        <v>37.229999999999997</v>
      </c>
    </row>
    <row r="763" spans="1:8">
      <c r="A763" t="s">
        <v>3300</v>
      </c>
      <c r="B763" t="s">
        <v>4029</v>
      </c>
      <c r="C763" t="s">
        <v>4030</v>
      </c>
      <c r="D763" t="s">
        <v>98</v>
      </c>
      <c r="E763" t="s">
        <v>86</v>
      </c>
      <c r="F763" s="2">
        <v>2.1844000000000001</v>
      </c>
      <c r="G763">
        <v>32</v>
      </c>
      <c r="H763" s="2">
        <f>Tabla_Items_Inactivos[[#This Row],[EXISTENCIA]]*Tabla_Items_Inactivos[[#This Row],[COSTO]]</f>
        <v>69.900800000000004</v>
      </c>
    </row>
    <row r="764" spans="1:8">
      <c r="A764" t="s">
        <v>3300</v>
      </c>
      <c r="B764" t="s">
        <v>4031</v>
      </c>
      <c r="C764" t="s">
        <v>4032</v>
      </c>
      <c r="D764" t="s">
        <v>98</v>
      </c>
      <c r="E764" t="s">
        <v>86</v>
      </c>
      <c r="F764" s="2">
        <v>0.4</v>
      </c>
      <c r="G764">
        <v>17</v>
      </c>
      <c r="H764" s="2">
        <f>Tabla_Items_Inactivos[[#This Row],[EXISTENCIA]]*Tabla_Items_Inactivos[[#This Row],[COSTO]]</f>
        <v>6.8000000000000007</v>
      </c>
    </row>
    <row r="765" spans="1:8">
      <c r="A765" t="s">
        <v>3300</v>
      </c>
      <c r="B765" t="s">
        <v>316</v>
      </c>
      <c r="C765" t="s">
        <v>317</v>
      </c>
      <c r="D765" t="s">
        <v>98</v>
      </c>
      <c r="E765" t="s">
        <v>86</v>
      </c>
      <c r="F765" s="2">
        <v>8.2469999999999999</v>
      </c>
      <c r="G765">
        <v>1</v>
      </c>
      <c r="H765" s="2">
        <f>Tabla_Items_Inactivos[[#This Row],[EXISTENCIA]]*Tabla_Items_Inactivos[[#This Row],[COSTO]]</f>
        <v>8.2469999999999999</v>
      </c>
    </row>
    <row r="766" spans="1:8">
      <c r="A766" t="s">
        <v>3300</v>
      </c>
      <c r="B766" t="s">
        <v>318</v>
      </c>
      <c r="C766" t="s">
        <v>319</v>
      </c>
      <c r="D766" t="s">
        <v>263</v>
      </c>
      <c r="E766" t="s">
        <v>86</v>
      </c>
      <c r="F766" s="2">
        <v>9.32</v>
      </c>
      <c r="G766">
        <v>15</v>
      </c>
      <c r="H766" s="2">
        <f>Tabla_Items_Inactivos[[#This Row],[EXISTENCIA]]*Tabla_Items_Inactivos[[#This Row],[COSTO]]</f>
        <v>139.80000000000001</v>
      </c>
    </row>
    <row r="767" spans="1:8">
      <c r="A767" t="s">
        <v>3300</v>
      </c>
      <c r="B767" t="s">
        <v>320</v>
      </c>
      <c r="C767" t="s">
        <v>321</v>
      </c>
      <c r="D767" t="s">
        <v>263</v>
      </c>
      <c r="E767" t="s">
        <v>86</v>
      </c>
      <c r="F767" s="2">
        <v>19.450900000000001</v>
      </c>
      <c r="G767">
        <v>33</v>
      </c>
      <c r="H767" s="2">
        <f>Tabla_Items_Inactivos[[#This Row],[EXISTENCIA]]*Tabla_Items_Inactivos[[#This Row],[COSTO]]</f>
        <v>641.87970000000007</v>
      </c>
    </row>
    <row r="768" spans="1:8">
      <c r="A768" t="s">
        <v>3301</v>
      </c>
      <c r="B768" t="s">
        <v>320</v>
      </c>
      <c r="C768" t="s">
        <v>321</v>
      </c>
      <c r="D768" t="s">
        <v>263</v>
      </c>
      <c r="E768" t="s">
        <v>86</v>
      </c>
      <c r="F768" s="2">
        <v>19.450900000000001</v>
      </c>
      <c r="G768">
        <v>33</v>
      </c>
      <c r="H768" s="2">
        <f>Tabla_Items_Inactivos[[#This Row],[EXISTENCIA]]*Tabla_Items_Inactivos[[#This Row],[COSTO]]</f>
        <v>641.87970000000007</v>
      </c>
    </row>
    <row r="769" spans="1:8">
      <c r="A769" t="s">
        <v>3300</v>
      </c>
      <c r="B769" t="s">
        <v>322</v>
      </c>
      <c r="C769" t="s">
        <v>323</v>
      </c>
      <c r="D769" t="s">
        <v>263</v>
      </c>
      <c r="E769" t="s">
        <v>86</v>
      </c>
      <c r="F769" s="2">
        <v>14.844200000000001</v>
      </c>
      <c r="G769">
        <v>44</v>
      </c>
      <c r="H769" s="2">
        <f>Tabla_Items_Inactivos[[#This Row],[EXISTENCIA]]*Tabla_Items_Inactivos[[#This Row],[COSTO]]</f>
        <v>653.14480000000003</v>
      </c>
    </row>
    <row r="770" spans="1:8">
      <c r="A770" t="s">
        <v>3301</v>
      </c>
      <c r="B770" t="s">
        <v>322</v>
      </c>
      <c r="C770" t="s">
        <v>323</v>
      </c>
      <c r="D770" t="s">
        <v>263</v>
      </c>
      <c r="E770" t="s">
        <v>86</v>
      </c>
      <c r="F770" s="2">
        <v>14.844200000000001</v>
      </c>
      <c r="G770">
        <v>44</v>
      </c>
      <c r="H770" s="2">
        <f>Tabla_Items_Inactivos[[#This Row],[EXISTENCIA]]*Tabla_Items_Inactivos[[#This Row],[COSTO]]</f>
        <v>653.14480000000003</v>
      </c>
    </row>
    <row r="771" spans="1:8">
      <c r="A771" t="s">
        <v>3300</v>
      </c>
      <c r="B771" t="s">
        <v>4033</v>
      </c>
      <c r="C771" t="s">
        <v>4034</v>
      </c>
      <c r="D771" t="s">
        <v>263</v>
      </c>
      <c r="E771" t="s">
        <v>86</v>
      </c>
      <c r="F771" s="2">
        <v>22.330500000000001</v>
      </c>
      <c r="G771">
        <v>30</v>
      </c>
      <c r="H771" s="2">
        <f>Tabla_Items_Inactivos[[#This Row],[EXISTENCIA]]*Tabla_Items_Inactivos[[#This Row],[COSTO]]</f>
        <v>669.91499999999996</v>
      </c>
    </row>
    <row r="772" spans="1:8">
      <c r="A772" t="s">
        <v>3301</v>
      </c>
      <c r="B772" t="s">
        <v>4033</v>
      </c>
      <c r="C772" t="s">
        <v>4034</v>
      </c>
      <c r="D772" t="s">
        <v>263</v>
      </c>
      <c r="E772" t="s">
        <v>86</v>
      </c>
      <c r="F772" s="2">
        <v>22.330500000000001</v>
      </c>
      <c r="G772">
        <v>30</v>
      </c>
      <c r="H772" s="2">
        <f>Tabla_Items_Inactivos[[#This Row],[EXISTENCIA]]*Tabla_Items_Inactivos[[#This Row],[COSTO]]</f>
        <v>669.91499999999996</v>
      </c>
    </row>
    <row r="773" spans="1:8">
      <c r="A773" t="s">
        <v>3301</v>
      </c>
      <c r="B773" t="s">
        <v>4035</v>
      </c>
      <c r="C773" t="s">
        <v>4036</v>
      </c>
      <c r="D773" t="s">
        <v>263</v>
      </c>
      <c r="E773" t="s">
        <v>86</v>
      </c>
      <c r="F773" s="2">
        <v>0</v>
      </c>
      <c r="G773">
        <v>1</v>
      </c>
      <c r="H773" s="2">
        <f>Tabla_Items_Inactivos[[#This Row],[EXISTENCIA]]*Tabla_Items_Inactivos[[#This Row],[COSTO]]</f>
        <v>0</v>
      </c>
    </row>
    <row r="774" spans="1:8">
      <c r="A774" t="s">
        <v>3300</v>
      </c>
      <c r="B774" t="s">
        <v>4037</v>
      </c>
      <c r="C774" t="s">
        <v>4038</v>
      </c>
      <c r="D774" t="s">
        <v>467</v>
      </c>
      <c r="E774" t="s">
        <v>86</v>
      </c>
      <c r="F774" s="2">
        <v>394.28</v>
      </c>
      <c r="G774">
        <v>1</v>
      </c>
      <c r="H774" s="2">
        <f>Tabla_Items_Inactivos[[#This Row],[EXISTENCIA]]*Tabla_Items_Inactivos[[#This Row],[COSTO]]</f>
        <v>394.28</v>
      </c>
    </row>
    <row r="775" spans="1:8">
      <c r="A775" t="s">
        <v>3300</v>
      </c>
      <c r="B775" t="s">
        <v>4039</v>
      </c>
      <c r="C775" t="s">
        <v>3292</v>
      </c>
      <c r="D775" t="s">
        <v>467</v>
      </c>
      <c r="E775" t="s">
        <v>86</v>
      </c>
      <c r="F775" s="2">
        <v>412.47329999999999</v>
      </c>
      <c r="G775">
        <v>37</v>
      </c>
      <c r="H775" s="2">
        <f>Tabla_Items_Inactivos[[#This Row],[EXISTENCIA]]*Tabla_Items_Inactivos[[#This Row],[COSTO]]</f>
        <v>15261.5121</v>
      </c>
    </row>
    <row r="776" spans="1:8">
      <c r="A776" t="s">
        <v>3301</v>
      </c>
      <c r="B776" t="s">
        <v>4039</v>
      </c>
      <c r="C776" t="s">
        <v>3292</v>
      </c>
      <c r="D776" t="s">
        <v>467</v>
      </c>
      <c r="E776" t="s">
        <v>86</v>
      </c>
      <c r="F776" s="2">
        <v>412.47329999999999</v>
      </c>
      <c r="G776">
        <v>37</v>
      </c>
      <c r="H776" s="2">
        <f>Tabla_Items_Inactivos[[#This Row],[EXISTENCIA]]*Tabla_Items_Inactivos[[#This Row],[COSTO]]</f>
        <v>15261.5121</v>
      </c>
    </row>
    <row r="777" spans="1:8">
      <c r="A777" t="s">
        <v>3299</v>
      </c>
      <c r="B777" t="s">
        <v>4039</v>
      </c>
      <c r="C777" t="s">
        <v>3292</v>
      </c>
      <c r="D777" t="s">
        <v>467</v>
      </c>
      <c r="E777" t="s">
        <v>86</v>
      </c>
      <c r="F777" s="2">
        <v>412.47329999999999</v>
      </c>
      <c r="G777">
        <v>37</v>
      </c>
      <c r="H777" s="2">
        <f>Tabla_Items_Inactivos[[#This Row],[EXISTENCIA]]*Tabla_Items_Inactivos[[#This Row],[COSTO]]</f>
        <v>15261.5121</v>
      </c>
    </row>
    <row r="778" spans="1:8">
      <c r="A778" t="s">
        <v>3300</v>
      </c>
      <c r="B778" t="s">
        <v>4040</v>
      </c>
      <c r="C778" t="s">
        <v>4041</v>
      </c>
      <c r="D778" t="s">
        <v>228</v>
      </c>
      <c r="E778" t="s">
        <v>86</v>
      </c>
      <c r="F778" s="2">
        <v>15.92</v>
      </c>
      <c r="G778">
        <v>6</v>
      </c>
      <c r="H778" s="2">
        <f>Tabla_Items_Inactivos[[#This Row],[EXISTENCIA]]*Tabla_Items_Inactivos[[#This Row],[COSTO]]</f>
        <v>95.52</v>
      </c>
    </row>
    <row r="779" spans="1:8">
      <c r="A779" t="s">
        <v>3300</v>
      </c>
      <c r="B779" t="s">
        <v>4042</v>
      </c>
      <c r="C779" t="s">
        <v>4043</v>
      </c>
      <c r="D779" t="s">
        <v>98</v>
      </c>
      <c r="E779" t="s">
        <v>86</v>
      </c>
      <c r="F779" s="2">
        <v>0.17699999999999999</v>
      </c>
      <c r="G779">
        <v>10</v>
      </c>
      <c r="H779" s="2">
        <f>Tabla_Items_Inactivos[[#This Row],[EXISTENCIA]]*Tabla_Items_Inactivos[[#This Row],[COSTO]]</f>
        <v>1.77</v>
      </c>
    </row>
    <row r="780" spans="1:8">
      <c r="A780" t="s">
        <v>3300</v>
      </c>
      <c r="B780" t="s">
        <v>4044</v>
      </c>
      <c r="C780" t="s">
        <v>4045</v>
      </c>
      <c r="D780" t="s">
        <v>85</v>
      </c>
      <c r="E780" t="s">
        <v>86</v>
      </c>
      <c r="F780" s="2">
        <v>29.542000000000002</v>
      </c>
      <c r="G780">
        <v>14</v>
      </c>
      <c r="H780" s="2">
        <f>Tabla_Items_Inactivos[[#This Row],[EXISTENCIA]]*Tabla_Items_Inactivos[[#This Row],[COSTO]]</f>
        <v>413.58800000000002</v>
      </c>
    </row>
    <row r="781" spans="1:8">
      <c r="A781" t="s">
        <v>3300</v>
      </c>
      <c r="B781" t="s">
        <v>4046</v>
      </c>
      <c r="C781" t="s">
        <v>4047</v>
      </c>
      <c r="D781" t="s">
        <v>85</v>
      </c>
      <c r="E781" t="s">
        <v>86</v>
      </c>
      <c r="F781" s="2">
        <v>38.293999999999997</v>
      </c>
      <c r="G781">
        <v>4</v>
      </c>
      <c r="H781" s="2">
        <f>Tabla_Items_Inactivos[[#This Row],[EXISTENCIA]]*Tabla_Items_Inactivos[[#This Row],[COSTO]]</f>
        <v>153.17599999999999</v>
      </c>
    </row>
    <row r="782" spans="1:8">
      <c r="A782" t="s">
        <v>3300</v>
      </c>
      <c r="B782" t="s">
        <v>4048</v>
      </c>
      <c r="C782" t="s">
        <v>4049</v>
      </c>
      <c r="D782" t="s">
        <v>98</v>
      </c>
      <c r="E782" t="s">
        <v>86</v>
      </c>
      <c r="F782" s="2">
        <v>4.3156999999999996</v>
      </c>
      <c r="G782">
        <v>12</v>
      </c>
      <c r="H782" s="2">
        <f>Tabla_Items_Inactivos[[#This Row],[EXISTENCIA]]*Tabla_Items_Inactivos[[#This Row],[COSTO]]</f>
        <v>51.788399999999996</v>
      </c>
    </row>
    <row r="783" spans="1:8">
      <c r="A783" t="s">
        <v>3301</v>
      </c>
      <c r="B783" t="s">
        <v>4048</v>
      </c>
      <c r="C783" t="s">
        <v>4049</v>
      </c>
      <c r="D783" t="s">
        <v>98</v>
      </c>
      <c r="E783" t="s">
        <v>86</v>
      </c>
      <c r="F783" s="2">
        <v>4.3156999999999996</v>
      </c>
      <c r="G783">
        <v>12</v>
      </c>
      <c r="H783" s="2">
        <f>Tabla_Items_Inactivos[[#This Row],[EXISTENCIA]]*Tabla_Items_Inactivos[[#This Row],[COSTO]]</f>
        <v>51.788399999999996</v>
      </c>
    </row>
    <row r="784" spans="1:8">
      <c r="A784" t="s">
        <v>3300</v>
      </c>
      <c r="B784" t="s">
        <v>4050</v>
      </c>
      <c r="C784" t="s">
        <v>4051</v>
      </c>
      <c r="D784" t="s">
        <v>85</v>
      </c>
      <c r="E784" t="s">
        <v>86</v>
      </c>
      <c r="F784" s="2">
        <v>32.561999999999998</v>
      </c>
      <c r="G784">
        <v>10</v>
      </c>
      <c r="H784" s="2">
        <f>Tabla_Items_Inactivos[[#This Row],[EXISTENCIA]]*Tabla_Items_Inactivos[[#This Row],[COSTO]]</f>
        <v>325.62</v>
      </c>
    </row>
    <row r="785" spans="1:8">
      <c r="A785" t="s">
        <v>3300</v>
      </c>
      <c r="B785" t="s">
        <v>324</v>
      </c>
      <c r="C785" t="s">
        <v>325</v>
      </c>
      <c r="D785" t="s">
        <v>85</v>
      </c>
      <c r="E785" t="s">
        <v>86</v>
      </c>
      <c r="F785" s="2">
        <v>21.626000000000001</v>
      </c>
      <c r="G785">
        <v>10</v>
      </c>
      <c r="H785" s="2">
        <f>Tabla_Items_Inactivos[[#This Row],[EXISTENCIA]]*Tabla_Items_Inactivos[[#This Row],[COSTO]]</f>
        <v>216.26000000000002</v>
      </c>
    </row>
    <row r="786" spans="1:8">
      <c r="A786" t="s">
        <v>3300</v>
      </c>
      <c r="B786" t="s">
        <v>4052</v>
      </c>
      <c r="C786" t="s">
        <v>4053</v>
      </c>
      <c r="D786" t="s">
        <v>85</v>
      </c>
      <c r="E786" t="s">
        <v>86</v>
      </c>
      <c r="F786" s="2">
        <v>23.706</v>
      </c>
      <c r="G786">
        <v>6</v>
      </c>
      <c r="H786" s="2">
        <f>Tabla_Items_Inactivos[[#This Row],[EXISTENCIA]]*Tabla_Items_Inactivos[[#This Row],[COSTO]]</f>
        <v>142.23599999999999</v>
      </c>
    </row>
    <row r="787" spans="1:8">
      <c r="A787" t="s">
        <v>3301</v>
      </c>
      <c r="B787" t="s">
        <v>2930</v>
      </c>
      <c r="C787" t="s">
        <v>2931</v>
      </c>
      <c r="D787" t="s">
        <v>98</v>
      </c>
      <c r="E787" t="s">
        <v>86</v>
      </c>
      <c r="F787" s="2">
        <v>11.648999999999999</v>
      </c>
      <c r="G787">
        <v>9</v>
      </c>
      <c r="H787" s="2">
        <f>Tabla_Items_Inactivos[[#This Row],[EXISTENCIA]]*Tabla_Items_Inactivos[[#This Row],[COSTO]]</f>
        <v>104.84099999999999</v>
      </c>
    </row>
    <row r="788" spans="1:8">
      <c r="A788" t="s">
        <v>3300</v>
      </c>
      <c r="B788" t="s">
        <v>2930</v>
      </c>
      <c r="C788" t="s">
        <v>2931</v>
      </c>
      <c r="D788" t="s">
        <v>98</v>
      </c>
      <c r="E788" t="s">
        <v>86</v>
      </c>
      <c r="F788" s="2">
        <v>11.648999999999999</v>
      </c>
      <c r="G788">
        <v>9</v>
      </c>
      <c r="H788" s="2">
        <f>Tabla_Items_Inactivos[[#This Row],[EXISTENCIA]]*Tabla_Items_Inactivos[[#This Row],[COSTO]]</f>
        <v>104.84099999999999</v>
      </c>
    </row>
    <row r="789" spans="1:8">
      <c r="A789" t="s">
        <v>3300</v>
      </c>
      <c r="B789" t="s">
        <v>326</v>
      </c>
      <c r="C789" t="s">
        <v>327</v>
      </c>
      <c r="D789" t="s">
        <v>98</v>
      </c>
      <c r="E789" t="s">
        <v>86</v>
      </c>
      <c r="F789" s="2">
        <v>35.698500000000003</v>
      </c>
      <c r="G789">
        <v>15</v>
      </c>
      <c r="H789" s="2">
        <f>Tabla_Items_Inactivos[[#This Row],[EXISTENCIA]]*Tabla_Items_Inactivos[[#This Row],[COSTO]]</f>
        <v>535.47750000000008</v>
      </c>
    </row>
    <row r="790" spans="1:8">
      <c r="A790" t="s">
        <v>3300</v>
      </c>
      <c r="B790" t="s">
        <v>4054</v>
      </c>
      <c r="C790" t="s">
        <v>4055</v>
      </c>
      <c r="D790" t="s">
        <v>98</v>
      </c>
      <c r="E790" t="s">
        <v>86</v>
      </c>
      <c r="F790" s="2">
        <v>14.8428</v>
      </c>
      <c r="G790">
        <v>17</v>
      </c>
      <c r="H790" s="2">
        <f>Tabla_Items_Inactivos[[#This Row],[EXISTENCIA]]*Tabla_Items_Inactivos[[#This Row],[COSTO]]</f>
        <v>252.32760000000002</v>
      </c>
    </row>
    <row r="791" spans="1:8">
      <c r="A791" t="s">
        <v>3301</v>
      </c>
      <c r="B791" t="s">
        <v>4054</v>
      </c>
      <c r="C791" t="s">
        <v>4055</v>
      </c>
      <c r="D791" t="s">
        <v>98</v>
      </c>
      <c r="E791" t="s">
        <v>86</v>
      </c>
      <c r="F791" s="2">
        <v>14.8428</v>
      </c>
      <c r="G791">
        <v>17</v>
      </c>
      <c r="H791" s="2">
        <f>Tabla_Items_Inactivos[[#This Row],[EXISTENCIA]]*Tabla_Items_Inactivos[[#This Row],[COSTO]]</f>
        <v>252.32760000000002</v>
      </c>
    </row>
    <row r="792" spans="1:8">
      <c r="A792" t="s">
        <v>3300</v>
      </c>
      <c r="B792" t="s">
        <v>328</v>
      </c>
      <c r="C792" t="s">
        <v>329</v>
      </c>
      <c r="D792" t="s">
        <v>98</v>
      </c>
      <c r="E792" t="s">
        <v>86</v>
      </c>
      <c r="F792" s="2">
        <v>6.1059999999999999</v>
      </c>
      <c r="G792">
        <v>10</v>
      </c>
      <c r="H792" s="2">
        <f>Tabla_Items_Inactivos[[#This Row],[EXISTENCIA]]*Tabla_Items_Inactivos[[#This Row],[COSTO]]</f>
        <v>61.06</v>
      </c>
    </row>
    <row r="793" spans="1:8">
      <c r="A793" t="s">
        <v>3300</v>
      </c>
      <c r="B793" t="s">
        <v>4056</v>
      </c>
      <c r="C793" t="s">
        <v>4057</v>
      </c>
      <c r="D793" t="s">
        <v>85</v>
      </c>
      <c r="E793" t="s">
        <v>86</v>
      </c>
      <c r="F793" s="2">
        <v>4.298</v>
      </c>
      <c r="G793">
        <v>4</v>
      </c>
      <c r="H793" s="2">
        <f>Tabla_Items_Inactivos[[#This Row],[EXISTENCIA]]*Tabla_Items_Inactivos[[#This Row],[COSTO]]</f>
        <v>17.192</v>
      </c>
    </row>
    <row r="794" spans="1:8">
      <c r="A794" t="s">
        <v>3300</v>
      </c>
      <c r="B794" t="s">
        <v>4058</v>
      </c>
      <c r="C794" t="s">
        <v>4059</v>
      </c>
      <c r="D794" t="s">
        <v>228</v>
      </c>
      <c r="E794" t="s">
        <v>86</v>
      </c>
      <c r="F794" s="2">
        <v>10.994</v>
      </c>
      <c r="G794">
        <v>1</v>
      </c>
      <c r="H794" s="2">
        <f>Tabla_Items_Inactivos[[#This Row],[EXISTENCIA]]*Tabla_Items_Inactivos[[#This Row],[COSTO]]</f>
        <v>10.994</v>
      </c>
    </row>
    <row r="795" spans="1:8">
      <c r="A795" t="s">
        <v>3300</v>
      </c>
      <c r="B795" t="s">
        <v>4060</v>
      </c>
      <c r="C795" t="s">
        <v>4061</v>
      </c>
      <c r="D795" t="s">
        <v>228</v>
      </c>
      <c r="E795" t="s">
        <v>86</v>
      </c>
      <c r="F795" s="2">
        <v>12.493499999999999</v>
      </c>
      <c r="G795">
        <v>14</v>
      </c>
      <c r="H795" s="2">
        <f>Tabla_Items_Inactivos[[#This Row],[EXISTENCIA]]*Tabla_Items_Inactivos[[#This Row],[COSTO]]</f>
        <v>174.90899999999999</v>
      </c>
    </row>
    <row r="796" spans="1:8">
      <c r="A796" t="s">
        <v>3301</v>
      </c>
      <c r="B796" t="s">
        <v>4060</v>
      </c>
      <c r="C796" t="s">
        <v>4061</v>
      </c>
      <c r="D796" t="s">
        <v>228</v>
      </c>
      <c r="E796" t="s">
        <v>86</v>
      </c>
      <c r="F796" s="2">
        <v>12.493499999999999</v>
      </c>
      <c r="G796">
        <v>14</v>
      </c>
      <c r="H796" s="2">
        <f>Tabla_Items_Inactivos[[#This Row],[EXISTENCIA]]*Tabla_Items_Inactivos[[#This Row],[COSTO]]</f>
        <v>174.90899999999999</v>
      </c>
    </row>
    <row r="797" spans="1:8">
      <c r="A797" t="s">
        <v>3301</v>
      </c>
      <c r="B797" t="s">
        <v>4062</v>
      </c>
      <c r="C797" t="s">
        <v>4063</v>
      </c>
      <c r="D797" t="s">
        <v>219</v>
      </c>
      <c r="E797" t="s">
        <v>86</v>
      </c>
      <c r="F797" s="2">
        <v>7.6614000000000004</v>
      </c>
      <c r="G797">
        <v>12</v>
      </c>
      <c r="H797" s="2">
        <f>Tabla_Items_Inactivos[[#This Row],[EXISTENCIA]]*Tabla_Items_Inactivos[[#This Row],[COSTO]]</f>
        <v>91.936800000000005</v>
      </c>
    </row>
    <row r="798" spans="1:8">
      <c r="A798" t="s">
        <v>3300</v>
      </c>
      <c r="B798" t="s">
        <v>4062</v>
      </c>
      <c r="C798" t="s">
        <v>4063</v>
      </c>
      <c r="D798" t="s">
        <v>219</v>
      </c>
      <c r="E798" t="s">
        <v>86</v>
      </c>
      <c r="F798" s="2">
        <v>7.6614000000000004</v>
      </c>
      <c r="G798">
        <v>12</v>
      </c>
      <c r="H798" s="2">
        <f>Tabla_Items_Inactivos[[#This Row],[EXISTENCIA]]*Tabla_Items_Inactivos[[#This Row],[COSTO]]</f>
        <v>91.936800000000005</v>
      </c>
    </row>
    <row r="799" spans="1:8">
      <c r="A799" t="s">
        <v>3300</v>
      </c>
      <c r="B799" t="s">
        <v>4064</v>
      </c>
      <c r="C799" t="s">
        <v>4065</v>
      </c>
      <c r="D799" t="s">
        <v>219</v>
      </c>
      <c r="E799" t="s">
        <v>86</v>
      </c>
      <c r="F799" s="2">
        <v>15.923</v>
      </c>
      <c r="G799">
        <v>3</v>
      </c>
      <c r="H799" s="2">
        <f>Tabla_Items_Inactivos[[#This Row],[EXISTENCIA]]*Tabla_Items_Inactivos[[#This Row],[COSTO]]</f>
        <v>47.768999999999998</v>
      </c>
    </row>
    <row r="800" spans="1:8">
      <c r="A800" t="s">
        <v>3300</v>
      </c>
      <c r="B800" t="s">
        <v>4066</v>
      </c>
      <c r="C800" t="s">
        <v>4067</v>
      </c>
      <c r="D800" t="s">
        <v>85</v>
      </c>
      <c r="E800" t="s">
        <v>86</v>
      </c>
      <c r="F800" s="2">
        <v>0.30580000000000002</v>
      </c>
      <c r="G800">
        <v>157</v>
      </c>
      <c r="H800" s="2">
        <f>Tabla_Items_Inactivos[[#This Row],[EXISTENCIA]]*Tabla_Items_Inactivos[[#This Row],[COSTO]]</f>
        <v>48.010600000000004</v>
      </c>
    </row>
    <row r="801" spans="1:8">
      <c r="A801" t="s">
        <v>3301</v>
      </c>
      <c r="B801" t="s">
        <v>4066</v>
      </c>
      <c r="C801" t="s">
        <v>4067</v>
      </c>
      <c r="D801" t="s">
        <v>85</v>
      </c>
      <c r="E801" t="s">
        <v>86</v>
      </c>
      <c r="F801" s="2">
        <v>0.30580000000000002</v>
      </c>
      <c r="G801">
        <v>157</v>
      </c>
      <c r="H801" s="2">
        <f>Tabla_Items_Inactivos[[#This Row],[EXISTENCIA]]*Tabla_Items_Inactivos[[#This Row],[COSTO]]</f>
        <v>48.010600000000004</v>
      </c>
    </row>
    <row r="802" spans="1:8">
      <c r="A802" t="s">
        <v>3299</v>
      </c>
      <c r="B802" t="s">
        <v>4066</v>
      </c>
      <c r="C802" t="s">
        <v>4067</v>
      </c>
      <c r="D802" t="s">
        <v>85</v>
      </c>
      <c r="E802" t="s">
        <v>86</v>
      </c>
      <c r="F802" s="2">
        <v>0.30580000000000002</v>
      </c>
      <c r="G802">
        <v>157</v>
      </c>
      <c r="H802" s="2">
        <f>Tabla_Items_Inactivos[[#This Row],[EXISTENCIA]]*Tabla_Items_Inactivos[[#This Row],[COSTO]]</f>
        <v>48.010600000000004</v>
      </c>
    </row>
    <row r="803" spans="1:8">
      <c r="A803" t="s">
        <v>3301</v>
      </c>
      <c r="B803" t="s">
        <v>330</v>
      </c>
      <c r="C803" t="s">
        <v>331</v>
      </c>
      <c r="D803" t="s">
        <v>85</v>
      </c>
      <c r="E803" t="s">
        <v>86</v>
      </c>
      <c r="F803" s="2">
        <v>0.79859999999999998</v>
      </c>
      <c r="G803">
        <v>42</v>
      </c>
      <c r="H803" s="2">
        <f>Tabla_Items_Inactivos[[#This Row],[EXISTENCIA]]*Tabla_Items_Inactivos[[#This Row],[COSTO]]</f>
        <v>33.541199999999996</v>
      </c>
    </row>
    <row r="804" spans="1:8">
      <c r="A804" t="s">
        <v>3300</v>
      </c>
      <c r="B804" t="s">
        <v>330</v>
      </c>
      <c r="C804" t="s">
        <v>331</v>
      </c>
      <c r="D804" t="s">
        <v>85</v>
      </c>
      <c r="E804" t="s">
        <v>86</v>
      </c>
      <c r="F804" s="2">
        <v>0.79859999999999998</v>
      </c>
      <c r="G804">
        <v>42</v>
      </c>
      <c r="H804" s="2">
        <f>Tabla_Items_Inactivos[[#This Row],[EXISTENCIA]]*Tabla_Items_Inactivos[[#This Row],[COSTO]]</f>
        <v>33.541199999999996</v>
      </c>
    </row>
    <row r="805" spans="1:8">
      <c r="A805" t="s">
        <v>3301</v>
      </c>
      <c r="B805" t="s">
        <v>332</v>
      </c>
      <c r="C805" t="s">
        <v>4068</v>
      </c>
      <c r="D805" t="s">
        <v>228</v>
      </c>
      <c r="E805" t="s">
        <v>86</v>
      </c>
      <c r="F805" s="2">
        <v>0.41149999999999998</v>
      </c>
      <c r="G805">
        <v>615</v>
      </c>
      <c r="H805" s="2">
        <f>Tabla_Items_Inactivos[[#This Row],[EXISTENCIA]]*Tabla_Items_Inactivos[[#This Row],[COSTO]]</f>
        <v>253.07249999999999</v>
      </c>
    </row>
    <row r="806" spans="1:8">
      <c r="A806" t="s">
        <v>3299</v>
      </c>
      <c r="B806" t="s">
        <v>332</v>
      </c>
      <c r="C806" t="s">
        <v>4068</v>
      </c>
      <c r="D806" t="s">
        <v>228</v>
      </c>
      <c r="E806" t="s">
        <v>86</v>
      </c>
      <c r="F806" s="2">
        <v>0.41149999999999998</v>
      </c>
      <c r="G806">
        <v>615</v>
      </c>
      <c r="H806" s="2">
        <f>Tabla_Items_Inactivos[[#This Row],[EXISTENCIA]]*Tabla_Items_Inactivos[[#This Row],[COSTO]]</f>
        <v>253.07249999999999</v>
      </c>
    </row>
    <row r="807" spans="1:8">
      <c r="A807" t="s">
        <v>3300</v>
      </c>
      <c r="B807" t="s">
        <v>332</v>
      </c>
      <c r="C807" t="s">
        <v>4068</v>
      </c>
      <c r="D807" t="s">
        <v>228</v>
      </c>
      <c r="E807" t="s">
        <v>86</v>
      </c>
      <c r="F807" s="2">
        <v>0.41149999999999998</v>
      </c>
      <c r="G807">
        <v>615</v>
      </c>
      <c r="H807" s="2">
        <f>Tabla_Items_Inactivos[[#This Row],[EXISTENCIA]]*Tabla_Items_Inactivos[[#This Row],[COSTO]]</f>
        <v>253.07249999999999</v>
      </c>
    </row>
    <row r="808" spans="1:8">
      <c r="A808" t="s">
        <v>3301</v>
      </c>
      <c r="B808" t="s">
        <v>4069</v>
      </c>
      <c r="C808" t="s">
        <v>4070</v>
      </c>
      <c r="D808" t="s">
        <v>228</v>
      </c>
      <c r="E808" t="s">
        <v>86</v>
      </c>
      <c r="F808" s="2">
        <v>5.6538000000000004</v>
      </c>
      <c r="G808">
        <v>320</v>
      </c>
      <c r="H808" s="2">
        <f>Tabla_Items_Inactivos[[#This Row],[EXISTENCIA]]*Tabla_Items_Inactivos[[#This Row],[COSTO]]</f>
        <v>1809.2160000000001</v>
      </c>
    </row>
    <row r="809" spans="1:8">
      <c r="A809" t="s">
        <v>3299</v>
      </c>
      <c r="B809" t="s">
        <v>4069</v>
      </c>
      <c r="C809" t="s">
        <v>4070</v>
      </c>
      <c r="D809" t="s">
        <v>228</v>
      </c>
      <c r="E809" t="s">
        <v>86</v>
      </c>
      <c r="F809" s="2">
        <v>5.6538000000000004</v>
      </c>
      <c r="G809">
        <v>320</v>
      </c>
      <c r="H809" s="2">
        <f>Tabla_Items_Inactivos[[#This Row],[EXISTENCIA]]*Tabla_Items_Inactivos[[#This Row],[COSTO]]</f>
        <v>1809.2160000000001</v>
      </c>
    </row>
    <row r="810" spans="1:8">
      <c r="A810" t="s">
        <v>3300</v>
      </c>
      <c r="B810" t="s">
        <v>4069</v>
      </c>
      <c r="C810" t="s">
        <v>4070</v>
      </c>
      <c r="D810" t="s">
        <v>228</v>
      </c>
      <c r="E810" t="s">
        <v>86</v>
      </c>
      <c r="F810" s="2">
        <v>5.6538000000000004</v>
      </c>
      <c r="G810">
        <v>320</v>
      </c>
      <c r="H810" s="2">
        <f>Tabla_Items_Inactivos[[#This Row],[EXISTENCIA]]*Tabla_Items_Inactivos[[#This Row],[COSTO]]</f>
        <v>1809.2160000000001</v>
      </c>
    </row>
    <row r="811" spans="1:8">
      <c r="A811" t="s">
        <v>3299</v>
      </c>
      <c r="B811" t="s">
        <v>4071</v>
      </c>
      <c r="C811" t="s">
        <v>4072</v>
      </c>
      <c r="D811" t="s">
        <v>228</v>
      </c>
      <c r="E811" t="s">
        <v>86</v>
      </c>
      <c r="F811" s="2">
        <v>6.5758000000000001</v>
      </c>
      <c r="G811">
        <v>74</v>
      </c>
      <c r="H811" s="2">
        <f>Tabla_Items_Inactivos[[#This Row],[EXISTENCIA]]*Tabla_Items_Inactivos[[#This Row],[COSTO]]</f>
        <v>486.60919999999999</v>
      </c>
    </row>
    <row r="812" spans="1:8">
      <c r="A812" t="s">
        <v>3301</v>
      </c>
      <c r="B812" t="s">
        <v>4071</v>
      </c>
      <c r="C812" t="s">
        <v>4072</v>
      </c>
      <c r="D812" t="s">
        <v>228</v>
      </c>
      <c r="E812" t="s">
        <v>86</v>
      </c>
      <c r="F812" s="2">
        <v>6.5758000000000001</v>
      </c>
      <c r="G812">
        <v>74</v>
      </c>
      <c r="H812" s="2">
        <f>Tabla_Items_Inactivos[[#This Row],[EXISTENCIA]]*Tabla_Items_Inactivos[[#This Row],[COSTO]]</f>
        <v>486.60919999999999</v>
      </c>
    </row>
    <row r="813" spans="1:8">
      <c r="A813" t="s">
        <v>3300</v>
      </c>
      <c r="B813" t="s">
        <v>4071</v>
      </c>
      <c r="C813" t="s">
        <v>4072</v>
      </c>
      <c r="D813" t="s">
        <v>228</v>
      </c>
      <c r="E813" t="s">
        <v>86</v>
      </c>
      <c r="F813" s="2">
        <v>6.5758000000000001</v>
      </c>
      <c r="G813">
        <v>74</v>
      </c>
      <c r="H813" s="2">
        <f>Tabla_Items_Inactivos[[#This Row],[EXISTENCIA]]*Tabla_Items_Inactivos[[#This Row],[COSTO]]</f>
        <v>486.60919999999999</v>
      </c>
    </row>
    <row r="814" spans="1:8">
      <c r="A814" t="s">
        <v>3300</v>
      </c>
      <c r="B814" t="s">
        <v>4073</v>
      </c>
      <c r="C814" t="s">
        <v>2502</v>
      </c>
      <c r="D814" t="s">
        <v>85</v>
      </c>
      <c r="E814" t="s">
        <v>86</v>
      </c>
      <c r="F814" s="2">
        <v>2.5670000000000002</v>
      </c>
      <c r="G814">
        <v>7</v>
      </c>
      <c r="H814" s="2">
        <f>Tabla_Items_Inactivos[[#This Row],[EXISTENCIA]]*Tabla_Items_Inactivos[[#This Row],[COSTO]]</f>
        <v>17.969000000000001</v>
      </c>
    </row>
    <row r="815" spans="1:8">
      <c r="A815" t="s">
        <v>3300</v>
      </c>
      <c r="B815" t="s">
        <v>4074</v>
      </c>
      <c r="C815" t="s">
        <v>4075</v>
      </c>
      <c r="D815" t="s">
        <v>98</v>
      </c>
      <c r="E815" t="s">
        <v>86</v>
      </c>
      <c r="F815" s="2">
        <v>26.9739</v>
      </c>
      <c r="G815">
        <v>6</v>
      </c>
      <c r="H815" s="2">
        <f>Tabla_Items_Inactivos[[#This Row],[EXISTENCIA]]*Tabla_Items_Inactivos[[#This Row],[COSTO]]</f>
        <v>161.8434</v>
      </c>
    </row>
    <row r="816" spans="1:8">
      <c r="A816" t="s">
        <v>3300</v>
      </c>
      <c r="B816" t="s">
        <v>333</v>
      </c>
      <c r="C816" t="s">
        <v>334</v>
      </c>
      <c r="D816" t="s">
        <v>228</v>
      </c>
      <c r="E816" t="s">
        <v>86</v>
      </c>
      <c r="F816" s="2">
        <v>9.5456000000000003</v>
      </c>
      <c r="G816">
        <v>273</v>
      </c>
      <c r="H816" s="2">
        <f>Tabla_Items_Inactivos[[#This Row],[EXISTENCIA]]*Tabla_Items_Inactivos[[#This Row],[COSTO]]</f>
        <v>2605.9488000000001</v>
      </c>
    </row>
    <row r="817" spans="1:8">
      <c r="A817" t="s">
        <v>3301</v>
      </c>
      <c r="B817" t="s">
        <v>333</v>
      </c>
      <c r="C817" t="s">
        <v>334</v>
      </c>
      <c r="D817" t="s">
        <v>228</v>
      </c>
      <c r="E817" t="s">
        <v>86</v>
      </c>
      <c r="F817" s="2">
        <v>9.5456000000000003</v>
      </c>
      <c r="G817">
        <v>273</v>
      </c>
      <c r="H817" s="2">
        <f>Tabla_Items_Inactivos[[#This Row],[EXISTENCIA]]*Tabla_Items_Inactivos[[#This Row],[COSTO]]</f>
        <v>2605.9488000000001</v>
      </c>
    </row>
    <row r="818" spans="1:8">
      <c r="A818" t="s">
        <v>3300</v>
      </c>
      <c r="B818" t="s">
        <v>335</v>
      </c>
      <c r="C818" t="s">
        <v>336</v>
      </c>
      <c r="D818" t="s">
        <v>228</v>
      </c>
      <c r="E818" t="s">
        <v>86</v>
      </c>
      <c r="F818" s="2">
        <v>8.5182000000000002</v>
      </c>
      <c r="G818">
        <v>30</v>
      </c>
      <c r="H818" s="2">
        <f>Tabla_Items_Inactivos[[#This Row],[EXISTENCIA]]*Tabla_Items_Inactivos[[#This Row],[COSTO]]</f>
        <v>255.54599999999999</v>
      </c>
    </row>
    <row r="819" spans="1:8">
      <c r="A819" t="s">
        <v>3301</v>
      </c>
      <c r="B819" t="s">
        <v>335</v>
      </c>
      <c r="C819" t="s">
        <v>336</v>
      </c>
      <c r="D819" t="s">
        <v>228</v>
      </c>
      <c r="E819" t="s">
        <v>86</v>
      </c>
      <c r="F819" s="2">
        <v>8.5182000000000002</v>
      </c>
      <c r="G819">
        <v>30</v>
      </c>
      <c r="H819" s="2">
        <f>Tabla_Items_Inactivos[[#This Row],[EXISTENCIA]]*Tabla_Items_Inactivos[[#This Row],[COSTO]]</f>
        <v>255.54599999999999</v>
      </c>
    </row>
    <row r="820" spans="1:8">
      <c r="A820" t="s">
        <v>3299</v>
      </c>
      <c r="B820" t="s">
        <v>337</v>
      </c>
      <c r="C820" t="s">
        <v>4076</v>
      </c>
      <c r="D820" t="s">
        <v>228</v>
      </c>
      <c r="E820" t="s">
        <v>86</v>
      </c>
      <c r="F820" s="2">
        <v>3.8702000000000001</v>
      </c>
      <c r="G820">
        <v>229</v>
      </c>
      <c r="H820" s="2">
        <f>Tabla_Items_Inactivos[[#This Row],[EXISTENCIA]]*Tabla_Items_Inactivos[[#This Row],[COSTO]]</f>
        <v>886.2758</v>
      </c>
    </row>
    <row r="821" spans="1:8">
      <c r="A821" t="s">
        <v>3300</v>
      </c>
      <c r="B821" t="s">
        <v>337</v>
      </c>
      <c r="C821" t="s">
        <v>4076</v>
      </c>
      <c r="D821" t="s">
        <v>228</v>
      </c>
      <c r="E821" t="s">
        <v>86</v>
      </c>
      <c r="F821" s="2">
        <v>3.8702000000000001</v>
      </c>
      <c r="G821">
        <v>229</v>
      </c>
      <c r="H821" s="2">
        <f>Tabla_Items_Inactivos[[#This Row],[EXISTENCIA]]*Tabla_Items_Inactivos[[#This Row],[COSTO]]</f>
        <v>886.2758</v>
      </c>
    </row>
    <row r="822" spans="1:8">
      <c r="A822" t="s">
        <v>3301</v>
      </c>
      <c r="B822" t="s">
        <v>337</v>
      </c>
      <c r="C822" t="s">
        <v>4076</v>
      </c>
      <c r="D822" t="s">
        <v>228</v>
      </c>
      <c r="E822" t="s">
        <v>86</v>
      </c>
      <c r="F822" s="2">
        <v>3.8702000000000001</v>
      </c>
      <c r="G822">
        <v>229</v>
      </c>
      <c r="H822" s="2">
        <f>Tabla_Items_Inactivos[[#This Row],[EXISTENCIA]]*Tabla_Items_Inactivos[[#This Row],[COSTO]]</f>
        <v>886.2758</v>
      </c>
    </row>
    <row r="823" spans="1:8">
      <c r="A823" t="s">
        <v>3301</v>
      </c>
      <c r="B823" t="s">
        <v>4077</v>
      </c>
      <c r="C823" t="s">
        <v>3284</v>
      </c>
      <c r="D823" t="s">
        <v>476</v>
      </c>
      <c r="E823" t="s">
        <v>86</v>
      </c>
      <c r="F823" s="2">
        <v>11.591900000000001</v>
      </c>
      <c r="G823">
        <v>21</v>
      </c>
      <c r="H823" s="2">
        <f>Tabla_Items_Inactivos[[#This Row],[EXISTENCIA]]*Tabla_Items_Inactivos[[#This Row],[COSTO]]</f>
        <v>243.4299</v>
      </c>
    </row>
    <row r="824" spans="1:8">
      <c r="A824" t="s">
        <v>3300</v>
      </c>
      <c r="B824" t="s">
        <v>4077</v>
      </c>
      <c r="C824" t="s">
        <v>3284</v>
      </c>
      <c r="D824" t="s">
        <v>476</v>
      </c>
      <c r="E824" t="s">
        <v>86</v>
      </c>
      <c r="F824" s="2">
        <v>11.591900000000001</v>
      </c>
      <c r="G824">
        <v>21</v>
      </c>
      <c r="H824" s="2">
        <f>Tabla_Items_Inactivos[[#This Row],[EXISTENCIA]]*Tabla_Items_Inactivos[[#This Row],[COSTO]]</f>
        <v>243.4299</v>
      </c>
    </row>
    <row r="825" spans="1:8">
      <c r="A825" t="s">
        <v>3300</v>
      </c>
      <c r="B825" t="s">
        <v>4078</v>
      </c>
      <c r="C825" t="s">
        <v>4079</v>
      </c>
      <c r="D825" t="s">
        <v>98</v>
      </c>
      <c r="E825" t="s">
        <v>86</v>
      </c>
      <c r="F825" s="2">
        <v>3.6190000000000002</v>
      </c>
      <c r="G825">
        <v>32</v>
      </c>
      <c r="H825" s="2">
        <f>Tabla_Items_Inactivos[[#This Row],[EXISTENCIA]]*Tabla_Items_Inactivos[[#This Row],[COSTO]]</f>
        <v>115.80800000000001</v>
      </c>
    </row>
    <row r="826" spans="1:8">
      <c r="A826" t="s">
        <v>3301</v>
      </c>
      <c r="B826" t="s">
        <v>4078</v>
      </c>
      <c r="C826" t="s">
        <v>4079</v>
      </c>
      <c r="D826" t="s">
        <v>98</v>
      </c>
      <c r="E826" t="s">
        <v>86</v>
      </c>
      <c r="F826" s="2">
        <v>3.6190000000000002</v>
      </c>
      <c r="G826">
        <v>32</v>
      </c>
      <c r="H826" s="2">
        <f>Tabla_Items_Inactivos[[#This Row],[EXISTENCIA]]*Tabla_Items_Inactivos[[#This Row],[COSTO]]</f>
        <v>115.80800000000001</v>
      </c>
    </row>
    <row r="827" spans="1:8">
      <c r="A827" t="s">
        <v>3300</v>
      </c>
      <c r="B827" t="s">
        <v>338</v>
      </c>
      <c r="C827" t="s">
        <v>339</v>
      </c>
      <c r="D827" t="s">
        <v>98</v>
      </c>
      <c r="E827" t="s">
        <v>86</v>
      </c>
      <c r="F827" s="2">
        <v>5.5639000000000003</v>
      </c>
      <c r="G827">
        <v>10</v>
      </c>
      <c r="H827" s="2">
        <f>Tabla_Items_Inactivos[[#This Row],[EXISTENCIA]]*Tabla_Items_Inactivos[[#This Row],[COSTO]]</f>
        <v>55.639000000000003</v>
      </c>
    </row>
    <row r="828" spans="1:8">
      <c r="A828" t="s">
        <v>3300</v>
      </c>
      <c r="B828" t="s">
        <v>340</v>
      </c>
      <c r="C828" t="s">
        <v>341</v>
      </c>
      <c r="D828" t="s">
        <v>98</v>
      </c>
      <c r="E828" t="s">
        <v>86</v>
      </c>
      <c r="F828" s="2">
        <v>5.4370000000000003</v>
      </c>
      <c r="G828">
        <v>5</v>
      </c>
      <c r="H828" s="2">
        <f>Tabla_Items_Inactivos[[#This Row],[EXISTENCIA]]*Tabla_Items_Inactivos[[#This Row],[COSTO]]</f>
        <v>27.185000000000002</v>
      </c>
    </row>
    <row r="829" spans="1:8">
      <c r="A829" t="s">
        <v>3300</v>
      </c>
      <c r="B829" t="s">
        <v>4080</v>
      </c>
      <c r="C829" t="s">
        <v>4081</v>
      </c>
      <c r="D829" t="s">
        <v>3482</v>
      </c>
      <c r="E829" t="s">
        <v>86</v>
      </c>
      <c r="F829" s="2">
        <v>6.9</v>
      </c>
      <c r="G829">
        <v>2</v>
      </c>
      <c r="H829" s="2">
        <f>Tabla_Items_Inactivos[[#This Row],[EXISTENCIA]]*Tabla_Items_Inactivos[[#This Row],[COSTO]]</f>
        <v>13.8</v>
      </c>
    </row>
    <row r="830" spans="1:8">
      <c r="A830" t="s">
        <v>3300</v>
      </c>
      <c r="B830" t="s">
        <v>4082</v>
      </c>
      <c r="C830" t="s">
        <v>3818</v>
      </c>
      <c r="D830" t="s">
        <v>3819</v>
      </c>
      <c r="E830" t="s">
        <v>86</v>
      </c>
      <c r="F830" s="2">
        <v>19.09</v>
      </c>
      <c r="G830">
        <v>4</v>
      </c>
      <c r="H830" s="2">
        <f>Tabla_Items_Inactivos[[#This Row],[EXISTENCIA]]*Tabla_Items_Inactivos[[#This Row],[COSTO]]</f>
        <v>76.36</v>
      </c>
    </row>
    <row r="831" spans="1:8">
      <c r="A831" t="s">
        <v>3300</v>
      </c>
      <c r="B831" t="s">
        <v>342</v>
      </c>
      <c r="C831" t="s">
        <v>343</v>
      </c>
      <c r="D831" t="s">
        <v>85</v>
      </c>
      <c r="E831" t="s">
        <v>86</v>
      </c>
      <c r="F831" s="2">
        <v>1.7562</v>
      </c>
      <c r="G831">
        <v>53</v>
      </c>
      <c r="H831" s="2">
        <f>Tabla_Items_Inactivos[[#This Row],[EXISTENCIA]]*Tabla_Items_Inactivos[[#This Row],[COSTO]]</f>
        <v>93.078599999999994</v>
      </c>
    </row>
    <row r="832" spans="1:8">
      <c r="A832" t="s">
        <v>3301</v>
      </c>
      <c r="B832" t="s">
        <v>342</v>
      </c>
      <c r="C832" t="s">
        <v>343</v>
      </c>
      <c r="D832" t="s">
        <v>85</v>
      </c>
      <c r="E832" t="s">
        <v>86</v>
      </c>
      <c r="F832" s="2">
        <v>1.7562</v>
      </c>
      <c r="G832">
        <v>53</v>
      </c>
      <c r="H832" s="2">
        <f>Tabla_Items_Inactivos[[#This Row],[EXISTENCIA]]*Tabla_Items_Inactivos[[#This Row],[COSTO]]</f>
        <v>93.078599999999994</v>
      </c>
    </row>
    <row r="833" spans="1:8">
      <c r="A833" t="s">
        <v>3300</v>
      </c>
      <c r="B833" t="s">
        <v>4083</v>
      </c>
      <c r="C833" t="s">
        <v>4084</v>
      </c>
      <c r="D833" t="s">
        <v>219</v>
      </c>
      <c r="E833" t="s">
        <v>86</v>
      </c>
      <c r="F833" s="2">
        <v>0.34</v>
      </c>
      <c r="G833">
        <v>10</v>
      </c>
      <c r="H833" s="2">
        <f>Tabla_Items_Inactivos[[#This Row],[EXISTENCIA]]*Tabla_Items_Inactivos[[#This Row],[COSTO]]</f>
        <v>3.4000000000000004</v>
      </c>
    </row>
    <row r="834" spans="1:8">
      <c r="A834" t="s">
        <v>3300</v>
      </c>
      <c r="B834" t="s">
        <v>4085</v>
      </c>
      <c r="C834" t="s">
        <v>4086</v>
      </c>
      <c r="D834" t="s">
        <v>85</v>
      </c>
      <c r="E834" t="s">
        <v>86</v>
      </c>
      <c r="F834" s="2">
        <v>0.14000000000000001</v>
      </c>
      <c r="G834">
        <v>30</v>
      </c>
      <c r="H834" s="2">
        <f>Tabla_Items_Inactivos[[#This Row],[EXISTENCIA]]*Tabla_Items_Inactivos[[#This Row],[COSTO]]</f>
        <v>4.2</v>
      </c>
    </row>
    <row r="835" spans="1:8">
      <c r="A835" t="s">
        <v>3300</v>
      </c>
      <c r="B835" t="s">
        <v>2932</v>
      </c>
      <c r="C835" t="s">
        <v>2933</v>
      </c>
      <c r="D835" t="s">
        <v>219</v>
      </c>
      <c r="E835" t="s">
        <v>86</v>
      </c>
      <c r="F835" s="2">
        <v>0.60599999999999998</v>
      </c>
      <c r="G835">
        <v>10</v>
      </c>
      <c r="H835" s="2">
        <f>Tabla_Items_Inactivos[[#This Row],[EXISTENCIA]]*Tabla_Items_Inactivos[[#This Row],[COSTO]]</f>
        <v>6.06</v>
      </c>
    </row>
    <row r="836" spans="1:8">
      <c r="A836" t="s">
        <v>3300</v>
      </c>
      <c r="B836" t="s">
        <v>2934</v>
      </c>
      <c r="C836" t="s">
        <v>4087</v>
      </c>
      <c r="D836" t="s">
        <v>85</v>
      </c>
      <c r="E836" t="s">
        <v>86</v>
      </c>
      <c r="F836" s="2">
        <v>0.5</v>
      </c>
      <c r="G836">
        <v>7</v>
      </c>
      <c r="H836" s="2">
        <f>Tabla_Items_Inactivos[[#This Row],[EXISTENCIA]]*Tabla_Items_Inactivos[[#This Row],[COSTO]]</f>
        <v>3.5</v>
      </c>
    </row>
    <row r="837" spans="1:8">
      <c r="A837" t="s">
        <v>3300</v>
      </c>
      <c r="B837" t="s">
        <v>344</v>
      </c>
      <c r="C837" t="s">
        <v>345</v>
      </c>
      <c r="D837" t="s">
        <v>85</v>
      </c>
      <c r="E837" t="s">
        <v>86</v>
      </c>
      <c r="F837" s="2">
        <v>0.14000000000000001</v>
      </c>
      <c r="G837">
        <v>1</v>
      </c>
      <c r="H837" s="2">
        <f>Tabla_Items_Inactivos[[#This Row],[EXISTENCIA]]*Tabla_Items_Inactivos[[#This Row],[COSTO]]</f>
        <v>0.14000000000000001</v>
      </c>
    </row>
    <row r="838" spans="1:8">
      <c r="A838" t="s">
        <v>3300</v>
      </c>
      <c r="B838" t="s">
        <v>4088</v>
      </c>
      <c r="C838" t="s">
        <v>4089</v>
      </c>
      <c r="D838" t="s">
        <v>85</v>
      </c>
      <c r="E838" t="s">
        <v>86</v>
      </c>
      <c r="F838" s="2">
        <v>0.22</v>
      </c>
      <c r="G838">
        <v>30</v>
      </c>
      <c r="H838" s="2">
        <f>Tabla_Items_Inactivos[[#This Row],[EXISTENCIA]]*Tabla_Items_Inactivos[[#This Row],[COSTO]]</f>
        <v>6.6</v>
      </c>
    </row>
    <row r="839" spans="1:8">
      <c r="A839" t="s">
        <v>3300</v>
      </c>
      <c r="B839" t="s">
        <v>4090</v>
      </c>
      <c r="C839" t="s">
        <v>4091</v>
      </c>
      <c r="D839" t="s">
        <v>3819</v>
      </c>
      <c r="E839" t="s">
        <v>86</v>
      </c>
      <c r="F839" s="2">
        <v>11.657</v>
      </c>
      <c r="G839">
        <v>2</v>
      </c>
      <c r="H839" s="2">
        <f>Tabla_Items_Inactivos[[#This Row],[EXISTENCIA]]*Tabla_Items_Inactivos[[#This Row],[COSTO]]</f>
        <v>23.314</v>
      </c>
    </row>
    <row r="840" spans="1:8">
      <c r="A840" t="s">
        <v>3300</v>
      </c>
      <c r="B840" t="s">
        <v>4092</v>
      </c>
      <c r="C840" t="s">
        <v>4093</v>
      </c>
      <c r="D840" t="s">
        <v>85</v>
      </c>
      <c r="E840" t="s">
        <v>86</v>
      </c>
      <c r="F840" s="2">
        <v>0.14000000000000001</v>
      </c>
      <c r="G840">
        <v>30</v>
      </c>
      <c r="H840" s="2">
        <f>Tabla_Items_Inactivos[[#This Row],[EXISTENCIA]]*Tabla_Items_Inactivos[[#This Row],[COSTO]]</f>
        <v>4.2</v>
      </c>
    </row>
    <row r="841" spans="1:8">
      <c r="A841" t="s">
        <v>3300</v>
      </c>
      <c r="B841" t="s">
        <v>4094</v>
      </c>
      <c r="C841" t="s">
        <v>4095</v>
      </c>
      <c r="D841" t="s">
        <v>85</v>
      </c>
      <c r="E841" t="s">
        <v>86</v>
      </c>
      <c r="F841" s="2">
        <v>0.16</v>
      </c>
      <c r="G841">
        <v>10</v>
      </c>
      <c r="H841" s="2">
        <f>Tabla_Items_Inactivos[[#This Row],[EXISTENCIA]]*Tabla_Items_Inactivos[[#This Row],[COSTO]]</f>
        <v>1.6</v>
      </c>
    </row>
    <row r="842" spans="1:8">
      <c r="A842" t="s">
        <v>3300</v>
      </c>
      <c r="B842" t="s">
        <v>4096</v>
      </c>
      <c r="C842" t="s">
        <v>4097</v>
      </c>
      <c r="D842" t="s">
        <v>85</v>
      </c>
      <c r="E842" t="s">
        <v>86</v>
      </c>
      <c r="F842" s="2">
        <v>0.09</v>
      </c>
      <c r="G842">
        <v>2</v>
      </c>
      <c r="H842" s="2">
        <f>Tabla_Items_Inactivos[[#This Row],[EXISTENCIA]]*Tabla_Items_Inactivos[[#This Row],[COSTO]]</f>
        <v>0.18</v>
      </c>
    </row>
    <row r="843" spans="1:8">
      <c r="A843" t="s">
        <v>3300</v>
      </c>
      <c r="B843" t="s">
        <v>4098</v>
      </c>
      <c r="C843" t="s">
        <v>4099</v>
      </c>
      <c r="D843" t="s">
        <v>85</v>
      </c>
      <c r="E843" t="s">
        <v>86</v>
      </c>
      <c r="F843" s="2">
        <v>0.38</v>
      </c>
      <c r="G843">
        <v>50</v>
      </c>
      <c r="H843" s="2">
        <f>Tabla_Items_Inactivos[[#This Row],[EXISTENCIA]]*Tabla_Items_Inactivos[[#This Row],[COSTO]]</f>
        <v>19</v>
      </c>
    </row>
    <row r="844" spans="1:8">
      <c r="A844" t="s">
        <v>3300</v>
      </c>
      <c r="B844" t="s">
        <v>4100</v>
      </c>
      <c r="C844" t="s">
        <v>4101</v>
      </c>
      <c r="D844" t="s">
        <v>85</v>
      </c>
      <c r="E844" t="s">
        <v>86</v>
      </c>
      <c r="F844" s="2">
        <v>0.378</v>
      </c>
      <c r="G844">
        <v>5</v>
      </c>
      <c r="H844" s="2">
        <f>Tabla_Items_Inactivos[[#This Row],[EXISTENCIA]]*Tabla_Items_Inactivos[[#This Row],[COSTO]]</f>
        <v>1.8900000000000001</v>
      </c>
    </row>
    <row r="845" spans="1:8">
      <c r="A845" t="s">
        <v>3300</v>
      </c>
      <c r="B845" t="s">
        <v>4102</v>
      </c>
      <c r="C845" t="s">
        <v>4103</v>
      </c>
      <c r="D845" t="s">
        <v>85</v>
      </c>
      <c r="E845" t="s">
        <v>86</v>
      </c>
      <c r="F845" s="2">
        <v>2.2799999999999998</v>
      </c>
      <c r="G845">
        <v>2</v>
      </c>
      <c r="H845" s="2">
        <f>Tabla_Items_Inactivos[[#This Row],[EXISTENCIA]]*Tabla_Items_Inactivos[[#This Row],[COSTO]]</f>
        <v>4.5599999999999996</v>
      </c>
    </row>
    <row r="846" spans="1:8">
      <c r="A846" t="s">
        <v>3301</v>
      </c>
      <c r="B846" t="s">
        <v>4102</v>
      </c>
      <c r="C846" t="s">
        <v>4103</v>
      </c>
      <c r="D846" t="s">
        <v>85</v>
      </c>
      <c r="E846" t="s">
        <v>86</v>
      </c>
      <c r="F846" s="2">
        <v>2.2799999999999998</v>
      </c>
      <c r="G846">
        <v>2</v>
      </c>
      <c r="H846" s="2">
        <f>Tabla_Items_Inactivos[[#This Row],[EXISTENCIA]]*Tabla_Items_Inactivos[[#This Row],[COSTO]]</f>
        <v>4.5599999999999996</v>
      </c>
    </row>
    <row r="847" spans="1:8">
      <c r="A847" t="s">
        <v>3300</v>
      </c>
      <c r="B847" t="s">
        <v>4104</v>
      </c>
      <c r="C847" t="s">
        <v>4105</v>
      </c>
      <c r="D847" t="s">
        <v>85</v>
      </c>
      <c r="E847" t="s">
        <v>86</v>
      </c>
      <c r="F847" s="2">
        <v>3.6139999999999999</v>
      </c>
      <c r="G847">
        <v>1</v>
      </c>
      <c r="H847" s="2">
        <f>Tabla_Items_Inactivos[[#This Row],[EXISTENCIA]]*Tabla_Items_Inactivos[[#This Row],[COSTO]]</f>
        <v>3.6139999999999999</v>
      </c>
    </row>
    <row r="848" spans="1:8">
      <c r="A848" t="s">
        <v>3301</v>
      </c>
      <c r="B848" t="s">
        <v>4106</v>
      </c>
      <c r="C848" t="s">
        <v>4107</v>
      </c>
      <c r="D848" t="s">
        <v>85</v>
      </c>
      <c r="E848" t="s">
        <v>86</v>
      </c>
      <c r="F848" s="2">
        <v>3.9695</v>
      </c>
      <c r="G848">
        <v>25</v>
      </c>
      <c r="H848" s="2">
        <f>Tabla_Items_Inactivos[[#This Row],[EXISTENCIA]]*Tabla_Items_Inactivos[[#This Row],[COSTO]]</f>
        <v>99.237499999999997</v>
      </c>
    </row>
    <row r="849" spans="1:8">
      <c r="A849" t="s">
        <v>3300</v>
      </c>
      <c r="B849" t="s">
        <v>4106</v>
      </c>
      <c r="C849" t="s">
        <v>4107</v>
      </c>
      <c r="D849" t="s">
        <v>85</v>
      </c>
      <c r="E849" t="s">
        <v>86</v>
      </c>
      <c r="F849" s="2">
        <v>3.9695</v>
      </c>
      <c r="G849">
        <v>25</v>
      </c>
      <c r="H849" s="2">
        <f>Tabla_Items_Inactivos[[#This Row],[EXISTENCIA]]*Tabla_Items_Inactivos[[#This Row],[COSTO]]</f>
        <v>99.237499999999997</v>
      </c>
    </row>
    <row r="850" spans="1:8">
      <c r="A850" t="s">
        <v>3300</v>
      </c>
      <c r="B850" t="s">
        <v>4108</v>
      </c>
      <c r="C850" t="s">
        <v>4109</v>
      </c>
      <c r="D850" t="s">
        <v>85</v>
      </c>
      <c r="E850" t="s">
        <v>86</v>
      </c>
      <c r="F850" s="2">
        <v>2.57</v>
      </c>
      <c r="G850">
        <v>46</v>
      </c>
      <c r="H850" s="2">
        <f>Tabla_Items_Inactivos[[#This Row],[EXISTENCIA]]*Tabla_Items_Inactivos[[#This Row],[COSTO]]</f>
        <v>118.22</v>
      </c>
    </row>
    <row r="851" spans="1:8">
      <c r="A851" t="s">
        <v>3300</v>
      </c>
      <c r="B851" t="s">
        <v>4110</v>
      </c>
      <c r="C851" t="s">
        <v>4111</v>
      </c>
      <c r="D851" t="s">
        <v>228</v>
      </c>
      <c r="E851" t="s">
        <v>86</v>
      </c>
      <c r="F851" s="2">
        <v>2.14</v>
      </c>
      <c r="G851">
        <v>17</v>
      </c>
      <c r="H851" s="2">
        <f>Tabla_Items_Inactivos[[#This Row],[EXISTENCIA]]*Tabla_Items_Inactivos[[#This Row],[COSTO]]</f>
        <v>36.380000000000003</v>
      </c>
    </row>
    <row r="852" spans="1:8">
      <c r="A852" t="s">
        <v>3301</v>
      </c>
      <c r="B852" t="s">
        <v>2935</v>
      </c>
      <c r="C852" t="s">
        <v>4112</v>
      </c>
      <c r="D852" t="s">
        <v>373</v>
      </c>
      <c r="E852" t="s">
        <v>86</v>
      </c>
      <c r="F852" s="2">
        <v>5.798</v>
      </c>
      <c r="G852">
        <v>13</v>
      </c>
      <c r="H852" s="2">
        <f>Tabla_Items_Inactivos[[#This Row],[EXISTENCIA]]*Tabla_Items_Inactivos[[#This Row],[COSTO]]</f>
        <v>75.373999999999995</v>
      </c>
    </row>
    <row r="853" spans="1:8">
      <c r="A853" t="s">
        <v>3300</v>
      </c>
      <c r="B853" t="s">
        <v>2935</v>
      </c>
      <c r="C853" t="s">
        <v>4112</v>
      </c>
      <c r="D853" t="s">
        <v>373</v>
      </c>
      <c r="E853" t="s">
        <v>86</v>
      </c>
      <c r="F853" s="2">
        <v>5.798</v>
      </c>
      <c r="G853">
        <v>13</v>
      </c>
      <c r="H853" s="2">
        <f>Tabla_Items_Inactivos[[#This Row],[EXISTENCIA]]*Tabla_Items_Inactivos[[#This Row],[COSTO]]</f>
        <v>75.373999999999995</v>
      </c>
    </row>
    <row r="854" spans="1:8">
      <c r="A854" t="s">
        <v>3300</v>
      </c>
      <c r="B854" t="s">
        <v>4113</v>
      </c>
      <c r="C854" t="s">
        <v>4114</v>
      </c>
      <c r="D854" t="s">
        <v>85</v>
      </c>
      <c r="E854" t="s">
        <v>86</v>
      </c>
      <c r="F854" s="2">
        <v>0.30669999999999997</v>
      </c>
      <c r="G854">
        <v>29</v>
      </c>
      <c r="H854" s="2">
        <f>Tabla_Items_Inactivos[[#This Row],[EXISTENCIA]]*Tabla_Items_Inactivos[[#This Row],[COSTO]]</f>
        <v>8.8942999999999994</v>
      </c>
    </row>
    <row r="855" spans="1:8">
      <c r="A855" t="s">
        <v>3301</v>
      </c>
      <c r="B855" t="s">
        <v>4113</v>
      </c>
      <c r="C855" t="s">
        <v>4114</v>
      </c>
      <c r="D855" t="s">
        <v>85</v>
      </c>
      <c r="E855" t="s">
        <v>86</v>
      </c>
      <c r="F855" s="2">
        <v>0.30669999999999997</v>
      </c>
      <c r="G855">
        <v>29</v>
      </c>
      <c r="H855" s="2">
        <f>Tabla_Items_Inactivos[[#This Row],[EXISTENCIA]]*Tabla_Items_Inactivos[[#This Row],[COSTO]]</f>
        <v>8.8942999999999994</v>
      </c>
    </row>
    <row r="856" spans="1:8">
      <c r="A856" t="s">
        <v>3300</v>
      </c>
      <c r="B856" t="s">
        <v>4115</v>
      </c>
      <c r="C856" t="s">
        <v>4116</v>
      </c>
      <c r="D856" t="s">
        <v>3819</v>
      </c>
      <c r="E856" t="s">
        <v>86</v>
      </c>
      <c r="F856" s="2">
        <v>71.703299999999999</v>
      </c>
      <c r="G856">
        <v>3</v>
      </c>
      <c r="H856" s="2">
        <f>Tabla_Items_Inactivos[[#This Row],[EXISTENCIA]]*Tabla_Items_Inactivos[[#This Row],[COSTO]]</f>
        <v>215.10989999999998</v>
      </c>
    </row>
    <row r="857" spans="1:8">
      <c r="A857" t="s">
        <v>3300</v>
      </c>
      <c r="B857" t="s">
        <v>346</v>
      </c>
      <c r="C857" t="s">
        <v>347</v>
      </c>
      <c r="D857" t="s">
        <v>3819</v>
      </c>
      <c r="E857" t="s">
        <v>86</v>
      </c>
      <c r="F857" s="2">
        <v>332.82119999999998</v>
      </c>
      <c r="G857">
        <v>2</v>
      </c>
      <c r="H857" s="2">
        <f>Tabla_Items_Inactivos[[#This Row],[EXISTENCIA]]*Tabla_Items_Inactivos[[#This Row],[COSTO]]</f>
        <v>665.64239999999995</v>
      </c>
    </row>
    <row r="858" spans="1:8">
      <c r="A858" t="s">
        <v>3300</v>
      </c>
      <c r="B858" t="s">
        <v>2936</v>
      </c>
      <c r="C858" t="s">
        <v>2937</v>
      </c>
      <c r="D858" t="s">
        <v>373</v>
      </c>
      <c r="E858" t="s">
        <v>86</v>
      </c>
      <c r="F858" s="2">
        <v>9.1295999999999999</v>
      </c>
      <c r="G858">
        <v>94</v>
      </c>
      <c r="H858" s="2">
        <f>Tabla_Items_Inactivos[[#This Row],[EXISTENCIA]]*Tabla_Items_Inactivos[[#This Row],[COSTO]]</f>
        <v>858.18240000000003</v>
      </c>
    </row>
    <row r="859" spans="1:8">
      <c r="A859" t="s">
        <v>3301</v>
      </c>
      <c r="B859" t="s">
        <v>2936</v>
      </c>
      <c r="C859" t="s">
        <v>2937</v>
      </c>
      <c r="D859" t="s">
        <v>373</v>
      </c>
      <c r="E859" t="s">
        <v>86</v>
      </c>
      <c r="F859" s="2">
        <v>9.1295999999999999</v>
      </c>
      <c r="G859">
        <v>94</v>
      </c>
      <c r="H859" s="2">
        <f>Tabla_Items_Inactivos[[#This Row],[EXISTENCIA]]*Tabla_Items_Inactivos[[#This Row],[COSTO]]</f>
        <v>858.18240000000003</v>
      </c>
    </row>
    <row r="860" spans="1:8">
      <c r="A860" t="s">
        <v>3301</v>
      </c>
      <c r="B860" t="s">
        <v>4117</v>
      </c>
      <c r="C860" t="s">
        <v>4118</v>
      </c>
      <c r="D860" t="s">
        <v>263</v>
      </c>
      <c r="E860" t="s">
        <v>86</v>
      </c>
      <c r="F860" s="2">
        <v>8.8125999999999998</v>
      </c>
      <c r="G860">
        <v>12</v>
      </c>
      <c r="H860" s="2">
        <f>Tabla_Items_Inactivos[[#This Row],[EXISTENCIA]]*Tabla_Items_Inactivos[[#This Row],[COSTO]]</f>
        <v>105.7512</v>
      </c>
    </row>
    <row r="861" spans="1:8">
      <c r="A861" t="s">
        <v>3300</v>
      </c>
      <c r="B861" t="s">
        <v>4117</v>
      </c>
      <c r="C861" t="s">
        <v>4118</v>
      </c>
      <c r="D861" t="s">
        <v>263</v>
      </c>
      <c r="E861" t="s">
        <v>86</v>
      </c>
      <c r="F861" s="2">
        <v>8.8125999999999998</v>
      </c>
      <c r="G861">
        <v>12</v>
      </c>
      <c r="H861" s="2">
        <f>Tabla_Items_Inactivos[[#This Row],[EXISTENCIA]]*Tabla_Items_Inactivos[[#This Row],[COSTO]]</f>
        <v>105.7512</v>
      </c>
    </row>
    <row r="862" spans="1:8">
      <c r="A862" t="s">
        <v>3300</v>
      </c>
      <c r="B862" t="s">
        <v>4119</v>
      </c>
      <c r="C862" t="s">
        <v>4120</v>
      </c>
      <c r="D862" t="s">
        <v>85</v>
      </c>
      <c r="E862" t="s">
        <v>86</v>
      </c>
      <c r="F862" s="2">
        <v>0.30299999999999999</v>
      </c>
      <c r="G862">
        <v>10</v>
      </c>
      <c r="H862" s="2">
        <f>Tabla_Items_Inactivos[[#This Row],[EXISTENCIA]]*Tabla_Items_Inactivos[[#This Row],[COSTO]]</f>
        <v>3.03</v>
      </c>
    </row>
    <row r="863" spans="1:8">
      <c r="A863" t="s">
        <v>3300</v>
      </c>
      <c r="B863" t="s">
        <v>4121</v>
      </c>
      <c r="C863" t="s">
        <v>4122</v>
      </c>
      <c r="D863" t="s">
        <v>85</v>
      </c>
      <c r="E863" t="s">
        <v>86</v>
      </c>
      <c r="F863" s="2">
        <v>0.30299999999999999</v>
      </c>
      <c r="G863">
        <v>7</v>
      </c>
      <c r="H863" s="2">
        <f>Tabla_Items_Inactivos[[#This Row],[EXISTENCIA]]*Tabla_Items_Inactivos[[#This Row],[COSTO]]</f>
        <v>2.121</v>
      </c>
    </row>
    <row r="864" spans="1:8">
      <c r="A864" t="s">
        <v>3300</v>
      </c>
      <c r="B864" t="s">
        <v>4123</v>
      </c>
      <c r="C864" t="s">
        <v>4124</v>
      </c>
      <c r="D864" t="s">
        <v>85</v>
      </c>
      <c r="E864" t="s">
        <v>86</v>
      </c>
      <c r="F864" s="2">
        <v>0.30199999999999999</v>
      </c>
      <c r="G864">
        <v>4</v>
      </c>
      <c r="H864" s="2">
        <f>Tabla_Items_Inactivos[[#This Row],[EXISTENCIA]]*Tabla_Items_Inactivos[[#This Row],[COSTO]]</f>
        <v>1.208</v>
      </c>
    </row>
    <row r="865" spans="1:8">
      <c r="A865" t="s">
        <v>3300</v>
      </c>
      <c r="B865" t="s">
        <v>4125</v>
      </c>
      <c r="C865" t="s">
        <v>2109</v>
      </c>
      <c r="D865" t="s">
        <v>85</v>
      </c>
      <c r="E865" t="s">
        <v>86</v>
      </c>
      <c r="F865" s="2">
        <v>0.24</v>
      </c>
      <c r="G865">
        <v>10</v>
      </c>
      <c r="H865" s="2">
        <f>Tabla_Items_Inactivos[[#This Row],[EXISTENCIA]]*Tabla_Items_Inactivos[[#This Row],[COSTO]]</f>
        <v>2.4</v>
      </c>
    </row>
    <row r="866" spans="1:8">
      <c r="A866" t="s">
        <v>3300</v>
      </c>
      <c r="B866" t="s">
        <v>4126</v>
      </c>
      <c r="C866" t="s">
        <v>4127</v>
      </c>
      <c r="D866" t="s">
        <v>85</v>
      </c>
      <c r="E866" t="s">
        <v>86</v>
      </c>
      <c r="F866" s="2">
        <v>0.44</v>
      </c>
      <c r="G866">
        <v>10</v>
      </c>
      <c r="H866" s="2">
        <f>Tabla_Items_Inactivos[[#This Row],[EXISTENCIA]]*Tabla_Items_Inactivos[[#This Row],[COSTO]]</f>
        <v>4.4000000000000004</v>
      </c>
    </row>
    <row r="867" spans="1:8">
      <c r="A867" t="s">
        <v>3300</v>
      </c>
      <c r="B867" t="s">
        <v>4128</v>
      </c>
      <c r="C867" t="s">
        <v>4129</v>
      </c>
      <c r="D867" t="s">
        <v>219</v>
      </c>
      <c r="E867" t="s">
        <v>86</v>
      </c>
      <c r="F867" s="2">
        <v>0.27</v>
      </c>
      <c r="G867">
        <v>2</v>
      </c>
      <c r="H867" s="2">
        <f>Tabla_Items_Inactivos[[#This Row],[EXISTENCIA]]*Tabla_Items_Inactivos[[#This Row],[COSTO]]</f>
        <v>0.54</v>
      </c>
    </row>
    <row r="868" spans="1:8">
      <c r="A868" t="s">
        <v>3300</v>
      </c>
      <c r="B868" t="s">
        <v>4130</v>
      </c>
      <c r="C868" t="s">
        <v>4131</v>
      </c>
      <c r="D868" t="s">
        <v>85</v>
      </c>
      <c r="E868" t="s">
        <v>86</v>
      </c>
      <c r="F868" s="2">
        <v>0.28000000000000003</v>
      </c>
      <c r="G868">
        <v>10</v>
      </c>
      <c r="H868" s="2">
        <f>Tabla_Items_Inactivos[[#This Row],[EXISTENCIA]]*Tabla_Items_Inactivos[[#This Row],[COSTO]]</f>
        <v>2.8000000000000003</v>
      </c>
    </row>
    <row r="869" spans="1:8">
      <c r="A869" t="s">
        <v>3300</v>
      </c>
      <c r="B869" t="s">
        <v>4132</v>
      </c>
      <c r="C869" t="s">
        <v>4133</v>
      </c>
      <c r="D869" t="s">
        <v>98</v>
      </c>
      <c r="E869" t="s">
        <v>86</v>
      </c>
      <c r="F869" s="2">
        <v>0.28000000000000003</v>
      </c>
      <c r="G869">
        <v>4</v>
      </c>
      <c r="H869" s="2">
        <f>Tabla_Items_Inactivos[[#This Row],[EXISTENCIA]]*Tabla_Items_Inactivos[[#This Row],[COSTO]]</f>
        <v>1.1200000000000001</v>
      </c>
    </row>
    <row r="870" spans="1:8">
      <c r="A870" t="s">
        <v>3300</v>
      </c>
      <c r="B870" t="s">
        <v>4134</v>
      </c>
      <c r="C870" t="s">
        <v>4135</v>
      </c>
      <c r="D870" t="s">
        <v>85</v>
      </c>
      <c r="E870" t="s">
        <v>86</v>
      </c>
      <c r="F870" s="2">
        <v>0.505</v>
      </c>
      <c r="G870">
        <v>7</v>
      </c>
      <c r="H870" s="2">
        <f>Tabla_Items_Inactivos[[#This Row],[EXISTENCIA]]*Tabla_Items_Inactivos[[#This Row],[COSTO]]</f>
        <v>3.5350000000000001</v>
      </c>
    </row>
    <row r="871" spans="1:8">
      <c r="A871" t="s">
        <v>3300</v>
      </c>
      <c r="B871" t="s">
        <v>4136</v>
      </c>
      <c r="C871" t="s">
        <v>4137</v>
      </c>
      <c r="D871" t="s">
        <v>98</v>
      </c>
      <c r="E871" t="s">
        <v>86</v>
      </c>
      <c r="F871" s="2">
        <v>1.0089999999999999</v>
      </c>
      <c r="G871">
        <v>10</v>
      </c>
      <c r="H871" s="2">
        <f>Tabla_Items_Inactivos[[#This Row],[EXISTENCIA]]*Tabla_Items_Inactivos[[#This Row],[COSTO]]</f>
        <v>10.09</v>
      </c>
    </row>
    <row r="872" spans="1:8">
      <c r="A872" t="s">
        <v>3300</v>
      </c>
      <c r="B872" t="s">
        <v>4138</v>
      </c>
      <c r="C872" t="s">
        <v>4137</v>
      </c>
      <c r="D872" t="s">
        <v>98</v>
      </c>
      <c r="E872" t="s">
        <v>86</v>
      </c>
      <c r="F872" s="2">
        <v>0.80700000000000005</v>
      </c>
      <c r="G872">
        <v>10</v>
      </c>
      <c r="H872" s="2">
        <f>Tabla_Items_Inactivos[[#This Row],[EXISTENCIA]]*Tabla_Items_Inactivos[[#This Row],[COSTO]]</f>
        <v>8.07</v>
      </c>
    </row>
    <row r="873" spans="1:8">
      <c r="A873" t="s">
        <v>3300</v>
      </c>
      <c r="B873" t="s">
        <v>4139</v>
      </c>
      <c r="C873" t="s">
        <v>3288</v>
      </c>
      <c r="D873" t="s">
        <v>219</v>
      </c>
      <c r="E873" t="s">
        <v>86</v>
      </c>
      <c r="F873" s="2">
        <v>2.3159999999999998</v>
      </c>
      <c r="G873">
        <v>8</v>
      </c>
      <c r="H873" s="2">
        <f>Tabla_Items_Inactivos[[#This Row],[EXISTENCIA]]*Tabla_Items_Inactivos[[#This Row],[COSTO]]</f>
        <v>18.527999999999999</v>
      </c>
    </row>
    <row r="874" spans="1:8">
      <c r="A874" t="s">
        <v>3301</v>
      </c>
      <c r="B874" t="s">
        <v>4140</v>
      </c>
      <c r="C874" t="s">
        <v>4141</v>
      </c>
      <c r="D874" t="s">
        <v>85</v>
      </c>
      <c r="E874" t="s">
        <v>86</v>
      </c>
      <c r="F874" s="2">
        <v>5.9996</v>
      </c>
      <c r="G874">
        <v>11</v>
      </c>
      <c r="H874" s="2">
        <f>Tabla_Items_Inactivos[[#This Row],[EXISTENCIA]]*Tabla_Items_Inactivos[[#This Row],[COSTO]]</f>
        <v>65.995599999999996</v>
      </c>
    </row>
    <row r="875" spans="1:8">
      <c r="A875" t="s">
        <v>3300</v>
      </c>
      <c r="B875" t="s">
        <v>4140</v>
      </c>
      <c r="C875" t="s">
        <v>4141</v>
      </c>
      <c r="D875" t="s">
        <v>85</v>
      </c>
      <c r="E875" t="s">
        <v>86</v>
      </c>
      <c r="F875" s="2">
        <v>5.9996</v>
      </c>
      <c r="G875">
        <v>11</v>
      </c>
      <c r="H875" s="2">
        <f>Tabla_Items_Inactivos[[#This Row],[EXISTENCIA]]*Tabla_Items_Inactivos[[#This Row],[COSTO]]</f>
        <v>65.995599999999996</v>
      </c>
    </row>
    <row r="876" spans="1:8">
      <c r="A876" t="s">
        <v>3300</v>
      </c>
      <c r="B876" t="s">
        <v>4142</v>
      </c>
      <c r="C876" t="s">
        <v>3289</v>
      </c>
      <c r="D876" t="s">
        <v>85</v>
      </c>
      <c r="E876" t="s">
        <v>86</v>
      </c>
      <c r="F876" s="2">
        <v>2.2829999999999999</v>
      </c>
      <c r="G876">
        <v>5</v>
      </c>
      <c r="H876" s="2">
        <f>Tabla_Items_Inactivos[[#This Row],[EXISTENCIA]]*Tabla_Items_Inactivos[[#This Row],[COSTO]]</f>
        <v>11.414999999999999</v>
      </c>
    </row>
    <row r="877" spans="1:8">
      <c r="A877" t="s">
        <v>3300</v>
      </c>
      <c r="B877" t="s">
        <v>4143</v>
      </c>
      <c r="C877" t="s">
        <v>4144</v>
      </c>
      <c r="D877" t="s">
        <v>85</v>
      </c>
      <c r="E877" t="s">
        <v>86</v>
      </c>
      <c r="F877" s="2">
        <v>1.22</v>
      </c>
      <c r="G877">
        <v>2</v>
      </c>
      <c r="H877" s="2">
        <f>Tabla_Items_Inactivos[[#This Row],[EXISTENCIA]]*Tabla_Items_Inactivos[[#This Row],[COSTO]]</f>
        <v>2.44</v>
      </c>
    </row>
    <row r="878" spans="1:8">
      <c r="A878" t="s">
        <v>3300</v>
      </c>
      <c r="B878" t="s">
        <v>4145</v>
      </c>
      <c r="C878" t="s">
        <v>4146</v>
      </c>
      <c r="D878" t="s">
        <v>85</v>
      </c>
      <c r="E878" t="s">
        <v>86</v>
      </c>
      <c r="F878" s="2">
        <v>14.2796</v>
      </c>
      <c r="G878">
        <v>4</v>
      </c>
      <c r="H878" s="2">
        <f>Tabla_Items_Inactivos[[#This Row],[EXISTENCIA]]*Tabla_Items_Inactivos[[#This Row],[COSTO]]</f>
        <v>57.118400000000001</v>
      </c>
    </row>
    <row r="879" spans="1:8">
      <c r="A879" t="s">
        <v>3300</v>
      </c>
      <c r="B879" t="s">
        <v>4147</v>
      </c>
      <c r="C879" t="s">
        <v>4148</v>
      </c>
      <c r="D879" t="s">
        <v>85</v>
      </c>
      <c r="E879" t="s">
        <v>86</v>
      </c>
      <c r="F879" s="2">
        <v>10.016</v>
      </c>
      <c r="G879">
        <v>5</v>
      </c>
      <c r="H879" s="2">
        <f>Tabla_Items_Inactivos[[#This Row],[EXISTENCIA]]*Tabla_Items_Inactivos[[#This Row],[COSTO]]</f>
        <v>50.08</v>
      </c>
    </row>
    <row r="880" spans="1:8">
      <c r="A880" t="s">
        <v>3300</v>
      </c>
      <c r="B880" t="s">
        <v>4149</v>
      </c>
      <c r="C880" t="s">
        <v>4150</v>
      </c>
      <c r="D880" t="s">
        <v>85</v>
      </c>
      <c r="E880" t="s">
        <v>86</v>
      </c>
      <c r="F880" s="2">
        <v>12.548999999999999</v>
      </c>
      <c r="G880">
        <v>5</v>
      </c>
      <c r="H880" s="2">
        <f>Tabla_Items_Inactivos[[#This Row],[EXISTENCIA]]*Tabla_Items_Inactivos[[#This Row],[COSTO]]</f>
        <v>62.744999999999997</v>
      </c>
    </row>
    <row r="881" spans="1:8">
      <c r="A881" t="s">
        <v>3300</v>
      </c>
      <c r="B881" t="s">
        <v>4151</v>
      </c>
      <c r="C881" t="s">
        <v>4152</v>
      </c>
      <c r="D881" t="s">
        <v>85</v>
      </c>
      <c r="E881" t="s">
        <v>86</v>
      </c>
      <c r="F881" s="2">
        <v>21.949400000000001</v>
      </c>
      <c r="G881">
        <v>74</v>
      </c>
      <c r="H881" s="2">
        <f>Tabla_Items_Inactivos[[#This Row],[EXISTENCIA]]*Tabla_Items_Inactivos[[#This Row],[COSTO]]</f>
        <v>1624.2556</v>
      </c>
    </row>
    <row r="882" spans="1:8">
      <c r="A882" t="s">
        <v>3301</v>
      </c>
      <c r="B882" t="s">
        <v>4151</v>
      </c>
      <c r="C882" t="s">
        <v>4152</v>
      </c>
      <c r="D882" t="s">
        <v>85</v>
      </c>
      <c r="E882" t="s">
        <v>86</v>
      </c>
      <c r="F882" s="2">
        <v>21.949400000000001</v>
      </c>
      <c r="G882">
        <v>74</v>
      </c>
      <c r="H882" s="2">
        <f>Tabla_Items_Inactivos[[#This Row],[EXISTENCIA]]*Tabla_Items_Inactivos[[#This Row],[COSTO]]</f>
        <v>1624.2556</v>
      </c>
    </row>
    <row r="883" spans="1:8">
      <c r="A883" t="s">
        <v>3300</v>
      </c>
      <c r="B883" t="s">
        <v>4153</v>
      </c>
      <c r="C883" t="s">
        <v>4154</v>
      </c>
      <c r="D883" t="s">
        <v>85</v>
      </c>
      <c r="E883" t="s">
        <v>86</v>
      </c>
      <c r="F883" s="2">
        <v>19.596399999999999</v>
      </c>
      <c r="G883">
        <v>76</v>
      </c>
      <c r="H883" s="2">
        <f>Tabla_Items_Inactivos[[#This Row],[EXISTENCIA]]*Tabla_Items_Inactivos[[#This Row],[COSTO]]</f>
        <v>1489.3263999999999</v>
      </c>
    </row>
    <row r="884" spans="1:8">
      <c r="A884" t="s">
        <v>3301</v>
      </c>
      <c r="B884" t="s">
        <v>4153</v>
      </c>
      <c r="C884" t="s">
        <v>4154</v>
      </c>
      <c r="D884" t="s">
        <v>85</v>
      </c>
      <c r="E884" t="s">
        <v>86</v>
      </c>
      <c r="F884" s="2">
        <v>19.596399999999999</v>
      </c>
      <c r="G884">
        <v>76</v>
      </c>
      <c r="H884" s="2">
        <f>Tabla_Items_Inactivos[[#This Row],[EXISTENCIA]]*Tabla_Items_Inactivos[[#This Row],[COSTO]]</f>
        <v>1489.3263999999999</v>
      </c>
    </row>
    <row r="885" spans="1:8">
      <c r="A885" t="s">
        <v>3300</v>
      </c>
      <c r="B885" t="s">
        <v>4155</v>
      </c>
      <c r="C885" t="s">
        <v>4156</v>
      </c>
      <c r="D885" t="s">
        <v>85</v>
      </c>
      <c r="E885" t="s">
        <v>86</v>
      </c>
      <c r="F885" s="2">
        <v>8.1122999999999994</v>
      </c>
      <c r="G885">
        <v>18</v>
      </c>
      <c r="H885" s="2">
        <f>Tabla_Items_Inactivos[[#This Row],[EXISTENCIA]]*Tabla_Items_Inactivos[[#This Row],[COSTO]]</f>
        <v>146.0214</v>
      </c>
    </row>
    <row r="886" spans="1:8">
      <c r="A886" t="s">
        <v>3300</v>
      </c>
      <c r="B886" t="s">
        <v>4157</v>
      </c>
      <c r="C886" t="s">
        <v>4158</v>
      </c>
      <c r="D886" t="s">
        <v>3980</v>
      </c>
      <c r="E886" t="s">
        <v>86</v>
      </c>
      <c r="F886" s="2">
        <v>0.76339999999999997</v>
      </c>
      <c r="G886">
        <v>485</v>
      </c>
      <c r="H886" s="2">
        <f>Tabla_Items_Inactivos[[#This Row],[EXISTENCIA]]*Tabla_Items_Inactivos[[#This Row],[COSTO]]</f>
        <v>370.24899999999997</v>
      </c>
    </row>
    <row r="887" spans="1:8">
      <c r="A887" t="s">
        <v>3301</v>
      </c>
      <c r="B887" t="s">
        <v>4157</v>
      </c>
      <c r="C887" t="s">
        <v>4158</v>
      </c>
      <c r="D887" t="s">
        <v>3980</v>
      </c>
      <c r="E887" t="s">
        <v>86</v>
      </c>
      <c r="F887" s="2">
        <v>0.76339999999999997</v>
      </c>
      <c r="G887">
        <v>485</v>
      </c>
      <c r="H887" s="2">
        <f>Tabla_Items_Inactivos[[#This Row],[EXISTENCIA]]*Tabla_Items_Inactivos[[#This Row],[COSTO]]</f>
        <v>370.24899999999997</v>
      </c>
    </row>
    <row r="888" spans="1:8">
      <c r="A888" t="s">
        <v>3300</v>
      </c>
      <c r="B888" t="s">
        <v>348</v>
      </c>
      <c r="C888" t="s">
        <v>349</v>
      </c>
      <c r="D888" t="s">
        <v>98</v>
      </c>
      <c r="E888" t="s">
        <v>86</v>
      </c>
      <c r="F888" s="2">
        <v>8.5299999999999994</v>
      </c>
      <c r="G888">
        <v>10</v>
      </c>
      <c r="H888" s="2">
        <f>Tabla_Items_Inactivos[[#This Row],[EXISTENCIA]]*Tabla_Items_Inactivos[[#This Row],[COSTO]]</f>
        <v>85.3</v>
      </c>
    </row>
    <row r="889" spans="1:8">
      <c r="A889" t="s">
        <v>3300</v>
      </c>
      <c r="B889" t="s">
        <v>350</v>
      </c>
      <c r="C889" t="s">
        <v>351</v>
      </c>
      <c r="D889" t="s">
        <v>98</v>
      </c>
      <c r="E889" t="s">
        <v>86</v>
      </c>
      <c r="F889" s="2">
        <v>5.22</v>
      </c>
      <c r="G889">
        <v>3</v>
      </c>
      <c r="H889" s="2">
        <f>Tabla_Items_Inactivos[[#This Row],[EXISTENCIA]]*Tabla_Items_Inactivos[[#This Row],[COSTO]]</f>
        <v>15.66</v>
      </c>
    </row>
    <row r="890" spans="1:8">
      <c r="A890" t="s">
        <v>3300</v>
      </c>
      <c r="B890" t="s">
        <v>352</v>
      </c>
      <c r="C890" t="s">
        <v>353</v>
      </c>
      <c r="D890" t="s">
        <v>98</v>
      </c>
      <c r="E890" t="s">
        <v>86</v>
      </c>
      <c r="F890" s="2">
        <v>13.13</v>
      </c>
      <c r="G890">
        <v>3</v>
      </c>
      <c r="H890" s="2">
        <f>Tabla_Items_Inactivos[[#This Row],[EXISTENCIA]]*Tabla_Items_Inactivos[[#This Row],[COSTO]]</f>
        <v>39.39</v>
      </c>
    </row>
    <row r="891" spans="1:8">
      <c r="A891" t="s">
        <v>3300</v>
      </c>
      <c r="B891" t="s">
        <v>354</v>
      </c>
      <c r="C891" t="s">
        <v>355</v>
      </c>
      <c r="D891" t="s">
        <v>98</v>
      </c>
      <c r="E891" t="s">
        <v>86</v>
      </c>
      <c r="F891" s="2">
        <v>3.52</v>
      </c>
      <c r="G891">
        <v>5</v>
      </c>
      <c r="H891" s="2">
        <f>Tabla_Items_Inactivos[[#This Row],[EXISTENCIA]]*Tabla_Items_Inactivos[[#This Row],[COSTO]]</f>
        <v>17.600000000000001</v>
      </c>
    </row>
    <row r="892" spans="1:8">
      <c r="A892" t="s">
        <v>3300</v>
      </c>
      <c r="B892" t="s">
        <v>356</v>
      </c>
      <c r="C892" t="s">
        <v>357</v>
      </c>
      <c r="D892" t="s">
        <v>98</v>
      </c>
      <c r="E892" t="s">
        <v>86</v>
      </c>
      <c r="F892" s="2">
        <v>10.26</v>
      </c>
      <c r="G892">
        <v>4</v>
      </c>
      <c r="H892" s="2">
        <f>Tabla_Items_Inactivos[[#This Row],[EXISTENCIA]]*Tabla_Items_Inactivos[[#This Row],[COSTO]]</f>
        <v>41.04</v>
      </c>
    </row>
    <row r="893" spans="1:8">
      <c r="A893" t="s">
        <v>3300</v>
      </c>
      <c r="B893" t="s">
        <v>358</v>
      </c>
      <c r="C893" t="s">
        <v>359</v>
      </c>
      <c r="D893" t="s">
        <v>98</v>
      </c>
      <c r="E893" t="s">
        <v>86</v>
      </c>
      <c r="F893" s="2">
        <v>3.76</v>
      </c>
      <c r="G893">
        <v>5</v>
      </c>
      <c r="H893" s="2">
        <f>Tabla_Items_Inactivos[[#This Row],[EXISTENCIA]]*Tabla_Items_Inactivos[[#This Row],[COSTO]]</f>
        <v>18.799999999999997</v>
      </c>
    </row>
    <row r="894" spans="1:8">
      <c r="A894" t="s">
        <v>3300</v>
      </c>
      <c r="B894" t="s">
        <v>360</v>
      </c>
      <c r="C894" t="s">
        <v>361</v>
      </c>
      <c r="D894" t="s">
        <v>98</v>
      </c>
      <c r="E894" t="s">
        <v>86</v>
      </c>
      <c r="F894" s="2">
        <v>4.54</v>
      </c>
      <c r="G894">
        <v>5</v>
      </c>
      <c r="H894" s="2">
        <f>Tabla_Items_Inactivos[[#This Row],[EXISTENCIA]]*Tabla_Items_Inactivos[[#This Row],[COSTO]]</f>
        <v>22.7</v>
      </c>
    </row>
    <row r="895" spans="1:8">
      <c r="A895" t="s">
        <v>3300</v>
      </c>
      <c r="B895" t="s">
        <v>362</v>
      </c>
      <c r="C895" t="s">
        <v>363</v>
      </c>
      <c r="D895" t="s">
        <v>98</v>
      </c>
      <c r="E895" t="s">
        <v>86</v>
      </c>
      <c r="F895" s="2">
        <v>2.71</v>
      </c>
      <c r="G895">
        <v>5</v>
      </c>
      <c r="H895" s="2">
        <f>Tabla_Items_Inactivos[[#This Row],[EXISTENCIA]]*Tabla_Items_Inactivos[[#This Row],[COSTO]]</f>
        <v>13.55</v>
      </c>
    </row>
    <row r="896" spans="1:8">
      <c r="A896" t="s">
        <v>3300</v>
      </c>
      <c r="B896" t="s">
        <v>364</v>
      </c>
      <c r="C896" t="s">
        <v>365</v>
      </c>
      <c r="D896" t="s">
        <v>98</v>
      </c>
      <c r="E896" t="s">
        <v>86</v>
      </c>
      <c r="F896" s="2">
        <v>5.39</v>
      </c>
      <c r="G896">
        <v>5</v>
      </c>
      <c r="H896" s="2">
        <f>Tabla_Items_Inactivos[[#This Row],[EXISTENCIA]]*Tabla_Items_Inactivos[[#This Row],[COSTO]]</f>
        <v>26.95</v>
      </c>
    </row>
    <row r="897" spans="1:8">
      <c r="A897" t="s">
        <v>3300</v>
      </c>
      <c r="B897" t="s">
        <v>366</v>
      </c>
      <c r="C897" t="s">
        <v>367</v>
      </c>
      <c r="D897" t="s">
        <v>98</v>
      </c>
      <c r="E897" t="s">
        <v>86</v>
      </c>
      <c r="F897" s="2">
        <v>2.08</v>
      </c>
      <c r="G897">
        <v>5</v>
      </c>
      <c r="H897" s="2">
        <f>Tabla_Items_Inactivos[[#This Row],[EXISTENCIA]]*Tabla_Items_Inactivos[[#This Row],[COSTO]]</f>
        <v>10.4</v>
      </c>
    </row>
    <row r="898" spans="1:8">
      <c r="A898" t="s">
        <v>3300</v>
      </c>
      <c r="B898" t="s">
        <v>368</v>
      </c>
      <c r="C898" t="s">
        <v>4159</v>
      </c>
      <c r="D898" t="s">
        <v>228</v>
      </c>
      <c r="E898" t="s">
        <v>86</v>
      </c>
      <c r="F898" s="2">
        <v>13.67</v>
      </c>
      <c r="G898">
        <v>6</v>
      </c>
      <c r="H898" s="2">
        <f>Tabla_Items_Inactivos[[#This Row],[EXISTENCIA]]*Tabla_Items_Inactivos[[#This Row],[COSTO]]</f>
        <v>82.02</v>
      </c>
    </row>
    <row r="899" spans="1:8">
      <c r="A899" t="s">
        <v>3300</v>
      </c>
      <c r="B899" t="s">
        <v>369</v>
      </c>
      <c r="C899" t="s">
        <v>4160</v>
      </c>
      <c r="D899" t="s">
        <v>370</v>
      </c>
      <c r="E899" t="s">
        <v>86</v>
      </c>
      <c r="F899" s="2">
        <v>45.9084</v>
      </c>
      <c r="G899">
        <v>3</v>
      </c>
      <c r="H899" s="2">
        <f>Tabla_Items_Inactivos[[#This Row],[EXISTENCIA]]*Tabla_Items_Inactivos[[#This Row],[COSTO]]</f>
        <v>137.7252</v>
      </c>
    </row>
    <row r="900" spans="1:8">
      <c r="A900" t="s">
        <v>3301</v>
      </c>
      <c r="B900" t="s">
        <v>369</v>
      </c>
      <c r="C900" t="s">
        <v>4160</v>
      </c>
      <c r="D900" t="s">
        <v>370</v>
      </c>
      <c r="E900" t="s">
        <v>86</v>
      </c>
      <c r="F900" s="2">
        <v>45.9084</v>
      </c>
      <c r="G900">
        <v>3</v>
      </c>
      <c r="H900" s="2">
        <f>Tabla_Items_Inactivos[[#This Row],[EXISTENCIA]]*Tabla_Items_Inactivos[[#This Row],[COSTO]]</f>
        <v>137.7252</v>
      </c>
    </row>
    <row r="901" spans="1:8">
      <c r="A901" t="s">
        <v>3300</v>
      </c>
      <c r="B901" t="s">
        <v>4161</v>
      </c>
      <c r="C901" t="s">
        <v>4162</v>
      </c>
      <c r="D901" t="s">
        <v>31</v>
      </c>
      <c r="E901" t="s">
        <v>31</v>
      </c>
      <c r="F901" s="2">
        <v>0</v>
      </c>
      <c r="G901">
        <v>1</v>
      </c>
      <c r="H901" s="2">
        <f>Tabla_Items_Inactivos[[#This Row],[EXISTENCIA]]*Tabla_Items_Inactivos[[#This Row],[COSTO]]</f>
        <v>0</v>
      </c>
    </row>
    <row r="902" spans="1:8">
      <c r="A902" t="s">
        <v>3300</v>
      </c>
      <c r="B902" t="s">
        <v>4163</v>
      </c>
      <c r="C902" t="s">
        <v>4164</v>
      </c>
      <c r="D902" t="s">
        <v>31</v>
      </c>
      <c r="E902" t="s">
        <v>31</v>
      </c>
      <c r="F902" s="2">
        <v>0</v>
      </c>
      <c r="G902">
        <v>1</v>
      </c>
      <c r="H902" s="2">
        <f>Tabla_Items_Inactivos[[#This Row],[EXISTENCIA]]*Tabla_Items_Inactivos[[#This Row],[COSTO]]</f>
        <v>0</v>
      </c>
    </row>
    <row r="903" spans="1:8">
      <c r="A903" t="s">
        <v>3300</v>
      </c>
      <c r="B903" t="s">
        <v>4165</v>
      </c>
      <c r="C903" t="s">
        <v>4166</v>
      </c>
      <c r="D903" t="s">
        <v>31</v>
      </c>
      <c r="E903" t="s">
        <v>31</v>
      </c>
      <c r="F903" s="2">
        <v>0</v>
      </c>
      <c r="G903">
        <v>1</v>
      </c>
      <c r="H903" s="2">
        <f>Tabla_Items_Inactivos[[#This Row],[EXISTENCIA]]*Tabla_Items_Inactivos[[#This Row],[COSTO]]</f>
        <v>0</v>
      </c>
    </row>
    <row r="904" spans="1:8">
      <c r="A904" t="s">
        <v>3300</v>
      </c>
      <c r="B904" t="s">
        <v>371</v>
      </c>
      <c r="C904" t="s">
        <v>372</v>
      </c>
      <c r="D904" t="s">
        <v>373</v>
      </c>
      <c r="E904" t="s">
        <v>86</v>
      </c>
      <c r="F904" s="2">
        <v>66.650000000000006</v>
      </c>
      <c r="G904">
        <v>1</v>
      </c>
      <c r="H904" s="2">
        <f>Tabla_Items_Inactivos[[#This Row],[EXISTENCIA]]*Tabla_Items_Inactivos[[#This Row],[COSTO]]</f>
        <v>66.650000000000006</v>
      </c>
    </row>
    <row r="905" spans="1:8">
      <c r="A905" t="s">
        <v>3300</v>
      </c>
      <c r="B905" t="s">
        <v>4167</v>
      </c>
      <c r="C905" t="s">
        <v>4168</v>
      </c>
      <c r="D905" t="s">
        <v>436</v>
      </c>
      <c r="E905" t="s">
        <v>86</v>
      </c>
      <c r="F905" s="2">
        <v>45.94</v>
      </c>
      <c r="G905">
        <v>1</v>
      </c>
      <c r="H905" s="2">
        <f>Tabla_Items_Inactivos[[#This Row],[EXISTENCIA]]*Tabla_Items_Inactivos[[#This Row],[COSTO]]</f>
        <v>45.94</v>
      </c>
    </row>
    <row r="906" spans="1:8">
      <c r="A906" t="s">
        <v>3300</v>
      </c>
      <c r="B906" t="s">
        <v>2938</v>
      </c>
      <c r="C906" t="s">
        <v>2939</v>
      </c>
      <c r="D906" t="s">
        <v>85</v>
      </c>
      <c r="E906" t="s">
        <v>86</v>
      </c>
      <c r="F906" s="2">
        <v>66.817999999999998</v>
      </c>
      <c r="G906">
        <v>5</v>
      </c>
      <c r="H906" s="2">
        <f>Tabla_Items_Inactivos[[#This Row],[EXISTENCIA]]*Tabla_Items_Inactivos[[#This Row],[COSTO]]</f>
        <v>334.09</v>
      </c>
    </row>
    <row r="907" spans="1:8">
      <c r="A907" t="s">
        <v>3300</v>
      </c>
      <c r="B907" t="s">
        <v>2940</v>
      </c>
      <c r="C907" t="s">
        <v>2941</v>
      </c>
      <c r="D907" t="s">
        <v>219</v>
      </c>
      <c r="E907" t="s">
        <v>86</v>
      </c>
      <c r="F907" s="2">
        <v>57.145000000000003</v>
      </c>
      <c r="G907">
        <v>3</v>
      </c>
      <c r="H907" s="2">
        <f>Tabla_Items_Inactivos[[#This Row],[EXISTENCIA]]*Tabla_Items_Inactivos[[#This Row],[COSTO]]</f>
        <v>171.435</v>
      </c>
    </row>
    <row r="908" spans="1:8">
      <c r="A908" t="s">
        <v>3300</v>
      </c>
      <c r="B908" t="s">
        <v>4169</v>
      </c>
      <c r="C908" t="s">
        <v>4170</v>
      </c>
      <c r="D908" t="s">
        <v>219</v>
      </c>
      <c r="E908" t="s">
        <v>86</v>
      </c>
      <c r="F908" s="2">
        <v>94.52</v>
      </c>
      <c r="G908">
        <v>1</v>
      </c>
      <c r="H908" s="2">
        <f>Tabla_Items_Inactivos[[#This Row],[EXISTENCIA]]*Tabla_Items_Inactivos[[#This Row],[COSTO]]</f>
        <v>94.52</v>
      </c>
    </row>
    <row r="909" spans="1:8">
      <c r="A909" t="s">
        <v>3300</v>
      </c>
      <c r="B909" t="s">
        <v>374</v>
      </c>
      <c r="C909" t="s">
        <v>4171</v>
      </c>
      <c r="D909" t="s">
        <v>85</v>
      </c>
      <c r="E909" t="s">
        <v>86</v>
      </c>
      <c r="F909" s="2">
        <v>27.945</v>
      </c>
      <c r="G909">
        <v>3</v>
      </c>
      <c r="H909" s="2">
        <f>Tabla_Items_Inactivos[[#This Row],[EXISTENCIA]]*Tabla_Items_Inactivos[[#This Row],[COSTO]]</f>
        <v>83.835000000000008</v>
      </c>
    </row>
    <row r="910" spans="1:8">
      <c r="A910" t="s">
        <v>3300</v>
      </c>
      <c r="B910" t="s">
        <v>4172</v>
      </c>
      <c r="C910" t="s">
        <v>4173</v>
      </c>
      <c r="D910" t="s">
        <v>85</v>
      </c>
      <c r="E910" t="s">
        <v>86</v>
      </c>
      <c r="F910" s="2">
        <v>24.36</v>
      </c>
      <c r="G910">
        <v>1</v>
      </c>
      <c r="H910" s="2">
        <f>Tabla_Items_Inactivos[[#This Row],[EXISTENCIA]]*Tabla_Items_Inactivos[[#This Row],[COSTO]]</f>
        <v>24.36</v>
      </c>
    </row>
    <row r="911" spans="1:8">
      <c r="A911" t="s">
        <v>3300</v>
      </c>
      <c r="B911" t="s">
        <v>2942</v>
      </c>
      <c r="C911" t="s">
        <v>2943</v>
      </c>
      <c r="D911" t="s">
        <v>85</v>
      </c>
      <c r="E911" t="s">
        <v>86</v>
      </c>
      <c r="F911" s="2">
        <v>25.766999999999999</v>
      </c>
      <c r="G911">
        <v>3</v>
      </c>
      <c r="H911" s="2">
        <f>Tabla_Items_Inactivos[[#This Row],[EXISTENCIA]]*Tabla_Items_Inactivos[[#This Row],[COSTO]]</f>
        <v>77.301000000000002</v>
      </c>
    </row>
    <row r="912" spans="1:8">
      <c r="A912" t="s">
        <v>3300</v>
      </c>
      <c r="B912" t="s">
        <v>375</v>
      </c>
      <c r="C912" t="s">
        <v>376</v>
      </c>
      <c r="D912" t="s">
        <v>85</v>
      </c>
      <c r="E912" t="s">
        <v>86</v>
      </c>
      <c r="F912" s="2">
        <v>31.9741</v>
      </c>
      <c r="G912">
        <v>5</v>
      </c>
      <c r="H912" s="2">
        <f>Tabla_Items_Inactivos[[#This Row],[EXISTENCIA]]*Tabla_Items_Inactivos[[#This Row],[COSTO]]</f>
        <v>159.87049999999999</v>
      </c>
    </row>
    <row r="913" spans="1:8">
      <c r="A913" t="s">
        <v>3300</v>
      </c>
      <c r="B913" t="s">
        <v>2944</v>
      </c>
      <c r="C913" t="s">
        <v>2945</v>
      </c>
      <c r="D913" t="s">
        <v>85</v>
      </c>
      <c r="E913" t="s">
        <v>86</v>
      </c>
      <c r="F913" s="2">
        <v>48.805999999999997</v>
      </c>
      <c r="G913">
        <v>4</v>
      </c>
      <c r="H913" s="2">
        <f>Tabla_Items_Inactivos[[#This Row],[EXISTENCIA]]*Tabla_Items_Inactivos[[#This Row],[COSTO]]</f>
        <v>195.22399999999999</v>
      </c>
    </row>
    <row r="914" spans="1:8">
      <c r="A914" t="s">
        <v>3300</v>
      </c>
      <c r="B914" t="s">
        <v>377</v>
      </c>
      <c r="C914" t="s">
        <v>378</v>
      </c>
      <c r="D914" t="s">
        <v>85</v>
      </c>
      <c r="E914" t="s">
        <v>86</v>
      </c>
      <c r="F914" s="2">
        <v>31.655799999999999</v>
      </c>
      <c r="G914">
        <v>5</v>
      </c>
      <c r="H914" s="2">
        <f>Tabla_Items_Inactivos[[#This Row],[EXISTENCIA]]*Tabla_Items_Inactivos[[#This Row],[COSTO]]</f>
        <v>158.279</v>
      </c>
    </row>
    <row r="915" spans="1:8">
      <c r="A915" t="s">
        <v>3300</v>
      </c>
      <c r="B915" t="s">
        <v>4174</v>
      </c>
      <c r="C915" t="s">
        <v>2318</v>
      </c>
      <c r="D915" t="s">
        <v>219</v>
      </c>
      <c r="E915" t="s">
        <v>86</v>
      </c>
      <c r="F915" s="2">
        <v>27.93</v>
      </c>
      <c r="G915">
        <v>1</v>
      </c>
      <c r="H915" s="2">
        <f>Tabla_Items_Inactivos[[#This Row],[EXISTENCIA]]*Tabla_Items_Inactivos[[#This Row],[COSTO]]</f>
        <v>27.93</v>
      </c>
    </row>
    <row r="916" spans="1:8">
      <c r="A916" t="s">
        <v>3300</v>
      </c>
      <c r="B916" t="s">
        <v>4175</v>
      </c>
      <c r="C916" t="s">
        <v>4176</v>
      </c>
      <c r="D916" t="s">
        <v>219</v>
      </c>
      <c r="E916" t="s">
        <v>86</v>
      </c>
      <c r="F916" s="2">
        <v>33.28</v>
      </c>
      <c r="G916">
        <v>1</v>
      </c>
      <c r="H916" s="2">
        <f>Tabla_Items_Inactivos[[#This Row],[EXISTENCIA]]*Tabla_Items_Inactivos[[#This Row],[COSTO]]</f>
        <v>33.28</v>
      </c>
    </row>
    <row r="917" spans="1:8">
      <c r="A917" t="s">
        <v>3300</v>
      </c>
      <c r="B917" t="s">
        <v>379</v>
      </c>
      <c r="C917" t="s">
        <v>380</v>
      </c>
      <c r="D917" t="s">
        <v>219</v>
      </c>
      <c r="E917" t="s">
        <v>86</v>
      </c>
      <c r="F917" s="2">
        <v>63.686500000000002</v>
      </c>
      <c r="G917">
        <v>3</v>
      </c>
      <c r="H917" s="2">
        <f>Tabla_Items_Inactivos[[#This Row],[EXISTENCIA]]*Tabla_Items_Inactivos[[#This Row],[COSTO]]</f>
        <v>191.05950000000001</v>
      </c>
    </row>
    <row r="918" spans="1:8">
      <c r="A918" t="s">
        <v>3300</v>
      </c>
      <c r="B918" t="s">
        <v>4177</v>
      </c>
      <c r="C918" t="s">
        <v>4178</v>
      </c>
      <c r="D918" t="s">
        <v>85</v>
      </c>
      <c r="E918" t="s">
        <v>86</v>
      </c>
      <c r="F918" s="2">
        <v>30.1096</v>
      </c>
      <c r="G918">
        <v>2</v>
      </c>
      <c r="H918" s="2">
        <f>Tabla_Items_Inactivos[[#This Row],[EXISTENCIA]]*Tabla_Items_Inactivos[[#This Row],[COSTO]]</f>
        <v>60.219200000000001</v>
      </c>
    </row>
    <row r="919" spans="1:8">
      <c r="A919" t="s">
        <v>3300</v>
      </c>
      <c r="B919" t="s">
        <v>4179</v>
      </c>
      <c r="C919" t="s">
        <v>4180</v>
      </c>
      <c r="D919" t="s">
        <v>219</v>
      </c>
      <c r="E919" t="s">
        <v>86</v>
      </c>
      <c r="F919" s="2">
        <v>36.65</v>
      </c>
      <c r="G919">
        <v>2</v>
      </c>
      <c r="H919" s="2">
        <f>Tabla_Items_Inactivos[[#This Row],[EXISTENCIA]]*Tabla_Items_Inactivos[[#This Row],[COSTO]]</f>
        <v>73.3</v>
      </c>
    </row>
    <row r="920" spans="1:8">
      <c r="A920" t="s">
        <v>3300</v>
      </c>
      <c r="B920" t="s">
        <v>4181</v>
      </c>
      <c r="C920" t="s">
        <v>4182</v>
      </c>
      <c r="D920" t="s">
        <v>219</v>
      </c>
      <c r="E920" t="s">
        <v>86</v>
      </c>
      <c r="F920" s="2">
        <v>36.65</v>
      </c>
      <c r="G920">
        <v>1</v>
      </c>
      <c r="H920" s="2">
        <f>Tabla_Items_Inactivos[[#This Row],[EXISTENCIA]]*Tabla_Items_Inactivos[[#This Row],[COSTO]]</f>
        <v>36.65</v>
      </c>
    </row>
    <row r="921" spans="1:8">
      <c r="A921" t="s">
        <v>3301</v>
      </c>
      <c r="B921" t="s">
        <v>4183</v>
      </c>
      <c r="C921" t="s">
        <v>4184</v>
      </c>
      <c r="D921" t="s">
        <v>85</v>
      </c>
      <c r="E921" t="s">
        <v>86</v>
      </c>
      <c r="F921" s="2">
        <v>24.2593</v>
      </c>
      <c r="G921">
        <v>22</v>
      </c>
      <c r="H921" s="2">
        <f>Tabla_Items_Inactivos[[#This Row],[EXISTENCIA]]*Tabla_Items_Inactivos[[#This Row],[COSTO]]</f>
        <v>533.70460000000003</v>
      </c>
    </row>
    <row r="922" spans="1:8">
      <c r="A922" t="s">
        <v>3300</v>
      </c>
      <c r="B922" t="s">
        <v>4183</v>
      </c>
      <c r="C922" t="s">
        <v>4184</v>
      </c>
      <c r="D922" t="s">
        <v>85</v>
      </c>
      <c r="E922" t="s">
        <v>86</v>
      </c>
      <c r="F922" s="2">
        <v>24.2593</v>
      </c>
      <c r="G922">
        <v>22</v>
      </c>
      <c r="H922" s="2">
        <f>Tabla_Items_Inactivos[[#This Row],[EXISTENCIA]]*Tabla_Items_Inactivos[[#This Row],[COSTO]]</f>
        <v>533.70460000000003</v>
      </c>
    </row>
    <row r="923" spans="1:8">
      <c r="A923" t="s">
        <v>3300</v>
      </c>
      <c r="B923" t="s">
        <v>381</v>
      </c>
      <c r="C923" t="s">
        <v>382</v>
      </c>
      <c r="D923" t="s">
        <v>243</v>
      </c>
      <c r="E923" t="s">
        <v>86</v>
      </c>
      <c r="F923" s="2">
        <v>31.45</v>
      </c>
      <c r="G923">
        <v>1</v>
      </c>
      <c r="H923" s="2">
        <f>Tabla_Items_Inactivos[[#This Row],[EXISTENCIA]]*Tabla_Items_Inactivos[[#This Row],[COSTO]]</f>
        <v>31.45</v>
      </c>
    </row>
    <row r="924" spans="1:8">
      <c r="A924" t="s">
        <v>3300</v>
      </c>
      <c r="B924" t="s">
        <v>4185</v>
      </c>
      <c r="C924" t="s">
        <v>4186</v>
      </c>
      <c r="D924" t="s">
        <v>223</v>
      </c>
      <c r="E924" t="s">
        <v>86</v>
      </c>
      <c r="F924" s="2">
        <v>39.168999999999997</v>
      </c>
      <c r="G924">
        <v>3</v>
      </c>
      <c r="H924" s="2">
        <f>Tabla_Items_Inactivos[[#This Row],[EXISTENCIA]]*Tabla_Items_Inactivos[[#This Row],[COSTO]]</f>
        <v>117.50699999999999</v>
      </c>
    </row>
    <row r="925" spans="1:8">
      <c r="A925" t="s">
        <v>3300</v>
      </c>
      <c r="B925" t="s">
        <v>4187</v>
      </c>
      <c r="C925" t="s">
        <v>4188</v>
      </c>
      <c r="D925" t="s">
        <v>219</v>
      </c>
      <c r="E925" t="s">
        <v>86</v>
      </c>
      <c r="F925" s="2">
        <v>71.180000000000007</v>
      </c>
      <c r="G925">
        <v>2</v>
      </c>
      <c r="H925" s="2">
        <f>Tabla_Items_Inactivos[[#This Row],[EXISTENCIA]]*Tabla_Items_Inactivos[[#This Row],[COSTO]]</f>
        <v>142.36000000000001</v>
      </c>
    </row>
    <row r="926" spans="1:8">
      <c r="A926" t="s">
        <v>3300</v>
      </c>
      <c r="B926" t="s">
        <v>2946</v>
      </c>
      <c r="C926" t="s">
        <v>2947</v>
      </c>
      <c r="D926" t="s">
        <v>219</v>
      </c>
      <c r="E926" t="s">
        <v>86</v>
      </c>
      <c r="F926" s="2">
        <v>55.424700000000001</v>
      </c>
      <c r="G926">
        <v>8</v>
      </c>
      <c r="H926" s="2">
        <f>Tabla_Items_Inactivos[[#This Row],[EXISTENCIA]]*Tabla_Items_Inactivos[[#This Row],[COSTO]]</f>
        <v>443.39760000000001</v>
      </c>
    </row>
    <row r="927" spans="1:8">
      <c r="A927" t="s">
        <v>3301</v>
      </c>
      <c r="B927" t="s">
        <v>2946</v>
      </c>
      <c r="C927" t="s">
        <v>2947</v>
      </c>
      <c r="D927" t="s">
        <v>219</v>
      </c>
      <c r="E927" t="s">
        <v>86</v>
      </c>
      <c r="F927" s="2">
        <v>55.424700000000001</v>
      </c>
      <c r="G927">
        <v>8</v>
      </c>
      <c r="H927" s="2">
        <f>Tabla_Items_Inactivos[[#This Row],[EXISTENCIA]]*Tabla_Items_Inactivos[[#This Row],[COSTO]]</f>
        <v>443.39760000000001</v>
      </c>
    </row>
    <row r="928" spans="1:8">
      <c r="A928" t="s">
        <v>3300</v>
      </c>
      <c r="B928" t="s">
        <v>4189</v>
      </c>
      <c r="C928" t="s">
        <v>2492</v>
      </c>
      <c r="D928" t="s">
        <v>410</v>
      </c>
      <c r="E928" t="s">
        <v>86</v>
      </c>
      <c r="F928" s="2">
        <v>31.32</v>
      </c>
      <c r="G928">
        <v>4</v>
      </c>
      <c r="H928" s="2">
        <f>Tabla_Items_Inactivos[[#This Row],[EXISTENCIA]]*Tabla_Items_Inactivos[[#This Row],[COSTO]]</f>
        <v>125.28</v>
      </c>
    </row>
    <row r="929" spans="1:8">
      <c r="A929" t="s">
        <v>3300</v>
      </c>
      <c r="B929" t="s">
        <v>2948</v>
      </c>
      <c r="C929" t="s">
        <v>2949</v>
      </c>
      <c r="D929" t="s">
        <v>85</v>
      </c>
      <c r="E929" t="s">
        <v>86</v>
      </c>
      <c r="F929" s="2">
        <v>21.36</v>
      </c>
      <c r="G929">
        <v>2</v>
      </c>
      <c r="H929" s="2">
        <f>Tabla_Items_Inactivos[[#This Row],[EXISTENCIA]]*Tabla_Items_Inactivos[[#This Row],[COSTO]]</f>
        <v>42.72</v>
      </c>
    </row>
    <row r="930" spans="1:8">
      <c r="A930" t="s">
        <v>3300</v>
      </c>
      <c r="B930" t="s">
        <v>2950</v>
      </c>
      <c r="C930" t="s">
        <v>2951</v>
      </c>
      <c r="D930" t="s">
        <v>85</v>
      </c>
      <c r="E930" t="s">
        <v>86</v>
      </c>
      <c r="F930" s="2">
        <v>23.087</v>
      </c>
      <c r="G930">
        <v>2</v>
      </c>
      <c r="H930" s="2">
        <f>Tabla_Items_Inactivos[[#This Row],[EXISTENCIA]]*Tabla_Items_Inactivos[[#This Row],[COSTO]]</f>
        <v>46.173999999999999</v>
      </c>
    </row>
    <row r="931" spans="1:8">
      <c r="A931" t="s">
        <v>3300</v>
      </c>
      <c r="B931" t="s">
        <v>4190</v>
      </c>
      <c r="C931" t="s">
        <v>4191</v>
      </c>
      <c r="D931" t="s">
        <v>85</v>
      </c>
      <c r="E931" t="s">
        <v>86</v>
      </c>
      <c r="F931" s="2">
        <v>22.64</v>
      </c>
      <c r="G931">
        <v>7</v>
      </c>
      <c r="H931" s="2">
        <f>Tabla_Items_Inactivos[[#This Row],[EXISTENCIA]]*Tabla_Items_Inactivos[[#This Row],[COSTO]]</f>
        <v>158.48000000000002</v>
      </c>
    </row>
    <row r="932" spans="1:8">
      <c r="A932" t="s">
        <v>3300</v>
      </c>
      <c r="B932" t="s">
        <v>383</v>
      </c>
      <c r="C932" t="s">
        <v>384</v>
      </c>
      <c r="D932" t="s">
        <v>85</v>
      </c>
      <c r="E932" t="s">
        <v>86</v>
      </c>
      <c r="F932" s="2">
        <v>30.537600000000001</v>
      </c>
      <c r="G932">
        <v>28</v>
      </c>
      <c r="H932" s="2">
        <f>Tabla_Items_Inactivos[[#This Row],[EXISTENCIA]]*Tabla_Items_Inactivos[[#This Row],[COSTO]]</f>
        <v>855.05280000000005</v>
      </c>
    </row>
    <row r="933" spans="1:8">
      <c r="A933" t="s">
        <v>3300</v>
      </c>
      <c r="B933" t="s">
        <v>4192</v>
      </c>
      <c r="C933" t="s">
        <v>4193</v>
      </c>
      <c r="D933" t="s">
        <v>85</v>
      </c>
      <c r="E933" t="s">
        <v>86</v>
      </c>
      <c r="F933" s="2">
        <v>39.603000000000002</v>
      </c>
      <c r="G933">
        <v>1</v>
      </c>
      <c r="H933" s="2">
        <f>Tabla_Items_Inactivos[[#This Row],[EXISTENCIA]]*Tabla_Items_Inactivos[[#This Row],[COSTO]]</f>
        <v>39.603000000000002</v>
      </c>
    </row>
    <row r="934" spans="1:8">
      <c r="A934" t="s">
        <v>3300</v>
      </c>
      <c r="B934" t="s">
        <v>2952</v>
      </c>
      <c r="C934" t="s">
        <v>2953</v>
      </c>
      <c r="D934" t="s">
        <v>85</v>
      </c>
      <c r="E934" t="s">
        <v>86</v>
      </c>
      <c r="F934" s="2">
        <v>35.170999999999999</v>
      </c>
      <c r="G934">
        <v>13</v>
      </c>
      <c r="H934" s="2">
        <f>Tabla_Items_Inactivos[[#This Row],[EXISTENCIA]]*Tabla_Items_Inactivos[[#This Row],[COSTO]]</f>
        <v>457.22300000000001</v>
      </c>
    </row>
    <row r="935" spans="1:8">
      <c r="A935" t="s">
        <v>3300</v>
      </c>
      <c r="B935" t="s">
        <v>4194</v>
      </c>
      <c r="C935" t="s">
        <v>4195</v>
      </c>
      <c r="D935" t="s">
        <v>85</v>
      </c>
      <c r="E935" t="s">
        <v>86</v>
      </c>
      <c r="F935" s="2">
        <v>31.209700000000002</v>
      </c>
      <c r="G935">
        <v>36</v>
      </c>
      <c r="H935" s="2">
        <f>Tabla_Items_Inactivos[[#This Row],[EXISTENCIA]]*Tabla_Items_Inactivos[[#This Row],[COSTO]]</f>
        <v>1123.5492000000002</v>
      </c>
    </row>
    <row r="936" spans="1:8">
      <c r="A936" t="s">
        <v>3301</v>
      </c>
      <c r="B936" t="s">
        <v>4194</v>
      </c>
      <c r="C936" t="s">
        <v>4195</v>
      </c>
      <c r="D936" t="s">
        <v>85</v>
      </c>
      <c r="E936" t="s">
        <v>86</v>
      </c>
      <c r="F936" s="2">
        <v>31.209700000000002</v>
      </c>
      <c r="G936">
        <v>36</v>
      </c>
      <c r="H936" s="2">
        <f>Tabla_Items_Inactivos[[#This Row],[EXISTENCIA]]*Tabla_Items_Inactivos[[#This Row],[COSTO]]</f>
        <v>1123.5492000000002</v>
      </c>
    </row>
    <row r="937" spans="1:8">
      <c r="A937" t="s">
        <v>3300</v>
      </c>
      <c r="B937" t="s">
        <v>2954</v>
      </c>
      <c r="C937" t="s">
        <v>4196</v>
      </c>
      <c r="D937" t="s">
        <v>85</v>
      </c>
      <c r="E937" t="s">
        <v>86</v>
      </c>
      <c r="F937" s="2">
        <v>34.409999999999997</v>
      </c>
      <c r="G937">
        <v>4</v>
      </c>
      <c r="H937" s="2">
        <f>Tabla_Items_Inactivos[[#This Row],[EXISTENCIA]]*Tabla_Items_Inactivos[[#This Row],[COSTO]]</f>
        <v>137.63999999999999</v>
      </c>
    </row>
    <row r="938" spans="1:8">
      <c r="A938" t="s">
        <v>3300</v>
      </c>
      <c r="B938" t="s">
        <v>4197</v>
      </c>
      <c r="C938" t="s">
        <v>4198</v>
      </c>
      <c r="D938" t="s">
        <v>243</v>
      </c>
      <c r="E938" t="s">
        <v>86</v>
      </c>
      <c r="F938" s="2">
        <v>26.795000000000002</v>
      </c>
      <c r="G938">
        <v>2</v>
      </c>
      <c r="H938" s="2">
        <f>Tabla_Items_Inactivos[[#This Row],[EXISTENCIA]]*Tabla_Items_Inactivos[[#This Row],[COSTO]]</f>
        <v>53.59</v>
      </c>
    </row>
    <row r="939" spans="1:8">
      <c r="A939" t="s">
        <v>3300</v>
      </c>
      <c r="B939" t="s">
        <v>385</v>
      </c>
      <c r="C939" t="s">
        <v>386</v>
      </c>
      <c r="D939" t="s">
        <v>219</v>
      </c>
      <c r="E939" t="s">
        <v>86</v>
      </c>
      <c r="F939" s="2">
        <v>27.78</v>
      </c>
      <c r="G939">
        <v>1</v>
      </c>
      <c r="H939" s="2">
        <f>Tabla_Items_Inactivos[[#This Row],[EXISTENCIA]]*Tabla_Items_Inactivos[[#This Row],[COSTO]]</f>
        <v>27.78</v>
      </c>
    </row>
    <row r="940" spans="1:8">
      <c r="A940" t="s">
        <v>3300</v>
      </c>
      <c r="B940" t="s">
        <v>4199</v>
      </c>
      <c r="C940" t="s">
        <v>4200</v>
      </c>
      <c r="D940" t="s">
        <v>219</v>
      </c>
      <c r="E940" t="s">
        <v>86</v>
      </c>
      <c r="F940" s="2">
        <v>34.744700000000002</v>
      </c>
      <c r="G940">
        <v>4</v>
      </c>
      <c r="H940" s="2">
        <f>Tabla_Items_Inactivos[[#This Row],[EXISTENCIA]]*Tabla_Items_Inactivos[[#This Row],[COSTO]]</f>
        <v>138.97880000000001</v>
      </c>
    </row>
    <row r="941" spans="1:8">
      <c r="A941" t="s">
        <v>3301</v>
      </c>
      <c r="B941" t="s">
        <v>4199</v>
      </c>
      <c r="C941" t="s">
        <v>4200</v>
      </c>
      <c r="D941" t="s">
        <v>219</v>
      </c>
      <c r="E941" t="s">
        <v>86</v>
      </c>
      <c r="F941" s="2">
        <v>34.744700000000002</v>
      </c>
      <c r="G941">
        <v>4</v>
      </c>
      <c r="H941" s="2">
        <f>Tabla_Items_Inactivos[[#This Row],[EXISTENCIA]]*Tabla_Items_Inactivos[[#This Row],[COSTO]]</f>
        <v>138.97880000000001</v>
      </c>
    </row>
    <row r="942" spans="1:8">
      <c r="A942" t="s">
        <v>3301</v>
      </c>
      <c r="B942" t="s">
        <v>2955</v>
      </c>
      <c r="C942" t="s">
        <v>2956</v>
      </c>
      <c r="D942" t="s">
        <v>98</v>
      </c>
      <c r="E942" t="s">
        <v>86</v>
      </c>
      <c r="F942" s="2">
        <v>28.204499999999999</v>
      </c>
      <c r="G942">
        <v>7</v>
      </c>
      <c r="H942" s="2">
        <f>Tabla_Items_Inactivos[[#This Row],[EXISTENCIA]]*Tabla_Items_Inactivos[[#This Row],[COSTO]]</f>
        <v>197.4315</v>
      </c>
    </row>
    <row r="943" spans="1:8">
      <c r="A943" t="s">
        <v>3300</v>
      </c>
      <c r="B943" t="s">
        <v>2955</v>
      </c>
      <c r="C943" t="s">
        <v>2956</v>
      </c>
      <c r="D943" t="s">
        <v>98</v>
      </c>
      <c r="E943" t="s">
        <v>86</v>
      </c>
      <c r="F943" s="2">
        <v>28.204499999999999</v>
      </c>
      <c r="G943">
        <v>7</v>
      </c>
      <c r="H943" s="2">
        <f>Tabla_Items_Inactivos[[#This Row],[EXISTENCIA]]*Tabla_Items_Inactivos[[#This Row],[COSTO]]</f>
        <v>197.4315</v>
      </c>
    </row>
    <row r="944" spans="1:8">
      <c r="A944" t="s">
        <v>3300</v>
      </c>
      <c r="B944" t="s">
        <v>4201</v>
      </c>
      <c r="C944" t="s">
        <v>2468</v>
      </c>
      <c r="D944" t="s">
        <v>243</v>
      </c>
      <c r="E944" t="s">
        <v>86</v>
      </c>
      <c r="F944" s="2">
        <v>35.31</v>
      </c>
      <c r="G944">
        <v>1</v>
      </c>
      <c r="H944" s="2">
        <f>Tabla_Items_Inactivos[[#This Row],[EXISTENCIA]]*Tabla_Items_Inactivos[[#This Row],[COSTO]]</f>
        <v>35.31</v>
      </c>
    </row>
    <row r="945" spans="1:8">
      <c r="A945" t="s">
        <v>3300</v>
      </c>
      <c r="B945" t="s">
        <v>4202</v>
      </c>
      <c r="C945" t="s">
        <v>3225</v>
      </c>
      <c r="D945" t="s">
        <v>85</v>
      </c>
      <c r="E945" t="s">
        <v>86</v>
      </c>
      <c r="F945" s="2">
        <v>32.725000000000001</v>
      </c>
      <c r="G945">
        <v>1</v>
      </c>
      <c r="H945" s="2">
        <f>Tabla_Items_Inactivos[[#This Row],[EXISTENCIA]]*Tabla_Items_Inactivos[[#This Row],[COSTO]]</f>
        <v>32.725000000000001</v>
      </c>
    </row>
    <row r="946" spans="1:8">
      <c r="A946" t="s">
        <v>3300</v>
      </c>
      <c r="B946" t="s">
        <v>387</v>
      </c>
      <c r="C946" t="s">
        <v>388</v>
      </c>
      <c r="D946" t="s">
        <v>85</v>
      </c>
      <c r="E946" t="s">
        <v>86</v>
      </c>
      <c r="F946" s="2">
        <v>0</v>
      </c>
      <c r="G946">
        <v>1</v>
      </c>
      <c r="H946" s="2">
        <f>Tabla_Items_Inactivos[[#This Row],[EXISTENCIA]]*Tabla_Items_Inactivos[[#This Row],[COSTO]]</f>
        <v>0</v>
      </c>
    </row>
    <row r="947" spans="1:8">
      <c r="A947" t="s">
        <v>3300</v>
      </c>
      <c r="B947" t="s">
        <v>4203</v>
      </c>
      <c r="C947" t="s">
        <v>2346</v>
      </c>
      <c r="D947" t="s">
        <v>219</v>
      </c>
      <c r="E947" t="s">
        <v>86</v>
      </c>
      <c r="F947" s="2">
        <v>2.46</v>
      </c>
      <c r="G947">
        <v>1</v>
      </c>
      <c r="H947" s="2">
        <f>Tabla_Items_Inactivos[[#This Row],[EXISTENCIA]]*Tabla_Items_Inactivos[[#This Row],[COSTO]]</f>
        <v>2.46</v>
      </c>
    </row>
    <row r="948" spans="1:8">
      <c r="A948" t="s">
        <v>3300</v>
      </c>
      <c r="B948" t="s">
        <v>2957</v>
      </c>
      <c r="C948" t="s">
        <v>2444</v>
      </c>
      <c r="D948" t="s">
        <v>85</v>
      </c>
      <c r="E948" t="s">
        <v>86</v>
      </c>
      <c r="F948" s="2">
        <v>10.574999999999999</v>
      </c>
      <c r="G948">
        <v>3</v>
      </c>
      <c r="H948" s="2">
        <f>Tabla_Items_Inactivos[[#This Row],[EXISTENCIA]]*Tabla_Items_Inactivos[[#This Row],[COSTO]]</f>
        <v>31.724999999999998</v>
      </c>
    </row>
    <row r="949" spans="1:8">
      <c r="A949" t="s">
        <v>3300</v>
      </c>
      <c r="B949" t="s">
        <v>4204</v>
      </c>
      <c r="C949" t="s">
        <v>4205</v>
      </c>
      <c r="D949" t="s">
        <v>85</v>
      </c>
      <c r="E949" t="s">
        <v>86</v>
      </c>
      <c r="F949" s="2">
        <v>11.17</v>
      </c>
      <c r="G949">
        <v>2</v>
      </c>
      <c r="H949" s="2">
        <f>Tabla_Items_Inactivos[[#This Row],[EXISTENCIA]]*Tabla_Items_Inactivos[[#This Row],[COSTO]]</f>
        <v>22.34</v>
      </c>
    </row>
    <row r="950" spans="1:8">
      <c r="A950" t="s">
        <v>3300</v>
      </c>
      <c r="B950" t="s">
        <v>4206</v>
      </c>
      <c r="C950" t="s">
        <v>4207</v>
      </c>
      <c r="D950" t="s">
        <v>85</v>
      </c>
      <c r="E950" t="s">
        <v>86</v>
      </c>
      <c r="F950" s="2">
        <v>20.46</v>
      </c>
      <c r="G950">
        <v>1</v>
      </c>
      <c r="H950" s="2">
        <f>Tabla_Items_Inactivos[[#This Row],[EXISTENCIA]]*Tabla_Items_Inactivos[[#This Row],[COSTO]]</f>
        <v>20.46</v>
      </c>
    </row>
    <row r="951" spans="1:8">
      <c r="A951" t="s">
        <v>3300</v>
      </c>
      <c r="B951" t="s">
        <v>389</v>
      </c>
      <c r="C951" t="s">
        <v>390</v>
      </c>
      <c r="D951" t="s">
        <v>85</v>
      </c>
      <c r="E951" t="s">
        <v>86</v>
      </c>
      <c r="F951" s="2">
        <v>18.05</v>
      </c>
      <c r="G951">
        <v>5</v>
      </c>
      <c r="H951" s="2">
        <f>Tabla_Items_Inactivos[[#This Row],[EXISTENCIA]]*Tabla_Items_Inactivos[[#This Row],[COSTO]]</f>
        <v>90.25</v>
      </c>
    </row>
    <row r="952" spans="1:8">
      <c r="A952" t="s">
        <v>3300</v>
      </c>
      <c r="B952" t="s">
        <v>4208</v>
      </c>
      <c r="C952" t="s">
        <v>3266</v>
      </c>
      <c r="D952" t="s">
        <v>85</v>
      </c>
      <c r="E952" t="s">
        <v>86</v>
      </c>
      <c r="F952" s="2">
        <v>24.349</v>
      </c>
      <c r="G952">
        <v>5</v>
      </c>
      <c r="H952" s="2">
        <f>Tabla_Items_Inactivos[[#This Row],[EXISTENCIA]]*Tabla_Items_Inactivos[[#This Row],[COSTO]]</f>
        <v>121.745</v>
      </c>
    </row>
    <row r="953" spans="1:8">
      <c r="A953" t="s">
        <v>3300</v>
      </c>
      <c r="B953" t="s">
        <v>2958</v>
      </c>
      <c r="C953" t="s">
        <v>2959</v>
      </c>
      <c r="D953" t="s">
        <v>85</v>
      </c>
      <c r="E953" t="s">
        <v>86</v>
      </c>
      <c r="F953" s="2">
        <v>0</v>
      </c>
      <c r="G953">
        <v>4</v>
      </c>
      <c r="H953" s="2">
        <f>Tabla_Items_Inactivos[[#This Row],[EXISTENCIA]]*Tabla_Items_Inactivos[[#This Row],[COSTO]]</f>
        <v>0</v>
      </c>
    </row>
    <row r="954" spans="1:8">
      <c r="A954" t="s">
        <v>3300</v>
      </c>
      <c r="B954" t="s">
        <v>4209</v>
      </c>
      <c r="C954" t="s">
        <v>4210</v>
      </c>
      <c r="D954" t="s">
        <v>219</v>
      </c>
      <c r="E954" t="s">
        <v>86</v>
      </c>
      <c r="F954" s="2">
        <v>16.420000000000002</v>
      </c>
      <c r="G954">
        <v>4</v>
      </c>
      <c r="H954" s="2">
        <f>Tabla_Items_Inactivos[[#This Row],[EXISTENCIA]]*Tabla_Items_Inactivos[[#This Row],[COSTO]]</f>
        <v>65.680000000000007</v>
      </c>
    </row>
    <row r="955" spans="1:8">
      <c r="A955" t="s">
        <v>3300</v>
      </c>
      <c r="B955" t="s">
        <v>4211</v>
      </c>
      <c r="C955" t="s">
        <v>2478</v>
      </c>
      <c r="D955" t="s">
        <v>219</v>
      </c>
      <c r="E955" t="s">
        <v>86</v>
      </c>
      <c r="F955" s="2">
        <v>25.42</v>
      </c>
      <c r="G955">
        <v>1</v>
      </c>
      <c r="H955" s="2">
        <f>Tabla_Items_Inactivos[[#This Row],[EXISTENCIA]]*Tabla_Items_Inactivos[[#This Row],[COSTO]]</f>
        <v>25.42</v>
      </c>
    </row>
    <row r="956" spans="1:8">
      <c r="A956" t="s">
        <v>3300</v>
      </c>
      <c r="B956" t="s">
        <v>391</v>
      </c>
      <c r="C956" t="s">
        <v>392</v>
      </c>
      <c r="D956" t="s">
        <v>219</v>
      </c>
      <c r="E956" t="s">
        <v>86</v>
      </c>
      <c r="F956" s="2">
        <v>23.472999999999999</v>
      </c>
      <c r="G956">
        <v>1</v>
      </c>
      <c r="H956" s="2">
        <f>Tabla_Items_Inactivos[[#This Row],[EXISTENCIA]]*Tabla_Items_Inactivos[[#This Row],[COSTO]]</f>
        <v>23.472999999999999</v>
      </c>
    </row>
    <row r="957" spans="1:8">
      <c r="A957" t="s">
        <v>3300</v>
      </c>
      <c r="B957" t="s">
        <v>2960</v>
      </c>
      <c r="C957" t="s">
        <v>2961</v>
      </c>
      <c r="D957" t="s">
        <v>85</v>
      </c>
      <c r="E957" t="s">
        <v>86</v>
      </c>
      <c r="F957" s="2">
        <v>1.3029999999999999</v>
      </c>
      <c r="G957">
        <v>8</v>
      </c>
      <c r="H957" s="2">
        <f>Tabla_Items_Inactivos[[#This Row],[EXISTENCIA]]*Tabla_Items_Inactivos[[#This Row],[COSTO]]</f>
        <v>10.423999999999999</v>
      </c>
    </row>
    <row r="958" spans="1:8">
      <c r="A958" t="s">
        <v>3300</v>
      </c>
      <c r="B958" t="s">
        <v>2962</v>
      </c>
      <c r="C958" t="s">
        <v>2963</v>
      </c>
      <c r="D958" t="s">
        <v>219</v>
      </c>
      <c r="E958" t="s">
        <v>86</v>
      </c>
      <c r="F958" s="2">
        <v>3.0467</v>
      </c>
      <c r="G958">
        <v>3</v>
      </c>
      <c r="H958" s="2">
        <f>Tabla_Items_Inactivos[[#This Row],[EXISTENCIA]]*Tabla_Items_Inactivos[[#This Row],[COSTO]]</f>
        <v>9.1401000000000003</v>
      </c>
    </row>
    <row r="959" spans="1:8">
      <c r="A959" t="s">
        <v>3300</v>
      </c>
      <c r="B959" t="s">
        <v>393</v>
      </c>
      <c r="C959" t="s">
        <v>4212</v>
      </c>
      <c r="D959" t="s">
        <v>85</v>
      </c>
      <c r="E959" t="s">
        <v>86</v>
      </c>
      <c r="F959" s="2">
        <v>2.3450000000000002</v>
      </c>
      <c r="G959">
        <v>9</v>
      </c>
      <c r="H959" s="2">
        <f>Tabla_Items_Inactivos[[#This Row],[EXISTENCIA]]*Tabla_Items_Inactivos[[#This Row],[COSTO]]</f>
        <v>21.105</v>
      </c>
    </row>
    <row r="960" spans="1:8">
      <c r="A960" t="s">
        <v>3300</v>
      </c>
      <c r="B960" t="s">
        <v>4213</v>
      </c>
      <c r="C960" t="s">
        <v>4214</v>
      </c>
      <c r="D960" t="s">
        <v>85</v>
      </c>
      <c r="E960" t="s">
        <v>86</v>
      </c>
      <c r="F960" s="2">
        <v>15.734</v>
      </c>
      <c r="G960">
        <v>5</v>
      </c>
      <c r="H960" s="2">
        <f>Tabla_Items_Inactivos[[#This Row],[EXISTENCIA]]*Tabla_Items_Inactivos[[#This Row],[COSTO]]</f>
        <v>78.67</v>
      </c>
    </row>
    <row r="961" spans="1:8">
      <c r="A961" t="s">
        <v>3300</v>
      </c>
      <c r="B961" t="s">
        <v>4215</v>
      </c>
      <c r="C961" t="s">
        <v>4216</v>
      </c>
      <c r="D961" t="s">
        <v>85</v>
      </c>
      <c r="E961" t="s">
        <v>86</v>
      </c>
      <c r="F961" s="2">
        <v>14.36</v>
      </c>
      <c r="G961">
        <v>2</v>
      </c>
      <c r="H961" s="2">
        <f>Tabla_Items_Inactivos[[#This Row],[EXISTENCIA]]*Tabla_Items_Inactivos[[#This Row],[COSTO]]</f>
        <v>28.72</v>
      </c>
    </row>
    <row r="962" spans="1:8">
      <c r="A962" t="s">
        <v>3300</v>
      </c>
      <c r="B962" t="s">
        <v>2964</v>
      </c>
      <c r="C962" t="s">
        <v>4217</v>
      </c>
      <c r="D962" t="s">
        <v>85</v>
      </c>
      <c r="E962" t="s">
        <v>86</v>
      </c>
      <c r="F962" s="2">
        <v>2.36</v>
      </c>
      <c r="G962">
        <v>4</v>
      </c>
      <c r="H962" s="2">
        <f>Tabla_Items_Inactivos[[#This Row],[EXISTENCIA]]*Tabla_Items_Inactivos[[#This Row],[COSTO]]</f>
        <v>9.44</v>
      </c>
    </row>
    <row r="963" spans="1:8">
      <c r="A963" t="s">
        <v>3300</v>
      </c>
      <c r="B963" t="s">
        <v>4218</v>
      </c>
      <c r="C963" t="s">
        <v>2491</v>
      </c>
      <c r="D963" t="s">
        <v>85</v>
      </c>
      <c r="E963" t="s">
        <v>86</v>
      </c>
      <c r="F963" s="2">
        <v>3.8580000000000001</v>
      </c>
      <c r="G963">
        <v>2</v>
      </c>
      <c r="H963" s="2">
        <f>Tabla_Items_Inactivos[[#This Row],[EXISTENCIA]]*Tabla_Items_Inactivos[[#This Row],[COSTO]]</f>
        <v>7.7160000000000002</v>
      </c>
    </row>
    <row r="964" spans="1:8">
      <c r="A964" t="s">
        <v>3300</v>
      </c>
      <c r="B964" t="s">
        <v>4219</v>
      </c>
      <c r="C964" t="s">
        <v>4220</v>
      </c>
      <c r="D964" t="s">
        <v>85</v>
      </c>
      <c r="E964" t="s">
        <v>86</v>
      </c>
      <c r="F964" s="2">
        <v>19.163900000000002</v>
      </c>
      <c r="G964">
        <v>7</v>
      </c>
      <c r="H964" s="2">
        <f>Tabla_Items_Inactivos[[#This Row],[EXISTENCIA]]*Tabla_Items_Inactivos[[#This Row],[COSTO]]</f>
        <v>134.1473</v>
      </c>
    </row>
    <row r="965" spans="1:8">
      <c r="A965" t="s">
        <v>3301</v>
      </c>
      <c r="B965" t="s">
        <v>4219</v>
      </c>
      <c r="C965" t="s">
        <v>4220</v>
      </c>
      <c r="D965" t="s">
        <v>85</v>
      </c>
      <c r="E965" t="s">
        <v>86</v>
      </c>
      <c r="F965" s="2">
        <v>19.163900000000002</v>
      </c>
      <c r="G965">
        <v>7</v>
      </c>
      <c r="H965" s="2">
        <f>Tabla_Items_Inactivos[[#This Row],[EXISTENCIA]]*Tabla_Items_Inactivos[[#This Row],[COSTO]]</f>
        <v>134.1473</v>
      </c>
    </row>
    <row r="966" spans="1:8">
      <c r="A966" t="s">
        <v>3301</v>
      </c>
      <c r="B966" t="s">
        <v>4221</v>
      </c>
      <c r="C966" t="s">
        <v>4222</v>
      </c>
      <c r="D966" t="s">
        <v>85</v>
      </c>
      <c r="E966" t="s">
        <v>86</v>
      </c>
      <c r="F966" s="2">
        <v>17.081299999999999</v>
      </c>
      <c r="G966">
        <v>20</v>
      </c>
      <c r="H966" s="2">
        <f>Tabla_Items_Inactivos[[#This Row],[EXISTENCIA]]*Tabla_Items_Inactivos[[#This Row],[COSTO]]</f>
        <v>341.62599999999998</v>
      </c>
    </row>
    <row r="967" spans="1:8">
      <c r="A967" t="s">
        <v>3300</v>
      </c>
      <c r="B967" t="s">
        <v>4221</v>
      </c>
      <c r="C967" t="s">
        <v>4222</v>
      </c>
      <c r="D967" t="s">
        <v>85</v>
      </c>
      <c r="E967" t="s">
        <v>86</v>
      </c>
      <c r="F967" s="2">
        <v>17.081299999999999</v>
      </c>
      <c r="G967">
        <v>20</v>
      </c>
      <c r="H967" s="2">
        <f>Tabla_Items_Inactivos[[#This Row],[EXISTENCIA]]*Tabla_Items_Inactivos[[#This Row],[COSTO]]</f>
        <v>341.62599999999998</v>
      </c>
    </row>
    <row r="968" spans="1:8">
      <c r="A968" t="s">
        <v>3300</v>
      </c>
      <c r="B968" t="s">
        <v>4223</v>
      </c>
      <c r="C968" t="s">
        <v>4224</v>
      </c>
      <c r="D968" t="s">
        <v>85</v>
      </c>
      <c r="E968" t="s">
        <v>86</v>
      </c>
      <c r="F968" s="2">
        <v>22.0945</v>
      </c>
      <c r="G968">
        <v>10</v>
      </c>
      <c r="H968" s="2">
        <f>Tabla_Items_Inactivos[[#This Row],[EXISTENCIA]]*Tabla_Items_Inactivos[[#This Row],[COSTO]]</f>
        <v>220.94499999999999</v>
      </c>
    </row>
    <row r="969" spans="1:8">
      <c r="A969" t="s">
        <v>3300</v>
      </c>
      <c r="B969" t="s">
        <v>4225</v>
      </c>
      <c r="C969" t="s">
        <v>4226</v>
      </c>
      <c r="D969" t="s">
        <v>85</v>
      </c>
      <c r="E969" t="s">
        <v>86</v>
      </c>
      <c r="F969" s="2">
        <v>16.604900000000001</v>
      </c>
      <c r="G969">
        <v>14</v>
      </c>
      <c r="H969" s="2">
        <f>Tabla_Items_Inactivos[[#This Row],[EXISTENCIA]]*Tabla_Items_Inactivos[[#This Row],[COSTO]]</f>
        <v>232.46860000000001</v>
      </c>
    </row>
    <row r="970" spans="1:8">
      <c r="A970" t="s">
        <v>3300</v>
      </c>
      <c r="B970" t="s">
        <v>4227</v>
      </c>
      <c r="C970" t="s">
        <v>4228</v>
      </c>
      <c r="D970" t="s">
        <v>219</v>
      </c>
      <c r="E970" t="s">
        <v>86</v>
      </c>
      <c r="F970" s="2">
        <v>0</v>
      </c>
      <c r="G970">
        <v>1</v>
      </c>
      <c r="H970" s="2">
        <f>Tabla_Items_Inactivos[[#This Row],[EXISTENCIA]]*Tabla_Items_Inactivos[[#This Row],[COSTO]]</f>
        <v>0</v>
      </c>
    </row>
    <row r="971" spans="1:8">
      <c r="A971" t="s">
        <v>3300</v>
      </c>
      <c r="B971" t="s">
        <v>4229</v>
      </c>
      <c r="C971" t="s">
        <v>4230</v>
      </c>
      <c r="D971" t="s">
        <v>85</v>
      </c>
      <c r="E971" t="s">
        <v>86</v>
      </c>
      <c r="F971" s="2">
        <v>15.154999999999999</v>
      </c>
      <c r="G971">
        <v>2</v>
      </c>
      <c r="H971" s="2">
        <f>Tabla_Items_Inactivos[[#This Row],[EXISTENCIA]]*Tabla_Items_Inactivos[[#This Row],[COSTO]]</f>
        <v>30.31</v>
      </c>
    </row>
    <row r="972" spans="1:8">
      <c r="A972" t="s">
        <v>3300</v>
      </c>
      <c r="B972" t="s">
        <v>394</v>
      </c>
      <c r="C972" t="s">
        <v>395</v>
      </c>
      <c r="D972" t="s">
        <v>85</v>
      </c>
      <c r="E972" t="s">
        <v>86</v>
      </c>
      <c r="F972" s="2">
        <v>8.8427000000000007</v>
      </c>
      <c r="G972">
        <v>36</v>
      </c>
      <c r="H972" s="2">
        <f>Tabla_Items_Inactivos[[#This Row],[EXISTENCIA]]*Tabla_Items_Inactivos[[#This Row],[COSTO]]</f>
        <v>318.33720000000005</v>
      </c>
    </row>
    <row r="973" spans="1:8">
      <c r="A973" t="s">
        <v>3300</v>
      </c>
      <c r="B973" t="s">
        <v>4231</v>
      </c>
      <c r="C973" t="s">
        <v>2344</v>
      </c>
      <c r="D973" t="s">
        <v>219</v>
      </c>
      <c r="E973" t="s">
        <v>86</v>
      </c>
      <c r="F973" s="2">
        <v>27.88</v>
      </c>
      <c r="G973">
        <v>1</v>
      </c>
      <c r="H973" s="2">
        <f>Tabla_Items_Inactivos[[#This Row],[EXISTENCIA]]*Tabla_Items_Inactivos[[#This Row],[COSTO]]</f>
        <v>27.88</v>
      </c>
    </row>
    <row r="974" spans="1:8">
      <c r="A974" t="s">
        <v>3300</v>
      </c>
      <c r="B974" t="s">
        <v>4232</v>
      </c>
      <c r="C974" t="s">
        <v>4233</v>
      </c>
      <c r="D974" t="s">
        <v>98</v>
      </c>
      <c r="E974" t="s">
        <v>86</v>
      </c>
      <c r="F974" s="2">
        <v>20.732800000000001</v>
      </c>
      <c r="G974">
        <v>34</v>
      </c>
      <c r="H974" s="2">
        <f>Tabla_Items_Inactivos[[#This Row],[EXISTENCIA]]*Tabla_Items_Inactivos[[#This Row],[COSTO]]</f>
        <v>704.91520000000003</v>
      </c>
    </row>
    <row r="975" spans="1:8">
      <c r="A975" t="s">
        <v>3300</v>
      </c>
      <c r="B975" t="s">
        <v>396</v>
      </c>
      <c r="C975" t="s">
        <v>4234</v>
      </c>
      <c r="D975" t="s">
        <v>85</v>
      </c>
      <c r="E975" t="s">
        <v>86</v>
      </c>
      <c r="F975" s="2">
        <v>3.58</v>
      </c>
      <c r="G975">
        <v>6</v>
      </c>
      <c r="H975" s="2">
        <f>Tabla_Items_Inactivos[[#This Row],[EXISTENCIA]]*Tabla_Items_Inactivos[[#This Row],[COSTO]]</f>
        <v>21.48</v>
      </c>
    </row>
    <row r="976" spans="1:8">
      <c r="A976" t="s">
        <v>3300</v>
      </c>
      <c r="B976" t="s">
        <v>2965</v>
      </c>
      <c r="C976" t="s">
        <v>2966</v>
      </c>
      <c r="D976" t="s">
        <v>98</v>
      </c>
      <c r="E976" t="s">
        <v>86</v>
      </c>
      <c r="F976" s="2">
        <v>3.5950000000000002</v>
      </c>
      <c r="G976">
        <v>10</v>
      </c>
      <c r="H976" s="2">
        <f>Tabla_Items_Inactivos[[#This Row],[EXISTENCIA]]*Tabla_Items_Inactivos[[#This Row],[COSTO]]</f>
        <v>35.950000000000003</v>
      </c>
    </row>
    <row r="977" spans="1:8">
      <c r="A977" t="s">
        <v>3300</v>
      </c>
      <c r="B977" t="s">
        <v>397</v>
      </c>
      <c r="C977" t="s">
        <v>398</v>
      </c>
      <c r="D977" t="s">
        <v>243</v>
      </c>
      <c r="E977" t="s">
        <v>86</v>
      </c>
      <c r="F977" s="2">
        <v>2.52</v>
      </c>
      <c r="G977">
        <v>2</v>
      </c>
      <c r="H977" s="2">
        <f>Tabla_Items_Inactivos[[#This Row],[EXISTENCIA]]*Tabla_Items_Inactivos[[#This Row],[COSTO]]</f>
        <v>5.04</v>
      </c>
    </row>
    <row r="978" spans="1:8">
      <c r="A978" t="s">
        <v>3300</v>
      </c>
      <c r="B978" t="s">
        <v>4235</v>
      </c>
      <c r="C978" t="s">
        <v>2442</v>
      </c>
      <c r="D978" t="s">
        <v>85</v>
      </c>
      <c r="E978" t="s">
        <v>86</v>
      </c>
      <c r="F978" s="2">
        <v>2.9487000000000001</v>
      </c>
      <c r="G978">
        <v>16</v>
      </c>
      <c r="H978" s="2">
        <f>Tabla_Items_Inactivos[[#This Row],[EXISTENCIA]]*Tabla_Items_Inactivos[[#This Row],[COSTO]]</f>
        <v>47.179200000000002</v>
      </c>
    </row>
    <row r="979" spans="1:8">
      <c r="A979" t="s">
        <v>3301</v>
      </c>
      <c r="B979" t="s">
        <v>4235</v>
      </c>
      <c r="C979" t="s">
        <v>2442</v>
      </c>
      <c r="D979" t="s">
        <v>85</v>
      </c>
      <c r="E979" t="s">
        <v>86</v>
      </c>
      <c r="F979" s="2">
        <v>2.9487000000000001</v>
      </c>
      <c r="G979">
        <v>16</v>
      </c>
      <c r="H979" s="2">
        <f>Tabla_Items_Inactivos[[#This Row],[EXISTENCIA]]*Tabla_Items_Inactivos[[#This Row],[COSTO]]</f>
        <v>47.179200000000002</v>
      </c>
    </row>
    <row r="980" spans="1:8">
      <c r="A980" t="s">
        <v>3300</v>
      </c>
      <c r="B980" t="s">
        <v>2967</v>
      </c>
      <c r="C980" t="s">
        <v>2968</v>
      </c>
      <c r="D980" t="s">
        <v>85</v>
      </c>
      <c r="E980" t="s">
        <v>86</v>
      </c>
      <c r="F980" s="2">
        <v>2.6516999999999999</v>
      </c>
      <c r="G980">
        <v>18</v>
      </c>
      <c r="H980" s="2">
        <f>Tabla_Items_Inactivos[[#This Row],[EXISTENCIA]]*Tabla_Items_Inactivos[[#This Row],[COSTO]]</f>
        <v>47.730599999999995</v>
      </c>
    </row>
    <row r="981" spans="1:8">
      <c r="A981" t="s">
        <v>3300</v>
      </c>
      <c r="B981" t="s">
        <v>2969</v>
      </c>
      <c r="C981" t="s">
        <v>2970</v>
      </c>
      <c r="D981" t="s">
        <v>98</v>
      </c>
      <c r="E981" t="s">
        <v>86</v>
      </c>
      <c r="F981" s="2">
        <v>0</v>
      </c>
      <c r="G981">
        <v>6</v>
      </c>
      <c r="H981" s="2">
        <f>Tabla_Items_Inactivos[[#This Row],[EXISTENCIA]]*Tabla_Items_Inactivos[[#This Row],[COSTO]]</f>
        <v>0</v>
      </c>
    </row>
    <row r="982" spans="1:8">
      <c r="A982" t="s">
        <v>3300</v>
      </c>
      <c r="B982" t="s">
        <v>4236</v>
      </c>
      <c r="C982" t="s">
        <v>4237</v>
      </c>
      <c r="D982" t="s">
        <v>85</v>
      </c>
      <c r="E982" t="s">
        <v>86</v>
      </c>
      <c r="F982" s="2">
        <v>15.7896</v>
      </c>
      <c r="G982">
        <v>67</v>
      </c>
      <c r="H982" s="2">
        <f>Tabla_Items_Inactivos[[#This Row],[EXISTENCIA]]*Tabla_Items_Inactivos[[#This Row],[COSTO]]</f>
        <v>1057.9032</v>
      </c>
    </row>
    <row r="983" spans="1:8">
      <c r="A983" t="s">
        <v>3301</v>
      </c>
      <c r="B983" t="s">
        <v>4236</v>
      </c>
      <c r="C983" t="s">
        <v>4237</v>
      </c>
      <c r="D983" t="s">
        <v>85</v>
      </c>
      <c r="E983" t="s">
        <v>86</v>
      </c>
      <c r="F983" s="2">
        <v>15.7896</v>
      </c>
      <c r="G983">
        <v>67</v>
      </c>
      <c r="H983" s="2">
        <f>Tabla_Items_Inactivos[[#This Row],[EXISTENCIA]]*Tabla_Items_Inactivos[[#This Row],[COSTO]]</f>
        <v>1057.9032</v>
      </c>
    </row>
    <row r="984" spans="1:8">
      <c r="A984" t="s">
        <v>3301</v>
      </c>
      <c r="B984" t="s">
        <v>4238</v>
      </c>
      <c r="C984" t="s">
        <v>4239</v>
      </c>
      <c r="D984" t="s">
        <v>85</v>
      </c>
      <c r="E984" t="s">
        <v>86</v>
      </c>
      <c r="F984" s="2">
        <v>18.299900000000001</v>
      </c>
      <c r="G984">
        <v>111</v>
      </c>
      <c r="H984" s="2">
        <f>Tabla_Items_Inactivos[[#This Row],[EXISTENCIA]]*Tabla_Items_Inactivos[[#This Row],[COSTO]]</f>
        <v>2031.2889</v>
      </c>
    </row>
    <row r="985" spans="1:8">
      <c r="A985" t="s">
        <v>3300</v>
      </c>
      <c r="B985" t="s">
        <v>4238</v>
      </c>
      <c r="C985" t="s">
        <v>4239</v>
      </c>
      <c r="D985" t="s">
        <v>85</v>
      </c>
      <c r="E985" t="s">
        <v>86</v>
      </c>
      <c r="F985" s="2">
        <v>18.299900000000001</v>
      </c>
      <c r="G985">
        <v>111</v>
      </c>
      <c r="H985" s="2">
        <f>Tabla_Items_Inactivos[[#This Row],[EXISTENCIA]]*Tabla_Items_Inactivos[[#This Row],[COSTO]]</f>
        <v>2031.2889</v>
      </c>
    </row>
    <row r="986" spans="1:8">
      <c r="A986" t="s">
        <v>3300</v>
      </c>
      <c r="B986" t="s">
        <v>4240</v>
      </c>
      <c r="C986" t="s">
        <v>4241</v>
      </c>
      <c r="D986" t="s">
        <v>219</v>
      </c>
      <c r="E986" t="s">
        <v>86</v>
      </c>
      <c r="F986" s="2">
        <v>14.839</v>
      </c>
      <c r="G986">
        <v>3</v>
      </c>
      <c r="H986" s="2">
        <f>Tabla_Items_Inactivos[[#This Row],[EXISTENCIA]]*Tabla_Items_Inactivos[[#This Row],[COSTO]]</f>
        <v>44.517000000000003</v>
      </c>
    </row>
    <row r="987" spans="1:8">
      <c r="A987" t="s">
        <v>3300</v>
      </c>
      <c r="B987" t="s">
        <v>399</v>
      </c>
      <c r="C987" t="s">
        <v>4242</v>
      </c>
      <c r="D987" t="s">
        <v>85</v>
      </c>
      <c r="E987" t="s">
        <v>86</v>
      </c>
      <c r="F987" s="2">
        <v>16.806899999999999</v>
      </c>
      <c r="G987">
        <v>49</v>
      </c>
      <c r="H987" s="2">
        <f>Tabla_Items_Inactivos[[#This Row],[EXISTENCIA]]*Tabla_Items_Inactivos[[#This Row],[COSTO]]</f>
        <v>823.53809999999999</v>
      </c>
    </row>
    <row r="988" spans="1:8">
      <c r="A988" t="s">
        <v>3301</v>
      </c>
      <c r="B988" t="s">
        <v>399</v>
      </c>
      <c r="C988" t="s">
        <v>4242</v>
      </c>
      <c r="D988" t="s">
        <v>85</v>
      </c>
      <c r="E988" t="s">
        <v>86</v>
      </c>
      <c r="F988" s="2">
        <v>16.806899999999999</v>
      </c>
      <c r="G988">
        <v>49</v>
      </c>
      <c r="H988" s="2">
        <f>Tabla_Items_Inactivos[[#This Row],[EXISTENCIA]]*Tabla_Items_Inactivos[[#This Row],[COSTO]]</f>
        <v>823.53809999999999</v>
      </c>
    </row>
    <row r="989" spans="1:8">
      <c r="A989" t="s">
        <v>3300</v>
      </c>
      <c r="B989" t="s">
        <v>400</v>
      </c>
      <c r="C989" t="s">
        <v>401</v>
      </c>
      <c r="D989" t="s">
        <v>219</v>
      </c>
      <c r="E989" t="s">
        <v>86</v>
      </c>
      <c r="F989" s="2">
        <v>17.742000000000001</v>
      </c>
      <c r="G989">
        <v>5</v>
      </c>
      <c r="H989" s="2">
        <f>Tabla_Items_Inactivos[[#This Row],[EXISTENCIA]]*Tabla_Items_Inactivos[[#This Row],[COSTO]]</f>
        <v>88.710000000000008</v>
      </c>
    </row>
    <row r="990" spans="1:8">
      <c r="A990" t="s">
        <v>3300</v>
      </c>
      <c r="B990" t="s">
        <v>2971</v>
      </c>
      <c r="C990" t="s">
        <v>2972</v>
      </c>
      <c r="D990" t="s">
        <v>219</v>
      </c>
      <c r="E990" t="s">
        <v>86</v>
      </c>
      <c r="F990" s="2">
        <v>23.122399999999999</v>
      </c>
      <c r="G990">
        <v>9</v>
      </c>
      <c r="H990" s="2">
        <f>Tabla_Items_Inactivos[[#This Row],[EXISTENCIA]]*Tabla_Items_Inactivos[[#This Row],[COSTO]]</f>
        <v>208.10159999999999</v>
      </c>
    </row>
    <row r="991" spans="1:8">
      <c r="A991" t="s">
        <v>3300</v>
      </c>
      <c r="B991" t="s">
        <v>4243</v>
      </c>
      <c r="C991" t="s">
        <v>4244</v>
      </c>
      <c r="D991" t="s">
        <v>219</v>
      </c>
      <c r="E991" t="s">
        <v>86</v>
      </c>
      <c r="F991" s="2">
        <v>22.33</v>
      </c>
      <c r="G991">
        <v>1</v>
      </c>
      <c r="H991" s="2">
        <f>Tabla_Items_Inactivos[[#This Row],[EXISTENCIA]]*Tabla_Items_Inactivos[[#This Row],[COSTO]]</f>
        <v>22.33</v>
      </c>
    </row>
    <row r="992" spans="1:8">
      <c r="A992" t="s">
        <v>3300</v>
      </c>
      <c r="B992" t="s">
        <v>4245</v>
      </c>
      <c r="C992" t="s">
        <v>4246</v>
      </c>
      <c r="D992" t="s">
        <v>219</v>
      </c>
      <c r="E992" t="s">
        <v>86</v>
      </c>
      <c r="F992" s="2">
        <v>19.18</v>
      </c>
      <c r="G992">
        <v>2</v>
      </c>
      <c r="H992" s="2">
        <f>Tabla_Items_Inactivos[[#This Row],[EXISTENCIA]]*Tabla_Items_Inactivos[[#This Row],[COSTO]]</f>
        <v>38.36</v>
      </c>
    </row>
    <row r="993" spans="1:8">
      <c r="A993" t="s">
        <v>3300</v>
      </c>
      <c r="B993" t="s">
        <v>2973</v>
      </c>
      <c r="C993" t="s">
        <v>2974</v>
      </c>
      <c r="D993" t="s">
        <v>436</v>
      </c>
      <c r="E993" t="s">
        <v>86</v>
      </c>
      <c r="F993" s="2">
        <v>8.57</v>
      </c>
      <c r="G993">
        <v>6</v>
      </c>
      <c r="H993" s="2">
        <f>Tabla_Items_Inactivos[[#This Row],[EXISTENCIA]]*Tabla_Items_Inactivos[[#This Row],[COSTO]]</f>
        <v>51.42</v>
      </c>
    </row>
    <row r="994" spans="1:8">
      <c r="A994" t="s">
        <v>3301</v>
      </c>
      <c r="B994" t="s">
        <v>4247</v>
      </c>
      <c r="C994" t="s">
        <v>4248</v>
      </c>
      <c r="D994" t="s">
        <v>85</v>
      </c>
      <c r="E994" t="s">
        <v>86</v>
      </c>
      <c r="F994" s="2">
        <v>20.160900000000002</v>
      </c>
      <c r="G994">
        <v>77</v>
      </c>
      <c r="H994" s="2">
        <f>Tabla_Items_Inactivos[[#This Row],[EXISTENCIA]]*Tabla_Items_Inactivos[[#This Row],[COSTO]]</f>
        <v>1552.3893</v>
      </c>
    </row>
    <row r="995" spans="1:8">
      <c r="A995" t="s">
        <v>3300</v>
      </c>
      <c r="B995" t="s">
        <v>4247</v>
      </c>
      <c r="C995" t="s">
        <v>4248</v>
      </c>
      <c r="D995" t="s">
        <v>85</v>
      </c>
      <c r="E995" t="s">
        <v>86</v>
      </c>
      <c r="F995" s="2">
        <v>20.160900000000002</v>
      </c>
      <c r="G995">
        <v>77</v>
      </c>
      <c r="H995" s="2">
        <f>Tabla_Items_Inactivos[[#This Row],[EXISTENCIA]]*Tabla_Items_Inactivos[[#This Row],[COSTO]]</f>
        <v>1552.3893</v>
      </c>
    </row>
    <row r="996" spans="1:8">
      <c r="A996" t="s">
        <v>3300</v>
      </c>
      <c r="B996" t="s">
        <v>402</v>
      </c>
      <c r="C996" t="s">
        <v>4249</v>
      </c>
      <c r="D996" t="s">
        <v>85</v>
      </c>
      <c r="E996" t="s">
        <v>86</v>
      </c>
      <c r="F996" s="2">
        <v>9.3251000000000008</v>
      </c>
      <c r="G996">
        <v>25</v>
      </c>
      <c r="H996" s="2">
        <f>Tabla_Items_Inactivos[[#This Row],[EXISTENCIA]]*Tabla_Items_Inactivos[[#This Row],[COSTO]]</f>
        <v>233.12750000000003</v>
      </c>
    </row>
    <row r="997" spans="1:8">
      <c r="A997" t="s">
        <v>3300</v>
      </c>
      <c r="B997" t="s">
        <v>4250</v>
      </c>
      <c r="C997" t="s">
        <v>2309</v>
      </c>
      <c r="D997" t="s">
        <v>219</v>
      </c>
      <c r="E997" t="s">
        <v>86</v>
      </c>
      <c r="F997" s="2">
        <v>26.38</v>
      </c>
      <c r="G997">
        <v>2</v>
      </c>
      <c r="H997" s="2">
        <f>Tabla_Items_Inactivos[[#This Row],[EXISTENCIA]]*Tabla_Items_Inactivos[[#This Row],[COSTO]]</f>
        <v>52.76</v>
      </c>
    </row>
    <row r="998" spans="1:8">
      <c r="A998" t="s">
        <v>3300</v>
      </c>
      <c r="B998" t="s">
        <v>403</v>
      </c>
      <c r="C998" t="s">
        <v>404</v>
      </c>
      <c r="D998" t="s">
        <v>219</v>
      </c>
      <c r="E998" t="s">
        <v>86</v>
      </c>
      <c r="F998" s="2">
        <v>12.0326</v>
      </c>
      <c r="G998">
        <v>26</v>
      </c>
      <c r="H998" s="2">
        <f>Tabla_Items_Inactivos[[#This Row],[EXISTENCIA]]*Tabla_Items_Inactivos[[#This Row],[COSTO]]</f>
        <v>312.8476</v>
      </c>
    </row>
    <row r="999" spans="1:8">
      <c r="A999" t="s">
        <v>3301</v>
      </c>
      <c r="B999" t="s">
        <v>403</v>
      </c>
      <c r="C999" t="s">
        <v>404</v>
      </c>
      <c r="D999" t="s">
        <v>219</v>
      </c>
      <c r="E999" t="s">
        <v>86</v>
      </c>
      <c r="F999" s="2">
        <v>12.0326</v>
      </c>
      <c r="G999">
        <v>26</v>
      </c>
      <c r="H999" s="2">
        <f>Tabla_Items_Inactivos[[#This Row],[EXISTENCIA]]*Tabla_Items_Inactivos[[#This Row],[COSTO]]</f>
        <v>312.8476</v>
      </c>
    </row>
    <row r="1000" spans="1:8">
      <c r="A1000" t="s">
        <v>3300</v>
      </c>
      <c r="B1000" t="s">
        <v>2975</v>
      </c>
      <c r="C1000" t="s">
        <v>503</v>
      </c>
      <c r="D1000" t="s">
        <v>85</v>
      </c>
      <c r="E1000" t="s">
        <v>86</v>
      </c>
      <c r="F1000" s="2">
        <v>41.234000000000002</v>
      </c>
      <c r="G1000">
        <v>4</v>
      </c>
      <c r="H1000" s="2">
        <f>Tabla_Items_Inactivos[[#This Row],[EXISTENCIA]]*Tabla_Items_Inactivos[[#This Row],[COSTO]]</f>
        <v>164.93600000000001</v>
      </c>
    </row>
    <row r="1001" spans="1:8">
      <c r="A1001" t="s">
        <v>3300</v>
      </c>
      <c r="B1001" t="s">
        <v>4251</v>
      </c>
      <c r="C1001" t="s">
        <v>4252</v>
      </c>
      <c r="D1001" t="s">
        <v>85</v>
      </c>
      <c r="E1001" t="s">
        <v>86</v>
      </c>
      <c r="F1001" s="2">
        <v>11.780200000000001</v>
      </c>
      <c r="G1001">
        <v>58</v>
      </c>
      <c r="H1001" s="2">
        <f>Tabla_Items_Inactivos[[#This Row],[EXISTENCIA]]*Tabla_Items_Inactivos[[#This Row],[COSTO]]</f>
        <v>683.25160000000005</v>
      </c>
    </row>
    <row r="1002" spans="1:8">
      <c r="A1002" t="s">
        <v>3300</v>
      </c>
      <c r="B1002" t="s">
        <v>4253</v>
      </c>
      <c r="C1002" t="s">
        <v>4254</v>
      </c>
      <c r="D1002" t="s">
        <v>219</v>
      </c>
      <c r="E1002" t="s">
        <v>86</v>
      </c>
      <c r="F1002" s="2">
        <v>0</v>
      </c>
      <c r="G1002">
        <v>5</v>
      </c>
      <c r="H1002" s="2">
        <f>Tabla_Items_Inactivos[[#This Row],[EXISTENCIA]]*Tabla_Items_Inactivos[[#This Row],[COSTO]]</f>
        <v>0</v>
      </c>
    </row>
    <row r="1003" spans="1:8">
      <c r="A1003" t="s">
        <v>3300</v>
      </c>
      <c r="B1003" t="s">
        <v>4255</v>
      </c>
      <c r="C1003" t="s">
        <v>2461</v>
      </c>
      <c r="D1003" t="s">
        <v>85</v>
      </c>
      <c r="E1003" t="s">
        <v>86</v>
      </c>
      <c r="F1003" s="2">
        <v>10.042999999999999</v>
      </c>
      <c r="G1003">
        <v>7</v>
      </c>
      <c r="H1003" s="2">
        <f>Tabla_Items_Inactivos[[#This Row],[EXISTENCIA]]*Tabla_Items_Inactivos[[#This Row],[COSTO]]</f>
        <v>70.300999999999988</v>
      </c>
    </row>
    <row r="1004" spans="1:8">
      <c r="A1004" t="s">
        <v>3300</v>
      </c>
      <c r="B1004" t="s">
        <v>405</v>
      </c>
      <c r="C1004" t="s">
        <v>4256</v>
      </c>
      <c r="D1004" t="s">
        <v>85</v>
      </c>
      <c r="E1004" t="s">
        <v>86</v>
      </c>
      <c r="F1004" s="2">
        <v>10.427300000000001</v>
      </c>
      <c r="G1004">
        <v>12</v>
      </c>
      <c r="H1004" s="2">
        <f>Tabla_Items_Inactivos[[#This Row],[EXISTENCIA]]*Tabla_Items_Inactivos[[#This Row],[COSTO]]</f>
        <v>125.1276</v>
      </c>
    </row>
    <row r="1005" spans="1:8">
      <c r="A1005" t="s">
        <v>3301</v>
      </c>
      <c r="B1005" t="s">
        <v>405</v>
      </c>
      <c r="C1005" t="s">
        <v>4256</v>
      </c>
      <c r="D1005" t="s">
        <v>85</v>
      </c>
      <c r="E1005" t="s">
        <v>86</v>
      </c>
      <c r="F1005" s="2">
        <v>10.427300000000001</v>
      </c>
      <c r="G1005">
        <v>12</v>
      </c>
      <c r="H1005" s="2">
        <f>Tabla_Items_Inactivos[[#This Row],[EXISTENCIA]]*Tabla_Items_Inactivos[[#This Row],[COSTO]]</f>
        <v>125.1276</v>
      </c>
    </row>
    <row r="1006" spans="1:8">
      <c r="A1006" t="s">
        <v>3300</v>
      </c>
      <c r="B1006" t="s">
        <v>4257</v>
      </c>
      <c r="C1006" t="s">
        <v>2239</v>
      </c>
      <c r="D1006" t="s">
        <v>85</v>
      </c>
      <c r="E1006" t="s">
        <v>86</v>
      </c>
      <c r="F1006" s="2">
        <v>8.8160000000000007</v>
      </c>
      <c r="G1006">
        <v>9</v>
      </c>
      <c r="H1006" s="2">
        <f>Tabla_Items_Inactivos[[#This Row],[EXISTENCIA]]*Tabla_Items_Inactivos[[#This Row],[COSTO]]</f>
        <v>79.344000000000008</v>
      </c>
    </row>
    <row r="1007" spans="1:8">
      <c r="A1007" t="s">
        <v>3300</v>
      </c>
      <c r="B1007" t="s">
        <v>4258</v>
      </c>
      <c r="C1007" t="s">
        <v>4259</v>
      </c>
      <c r="D1007" t="s">
        <v>219</v>
      </c>
      <c r="E1007" t="s">
        <v>86</v>
      </c>
      <c r="F1007" s="2">
        <v>14.253</v>
      </c>
      <c r="G1007">
        <v>3</v>
      </c>
      <c r="H1007" s="2">
        <f>Tabla_Items_Inactivos[[#This Row],[EXISTENCIA]]*Tabla_Items_Inactivos[[#This Row],[COSTO]]</f>
        <v>42.759</v>
      </c>
    </row>
    <row r="1008" spans="1:8">
      <c r="A1008" t="s">
        <v>3300</v>
      </c>
      <c r="B1008" t="s">
        <v>2976</v>
      </c>
      <c r="C1008" t="s">
        <v>4260</v>
      </c>
      <c r="D1008" t="s">
        <v>98</v>
      </c>
      <c r="E1008" t="s">
        <v>86</v>
      </c>
      <c r="F1008" s="2">
        <v>3.4567000000000001</v>
      </c>
      <c r="G1008">
        <v>74</v>
      </c>
      <c r="H1008" s="2">
        <f>Tabla_Items_Inactivos[[#This Row],[EXISTENCIA]]*Tabla_Items_Inactivos[[#This Row],[COSTO]]</f>
        <v>255.79580000000001</v>
      </c>
    </row>
    <row r="1009" spans="1:8">
      <c r="A1009" t="s">
        <v>3301</v>
      </c>
      <c r="B1009" t="s">
        <v>2976</v>
      </c>
      <c r="C1009" t="s">
        <v>4260</v>
      </c>
      <c r="D1009" t="s">
        <v>98</v>
      </c>
      <c r="E1009" t="s">
        <v>86</v>
      </c>
      <c r="F1009" s="2">
        <v>3.4567000000000001</v>
      </c>
      <c r="G1009">
        <v>74</v>
      </c>
      <c r="H1009" s="2">
        <f>Tabla_Items_Inactivos[[#This Row],[EXISTENCIA]]*Tabla_Items_Inactivos[[#This Row],[COSTO]]</f>
        <v>255.79580000000001</v>
      </c>
    </row>
    <row r="1010" spans="1:8">
      <c r="A1010" t="s">
        <v>3300</v>
      </c>
      <c r="B1010" t="s">
        <v>4261</v>
      </c>
      <c r="C1010" t="s">
        <v>4262</v>
      </c>
      <c r="D1010" t="s">
        <v>85</v>
      </c>
      <c r="E1010" t="s">
        <v>86</v>
      </c>
      <c r="F1010" s="2">
        <v>2.4841000000000002</v>
      </c>
      <c r="G1010">
        <v>16</v>
      </c>
      <c r="H1010" s="2">
        <f>Tabla_Items_Inactivos[[#This Row],[EXISTENCIA]]*Tabla_Items_Inactivos[[#This Row],[COSTO]]</f>
        <v>39.745600000000003</v>
      </c>
    </row>
    <row r="1011" spans="1:8">
      <c r="A1011" t="s">
        <v>3300</v>
      </c>
      <c r="B1011" t="s">
        <v>406</v>
      </c>
      <c r="C1011" t="s">
        <v>4263</v>
      </c>
      <c r="D1011" t="s">
        <v>243</v>
      </c>
      <c r="E1011" t="s">
        <v>86</v>
      </c>
      <c r="F1011" s="2">
        <v>2.21</v>
      </c>
      <c r="G1011">
        <v>5</v>
      </c>
      <c r="H1011" s="2">
        <f>Tabla_Items_Inactivos[[#This Row],[EXISTENCIA]]*Tabla_Items_Inactivos[[#This Row],[COSTO]]</f>
        <v>11.05</v>
      </c>
    </row>
    <row r="1012" spans="1:8">
      <c r="A1012" t="s">
        <v>3300</v>
      </c>
      <c r="B1012" t="s">
        <v>2977</v>
      </c>
      <c r="C1012" t="s">
        <v>4264</v>
      </c>
      <c r="D1012" t="s">
        <v>219</v>
      </c>
      <c r="E1012" t="s">
        <v>86</v>
      </c>
      <c r="F1012" s="2">
        <v>3.3679999999999999</v>
      </c>
      <c r="G1012">
        <v>25</v>
      </c>
      <c r="H1012" s="2">
        <f>Tabla_Items_Inactivos[[#This Row],[EXISTENCIA]]*Tabla_Items_Inactivos[[#This Row],[COSTO]]</f>
        <v>84.2</v>
      </c>
    </row>
    <row r="1013" spans="1:8">
      <c r="A1013" t="s">
        <v>3300</v>
      </c>
      <c r="B1013" t="s">
        <v>4265</v>
      </c>
      <c r="C1013" t="s">
        <v>4266</v>
      </c>
      <c r="D1013" t="s">
        <v>219</v>
      </c>
      <c r="E1013" t="s">
        <v>86</v>
      </c>
      <c r="F1013" s="2">
        <v>3.577</v>
      </c>
      <c r="G1013">
        <v>10</v>
      </c>
      <c r="H1013" s="2">
        <f>Tabla_Items_Inactivos[[#This Row],[EXISTENCIA]]*Tabla_Items_Inactivos[[#This Row],[COSTO]]</f>
        <v>35.769999999999996</v>
      </c>
    </row>
    <row r="1014" spans="1:8">
      <c r="A1014" t="s">
        <v>3300</v>
      </c>
      <c r="B1014" t="s">
        <v>4267</v>
      </c>
      <c r="C1014" t="s">
        <v>4268</v>
      </c>
      <c r="D1014" t="s">
        <v>219</v>
      </c>
      <c r="E1014" t="s">
        <v>86</v>
      </c>
      <c r="F1014" s="2">
        <v>2.4500000000000002</v>
      </c>
      <c r="G1014">
        <v>8</v>
      </c>
      <c r="H1014" s="2">
        <f>Tabla_Items_Inactivos[[#This Row],[EXISTENCIA]]*Tabla_Items_Inactivos[[#This Row],[COSTO]]</f>
        <v>19.600000000000001</v>
      </c>
    </row>
    <row r="1015" spans="1:8">
      <c r="A1015" t="s">
        <v>3300</v>
      </c>
      <c r="B1015" t="s">
        <v>4269</v>
      </c>
      <c r="C1015" t="s">
        <v>4270</v>
      </c>
      <c r="D1015" t="s">
        <v>410</v>
      </c>
      <c r="E1015" t="s">
        <v>86</v>
      </c>
      <c r="F1015" s="2">
        <v>1.6711</v>
      </c>
      <c r="G1015">
        <v>22</v>
      </c>
      <c r="H1015" s="2">
        <f>Tabla_Items_Inactivos[[#This Row],[EXISTENCIA]]*Tabla_Items_Inactivos[[#This Row],[COSTO]]</f>
        <v>36.764200000000002</v>
      </c>
    </row>
    <row r="1016" spans="1:8">
      <c r="A1016" t="s">
        <v>3301</v>
      </c>
      <c r="B1016" t="s">
        <v>4269</v>
      </c>
      <c r="C1016" t="s">
        <v>4270</v>
      </c>
      <c r="D1016" t="s">
        <v>410</v>
      </c>
      <c r="E1016" t="s">
        <v>86</v>
      </c>
      <c r="F1016" s="2">
        <v>1.6711</v>
      </c>
      <c r="G1016">
        <v>22</v>
      </c>
      <c r="H1016" s="2">
        <f>Tabla_Items_Inactivos[[#This Row],[EXISTENCIA]]*Tabla_Items_Inactivos[[#This Row],[COSTO]]</f>
        <v>36.764200000000002</v>
      </c>
    </row>
    <row r="1017" spans="1:8">
      <c r="A1017" t="s">
        <v>3301</v>
      </c>
      <c r="B1017" t="s">
        <v>4271</v>
      </c>
      <c r="C1017" t="s">
        <v>4272</v>
      </c>
      <c r="D1017" t="s">
        <v>85</v>
      </c>
      <c r="E1017" t="s">
        <v>86</v>
      </c>
      <c r="F1017" s="2">
        <v>2.8115000000000001</v>
      </c>
      <c r="G1017">
        <v>13</v>
      </c>
      <c r="H1017" s="2">
        <f>Tabla_Items_Inactivos[[#This Row],[EXISTENCIA]]*Tabla_Items_Inactivos[[#This Row],[COSTO]]</f>
        <v>36.549500000000002</v>
      </c>
    </row>
    <row r="1018" spans="1:8">
      <c r="A1018" t="s">
        <v>3300</v>
      </c>
      <c r="B1018" t="s">
        <v>4271</v>
      </c>
      <c r="C1018" t="s">
        <v>4272</v>
      </c>
      <c r="D1018" t="s">
        <v>85</v>
      </c>
      <c r="E1018" t="s">
        <v>86</v>
      </c>
      <c r="F1018" s="2">
        <v>2.8115000000000001</v>
      </c>
      <c r="G1018">
        <v>13</v>
      </c>
      <c r="H1018" s="2">
        <f>Tabla_Items_Inactivos[[#This Row],[EXISTENCIA]]*Tabla_Items_Inactivos[[#This Row],[COSTO]]</f>
        <v>36.549500000000002</v>
      </c>
    </row>
    <row r="1019" spans="1:8">
      <c r="A1019" t="s">
        <v>3300</v>
      </c>
      <c r="B1019" t="s">
        <v>4273</v>
      </c>
      <c r="C1019" t="s">
        <v>4274</v>
      </c>
      <c r="D1019" t="s">
        <v>85</v>
      </c>
      <c r="E1019" t="s">
        <v>86</v>
      </c>
      <c r="F1019" s="2">
        <v>3.0482999999999998</v>
      </c>
      <c r="G1019">
        <v>60</v>
      </c>
      <c r="H1019" s="2">
        <f>Tabla_Items_Inactivos[[#This Row],[EXISTENCIA]]*Tabla_Items_Inactivos[[#This Row],[COSTO]]</f>
        <v>182.898</v>
      </c>
    </row>
    <row r="1020" spans="1:8">
      <c r="A1020" t="s">
        <v>3301</v>
      </c>
      <c r="B1020" t="s">
        <v>4273</v>
      </c>
      <c r="C1020" t="s">
        <v>4274</v>
      </c>
      <c r="D1020" t="s">
        <v>85</v>
      </c>
      <c r="E1020" t="s">
        <v>86</v>
      </c>
      <c r="F1020" s="2">
        <v>3.0482999999999998</v>
      </c>
      <c r="G1020">
        <v>60</v>
      </c>
      <c r="H1020" s="2">
        <f>Tabla_Items_Inactivos[[#This Row],[EXISTENCIA]]*Tabla_Items_Inactivos[[#This Row],[COSTO]]</f>
        <v>182.898</v>
      </c>
    </row>
    <row r="1021" spans="1:8">
      <c r="A1021" t="s">
        <v>3300</v>
      </c>
      <c r="B1021" t="s">
        <v>2978</v>
      </c>
      <c r="C1021" t="s">
        <v>4275</v>
      </c>
      <c r="D1021" t="s">
        <v>85</v>
      </c>
      <c r="E1021" t="s">
        <v>86</v>
      </c>
      <c r="F1021" s="2">
        <v>1.9330000000000001</v>
      </c>
      <c r="G1021">
        <v>10</v>
      </c>
      <c r="H1021" s="2">
        <f>Tabla_Items_Inactivos[[#This Row],[EXISTENCIA]]*Tabla_Items_Inactivos[[#This Row],[COSTO]]</f>
        <v>19.330000000000002</v>
      </c>
    </row>
    <row r="1022" spans="1:8">
      <c r="A1022" t="s">
        <v>3301</v>
      </c>
      <c r="B1022" t="s">
        <v>4276</v>
      </c>
      <c r="C1022" t="s">
        <v>4277</v>
      </c>
      <c r="D1022" t="s">
        <v>85</v>
      </c>
      <c r="E1022" t="s">
        <v>86</v>
      </c>
      <c r="F1022" s="2">
        <v>4.7122999999999999</v>
      </c>
      <c r="G1022">
        <v>178</v>
      </c>
      <c r="H1022" s="2">
        <f>Tabla_Items_Inactivos[[#This Row],[EXISTENCIA]]*Tabla_Items_Inactivos[[#This Row],[COSTO]]</f>
        <v>838.7894</v>
      </c>
    </row>
    <row r="1023" spans="1:8">
      <c r="A1023" t="s">
        <v>3300</v>
      </c>
      <c r="B1023" t="s">
        <v>4276</v>
      </c>
      <c r="C1023" t="s">
        <v>4277</v>
      </c>
      <c r="D1023" t="s">
        <v>85</v>
      </c>
      <c r="E1023" t="s">
        <v>86</v>
      </c>
      <c r="F1023" s="2">
        <v>4.7122999999999999</v>
      </c>
      <c r="G1023">
        <v>178</v>
      </c>
      <c r="H1023" s="2">
        <f>Tabla_Items_Inactivos[[#This Row],[EXISTENCIA]]*Tabla_Items_Inactivos[[#This Row],[COSTO]]</f>
        <v>838.7894</v>
      </c>
    </row>
    <row r="1024" spans="1:8">
      <c r="A1024" t="s">
        <v>3300</v>
      </c>
      <c r="B1024" t="s">
        <v>4278</v>
      </c>
      <c r="C1024" t="s">
        <v>4279</v>
      </c>
      <c r="D1024" t="s">
        <v>85</v>
      </c>
      <c r="E1024" t="s">
        <v>86</v>
      </c>
      <c r="F1024" s="2">
        <v>3.1772</v>
      </c>
      <c r="G1024">
        <v>51</v>
      </c>
      <c r="H1024" s="2">
        <f>Tabla_Items_Inactivos[[#This Row],[EXISTENCIA]]*Tabla_Items_Inactivos[[#This Row],[COSTO]]</f>
        <v>162.03720000000001</v>
      </c>
    </row>
    <row r="1025" spans="1:8">
      <c r="A1025" t="s">
        <v>3301</v>
      </c>
      <c r="B1025" t="s">
        <v>4278</v>
      </c>
      <c r="C1025" t="s">
        <v>4279</v>
      </c>
      <c r="D1025" t="s">
        <v>85</v>
      </c>
      <c r="E1025" t="s">
        <v>86</v>
      </c>
      <c r="F1025" s="2">
        <v>3.1772</v>
      </c>
      <c r="G1025">
        <v>51</v>
      </c>
      <c r="H1025" s="2">
        <f>Tabla_Items_Inactivos[[#This Row],[EXISTENCIA]]*Tabla_Items_Inactivos[[#This Row],[COSTO]]</f>
        <v>162.03720000000001</v>
      </c>
    </row>
    <row r="1026" spans="1:8">
      <c r="A1026" t="s">
        <v>3300</v>
      </c>
      <c r="B1026" t="s">
        <v>4280</v>
      </c>
      <c r="C1026" t="s">
        <v>4281</v>
      </c>
      <c r="D1026" t="s">
        <v>85</v>
      </c>
      <c r="E1026" t="s">
        <v>86</v>
      </c>
      <c r="F1026" s="2">
        <v>3.8353999999999999</v>
      </c>
      <c r="G1026">
        <v>64</v>
      </c>
      <c r="H1026" s="2">
        <f>Tabla_Items_Inactivos[[#This Row],[EXISTENCIA]]*Tabla_Items_Inactivos[[#This Row],[COSTO]]</f>
        <v>245.46559999999999</v>
      </c>
    </row>
    <row r="1027" spans="1:8">
      <c r="A1027" t="s">
        <v>3301</v>
      </c>
      <c r="B1027" t="s">
        <v>4280</v>
      </c>
      <c r="C1027" t="s">
        <v>4281</v>
      </c>
      <c r="D1027" t="s">
        <v>85</v>
      </c>
      <c r="E1027" t="s">
        <v>86</v>
      </c>
      <c r="F1027" s="2">
        <v>3.8353999999999999</v>
      </c>
      <c r="G1027">
        <v>64</v>
      </c>
      <c r="H1027" s="2">
        <f>Tabla_Items_Inactivos[[#This Row],[EXISTENCIA]]*Tabla_Items_Inactivos[[#This Row],[COSTO]]</f>
        <v>245.46559999999999</v>
      </c>
    </row>
    <row r="1028" spans="1:8">
      <c r="A1028" t="s">
        <v>3300</v>
      </c>
      <c r="B1028" t="s">
        <v>4282</v>
      </c>
      <c r="C1028" t="s">
        <v>4283</v>
      </c>
      <c r="D1028" t="s">
        <v>85</v>
      </c>
      <c r="E1028" t="s">
        <v>86</v>
      </c>
      <c r="F1028" s="2">
        <v>1.8177000000000001</v>
      </c>
      <c r="G1028">
        <v>73</v>
      </c>
      <c r="H1028" s="2">
        <f>Tabla_Items_Inactivos[[#This Row],[EXISTENCIA]]*Tabla_Items_Inactivos[[#This Row],[COSTO]]</f>
        <v>132.69210000000001</v>
      </c>
    </row>
    <row r="1029" spans="1:8">
      <c r="A1029" t="s">
        <v>3301</v>
      </c>
      <c r="B1029" t="s">
        <v>4282</v>
      </c>
      <c r="C1029" t="s">
        <v>4283</v>
      </c>
      <c r="D1029" t="s">
        <v>85</v>
      </c>
      <c r="E1029" t="s">
        <v>86</v>
      </c>
      <c r="F1029" s="2">
        <v>1.8177000000000001</v>
      </c>
      <c r="G1029">
        <v>73</v>
      </c>
      <c r="H1029" s="2">
        <f>Tabla_Items_Inactivos[[#This Row],[EXISTENCIA]]*Tabla_Items_Inactivos[[#This Row],[COSTO]]</f>
        <v>132.69210000000001</v>
      </c>
    </row>
    <row r="1030" spans="1:8">
      <c r="A1030" t="s">
        <v>3300</v>
      </c>
      <c r="B1030" t="s">
        <v>4284</v>
      </c>
      <c r="C1030" t="s">
        <v>4285</v>
      </c>
      <c r="D1030" t="s">
        <v>219</v>
      </c>
      <c r="E1030" t="s">
        <v>86</v>
      </c>
      <c r="F1030" s="2">
        <v>3.8058000000000001</v>
      </c>
      <c r="G1030">
        <v>36</v>
      </c>
      <c r="H1030" s="2">
        <f>Tabla_Items_Inactivos[[#This Row],[EXISTENCIA]]*Tabla_Items_Inactivos[[#This Row],[COSTO]]</f>
        <v>137.00880000000001</v>
      </c>
    </row>
    <row r="1031" spans="1:8">
      <c r="A1031" t="s">
        <v>3301</v>
      </c>
      <c r="B1031" t="s">
        <v>4284</v>
      </c>
      <c r="C1031" t="s">
        <v>4285</v>
      </c>
      <c r="D1031" t="s">
        <v>219</v>
      </c>
      <c r="E1031" t="s">
        <v>86</v>
      </c>
      <c r="F1031" s="2">
        <v>3.8058000000000001</v>
      </c>
      <c r="G1031">
        <v>36</v>
      </c>
      <c r="H1031" s="2">
        <f>Tabla_Items_Inactivos[[#This Row],[EXISTENCIA]]*Tabla_Items_Inactivos[[#This Row],[COSTO]]</f>
        <v>137.00880000000001</v>
      </c>
    </row>
    <row r="1032" spans="1:8">
      <c r="A1032" t="s">
        <v>3300</v>
      </c>
      <c r="B1032" t="s">
        <v>2979</v>
      </c>
      <c r="C1032" t="s">
        <v>2980</v>
      </c>
      <c r="D1032" t="s">
        <v>223</v>
      </c>
      <c r="E1032" t="s">
        <v>86</v>
      </c>
      <c r="F1032" s="2">
        <v>65.822999999999993</v>
      </c>
      <c r="G1032">
        <v>2</v>
      </c>
      <c r="H1032" s="2">
        <f>Tabla_Items_Inactivos[[#This Row],[EXISTENCIA]]*Tabla_Items_Inactivos[[#This Row],[COSTO]]</f>
        <v>131.64599999999999</v>
      </c>
    </row>
    <row r="1033" spans="1:8">
      <c r="A1033" t="s">
        <v>3300</v>
      </c>
      <c r="B1033" t="s">
        <v>2981</v>
      </c>
      <c r="C1033" t="s">
        <v>2982</v>
      </c>
      <c r="D1033" t="s">
        <v>85</v>
      </c>
      <c r="E1033" t="s">
        <v>86</v>
      </c>
      <c r="F1033" s="2">
        <v>34.627099999999999</v>
      </c>
      <c r="G1033">
        <v>8</v>
      </c>
      <c r="H1033" s="2">
        <f>Tabla_Items_Inactivos[[#This Row],[EXISTENCIA]]*Tabla_Items_Inactivos[[#This Row],[COSTO]]</f>
        <v>277.01679999999999</v>
      </c>
    </row>
    <row r="1034" spans="1:8">
      <c r="A1034" t="s">
        <v>3300</v>
      </c>
      <c r="B1034" t="s">
        <v>4286</v>
      </c>
      <c r="C1034" t="s">
        <v>4287</v>
      </c>
      <c r="D1034" t="s">
        <v>3482</v>
      </c>
      <c r="E1034" t="s">
        <v>86</v>
      </c>
      <c r="F1034" s="2">
        <v>0.1</v>
      </c>
      <c r="G1034">
        <v>2</v>
      </c>
      <c r="H1034" s="2">
        <f>Tabla_Items_Inactivos[[#This Row],[EXISTENCIA]]*Tabla_Items_Inactivos[[#This Row],[COSTO]]</f>
        <v>0.2</v>
      </c>
    </row>
    <row r="1035" spans="1:8">
      <c r="A1035" t="s">
        <v>3300</v>
      </c>
      <c r="B1035" t="s">
        <v>2983</v>
      </c>
      <c r="C1035" t="s">
        <v>2984</v>
      </c>
      <c r="D1035" t="s">
        <v>85</v>
      </c>
      <c r="E1035" t="s">
        <v>86</v>
      </c>
      <c r="F1035" s="2">
        <v>37.878</v>
      </c>
      <c r="G1035">
        <v>5</v>
      </c>
      <c r="H1035" s="2">
        <f>Tabla_Items_Inactivos[[#This Row],[EXISTENCIA]]*Tabla_Items_Inactivos[[#This Row],[COSTO]]</f>
        <v>189.39</v>
      </c>
    </row>
    <row r="1036" spans="1:8">
      <c r="A1036" t="s">
        <v>3300</v>
      </c>
      <c r="B1036" t="s">
        <v>2985</v>
      </c>
      <c r="C1036" t="s">
        <v>2986</v>
      </c>
      <c r="D1036" t="s">
        <v>85</v>
      </c>
      <c r="E1036" t="s">
        <v>86</v>
      </c>
      <c r="F1036" s="2">
        <v>40.931199999999997</v>
      </c>
      <c r="G1036">
        <v>2</v>
      </c>
      <c r="H1036" s="2">
        <f>Tabla_Items_Inactivos[[#This Row],[EXISTENCIA]]*Tabla_Items_Inactivos[[#This Row],[COSTO]]</f>
        <v>81.862399999999994</v>
      </c>
    </row>
    <row r="1037" spans="1:8">
      <c r="A1037" t="s">
        <v>3300</v>
      </c>
      <c r="B1037" t="s">
        <v>4288</v>
      </c>
      <c r="C1037" t="s">
        <v>4289</v>
      </c>
      <c r="D1037" t="s">
        <v>219</v>
      </c>
      <c r="E1037" t="s">
        <v>86</v>
      </c>
      <c r="F1037" s="2">
        <v>65.52</v>
      </c>
      <c r="G1037">
        <v>2</v>
      </c>
      <c r="H1037" s="2">
        <f>Tabla_Items_Inactivos[[#This Row],[EXISTENCIA]]*Tabla_Items_Inactivos[[#This Row],[COSTO]]</f>
        <v>131.04</v>
      </c>
    </row>
    <row r="1038" spans="1:8">
      <c r="A1038" t="s">
        <v>3300</v>
      </c>
      <c r="B1038" t="s">
        <v>407</v>
      </c>
      <c r="C1038" t="s">
        <v>4290</v>
      </c>
      <c r="D1038" t="s">
        <v>219</v>
      </c>
      <c r="E1038" t="s">
        <v>86</v>
      </c>
      <c r="F1038" s="2">
        <v>30.379799999999999</v>
      </c>
      <c r="G1038">
        <v>13</v>
      </c>
      <c r="H1038" s="2">
        <f>Tabla_Items_Inactivos[[#This Row],[EXISTENCIA]]*Tabla_Items_Inactivos[[#This Row],[COSTO]]</f>
        <v>394.93739999999997</v>
      </c>
    </row>
    <row r="1039" spans="1:8">
      <c r="A1039" t="s">
        <v>3300</v>
      </c>
      <c r="B1039" t="s">
        <v>4291</v>
      </c>
      <c r="C1039" t="s">
        <v>4292</v>
      </c>
      <c r="D1039" t="s">
        <v>219</v>
      </c>
      <c r="E1039" t="s">
        <v>86</v>
      </c>
      <c r="F1039" s="2">
        <v>45.08</v>
      </c>
      <c r="G1039">
        <v>1</v>
      </c>
      <c r="H1039" s="2">
        <f>Tabla_Items_Inactivos[[#This Row],[EXISTENCIA]]*Tabla_Items_Inactivos[[#This Row],[COSTO]]</f>
        <v>45.08</v>
      </c>
    </row>
    <row r="1040" spans="1:8">
      <c r="A1040" t="s">
        <v>3300</v>
      </c>
      <c r="B1040" t="s">
        <v>408</v>
      </c>
      <c r="C1040" t="s">
        <v>409</v>
      </c>
      <c r="D1040" t="s">
        <v>410</v>
      </c>
      <c r="E1040" t="s">
        <v>86</v>
      </c>
      <c r="F1040" s="2">
        <v>41.63</v>
      </c>
      <c r="G1040">
        <v>2</v>
      </c>
      <c r="H1040" s="2">
        <f>Tabla_Items_Inactivos[[#This Row],[EXISTENCIA]]*Tabla_Items_Inactivos[[#This Row],[COSTO]]</f>
        <v>83.26</v>
      </c>
    </row>
    <row r="1041" spans="1:8">
      <c r="A1041" t="s">
        <v>3300</v>
      </c>
      <c r="B1041" t="s">
        <v>2987</v>
      </c>
      <c r="C1041" t="s">
        <v>2988</v>
      </c>
      <c r="D1041" t="s">
        <v>85</v>
      </c>
      <c r="E1041" t="s">
        <v>86</v>
      </c>
      <c r="F1041" s="2">
        <v>28.8371</v>
      </c>
      <c r="G1041">
        <v>2</v>
      </c>
      <c r="H1041" s="2">
        <f>Tabla_Items_Inactivos[[#This Row],[EXISTENCIA]]*Tabla_Items_Inactivos[[#This Row],[COSTO]]</f>
        <v>57.674199999999999</v>
      </c>
    </row>
    <row r="1042" spans="1:8">
      <c r="A1042" t="s">
        <v>3301</v>
      </c>
      <c r="B1042" t="s">
        <v>2987</v>
      </c>
      <c r="C1042" t="s">
        <v>2988</v>
      </c>
      <c r="D1042" t="s">
        <v>85</v>
      </c>
      <c r="E1042" t="s">
        <v>86</v>
      </c>
      <c r="F1042" s="2">
        <v>28.8371</v>
      </c>
      <c r="G1042">
        <v>2</v>
      </c>
      <c r="H1042" s="2">
        <f>Tabla_Items_Inactivos[[#This Row],[EXISTENCIA]]*Tabla_Items_Inactivos[[#This Row],[COSTO]]</f>
        <v>57.674199999999999</v>
      </c>
    </row>
    <row r="1043" spans="1:8">
      <c r="A1043" t="s">
        <v>3300</v>
      </c>
      <c r="B1043" t="s">
        <v>2989</v>
      </c>
      <c r="C1043" t="s">
        <v>2450</v>
      </c>
      <c r="D1043" t="s">
        <v>85</v>
      </c>
      <c r="E1043" t="s">
        <v>86</v>
      </c>
      <c r="F1043" s="2">
        <v>21.777999999999999</v>
      </c>
      <c r="G1043">
        <v>8</v>
      </c>
      <c r="H1043" s="2">
        <f>Tabla_Items_Inactivos[[#This Row],[EXISTENCIA]]*Tabla_Items_Inactivos[[#This Row],[COSTO]]</f>
        <v>174.22399999999999</v>
      </c>
    </row>
    <row r="1044" spans="1:8">
      <c r="A1044" t="s">
        <v>3301</v>
      </c>
      <c r="B1044" t="s">
        <v>4293</v>
      </c>
      <c r="C1044" t="s">
        <v>4294</v>
      </c>
      <c r="D1044" t="s">
        <v>85</v>
      </c>
      <c r="E1044" t="s">
        <v>86</v>
      </c>
      <c r="F1044" s="2">
        <v>35.266100000000002</v>
      </c>
      <c r="G1044">
        <v>8</v>
      </c>
      <c r="H1044" s="2">
        <f>Tabla_Items_Inactivos[[#This Row],[EXISTENCIA]]*Tabla_Items_Inactivos[[#This Row],[COSTO]]</f>
        <v>282.12880000000001</v>
      </c>
    </row>
    <row r="1045" spans="1:8">
      <c r="A1045" t="s">
        <v>3300</v>
      </c>
      <c r="B1045" t="s">
        <v>4293</v>
      </c>
      <c r="C1045" t="s">
        <v>4294</v>
      </c>
      <c r="D1045" t="s">
        <v>85</v>
      </c>
      <c r="E1045" t="s">
        <v>86</v>
      </c>
      <c r="F1045" s="2">
        <v>35.266100000000002</v>
      </c>
      <c r="G1045">
        <v>8</v>
      </c>
      <c r="H1045" s="2">
        <f>Tabla_Items_Inactivos[[#This Row],[EXISTENCIA]]*Tabla_Items_Inactivos[[#This Row],[COSTO]]</f>
        <v>282.12880000000001</v>
      </c>
    </row>
    <row r="1046" spans="1:8">
      <c r="A1046" t="s">
        <v>3300</v>
      </c>
      <c r="B1046" t="s">
        <v>4295</v>
      </c>
      <c r="C1046" t="s">
        <v>4296</v>
      </c>
      <c r="D1046" t="s">
        <v>85</v>
      </c>
      <c r="E1046" t="s">
        <v>86</v>
      </c>
      <c r="F1046" s="2">
        <v>42.89</v>
      </c>
      <c r="G1046">
        <v>2</v>
      </c>
      <c r="H1046" s="2">
        <f>Tabla_Items_Inactivos[[#This Row],[EXISTENCIA]]*Tabla_Items_Inactivos[[#This Row],[COSTO]]</f>
        <v>85.78</v>
      </c>
    </row>
    <row r="1047" spans="1:8">
      <c r="A1047" t="s">
        <v>3300</v>
      </c>
      <c r="B1047" t="s">
        <v>4297</v>
      </c>
      <c r="C1047" t="s">
        <v>2449</v>
      </c>
      <c r="D1047" t="s">
        <v>85</v>
      </c>
      <c r="E1047" t="s">
        <v>86</v>
      </c>
      <c r="F1047" s="2">
        <v>26.114899999999999</v>
      </c>
      <c r="G1047">
        <v>6</v>
      </c>
      <c r="H1047" s="2">
        <f>Tabla_Items_Inactivos[[#This Row],[EXISTENCIA]]*Tabla_Items_Inactivos[[#This Row],[COSTO]]</f>
        <v>156.68939999999998</v>
      </c>
    </row>
    <row r="1048" spans="1:8">
      <c r="A1048" t="s">
        <v>3300</v>
      </c>
      <c r="B1048" t="s">
        <v>411</v>
      </c>
      <c r="C1048" t="s">
        <v>412</v>
      </c>
      <c r="D1048" t="s">
        <v>219</v>
      </c>
      <c r="E1048" t="s">
        <v>86</v>
      </c>
      <c r="F1048" s="2">
        <v>54.784999999999997</v>
      </c>
      <c r="G1048">
        <v>1</v>
      </c>
      <c r="H1048" s="2">
        <f>Tabla_Items_Inactivos[[#This Row],[EXISTENCIA]]*Tabla_Items_Inactivos[[#This Row],[COSTO]]</f>
        <v>54.784999999999997</v>
      </c>
    </row>
    <row r="1049" spans="1:8">
      <c r="A1049" t="s">
        <v>3300</v>
      </c>
      <c r="B1049" t="s">
        <v>4298</v>
      </c>
      <c r="C1049" t="s">
        <v>4299</v>
      </c>
      <c r="D1049" t="s">
        <v>219</v>
      </c>
      <c r="E1049" t="s">
        <v>86</v>
      </c>
      <c r="F1049" s="2">
        <v>78.111999999999995</v>
      </c>
      <c r="G1049">
        <v>1</v>
      </c>
      <c r="H1049" s="2">
        <f>Tabla_Items_Inactivos[[#This Row],[EXISTENCIA]]*Tabla_Items_Inactivos[[#This Row],[COSTO]]</f>
        <v>78.111999999999995</v>
      </c>
    </row>
    <row r="1050" spans="1:8">
      <c r="A1050" t="s">
        <v>3300</v>
      </c>
      <c r="B1050" t="s">
        <v>2990</v>
      </c>
      <c r="C1050" t="s">
        <v>412</v>
      </c>
      <c r="D1050" t="s">
        <v>219</v>
      </c>
      <c r="E1050" t="s">
        <v>86</v>
      </c>
      <c r="F1050" s="2">
        <v>88.003299999999996</v>
      </c>
      <c r="G1050">
        <v>2</v>
      </c>
      <c r="H1050" s="2">
        <f>Tabla_Items_Inactivos[[#This Row],[EXISTENCIA]]*Tabla_Items_Inactivos[[#This Row],[COSTO]]</f>
        <v>176.00659999999999</v>
      </c>
    </row>
    <row r="1051" spans="1:8">
      <c r="A1051" t="s">
        <v>3300</v>
      </c>
      <c r="B1051" t="s">
        <v>4300</v>
      </c>
      <c r="C1051" t="s">
        <v>4301</v>
      </c>
      <c r="D1051" t="s">
        <v>85</v>
      </c>
      <c r="E1051" t="s">
        <v>86</v>
      </c>
      <c r="F1051" s="2">
        <v>57.16</v>
      </c>
      <c r="G1051">
        <v>4</v>
      </c>
      <c r="H1051" s="2">
        <f>Tabla_Items_Inactivos[[#This Row],[EXISTENCIA]]*Tabla_Items_Inactivos[[#This Row],[COSTO]]</f>
        <v>228.64</v>
      </c>
    </row>
    <row r="1052" spans="1:8">
      <c r="A1052" t="s">
        <v>3300</v>
      </c>
      <c r="B1052" t="s">
        <v>4302</v>
      </c>
      <c r="C1052" t="s">
        <v>4303</v>
      </c>
      <c r="D1052" t="s">
        <v>219</v>
      </c>
      <c r="E1052" t="s">
        <v>86</v>
      </c>
      <c r="F1052" s="2">
        <v>42.213299999999997</v>
      </c>
      <c r="G1052">
        <v>2</v>
      </c>
      <c r="H1052" s="2">
        <f>Tabla_Items_Inactivos[[#This Row],[EXISTENCIA]]*Tabla_Items_Inactivos[[#This Row],[COSTO]]</f>
        <v>84.426599999999993</v>
      </c>
    </row>
    <row r="1053" spans="1:8">
      <c r="A1053" t="s">
        <v>3300</v>
      </c>
      <c r="B1053" t="s">
        <v>4304</v>
      </c>
      <c r="C1053" t="s">
        <v>4305</v>
      </c>
      <c r="D1053" t="s">
        <v>85</v>
      </c>
      <c r="E1053" t="s">
        <v>86</v>
      </c>
      <c r="F1053" s="2">
        <v>14.273</v>
      </c>
      <c r="G1053">
        <v>19</v>
      </c>
      <c r="H1053" s="2">
        <f>Tabla_Items_Inactivos[[#This Row],[EXISTENCIA]]*Tabla_Items_Inactivos[[#This Row],[COSTO]]</f>
        <v>271.18700000000001</v>
      </c>
    </row>
    <row r="1054" spans="1:8">
      <c r="A1054" t="s">
        <v>3300</v>
      </c>
      <c r="B1054" t="s">
        <v>4306</v>
      </c>
      <c r="C1054" t="s">
        <v>413</v>
      </c>
      <c r="D1054" t="s">
        <v>85</v>
      </c>
      <c r="E1054" t="s">
        <v>86</v>
      </c>
      <c r="F1054" s="2">
        <v>6.8</v>
      </c>
      <c r="G1054">
        <v>2</v>
      </c>
      <c r="H1054" s="2">
        <f>Tabla_Items_Inactivos[[#This Row],[EXISTENCIA]]*Tabla_Items_Inactivos[[#This Row],[COSTO]]</f>
        <v>13.6</v>
      </c>
    </row>
    <row r="1055" spans="1:8">
      <c r="A1055" t="s">
        <v>3300</v>
      </c>
      <c r="B1055" t="s">
        <v>4307</v>
      </c>
      <c r="C1055" t="s">
        <v>2327</v>
      </c>
      <c r="D1055" t="s">
        <v>219</v>
      </c>
      <c r="E1055" t="s">
        <v>86</v>
      </c>
      <c r="F1055" s="2">
        <v>9.7899999999999991</v>
      </c>
      <c r="G1055">
        <v>1</v>
      </c>
      <c r="H1055" s="2">
        <f>Tabla_Items_Inactivos[[#This Row],[EXISTENCIA]]*Tabla_Items_Inactivos[[#This Row],[COSTO]]</f>
        <v>9.7899999999999991</v>
      </c>
    </row>
    <row r="1056" spans="1:8">
      <c r="A1056" t="s">
        <v>3300</v>
      </c>
      <c r="B1056" t="s">
        <v>4308</v>
      </c>
      <c r="C1056" t="s">
        <v>4309</v>
      </c>
      <c r="D1056" t="s">
        <v>85</v>
      </c>
      <c r="E1056" t="s">
        <v>86</v>
      </c>
      <c r="F1056" s="2">
        <v>10.28</v>
      </c>
      <c r="G1056">
        <v>1</v>
      </c>
      <c r="H1056" s="2">
        <f>Tabla_Items_Inactivos[[#This Row],[EXISTENCIA]]*Tabla_Items_Inactivos[[#This Row],[COSTO]]</f>
        <v>10.28</v>
      </c>
    </row>
    <row r="1057" spans="1:8">
      <c r="A1057" t="s">
        <v>3300</v>
      </c>
      <c r="B1057" t="s">
        <v>4310</v>
      </c>
      <c r="C1057" t="s">
        <v>4311</v>
      </c>
      <c r="D1057" t="s">
        <v>85</v>
      </c>
      <c r="E1057" t="s">
        <v>86</v>
      </c>
      <c r="F1057" s="2">
        <v>6.98</v>
      </c>
      <c r="G1057">
        <v>1</v>
      </c>
      <c r="H1057" s="2">
        <f>Tabla_Items_Inactivos[[#This Row],[EXISTENCIA]]*Tabla_Items_Inactivos[[#This Row],[COSTO]]</f>
        <v>6.98</v>
      </c>
    </row>
    <row r="1058" spans="1:8">
      <c r="A1058" t="s">
        <v>3300</v>
      </c>
      <c r="B1058" t="s">
        <v>4312</v>
      </c>
      <c r="C1058" t="s">
        <v>4313</v>
      </c>
      <c r="D1058" t="s">
        <v>85</v>
      </c>
      <c r="E1058" t="s">
        <v>86</v>
      </c>
      <c r="F1058" s="2">
        <v>0</v>
      </c>
      <c r="G1058">
        <v>1</v>
      </c>
      <c r="H1058" s="2">
        <f>Tabla_Items_Inactivos[[#This Row],[EXISTENCIA]]*Tabla_Items_Inactivos[[#This Row],[COSTO]]</f>
        <v>0</v>
      </c>
    </row>
    <row r="1059" spans="1:8">
      <c r="A1059" t="s">
        <v>3300</v>
      </c>
      <c r="B1059" t="s">
        <v>2991</v>
      </c>
      <c r="C1059" t="s">
        <v>4314</v>
      </c>
      <c r="D1059" t="s">
        <v>85</v>
      </c>
      <c r="E1059" t="s">
        <v>86</v>
      </c>
      <c r="F1059" s="2">
        <v>14.105</v>
      </c>
      <c r="G1059">
        <v>1</v>
      </c>
      <c r="H1059" s="2">
        <f>Tabla_Items_Inactivos[[#This Row],[EXISTENCIA]]*Tabla_Items_Inactivos[[#This Row],[COSTO]]</f>
        <v>14.105</v>
      </c>
    </row>
    <row r="1060" spans="1:8">
      <c r="A1060" t="s">
        <v>3300</v>
      </c>
      <c r="B1060" t="s">
        <v>4315</v>
      </c>
      <c r="C1060" t="s">
        <v>2440</v>
      </c>
      <c r="D1060" t="s">
        <v>85</v>
      </c>
      <c r="E1060" t="s">
        <v>86</v>
      </c>
      <c r="F1060" s="2">
        <v>4.2549999999999999</v>
      </c>
      <c r="G1060">
        <v>2</v>
      </c>
      <c r="H1060" s="2">
        <f>Tabla_Items_Inactivos[[#This Row],[EXISTENCIA]]*Tabla_Items_Inactivos[[#This Row],[COSTO]]</f>
        <v>8.51</v>
      </c>
    </row>
    <row r="1061" spans="1:8">
      <c r="A1061" t="s">
        <v>3300</v>
      </c>
      <c r="B1061" t="s">
        <v>4316</v>
      </c>
      <c r="C1061" t="s">
        <v>4317</v>
      </c>
      <c r="D1061" t="s">
        <v>85</v>
      </c>
      <c r="E1061" t="s">
        <v>86</v>
      </c>
      <c r="F1061" s="2">
        <v>4.5747</v>
      </c>
      <c r="G1061">
        <v>7</v>
      </c>
      <c r="H1061" s="2">
        <f>Tabla_Items_Inactivos[[#This Row],[EXISTENCIA]]*Tabla_Items_Inactivos[[#This Row],[COSTO]]</f>
        <v>32.0229</v>
      </c>
    </row>
    <row r="1062" spans="1:8">
      <c r="A1062" t="s">
        <v>3301</v>
      </c>
      <c r="B1062" t="s">
        <v>4316</v>
      </c>
      <c r="C1062" t="s">
        <v>4317</v>
      </c>
      <c r="D1062" t="s">
        <v>85</v>
      </c>
      <c r="E1062" t="s">
        <v>86</v>
      </c>
      <c r="F1062" s="2">
        <v>4.5747</v>
      </c>
      <c r="G1062">
        <v>7</v>
      </c>
      <c r="H1062" s="2">
        <f>Tabla_Items_Inactivos[[#This Row],[EXISTENCIA]]*Tabla_Items_Inactivos[[#This Row],[COSTO]]</f>
        <v>32.0229</v>
      </c>
    </row>
    <row r="1063" spans="1:8">
      <c r="A1063" t="s">
        <v>3300</v>
      </c>
      <c r="B1063" t="s">
        <v>2992</v>
      </c>
      <c r="C1063" t="s">
        <v>2993</v>
      </c>
      <c r="D1063" t="s">
        <v>85</v>
      </c>
      <c r="E1063" t="s">
        <v>86</v>
      </c>
      <c r="F1063" s="2">
        <v>4.8019999999999996</v>
      </c>
      <c r="G1063">
        <v>14</v>
      </c>
      <c r="H1063" s="2">
        <f>Tabla_Items_Inactivos[[#This Row],[EXISTENCIA]]*Tabla_Items_Inactivos[[#This Row],[COSTO]]</f>
        <v>67.227999999999994</v>
      </c>
    </row>
    <row r="1064" spans="1:8">
      <c r="A1064" t="s">
        <v>3300</v>
      </c>
      <c r="B1064" t="s">
        <v>2994</v>
      </c>
      <c r="C1064" t="s">
        <v>2995</v>
      </c>
      <c r="D1064" t="s">
        <v>85</v>
      </c>
      <c r="E1064" t="s">
        <v>86</v>
      </c>
      <c r="F1064" s="2">
        <v>15.22</v>
      </c>
      <c r="G1064">
        <v>2</v>
      </c>
      <c r="H1064" s="2">
        <f>Tabla_Items_Inactivos[[#This Row],[EXISTENCIA]]*Tabla_Items_Inactivos[[#This Row],[COSTO]]</f>
        <v>30.44</v>
      </c>
    </row>
    <row r="1065" spans="1:8">
      <c r="A1065" t="s">
        <v>3300</v>
      </c>
      <c r="B1065" t="s">
        <v>2996</v>
      </c>
      <c r="C1065" t="s">
        <v>2997</v>
      </c>
      <c r="D1065" t="s">
        <v>85</v>
      </c>
      <c r="E1065" t="s">
        <v>86</v>
      </c>
      <c r="F1065" s="2">
        <v>4.1898999999999997</v>
      </c>
      <c r="G1065">
        <v>7</v>
      </c>
      <c r="H1065" s="2">
        <f>Tabla_Items_Inactivos[[#This Row],[EXISTENCIA]]*Tabla_Items_Inactivos[[#This Row],[COSTO]]</f>
        <v>29.329299999999996</v>
      </c>
    </row>
    <row r="1066" spans="1:8">
      <c r="A1066" t="s">
        <v>3300</v>
      </c>
      <c r="B1066" t="s">
        <v>4318</v>
      </c>
      <c r="C1066" t="s">
        <v>3234</v>
      </c>
      <c r="D1066" t="s">
        <v>85</v>
      </c>
      <c r="E1066" t="s">
        <v>86</v>
      </c>
      <c r="F1066" s="2">
        <v>2.306</v>
      </c>
      <c r="G1066">
        <v>23</v>
      </c>
      <c r="H1066" s="2">
        <f>Tabla_Items_Inactivos[[#This Row],[EXISTENCIA]]*Tabla_Items_Inactivos[[#This Row],[COSTO]]</f>
        <v>53.038000000000004</v>
      </c>
    </row>
    <row r="1067" spans="1:8">
      <c r="A1067" t="s">
        <v>3300</v>
      </c>
      <c r="B1067" t="s">
        <v>4319</v>
      </c>
      <c r="C1067" t="s">
        <v>4320</v>
      </c>
      <c r="D1067" t="s">
        <v>98</v>
      </c>
      <c r="E1067" t="s">
        <v>86</v>
      </c>
      <c r="F1067" s="2">
        <v>2.61</v>
      </c>
      <c r="G1067">
        <v>8</v>
      </c>
      <c r="H1067" s="2">
        <f>Tabla_Items_Inactivos[[#This Row],[EXISTENCIA]]*Tabla_Items_Inactivos[[#This Row],[COSTO]]</f>
        <v>20.88</v>
      </c>
    </row>
    <row r="1068" spans="1:8">
      <c r="A1068" t="s">
        <v>3300</v>
      </c>
      <c r="B1068" t="s">
        <v>414</v>
      </c>
      <c r="C1068" t="s">
        <v>415</v>
      </c>
      <c r="D1068" t="s">
        <v>85</v>
      </c>
      <c r="E1068" t="s">
        <v>86</v>
      </c>
      <c r="F1068" s="2">
        <v>4.2880000000000003</v>
      </c>
      <c r="G1068">
        <v>4</v>
      </c>
      <c r="H1068" s="2">
        <f>Tabla_Items_Inactivos[[#This Row],[EXISTENCIA]]*Tabla_Items_Inactivos[[#This Row],[COSTO]]</f>
        <v>17.152000000000001</v>
      </c>
    </row>
    <row r="1069" spans="1:8">
      <c r="A1069" t="s">
        <v>3300</v>
      </c>
      <c r="B1069" t="s">
        <v>2998</v>
      </c>
      <c r="C1069" t="s">
        <v>4321</v>
      </c>
      <c r="D1069" t="s">
        <v>85</v>
      </c>
      <c r="E1069" t="s">
        <v>86</v>
      </c>
      <c r="F1069" s="2">
        <v>4.2803000000000004</v>
      </c>
      <c r="G1069">
        <v>34</v>
      </c>
      <c r="H1069" s="2">
        <f>Tabla_Items_Inactivos[[#This Row],[EXISTENCIA]]*Tabla_Items_Inactivos[[#This Row],[COSTO]]</f>
        <v>145.53020000000001</v>
      </c>
    </row>
    <row r="1070" spans="1:8">
      <c r="A1070" t="s">
        <v>3300</v>
      </c>
      <c r="B1070" t="s">
        <v>4322</v>
      </c>
      <c r="C1070" t="s">
        <v>4323</v>
      </c>
      <c r="D1070" t="s">
        <v>85</v>
      </c>
      <c r="E1070" t="s">
        <v>86</v>
      </c>
      <c r="F1070" s="2">
        <v>5.4518000000000004</v>
      </c>
      <c r="G1070">
        <v>18</v>
      </c>
      <c r="H1070" s="2">
        <f>Tabla_Items_Inactivos[[#This Row],[EXISTENCIA]]*Tabla_Items_Inactivos[[#This Row],[COSTO]]</f>
        <v>98.132400000000004</v>
      </c>
    </row>
    <row r="1071" spans="1:8">
      <c r="A1071" t="s">
        <v>3301</v>
      </c>
      <c r="B1071" t="s">
        <v>4322</v>
      </c>
      <c r="C1071" t="s">
        <v>4323</v>
      </c>
      <c r="D1071" t="s">
        <v>85</v>
      </c>
      <c r="E1071" t="s">
        <v>86</v>
      </c>
      <c r="F1071" s="2">
        <v>5.4518000000000004</v>
      </c>
      <c r="G1071">
        <v>18</v>
      </c>
      <c r="H1071" s="2">
        <f>Tabla_Items_Inactivos[[#This Row],[EXISTENCIA]]*Tabla_Items_Inactivos[[#This Row],[COSTO]]</f>
        <v>98.132400000000004</v>
      </c>
    </row>
    <row r="1072" spans="1:8">
      <c r="A1072" t="s">
        <v>3300</v>
      </c>
      <c r="B1072" t="s">
        <v>4324</v>
      </c>
      <c r="C1072" t="s">
        <v>4325</v>
      </c>
      <c r="D1072" t="s">
        <v>219</v>
      </c>
      <c r="E1072" t="s">
        <v>86</v>
      </c>
      <c r="F1072" s="2">
        <v>3.32</v>
      </c>
      <c r="G1072">
        <v>2</v>
      </c>
      <c r="H1072" s="2">
        <f>Tabla_Items_Inactivos[[#This Row],[EXISTENCIA]]*Tabla_Items_Inactivos[[#This Row],[COSTO]]</f>
        <v>6.64</v>
      </c>
    </row>
    <row r="1073" spans="1:8">
      <c r="A1073" t="s">
        <v>3300</v>
      </c>
      <c r="B1073" t="s">
        <v>4326</v>
      </c>
      <c r="C1073" t="s">
        <v>2157</v>
      </c>
      <c r="D1073" t="s">
        <v>85</v>
      </c>
      <c r="E1073" t="s">
        <v>86</v>
      </c>
      <c r="F1073" s="2">
        <v>1.093</v>
      </c>
      <c r="G1073">
        <v>10</v>
      </c>
      <c r="H1073" s="2">
        <f>Tabla_Items_Inactivos[[#This Row],[EXISTENCIA]]*Tabla_Items_Inactivos[[#This Row],[COSTO]]</f>
        <v>10.93</v>
      </c>
    </row>
    <row r="1074" spans="1:8">
      <c r="A1074" t="s">
        <v>3300</v>
      </c>
      <c r="B1074" t="s">
        <v>2999</v>
      </c>
      <c r="C1074" t="s">
        <v>3000</v>
      </c>
      <c r="D1074" t="s">
        <v>219</v>
      </c>
      <c r="E1074" t="s">
        <v>86</v>
      </c>
      <c r="F1074" s="2">
        <v>6.6391999999999998</v>
      </c>
      <c r="G1074">
        <v>12</v>
      </c>
      <c r="H1074" s="2">
        <f>Tabla_Items_Inactivos[[#This Row],[EXISTENCIA]]*Tabla_Items_Inactivos[[#This Row],[COSTO]]</f>
        <v>79.670400000000001</v>
      </c>
    </row>
    <row r="1075" spans="1:8">
      <c r="A1075" t="s">
        <v>3300</v>
      </c>
      <c r="B1075" t="s">
        <v>4327</v>
      </c>
      <c r="C1075" t="s">
        <v>4328</v>
      </c>
      <c r="D1075" t="s">
        <v>219</v>
      </c>
      <c r="E1075" t="s">
        <v>86</v>
      </c>
      <c r="F1075" s="2">
        <v>6.06</v>
      </c>
      <c r="G1075">
        <v>4</v>
      </c>
      <c r="H1075" s="2">
        <f>Tabla_Items_Inactivos[[#This Row],[EXISTENCIA]]*Tabla_Items_Inactivos[[#This Row],[COSTO]]</f>
        <v>24.24</v>
      </c>
    </row>
    <row r="1076" spans="1:8">
      <c r="A1076" t="s">
        <v>3300</v>
      </c>
      <c r="B1076" t="s">
        <v>4329</v>
      </c>
      <c r="C1076" t="s">
        <v>4330</v>
      </c>
      <c r="D1076" t="s">
        <v>219</v>
      </c>
      <c r="E1076" t="s">
        <v>86</v>
      </c>
      <c r="F1076" s="2">
        <v>6.83</v>
      </c>
      <c r="G1076">
        <v>4</v>
      </c>
      <c r="H1076" s="2">
        <f>Tabla_Items_Inactivos[[#This Row],[EXISTENCIA]]*Tabla_Items_Inactivos[[#This Row],[COSTO]]</f>
        <v>27.32</v>
      </c>
    </row>
    <row r="1077" spans="1:8">
      <c r="A1077" t="s">
        <v>3300</v>
      </c>
      <c r="B1077" t="s">
        <v>4331</v>
      </c>
      <c r="C1077" t="s">
        <v>2313</v>
      </c>
      <c r="D1077" t="s">
        <v>219</v>
      </c>
      <c r="E1077" t="s">
        <v>86</v>
      </c>
      <c r="F1077" s="2">
        <v>4.0330000000000004</v>
      </c>
      <c r="G1077">
        <v>3</v>
      </c>
      <c r="H1077" s="2">
        <f>Tabla_Items_Inactivos[[#This Row],[EXISTENCIA]]*Tabla_Items_Inactivos[[#This Row],[COSTO]]</f>
        <v>12.099</v>
      </c>
    </row>
    <row r="1078" spans="1:8">
      <c r="A1078" t="s">
        <v>3300</v>
      </c>
      <c r="B1078" t="s">
        <v>4332</v>
      </c>
      <c r="C1078" t="s">
        <v>4333</v>
      </c>
      <c r="D1078" t="s">
        <v>85</v>
      </c>
      <c r="E1078" t="s">
        <v>86</v>
      </c>
      <c r="F1078" s="2">
        <v>4.9513999999999996</v>
      </c>
      <c r="G1078">
        <v>19</v>
      </c>
      <c r="H1078" s="2">
        <f>Tabla_Items_Inactivos[[#This Row],[EXISTENCIA]]*Tabla_Items_Inactivos[[#This Row],[COSTO]]</f>
        <v>94.076599999999985</v>
      </c>
    </row>
    <row r="1079" spans="1:8">
      <c r="A1079" t="s">
        <v>3301</v>
      </c>
      <c r="B1079" t="s">
        <v>4332</v>
      </c>
      <c r="C1079" t="s">
        <v>4333</v>
      </c>
      <c r="D1079" t="s">
        <v>85</v>
      </c>
      <c r="E1079" t="s">
        <v>86</v>
      </c>
      <c r="F1079" s="2">
        <v>4.9513999999999996</v>
      </c>
      <c r="G1079">
        <v>19</v>
      </c>
      <c r="H1079" s="2">
        <f>Tabla_Items_Inactivos[[#This Row],[EXISTENCIA]]*Tabla_Items_Inactivos[[#This Row],[COSTO]]</f>
        <v>94.076599999999985</v>
      </c>
    </row>
    <row r="1080" spans="1:8">
      <c r="A1080" t="s">
        <v>3300</v>
      </c>
      <c r="B1080" t="s">
        <v>4334</v>
      </c>
      <c r="C1080" t="s">
        <v>4335</v>
      </c>
      <c r="D1080" t="s">
        <v>219</v>
      </c>
      <c r="E1080" t="s">
        <v>86</v>
      </c>
      <c r="F1080" s="2">
        <v>2.4500000000000002</v>
      </c>
      <c r="G1080">
        <v>3</v>
      </c>
      <c r="H1080" s="2">
        <f>Tabla_Items_Inactivos[[#This Row],[EXISTENCIA]]*Tabla_Items_Inactivos[[#This Row],[COSTO]]</f>
        <v>7.3500000000000005</v>
      </c>
    </row>
    <row r="1081" spans="1:8">
      <c r="A1081" t="s">
        <v>3300</v>
      </c>
      <c r="B1081" t="s">
        <v>3001</v>
      </c>
      <c r="C1081" t="s">
        <v>3002</v>
      </c>
      <c r="D1081" t="s">
        <v>98</v>
      </c>
      <c r="E1081" t="s">
        <v>86</v>
      </c>
      <c r="F1081" s="2">
        <v>5.1369999999999996</v>
      </c>
      <c r="G1081">
        <v>6</v>
      </c>
      <c r="H1081" s="2">
        <f>Tabla_Items_Inactivos[[#This Row],[EXISTENCIA]]*Tabla_Items_Inactivos[[#This Row],[COSTO]]</f>
        <v>30.821999999999996</v>
      </c>
    </row>
    <row r="1082" spans="1:8">
      <c r="A1082" t="s">
        <v>3301</v>
      </c>
      <c r="B1082" t="s">
        <v>4336</v>
      </c>
      <c r="C1082" t="s">
        <v>4337</v>
      </c>
      <c r="D1082" t="s">
        <v>85</v>
      </c>
      <c r="E1082" t="s">
        <v>86</v>
      </c>
      <c r="F1082" s="2">
        <v>2.4777999999999998</v>
      </c>
      <c r="G1082">
        <v>9</v>
      </c>
      <c r="H1082" s="2">
        <f>Tabla_Items_Inactivos[[#This Row],[EXISTENCIA]]*Tabla_Items_Inactivos[[#This Row],[COSTO]]</f>
        <v>22.300199999999997</v>
      </c>
    </row>
    <row r="1083" spans="1:8">
      <c r="A1083" t="s">
        <v>3300</v>
      </c>
      <c r="B1083" t="s">
        <v>4336</v>
      </c>
      <c r="C1083" t="s">
        <v>4337</v>
      </c>
      <c r="D1083" t="s">
        <v>85</v>
      </c>
      <c r="E1083" t="s">
        <v>86</v>
      </c>
      <c r="F1083" s="2">
        <v>2.4777999999999998</v>
      </c>
      <c r="G1083">
        <v>9</v>
      </c>
      <c r="H1083" s="2">
        <f>Tabla_Items_Inactivos[[#This Row],[EXISTENCIA]]*Tabla_Items_Inactivos[[#This Row],[COSTO]]</f>
        <v>22.300199999999997</v>
      </c>
    </row>
    <row r="1084" spans="1:8">
      <c r="A1084" t="s">
        <v>3301</v>
      </c>
      <c r="B1084" t="s">
        <v>416</v>
      </c>
      <c r="C1084" t="s">
        <v>417</v>
      </c>
      <c r="D1084" t="s">
        <v>85</v>
      </c>
      <c r="E1084" t="s">
        <v>86</v>
      </c>
      <c r="F1084" s="2">
        <v>2.1463000000000001</v>
      </c>
      <c r="G1084">
        <v>9</v>
      </c>
      <c r="H1084" s="2">
        <f>Tabla_Items_Inactivos[[#This Row],[EXISTENCIA]]*Tabla_Items_Inactivos[[#This Row],[COSTO]]</f>
        <v>19.316700000000001</v>
      </c>
    </row>
    <row r="1085" spans="1:8">
      <c r="A1085" t="s">
        <v>3300</v>
      </c>
      <c r="B1085" t="s">
        <v>416</v>
      </c>
      <c r="C1085" t="s">
        <v>417</v>
      </c>
      <c r="D1085" t="s">
        <v>85</v>
      </c>
      <c r="E1085" t="s">
        <v>86</v>
      </c>
      <c r="F1085" s="2">
        <v>2.1463000000000001</v>
      </c>
      <c r="G1085">
        <v>9</v>
      </c>
      <c r="H1085" s="2">
        <f>Tabla_Items_Inactivos[[#This Row],[EXISTENCIA]]*Tabla_Items_Inactivos[[#This Row],[COSTO]]</f>
        <v>19.316700000000001</v>
      </c>
    </row>
    <row r="1086" spans="1:8">
      <c r="A1086" t="s">
        <v>3300</v>
      </c>
      <c r="B1086" t="s">
        <v>4338</v>
      </c>
      <c r="C1086" t="s">
        <v>3251</v>
      </c>
      <c r="D1086" t="s">
        <v>219</v>
      </c>
      <c r="E1086" t="s">
        <v>86</v>
      </c>
      <c r="F1086" s="2">
        <v>6.867</v>
      </c>
      <c r="G1086">
        <v>3</v>
      </c>
      <c r="H1086" s="2">
        <f>Tabla_Items_Inactivos[[#This Row],[EXISTENCIA]]*Tabla_Items_Inactivos[[#This Row],[COSTO]]</f>
        <v>20.600999999999999</v>
      </c>
    </row>
    <row r="1087" spans="1:8">
      <c r="A1087" t="s">
        <v>3300</v>
      </c>
      <c r="B1087" t="s">
        <v>418</v>
      </c>
      <c r="C1087" t="s">
        <v>4339</v>
      </c>
      <c r="D1087" t="s">
        <v>85</v>
      </c>
      <c r="E1087" t="s">
        <v>86</v>
      </c>
      <c r="F1087" s="2">
        <v>1.246</v>
      </c>
      <c r="G1087">
        <v>15</v>
      </c>
      <c r="H1087" s="2">
        <f>Tabla_Items_Inactivos[[#This Row],[EXISTENCIA]]*Tabla_Items_Inactivos[[#This Row],[COSTO]]</f>
        <v>18.690000000000001</v>
      </c>
    </row>
    <row r="1088" spans="1:8">
      <c r="A1088" t="s">
        <v>3300</v>
      </c>
      <c r="B1088" t="s">
        <v>3003</v>
      </c>
      <c r="C1088" t="s">
        <v>4340</v>
      </c>
      <c r="D1088" t="s">
        <v>219</v>
      </c>
      <c r="E1088" t="s">
        <v>86</v>
      </c>
      <c r="F1088" s="2">
        <v>7.79</v>
      </c>
      <c r="G1088">
        <v>8</v>
      </c>
      <c r="H1088" s="2">
        <f>Tabla_Items_Inactivos[[#This Row],[EXISTENCIA]]*Tabla_Items_Inactivos[[#This Row],[COSTO]]</f>
        <v>62.32</v>
      </c>
    </row>
    <row r="1089" spans="1:8">
      <c r="A1089" t="s">
        <v>3300</v>
      </c>
      <c r="B1089" t="s">
        <v>3004</v>
      </c>
      <c r="C1089" t="s">
        <v>419</v>
      </c>
      <c r="D1089" t="s">
        <v>85</v>
      </c>
      <c r="E1089" t="s">
        <v>86</v>
      </c>
      <c r="F1089" s="2">
        <v>6.3719999999999999</v>
      </c>
      <c r="G1089">
        <v>26</v>
      </c>
      <c r="H1089" s="2">
        <f>Tabla_Items_Inactivos[[#This Row],[EXISTENCIA]]*Tabla_Items_Inactivos[[#This Row],[COSTO]]</f>
        <v>165.672</v>
      </c>
    </row>
    <row r="1090" spans="1:8">
      <c r="A1090" t="s">
        <v>3300</v>
      </c>
      <c r="B1090" t="s">
        <v>3005</v>
      </c>
      <c r="C1090" t="s">
        <v>3006</v>
      </c>
      <c r="D1090" t="s">
        <v>85</v>
      </c>
      <c r="E1090" t="s">
        <v>86</v>
      </c>
      <c r="F1090" s="2">
        <v>5.3650000000000002</v>
      </c>
      <c r="G1090">
        <v>29</v>
      </c>
      <c r="H1090" s="2">
        <f>Tabla_Items_Inactivos[[#This Row],[EXISTENCIA]]*Tabla_Items_Inactivos[[#This Row],[COSTO]]</f>
        <v>155.58500000000001</v>
      </c>
    </row>
    <row r="1091" spans="1:8">
      <c r="A1091" t="s">
        <v>3300</v>
      </c>
      <c r="B1091" t="s">
        <v>4341</v>
      </c>
      <c r="C1091" t="s">
        <v>4342</v>
      </c>
      <c r="D1091" t="s">
        <v>85</v>
      </c>
      <c r="E1091" t="s">
        <v>86</v>
      </c>
      <c r="F1091" s="2">
        <v>0.85899999999999999</v>
      </c>
      <c r="G1091">
        <v>5</v>
      </c>
      <c r="H1091" s="2">
        <f>Tabla_Items_Inactivos[[#This Row],[EXISTENCIA]]*Tabla_Items_Inactivos[[#This Row],[COSTO]]</f>
        <v>4.2949999999999999</v>
      </c>
    </row>
    <row r="1092" spans="1:8">
      <c r="A1092" t="s">
        <v>3300</v>
      </c>
      <c r="B1092" t="s">
        <v>4343</v>
      </c>
      <c r="C1092" t="s">
        <v>4344</v>
      </c>
      <c r="D1092" t="s">
        <v>85</v>
      </c>
      <c r="E1092" t="s">
        <v>86</v>
      </c>
      <c r="F1092" s="2">
        <v>0.55000000000000004</v>
      </c>
      <c r="G1092">
        <v>10</v>
      </c>
      <c r="H1092" s="2">
        <f>Tabla_Items_Inactivos[[#This Row],[EXISTENCIA]]*Tabla_Items_Inactivos[[#This Row],[COSTO]]</f>
        <v>5.5</v>
      </c>
    </row>
    <row r="1093" spans="1:8">
      <c r="A1093" t="s">
        <v>3300</v>
      </c>
      <c r="B1093" t="s">
        <v>4345</v>
      </c>
      <c r="C1093" t="s">
        <v>4346</v>
      </c>
      <c r="D1093" t="s">
        <v>98</v>
      </c>
      <c r="E1093" t="s">
        <v>86</v>
      </c>
      <c r="F1093" s="2">
        <v>0.55000000000000004</v>
      </c>
      <c r="G1093">
        <v>3</v>
      </c>
      <c r="H1093" s="2">
        <f>Tabla_Items_Inactivos[[#This Row],[EXISTENCIA]]*Tabla_Items_Inactivos[[#This Row],[COSTO]]</f>
        <v>1.6500000000000001</v>
      </c>
    </row>
    <row r="1094" spans="1:8">
      <c r="A1094" t="s">
        <v>3300</v>
      </c>
      <c r="B1094" t="s">
        <v>4347</v>
      </c>
      <c r="C1094" t="s">
        <v>2234</v>
      </c>
      <c r="D1094" t="s">
        <v>85</v>
      </c>
      <c r="E1094" t="s">
        <v>86</v>
      </c>
      <c r="F1094" s="2">
        <v>0.54479999999999995</v>
      </c>
      <c r="G1094">
        <v>73</v>
      </c>
      <c r="H1094" s="2">
        <f>Tabla_Items_Inactivos[[#This Row],[EXISTENCIA]]*Tabla_Items_Inactivos[[#This Row],[COSTO]]</f>
        <v>39.770399999999995</v>
      </c>
    </row>
    <row r="1095" spans="1:8">
      <c r="A1095" t="s">
        <v>3300</v>
      </c>
      <c r="B1095" t="s">
        <v>4348</v>
      </c>
      <c r="C1095" t="s">
        <v>4349</v>
      </c>
      <c r="D1095" t="s">
        <v>85</v>
      </c>
      <c r="E1095" t="s">
        <v>86</v>
      </c>
      <c r="F1095" s="2">
        <v>15.8125</v>
      </c>
      <c r="G1095">
        <v>66</v>
      </c>
      <c r="H1095" s="2">
        <f>Tabla_Items_Inactivos[[#This Row],[EXISTENCIA]]*Tabla_Items_Inactivos[[#This Row],[COSTO]]</f>
        <v>1043.625</v>
      </c>
    </row>
    <row r="1096" spans="1:8">
      <c r="A1096" t="s">
        <v>3301</v>
      </c>
      <c r="B1096" t="s">
        <v>4348</v>
      </c>
      <c r="C1096" t="s">
        <v>4349</v>
      </c>
      <c r="D1096" t="s">
        <v>85</v>
      </c>
      <c r="E1096" t="s">
        <v>86</v>
      </c>
      <c r="F1096" s="2">
        <v>15.8125</v>
      </c>
      <c r="G1096">
        <v>66</v>
      </c>
      <c r="H1096" s="2">
        <f>Tabla_Items_Inactivos[[#This Row],[EXISTENCIA]]*Tabla_Items_Inactivos[[#This Row],[COSTO]]</f>
        <v>1043.625</v>
      </c>
    </row>
    <row r="1097" spans="1:8">
      <c r="A1097" t="s">
        <v>3300</v>
      </c>
      <c r="B1097" t="s">
        <v>4350</v>
      </c>
      <c r="C1097" t="s">
        <v>3255</v>
      </c>
      <c r="D1097" t="s">
        <v>219</v>
      </c>
      <c r="E1097" t="s">
        <v>86</v>
      </c>
      <c r="F1097" s="2">
        <v>12.49</v>
      </c>
      <c r="G1097">
        <v>12</v>
      </c>
      <c r="H1097" s="2">
        <f>Tabla_Items_Inactivos[[#This Row],[EXISTENCIA]]*Tabla_Items_Inactivos[[#This Row],[COSTO]]</f>
        <v>149.88</v>
      </c>
    </row>
    <row r="1098" spans="1:8">
      <c r="A1098" t="s">
        <v>3300</v>
      </c>
      <c r="B1098" t="s">
        <v>4351</v>
      </c>
      <c r="C1098" t="s">
        <v>3276</v>
      </c>
      <c r="D1098" t="s">
        <v>219</v>
      </c>
      <c r="E1098" t="s">
        <v>86</v>
      </c>
      <c r="F1098" s="2">
        <v>1.1177999999999999</v>
      </c>
      <c r="G1098">
        <v>20</v>
      </c>
      <c r="H1098" s="2">
        <f>Tabla_Items_Inactivos[[#This Row],[EXISTENCIA]]*Tabla_Items_Inactivos[[#This Row],[COSTO]]</f>
        <v>22.355999999999998</v>
      </c>
    </row>
    <row r="1099" spans="1:8">
      <c r="A1099" t="s">
        <v>3301</v>
      </c>
      <c r="B1099" t="s">
        <v>4351</v>
      </c>
      <c r="C1099" t="s">
        <v>3276</v>
      </c>
      <c r="D1099" t="s">
        <v>219</v>
      </c>
      <c r="E1099" t="s">
        <v>86</v>
      </c>
      <c r="F1099" s="2">
        <v>1.1177999999999999</v>
      </c>
      <c r="G1099">
        <v>20</v>
      </c>
      <c r="H1099" s="2">
        <f>Tabla_Items_Inactivos[[#This Row],[EXISTENCIA]]*Tabla_Items_Inactivos[[#This Row],[COSTO]]</f>
        <v>22.355999999999998</v>
      </c>
    </row>
    <row r="1100" spans="1:8">
      <c r="A1100" t="s">
        <v>3300</v>
      </c>
      <c r="B1100" t="s">
        <v>4352</v>
      </c>
      <c r="C1100" t="s">
        <v>4353</v>
      </c>
      <c r="D1100" t="s">
        <v>85</v>
      </c>
      <c r="E1100" t="s">
        <v>86</v>
      </c>
      <c r="F1100" s="2">
        <v>2.06</v>
      </c>
      <c r="G1100">
        <v>3</v>
      </c>
      <c r="H1100" s="2">
        <f>Tabla_Items_Inactivos[[#This Row],[EXISTENCIA]]*Tabla_Items_Inactivos[[#This Row],[COSTO]]</f>
        <v>6.18</v>
      </c>
    </row>
    <row r="1101" spans="1:8">
      <c r="A1101" t="s">
        <v>3300</v>
      </c>
      <c r="B1101" t="s">
        <v>5504</v>
      </c>
      <c r="C1101" t="s">
        <v>5505</v>
      </c>
      <c r="D1101" t="s">
        <v>85</v>
      </c>
      <c r="E1101" t="s">
        <v>86</v>
      </c>
      <c r="F1101" s="2">
        <v>1.353</v>
      </c>
      <c r="G1101">
        <v>1</v>
      </c>
      <c r="H1101" s="2">
        <f>Tabla_Items_Inactivos[[#This Row],[EXISTENCIA]]*Tabla_Items_Inactivos[[#This Row],[COSTO]]</f>
        <v>1.353</v>
      </c>
    </row>
    <row r="1102" spans="1:8">
      <c r="A1102" t="s">
        <v>3300</v>
      </c>
      <c r="B1102" t="s">
        <v>4354</v>
      </c>
      <c r="C1102" t="s">
        <v>4355</v>
      </c>
      <c r="D1102" t="s">
        <v>85</v>
      </c>
      <c r="E1102" t="s">
        <v>86</v>
      </c>
      <c r="F1102" s="2">
        <v>4.4943999999999997</v>
      </c>
      <c r="G1102">
        <v>16</v>
      </c>
      <c r="H1102" s="2">
        <f>Tabla_Items_Inactivos[[#This Row],[EXISTENCIA]]*Tabla_Items_Inactivos[[#This Row],[COSTO]]</f>
        <v>71.910399999999996</v>
      </c>
    </row>
    <row r="1103" spans="1:8">
      <c r="A1103" t="s">
        <v>3300</v>
      </c>
      <c r="B1103" t="s">
        <v>4356</v>
      </c>
      <c r="C1103" t="s">
        <v>4357</v>
      </c>
      <c r="D1103" t="s">
        <v>98</v>
      </c>
      <c r="E1103" t="s">
        <v>86</v>
      </c>
      <c r="F1103" s="2">
        <v>1.81</v>
      </c>
      <c r="G1103">
        <v>5</v>
      </c>
      <c r="H1103" s="2">
        <f>Tabla_Items_Inactivos[[#This Row],[EXISTENCIA]]*Tabla_Items_Inactivos[[#This Row],[COSTO]]</f>
        <v>9.0500000000000007</v>
      </c>
    </row>
    <row r="1104" spans="1:8">
      <c r="A1104" t="s">
        <v>3300</v>
      </c>
      <c r="B1104" t="s">
        <v>4358</v>
      </c>
      <c r="C1104" t="s">
        <v>4359</v>
      </c>
      <c r="D1104" t="s">
        <v>85</v>
      </c>
      <c r="E1104" t="s">
        <v>86</v>
      </c>
      <c r="F1104" s="2">
        <v>3.9188999999999998</v>
      </c>
      <c r="G1104">
        <v>12</v>
      </c>
      <c r="H1104" s="2">
        <f>Tabla_Items_Inactivos[[#This Row],[EXISTENCIA]]*Tabla_Items_Inactivos[[#This Row],[COSTO]]</f>
        <v>47.026799999999994</v>
      </c>
    </row>
    <row r="1105" spans="1:8">
      <c r="A1105" t="s">
        <v>3300</v>
      </c>
      <c r="B1105" t="s">
        <v>3007</v>
      </c>
      <c r="C1105" t="s">
        <v>4360</v>
      </c>
      <c r="D1105" t="s">
        <v>436</v>
      </c>
      <c r="E1105" t="s">
        <v>86</v>
      </c>
      <c r="F1105" s="2">
        <v>1.5009999999999999</v>
      </c>
      <c r="G1105">
        <v>8</v>
      </c>
      <c r="H1105" s="2">
        <f>Tabla_Items_Inactivos[[#This Row],[EXISTENCIA]]*Tabla_Items_Inactivos[[#This Row],[COSTO]]</f>
        <v>12.007999999999999</v>
      </c>
    </row>
    <row r="1106" spans="1:8">
      <c r="A1106" t="s">
        <v>3300</v>
      </c>
      <c r="B1106" t="s">
        <v>4361</v>
      </c>
      <c r="C1106" t="s">
        <v>2347</v>
      </c>
      <c r="D1106" t="s">
        <v>219</v>
      </c>
      <c r="E1106" t="s">
        <v>86</v>
      </c>
      <c r="F1106" s="2">
        <v>5.69</v>
      </c>
      <c r="G1106">
        <v>1</v>
      </c>
      <c r="H1106" s="2">
        <f>Tabla_Items_Inactivos[[#This Row],[EXISTENCIA]]*Tabla_Items_Inactivos[[#This Row],[COSTO]]</f>
        <v>5.69</v>
      </c>
    </row>
    <row r="1107" spans="1:8">
      <c r="A1107" t="s">
        <v>3300</v>
      </c>
      <c r="B1107" t="s">
        <v>3008</v>
      </c>
      <c r="C1107" t="s">
        <v>3009</v>
      </c>
      <c r="D1107" t="s">
        <v>85</v>
      </c>
      <c r="E1107" t="s">
        <v>86</v>
      </c>
      <c r="F1107" s="2">
        <v>1.3220000000000001</v>
      </c>
      <c r="G1107">
        <v>38</v>
      </c>
      <c r="H1107" s="2">
        <f>Tabla_Items_Inactivos[[#This Row],[EXISTENCIA]]*Tabla_Items_Inactivos[[#This Row],[COSTO]]</f>
        <v>50.236000000000004</v>
      </c>
    </row>
    <row r="1108" spans="1:8">
      <c r="A1108" t="s">
        <v>3300</v>
      </c>
      <c r="B1108" t="s">
        <v>4362</v>
      </c>
      <c r="C1108" t="s">
        <v>3256</v>
      </c>
      <c r="D1108" t="s">
        <v>85</v>
      </c>
      <c r="E1108" t="s">
        <v>86</v>
      </c>
      <c r="F1108" s="2">
        <v>1.83</v>
      </c>
      <c r="G1108">
        <v>21</v>
      </c>
      <c r="H1108" s="2">
        <f>Tabla_Items_Inactivos[[#This Row],[EXISTENCIA]]*Tabla_Items_Inactivos[[#This Row],[COSTO]]</f>
        <v>38.43</v>
      </c>
    </row>
    <row r="1109" spans="1:8">
      <c r="A1109" t="s">
        <v>3301</v>
      </c>
      <c r="B1109" t="s">
        <v>4362</v>
      </c>
      <c r="C1109" t="s">
        <v>3256</v>
      </c>
      <c r="D1109" t="s">
        <v>85</v>
      </c>
      <c r="E1109" t="s">
        <v>86</v>
      </c>
      <c r="F1109" s="2">
        <v>1.83</v>
      </c>
      <c r="G1109">
        <v>21</v>
      </c>
      <c r="H1109" s="2">
        <f>Tabla_Items_Inactivos[[#This Row],[EXISTENCIA]]*Tabla_Items_Inactivos[[#This Row],[COSTO]]</f>
        <v>38.43</v>
      </c>
    </row>
    <row r="1110" spans="1:8">
      <c r="A1110" t="s">
        <v>3301</v>
      </c>
      <c r="B1110" t="s">
        <v>4363</v>
      </c>
      <c r="C1110" t="s">
        <v>4364</v>
      </c>
      <c r="D1110" t="s">
        <v>85</v>
      </c>
      <c r="E1110" t="s">
        <v>86</v>
      </c>
      <c r="F1110" s="2">
        <v>1.0099</v>
      </c>
      <c r="G1110">
        <v>35</v>
      </c>
      <c r="H1110" s="2">
        <f>Tabla_Items_Inactivos[[#This Row],[EXISTENCIA]]*Tabla_Items_Inactivos[[#This Row],[COSTO]]</f>
        <v>35.346499999999999</v>
      </c>
    </row>
    <row r="1111" spans="1:8">
      <c r="A1111" t="s">
        <v>3300</v>
      </c>
      <c r="B1111" t="s">
        <v>4363</v>
      </c>
      <c r="C1111" t="s">
        <v>4364</v>
      </c>
      <c r="D1111" t="s">
        <v>85</v>
      </c>
      <c r="E1111" t="s">
        <v>86</v>
      </c>
      <c r="F1111" s="2">
        <v>1.0099</v>
      </c>
      <c r="G1111">
        <v>35</v>
      </c>
      <c r="H1111" s="2">
        <f>Tabla_Items_Inactivos[[#This Row],[EXISTENCIA]]*Tabla_Items_Inactivos[[#This Row],[COSTO]]</f>
        <v>35.346499999999999</v>
      </c>
    </row>
    <row r="1112" spans="1:8">
      <c r="A1112" t="s">
        <v>3300</v>
      </c>
      <c r="B1112" t="s">
        <v>4365</v>
      </c>
      <c r="C1112" t="s">
        <v>4366</v>
      </c>
      <c r="D1112" t="s">
        <v>219</v>
      </c>
      <c r="E1112" t="s">
        <v>86</v>
      </c>
      <c r="F1112" s="2">
        <v>23.64</v>
      </c>
      <c r="G1112">
        <v>1</v>
      </c>
      <c r="H1112" s="2">
        <f>Tabla_Items_Inactivos[[#This Row],[EXISTENCIA]]*Tabla_Items_Inactivos[[#This Row],[COSTO]]</f>
        <v>23.64</v>
      </c>
    </row>
    <row r="1113" spans="1:8">
      <c r="A1113" t="s">
        <v>3300</v>
      </c>
      <c r="B1113" t="s">
        <v>4367</v>
      </c>
      <c r="C1113" t="s">
        <v>2326</v>
      </c>
      <c r="D1113" t="s">
        <v>219</v>
      </c>
      <c r="E1113" t="s">
        <v>86</v>
      </c>
      <c r="F1113" s="2">
        <v>1.84</v>
      </c>
      <c r="G1113">
        <v>4</v>
      </c>
      <c r="H1113" s="2">
        <f>Tabla_Items_Inactivos[[#This Row],[EXISTENCIA]]*Tabla_Items_Inactivos[[#This Row],[COSTO]]</f>
        <v>7.36</v>
      </c>
    </row>
    <row r="1114" spans="1:8">
      <c r="A1114" t="s">
        <v>3300</v>
      </c>
      <c r="B1114" t="s">
        <v>4368</v>
      </c>
      <c r="C1114" t="s">
        <v>4369</v>
      </c>
      <c r="D1114" t="s">
        <v>219</v>
      </c>
      <c r="E1114" t="s">
        <v>86</v>
      </c>
      <c r="F1114" s="2">
        <v>5.13</v>
      </c>
      <c r="G1114">
        <v>1</v>
      </c>
      <c r="H1114" s="2">
        <f>Tabla_Items_Inactivos[[#This Row],[EXISTENCIA]]*Tabla_Items_Inactivos[[#This Row],[COSTO]]</f>
        <v>5.13</v>
      </c>
    </row>
    <row r="1115" spans="1:8">
      <c r="A1115" t="s">
        <v>3300</v>
      </c>
      <c r="B1115" t="s">
        <v>4370</v>
      </c>
      <c r="C1115" t="s">
        <v>4371</v>
      </c>
      <c r="D1115" t="s">
        <v>85</v>
      </c>
      <c r="E1115" t="s">
        <v>86</v>
      </c>
      <c r="F1115" s="2">
        <v>3.7482000000000002</v>
      </c>
      <c r="G1115">
        <v>4</v>
      </c>
      <c r="H1115" s="2">
        <f>Tabla_Items_Inactivos[[#This Row],[EXISTENCIA]]*Tabla_Items_Inactivos[[#This Row],[COSTO]]</f>
        <v>14.992800000000001</v>
      </c>
    </row>
    <row r="1116" spans="1:8">
      <c r="A1116" t="s">
        <v>3300</v>
      </c>
      <c r="B1116" t="s">
        <v>3010</v>
      </c>
      <c r="C1116" t="s">
        <v>3011</v>
      </c>
      <c r="D1116" t="s">
        <v>85</v>
      </c>
      <c r="E1116" t="s">
        <v>86</v>
      </c>
      <c r="F1116" s="2">
        <v>11.98</v>
      </c>
      <c r="G1116">
        <v>4</v>
      </c>
      <c r="H1116" s="2">
        <f>Tabla_Items_Inactivos[[#This Row],[EXISTENCIA]]*Tabla_Items_Inactivos[[#This Row],[COSTO]]</f>
        <v>47.92</v>
      </c>
    </row>
    <row r="1117" spans="1:8">
      <c r="A1117" t="s">
        <v>3300</v>
      </c>
      <c r="B1117" t="s">
        <v>4372</v>
      </c>
      <c r="C1117" t="s">
        <v>4373</v>
      </c>
      <c r="D1117" t="s">
        <v>85</v>
      </c>
      <c r="E1117" t="s">
        <v>86</v>
      </c>
      <c r="F1117" s="2">
        <v>5.5034999999999998</v>
      </c>
      <c r="G1117">
        <v>12</v>
      </c>
      <c r="H1117" s="2">
        <f>Tabla_Items_Inactivos[[#This Row],[EXISTENCIA]]*Tabla_Items_Inactivos[[#This Row],[COSTO]]</f>
        <v>66.042000000000002</v>
      </c>
    </row>
    <row r="1118" spans="1:8">
      <c r="A1118" t="s">
        <v>3301</v>
      </c>
      <c r="B1118" t="s">
        <v>4372</v>
      </c>
      <c r="C1118" t="s">
        <v>4373</v>
      </c>
      <c r="D1118" t="s">
        <v>85</v>
      </c>
      <c r="E1118" t="s">
        <v>86</v>
      </c>
      <c r="F1118" s="2">
        <v>5.5034999999999998</v>
      </c>
      <c r="G1118">
        <v>12</v>
      </c>
      <c r="H1118" s="2">
        <f>Tabla_Items_Inactivos[[#This Row],[EXISTENCIA]]*Tabla_Items_Inactivos[[#This Row],[COSTO]]</f>
        <v>66.042000000000002</v>
      </c>
    </row>
    <row r="1119" spans="1:8">
      <c r="A1119" t="s">
        <v>3300</v>
      </c>
      <c r="B1119" t="s">
        <v>4374</v>
      </c>
      <c r="C1119" t="s">
        <v>4375</v>
      </c>
      <c r="D1119" t="s">
        <v>85</v>
      </c>
      <c r="E1119" t="s">
        <v>86</v>
      </c>
      <c r="F1119" s="2">
        <v>7.97</v>
      </c>
      <c r="G1119">
        <v>5</v>
      </c>
      <c r="H1119" s="2">
        <f>Tabla_Items_Inactivos[[#This Row],[EXISTENCIA]]*Tabla_Items_Inactivos[[#This Row],[COSTO]]</f>
        <v>39.85</v>
      </c>
    </row>
    <row r="1120" spans="1:8">
      <c r="A1120" t="s">
        <v>3300</v>
      </c>
      <c r="B1120" t="s">
        <v>3012</v>
      </c>
      <c r="C1120" t="s">
        <v>3013</v>
      </c>
      <c r="D1120" t="s">
        <v>85</v>
      </c>
      <c r="E1120" t="s">
        <v>86</v>
      </c>
      <c r="F1120" s="2">
        <v>13</v>
      </c>
      <c r="G1120">
        <v>7</v>
      </c>
      <c r="H1120" s="2">
        <f>Tabla_Items_Inactivos[[#This Row],[EXISTENCIA]]*Tabla_Items_Inactivos[[#This Row],[COSTO]]</f>
        <v>91</v>
      </c>
    </row>
    <row r="1121" spans="1:8">
      <c r="A1121" t="s">
        <v>3300</v>
      </c>
      <c r="B1121" t="s">
        <v>4376</v>
      </c>
      <c r="C1121" t="s">
        <v>4377</v>
      </c>
      <c r="D1121" t="s">
        <v>85</v>
      </c>
      <c r="E1121" t="s">
        <v>86</v>
      </c>
      <c r="F1121" s="2">
        <v>1.59</v>
      </c>
      <c r="G1121">
        <v>2</v>
      </c>
      <c r="H1121" s="2">
        <f>Tabla_Items_Inactivos[[#This Row],[EXISTENCIA]]*Tabla_Items_Inactivos[[#This Row],[COSTO]]</f>
        <v>3.18</v>
      </c>
    </row>
    <row r="1122" spans="1:8">
      <c r="A1122" t="s">
        <v>3300</v>
      </c>
      <c r="B1122" t="s">
        <v>4378</v>
      </c>
      <c r="C1122" t="s">
        <v>4379</v>
      </c>
      <c r="D1122" t="s">
        <v>85</v>
      </c>
      <c r="E1122" t="s">
        <v>86</v>
      </c>
      <c r="F1122" s="2">
        <v>2.9761000000000002</v>
      </c>
      <c r="G1122">
        <v>25</v>
      </c>
      <c r="H1122" s="2">
        <f>Tabla_Items_Inactivos[[#This Row],[EXISTENCIA]]*Tabla_Items_Inactivos[[#This Row],[COSTO]]</f>
        <v>74.402500000000003</v>
      </c>
    </row>
    <row r="1123" spans="1:8">
      <c r="A1123" t="s">
        <v>3301</v>
      </c>
      <c r="B1123" t="s">
        <v>4378</v>
      </c>
      <c r="C1123" t="s">
        <v>4379</v>
      </c>
      <c r="D1123" t="s">
        <v>85</v>
      </c>
      <c r="E1123" t="s">
        <v>86</v>
      </c>
      <c r="F1123" s="2">
        <v>2.9761000000000002</v>
      </c>
      <c r="G1123">
        <v>25</v>
      </c>
      <c r="H1123" s="2">
        <f>Tabla_Items_Inactivos[[#This Row],[EXISTENCIA]]*Tabla_Items_Inactivos[[#This Row],[COSTO]]</f>
        <v>74.402500000000003</v>
      </c>
    </row>
    <row r="1124" spans="1:8">
      <c r="A1124" t="s">
        <v>3300</v>
      </c>
      <c r="B1124" t="s">
        <v>4380</v>
      </c>
      <c r="C1124" t="s">
        <v>4381</v>
      </c>
      <c r="D1124" t="s">
        <v>85</v>
      </c>
      <c r="E1124" t="s">
        <v>86</v>
      </c>
      <c r="F1124" s="2">
        <v>0.48</v>
      </c>
      <c r="G1124">
        <v>1</v>
      </c>
      <c r="H1124" s="2">
        <f>Tabla_Items_Inactivos[[#This Row],[EXISTENCIA]]*Tabla_Items_Inactivos[[#This Row],[COSTO]]</f>
        <v>0.48</v>
      </c>
    </row>
    <row r="1125" spans="1:8">
      <c r="A1125" t="s">
        <v>3300</v>
      </c>
      <c r="B1125" t="s">
        <v>3014</v>
      </c>
      <c r="C1125" t="s">
        <v>4382</v>
      </c>
      <c r="D1125" t="s">
        <v>85</v>
      </c>
      <c r="E1125" t="s">
        <v>86</v>
      </c>
      <c r="F1125" s="2">
        <v>2.6360999999999999</v>
      </c>
      <c r="G1125">
        <v>24</v>
      </c>
      <c r="H1125" s="2">
        <f>Tabla_Items_Inactivos[[#This Row],[EXISTENCIA]]*Tabla_Items_Inactivos[[#This Row],[COSTO]]</f>
        <v>63.266399999999997</v>
      </c>
    </row>
    <row r="1126" spans="1:8">
      <c r="A1126" t="s">
        <v>3301</v>
      </c>
      <c r="B1126" t="s">
        <v>3014</v>
      </c>
      <c r="C1126" t="s">
        <v>4382</v>
      </c>
      <c r="D1126" t="s">
        <v>85</v>
      </c>
      <c r="E1126" t="s">
        <v>86</v>
      </c>
      <c r="F1126" s="2">
        <v>2.6360999999999999</v>
      </c>
      <c r="G1126">
        <v>24</v>
      </c>
      <c r="H1126" s="2">
        <f>Tabla_Items_Inactivos[[#This Row],[EXISTENCIA]]*Tabla_Items_Inactivos[[#This Row],[COSTO]]</f>
        <v>63.266399999999997</v>
      </c>
    </row>
    <row r="1127" spans="1:8">
      <c r="A1127" t="s">
        <v>3300</v>
      </c>
      <c r="B1127" t="s">
        <v>4383</v>
      </c>
      <c r="C1127" t="s">
        <v>4384</v>
      </c>
      <c r="D1127" t="s">
        <v>219</v>
      </c>
      <c r="E1127" t="s">
        <v>86</v>
      </c>
      <c r="F1127" s="2">
        <v>5.1127000000000002</v>
      </c>
      <c r="G1127">
        <v>78</v>
      </c>
      <c r="H1127" s="2">
        <f>Tabla_Items_Inactivos[[#This Row],[EXISTENCIA]]*Tabla_Items_Inactivos[[#This Row],[COSTO]]</f>
        <v>398.79060000000004</v>
      </c>
    </row>
    <row r="1128" spans="1:8">
      <c r="A1128" t="s">
        <v>3301</v>
      </c>
      <c r="B1128" t="s">
        <v>4383</v>
      </c>
      <c r="C1128" t="s">
        <v>4384</v>
      </c>
      <c r="D1128" t="s">
        <v>219</v>
      </c>
      <c r="E1128" t="s">
        <v>86</v>
      </c>
      <c r="F1128" s="2">
        <v>5.1127000000000002</v>
      </c>
      <c r="G1128">
        <v>78</v>
      </c>
      <c r="H1128" s="2">
        <f>Tabla_Items_Inactivos[[#This Row],[EXISTENCIA]]*Tabla_Items_Inactivos[[#This Row],[COSTO]]</f>
        <v>398.79060000000004</v>
      </c>
    </row>
    <row r="1129" spans="1:8">
      <c r="A1129" t="s">
        <v>3300</v>
      </c>
      <c r="B1129" t="s">
        <v>4385</v>
      </c>
      <c r="C1129" t="s">
        <v>4386</v>
      </c>
      <c r="D1129" t="s">
        <v>85</v>
      </c>
      <c r="E1129" t="s">
        <v>86</v>
      </c>
      <c r="F1129" s="2">
        <v>1.2990999999999999</v>
      </c>
      <c r="G1129">
        <v>46</v>
      </c>
      <c r="H1129" s="2">
        <f>Tabla_Items_Inactivos[[#This Row],[EXISTENCIA]]*Tabla_Items_Inactivos[[#This Row],[COSTO]]</f>
        <v>59.758599999999994</v>
      </c>
    </row>
    <row r="1130" spans="1:8">
      <c r="A1130" t="s">
        <v>3300</v>
      </c>
      <c r="B1130" t="s">
        <v>3015</v>
      </c>
      <c r="C1130" t="s">
        <v>3016</v>
      </c>
      <c r="D1130" t="s">
        <v>85</v>
      </c>
      <c r="E1130" t="s">
        <v>86</v>
      </c>
      <c r="F1130" s="2">
        <v>7.3819999999999997</v>
      </c>
      <c r="G1130">
        <v>5</v>
      </c>
      <c r="H1130" s="2">
        <f>Tabla_Items_Inactivos[[#This Row],[EXISTENCIA]]*Tabla_Items_Inactivos[[#This Row],[COSTO]]</f>
        <v>36.909999999999997</v>
      </c>
    </row>
    <row r="1131" spans="1:8">
      <c r="A1131" t="s">
        <v>3301</v>
      </c>
      <c r="B1131" t="s">
        <v>4387</v>
      </c>
      <c r="C1131" t="s">
        <v>4388</v>
      </c>
      <c r="D1131" t="s">
        <v>85</v>
      </c>
      <c r="E1131" t="s">
        <v>86</v>
      </c>
      <c r="F1131" s="2">
        <v>1.1026</v>
      </c>
      <c r="G1131">
        <v>26</v>
      </c>
      <c r="H1131" s="2">
        <f>Tabla_Items_Inactivos[[#This Row],[EXISTENCIA]]*Tabla_Items_Inactivos[[#This Row],[COSTO]]</f>
        <v>28.6676</v>
      </c>
    </row>
    <row r="1132" spans="1:8">
      <c r="A1132" t="s">
        <v>3300</v>
      </c>
      <c r="B1132" t="s">
        <v>4387</v>
      </c>
      <c r="C1132" t="s">
        <v>4388</v>
      </c>
      <c r="D1132" t="s">
        <v>85</v>
      </c>
      <c r="E1132" t="s">
        <v>86</v>
      </c>
      <c r="F1132" s="2">
        <v>1.1026</v>
      </c>
      <c r="G1132">
        <v>26</v>
      </c>
      <c r="H1132" s="2">
        <f>Tabla_Items_Inactivos[[#This Row],[EXISTENCIA]]*Tabla_Items_Inactivos[[#This Row],[COSTO]]</f>
        <v>28.6676</v>
      </c>
    </row>
    <row r="1133" spans="1:8">
      <c r="A1133" t="s">
        <v>3300</v>
      </c>
      <c r="B1133" t="s">
        <v>4389</v>
      </c>
      <c r="C1133" t="s">
        <v>4390</v>
      </c>
      <c r="D1133" t="s">
        <v>85</v>
      </c>
      <c r="E1133" t="s">
        <v>86</v>
      </c>
      <c r="F1133" s="2">
        <v>0.61109999999999998</v>
      </c>
      <c r="G1133">
        <v>17</v>
      </c>
      <c r="H1133" s="2">
        <f>Tabla_Items_Inactivos[[#This Row],[EXISTENCIA]]*Tabla_Items_Inactivos[[#This Row],[COSTO]]</f>
        <v>10.3887</v>
      </c>
    </row>
    <row r="1134" spans="1:8">
      <c r="A1134" t="s">
        <v>3300</v>
      </c>
      <c r="B1134" t="s">
        <v>3017</v>
      </c>
      <c r="C1134" t="s">
        <v>3018</v>
      </c>
      <c r="D1134" t="s">
        <v>98</v>
      </c>
      <c r="E1134" t="s">
        <v>86</v>
      </c>
      <c r="F1134" s="2">
        <v>10.568</v>
      </c>
      <c r="G1134">
        <v>5</v>
      </c>
      <c r="H1134" s="2">
        <f>Tabla_Items_Inactivos[[#This Row],[EXISTENCIA]]*Tabla_Items_Inactivos[[#This Row],[COSTO]]</f>
        <v>52.839999999999996</v>
      </c>
    </row>
    <row r="1135" spans="1:8">
      <c r="A1135" t="s">
        <v>3300</v>
      </c>
      <c r="B1135" t="s">
        <v>4391</v>
      </c>
      <c r="C1135" t="s">
        <v>4392</v>
      </c>
      <c r="D1135" t="s">
        <v>85</v>
      </c>
      <c r="E1135" t="s">
        <v>86</v>
      </c>
      <c r="F1135" s="2">
        <v>22.26</v>
      </c>
      <c r="G1135">
        <v>1</v>
      </c>
      <c r="H1135" s="2">
        <f>Tabla_Items_Inactivos[[#This Row],[EXISTENCIA]]*Tabla_Items_Inactivos[[#This Row],[COSTO]]</f>
        <v>22.26</v>
      </c>
    </row>
    <row r="1136" spans="1:8">
      <c r="A1136" t="s">
        <v>3300</v>
      </c>
      <c r="B1136" t="s">
        <v>3019</v>
      </c>
      <c r="C1136" t="s">
        <v>3020</v>
      </c>
      <c r="D1136" t="s">
        <v>85</v>
      </c>
      <c r="E1136" t="s">
        <v>86</v>
      </c>
      <c r="F1136" s="2">
        <v>12.12</v>
      </c>
      <c r="G1136">
        <v>2</v>
      </c>
      <c r="H1136" s="2">
        <f>Tabla_Items_Inactivos[[#This Row],[EXISTENCIA]]*Tabla_Items_Inactivos[[#This Row],[COSTO]]</f>
        <v>24.24</v>
      </c>
    </row>
    <row r="1137" spans="1:8">
      <c r="A1137" t="s">
        <v>3300</v>
      </c>
      <c r="B1137" t="s">
        <v>3021</v>
      </c>
      <c r="C1137" t="s">
        <v>3022</v>
      </c>
      <c r="D1137" t="s">
        <v>85</v>
      </c>
      <c r="E1137" t="s">
        <v>86</v>
      </c>
      <c r="F1137" s="2">
        <v>11.856</v>
      </c>
      <c r="G1137">
        <v>3</v>
      </c>
      <c r="H1137" s="2">
        <f>Tabla_Items_Inactivos[[#This Row],[EXISTENCIA]]*Tabla_Items_Inactivos[[#This Row],[COSTO]]</f>
        <v>35.567999999999998</v>
      </c>
    </row>
    <row r="1138" spans="1:8">
      <c r="A1138" t="s">
        <v>3300</v>
      </c>
      <c r="B1138" t="s">
        <v>4393</v>
      </c>
      <c r="C1138" t="s">
        <v>4394</v>
      </c>
      <c r="D1138" t="s">
        <v>85</v>
      </c>
      <c r="E1138" t="s">
        <v>86</v>
      </c>
      <c r="F1138" s="2">
        <v>8.33</v>
      </c>
      <c r="G1138">
        <v>2</v>
      </c>
      <c r="H1138" s="2">
        <f>Tabla_Items_Inactivos[[#This Row],[EXISTENCIA]]*Tabla_Items_Inactivos[[#This Row],[COSTO]]</f>
        <v>16.66</v>
      </c>
    </row>
    <row r="1139" spans="1:8">
      <c r="A1139" t="s">
        <v>3300</v>
      </c>
      <c r="B1139" t="s">
        <v>4395</v>
      </c>
      <c r="C1139" t="s">
        <v>4396</v>
      </c>
      <c r="D1139" t="s">
        <v>219</v>
      </c>
      <c r="E1139" t="s">
        <v>86</v>
      </c>
      <c r="F1139" s="2">
        <v>29.7</v>
      </c>
      <c r="G1139">
        <v>1</v>
      </c>
      <c r="H1139" s="2">
        <f>Tabla_Items_Inactivos[[#This Row],[EXISTENCIA]]*Tabla_Items_Inactivos[[#This Row],[COSTO]]</f>
        <v>29.7</v>
      </c>
    </row>
    <row r="1140" spans="1:8">
      <c r="A1140" t="s">
        <v>3300</v>
      </c>
      <c r="B1140" t="s">
        <v>4397</v>
      </c>
      <c r="C1140" t="s">
        <v>2340</v>
      </c>
      <c r="D1140" t="s">
        <v>85</v>
      </c>
      <c r="E1140" t="s">
        <v>86</v>
      </c>
      <c r="F1140" s="2">
        <v>38.478999999999999</v>
      </c>
      <c r="G1140">
        <v>8</v>
      </c>
      <c r="H1140" s="2">
        <f>Tabla_Items_Inactivos[[#This Row],[EXISTENCIA]]*Tabla_Items_Inactivos[[#This Row],[COSTO]]</f>
        <v>307.83199999999999</v>
      </c>
    </row>
    <row r="1141" spans="1:8">
      <c r="A1141" t="s">
        <v>3300</v>
      </c>
      <c r="B1141" t="s">
        <v>3023</v>
      </c>
      <c r="C1141" t="s">
        <v>4398</v>
      </c>
      <c r="D1141" t="s">
        <v>219</v>
      </c>
      <c r="E1141" t="s">
        <v>86</v>
      </c>
      <c r="F1141" s="2">
        <v>28.998000000000001</v>
      </c>
      <c r="G1141">
        <v>5</v>
      </c>
      <c r="H1141" s="2">
        <f>Tabla_Items_Inactivos[[#This Row],[EXISTENCIA]]*Tabla_Items_Inactivos[[#This Row],[COSTO]]</f>
        <v>144.99</v>
      </c>
    </row>
    <row r="1142" spans="1:8">
      <c r="A1142" t="s">
        <v>3300</v>
      </c>
      <c r="B1142" t="s">
        <v>3024</v>
      </c>
      <c r="C1142" t="s">
        <v>3025</v>
      </c>
      <c r="D1142" t="s">
        <v>85</v>
      </c>
      <c r="E1142" t="s">
        <v>86</v>
      </c>
      <c r="F1142" s="2">
        <v>29.034300000000002</v>
      </c>
      <c r="G1142">
        <v>12</v>
      </c>
      <c r="H1142" s="2">
        <f>Tabla_Items_Inactivos[[#This Row],[EXISTENCIA]]*Tabla_Items_Inactivos[[#This Row],[COSTO]]</f>
        <v>348.41160000000002</v>
      </c>
    </row>
    <row r="1143" spans="1:8">
      <c r="A1143" t="s">
        <v>3301</v>
      </c>
      <c r="B1143" t="s">
        <v>3024</v>
      </c>
      <c r="C1143" t="s">
        <v>3025</v>
      </c>
      <c r="D1143" t="s">
        <v>85</v>
      </c>
      <c r="E1143" t="s">
        <v>86</v>
      </c>
      <c r="F1143" s="2">
        <v>29.034300000000002</v>
      </c>
      <c r="G1143">
        <v>12</v>
      </c>
      <c r="H1143" s="2">
        <f>Tabla_Items_Inactivos[[#This Row],[EXISTENCIA]]*Tabla_Items_Inactivos[[#This Row],[COSTO]]</f>
        <v>348.41160000000002</v>
      </c>
    </row>
    <row r="1144" spans="1:8">
      <c r="A1144" t="s">
        <v>3300</v>
      </c>
      <c r="B1144" t="s">
        <v>420</v>
      </c>
      <c r="C1144" t="s">
        <v>4399</v>
      </c>
      <c r="D1144" t="s">
        <v>243</v>
      </c>
      <c r="E1144" t="s">
        <v>86</v>
      </c>
      <c r="F1144" s="2">
        <v>13.52</v>
      </c>
      <c r="G1144">
        <v>2</v>
      </c>
      <c r="H1144" s="2">
        <f>Tabla_Items_Inactivos[[#This Row],[EXISTENCIA]]*Tabla_Items_Inactivos[[#This Row],[COSTO]]</f>
        <v>27.04</v>
      </c>
    </row>
    <row r="1145" spans="1:8">
      <c r="A1145" t="s">
        <v>3300</v>
      </c>
      <c r="B1145" t="s">
        <v>3026</v>
      </c>
      <c r="C1145" t="s">
        <v>3027</v>
      </c>
      <c r="D1145" t="s">
        <v>219</v>
      </c>
      <c r="E1145" t="s">
        <v>86</v>
      </c>
      <c r="F1145" s="2">
        <v>28.893999999999998</v>
      </c>
      <c r="G1145">
        <v>5</v>
      </c>
      <c r="H1145" s="2">
        <f>Tabla_Items_Inactivos[[#This Row],[EXISTENCIA]]*Tabla_Items_Inactivos[[#This Row],[COSTO]]</f>
        <v>144.47</v>
      </c>
    </row>
    <row r="1146" spans="1:8">
      <c r="A1146" t="s">
        <v>3300</v>
      </c>
      <c r="B1146" t="s">
        <v>4400</v>
      </c>
      <c r="C1146" t="s">
        <v>4401</v>
      </c>
      <c r="D1146" t="s">
        <v>219</v>
      </c>
      <c r="E1146" t="s">
        <v>86</v>
      </c>
      <c r="F1146" s="2">
        <v>33.950000000000003</v>
      </c>
      <c r="G1146">
        <v>3</v>
      </c>
      <c r="H1146" s="2">
        <f>Tabla_Items_Inactivos[[#This Row],[EXISTENCIA]]*Tabla_Items_Inactivos[[#This Row],[COSTO]]</f>
        <v>101.85000000000001</v>
      </c>
    </row>
    <row r="1147" spans="1:8">
      <c r="A1147" t="s">
        <v>3300</v>
      </c>
      <c r="B1147" t="s">
        <v>421</v>
      </c>
      <c r="C1147" t="s">
        <v>422</v>
      </c>
      <c r="D1147" t="s">
        <v>410</v>
      </c>
      <c r="E1147" t="s">
        <v>86</v>
      </c>
      <c r="F1147" s="2">
        <v>24.36</v>
      </c>
      <c r="G1147">
        <v>1</v>
      </c>
      <c r="H1147" s="2">
        <f>Tabla_Items_Inactivos[[#This Row],[EXISTENCIA]]*Tabla_Items_Inactivos[[#This Row],[COSTO]]</f>
        <v>24.36</v>
      </c>
    </row>
    <row r="1148" spans="1:8">
      <c r="A1148" t="s">
        <v>3300</v>
      </c>
      <c r="B1148" t="s">
        <v>4402</v>
      </c>
      <c r="C1148" t="s">
        <v>3260</v>
      </c>
      <c r="D1148" t="s">
        <v>98</v>
      </c>
      <c r="E1148" t="s">
        <v>86</v>
      </c>
      <c r="F1148" s="2">
        <v>16.963000000000001</v>
      </c>
      <c r="G1148">
        <v>6</v>
      </c>
      <c r="H1148" s="2">
        <f>Tabla_Items_Inactivos[[#This Row],[EXISTENCIA]]*Tabla_Items_Inactivos[[#This Row],[COSTO]]</f>
        <v>101.77800000000001</v>
      </c>
    </row>
    <row r="1149" spans="1:8">
      <c r="A1149" t="s">
        <v>3300</v>
      </c>
      <c r="B1149" t="s">
        <v>4403</v>
      </c>
      <c r="C1149" t="s">
        <v>4404</v>
      </c>
      <c r="D1149" t="s">
        <v>85</v>
      </c>
      <c r="E1149" t="s">
        <v>86</v>
      </c>
      <c r="F1149" s="2">
        <v>23.822099999999999</v>
      </c>
      <c r="G1149">
        <v>22</v>
      </c>
      <c r="H1149" s="2">
        <f>Tabla_Items_Inactivos[[#This Row],[EXISTENCIA]]*Tabla_Items_Inactivos[[#This Row],[COSTO]]</f>
        <v>524.08619999999996</v>
      </c>
    </row>
    <row r="1150" spans="1:8">
      <c r="A1150" t="s">
        <v>3301</v>
      </c>
      <c r="B1150" t="s">
        <v>4403</v>
      </c>
      <c r="C1150" t="s">
        <v>4404</v>
      </c>
      <c r="D1150" t="s">
        <v>85</v>
      </c>
      <c r="E1150" t="s">
        <v>86</v>
      </c>
      <c r="F1150" s="2">
        <v>23.822099999999999</v>
      </c>
      <c r="G1150">
        <v>22</v>
      </c>
      <c r="H1150" s="2">
        <f>Tabla_Items_Inactivos[[#This Row],[EXISTENCIA]]*Tabla_Items_Inactivos[[#This Row],[COSTO]]</f>
        <v>524.08619999999996</v>
      </c>
    </row>
    <row r="1151" spans="1:8">
      <c r="A1151" t="s">
        <v>3300</v>
      </c>
      <c r="B1151" t="s">
        <v>4405</v>
      </c>
      <c r="C1151" t="s">
        <v>2392</v>
      </c>
      <c r="D1151" t="s">
        <v>85</v>
      </c>
      <c r="E1151" t="s">
        <v>86</v>
      </c>
      <c r="F1151" s="2">
        <v>18.856999999999999</v>
      </c>
      <c r="G1151">
        <v>1</v>
      </c>
      <c r="H1151" s="2">
        <f>Tabla_Items_Inactivos[[#This Row],[EXISTENCIA]]*Tabla_Items_Inactivos[[#This Row],[COSTO]]</f>
        <v>18.856999999999999</v>
      </c>
    </row>
    <row r="1152" spans="1:8">
      <c r="A1152" t="s">
        <v>3300</v>
      </c>
      <c r="B1152" t="s">
        <v>3028</v>
      </c>
      <c r="C1152" t="s">
        <v>3029</v>
      </c>
      <c r="D1152" t="s">
        <v>85</v>
      </c>
      <c r="E1152" t="s">
        <v>86</v>
      </c>
      <c r="F1152" s="2">
        <v>19.170100000000001</v>
      </c>
      <c r="G1152">
        <v>11</v>
      </c>
      <c r="H1152" s="2">
        <f>Tabla_Items_Inactivos[[#This Row],[EXISTENCIA]]*Tabla_Items_Inactivos[[#This Row],[COSTO]]</f>
        <v>210.87110000000001</v>
      </c>
    </row>
    <row r="1153" spans="1:8">
      <c r="A1153" t="s">
        <v>3300</v>
      </c>
      <c r="B1153" t="s">
        <v>4406</v>
      </c>
      <c r="C1153" t="s">
        <v>2215</v>
      </c>
      <c r="D1153" t="s">
        <v>85</v>
      </c>
      <c r="E1153" t="s">
        <v>86</v>
      </c>
      <c r="F1153" s="2">
        <v>17.72</v>
      </c>
      <c r="G1153">
        <v>1</v>
      </c>
      <c r="H1153" s="2">
        <f>Tabla_Items_Inactivos[[#This Row],[EXISTENCIA]]*Tabla_Items_Inactivos[[#This Row],[COSTO]]</f>
        <v>17.72</v>
      </c>
    </row>
    <row r="1154" spans="1:8">
      <c r="A1154" t="s">
        <v>3300</v>
      </c>
      <c r="B1154" t="s">
        <v>4407</v>
      </c>
      <c r="C1154" t="s">
        <v>4408</v>
      </c>
      <c r="D1154" t="s">
        <v>85</v>
      </c>
      <c r="E1154" t="s">
        <v>86</v>
      </c>
      <c r="F1154" s="2">
        <v>0.377</v>
      </c>
      <c r="G1154">
        <v>9</v>
      </c>
      <c r="H1154" s="2">
        <f>Tabla_Items_Inactivos[[#This Row],[EXISTENCIA]]*Tabla_Items_Inactivos[[#This Row],[COSTO]]</f>
        <v>3.3929999999999998</v>
      </c>
    </row>
    <row r="1155" spans="1:8">
      <c r="A1155" t="s">
        <v>3301</v>
      </c>
      <c r="B1155" t="s">
        <v>3030</v>
      </c>
      <c r="C1155" t="s">
        <v>3031</v>
      </c>
      <c r="D1155" t="s">
        <v>85</v>
      </c>
      <c r="E1155" t="s">
        <v>86</v>
      </c>
      <c r="F1155" s="2">
        <v>0.3211</v>
      </c>
      <c r="G1155">
        <v>40</v>
      </c>
      <c r="H1155" s="2">
        <f>Tabla_Items_Inactivos[[#This Row],[EXISTENCIA]]*Tabla_Items_Inactivos[[#This Row],[COSTO]]</f>
        <v>12.843999999999999</v>
      </c>
    </row>
    <row r="1156" spans="1:8">
      <c r="A1156" t="s">
        <v>3300</v>
      </c>
      <c r="B1156" t="s">
        <v>3030</v>
      </c>
      <c r="C1156" t="s">
        <v>3031</v>
      </c>
      <c r="D1156" t="s">
        <v>85</v>
      </c>
      <c r="E1156" t="s">
        <v>86</v>
      </c>
      <c r="F1156" s="2">
        <v>0.3211</v>
      </c>
      <c r="G1156">
        <v>40</v>
      </c>
      <c r="H1156" s="2">
        <f>Tabla_Items_Inactivos[[#This Row],[EXISTENCIA]]*Tabla_Items_Inactivos[[#This Row],[COSTO]]</f>
        <v>12.843999999999999</v>
      </c>
    </row>
    <row r="1157" spans="1:8">
      <c r="A1157" t="s">
        <v>3300</v>
      </c>
      <c r="B1157" t="s">
        <v>4409</v>
      </c>
      <c r="C1157" t="s">
        <v>4410</v>
      </c>
      <c r="D1157" t="s">
        <v>85</v>
      </c>
      <c r="E1157" t="s">
        <v>86</v>
      </c>
      <c r="F1157" s="2">
        <v>2.06</v>
      </c>
      <c r="G1157">
        <v>10</v>
      </c>
      <c r="H1157" s="2">
        <f>Tabla_Items_Inactivos[[#This Row],[EXISTENCIA]]*Tabla_Items_Inactivos[[#This Row],[COSTO]]</f>
        <v>20.6</v>
      </c>
    </row>
    <row r="1158" spans="1:8">
      <c r="A1158" t="s">
        <v>3301</v>
      </c>
      <c r="B1158" t="s">
        <v>4411</v>
      </c>
      <c r="C1158" t="s">
        <v>4412</v>
      </c>
      <c r="D1158" t="s">
        <v>85</v>
      </c>
      <c r="E1158" t="s">
        <v>86</v>
      </c>
      <c r="F1158" s="2">
        <v>2.2347000000000001</v>
      </c>
      <c r="G1158">
        <v>22</v>
      </c>
      <c r="H1158" s="2">
        <f>Tabla_Items_Inactivos[[#This Row],[EXISTENCIA]]*Tabla_Items_Inactivos[[#This Row],[COSTO]]</f>
        <v>49.163400000000003</v>
      </c>
    </row>
    <row r="1159" spans="1:8">
      <c r="A1159" t="s">
        <v>3300</v>
      </c>
      <c r="B1159" t="s">
        <v>4411</v>
      </c>
      <c r="C1159" t="s">
        <v>4412</v>
      </c>
      <c r="D1159" t="s">
        <v>85</v>
      </c>
      <c r="E1159" t="s">
        <v>86</v>
      </c>
      <c r="F1159" s="2">
        <v>2.2347000000000001</v>
      </c>
      <c r="G1159">
        <v>22</v>
      </c>
      <c r="H1159" s="2">
        <f>Tabla_Items_Inactivos[[#This Row],[EXISTENCIA]]*Tabla_Items_Inactivos[[#This Row],[COSTO]]</f>
        <v>49.163400000000003</v>
      </c>
    </row>
    <row r="1160" spans="1:8">
      <c r="A1160" t="s">
        <v>3301</v>
      </c>
      <c r="B1160" t="s">
        <v>4413</v>
      </c>
      <c r="C1160" t="s">
        <v>2343</v>
      </c>
      <c r="D1160" t="s">
        <v>219</v>
      </c>
      <c r="E1160" t="s">
        <v>86</v>
      </c>
      <c r="F1160" s="2">
        <v>4.3569000000000004</v>
      </c>
      <c r="G1160">
        <v>5</v>
      </c>
      <c r="H1160" s="2">
        <f>Tabla_Items_Inactivos[[#This Row],[EXISTENCIA]]*Tabla_Items_Inactivos[[#This Row],[COSTO]]</f>
        <v>21.784500000000001</v>
      </c>
    </row>
    <row r="1161" spans="1:8">
      <c r="A1161" t="s">
        <v>3300</v>
      </c>
      <c r="B1161" t="s">
        <v>4413</v>
      </c>
      <c r="C1161" t="s">
        <v>2343</v>
      </c>
      <c r="D1161" t="s">
        <v>219</v>
      </c>
      <c r="E1161" t="s">
        <v>86</v>
      </c>
      <c r="F1161" s="2">
        <v>4.3569000000000004</v>
      </c>
      <c r="G1161">
        <v>5</v>
      </c>
      <c r="H1161" s="2">
        <f>Tabla_Items_Inactivos[[#This Row],[EXISTENCIA]]*Tabla_Items_Inactivos[[#This Row],[COSTO]]</f>
        <v>21.784500000000001</v>
      </c>
    </row>
    <row r="1162" spans="1:8">
      <c r="A1162" t="s">
        <v>3300</v>
      </c>
      <c r="B1162" t="s">
        <v>3032</v>
      </c>
      <c r="C1162" t="s">
        <v>3033</v>
      </c>
      <c r="D1162" t="s">
        <v>85</v>
      </c>
      <c r="E1162" t="s">
        <v>86</v>
      </c>
      <c r="F1162" s="2">
        <v>0.44</v>
      </c>
      <c r="G1162">
        <v>10</v>
      </c>
      <c r="H1162" s="2">
        <f>Tabla_Items_Inactivos[[#This Row],[EXISTENCIA]]*Tabla_Items_Inactivos[[#This Row],[COSTO]]</f>
        <v>4.4000000000000004</v>
      </c>
    </row>
    <row r="1163" spans="1:8">
      <c r="A1163" t="s">
        <v>3300</v>
      </c>
      <c r="B1163" t="s">
        <v>3034</v>
      </c>
      <c r="C1163" t="s">
        <v>2386</v>
      </c>
      <c r="D1163" t="s">
        <v>85</v>
      </c>
      <c r="E1163" t="s">
        <v>86</v>
      </c>
      <c r="F1163" s="2">
        <v>1.8132999999999999</v>
      </c>
      <c r="G1163">
        <v>9</v>
      </c>
      <c r="H1163" s="2">
        <f>Tabla_Items_Inactivos[[#This Row],[EXISTENCIA]]*Tabla_Items_Inactivos[[#This Row],[COSTO]]</f>
        <v>16.319699999999997</v>
      </c>
    </row>
    <row r="1164" spans="1:8">
      <c r="A1164" t="s">
        <v>3300</v>
      </c>
      <c r="B1164" t="s">
        <v>4414</v>
      </c>
      <c r="C1164" t="s">
        <v>4415</v>
      </c>
      <c r="D1164" t="s">
        <v>85</v>
      </c>
      <c r="E1164" t="s">
        <v>86</v>
      </c>
      <c r="F1164" s="2">
        <v>0.68500000000000005</v>
      </c>
      <c r="G1164">
        <v>4</v>
      </c>
      <c r="H1164" s="2">
        <f>Tabla_Items_Inactivos[[#This Row],[EXISTENCIA]]*Tabla_Items_Inactivos[[#This Row],[COSTO]]</f>
        <v>2.74</v>
      </c>
    </row>
    <row r="1165" spans="1:8">
      <c r="A1165" t="s">
        <v>3300</v>
      </c>
      <c r="B1165" t="s">
        <v>4416</v>
      </c>
      <c r="C1165" t="s">
        <v>4417</v>
      </c>
      <c r="D1165" t="s">
        <v>85</v>
      </c>
      <c r="E1165" t="s">
        <v>86</v>
      </c>
      <c r="F1165" s="2">
        <v>2.75</v>
      </c>
      <c r="G1165">
        <v>5</v>
      </c>
      <c r="H1165" s="2">
        <f>Tabla_Items_Inactivos[[#This Row],[EXISTENCIA]]*Tabla_Items_Inactivos[[#This Row],[COSTO]]</f>
        <v>13.75</v>
      </c>
    </row>
    <row r="1166" spans="1:8">
      <c r="A1166" t="s">
        <v>3300</v>
      </c>
      <c r="B1166" t="s">
        <v>4418</v>
      </c>
      <c r="C1166" t="s">
        <v>2441</v>
      </c>
      <c r="D1166" t="s">
        <v>85</v>
      </c>
      <c r="E1166" t="s">
        <v>86</v>
      </c>
      <c r="F1166" s="2">
        <v>8.0934000000000008</v>
      </c>
      <c r="G1166">
        <v>8</v>
      </c>
      <c r="H1166" s="2">
        <f>Tabla_Items_Inactivos[[#This Row],[EXISTENCIA]]*Tabla_Items_Inactivos[[#This Row],[COSTO]]</f>
        <v>64.747200000000007</v>
      </c>
    </row>
    <row r="1167" spans="1:8">
      <c r="A1167" t="s">
        <v>3301</v>
      </c>
      <c r="B1167" t="s">
        <v>4418</v>
      </c>
      <c r="C1167" t="s">
        <v>2441</v>
      </c>
      <c r="D1167" t="s">
        <v>85</v>
      </c>
      <c r="E1167" t="s">
        <v>86</v>
      </c>
      <c r="F1167" s="2">
        <v>8.0934000000000008</v>
      </c>
      <c r="G1167">
        <v>8</v>
      </c>
      <c r="H1167" s="2">
        <f>Tabla_Items_Inactivos[[#This Row],[EXISTENCIA]]*Tabla_Items_Inactivos[[#This Row],[COSTO]]</f>
        <v>64.747200000000007</v>
      </c>
    </row>
    <row r="1168" spans="1:8">
      <c r="A1168" t="s">
        <v>3300</v>
      </c>
      <c r="B1168" t="s">
        <v>4419</v>
      </c>
      <c r="C1168" t="s">
        <v>4420</v>
      </c>
      <c r="D1168" t="s">
        <v>85</v>
      </c>
      <c r="E1168" t="s">
        <v>86</v>
      </c>
      <c r="F1168" s="2">
        <v>3.7286000000000001</v>
      </c>
      <c r="G1168">
        <v>46</v>
      </c>
      <c r="H1168" s="2">
        <f>Tabla_Items_Inactivos[[#This Row],[EXISTENCIA]]*Tabla_Items_Inactivos[[#This Row],[COSTO]]</f>
        <v>171.51560000000001</v>
      </c>
    </row>
    <row r="1169" spans="1:8">
      <c r="A1169" t="s">
        <v>3300</v>
      </c>
      <c r="B1169" t="s">
        <v>423</v>
      </c>
      <c r="C1169" t="s">
        <v>4421</v>
      </c>
      <c r="D1169" t="s">
        <v>85</v>
      </c>
      <c r="E1169" t="s">
        <v>86</v>
      </c>
      <c r="F1169" s="2">
        <v>2.9830999999999999</v>
      </c>
      <c r="G1169">
        <v>42</v>
      </c>
      <c r="H1169" s="2">
        <f>Tabla_Items_Inactivos[[#This Row],[EXISTENCIA]]*Tabla_Items_Inactivos[[#This Row],[COSTO]]</f>
        <v>125.2902</v>
      </c>
    </row>
    <row r="1170" spans="1:8">
      <c r="A1170" t="s">
        <v>3301</v>
      </c>
      <c r="B1170" t="s">
        <v>423</v>
      </c>
      <c r="C1170" t="s">
        <v>4421</v>
      </c>
      <c r="D1170" t="s">
        <v>85</v>
      </c>
      <c r="E1170" t="s">
        <v>86</v>
      </c>
      <c r="F1170" s="2">
        <v>2.9830999999999999</v>
      </c>
      <c r="G1170">
        <v>42</v>
      </c>
      <c r="H1170" s="2">
        <f>Tabla_Items_Inactivos[[#This Row],[EXISTENCIA]]*Tabla_Items_Inactivos[[#This Row],[COSTO]]</f>
        <v>125.2902</v>
      </c>
    </row>
    <row r="1171" spans="1:8">
      <c r="A1171" t="s">
        <v>3301</v>
      </c>
      <c r="B1171" t="s">
        <v>4422</v>
      </c>
      <c r="C1171" t="s">
        <v>4423</v>
      </c>
      <c r="D1171" t="s">
        <v>85</v>
      </c>
      <c r="E1171" t="s">
        <v>86</v>
      </c>
      <c r="F1171" s="2">
        <v>3.4091999999999998</v>
      </c>
      <c r="G1171">
        <v>11</v>
      </c>
      <c r="H1171" s="2">
        <f>Tabla_Items_Inactivos[[#This Row],[EXISTENCIA]]*Tabla_Items_Inactivos[[#This Row],[COSTO]]</f>
        <v>37.501199999999997</v>
      </c>
    </row>
    <row r="1172" spans="1:8">
      <c r="A1172" t="s">
        <v>3300</v>
      </c>
      <c r="B1172" t="s">
        <v>4422</v>
      </c>
      <c r="C1172" t="s">
        <v>4423</v>
      </c>
      <c r="D1172" t="s">
        <v>85</v>
      </c>
      <c r="E1172" t="s">
        <v>86</v>
      </c>
      <c r="F1172" s="2">
        <v>3.4091999999999998</v>
      </c>
      <c r="G1172">
        <v>11</v>
      </c>
      <c r="H1172" s="2">
        <f>Tabla_Items_Inactivos[[#This Row],[EXISTENCIA]]*Tabla_Items_Inactivos[[#This Row],[COSTO]]</f>
        <v>37.501199999999997</v>
      </c>
    </row>
    <row r="1173" spans="1:8">
      <c r="A1173" t="s">
        <v>3300</v>
      </c>
      <c r="B1173" t="s">
        <v>4424</v>
      </c>
      <c r="C1173" t="s">
        <v>4425</v>
      </c>
      <c r="D1173" t="s">
        <v>85</v>
      </c>
      <c r="E1173" t="s">
        <v>86</v>
      </c>
      <c r="F1173" s="2">
        <v>5.4551999999999996</v>
      </c>
      <c r="G1173">
        <v>26</v>
      </c>
      <c r="H1173" s="2">
        <f>Tabla_Items_Inactivos[[#This Row],[EXISTENCIA]]*Tabla_Items_Inactivos[[#This Row],[COSTO]]</f>
        <v>141.83519999999999</v>
      </c>
    </row>
    <row r="1174" spans="1:8">
      <c r="A1174" t="s">
        <v>3301</v>
      </c>
      <c r="B1174" t="s">
        <v>4424</v>
      </c>
      <c r="C1174" t="s">
        <v>4425</v>
      </c>
      <c r="D1174" t="s">
        <v>85</v>
      </c>
      <c r="E1174" t="s">
        <v>86</v>
      </c>
      <c r="F1174" s="2">
        <v>5.4551999999999996</v>
      </c>
      <c r="G1174">
        <v>26</v>
      </c>
      <c r="H1174" s="2">
        <f>Tabla_Items_Inactivos[[#This Row],[EXISTENCIA]]*Tabla_Items_Inactivos[[#This Row],[COSTO]]</f>
        <v>141.83519999999999</v>
      </c>
    </row>
    <row r="1175" spans="1:8">
      <c r="A1175" t="s">
        <v>3300</v>
      </c>
      <c r="B1175" t="s">
        <v>424</v>
      </c>
      <c r="C1175" t="s">
        <v>425</v>
      </c>
      <c r="D1175" t="s">
        <v>219</v>
      </c>
      <c r="E1175" t="s">
        <v>86</v>
      </c>
      <c r="F1175" s="2">
        <v>5.4470999999999998</v>
      </c>
      <c r="G1175">
        <v>15</v>
      </c>
      <c r="H1175" s="2">
        <f>Tabla_Items_Inactivos[[#This Row],[EXISTENCIA]]*Tabla_Items_Inactivos[[#This Row],[COSTO]]</f>
        <v>81.706499999999991</v>
      </c>
    </row>
    <row r="1176" spans="1:8">
      <c r="A1176" t="s">
        <v>3301</v>
      </c>
      <c r="B1176" t="s">
        <v>424</v>
      </c>
      <c r="C1176" t="s">
        <v>425</v>
      </c>
      <c r="D1176" t="s">
        <v>219</v>
      </c>
      <c r="E1176" t="s">
        <v>86</v>
      </c>
      <c r="F1176" s="2">
        <v>5.4470999999999998</v>
      </c>
      <c r="G1176">
        <v>15</v>
      </c>
      <c r="H1176" s="2">
        <f>Tabla_Items_Inactivos[[#This Row],[EXISTENCIA]]*Tabla_Items_Inactivos[[#This Row],[COSTO]]</f>
        <v>81.706499999999991</v>
      </c>
    </row>
    <row r="1177" spans="1:8">
      <c r="A1177" t="s">
        <v>3300</v>
      </c>
      <c r="B1177" t="s">
        <v>4426</v>
      </c>
      <c r="C1177" t="s">
        <v>4427</v>
      </c>
      <c r="D1177" t="s">
        <v>219</v>
      </c>
      <c r="E1177" t="s">
        <v>86</v>
      </c>
      <c r="F1177" s="2">
        <v>4.22</v>
      </c>
      <c r="G1177">
        <v>8</v>
      </c>
      <c r="H1177" s="2">
        <f>Tabla_Items_Inactivos[[#This Row],[EXISTENCIA]]*Tabla_Items_Inactivos[[#This Row],[COSTO]]</f>
        <v>33.76</v>
      </c>
    </row>
    <row r="1178" spans="1:8">
      <c r="A1178" t="s">
        <v>3300</v>
      </c>
      <c r="B1178" t="s">
        <v>4428</v>
      </c>
      <c r="C1178" t="s">
        <v>4429</v>
      </c>
      <c r="D1178" t="s">
        <v>219</v>
      </c>
      <c r="E1178" t="s">
        <v>86</v>
      </c>
      <c r="F1178" s="2">
        <v>3.68</v>
      </c>
      <c r="G1178">
        <v>2</v>
      </c>
      <c r="H1178" s="2">
        <f>Tabla_Items_Inactivos[[#This Row],[EXISTENCIA]]*Tabla_Items_Inactivos[[#This Row],[COSTO]]</f>
        <v>7.36</v>
      </c>
    </row>
    <row r="1179" spans="1:8">
      <c r="A1179" t="s">
        <v>3300</v>
      </c>
      <c r="B1179" t="s">
        <v>4430</v>
      </c>
      <c r="C1179" t="s">
        <v>4431</v>
      </c>
      <c r="D1179" t="s">
        <v>85</v>
      </c>
      <c r="E1179" t="s">
        <v>86</v>
      </c>
      <c r="F1179" s="2">
        <v>1.9249000000000001</v>
      </c>
      <c r="G1179">
        <v>5</v>
      </c>
      <c r="H1179" s="2">
        <f>Tabla_Items_Inactivos[[#This Row],[EXISTENCIA]]*Tabla_Items_Inactivos[[#This Row],[COSTO]]</f>
        <v>9.6245000000000012</v>
      </c>
    </row>
    <row r="1180" spans="1:8">
      <c r="A1180" t="s">
        <v>3301</v>
      </c>
      <c r="B1180" t="s">
        <v>4430</v>
      </c>
      <c r="C1180" t="s">
        <v>4431</v>
      </c>
      <c r="D1180" t="s">
        <v>85</v>
      </c>
      <c r="E1180" t="s">
        <v>86</v>
      </c>
      <c r="F1180" s="2">
        <v>1.9249000000000001</v>
      </c>
      <c r="G1180">
        <v>5</v>
      </c>
      <c r="H1180" s="2">
        <f>Tabla_Items_Inactivos[[#This Row],[EXISTENCIA]]*Tabla_Items_Inactivos[[#This Row],[COSTO]]</f>
        <v>9.6245000000000012</v>
      </c>
    </row>
    <row r="1181" spans="1:8">
      <c r="A1181" t="s">
        <v>3300</v>
      </c>
      <c r="B1181" t="s">
        <v>4432</v>
      </c>
      <c r="C1181" t="s">
        <v>4433</v>
      </c>
      <c r="D1181" t="s">
        <v>85</v>
      </c>
      <c r="E1181" t="s">
        <v>86</v>
      </c>
      <c r="F1181" s="2">
        <v>3.2879999999999998</v>
      </c>
      <c r="G1181">
        <v>3</v>
      </c>
      <c r="H1181" s="2">
        <f>Tabla_Items_Inactivos[[#This Row],[EXISTENCIA]]*Tabla_Items_Inactivos[[#This Row],[COSTO]]</f>
        <v>9.863999999999999</v>
      </c>
    </row>
    <row r="1182" spans="1:8">
      <c r="A1182" t="s">
        <v>3300</v>
      </c>
      <c r="B1182" t="s">
        <v>3035</v>
      </c>
      <c r="C1182" t="s">
        <v>4434</v>
      </c>
      <c r="D1182" t="s">
        <v>85</v>
      </c>
      <c r="E1182" t="s">
        <v>86</v>
      </c>
      <c r="F1182" s="2">
        <v>3.4702000000000002</v>
      </c>
      <c r="G1182">
        <v>43</v>
      </c>
      <c r="H1182" s="2">
        <f>Tabla_Items_Inactivos[[#This Row],[EXISTENCIA]]*Tabla_Items_Inactivos[[#This Row],[COSTO]]</f>
        <v>149.21860000000001</v>
      </c>
    </row>
    <row r="1183" spans="1:8">
      <c r="A1183" t="s">
        <v>3301</v>
      </c>
      <c r="B1183" t="s">
        <v>3035</v>
      </c>
      <c r="C1183" t="s">
        <v>4434</v>
      </c>
      <c r="D1183" t="s">
        <v>85</v>
      </c>
      <c r="E1183" t="s">
        <v>86</v>
      </c>
      <c r="F1183" s="2">
        <v>3.4702000000000002</v>
      </c>
      <c r="G1183">
        <v>43</v>
      </c>
      <c r="H1183" s="2">
        <f>Tabla_Items_Inactivos[[#This Row],[EXISTENCIA]]*Tabla_Items_Inactivos[[#This Row],[COSTO]]</f>
        <v>149.21860000000001</v>
      </c>
    </row>
    <row r="1184" spans="1:8">
      <c r="A1184" t="s">
        <v>3300</v>
      </c>
      <c r="B1184" t="s">
        <v>4435</v>
      </c>
      <c r="C1184" t="s">
        <v>4436</v>
      </c>
      <c r="D1184" t="s">
        <v>85</v>
      </c>
      <c r="E1184" t="s">
        <v>86</v>
      </c>
      <c r="F1184" s="2">
        <v>4.4074</v>
      </c>
      <c r="G1184">
        <v>72</v>
      </c>
      <c r="H1184" s="2">
        <f>Tabla_Items_Inactivos[[#This Row],[EXISTENCIA]]*Tabla_Items_Inactivos[[#This Row],[COSTO]]</f>
        <v>317.33280000000002</v>
      </c>
    </row>
    <row r="1185" spans="1:8">
      <c r="A1185" t="s">
        <v>3301</v>
      </c>
      <c r="B1185" t="s">
        <v>4435</v>
      </c>
      <c r="C1185" t="s">
        <v>4436</v>
      </c>
      <c r="D1185" t="s">
        <v>85</v>
      </c>
      <c r="E1185" t="s">
        <v>86</v>
      </c>
      <c r="F1185" s="2">
        <v>4.4074</v>
      </c>
      <c r="G1185">
        <v>72</v>
      </c>
      <c r="H1185" s="2">
        <f>Tabla_Items_Inactivos[[#This Row],[EXISTENCIA]]*Tabla_Items_Inactivos[[#This Row],[COSTO]]</f>
        <v>317.33280000000002</v>
      </c>
    </row>
    <row r="1186" spans="1:8">
      <c r="A1186" t="s">
        <v>3300</v>
      </c>
      <c r="B1186" t="s">
        <v>4437</v>
      </c>
      <c r="C1186" t="s">
        <v>4438</v>
      </c>
      <c r="D1186" t="s">
        <v>219</v>
      </c>
      <c r="E1186" t="s">
        <v>86</v>
      </c>
      <c r="F1186" s="2">
        <v>6.31</v>
      </c>
      <c r="G1186">
        <v>1</v>
      </c>
      <c r="H1186" s="2">
        <f>Tabla_Items_Inactivos[[#This Row],[EXISTENCIA]]*Tabla_Items_Inactivos[[#This Row],[COSTO]]</f>
        <v>6.31</v>
      </c>
    </row>
    <row r="1187" spans="1:8">
      <c r="A1187" t="s">
        <v>3301</v>
      </c>
      <c r="B1187" t="s">
        <v>4439</v>
      </c>
      <c r="C1187" t="s">
        <v>4440</v>
      </c>
      <c r="D1187" t="s">
        <v>85</v>
      </c>
      <c r="E1187" t="s">
        <v>86</v>
      </c>
      <c r="F1187" s="2">
        <v>1.2049000000000001</v>
      </c>
      <c r="G1187">
        <v>17</v>
      </c>
      <c r="H1187" s="2">
        <f>Tabla_Items_Inactivos[[#This Row],[EXISTENCIA]]*Tabla_Items_Inactivos[[#This Row],[COSTO]]</f>
        <v>20.4833</v>
      </c>
    </row>
    <row r="1188" spans="1:8">
      <c r="A1188" t="s">
        <v>3300</v>
      </c>
      <c r="B1188" t="s">
        <v>4439</v>
      </c>
      <c r="C1188" t="s">
        <v>4440</v>
      </c>
      <c r="D1188" t="s">
        <v>85</v>
      </c>
      <c r="E1188" t="s">
        <v>86</v>
      </c>
      <c r="F1188" s="2">
        <v>1.2049000000000001</v>
      </c>
      <c r="G1188">
        <v>17</v>
      </c>
      <c r="H1188" s="2">
        <f>Tabla_Items_Inactivos[[#This Row],[EXISTENCIA]]*Tabla_Items_Inactivos[[#This Row],[COSTO]]</f>
        <v>20.4833</v>
      </c>
    </row>
    <row r="1189" spans="1:8">
      <c r="A1189" t="s">
        <v>3300</v>
      </c>
      <c r="B1189" t="s">
        <v>3036</v>
      </c>
      <c r="C1189" t="s">
        <v>2396</v>
      </c>
      <c r="D1189" t="s">
        <v>85</v>
      </c>
      <c r="E1189" t="s">
        <v>86</v>
      </c>
      <c r="F1189" s="2">
        <v>0.81799999999999995</v>
      </c>
      <c r="G1189">
        <v>29</v>
      </c>
      <c r="H1189" s="2">
        <f>Tabla_Items_Inactivos[[#This Row],[EXISTENCIA]]*Tabla_Items_Inactivos[[#This Row],[COSTO]]</f>
        <v>23.721999999999998</v>
      </c>
    </row>
    <row r="1190" spans="1:8">
      <c r="A1190" t="s">
        <v>3300</v>
      </c>
      <c r="B1190" t="s">
        <v>4441</v>
      </c>
      <c r="C1190" t="s">
        <v>4442</v>
      </c>
      <c r="D1190" t="s">
        <v>85</v>
      </c>
      <c r="E1190" t="s">
        <v>86</v>
      </c>
      <c r="F1190" s="2">
        <v>1.2846</v>
      </c>
      <c r="G1190">
        <v>13</v>
      </c>
      <c r="H1190" s="2">
        <f>Tabla_Items_Inactivos[[#This Row],[EXISTENCIA]]*Tabla_Items_Inactivos[[#This Row],[COSTO]]</f>
        <v>16.6998</v>
      </c>
    </row>
    <row r="1191" spans="1:8">
      <c r="A1191" t="s">
        <v>3300</v>
      </c>
      <c r="B1191" t="s">
        <v>4443</v>
      </c>
      <c r="C1191" t="s">
        <v>3242</v>
      </c>
      <c r="D1191" t="s">
        <v>85</v>
      </c>
      <c r="E1191" t="s">
        <v>86</v>
      </c>
      <c r="F1191" s="2">
        <v>2.5558999999999998</v>
      </c>
      <c r="G1191">
        <v>8</v>
      </c>
      <c r="H1191" s="2">
        <f>Tabla_Items_Inactivos[[#This Row],[EXISTENCIA]]*Tabla_Items_Inactivos[[#This Row],[COSTO]]</f>
        <v>20.447199999999999</v>
      </c>
    </row>
    <row r="1192" spans="1:8">
      <c r="A1192" t="s">
        <v>3301</v>
      </c>
      <c r="B1192" t="s">
        <v>4443</v>
      </c>
      <c r="C1192" t="s">
        <v>3242</v>
      </c>
      <c r="D1192" t="s">
        <v>85</v>
      </c>
      <c r="E1192" t="s">
        <v>86</v>
      </c>
      <c r="F1192" s="2">
        <v>2.5558999999999998</v>
      </c>
      <c r="G1192">
        <v>8</v>
      </c>
      <c r="H1192" s="2">
        <f>Tabla_Items_Inactivos[[#This Row],[EXISTENCIA]]*Tabla_Items_Inactivos[[#This Row],[COSTO]]</f>
        <v>20.447199999999999</v>
      </c>
    </row>
    <row r="1193" spans="1:8">
      <c r="A1193" t="s">
        <v>3300</v>
      </c>
      <c r="B1193" t="s">
        <v>4444</v>
      </c>
      <c r="C1193" t="s">
        <v>2299</v>
      </c>
      <c r="D1193" t="s">
        <v>219</v>
      </c>
      <c r="E1193" t="s">
        <v>86</v>
      </c>
      <c r="F1193" s="2">
        <v>2.2519999999999998</v>
      </c>
      <c r="G1193">
        <v>4</v>
      </c>
      <c r="H1193" s="2">
        <f>Tabla_Items_Inactivos[[#This Row],[EXISTENCIA]]*Tabla_Items_Inactivos[[#This Row],[COSTO]]</f>
        <v>9.0079999999999991</v>
      </c>
    </row>
    <row r="1194" spans="1:8">
      <c r="A1194" t="s">
        <v>3300</v>
      </c>
      <c r="B1194" t="s">
        <v>4445</v>
      </c>
      <c r="C1194" t="s">
        <v>4446</v>
      </c>
      <c r="D1194" t="s">
        <v>85</v>
      </c>
      <c r="E1194" t="s">
        <v>86</v>
      </c>
      <c r="F1194" s="2">
        <v>0.48849999999999999</v>
      </c>
      <c r="G1194">
        <v>12</v>
      </c>
      <c r="H1194" s="2">
        <f>Tabla_Items_Inactivos[[#This Row],[EXISTENCIA]]*Tabla_Items_Inactivos[[#This Row],[COSTO]]</f>
        <v>5.8620000000000001</v>
      </c>
    </row>
    <row r="1195" spans="1:8">
      <c r="A1195" t="s">
        <v>3301</v>
      </c>
      <c r="B1195" t="s">
        <v>4445</v>
      </c>
      <c r="C1195" t="s">
        <v>4446</v>
      </c>
      <c r="D1195" t="s">
        <v>85</v>
      </c>
      <c r="E1195" t="s">
        <v>86</v>
      </c>
      <c r="F1195" s="2">
        <v>0.48849999999999999</v>
      </c>
      <c r="G1195">
        <v>12</v>
      </c>
      <c r="H1195" s="2">
        <f>Tabla_Items_Inactivos[[#This Row],[EXISTENCIA]]*Tabla_Items_Inactivos[[#This Row],[COSTO]]</f>
        <v>5.8620000000000001</v>
      </c>
    </row>
    <row r="1196" spans="1:8">
      <c r="A1196" t="s">
        <v>3301</v>
      </c>
      <c r="B1196" t="s">
        <v>4447</v>
      </c>
      <c r="C1196" t="s">
        <v>4448</v>
      </c>
      <c r="D1196" t="s">
        <v>85</v>
      </c>
      <c r="E1196" t="s">
        <v>86</v>
      </c>
      <c r="F1196" s="2">
        <v>1.0936999999999999</v>
      </c>
      <c r="G1196">
        <v>8</v>
      </c>
      <c r="H1196" s="2">
        <f>Tabla_Items_Inactivos[[#This Row],[EXISTENCIA]]*Tabla_Items_Inactivos[[#This Row],[COSTO]]</f>
        <v>8.7495999999999992</v>
      </c>
    </row>
    <row r="1197" spans="1:8">
      <c r="A1197" t="s">
        <v>3300</v>
      </c>
      <c r="B1197" t="s">
        <v>4447</v>
      </c>
      <c r="C1197" t="s">
        <v>4448</v>
      </c>
      <c r="D1197" t="s">
        <v>85</v>
      </c>
      <c r="E1197" t="s">
        <v>86</v>
      </c>
      <c r="F1197" s="2">
        <v>1.0936999999999999</v>
      </c>
      <c r="G1197">
        <v>8</v>
      </c>
      <c r="H1197" s="2">
        <f>Tabla_Items_Inactivos[[#This Row],[EXISTENCIA]]*Tabla_Items_Inactivos[[#This Row],[COSTO]]</f>
        <v>8.7495999999999992</v>
      </c>
    </row>
    <row r="1198" spans="1:8">
      <c r="A1198" t="s">
        <v>3300</v>
      </c>
      <c r="B1198" t="s">
        <v>4449</v>
      </c>
      <c r="C1198" t="s">
        <v>2298</v>
      </c>
      <c r="D1198" t="s">
        <v>219</v>
      </c>
      <c r="E1198" t="s">
        <v>86</v>
      </c>
      <c r="F1198" s="2">
        <v>0.53800000000000003</v>
      </c>
      <c r="G1198">
        <v>10</v>
      </c>
      <c r="H1198" s="2">
        <f>Tabla_Items_Inactivos[[#This Row],[EXISTENCIA]]*Tabla_Items_Inactivos[[#This Row],[COSTO]]</f>
        <v>5.3800000000000008</v>
      </c>
    </row>
    <row r="1199" spans="1:8">
      <c r="A1199" t="s">
        <v>3301</v>
      </c>
      <c r="B1199" t="s">
        <v>4450</v>
      </c>
      <c r="C1199" t="s">
        <v>4451</v>
      </c>
      <c r="D1199" t="s">
        <v>85</v>
      </c>
      <c r="E1199" t="s">
        <v>86</v>
      </c>
      <c r="F1199" s="2">
        <v>1.4016</v>
      </c>
      <c r="G1199">
        <v>20</v>
      </c>
      <c r="H1199" s="2">
        <f>Tabla_Items_Inactivos[[#This Row],[EXISTENCIA]]*Tabla_Items_Inactivos[[#This Row],[COSTO]]</f>
        <v>28.032</v>
      </c>
    </row>
    <row r="1200" spans="1:8">
      <c r="A1200" t="s">
        <v>3300</v>
      </c>
      <c r="B1200" t="s">
        <v>4450</v>
      </c>
      <c r="C1200" t="s">
        <v>4451</v>
      </c>
      <c r="D1200" t="s">
        <v>85</v>
      </c>
      <c r="E1200" t="s">
        <v>86</v>
      </c>
      <c r="F1200" s="2">
        <v>1.4016</v>
      </c>
      <c r="G1200">
        <v>20</v>
      </c>
      <c r="H1200" s="2">
        <f>Tabla_Items_Inactivos[[#This Row],[EXISTENCIA]]*Tabla_Items_Inactivos[[#This Row],[COSTO]]</f>
        <v>28.032</v>
      </c>
    </row>
    <row r="1201" spans="1:8">
      <c r="A1201" t="s">
        <v>3300</v>
      </c>
      <c r="B1201" t="s">
        <v>4452</v>
      </c>
      <c r="C1201" t="s">
        <v>3224</v>
      </c>
      <c r="D1201" t="s">
        <v>85</v>
      </c>
      <c r="E1201" t="s">
        <v>86</v>
      </c>
      <c r="F1201" s="2">
        <v>2.1457999999999999</v>
      </c>
      <c r="G1201">
        <v>4</v>
      </c>
      <c r="H1201" s="2">
        <f>Tabla_Items_Inactivos[[#This Row],[EXISTENCIA]]*Tabla_Items_Inactivos[[#This Row],[COSTO]]</f>
        <v>8.5831999999999997</v>
      </c>
    </row>
    <row r="1202" spans="1:8">
      <c r="A1202" t="s">
        <v>3301</v>
      </c>
      <c r="B1202" t="s">
        <v>4452</v>
      </c>
      <c r="C1202" t="s">
        <v>3224</v>
      </c>
      <c r="D1202" t="s">
        <v>85</v>
      </c>
      <c r="E1202" t="s">
        <v>86</v>
      </c>
      <c r="F1202" s="2">
        <v>2.1457999999999999</v>
      </c>
      <c r="G1202">
        <v>4</v>
      </c>
      <c r="H1202" s="2">
        <f>Tabla_Items_Inactivos[[#This Row],[EXISTENCIA]]*Tabla_Items_Inactivos[[#This Row],[COSTO]]</f>
        <v>8.5831999999999997</v>
      </c>
    </row>
    <row r="1203" spans="1:8">
      <c r="A1203" t="s">
        <v>3300</v>
      </c>
      <c r="B1203" t="s">
        <v>426</v>
      </c>
      <c r="C1203" t="s">
        <v>427</v>
      </c>
      <c r="D1203" t="s">
        <v>85</v>
      </c>
      <c r="E1203" t="s">
        <v>86</v>
      </c>
      <c r="F1203" s="2">
        <v>1.0145</v>
      </c>
      <c r="G1203">
        <v>10</v>
      </c>
      <c r="H1203" s="2">
        <f>Tabla_Items_Inactivos[[#This Row],[EXISTENCIA]]*Tabla_Items_Inactivos[[#This Row],[COSTO]]</f>
        <v>10.145</v>
      </c>
    </row>
    <row r="1204" spans="1:8">
      <c r="A1204" t="s">
        <v>3300</v>
      </c>
      <c r="B1204" t="s">
        <v>4453</v>
      </c>
      <c r="C1204" t="s">
        <v>4454</v>
      </c>
      <c r="D1204" t="s">
        <v>85</v>
      </c>
      <c r="E1204" t="s">
        <v>86</v>
      </c>
      <c r="F1204" s="2">
        <v>1.5476000000000001</v>
      </c>
      <c r="G1204">
        <v>15</v>
      </c>
      <c r="H1204" s="2">
        <f>Tabla_Items_Inactivos[[#This Row],[EXISTENCIA]]*Tabla_Items_Inactivos[[#This Row],[COSTO]]</f>
        <v>23.214000000000002</v>
      </c>
    </row>
    <row r="1205" spans="1:8">
      <c r="A1205" t="s">
        <v>3300</v>
      </c>
      <c r="B1205" t="s">
        <v>4455</v>
      </c>
      <c r="C1205" t="s">
        <v>4456</v>
      </c>
      <c r="D1205" t="s">
        <v>85</v>
      </c>
      <c r="E1205" t="s">
        <v>86</v>
      </c>
      <c r="F1205" s="2">
        <v>4.1260000000000003</v>
      </c>
      <c r="G1205">
        <v>4</v>
      </c>
      <c r="H1205" s="2">
        <f>Tabla_Items_Inactivos[[#This Row],[EXISTENCIA]]*Tabla_Items_Inactivos[[#This Row],[COSTO]]</f>
        <v>16.504000000000001</v>
      </c>
    </row>
    <row r="1206" spans="1:8">
      <c r="A1206" t="s">
        <v>3300</v>
      </c>
      <c r="B1206" t="s">
        <v>3037</v>
      </c>
      <c r="C1206" t="s">
        <v>3038</v>
      </c>
      <c r="D1206" t="s">
        <v>85</v>
      </c>
      <c r="E1206" t="s">
        <v>86</v>
      </c>
      <c r="F1206" s="2">
        <v>7.62</v>
      </c>
      <c r="G1206">
        <v>10</v>
      </c>
      <c r="H1206" s="2">
        <f>Tabla_Items_Inactivos[[#This Row],[EXISTENCIA]]*Tabla_Items_Inactivos[[#This Row],[COSTO]]</f>
        <v>76.2</v>
      </c>
    </row>
    <row r="1207" spans="1:8">
      <c r="A1207" t="s">
        <v>3300</v>
      </c>
      <c r="B1207" t="s">
        <v>4457</v>
      </c>
      <c r="C1207" t="s">
        <v>4458</v>
      </c>
      <c r="D1207" t="s">
        <v>85</v>
      </c>
      <c r="E1207" t="s">
        <v>86</v>
      </c>
      <c r="F1207" s="2">
        <v>4.74</v>
      </c>
      <c r="G1207">
        <v>9</v>
      </c>
      <c r="H1207" s="2">
        <f>Tabla_Items_Inactivos[[#This Row],[EXISTENCIA]]*Tabla_Items_Inactivos[[#This Row],[COSTO]]</f>
        <v>42.660000000000004</v>
      </c>
    </row>
    <row r="1208" spans="1:8">
      <c r="A1208" t="s">
        <v>3300</v>
      </c>
      <c r="B1208" t="s">
        <v>3039</v>
      </c>
      <c r="C1208" t="s">
        <v>3040</v>
      </c>
      <c r="D1208" t="s">
        <v>85</v>
      </c>
      <c r="E1208" t="s">
        <v>86</v>
      </c>
      <c r="F1208" s="2">
        <v>1.6969000000000001</v>
      </c>
      <c r="G1208">
        <v>24</v>
      </c>
      <c r="H1208" s="2">
        <f>Tabla_Items_Inactivos[[#This Row],[EXISTENCIA]]*Tabla_Items_Inactivos[[#This Row],[COSTO]]</f>
        <v>40.7256</v>
      </c>
    </row>
    <row r="1209" spans="1:8">
      <c r="A1209" t="s">
        <v>3301</v>
      </c>
      <c r="B1209" t="s">
        <v>3039</v>
      </c>
      <c r="C1209" t="s">
        <v>3040</v>
      </c>
      <c r="D1209" t="s">
        <v>85</v>
      </c>
      <c r="E1209" t="s">
        <v>86</v>
      </c>
      <c r="F1209" s="2">
        <v>1.6969000000000001</v>
      </c>
      <c r="G1209">
        <v>24</v>
      </c>
      <c r="H1209" s="2">
        <f>Tabla_Items_Inactivos[[#This Row],[EXISTENCIA]]*Tabla_Items_Inactivos[[#This Row],[COSTO]]</f>
        <v>40.7256</v>
      </c>
    </row>
    <row r="1210" spans="1:8">
      <c r="A1210" t="s">
        <v>3300</v>
      </c>
      <c r="B1210" t="s">
        <v>4459</v>
      </c>
      <c r="C1210" t="s">
        <v>2321</v>
      </c>
      <c r="D1210" t="s">
        <v>219</v>
      </c>
      <c r="E1210" t="s">
        <v>86</v>
      </c>
      <c r="F1210" s="2">
        <v>2.7570000000000001</v>
      </c>
      <c r="G1210">
        <v>9</v>
      </c>
      <c r="H1210" s="2">
        <f>Tabla_Items_Inactivos[[#This Row],[EXISTENCIA]]*Tabla_Items_Inactivos[[#This Row],[COSTO]]</f>
        <v>24.813000000000002</v>
      </c>
    </row>
    <row r="1211" spans="1:8">
      <c r="A1211" t="s">
        <v>3300</v>
      </c>
      <c r="B1211" t="s">
        <v>4460</v>
      </c>
      <c r="C1211" t="s">
        <v>4461</v>
      </c>
      <c r="D1211" t="s">
        <v>219</v>
      </c>
      <c r="E1211" t="s">
        <v>86</v>
      </c>
      <c r="F1211" s="2">
        <v>11.188000000000001</v>
      </c>
      <c r="G1211">
        <v>5</v>
      </c>
      <c r="H1211" s="2">
        <f>Tabla_Items_Inactivos[[#This Row],[EXISTENCIA]]*Tabla_Items_Inactivos[[#This Row],[COSTO]]</f>
        <v>55.940000000000005</v>
      </c>
    </row>
    <row r="1212" spans="1:8">
      <c r="A1212" t="s">
        <v>3300</v>
      </c>
      <c r="B1212" t="s">
        <v>4462</v>
      </c>
      <c r="C1212" t="s">
        <v>3705</v>
      </c>
      <c r="D1212" t="s">
        <v>85</v>
      </c>
      <c r="E1212" t="s">
        <v>86</v>
      </c>
      <c r="F1212" s="2">
        <v>15.8644</v>
      </c>
      <c r="G1212">
        <v>5</v>
      </c>
      <c r="H1212" s="2">
        <f>Tabla_Items_Inactivos[[#This Row],[EXISTENCIA]]*Tabla_Items_Inactivos[[#This Row],[COSTO]]</f>
        <v>79.322000000000003</v>
      </c>
    </row>
    <row r="1213" spans="1:8">
      <c r="A1213" t="s">
        <v>3300</v>
      </c>
      <c r="B1213" t="s">
        <v>428</v>
      </c>
      <c r="C1213" t="s">
        <v>429</v>
      </c>
      <c r="D1213" t="s">
        <v>219</v>
      </c>
      <c r="E1213" t="s">
        <v>86</v>
      </c>
      <c r="F1213" s="2">
        <v>11.327999999999999</v>
      </c>
      <c r="G1213">
        <v>1</v>
      </c>
      <c r="H1213" s="2">
        <f>Tabla_Items_Inactivos[[#This Row],[EXISTENCIA]]*Tabla_Items_Inactivos[[#This Row],[COSTO]]</f>
        <v>11.327999999999999</v>
      </c>
    </row>
    <row r="1214" spans="1:8">
      <c r="A1214" t="s">
        <v>3300</v>
      </c>
      <c r="B1214" t="s">
        <v>3041</v>
      </c>
      <c r="C1214" t="s">
        <v>3042</v>
      </c>
      <c r="D1214" t="s">
        <v>85</v>
      </c>
      <c r="E1214" t="s">
        <v>86</v>
      </c>
      <c r="F1214" s="2">
        <v>5.4240000000000004</v>
      </c>
      <c r="G1214">
        <v>7</v>
      </c>
      <c r="H1214" s="2">
        <f>Tabla_Items_Inactivos[[#This Row],[EXISTENCIA]]*Tabla_Items_Inactivos[[#This Row],[COSTO]]</f>
        <v>37.968000000000004</v>
      </c>
    </row>
    <row r="1215" spans="1:8">
      <c r="A1215" t="s">
        <v>3300</v>
      </c>
      <c r="B1215" t="s">
        <v>4463</v>
      </c>
      <c r="C1215" t="s">
        <v>4464</v>
      </c>
      <c r="D1215" t="s">
        <v>85</v>
      </c>
      <c r="E1215" t="s">
        <v>86</v>
      </c>
      <c r="F1215" s="2">
        <v>6.258</v>
      </c>
      <c r="G1215">
        <v>4</v>
      </c>
      <c r="H1215" s="2">
        <f>Tabla_Items_Inactivos[[#This Row],[EXISTENCIA]]*Tabla_Items_Inactivos[[#This Row],[COSTO]]</f>
        <v>25.032</v>
      </c>
    </row>
    <row r="1216" spans="1:8">
      <c r="A1216" t="s">
        <v>3300</v>
      </c>
      <c r="B1216" t="s">
        <v>4465</v>
      </c>
      <c r="C1216" t="s">
        <v>4466</v>
      </c>
      <c r="D1216" t="s">
        <v>85</v>
      </c>
      <c r="E1216" t="s">
        <v>86</v>
      </c>
      <c r="F1216" s="2">
        <v>3.9359999999999999</v>
      </c>
      <c r="G1216">
        <v>1</v>
      </c>
      <c r="H1216" s="2">
        <f>Tabla_Items_Inactivos[[#This Row],[EXISTENCIA]]*Tabla_Items_Inactivos[[#This Row],[COSTO]]</f>
        <v>3.9359999999999999</v>
      </c>
    </row>
    <row r="1217" spans="1:8">
      <c r="A1217" t="s">
        <v>3300</v>
      </c>
      <c r="B1217" t="s">
        <v>4467</v>
      </c>
      <c r="C1217" t="s">
        <v>4468</v>
      </c>
      <c r="D1217" t="s">
        <v>85</v>
      </c>
      <c r="E1217" t="s">
        <v>86</v>
      </c>
      <c r="F1217" s="2">
        <v>6.47</v>
      </c>
      <c r="G1217">
        <v>9</v>
      </c>
      <c r="H1217" s="2">
        <f>Tabla_Items_Inactivos[[#This Row],[EXISTENCIA]]*Tabla_Items_Inactivos[[#This Row],[COSTO]]</f>
        <v>58.23</v>
      </c>
    </row>
    <row r="1218" spans="1:8">
      <c r="A1218" t="s">
        <v>3300</v>
      </c>
      <c r="B1218" t="s">
        <v>4469</v>
      </c>
      <c r="C1218" t="s">
        <v>252</v>
      </c>
      <c r="D1218" t="s">
        <v>85</v>
      </c>
      <c r="E1218" t="s">
        <v>86</v>
      </c>
      <c r="F1218" s="2">
        <v>11.5953</v>
      </c>
      <c r="G1218">
        <v>18</v>
      </c>
      <c r="H1218" s="2">
        <f>Tabla_Items_Inactivos[[#This Row],[EXISTENCIA]]*Tabla_Items_Inactivos[[#This Row],[COSTO]]</f>
        <v>208.71539999999999</v>
      </c>
    </row>
    <row r="1219" spans="1:8">
      <c r="A1219" t="s">
        <v>3301</v>
      </c>
      <c r="B1219" t="s">
        <v>4470</v>
      </c>
      <c r="C1219" t="s">
        <v>4471</v>
      </c>
      <c r="D1219" t="s">
        <v>219</v>
      </c>
      <c r="E1219" t="s">
        <v>86</v>
      </c>
      <c r="F1219" s="2">
        <v>13.9466</v>
      </c>
      <c r="G1219">
        <v>5</v>
      </c>
      <c r="H1219" s="2">
        <f>Tabla_Items_Inactivos[[#This Row],[EXISTENCIA]]*Tabla_Items_Inactivos[[#This Row],[COSTO]]</f>
        <v>69.733000000000004</v>
      </c>
    </row>
    <row r="1220" spans="1:8">
      <c r="A1220" t="s">
        <v>3300</v>
      </c>
      <c r="B1220" t="s">
        <v>4470</v>
      </c>
      <c r="C1220" t="s">
        <v>4471</v>
      </c>
      <c r="D1220" t="s">
        <v>219</v>
      </c>
      <c r="E1220" t="s">
        <v>86</v>
      </c>
      <c r="F1220" s="2">
        <v>13.9466</v>
      </c>
      <c r="G1220">
        <v>5</v>
      </c>
      <c r="H1220" s="2">
        <f>Tabla_Items_Inactivos[[#This Row],[EXISTENCIA]]*Tabla_Items_Inactivos[[#This Row],[COSTO]]</f>
        <v>69.733000000000004</v>
      </c>
    </row>
    <row r="1221" spans="1:8">
      <c r="A1221" t="s">
        <v>3300</v>
      </c>
      <c r="B1221" t="s">
        <v>4472</v>
      </c>
      <c r="C1221" t="s">
        <v>4473</v>
      </c>
      <c r="D1221" t="s">
        <v>219</v>
      </c>
      <c r="E1221" t="s">
        <v>86</v>
      </c>
      <c r="F1221" s="2">
        <v>0</v>
      </c>
      <c r="G1221">
        <v>2</v>
      </c>
      <c r="H1221" s="2">
        <f>Tabla_Items_Inactivos[[#This Row],[EXISTENCIA]]*Tabla_Items_Inactivos[[#This Row],[COSTO]]</f>
        <v>0</v>
      </c>
    </row>
    <row r="1222" spans="1:8">
      <c r="A1222" t="s">
        <v>3300</v>
      </c>
      <c r="B1222" t="s">
        <v>4474</v>
      </c>
      <c r="C1222" t="s">
        <v>4475</v>
      </c>
      <c r="D1222" t="s">
        <v>219</v>
      </c>
      <c r="E1222" t="s">
        <v>86</v>
      </c>
      <c r="F1222" s="2">
        <v>1.173</v>
      </c>
      <c r="G1222">
        <v>3</v>
      </c>
      <c r="H1222" s="2">
        <f>Tabla_Items_Inactivos[[#This Row],[EXISTENCIA]]*Tabla_Items_Inactivos[[#This Row],[COSTO]]</f>
        <v>3.5190000000000001</v>
      </c>
    </row>
    <row r="1223" spans="1:8">
      <c r="A1223" t="s">
        <v>3300</v>
      </c>
      <c r="B1223" t="s">
        <v>4476</v>
      </c>
      <c r="C1223" t="s">
        <v>4477</v>
      </c>
      <c r="D1223" t="s">
        <v>85</v>
      </c>
      <c r="E1223" t="s">
        <v>86</v>
      </c>
      <c r="F1223" s="2">
        <v>1.34</v>
      </c>
      <c r="G1223">
        <v>10</v>
      </c>
      <c r="H1223" s="2">
        <f>Tabla_Items_Inactivos[[#This Row],[EXISTENCIA]]*Tabla_Items_Inactivos[[#This Row],[COSTO]]</f>
        <v>13.4</v>
      </c>
    </row>
    <row r="1224" spans="1:8">
      <c r="A1224" t="s">
        <v>3300</v>
      </c>
      <c r="B1224" t="s">
        <v>4478</v>
      </c>
      <c r="C1224" t="s">
        <v>4479</v>
      </c>
      <c r="D1224" t="s">
        <v>85</v>
      </c>
      <c r="E1224" t="s">
        <v>86</v>
      </c>
      <c r="F1224" s="2">
        <v>0.71299999999999997</v>
      </c>
      <c r="G1224">
        <v>37</v>
      </c>
      <c r="H1224" s="2">
        <f>Tabla_Items_Inactivos[[#This Row],[EXISTENCIA]]*Tabla_Items_Inactivos[[#This Row],[COSTO]]</f>
        <v>26.381</v>
      </c>
    </row>
    <row r="1225" spans="1:8">
      <c r="A1225" t="s">
        <v>3300</v>
      </c>
      <c r="B1225" t="s">
        <v>3043</v>
      </c>
      <c r="C1225" t="s">
        <v>3044</v>
      </c>
      <c r="D1225" t="s">
        <v>85</v>
      </c>
      <c r="E1225" t="s">
        <v>86</v>
      </c>
      <c r="F1225" s="2">
        <v>0.79869999999999997</v>
      </c>
      <c r="G1225">
        <v>67</v>
      </c>
      <c r="H1225" s="2">
        <f>Tabla_Items_Inactivos[[#This Row],[EXISTENCIA]]*Tabla_Items_Inactivos[[#This Row],[COSTO]]</f>
        <v>53.512899999999995</v>
      </c>
    </row>
    <row r="1226" spans="1:8">
      <c r="A1226" t="s">
        <v>3301</v>
      </c>
      <c r="B1226" t="s">
        <v>3043</v>
      </c>
      <c r="C1226" t="s">
        <v>3044</v>
      </c>
      <c r="D1226" t="s">
        <v>85</v>
      </c>
      <c r="E1226" t="s">
        <v>86</v>
      </c>
      <c r="F1226" s="2">
        <v>0.79869999999999997</v>
      </c>
      <c r="G1226">
        <v>67</v>
      </c>
      <c r="H1226" s="2">
        <f>Tabla_Items_Inactivos[[#This Row],[EXISTENCIA]]*Tabla_Items_Inactivos[[#This Row],[COSTO]]</f>
        <v>53.512899999999995</v>
      </c>
    </row>
    <row r="1227" spans="1:8">
      <c r="A1227" t="s">
        <v>3300</v>
      </c>
      <c r="B1227" t="s">
        <v>4480</v>
      </c>
      <c r="C1227" t="s">
        <v>2297</v>
      </c>
      <c r="D1227" t="s">
        <v>219</v>
      </c>
      <c r="E1227" t="s">
        <v>86</v>
      </c>
      <c r="F1227" s="2">
        <v>0.60399999999999998</v>
      </c>
      <c r="G1227">
        <v>5</v>
      </c>
      <c r="H1227" s="2">
        <f>Tabla_Items_Inactivos[[#This Row],[EXISTENCIA]]*Tabla_Items_Inactivos[[#This Row],[COSTO]]</f>
        <v>3.02</v>
      </c>
    </row>
    <row r="1228" spans="1:8">
      <c r="A1228" t="s">
        <v>3300</v>
      </c>
      <c r="B1228" t="s">
        <v>4481</v>
      </c>
      <c r="C1228" t="s">
        <v>4482</v>
      </c>
      <c r="D1228" t="s">
        <v>85</v>
      </c>
      <c r="E1228" t="s">
        <v>86</v>
      </c>
      <c r="F1228" s="2">
        <v>0.64339999999999997</v>
      </c>
      <c r="G1228">
        <v>37</v>
      </c>
      <c r="H1228" s="2">
        <f>Tabla_Items_Inactivos[[#This Row],[EXISTENCIA]]*Tabla_Items_Inactivos[[#This Row],[COSTO]]</f>
        <v>23.805799999999998</v>
      </c>
    </row>
    <row r="1229" spans="1:8">
      <c r="A1229" t="s">
        <v>3301</v>
      </c>
      <c r="B1229" t="s">
        <v>4481</v>
      </c>
      <c r="C1229" t="s">
        <v>4482</v>
      </c>
      <c r="D1229" t="s">
        <v>85</v>
      </c>
      <c r="E1229" t="s">
        <v>86</v>
      </c>
      <c r="F1229" s="2">
        <v>0.64339999999999997</v>
      </c>
      <c r="G1229">
        <v>37</v>
      </c>
      <c r="H1229" s="2">
        <f>Tabla_Items_Inactivos[[#This Row],[EXISTENCIA]]*Tabla_Items_Inactivos[[#This Row],[COSTO]]</f>
        <v>23.805799999999998</v>
      </c>
    </row>
    <row r="1230" spans="1:8">
      <c r="A1230" t="s">
        <v>3300</v>
      </c>
      <c r="B1230" t="s">
        <v>3045</v>
      </c>
      <c r="C1230" t="s">
        <v>3046</v>
      </c>
      <c r="D1230" t="s">
        <v>85</v>
      </c>
      <c r="E1230" t="s">
        <v>86</v>
      </c>
      <c r="F1230" s="2">
        <v>5.1159999999999997</v>
      </c>
      <c r="G1230">
        <v>8</v>
      </c>
      <c r="H1230" s="2">
        <f>Tabla_Items_Inactivos[[#This Row],[EXISTENCIA]]*Tabla_Items_Inactivos[[#This Row],[COSTO]]</f>
        <v>40.927999999999997</v>
      </c>
    </row>
    <row r="1231" spans="1:8">
      <c r="A1231" t="s">
        <v>3300</v>
      </c>
      <c r="B1231" t="s">
        <v>4483</v>
      </c>
      <c r="C1231" t="s">
        <v>4484</v>
      </c>
      <c r="D1231" t="s">
        <v>85</v>
      </c>
      <c r="E1231" t="s">
        <v>86</v>
      </c>
      <c r="F1231" s="2">
        <v>6.2</v>
      </c>
      <c r="G1231">
        <v>3</v>
      </c>
      <c r="H1231" s="2">
        <f>Tabla_Items_Inactivos[[#This Row],[EXISTENCIA]]*Tabla_Items_Inactivos[[#This Row],[COSTO]]</f>
        <v>18.600000000000001</v>
      </c>
    </row>
    <row r="1232" spans="1:8">
      <c r="A1232" t="s">
        <v>3300</v>
      </c>
      <c r="B1232" t="s">
        <v>430</v>
      </c>
      <c r="C1232" t="s">
        <v>431</v>
      </c>
      <c r="D1232" t="s">
        <v>85</v>
      </c>
      <c r="E1232" t="s">
        <v>86</v>
      </c>
      <c r="F1232" s="2">
        <v>15.164999999999999</v>
      </c>
      <c r="G1232">
        <v>6</v>
      </c>
      <c r="H1232" s="2">
        <f>Tabla_Items_Inactivos[[#This Row],[EXISTENCIA]]*Tabla_Items_Inactivos[[#This Row],[COSTO]]</f>
        <v>90.99</v>
      </c>
    </row>
    <row r="1233" spans="1:8">
      <c r="A1233" t="s">
        <v>3300</v>
      </c>
      <c r="B1233" t="s">
        <v>3047</v>
      </c>
      <c r="C1233" t="s">
        <v>4485</v>
      </c>
      <c r="D1233" t="s">
        <v>85</v>
      </c>
      <c r="E1233" t="s">
        <v>86</v>
      </c>
      <c r="F1233" s="2">
        <v>5.4527000000000001</v>
      </c>
      <c r="G1233">
        <v>30</v>
      </c>
      <c r="H1233" s="2">
        <f>Tabla_Items_Inactivos[[#This Row],[EXISTENCIA]]*Tabla_Items_Inactivos[[#This Row],[COSTO]]</f>
        <v>163.58100000000002</v>
      </c>
    </row>
    <row r="1234" spans="1:8">
      <c r="A1234" t="s">
        <v>3301</v>
      </c>
      <c r="B1234" t="s">
        <v>3047</v>
      </c>
      <c r="C1234" t="s">
        <v>4485</v>
      </c>
      <c r="D1234" t="s">
        <v>85</v>
      </c>
      <c r="E1234" t="s">
        <v>86</v>
      </c>
      <c r="F1234" s="2">
        <v>5.4527000000000001</v>
      </c>
      <c r="G1234">
        <v>30</v>
      </c>
      <c r="H1234" s="2">
        <f>Tabla_Items_Inactivos[[#This Row],[EXISTENCIA]]*Tabla_Items_Inactivos[[#This Row],[COSTO]]</f>
        <v>163.58100000000002</v>
      </c>
    </row>
    <row r="1235" spans="1:8">
      <c r="A1235" t="s">
        <v>3300</v>
      </c>
      <c r="B1235" t="s">
        <v>5506</v>
      </c>
      <c r="C1235" t="s">
        <v>5507</v>
      </c>
      <c r="D1235" t="s">
        <v>85</v>
      </c>
      <c r="E1235" t="s">
        <v>86</v>
      </c>
      <c r="F1235" s="2">
        <v>1.4810000000000001</v>
      </c>
      <c r="G1235">
        <v>8</v>
      </c>
      <c r="H1235" s="2">
        <f>Tabla_Items_Inactivos[[#This Row],[EXISTENCIA]]*Tabla_Items_Inactivos[[#This Row],[COSTO]]</f>
        <v>11.848000000000001</v>
      </c>
    </row>
    <row r="1236" spans="1:8">
      <c r="A1236" t="s">
        <v>3300</v>
      </c>
      <c r="B1236" t="s">
        <v>4486</v>
      </c>
      <c r="C1236" t="s">
        <v>4487</v>
      </c>
      <c r="D1236" t="s">
        <v>85</v>
      </c>
      <c r="E1236" t="s">
        <v>86</v>
      </c>
      <c r="F1236" s="2">
        <v>1.272</v>
      </c>
      <c r="G1236">
        <v>11</v>
      </c>
      <c r="H1236" s="2">
        <f>Tabla_Items_Inactivos[[#This Row],[EXISTENCIA]]*Tabla_Items_Inactivos[[#This Row],[COSTO]]</f>
        <v>13.992000000000001</v>
      </c>
    </row>
    <row r="1237" spans="1:8">
      <c r="A1237" t="s">
        <v>3300</v>
      </c>
      <c r="B1237" t="s">
        <v>4488</v>
      </c>
      <c r="C1237" t="s">
        <v>2387</v>
      </c>
      <c r="D1237" t="s">
        <v>85</v>
      </c>
      <c r="E1237" t="s">
        <v>86</v>
      </c>
      <c r="F1237" s="2">
        <v>6.1828000000000003</v>
      </c>
      <c r="G1237">
        <v>4</v>
      </c>
      <c r="H1237" s="2">
        <f>Tabla_Items_Inactivos[[#This Row],[EXISTENCIA]]*Tabla_Items_Inactivos[[#This Row],[COSTO]]</f>
        <v>24.731200000000001</v>
      </c>
    </row>
    <row r="1238" spans="1:8">
      <c r="A1238" t="s">
        <v>3301</v>
      </c>
      <c r="B1238" t="s">
        <v>4488</v>
      </c>
      <c r="C1238" t="s">
        <v>2387</v>
      </c>
      <c r="D1238" t="s">
        <v>85</v>
      </c>
      <c r="E1238" t="s">
        <v>86</v>
      </c>
      <c r="F1238" s="2">
        <v>6.1828000000000003</v>
      </c>
      <c r="G1238">
        <v>4</v>
      </c>
      <c r="H1238" s="2">
        <f>Tabla_Items_Inactivos[[#This Row],[EXISTENCIA]]*Tabla_Items_Inactivos[[#This Row],[COSTO]]</f>
        <v>24.731200000000001</v>
      </c>
    </row>
    <row r="1239" spans="1:8">
      <c r="A1239" t="s">
        <v>3300</v>
      </c>
      <c r="B1239" t="s">
        <v>4489</v>
      </c>
      <c r="C1239" t="s">
        <v>2209</v>
      </c>
      <c r="D1239" t="s">
        <v>85</v>
      </c>
      <c r="E1239" t="s">
        <v>86</v>
      </c>
      <c r="F1239" s="2">
        <v>3.0339999999999998</v>
      </c>
      <c r="G1239">
        <v>8</v>
      </c>
      <c r="H1239" s="2">
        <f>Tabla_Items_Inactivos[[#This Row],[EXISTENCIA]]*Tabla_Items_Inactivos[[#This Row],[COSTO]]</f>
        <v>24.271999999999998</v>
      </c>
    </row>
    <row r="1240" spans="1:8">
      <c r="A1240" t="s">
        <v>3300</v>
      </c>
      <c r="B1240" t="s">
        <v>5508</v>
      </c>
      <c r="C1240" t="s">
        <v>5509</v>
      </c>
      <c r="D1240" t="s">
        <v>89</v>
      </c>
      <c r="E1240" t="s">
        <v>86</v>
      </c>
      <c r="F1240" s="2">
        <v>379.18669999999997</v>
      </c>
      <c r="G1240">
        <v>16</v>
      </c>
      <c r="H1240" s="2">
        <f>Tabla_Items_Inactivos[[#This Row],[EXISTENCIA]]*Tabla_Items_Inactivos[[#This Row],[COSTO]]</f>
        <v>6066.9871999999996</v>
      </c>
    </row>
    <row r="1241" spans="1:8">
      <c r="A1241" t="s">
        <v>3301</v>
      </c>
      <c r="B1241" t="s">
        <v>5508</v>
      </c>
      <c r="C1241" t="s">
        <v>5509</v>
      </c>
      <c r="D1241" t="s">
        <v>89</v>
      </c>
      <c r="E1241" t="s">
        <v>86</v>
      </c>
      <c r="F1241" s="2">
        <v>379.18669999999997</v>
      </c>
      <c r="G1241">
        <v>16</v>
      </c>
      <c r="H1241" s="2">
        <f>Tabla_Items_Inactivos[[#This Row],[EXISTENCIA]]*Tabla_Items_Inactivos[[#This Row],[COSTO]]</f>
        <v>6066.9871999999996</v>
      </c>
    </row>
    <row r="1242" spans="1:8">
      <c r="A1242" t="s">
        <v>3299</v>
      </c>
      <c r="B1242" t="s">
        <v>5508</v>
      </c>
      <c r="C1242" t="s">
        <v>5509</v>
      </c>
      <c r="D1242" t="s">
        <v>89</v>
      </c>
      <c r="E1242" t="s">
        <v>86</v>
      </c>
      <c r="F1242" s="2">
        <v>379.18669999999997</v>
      </c>
      <c r="G1242">
        <v>16</v>
      </c>
      <c r="H1242" s="2">
        <f>Tabla_Items_Inactivos[[#This Row],[EXISTENCIA]]*Tabla_Items_Inactivos[[#This Row],[COSTO]]</f>
        <v>6066.9871999999996</v>
      </c>
    </row>
    <row r="1243" spans="1:8">
      <c r="A1243" t="s">
        <v>3300</v>
      </c>
      <c r="B1243" t="s">
        <v>5510</v>
      </c>
      <c r="C1243" t="s">
        <v>5511</v>
      </c>
      <c r="D1243" t="s">
        <v>89</v>
      </c>
      <c r="E1243" t="s">
        <v>86</v>
      </c>
      <c r="F1243" s="2">
        <v>394.18639999999999</v>
      </c>
      <c r="G1243">
        <v>33</v>
      </c>
      <c r="H1243" s="2">
        <f>Tabla_Items_Inactivos[[#This Row],[EXISTENCIA]]*Tabla_Items_Inactivos[[#This Row],[COSTO]]</f>
        <v>13008.1512</v>
      </c>
    </row>
    <row r="1244" spans="1:8">
      <c r="A1244" t="s">
        <v>3301</v>
      </c>
      <c r="B1244" t="s">
        <v>5510</v>
      </c>
      <c r="C1244" t="s">
        <v>5511</v>
      </c>
      <c r="D1244" t="s">
        <v>89</v>
      </c>
      <c r="E1244" t="s">
        <v>86</v>
      </c>
      <c r="F1244" s="2">
        <v>394.18639999999999</v>
      </c>
      <c r="G1244">
        <v>33</v>
      </c>
      <c r="H1244" s="2">
        <f>Tabla_Items_Inactivos[[#This Row],[EXISTENCIA]]*Tabla_Items_Inactivos[[#This Row],[COSTO]]</f>
        <v>13008.1512</v>
      </c>
    </row>
    <row r="1245" spans="1:8">
      <c r="A1245" t="s">
        <v>3299</v>
      </c>
      <c r="B1245" t="s">
        <v>5510</v>
      </c>
      <c r="C1245" t="s">
        <v>5511</v>
      </c>
      <c r="D1245" t="s">
        <v>89</v>
      </c>
      <c r="E1245" t="s">
        <v>86</v>
      </c>
      <c r="F1245" s="2">
        <v>394.18639999999999</v>
      </c>
      <c r="G1245">
        <v>33</v>
      </c>
      <c r="H1245" s="2">
        <f>Tabla_Items_Inactivos[[#This Row],[EXISTENCIA]]*Tabla_Items_Inactivos[[#This Row],[COSTO]]</f>
        <v>13008.1512</v>
      </c>
    </row>
    <row r="1246" spans="1:8">
      <c r="A1246" t="s">
        <v>3301</v>
      </c>
      <c r="B1246" t="s">
        <v>5512</v>
      </c>
      <c r="C1246" t="s">
        <v>5513</v>
      </c>
      <c r="D1246" t="s">
        <v>89</v>
      </c>
      <c r="E1246" t="s">
        <v>86</v>
      </c>
      <c r="F1246" s="2">
        <v>443.34890000000001</v>
      </c>
      <c r="G1246">
        <v>20</v>
      </c>
      <c r="H1246" s="2">
        <f>Tabla_Items_Inactivos[[#This Row],[EXISTENCIA]]*Tabla_Items_Inactivos[[#This Row],[COSTO]]</f>
        <v>8866.978000000001</v>
      </c>
    </row>
    <row r="1247" spans="1:8">
      <c r="A1247" t="s">
        <v>3299</v>
      </c>
      <c r="B1247" t="s">
        <v>5512</v>
      </c>
      <c r="C1247" t="s">
        <v>5513</v>
      </c>
      <c r="D1247" t="s">
        <v>89</v>
      </c>
      <c r="E1247" t="s">
        <v>86</v>
      </c>
      <c r="F1247" s="2">
        <v>443.34890000000001</v>
      </c>
      <c r="G1247">
        <v>20</v>
      </c>
      <c r="H1247" s="2">
        <f>Tabla_Items_Inactivos[[#This Row],[EXISTENCIA]]*Tabla_Items_Inactivos[[#This Row],[COSTO]]</f>
        <v>8866.978000000001</v>
      </c>
    </row>
    <row r="1248" spans="1:8">
      <c r="A1248" t="s">
        <v>3300</v>
      </c>
      <c r="B1248" t="s">
        <v>5512</v>
      </c>
      <c r="C1248" t="s">
        <v>5513</v>
      </c>
      <c r="D1248" t="s">
        <v>89</v>
      </c>
      <c r="E1248" t="s">
        <v>86</v>
      </c>
      <c r="F1248" s="2">
        <v>443.34890000000001</v>
      </c>
      <c r="G1248">
        <v>20</v>
      </c>
      <c r="H1248" s="2">
        <f>Tabla_Items_Inactivos[[#This Row],[EXISTENCIA]]*Tabla_Items_Inactivos[[#This Row],[COSTO]]</f>
        <v>8866.978000000001</v>
      </c>
    </row>
    <row r="1249" spans="1:8">
      <c r="A1249" t="s">
        <v>3301</v>
      </c>
      <c r="B1249" t="s">
        <v>5514</v>
      </c>
      <c r="C1249" t="s">
        <v>5515</v>
      </c>
      <c r="D1249" t="s">
        <v>89</v>
      </c>
      <c r="E1249" t="s">
        <v>86</v>
      </c>
      <c r="F1249" s="2">
        <v>345.06849999999997</v>
      </c>
      <c r="G1249">
        <v>6</v>
      </c>
      <c r="H1249" s="2">
        <f>Tabla_Items_Inactivos[[#This Row],[EXISTENCIA]]*Tabla_Items_Inactivos[[#This Row],[COSTO]]</f>
        <v>2070.4110000000001</v>
      </c>
    </row>
    <row r="1250" spans="1:8">
      <c r="A1250" t="s">
        <v>3300</v>
      </c>
      <c r="B1250" t="s">
        <v>5514</v>
      </c>
      <c r="C1250" t="s">
        <v>5515</v>
      </c>
      <c r="D1250" t="s">
        <v>89</v>
      </c>
      <c r="E1250" t="s">
        <v>86</v>
      </c>
      <c r="F1250" s="2">
        <v>345.06849999999997</v>
      </c>
      <c r="G1250">
        <v>6</v>
      </c>
      <c r="H1250" s="2">
        <f>Tabla_Items_Inactivos[[#This Row],[EXISTENCIA]]*Tabla_Items_Inactivos[[#This Row],[COSTO]]</f>
        <v>2070.4110000000001</v>
      </c>
    </row>
    <row r="1251" spans="1:8">
      <c r="A1251" t="s">
        <v>3300</v>
      </c>
      <c r="B1251" t="s">
        <v>432</v>
      </c>
      <c r="C1251" t="s">
        <v>433</v>
      </c>
      <c r="D1251" t="s">
        <v>434</v>
      </c>
      <c r="E1251" t="s">
        <v>86</v>
      </c>
      <c r="F1251" s="2">
        <v>1.59</v>
      </c>
      <c r="G1251">
        <v>2</v>
      </c>
      <c r="H1251" s="2">
        <f>Tabla_Items_Inactivos[[#This Row],[EXISTENCIA]]*Tabla_Items_Inactivos[[#This Row],[COSTO]]</f>
        <v>3.18</v>
      </c>
    </row>
    <row r="1252" spans="1:8">
      <c r="A1252" t="s">
        <v>3300</v>
      </c>
      <c r="B1252" t="s">
        <v>4490</v>
      </c>
      <c r="C1252" t="s">
        <v>3246</v>
      </c>
      <c r="D1252" t="s">
        <v>219</v>
      </c>
      <c r="E1252" t="s">
        <v>86</v>
      </c>
      <c r="F1252" s="2">
        <v>3.343</v>
      </c>
      <c r="G1252">
        <v>3</v>
      </c>
      <c r="H1252" s="2">
        <f>Tabla_Items_Inactivos[[#This Row],[EXISTENCIA]]*Tabla_Items_Inactivos[[#This Row],[COSTO]]</f>
        <v>10.029</v>
      </c>
    </row>
    <row r="1253" spans="1:8">
      <c r="A1253" t="s">
        <v>3300</v>
      </c>
      <c r="B1253" t="s">
        <v>4491</v>
      </c>
      <c r="C1253" t="s">
        <v>4492</v>
      </c>
      <c r="D1253" t="s">
        <v>219</v>
      </c>
      <c r="E1253" t="s">
        <v>86</v>
      </c>
      <c r="F1253" s="2">
        <v>12.46</v>
      </c>
      <c r="G1253">
        <v>4</v>
      </c>
      <c r="H1253" s="2">
        <f>Tabla_Items_Inactivos[[#This Row],[EXISTENCIA]]*Tabla_Items_Inactivos[[#This Row],[COSTO]]</f>
        <v>49.84</v>
      </c>
    </row>
    <row r="1254" spans="1:8">
      <c r="A1254" t="s">
        <v>3300</v>
      </c>
      <c r="B1254" t="s">
        <v>435</v>
      </c>
      <c r="C1254" t="s">
        <v>4493</v>
      </c>
      <c r="D1254" t="s">
        <v>436</v>
      </c>
      <c r="E1254" t="s">
        <v>86</v>
      </c>
      <c r="F1254" s="2">
        <v>20.97</v>
      </c>
      <c r="G1254">
        <v>3</v>
      </c>
      <c r="H1254" s="2">
        <f>Tabla_Items_Inactivos[[#This Row],[EXISTENCIA]]*Tabla_Items_Inactivos[[#This Row],[COSTO]]</f>
        <v>62.91</v>
      </c>
    </row>
    <row r="1255" spans="1:8">
      <c r="A1255" t="s">
        <v>3300</v>
      </c>
      <c r="B1255" t="s">
        <v>4494</v>
      </c>
      <c r="C1255" t="s">
        <v>3245</v>
      </c>
      <c r="D1255" t="s">
        <v>219</v>
      </c>
      <c r="E1255" t="s">
        <v>86</v>
      </c>
      <c r="F1255" s="2">
        <v>20.768000000000001</v>
      </c>
      <c r="G1255">
        <v>4</v>
      </c>
      <c r="H1255" s="2">
        <f>Tabla_Items_Inactivos[[#This Row],[EXISTENCIA]]*Tabla_Items_Inactivos[[#This Row],[COSTO]]</f>
        <v>83.072000000000003</v>
      </c>
    </row>
    <row r="1256" spans="1:8">
      <c r="A1256" t="s">
        <v>3300</v>
      </c>
      <c r="B1256" t="s">
        <v>4495</v>
      </c>
      <c r="C1256" t="s">
        <v>3227</v>
      </c>
      <c r="D1256" t="s">
        <v>98</v>
      </c>
      <c r="E1256" t="s">
        <v>86</v>
      </c>
      <c r="F1256" s="2">
        <v>4.2750000000000004</v>
      </c>
      <c r="G1256">
        <v>5</v>
      </c>
      <c r="H1256" s="2">
        <f>Tabla_Items_Inactivos[[#This Row],[EXISTENCIA]]*Tabla_Items_Inactivos[[#This Row],[COSTO]]</f>
        <v>21.375</v>
      </c>
    </row>
    <row r="1257" spans="1:8">
      <c r="A1257" t="s">
        <v>3300</v>
      </c>
      <c r="B1257" t="s">
        <v>4496</v>
      </c>
      <c r="C1257" t="s">
        <v>2354</v>
      </c>
      <c r="D1257" t="s">
        <v>85</v>
      </c>
      <c r="E1257" t="s">
        <v>86</v>
      </c>
      <c r="F1257" s="2">
        <v>9.1319999999999997</v>
      </c>
      <c r="G1257">
        <v>1</v>
      </c>
      <c r="H1257" s="2">
        <f>Tabla_Items_Inactivos[[#This Row],[EXISTENCIA]]*Tabla_Items_Inactivos[[#This Row],[COSTO]]</f>
        <v>9.1319999999999997</v>
      </c>
    </row>
    <row r="1258" spans="1:8">
      <c r="A1258" t="s">
        <v>3300</v>
      </c>
      <c r="B1258" t="s">
        <v>4497</v>
      </c>
      <c r="C1258" t="s">
        <v>4498</v>
      </c>
      <c r="D1258" t="s">
        <v>85</v>
      </c>
      <c r="E1258" t="s">
        <v>86</v>
      </c>
      <c r="F1258" s="2">
        <v>0.1</v>
      </c>
      <c r="G1258">
        <v>4</v>
      </c>
      <c r="H1258" s="2">
        <f>Tabla_Items_Inactivos[[#This Row],[EXISTENCIA]]*Tabla_Items_Inactivos[[#This Row],[COSTO]]</f>
        <v>0.4</v>
      </c>
    </row>
    <row r="1259" spans="1:8">
      <c r="A1259" t="s">
        <v>3301</v>
      </c>
      <c r="B1259" t="s">
        <v>4499</v>
      </c>
      <c r="C1259" t="s">
        <v>4500</v>
      </c>
      <c r="D1259" t="s">
        <v>85</v>
      </c>
      <c r="E1259" t="s">
        <v>86</v>
      </c>
      <c r="F1259" s="2">
        <v>19.183299999999999</v>
      </c>
      <c r="G1259">
        <v>41</v>
      </c>
      <c r="H1259" s="2">
        <f>Tabla_Items_Inactivos[[#This Row],[EXISTENCIA]]*Tabla_Items_Inactivos[[#This Row],[COSTO]]</f>
        <v>786.51529999999991</v>
      </c>
    </row>
    <row r="1260" spans="1:8">
      <c r="A1260" t="s">
        <v>3300</v>
      </c>
      <c r="B1260" t="s">
        <v>4499</v>
      </c>
      <c r="C1260" t="s">
        <v>4500</v>
      </c>
      <c r="D1260" t="s">
        <v>85</v>
      </c>
      <c r="E1260" t="s">
        <v>86</v>
      </c>
      <c r="F1260" s="2">
        <v>19.183299999999999</v>
      </c>
      <c r="G1260">
        <v>41</v>
      </c>
      <c r="H1260" s="2">
        <f>Tabla_Items_Inactivos[[#This Row],[EXISTENCIA]]*Tabla_Items_Inactivos[[#This Row],[COSTO]]</f>
        <v>786.51529999999991</v>
      </c>
    </row>
    <row r="1261" spans="1:8">
      <c r="A1261" t="s">
        <v>3300</v>
      </c>
      <c r="B1261" t="s">
        <v>4501</v>
      </c>
      <c r="C1261" t="s">
        <v>4502</v>
      </c>
      <c r="D1261" t="s">
        <v>85</v>
      </c>
      <c r="E1261" t="s">
        <v>86</v>
      </c>
      <c r="F1261" s="2">
        <v>33.095199999999998</v>
      </c>
      <c r="G1261">
        <v>5</v>
      </c>
      <c r="H1261" s="2">
        <f>Tabla_Items_Inactivos[[#This Row],[EXISTENCIA]]*Tabla_Items_Inactivos[[#This Row],[COSTO]]</f>
        <v>165.476</v>
      </c>
    </row>
    <row r="1262" spans="1:8">
      <c r="A1262" t="s">
        <v>3300</v>
      </c>
      <c r="B1262" t="s">
        <v>4503</v>
      </c>
      <c r="C1262" t="s">
        <v>4504</v>
      </c>
      <c r="D1262" t="s">
        <v>85</v>
      </c>
      <c r="E1262" t="s">
        <v>86</v>
      </c>
      <c r="F1262" s="2">
        <v>22.535</v>
      </c>
      <c r="G1262">
        <v>4</v>
      </c>
      <c r="H1262" s="2">
        <f>Tabla_Items_Inactivos[[#This Row],[EXISTENCIA]]*Tabla_Items_Inactivos[[#This Row],[COSTO]]</f>
        <v>90.14</v>
      </c>
    </row>
    <row r="1263" spans="1:8">
      <c r="A1263" t="s">
        <v>3300</v>
      </c>
      <c r="B1263" t="s">
        <v>4505</v>
      </c>
      <c r="C1263" t="s">
        <v>4506</v>
      </c>
      <c r="D1263" t="s">
        <v>436</v>
      </c>
      <c r="E1263" t="s">
        <v>86</v>
      </c>
      <c r="F1263" s="2">
        <v>22.3</v>
      </c>
      <c r="G1263">
        <v>2</v>
      </c>
      <c r="H1263" s="2">
        <f>Tabla_Items_Inactivos[[#This Row],[EXISTENCIA]]*Tabla_Items_Inactivos[[#This Row],[COSTO]]</f>
        <v>44.6</v>
      </c>
    </row>
    <row r="1264" spans="1:8">
      <c r="A1264" t="s">
        <v>3300</v>
      </c>
      <c r="B1264" t="s">
        <v>437</v>
      </c>
      <c r="C1264" t="s">
        <v>438</v>
      </c>
      <c r="D1264" t="s">
        <v>85</v>
      </c>
      <c r="E1264" t="s">
        <v>86</v>
      </c>
      <c r="F1264" s="2">
        <v>34.340000000000003</v>
      </c>
      <c r="G1264">
        <v>2</v>
      </c>
      <c r="H1264" s="2">
        <f>Tabla_Items_Inactivos[[#This Row],[EXISTENCIA]]*Tabla_Items_Inactivos[[#This Row],[COSTO]]</f>
        <v>68.680000000000007</v>
      </c>
    </row>
    <row r="1265" spans="1:8">
      <c r="A1265" t="s">
        <v>3300</v>
      </c>
      <c r="B1265" t="s">
        <v>4507</v>
      </c>
      <c r="C1265" t="s">
        <v>4508</v>
      </c>
      <c r="D1265" t="s">
        <v>85</v>
      </c>
      <c r="E1265" t="s">
        <v>86</v>
      </c>
      <c r="F1265" s="2">
        <v>56.814799999999998</v>
      </c>
      <c r="G1265">
        <v>11</v>
      </c>
      <c r="H1265" s="2">
        <f>Tabla_Items_Inactivos[[#This Row],[EXISTENCIA]]*Tabla_Items_Inactivos[[#This Row],[COSTO]]</f>
        <v>624.96280000000002</v>
      </c>
    </row>
    <row r="1266" spans="1:8">
      <c r="A1266" t="s">
        <v>3301</v>
      </c>
      <c r="B1266" t="s">
        <v>4507</v>
      </c>
      <c r="C1266" t="s">
        <v>4508</v>
      </c>
      <c r="D1266" t="s">
        <v>85</v>
      </c>
      <c r="E1266" t="s">
        <v>86</v>
      </c>
      <c r="F1266" s="2">
        <v>56.814799999999998</v>
      </c>
      <c r="G1266">
        <v>11</v>
      </c>
      <c r="H1266" s="2">
        <f>Tabla_Items_Inactivos[[#This Row],[EXISTENCIA]]*Tabla_Items_Inactivos[[#This Row],[COSTO]]</f>
        <v>624.96280000000002</v>
      </c>
    </row>
    <row r="1267" spans="1:8">
      <c r="A1267" t="s">
        <v>3301</v>
      </c>
      <c r="B1267" t="s">
        <v>4509</v>
      </c>
      <c r="C1267" t="s">
        <v>4510</v>
      </c>
      <c r="D1267" t="s">
        <v>85</v>
      </c>
      <c r="E1267" t="s">
        <v>86</v>
      </c>
      <c r="F1267" s="2">
        <v>58.227200000000003</v>
      </c>
      <c r="G1267">
        <v>22</v>
      </c>
      <c r="H1267" s="2">
        <f>Tabla_Items_Inactivos[[#This Row],[EXISTENCIA]]*Tabla_Items_Inactivos[[#This Row],[COSTO]]</f>
        <v>1280.9984000000002</v>
      </c>
    </row>
    <row r="1268" spans="1:8">
      <c r="A1268" t="s">
        <v>3300</v>
      </c>
      <c r="B1268" t="s">
        <v>4509</v>
      </c>
      <c r="C1268" t="s">
        <v>4510</v>
      </c>
      <c r="D1268" t="s">
        <v>85</v>
      </c>
      <c r="E1268" t="s">
        <v>86</v>
      </c>
      <c r="F1268" s="2">
        <v>58.227200000000003</v>
      </c>
      <c r="G1268">
        <v>22</v>
      </c>
      <c r="H1268" s="2">
        <f>Tabla_Items_Inactivos[[#This Row],[EXISTENCIA]]*Tabla_Items_Inactivos[[#This Row],[COSTO]]</f>
        <v>1280.9984000000002</v>
      </c>
    </row>
    <row r="1269" spans="1:8">
      <c r="A1269" t="s">
        <v>3300</v>
      </c>
      <c r="B1269" t="s">
        <v>439</v>
      </c>
      <c r="C1269" t="s">
        <v>4511</v>
      </c>
      <c r="D1269" t="s">
        <v>85</v>
      </c>
      <c r="E1269" t="s">
        <v>86</v>
      </c>
      <c r="F1269" s="2">
        <v>57.980400000000003</v>
      </c>
      <c r="G1269">
        <v>21</v>
      </c>
      <c r="H1269" s="2">
        <f>Tabla_Items_Inactivos[[#This Row],[EXISTENCIA]]*Tabla_Items_Inactivos[[#This Row],[COSTO]]</f>
        <v>1217.5884000000001</v>
      </c>
    </row>
    <row r="1270" spans="1:8">
      <c r="A1270" t="s">
        <v>3301</v>
      </c>
      <c r="B1270" t="s">
        <v>439</v>
      </c>
      <c r="C1270" t="s">
        <v>4511</v>
      </c>
      <c r="D1270" t="s">
        <v>85</v>
      </c>
      <c r="E1270" t="s">
        <v>86</v>
      </c>
      <c r="F1270" s="2">
        <v>57.980400000000003</v>
      </c>
      <c r="G1270">
        <v>21</v>
      </c>
      <c r="H1270" s="2">
        <f>Tabla_Items_Inactivos[[#This Row],[EXISTENCIA]]*Tabla_Items_Inactivos[[#This Row],[COSTO]]</f>
        <v>1217.5884000000001</v>
      </c>
    </row>
    <row r="1271" spans="1:8">
      <c r="A1271" t="s">
        <v>3300</v>
      </c>
      <c r="B1271" t="s">
        <v>4512</v>
      </c>
      <c r="C1271" t="s">
        <v>4513</v>
      </c>
      <c r="D1271" t="s">
        <v>85</v>
      </c>
      <c r="E1271" t="s">
        <v>86</v>
      </c>
      <c r="F1271" s="2">
        <v>25.12</v>
      </c>
      <c r="G1271">
        <v>9</v>
      </c>
      <c r="H1271" s="2">
        <f>Tabla_Items_Inactivos[[#This Row],[EXISTENCIA]]*Tabla_Items_Inactivos[[#This Row],[COSTO]]</f>
        <v>226.08</v>
      </c>
    </row>
    <row r="1272" spans="1:8">
      <c r="A1272" t="s">
        <v>3300</v>
      </c>
      <c r="B1272" t="s">
        <v>440</v>
      </c>
      <c r="C1272" t="s">
        <v>4514</v>
      </c>
      <c r="D1272" t="s">
        <v>85</v>
      </c>
      <c r="E1272" t="s">
        <v>86</v>
      </c>
      <c r="F1272" s="2">
        <v>41.67</v>
      </c>
      <c r="G1272">
        <v>2</v>
      </c>
      <c r="H1272" s="2">
        <f>Tabla_Items_Inactivos[[#This Row],[EXISTENCIA]]*Tabla_Items_Inactivos[[#This Row],[COSTO]]</f>
        <v>83.34</v>
      </c>
    </row>
    <row r="1273" spans="1:8">
      <c r="A1273" t="s">
        <v>3300</v>
      </c>
      <c r="B1273" t="s">
        <v>441</v>
      </c>
      <c r="C1273" t="s">
        <v>442</v>
      </c>
      <c r="D1273" t="s">
        <v>85</v>
      </c>
      <c r="E1273" t="s">
        <v>86</v>
      </c>
      <c r="F1273" s="2">
        <v>55.043999999999997</v>
      </c>
      <c r="G1273">
        <v>1</v>
      </c>
      <c r="H1273" s="2">
        <f>Tabla_Items_Inactivos[[#This Row],[EXISTENCIA]]*Tabla_Items_Inactivos[[#This Row],[COSTO]]</f>
        <v>55.043999999999997</v>
      </c>
    </row>
    <row r="1274" spans="1:8">
      <c r="A1274" t="s">
        <v>3300</v>
      </c>
      <c r="B1274" t="s">
        <v>4515</v>
      </c>
      <c r="C1274" t="s">
        <v>4516</v>
      </c>
      <c r="D1274" t="s">
        <v>228</v>
      </c>
      <c r="E1274" t="s">
        <v>86</v>
      </c>
      <c r="F1274" s="2">
        <v>3.2696000000000001</v>
      </c>
      <c r="G1274">
        <v>2</v>
      </c>
      <c r="H1274" s="2">
        <f>Tabla_Items_Inactivos[[#This Row],[EXISTENCIA]]*Tabla_Items_Inactivos[[#This Row],[COSTO]]</f>
        <v>6.5392000000000001</v>
      </c>
    </row>
    <row r="1275" spans="1:8">
      <c r="A1275" t="s">
        <v>3301</v>
      </c>
      <c r="B1275" t="s">
        <v>4515</v>
      </c>
      <c r="C1275" t="s">
        <v>4516</v>
      </c>
      <c r="D1275" t="s">
        <v>228</v>
      </c>
      <c r="E1275" t="s">
        <v>86</v>
      </c>
      <c r="F1275" s="2">
        <v>3.2696000000000001</v>
      </c>
      <c r="G1275">
        <v>2</v>
      </c>
      <c r="H1275" s="2">
        <f>Tabla_Items_Inactivos[[#This Row],[EXISTENCIA]]*Tabla_Items_Inactivos[[#This Row],[COSTO]]</f>
        <v>6.5392000000000001</v>
      </c>
    </row>
    <row r="1276" spans="1:8">
      <c r="A1276" t="s">
        <v>3300</v>
      </c>
      <c r="B1276" t="s">
        <v>4517</v>
      </c>
      <c r="C1276" t="s">
        <v>4518</v>
      </c>
      <c r="D1276" t="s">
        <v>228</v>
      </c>
      <c r="E1276" t="s">
        <v>86</v>
      </c>
      <c r="F1276" s="2">
        <v>29.722300000000001</v>
      </c>
      <c r="G1276">
        <v>46</v>
      </c>
      <c r="H1276" s="2">
        <f>Tabla_Items_Inactivos[[#This Row],[EXISTENCIA]]*Tabla_Items_Inactivos[[#This Row],[COSTO]]</f>
        <v>1367.2257999999999</v>
      </c>
    </row>
    <row r="1277" spans="1:8">
      <c r="A1277" t="s">
        <v>3301</v>
      </c>
      <c r="B1277" t="s">
        <v>4517</v>
      </c>
      <c r="C1277" t="s">
        <v>4518</v>
      </c>
      <c r="D1277" t="s">
        <v>228</v>
      </c>
      <c r="E1277" t="s">
        <v>86</v>
      </c>
      <c r="F1277" s="2">
        <v>29.722300000000001</v>
      </c>
      <c r="G1277">
        <v>46</v>
      </c>
      <c r="H1277" s="2">
        <f>Tabla_Items_Inactivos[[#This Row],[EXISTENCIA]]*Tabla_Items_Inactivos[[#This Row],[COSTO]]</f>
        <v>1367.2257999999999</v>
      </c>
    </row>
    <row r="1278" spans="1:8">
      <c r="A1278" t="s">
        <v>3300</v>
      </c>
      <c r="B1278" t="s">
        <v>4519</v>
      </c>
      <c r="C1278" t="s">
        <v>4520</v>
      </c>
      <c r="D1278" t="s">
        <v>85</v>
      </c>
      <c r="E1278" t="s">
        <v>86</v>
      </c>
      <c r="F1278" s="2">
        <v>2.7850999999999999</v>
      </c>
      <c r="G1278">
        <v>13</v>
      </c>
      <c r="H1278" s="2">
        <f>Tabla_Items_Inactivos[[#This Row],[EXISTENCIA]]*Tabla_Items_Inactivos[[#This Row],[COSTO]]</f>
        <v>36.206299999999999</v>
      </c>
    </row>
    <row r="1279" spans="1:8">
      <c r="A1279" t="s">
        <v>3301</v>
      </c>
      <c r="B1279" t="s">
        <v>4519</v>
      </c>
      <c r="C1279" t="s">
        <v>4520</v>
      </c>
      <c r="D1279" t="s">
        <v>85</v>
      </c>
      <c r="E1279" t="s">
        <v>86</v>
      </c>
      <c r="F1279" s="2">
        <v>2.7850999999999999</v>
      </c>
      <c r="G1279">
        <v>13</v>
      </c>
      <c r="H1279" s="2">
        <f>Tabla_Items_Inactivos[[#This Row],[EXISTENCIA]]*Tabla_Items_Inactivos[[#This Row],[COSTO]]</f>
        <v>36.206299999999999</v>
      </c>
    </row>
    <row r="1280" spans="1:8">
      <c r="A1280" t="s">
        <v>3300</v>
      </c>
      <c r="B1280" t="s">
        <v>4521</v>
      </c>
      <c r="C1280" t="s">
        <v>3250</v>
      </c>
      <c r="D1280" t="s">
        <v>219</v>
      </c>
      <c r="E1280" t="s">
        <v>86</v>
      </c>
      <c r="F1280" s="2">
        <v>2.7109999999999999</v>
      </c>
      <c r="G1280">
        <v>8</v>
      </c>
      <c r="H1280" s="2">
        <f>Tabla_Items_Inactivos[[#This Row],[EXISTENCIA]]*Tabla_Items_Inactivos[[#This Row],[COSTO]]</f>
        <v>21.687999999999999</v>
      </c>
    </row>
    <row r="1281" spans="1:8">
      <c r="A1281" t="s">
        <v>3299</v>
      </c>
      <c r="B1281" t="s">
        <v>5516</v>
      </c>
      <c r="C1281" t="s">
        <v>5517</v>
      </c>
      <c r="D1281" t="s">
        <v>89</v>
      </c>
      <c r="E1281" t="s">
        <v>86</v>
      </c>
      <c r="F1281" s="2">
        <v>245.10079999999999</v>
      </c>
      <c r="G1281">
        <v>9</v>
      </c>
      <c r="H1281" s="2">
        <f>Tabla_Items_Inactivos[[#This Row],[EXISTENCIA]]*Tabla_Items_Inactivos[[#This Row],[COSTO]]</f>
        <v>2205.9072000000001</v>
      </c>
    </row>
    <row r="1282" spans="1:8">
      <c r="A1282" t="s">
        <v>3301</v>
      </c>
      <c r="B1282" t="s">
        <v>5516</v>
      </c>
      <c r="C1282" t="s">
        <v>5517</v>
      </c>
      <c r="D1282" t="s">
        <v>89</v>
      </c>
      <c r="E1282" t="s">
        <v>86</v>
      </c>
      <c r="F1282" s="2">
        <v>245.10079999999999</v>
      </c>
      <c r="G1282">
        <v>9</v>
      </c>
      <c r="H1282" s="2">
        <f>Tabla_Items_Inactivos[[#This Row],[EXISTENCIA]]*Tabla_Items_Inactivos[[#This Row],[COSTO]]</f>
        <v>2205.9072000000001</v>
      </c>
    </row>
    <row r="1283" spans="1:8">
      <c r="A1283" t="s">
        <v>3300</v>
      </c>
      <c r="B1283" t="s">
        <v>5516</v>
      </c>
      <c r="C1283" t="s">
        <v>5517</v>
      </c>
      <c r="D1283" t="s">
        <v>89</v>
      </c>
      <c r="E1283" t="s">
        <v>86</v>
      </c>
      <c r="F1283" s="2">
        <v>245.10079999999999</v>
      </c>
      <c r="G1283">
        <v>9</v>
      </c>
      <c r="H1283" s="2">
        <f>Tabla_Items_Inactivos[[#This Row],[EXISTENCIA]]*Tabla_Items_Inactivos[[#This Row],[COSTO]]</f>
        <v>2205.9072000000001</v>
      </c>
    </row>
    <row r="1284" spans="1:8">
      <c r="A1284" t="s">
        <v>3301</v>
      </c>
      <c r="B1284" t="s">
        <v>443</v>
      </c>
      <c r="C1284" t="s">
        <v>444</v>
      </c>
      <c r="D1284" t="s">
        <v>89</v>
      </c>
      <c r="E1284" t="s">
        <v>86</v>
      </c>
      <c r="F1284" s="2">
        <v>273.07479999999998</v>
      </c>
      <c r="G1284">
        <v>4</v>
      </c>
      <c r="H1284" s="2">
        <f>Tabla_Items_Inactivos[[#This Row],[EXISTENCIA]]*Tabla_Items_Inactivos[[#This Row],[COSTO]]</f>
        <v>1092.2991999999999</v>
      </c>
    </row>
    <row r="1285" spans="1:8">
      <c r="A1285" t="s">
        <v>3300</v>
      </c>
      <c r="B1285" t="s">
        <v>443</v>
      </c>
      <c r="C1285" t="s">
        <v>444</v>
      </c>
      <c r="D1285" t="s">
        <v>89</v>
      </c>
      <c r="E1285" t="s">
        <v>86</v>
      </c>
      <c r="F1285" s="2">
        <v>273.07479999999998</v>
      </c>
      <c r="G1285">
        <v>4</v>
      </c>
      <c r="H1285" s="2">
        <f>Tabla_Items_Inactivos[[#This Row],[EXISTENCIA]]*Tabla_Items_Inactivos[[#This Row],[COSTO]]</f>
        <v>1092.2991999999999</v>
      </c>
    </row>
    <row r="1286" spans="1:8">
      <c r="A1286" t="s">
        <v>3300</v>
      </c>
      <c r="B1286" t="s">
        <v>4522</v>
      </c>
      <c r="C1286" t="s">
        <v>4523</v>
      </c>
      <c r="D1286" t="s">
        <v>219</v>
      </c>
      <c r="E1286" t="s">
        <v>86</v>
      </c>
      <c r="F1286" s="2">
        <v>12.981</v>
      </c>
      <c r="G1286">
        <v>4</v>
      </c>
      <c r="H1286" s="2">
        <f>Tabla_Items_Inactivos[[#This Row],[EXISTENCIA]]*Tabla_Items_Inactivos[[#This Row],[COSTO]]</f>
        <v>51.923999999999999</v>
      </c>
    </row>
    <row r="1287" spans="1:8">
      <c r="A1287" t="s">
        <v>3300</v>
      </c>
      <c r="B1287" t="s">
        <v>4524</v>
      </c>
      <c r="C1287" t="s">
        <v>4525</v>
      </c>
      <c r="D1287" t="s">
        <v>219</v>
      </c>
      <c r="E1287" t="s">
        <v>86</v>
      </c>
      <c r="F1287" s="2">
        <v>2.5499999999999998</v>
      </c>
      <c r="G1287">
        <v>5</v>
      </c>
      <c r="H1287" s="2">
        <f>Tabla_Items_Inactivos[[#This Row],[EXISTENCIA]]*Tabla_Items_Inactivos[[#This Row],[COSTO]]</f>
        <v>12.75</v>
      </c>
    </row>
    <row r="1288" spans="1:8">
      <c r="A1288" t="s">
        <v>3300</v>
      </c>
      <c r="B1288" t="s">
        <v>445</v>
      </c>
      <c r="C1288" t="s">
        <v>446</v>
      </c>
      <c r="D1288" t="s">
        <v>219</v>
      </c>
      <c r="E1288" t="s">
        <v>86</v>
      </c>
      <c r="F1288" s="2">
        <v>1.34</v>
      </c>
      <c r="G1288">
        <v>1</v>
      </c>
      <c r="H1288" s="2">
        <f>Tabla_Items_Inactivos[[#This Row],[EXISTENCIA]]*Tabla_Items_Inactivos[[#This Row],[COSTO]]</f>
        <v>1.34</v>
      </c>
    </row>
    <row r="1289" spans="1:8">
      <c r="A1289" t="s">
        <v>3300</v>
      </c>
      <c r="B1289" t="s">
        <v>447</v>
      </c>
      <c r="C1289" t="s">
        <v>448</v>
      </c>
      <c r="D1289" t="s">
        <v>219</v>
      </c>
      <c r="E1289" t="s">
        <v>86</v>
      </c>
      <c r="F1289" s="2">
        <v>0</v>
      </c>
      <c r="G1289">
        <v>1</v>
      </c>
      <c r="H1289" s="2">
        <f>Tabla_Items_Inactivos[[#This Row],[EXISTENCIA]]*Tabla_Items_Inactivos[[#This Row],[COSTO]]</f>
        <v>0</v>
      </c>
    </row>
    <row r="1290" spans="1:8">
      <c r="A1290" t="s">
        <v>3300</v>
      </c>
      <c r="B1290" t="s">
        <v>4526</v>
      </c>
      <c r="C1290" t="s">
        <v>4527</v>
      </c>
      <c r="D1290" t="s">
        <v>219</v>
      </c>
      <c r="E1290" t="s">
        <v>86</v>
      </c>
      <c r="F1290" s="2">
        <v>2.4940000000000002</v>
      </c>
      <c r="G1290">
        <v>5</v>
      </c>
      <c r="H1290" s="2">
        <f>Tabla_Items_Inactivos[[#This Row],[EXISTENCIA]]*Tabla_Items_Inactivos[[#This Row],[COSTO]]</f>
        <v>12.47</v>
      </c>
    </row>
    <row r="1291" spans="1:8">
      <c r="A1291" t="s">
        <v>3300</v>
      </c>
      <c r="B1291" t="s">
        <v>4528</v>
      </c>
      <c r="C1291" t="s">
        <v>4529</v>
      </c>
      <c r="D1291" t="s">
        <v>219</v>
      </c>
      <c r="E1291" t="s">
        <v>86</v>
      </c>
      <c r="F1291" s="2">
        <v>2.173</v>
      </c>
      <c r="G1291">
        <v>4</v>
      </c>
      <c r="H1291" s="2">
        <f>Tabla_Items_Inactivos[[#This Row],[EXISTENCIA]]*Tabla_Items_Inactivos[[#This Row],[COSTO]]</f>
        <v>8.6920000000000002</v>
      </c>
    </row>
    <row r="1292" spans="1:8">
      <c r="A1292" t="s">
        <v>3300</v>
      </c>
      <c r="B1292" t="s">
        <v>449</v>
      </c>
      <c r="C1292" t="s">
        <v>450</v>
      </c>
      <c r="D1292" t="s">
        <v>219</v>
      </c>
      <c r="E1292" t="s">
        <v>86</v>
      </c>
      <c r="F1292" s="2">
        <v>1.29</v>
      </c>
      <c r="G1292">
        <v>10</v>
      </c>
      <c r="H1292" s="2">
        <f>Tabla_Items_Inactivos[[#This Row],[EXISTENCIA]]*Tabla_Items_Inactivos[[#This Row],[COSTO]]</f>
        <v>12.9</v>
      </c>
    </row>
    <row r="1293" spans="1:8">
      <c r="A1293" t="s">
        <v>3300</v>
      </c>
      <c r="B1293" t="s">
        <v>451</v>
      </c>
      <c r="C1293" t="s">
        <v>452</v>
      </c>
      <c r="D1293" t="s">
        <v>219</v>
      </c>
      <c r="E1293" t="s">
        <v>86</v>
      </c>
      <c r="F1293" s="2">
        <v>1.0054000000000001</v>
      </c>
      <c r="G1293">
        <v>9</v>
      </c>
      <c r="H1293" s="2">
        <f>Tabla_Items_Inactivos[[#This Row],[EXISTENCIA]]*Tabla_Items_Inactivos[[#This Row],[COSTO]]</f>
        <v>9.0486000000000004</v>
      </c>
    </row>
    <row r="1294" spans="1:8">
      <c r="A1294" t="s">
        <v>3301</v>
      </c>
      <c r="B1294" t="s">
        <v>451</v>
      </c>
      <c r="C1294" t="s">
        <v>452</v>
      </c>
      <c r="D1294" t="s">
        <v>219</v>
      </c>
      <c r="E1294" t="s">
        <v>86</v>
      </c>
      <c r="F1294" s="2">
        <v>1.0054000000000001</v>
      </c>
      <c r="G1294">
        <v>9</v>
      </c>
      <c r="H1294" s="2">
        <f>Tabla_Items_Inactivos[[#This Row],[EXISTENCIA]]*Tabla_Items_Inactivos[[#This Row],[COSTO]]</f>
        <v>9.0486000000000004</v>
      </c>
    </row>
    <row r="1295" spans="1:8">
      <c r="A1295" t="s">
        <v>3300</v>
      </c>
      <c r="B1295" t="s">
        <v>4530</v>
      </c>
      <c r="C1295" t="s">
        <v>4531</v>
      </c>
      <c r="D1295" t="s">
        <v>436</v>
      </c>
      <c r="E1295" t="s">
        <v>86</v>
      </c>
      <c r="F1295" s="2">
        <v>3.01</v>
      </c>
      <c r="G1295">
        <v>2</v>
      </c>
      <c r="H1295" s="2">
        <f>Tabla_Items_Inactivos[[#This Row],[EXISTENCIA]]*Tabla_Items_Inactivos[[#This Row],[COSTO]]</f>
        <v>6.02</v>
      </c>
    </row>
    <row r="1296" spans="1:8">
      <c r="A1296" t="s">
        <v>3300</v>
      </c>
      <c r="B1296" t="s">
        <v>453</v>
      </c>
      <c r="C1296" t="s">
        <v>454</v>
      </c>
      <c r="D1296" t="s">
        <v>219</v>
      </c>
      <c r="E1296" t="s">
        <v>86</v>
      </c>
      <c r="F1296" s="2">
        <v>12.13</v>
      </c>
      <c r="G1296">
        <v>1</v>
      </c>
      <c r="H1296" s="2">
        <f>Tabla_Items_Inactivos[[#This Row],[EXISTENCIA]]*Tabla_Items_Inactivos[[#This Row],[COSTO]]</f>
        <v>12.13</v>
      </c>
    </row>
    <row r="1297" spans="1:8">
      <c r="A1297" t="s">
        <v>3300</v>
      </c>
      <c r="B1297" t="s">
        <v>4532</v>
      </c>
      <c r="C1297" t="s">
        <v>4533</v>
      </c>
      <c r="D1297" t="s">
        <v>219</v>
      </c>
      <c r="E1297" t="s">
        <v>86</v>
      </c>
      <c r="F1297" s="2">
        <v>0</v>
      </c>
      <c r="G1297">
        <v>2</v>
      </c>
      <c r="H1297" s="2">
        <f>Tabla_Items_Inactivos[[#This Row],[EXISTENCIA]]*Tabla_Items_Inactivos[[#This Row],[COSTO]]</f>
        <v>0</v>
      </c>
    </row>
    <row r="1298" spans="1:8">
      <c r="A1298" t="s">
        <v>3300</v>
      </c>
      <c r="B1298" t="s">
        <v>5518</v>
      </c>
      <c r="C1298" t="s">
        <v>5519</v>
      </c>
      <c r="D1298" t="s">
        <v>89</v>
      </c>
      <c r="E1298" t="s">
        <v>86</v>
      </c>
      <c r="F1298" s="2">
        <v>366.8587</v>
      </c>
      <c r="G1298">
        <v>49</v>
      </c>
      <c r="H1298" s="2">
        <f>Tabla_Items_Inactivos[[#This Row],[EXISTENCIA]]*Tabla_Items_Inactivos[[#This Row],[COSTO]]</f>
        <v>17976.076300000001</v>
      </c>
    </row>
    <row r="1299" spans="1:8">
      <c r="A1299" t="s">
        <v>3301</v>
      </c>
      <c r="B1299" t="s">
        <v>5518</v>
      </c>
      <c r="C1299" t="s">
        <v>5519</v>
      </c>
      <c r="D1299" t="s">
        <v>89</v>
      </c>
      <c r="E1299" t="s">
        <v>86</v>
      </c>
      <c r="F1299" s="2">
        <v>366.8587</v>
      </c>
      <c r="G1299">
        <v>49</v>
      </c>
      <c r="H1299" s="2">
        <f>Tabla_Items_Inactivos[[#This Row],[EXISTENCIA]]*Tabla_Items_Inactivos[[#This Row],[COSTO]]</f>
        <v>17976.076300000001</v>
      </c>
    </row>
    <row r="1300" spans="1:8">
      <c r="A1300" t="s">
        <v>3299</v>
      </c>
      <c r="B1300" t="s">
        <v>5518</v>
      </c>
      <c r="C1300" t="s">
        <v>5519</v>
      </c>
      <c r="D1300" t="s">
        <v>89</v>
      </c>
      <c r="E1300" t="s">
        <v>86</v>
      </c>
      <c r="F1300" s="2">
        <v>366.8587</v>
      </c>
      <c r="G1300">
        <v>49</v>
      </c>
      <c r="H1300" s="2">
        <f>Tabla_Items_Inactivos[[#This Row],[EXISTENCIA]]*Tabla_Items_Inactivos[[#This Row],[COSTO]]</f>
        <v>17976.076300000001</v>
      </c>
    </row>
    <row r="1301" spans="1:8">
      <c r="A1301" t="s">
        <v>3300</v>
      </c>
      <c r="B1301" t="s">
        <v>3048</v>
      </c>
      <c r="C1301" t="s">
        <v>3049</v>
      </c>
      <c r="D1301" t="s">
        <v>85</v>
      </c>
      <c r="E1301" t="s">
        <v>86</v>
      </c>
      <c r="F1301" s="2">
        <v>14.85</v>
      </c>
      <c r="G1301">
        <v>2</v>
      </c>
      <c r="H1301" s="2">
        <f>Tabla_Items_Inactivos[[#This Row],[EXISTENCIA]]*Tabla_Items_Inactivos[[#This Row],[COSTO]]</f>
        <v>29.7</v>
      </c>
    </row>
    <row r="1302" spans="1:8">
      <c r="A1302" t="s">
        <v>3300</v>
      </c>
      <c r="B1302" t="s">
        <v>4534</v>
      </c>
      <c r="C1302" t="s">
        <v>2286</v>
      </c>
      <c r="D1302" t="s">
        <v>85</v>
      </c>
      <c r="E1302" t="s">
        <v>86</v>
      </c>
      <c r="F1302" s="2">
        <v>1.484</v>
      </c>
      <c r="G1302">
        <v>4</v>
      </c>
      <c r="H1302" s="2">
        <f>Tabla_Items_Inactivos[[#This Row],[EXISTENCIA]]*Tabla_Items_Inactivos[[#This Row],[COSTO]]</f>
        <v>5.9359999999999999</v>
      </c>
    </row>
    <row r="1303" spans="1:8">
      <c r="A1303" t="s">
        <v>3300</v>
      </c>
      <c r="B1303" t="s">
        <v>4535</v>
      </c>
      <c r="C1303" t="s">
        <v>4536</v>
      </c>
      <c r="D1303" t="s">
        <v>219</v>
      </c>
      <c r="E1303" t="s">
        <v>86</v>
      </c>
      <c r="F1303" s="2">
        <v>1.98</v>
      </c>
      <c r="G1303">
        <v>4</v>
      </c>
      <c r="H1303" s="2">
        <f>Tabla_Items_Inactivos[[#This Row],[EXISTENCIA]]*Tabla_Items_Inactivos[[#This Row],[COSTO]]</f>
        <v>7.92</v>
      </c>
    </row>
    <row r="1304" spans="1:8">
      <c r="A1304" t="s">
        <v>3300</v>
      </c>
      <c r="B1304" t="s">
        <v>4537</v>
      </c>
      <c r="C1304" t="s">
        <v>4538</v>
      </c>
      <c r="D1304" t="s">
        <v>85</v>
      </c>
      <c r="E1304" t="s">
        <v>86</v>
      </c>
      <c r="F1304" s="2">
        <v>1.97</v>
      </c>
      <c r="G1304">
        <v>2</v>
      </c>
      <c r="H1304" s="2">
        <f>Tabla_Items_Inactivos[[#This Row],[EXISTENCIA]]*Tabla_Items_Inactivos[[#This Row],[COSTO]]</f>
        <v>3.94</v>
      </c>
    </row>
    <row r="1305" spans="1:8">
      <c r="A1305" t="s">
        <v>3300</v>
      </c>
      <c r="B1305" t="s">
        <v>4539</v>
      </c>
      <c r="C1305" t="s">
        <v>4540</v>
      </c>
      <c r="D1305" t="s">
        <v>219</v>
      </c>
      <c r="E1305" t="s">
        <v>86</v>
      </c>
      <c r="F1305" s="2">
        <v>1.07</v>
      </c>
      <c r="G1305">
        <v>5</v>
      </c>
      <c r="H1305" s="2">
        <f>Tabla_Items_Inactivos[[#This Row],[EXISTENCIA]]*Tabla_Items_Inactivos[[#This Row],[COSTO]]</f>
        <v>5.3500000000000005</v>
      </c>
    </row>
    <row r="1306" spans="1:8">
      <c r="A1306" t="s">
        <v>3300</v>
      </c>
      <c r="B1306" t="s">
        <v>4541</v>
      </c>
      <c r="C1306" t="s">
        <v>4542</v>
      </c>
      <c r="D1306" t="s">
        <v>85</v>
      </c>
      <c r="E1306" t="s">
        <v>86</v>
      </c>
      <c r="F1306" s="2">
        <v>2.0175999999999998</v>
      </c>
      <c r="G1306">
        <v>57</v>
      </c>
      <c r="H1306" s="2">
        <f>Tabla_Items_Inactivos[[#This Row],[EXISTENCIA]]*Tabla_Items_Inactivos[[#This Row],[COSTO]]</f>
        <v>115.00319999999999</v>
      </c>
    </row>
    <row r="1307" spans="1:8">
      <c r="A1307" t="s">
        <v>3300</v>
      </c>
      <c r="B1307" t="s">
        <v>3050</v>
      </c>
      <c r="C1307" t="s">
        <v>2252</v>
      </c>
      <c r="D1307" t="s">
        <v>85</v>
      </c>
      <c r="E1307" t="s">
        <v>86</v>
      </c>
      <c r="F1307" s="2">
        <v>1.3513999999999999</v>
      </c>
      <c r="G1307">
        <v>30</v>
      </c>
      <c r="H1307" s="2">
        <f>Tabla_Items_Inactivos[[#This Row],[EXISTENCIA]]*Tabla_Items_Inactivos[[#This Row],[COSTO]]</f>
        <v>40.542000000000002</v>
      </c>
    </row>
    <row r="1308" spans="1:8">
      <c r="A1308" t="s">
        <v>3301</v>
      </c>
      <c r="B1308" t="s">
        <v>4543</v>
      </c>
      <c r="C1308" t="s">
        <v>3241</v>
      </c>
      <c r="D1308" t="s">
        <v>85</v>
      </c>
      <c r="E1308" t="s">
        <v>86</v>
      </c>
      <c r="F1308" s="2">
        <v>1.0827</v>
      </c>
      <c r="G1308">
        <v>123</v>
      </c>
      <c r="H1308" s="2">
        <f>Tabla_Items_Inactivos[[#This Row],[EXISTENCIA]]*Tabla_Items_Inactivos[[#This Row],[COSTO]]</f>
        <v>133.1721</v>
      </c>
    </row>
    <row r="1309" spans="1:8">
      <c r="A1309" t="s">
        <v>3300</v>
      </c>
      <c r="B1309" t="s">
        <v>4543</v>
      </c>
      <c r="C1309" t="s">
        <v>3241</v>
      </c>
      <c r="D1309" t="s">
        <v>85</v>
      </c>
      <c r="E1309" t="s">
        <v>86</v>
      </c>
      <c r="F1309" s="2">
        <v>1.0827</v>
      </c>
      <c r="G1309">
        <v>123</v>
      </c>
      <c r="H1309" s="2">
        <f>Tabla_Items_Inactivos[[#This Row],[EXISTENCIA]]*Tabla_Items_Inactivos[[#This Row],[COSTO]]</f>
        <v>133.1721</v>
      </c>
    </row>
    <row r="1310" spans="1:8">
      <c r="A1310" t="s">
        <v>3300</v>
      </c>
      <c r="B1310" t="s">
        <v>4544</v>
      </c>
      <c r="C1310" t="s">
        <v>2289</v>
      </c>
      <c r="D1310" t="s">
        <v>85</v>
      </c>
      <c r="E1310" t="s">
        <v>86</v>
      </c>
      <c r="F1310" s="2">
        <v>6.2001999999999997</v>
      </c>
      <c r="G1310">
        <v>4</v>
      </c>
      <c r="H1310" s="2">
        <f>Tabla_Items_Inactivos[[#This Row],[EXISTENCIA]]*Tabla_Items_Inactivos[[#This Row],[COSTO]]</f>
        <v>24.800799999999999</v>
      </c>
    </row>
    <row r="1311" spans="1:8">
      <c r="A1311" t="s">
        <v>3300</v>
      </c>
      <c r="B1311" t="s">
        <v>455</v>
      </c>
      <c r="C1311" t="s">
        <v>456</v>
      </c>
      <c r="D1311" t="s">
        <v>85</v>
      </c>
      <c r="E1311" t="s">
        <v>86</v>
      </c>
      <c r="F1311" s="2">
        <v>4.82</v>
      </c>
      <c r="G1311">
        <v>1</v>
      </c>
      <c r="H1311" s="2">
        <f>Tabla_Items_Inactivos[[#This Row],[EXISTENCIA]]*Tabla_Items_Inactivos[[#This Row],[COSTO]]</f>
        <v>4.82</v>
      </c>
    </row>
    <row r="1312" spans="1:8">
      <c r="A1312" t="s">
        <v>3300</v>
      </c>
      <c r="B1312" t="s">
        <v>4545</v>
      </c>
      <c r="C1312" t="s">
        <v>4546</v>
      </c>
      <c r="D1312" t="s">
        <v>436</v>
      </c>
      <c r="E1312" t="s">
        <v>86</v>
      </c>
      <c r="F1312" s="2">
        <v>11.05</v>
      </c>
      <c r="G1312">
        <v>2</v>
      </c>
      <c r="H1312" s="2">
        <f>Tabla_Items_Inactivos[[#This Row],[EXISTENCIA]]*Tabla_Items_Inactivos[[#This Row],[COSTO]]</f>
        <v>22.1</v>
      </c>
    </row>
    <row r="1313" spans="1:8">
      <c r="A1313" t="s">
        <v>3300</v>
      </c>
      <c r="B1313" t="s">
        <v>4547</v>
      </c>
      <c r="C1313" t="s">
        <v>4548</v>
      </c>
      <c r="D1313" t="s">
        <v>85</v>
      </c>
      <c r="E1313" t="s">
        <v>86</v>
      </c>
      <c r="F1313" s="2">
        <v>8.4359999999999999</v>
      </c>
      <c r="G1313">
        <v>1</v>
      </c>
      <c r="H1313" s="2">
        <f>Tabla_Items_Inactivos[[#This Row],[EXISTENCIA]]*Tabla_Items_Inactivos[[#This Row],[COSTO]]</f>
        <v>8.4359999999999999</v>
      </c>
    </row>
    <row r="1314" spans="1:8">
      <c r="A1314" t="s">
        <v>3300</v>
      </c>
      <c r="B1314" t="s">
        <v>4549</v>
      </c>
      <c r="C1314" t="s">
        <v>4550</v>
      </c>
      <c r="D1314" t="s">
        <v>85</v>
      </c>
      <c r="E1314" t="s">
        <v>86</v>
      </c>
      <c r="F1314" s="2">
        <v>16.321899999999999</v>
      </c>
      <c r="G1314">
        <v>9</v>
      </c>
      <c r="H1314" s="2">
        <f>Tabla_Items_Inactivos[[#This Row],[EXISTENCIA]]*Tabla_Items_Inactivos[[#This Row],[COSTO]]</f>
        <v>146.89709999999999</v>
      </c>
    </row>
    <row r="1315" spans="1:8">
      <c r="A1315" t="s">
        <v>3300</v>
      </c>
      <c r="B1315" t="s">
        <v>4551</v>
      </c>
      <c r="C1315" t="s">
        <v>4552</v>
      </c>
      <c r="D1315" t="s">
        <v>85</v>
      </c>
      <c r="E1315" t="s">
        <v>86</v>
      </c>
      <c r="F1315" s="2">
        <v>31.428000000000001</v>
      </c>
      <c r="G1315">
        <v>5</v>
      </c>
      <c r="H1315" s="2">
        <f>Tabla_Items_Inactivos[[#This Row],[EXISTENCIA]]*Tabla_Items_Inactivos[[#This Row],[COSTO]]</f>
        <v>157.14000000000001</v>
      </c>
    </row>
    <row r="1316" spans="1:8">
      <c r="A1316" t="s">
        <v>3300</v>
      </c>
      <c r="B1316" t="s">
        <v>4553</v>
      </c>
      <c r="C1316" t="s">
        <v>4554</v>
      </c>
      <c r="D1316" t="s">
        <v>85</v>
      </c>
      <c r="E1316" t="s">
        <v>86</v>
      </c>
      <c r="F1316" s="2">
        <v>17.916899999999998</v>
      </c>
      <c r="G1316">
        <v>17</v>
      </c>
      <c r="H1316" s="2">
        <f>Tabla_Items_Inactivos[[#This Row],[EXISTENCIA]]*Tabla_Items_Inactivos[[#This Row],[COSTO]]</f>
        <v>304.58729999999997</v>
      </c>
    </row>
    <row r="1317" spans="1:8">
      <c r="A1317" t="s">
        <v>3300</v>
      </c>
      <c r="B1317" t="s">
        <v>457</v>
      </c>
      <c r="C1317" t="s">
        <v>458</v>
      </c>
      <c r="D1317" t="s">
        <v>85</v>
      </c>
      <c r="E1317" t="s">
        <v>86</v>
      </c>
      <c r="F1317" s="2">
        <v>17.639199999999999</v>
      </c>
      <c r="G1317">
        <v>5</v>
      </c>
      <c r="H1317" s="2">
        <f>Tabla_Items_Inactivos[[#This Row],[EXISTENCIA]]*Tabla_Items_Inactivos[[#This Row],[COSTO]]</f>
        <v>88.195999999999998</v>
      </c>
    </row>
    <row r="1318" spans="1:8">
      <c r="A1318" t="s">
        <v>3300</v>
      </c>
      <c r="B1318" t="s">
        <v>4555</v>
      </c>
      <c r="C1318" t="s">
        <v>4556</v>
      </c>
      <c r="D1318" t="s">
        <v>85</v>
      </c>
      <c r="E1318" t="s">
        <v>86</v>
      </c>
      <c r="F1318" s="2">
        <v>13.2796</v>
      </c>
      <c r="G1318">
        <v>33</v>
      </c>
      <c r="H1318" s="2">
        <f>Tabla_Items_Inactivos[[#This Row],[EXISTENCIA]]*Tabla_Items_Inactivos[[#This Row],[COSTO]]</f>
        <v>438.22680000000003</v>
      </c>
    </row>
    <row r="1319" spans="1:8">
      <c r="A1319" t="s">
        <v>3300</v>
      </c>
      <c r="B1319" t="s">
        <v>4557</v>
      </c>
      <c r="C1319" t="s">
        <v>4558</v>
      </c>
      <c r="D1319" t="s">
        <v>436</v>
      </c>
      <c r="E1319" t="s">
        <v>86</v>
      </c>
      <c r="F1319" s="2">
        <v>7.56</v>
      </c>
      <c r="G1319">
        <v>2</v>
      </c>
      <c r="H1319" s="2">
        <f>Tabla_Items_Inactivos[[#This Row],[EXISTENCIA]]*Tabla_Items_Inactivos[[#This Row],[COSTO]]</f>
        <v>15.12</v>
      </c>
    </row>
    <row r="1320" spans="1:8">
      <c r="A1320" t="s">
        <v>3300</v>
      </c>
      <c r="B1320" t="s">
        <v>4559</v>
      </c>
      <c r="C1320" t="s">
        <v>4560</v>
      </c>
      <c r="D1320" t="s">
        <v>436</v>
      </c>
      <c r="E1320" t="s">
        <v>86</v>
      </c>
      <c r="F1320" s="2">
        <v>27.21</v>
      </c>
      <c r="G1320">
        <v>1</v>
      </c>
      <c r="H1320" s="2">
        <f>Tabla_Items_Inactivos[[#This Row],[EXISTENCIA]]*Tabla_Items_Inactivos[[#This Row],[COSTO]]</f>
        <v>27.21</v>
      </c>
    </row>
    <row r="1321" spans="1:8">
      <c r="A1321" t="s">
        <v>3300</v>
      </c>
      <c r="B1321" t="s">
        <v>3051</v>
      </c>
      <c r="C1321" t="s">
        <v>4561</v>
      </c>
      <c r="D1321" t="s">
        <v>85</v>
      </c>
      <c r="E1321" t="s">
        <v>86</v>
      </c>
      <c r="F1321" s="2">
        <v>12.278600000000001</v>
      </c>
      <c r="G1321">
        <v>34</v>
      </c>
      <c r="H1321" s="2">
        <f>Tabla_Items_Inactivos[[#This Row],[EXISTENCIA]]*Tabla_Items_Inactivos[[#This Row],[COSTO]]</f>
        <v>417.47240000000005</v>
      </c>
    </row>
    <row r="1322" spans="1:8">
      <c r="A1322" t="s">
        <v>3301</v>
      </c>
      <c r="B1322" t="s">
        <v>3051</v>
      </c>
      <c r="C1322" t="s">
        <v>4561</v>
      </c>
      <c r="D1322" t="s">
        <v>85</v>
      </c>
      <c r="E1322" t="s">
        <v>86</v>
      </c>
      <c r="F1322" s="2">
        <v>12.278600000000001</v>
      </c>
      <c r="G1322">
        <v>34</v>
      </c>
      <c r="H1322" s="2">
        <f>Tabla_Items_Inactivos[[#This Row],[EXISTENCIA]]*Tabla_Items_Inactivos[[#This Row],[COSTO]]</f>
        <v>417.47240000000005</v>
      </c>
    </row>
    <row r="1323" spans="1:8">
      <c r="A1323" t="s">
        <v>3300</v>
      </c>
      <c r="B1323" t="s">
        <v>4562</v>
      </c>
      <c r="C1323" t="s">
        <v>4563</v>
      </c>
      <c r="D1323" t="s">
        <v>85</v>
      </c>
      <c r="E1323" t="s">
        <v>86</v>
      </c>
      <c r="F1323" s="2">
        <v>9.6856000000000009</v>
      </c>
      <c r="G1323">
        <v>6</v>
      </c>
      <c r="H1323" s="2">
        <f>Tabla_Items_Inactivos[[#This Row],[EXISTENCIA]]*Tabla_Items_Inactivos[[#This Row],[COSTO]]</f>
        <v>58.113600000000005</v>
      </c>
    </row>
    <row r="1324" spans="1:8">
      <c r="A1324" t="s">
        <v>3300</v>
      </c>
      <c r="B1324" t="s">
        <v>4564</v>
      </c>
      <c r="C1324" t="s">
        <v>4565</v>
      </c>
      <c r="D1324" t="s">
        <v>85</v>
      </c>
      <c r="E1324" t="s">
        <v>86</v>
      </c>
      <c r="F1324" s="2">
        <v>7.1102999999999996</v>
      </c>
      <c r="G1324">
        <v>9</v>
      </c>
      <c r="H1324" s="2">
        <f>Tabla_Items_Inactivos[[#This Row],[EXISTENCIA]]*Tabla_Items_Inactivos[[#This Row],[COSTO]]</f>
        <v>63.992699999999999</v>
      </c>
    </row>
    <row r="1325" spans="1:8">
      <c r="A1325" t="s">
        <v>3300</v>
      </c>
      <c r="B1325" t="s">
        <v>4566</v>
      </c>
      <c r="C1325" t="s">
        <v>4567</v>
      </c>
      <c r="D1325" t="s">
        <v>85</v>
      </c>
      <c r="E1325" t="s">
        <v>86</v>
      </c>
      <c r="F1325" s="2">
        <v>5.1746999999999996</v>
      </c>
      <c r="G1325">
        <v>5</v>
      </c>
      <c r="H1325" s="2">
        <f>Tabla_Items_Inactivos[[#This Row],[EXISTENCIA]]*Tabla_Items_Inactivos[[#This Row],[COSTO]]</f>
        <v>25.8735</v>
      </c>
    </row>
    <row r="1326" spans="1:8">
      <c r="A1326" t="s">
        <v>3300</v>
      </c>
      <c r="B1326" t="s">
        <v>3052</v>
      </c>
      <c r="C1326" t="s">
        <v>4568</v>
      </c>
      <c r="D1326" t="s">
        <v>219</v>
      </c>
      <c r="E1326" t="s">
        <v>86</v>
      </c>
      <c r="F1326" s="2">
        <v>7.6947000000000001</v>
      </c>
      <c r="G1326">
        <v>8</v>
      </c>
      <c r="H1326" s="2">
        <f>Tabla_Items_Inactivos[[#This Row],[EXISTENCIA]]*Tabla_Items_Inactivos[[#This Row],[COSTO]]</f>
        <v>61.557600000000001</v>
      </c>
    </row>
    <row r="1327" spans="1:8">
      <c r="A1327" t="s">
        <v>3300</v>
      </c>
      <c r="B1327" t="s">
        <v>4569</v>
      </c>
      <c r="C1327" t="s">
        <v>3275</v>
      </c>
      <c r="D1327" t="s">
        <v>85</v>
      </c>
      <c r="E1327" t="s">
        <v>86</v>
      </c>
      <c r="F1327" s="2">
        <v>0.73399999999999999</v>
      </c>
      <c r="G1327">
        <v>6</v>
      </c>
      <c r="H1327" s="2">
        <f>Tabla_Items_Inactivos[[#This Row],[EXISTENCIA]]*Tabla_Items_Inactivos[[#This Row],[COSTO]]</f>
        <v>4.4039999999999999</v>
      </c>
    </row>
    <row r="1328" spans="1:8">
      <c r="A1328" t="s">
        <v>3300</v>
      </c>
      <c r="B1328" t="s">
        <v>3053</v>
      </c>
      <c r="C1328" t="s">
        <v>3054</v>
      </c>
      <c r="D1328" t="s">
        <v>85</v>
      </c>
      <c r="E1328" t="s">
        <v>86</v>
      </c>
      <c r="F1328" s="2">
        <v>6.6</v>
      </c>
      <c r="G1328">
        <v>1</v>
      </c>
      <c r="H1328" s="2">
        <f>Tabla_Items_Inactivos[[#This Row],[EXISTENCIA]]*Tabla_Items_Inactivos[[#This Row],[COSTO]]</f>
        <v>6.6</v>
      </c>
    </row>
    <row r="1329" spans="1:8">
      <c r="A1329" t="s">
        <v>3301</v>
      </c>
      <c r="B1329" t="s">
        <v>4570</v>
      </c>
      <c r="C1329" t="s">
        <v>4571</v>
      </c>
      <c r="D1329" t="s">
        <v>85</v>
      </c>
      <c r="E1329" t="s">
        <v>86</v>
      </c>
      <c r="F1329" s="2">
        <v>3.9306000000000001</v>
      </c>
      <c r="G1329">
        <v>7</v>
      </c>
      <c r="H1329" s="2">
        <f>Tabla_Items_Inactivos[[#This Row],[EXISTENCIA]]*Tabla_Items_Inactivos[[#This Row],[COSTO]]</f>
        <v>27.514200000000002</v>
      </c>
    </row>
    <row r="1330" spans="1:8">
      <c r="A1330" t="s">
        <v>3300</v>
      </c>
      <c r="B1330" t="s">
        <v>4570</v>
      </c>
      <c r="C1330" t="s">
        <v>4571</v>
      </c>
      <c r="D1330" t="s">
        <v>85</v>
      </c>
      <c r="E1330" t="s">
        <v>86</v>
      </c>
      <c r="F1330" s="2">
        <v>3.9306000000000001</v>
      </c>
      <c r="G1330">
        <v>7</v>
      </c>
      <c r="H1330" s="2">
        <f>Tabla_Items_Inactivos[[#This Row],[EXISTENCIA]]*Tabla_Items_Inactivos[[#This Row],[COSTO]]</f>
        <v>27.514200000000002</v>
      </c>
    </row>
    <row r="1331" spans="1:8">
      <c r="A1331" t="s">
        <v>3301</v>
      </c>
      <c r="B1331" t="s">
        <v>4572</v>
      </c>
      <c r="C1331" t="s">
        <v>4573</v>
      </c>
      <c r="D1331" t="s">
        <v>85</v>
      </c>
      <c r="E1331" t="s">
        <v>86</v>
      </c>
      <c r="F1331" s="2">
        <v>1.2068000000000001</v>
      </c>
      <c r="G1331">
        <v>19</v>
      </c>
      <c r="H1331" s="2">
        <f>Tabla_Items_Inactivos[[#This Row],[EXISTENCIA]]*Tabla_Items_Inactivos[[#This Row],[COSTO]]</f>
        <v>22.929200000000002</v>
      </c>
    </row>
    <row r="1332" spans="1:8">
      <c r="A1332" t="s">
        <v>3300</v>
      </c>
      <c r="B1332" t="s">
        <v>4572</v>
      </c>
      <c r="C1332" t="s">
        <v>4573</v>
      </c>
      <c r="D1332" t="s">
        <v>85</v>
      </c>
      <c r="E1332" t="s">
        <v>86</v>
      </c>
      <c r="F1332" s="2">
        <v>1.2068000000000001</v>
      </c>
      <c r="G1332">
        <v>19</v>
      </c>
      <c r="H1332" s="2">
        <f>Tabla_Items_Inactivos[[#This Row],[EXISTENCIA]]*Tabla_Items_Inactivos[[#This Row],[COSTO]]</f>
        <v>22.929200000000002</v>
      </c>
    </row>
    <row r="1333" spans="1:8">
      <c r="A1333" t="s">
        <v>3300</v>
      </c>
      <c r="B1333" t="s">
        <v>3055</v>
      </c>
      <c r="C1333" t="s">
        <v>3056</v>
      </c>
      <c r="D1333" t="s">
        <v>85</v>
      </c>
      <c r="E1333" t="s">
        <v>86</v>
      </c>
      <c r="F1333" s="2">
        <v>1.58</v>
      </c>
      <c r="G1333">
        <v>1</v>
      </c>
      <c r="H1333" s="2">
        <f>Tabla_Items_Inactivos[[#This Row],[EXISTENCIA]]*Tabla_Items_Inactivos[[#This Row],[COSTO]]</f>
        <v>1.58</v>
      </c>
    </row>
    <row r="1334" spans="1:8">
      <c r="A1334" t="s">
        <v>3300</v>
      </c>
      <c r="B1334" t="s">
        <v>459</v>
      </c>
      <c r="C1334" t="s">
        <v>460</v>
      </c>
      <c r="D1334" t="s">
        <v>85</v>
      </c>
      <c r="E1334" t="s">
        <v>86</v>
      </c>
      <c r="F1334" s="2">
        <v>7.4886999999999997</v>
      </c>
      <c r="G1334">
        <v>8</v>
      </c>
      <c r="H1334" s="2">
        <f>Tabla_Items_Inactivos[[#This Row],[EXISTENCIA]]*Tabla_Items_Inactivos[[#This Row],[COSTO]]</f>
        <v>59.909599999999998</v>
      </c>
    </row>
    <row r="1335" spans="1:8">
      <c r="A1335" t="s">
        <v>3300</v>
      </c>
      <c r="B1335" t="s">
        <v>461</v>
      </c>
      <c r="C1335" t="s">
        <v>462</v>
      </c>
      <c r="D1335" t="s">
        <v>85</v>
      </c>
      <c r="E1335" t="s">
        <v>86</v>
      </c>
      <c r="F1335" s="2">
        <v>5.7613000000000003</v>
      </c>
      <c r="G1335">
        <v>8</v>
      </c>
      <c r="H1335" s="2">
        <f>Tabla_Items_Inactivos[[#This Row],[EXISTENCIA]]*Tabla_Items_Inactivos[[#This Row],[COSTO]]</f>
        <v>46.090400000000002</v>
      </c>
    </row>
    <row r="1336" spans="1:8">
      <c r="A1336" t="s">
        <v>3300</v>
      </c>
      <c r="B1336" t="s">
        <v>4574</v>
      </c>
      <c r="C1336" t="s">
        <v>4575</v>
      </c>
      <c r="D1336" t="s">
        <v>85</v>
      </c>
      <c r="E1336" t="s">
        <v>86</v>
      </c>
      <c r="F1336" s="2">
        <v>0</v>
      </c>
      <c r="G1336">
        <v>5</v>
      </c>
      <c r="H1336" s="2">
        <f>Tabla_Items_Inactivos[[#This Row],[EXISTENCIA]]*Tabla_Items_Inactivos[[#This Row],[COSTO]]</f>
        <v>0</v>
      </c>
    </row>
    <row r="1337" spans="1:8">
      <c r="A1337" t="s">
        <v>3300</v>
      </c>
      <c r="B1337" t="s">
        <v>4576</v>
      </c>
      <c r="C1337" t="s">
        <v>4577</v>
      </c>
      <c r="D1337" t="s">
        <v>85</v>
      </c>
      <c r="E1337" t="s">
        <v>86</v>
      </c>
      <c r="F1337" s="2">
        <v>10.1843</v>
      </c>
      <c r="G1337">
        <v>32</v>
      </c>
      <c r="H1337" s="2">
        <f>Tabla_Items_Inactivos[[#This Row],[EXISTENCIA]]*Tabla_Items_Inactivos[[#This Row],[COSTO]]</f>
        <v>325.89760000000001</v>
      </c>
    </row>
    <row r="1338" spans="1:8">
      <c r="A1338" t="s">
        <v>3301</v>
      </c>
      <c r="B1338" t="s">
        <v>4576</v>
      </c>
      <c r="C1338" t="s">
        <v>4577</v>
      </c>
      <c r="D1338" t="s">
        <v>85</v>
      </c>
      <c r="E1338" t="s">
        <v>86</v>
      </c>
      <c r="F1338" s="2">
        <v>10.1843</v>
      </c>
      <c r="G1338">
        <v>32</v>
      </c>
      <c r="H1338" s="2">
        <f>Tabla_Items_Inactivos[[#This Row],[EXISTENCIA]]*Tabla_Items_Inactivos[[#This Row],[COSTO]]</f>
        <v>325.89760000000001</v>
      </c>
    </row>
    <row r="1339" spans="1:8">
      <c r="A1339" t="s">
        <v>3300</v>
      </c>
      <c r="B1339" t="s">
        <v>4578</v>
      </c>
      <c r="C1339" t="s">
        <v>4579</v>
      </c>
      <c r="D1339" t="s">
        <v>85</v>
      </c>
      <c r="E1339" t="s">
        <v>86</v>
      </c>
      <c r="F1339" s="2">
        <v>1.6912</v>
      </c>
      <c r="G1339">
        <v>167</v>
      </c>
      <c r="H1339" s="2">
        <f>Tabla_Items_Inactivos[[#This Row],[EXISTENCIA]]*Tabla_Items_Inactivos[[#This Row],[COSTO]]</f>
        <v>282.43040000000002</v>
      </c>
    </row>
    <row r="1340" spans="1:8">
      <c r="A1340" t="s">
        <v>3301</v>
      </c>
      <c r="B1340" t="s">
        <v>4578</v>
      </c>
      <c r="C1340" t="s">
        <v>4579</v>
      </c>
      <c r="D1340" t="s">
        <v>85</v>
      </c>
      <c r="E1340" t="s">
        <v>86</v>
      </c>
      <c r="F1340" s="2">
        <v>1.6912</v>
      </c>
      <c r="G1340">
        <v>167</v>
      </c>
      <c r="H1340" s="2">
        <f>Tabla_Items_Inactivos[[#This Row],[EXISTENCIA]]*Tabla_Items_Inactivos[[#This Row],[COSTO]]</f>
        <v>282.43040000000002</v>
      </c>
    </row>
    <row r="1341" spans="1:8">
      <c r="A1341" t="s">
        <v>3300</v>
      </c>
      <c r="B1341" t="s">
        <v>3057</v>
      </c>
      <c r="C1341" t="s">
        <v>3058</v>
      </c>
      <c r="D1341" t="s">
        <v>85</v>
      </c>
      <c r="E1341" t="s">
        <v>86</v>
      </c>
      <c r="F1341" s="2">
        <v>4.194</v>
      </c>
      <c r="G1341">
        <v>5</v>
      </c>
      <c r="H1341" s="2">
        <f>Tabla_Items_Inactivos[[#This Row],[EXISTENCIA]]*Tabla_Items_Inactivos[[#This Row],[COSTO]]</f>
        <v>20.97</v>
      </c>
    </row>
    <row r="1342" spans="1:8">
      <c r="A1342" t="s">
        <v>3300</v>
      </c>
      <c r="B1342" t="s">
        <v>463</v>
      </c>
      <c r="C1342" t="s">
        <v>464</v>
      </c>
      <c r="D1342" t="s">
        <v>85</v>
      </c>
      <c r="E1342" t="s">
        <v>86</v>
      </c>
      <c r="F1342" s="2">
        <v>0.6996</v>
      </c>
      <c r="G1342">
        <v>17</v>
      </c>
      <c r="H1342" s="2">
        <f>Tabla_Items_Inactivos[[#This Row],[EXISTENCIA]]*Tabla_Items_Inactivos[[#This Row],[COSTO]]</f>
        <v>11.8932</v>
      </c>
    </row>
    <row r="1343" spans="1:8">
      <c r="A1343" t="s">
        <v>3300</v>
      </c>
      <c r="B1343" t="s">
        <v>4580</v>
      </c>
      <c r="C1343" t="s">
        <v>3270</v>
      </c>
      <c r="D1343" t="s">
        <v>85</v>
      </c>
      <c r="E1343" t="s">
        <v>86</v>
      </c>
      <c r="F1343" s="2">
        <v>11.37</v>
      </c>
      <c r="G1343">
        <v>26</v>
      </c>
      <c r="H1343" s="2">
        <f>Tabla_Items_Inactivos[[#This Row],[EXISTENCIA]]*Tabla_Items_Inactivos[[#This Row],[COSTO]]</f>
        <v>295.62</v>
      </c>
    </row>
    <row r="1344" spans="1:8">
      <c r="A1344" t="s">
        <v>3300</v>
      </c>
      <c r="B1344" t="s">
        <v>4581</v>
      </c>
      <c r="C1344" t="s">
        <v>3236</v>
      </c>
      <c r="D1344" t="s">
        <v>85</v>
      </c>
      <c r="E1344" t="s">
        <v>86</v>
      </c>
      <c r="F1344" s="2">
        <v>4.1159999999999997</v>
      </c>
      <c r="G1344">
        <v>12</v>
      </c>
      <c r="H1344" s="2">
        <f>Tabla_Items_Inactivos[[#This Row],[EXISTENCIA]]*Tabla_Items_Inactivos[[#This Row],[COSTO]]</f>
        <v>49.391999999999996</v>
      </c>
    </row>
    <row r="1345" spans="1:8">
      <c r="A1345" t="s">
        <v>3300</v>
      </c>
      <c r="B1345" t="s">
        <v>3059</v>
      </c>
      <c r="C1345" t="s">
        <v>3060</v>
      </c>
      <c r="D1345" t="s">
        <v>85</v>
      </c>
      <c r="E1345" t="s">
        <v>86</v>
      </c>
      <c r="F1345" s="2">
        <v>3.1497000000000002</v>
      </c>
      <c r="G1345">
        <v>11</v>
      </c>
      <c r="H1345" s="2">
        <f>Tabla_Items_Inactivos[[#This Row],[EXISTENCIA]]*Tabla_Items_Inactivos[[#This Row],[COSTO]]</f>
        <v>34.646700000000003</v>
      </c>
    </row>
    <row r="1346" spans="1:8">
      <c r="A1346" t="s">
        <v>3300</v>
      </c>
      <c r="B1346" t="s">
        <v>4582</v>
      </c>
      <c r="C1346" t="s">
        <v>4583</v>
      </c>
      <c r="D1346" t="s">
        <v>85</v>
      </c>
      <c r="E1346" t="s">
        <v>86</v>
      </c>
      <c r="F1346" s="2">
        <v>11.0989</v>
      </c>
      <c r="G1346">
        <v>14</v>
      </c>
      <c r="H1346" s="2">
        <f>Tabla_Items_Inactivos[[#This Row],[EXISTENCIA]]*Tabla_Items_Inactivos[[#This Row],[COSTO]]</f>
        <v>155.38460000000001</v>
      </c>
    </row>
    <row r="1347" spans="1:8">
      <c r="A1347" t="s">
        <v>3301</v>
      </c>
      <c r="B1347" t="s">
        <v>4582</v>
      </c>
      <c r="C1347" t="s">
        <v>4583</v>
      </c>
      <c r="D1347" t="s">
        <v>85</v>
      </c>
      <c r="E1347" t="s">
        <v>86</v>
      </c>
      <c r="F1347" s="2">
        <v>11.0989</v>
      </c>
      <c r="G1347">
        <v>14</v>
      </c>
      <c r="H1347" s="2">
        <f>Tabla_Items_Inactivos[[#This Row],[EXISTENCIA]]*Tabla_Items_Inactivos[[#This Row],[COSTO]]</f>
        <v>155.38460000000001</v>
      </c>
    </row>
    <row r="1348" spans="1:8">
      <c r="A1348" t="s">
        <v>3300</v>
      </c>
      <c r="B1348" t="s">
        <v>4584</v>
      </c>
      <c r="C1348" t="s">
        <v>2421</v>
      </c>
      <c r="D1348" t="s">
        <v>85</v>
      </c>
      <c r="E1348" t="s">
        <v>86</v>
      </c>
      <c r="F1348" s="2">
        <v>0.505</v>
      </c>
      <c r="G1348">
        <v>7</v>
      </c>
      <c r="H1348" s="2">
        <f>Tabla_Items_Inactivos[[#This Row],[EXISTENCIA]]*Tabla_Items_Inactivos[[#This Row],[COSTO]]</f>
        <v>3.5350000000000001</v>
      </c>
    </row>
    <row r="1349" spans="1:8">
      <c r="A1349" t="s">
        <v>3300</v>
      </c>
      <c r="B1349" t="s">
        <v>4585</v>
      </c>
      <c r="C1349" t="s">
        <v>4586</v>
      </c>
      <c r="D1349" t="s">
        <v>85</v>
      </c>
      <c r="E1349" t="s">
        <v>86</v>
      </c>
      <c r="F1349" s="2">
        <v>1.4487000000000001</v>
      </c>
      <c r="G1349">
        <v>67</v>
      </c>
      <c r="H1349" s="2">
        <f>Tabla_Items_Inactivos[[#This Row],[EXISTENCIA]]*Tabla_Items_Inactivos[[#This Row],[COSTO]]</f>
        <v>97.062900000000013</v>
      </c>
    </row>
    <row r="1350" spans="1:8">
      <c r="A1350" t="s">
        <v>3301</v>
      </c>
      <c r="B1350" t="s">
        <v>4585</v>
      </c>
      <c r="C1350" t="s">
        <v>4586</v>
      </c>
      <c r="D1350" t="s">
        <v>85</v>
      </c>
      <c r="E1350" t="s">
        <v>86</v>
      </c>
      <c r="F1350" s="2">
        <v>1.4487000000000001</v>
      </c>
      <c r="G1350">
        <v>67</v>
      </c>
      <c r="H1350" s="2">
        <f>Tabla_Items_Inactivos[[#This Row],[EXISTENCIA]]*Tabla_Items_Inactivos[[#This Row],[COSTO]]</f>
        <v>97.062900000000013</v>
      </c>
    </row>
    <row r="1351" spans="1:8">
      <c r="A1351" t="s">
        <v>3300</v>
      </c>
      <c r="B1351" t="s">
        <v>4587</v>
      </c>
      <c r="C1351" t="s">
        <v>4588</v>
      </c>
      <c r="D1351" t="s">
        <v>85</v>
      </c>
      <c r="E1351" t="s">
        <v>86</v>
      </c>
      <c r="F1351" s="2">
        <v>2.9321000000000002</v>
      </c>
      <c r="G1351">
        <v>2</v>
      </c>
      <c r="H1351" s="2">
        <f>Tabla_Items_Inactivos[[#This Row],[EXISTENCIA]]*Tabla_Items_Inactivos[[#This Row],[COSTO]]</f>
        <v>5.8642000000000003</v>
      </c>
    </row>
    <row r="1352" spans="1:8">
      <c r="A1352" t="s">
        <v>3300</v>
      </c>
      <c r="B1352" t="s">
        <v>465</v>
      </c>
      <c r="C1352" t="s">
        <v>466</v>
      </c>
      <c r="D1352" t="s">
        <v>467</v>
      </c>
      <c r="E1352" t="s">
        <v>86</v>
      </c>
      <c r="F1352" s="2">
        <v>356.21089999999998</v>
      </c>
      <c r="G1352">
        <v>1</v>
      </c>
      <c r="H1352" s="2">
        <f>Tabla_Items_Inactivos[[#This Row],[EXISTENCIA]]*Tabla_Items_Inactivos[[#This Row],[COSTO]]</f>
        <v>356.21089999999998</v>
      </c>
    </row>
    <row r="1353" spans="1:8">
      <c r="A1353" t="s">
        <v>3300</v>
      </c>
      <c r="B1353" t="s">
        <v>4589</v>
      </c>
      <c r="C1353" t="s">
        <v>4590</v>
      </c>
      <c r="D1353" t="s">
        <v>467</v>
      </c>
      <c r="E1353" t="s">
        <v>86</v>
      </c>
      <c r="F1353" s="2">
        <v>351.37259999999998</v>
      </c>
      <c r="G1353">
        <v>2</v>
      </c>
      <c r="H1353" s="2">
        <f>Tabla_Items_Inactivos[[#This Row],[EXISTENCIA]]*Tabla_Items_Inactivos[[#This Row],[COSTO]]</f>
        <v>702.74519999999995</v>
      </c>
    </row>
    <row r="1354" spans="1:8">
      <c r="A1354" t="s">
        <v>3301</v>
      </c>
      <c r="B1354" t="s">
        <v>4589</v>
      </c>
      <c r="C1354" t="s">
        <v>4590</v>
      </c>
      <c r="D1354" t="s">
        <v>467</v>
      </c>
      <c r="E1354" t="s">
        <v>86</v>
      </c>
      <c r="F1354" s="2">
        <v>351.37259999999998</v>
      </c>
      <c r="G1354">
        <v>2</v>
      </c>
      <c r="H1354" s="2">
        <f>Tabla_Items_Inactivos[[#This Row],[EXISTENCIA]]*Tabla_Items_Inactivos[[#This Row],[COSTO]]</f>
        <v>702.74519999999995</v>
      </c>
    </row>
    <row r="1355" spans="1:8">
      <c r="A1355" t="s">
        <v>3301</v>
      </c>
      <c r="B1355" t="s">
        <v>4591</v>
      </c>
      <c r="C1355" t="s">
        <v>4592</v>
      </c>
      <c r="D1355" t="s">
        <v>467</v>
      </c>
      <c r="E1355" t="s">
        <v>86</v>
      </c>
      <c r="F1355" s="2">
        <v>781.79070000000002</v>
      </c>
      <c r="G1355">
        <v>7</v>
      </c>
      <c r="H1355" s="2">
        <f>Tabla_Items_Inactivos[[#This Row],[EXISTENCIA]]*Tabla_Items_Inactivos[[#This Row],[COSTO]]</f>
        <v>5472.5349000000006</v>
      </c>
    </row>
    <row r="1356" spans="1:8">
      <c r="A1356" t="s">
        <v>3300</v>
      </c>
      <c r="B1356" t="s">
        <v>4591</v>
      </c>
      <c r="C1356" t="s">
        <v>4592</v>
      </c>
      <c r="D1356" t="s">
        <v>467</v>
      </c>
      <c r="E1356" t="s">
        <v>86</v>
      </c>
      <c r="F1356" s="2">
        <v>781.79070000000002</v>
      </c>
      <c r="G1356">
        <v>7</v>
      </c>
      <c r="H1356" s="2">
        <f>Tabla_Items_Inactivos[[#This Row],[EXISTENCIA]]*Tabla_Items_Inactivos[[#This Row],[COSTO]]</f>
        <v>5472.5349000000006</v>
      </c>
    </row>
    <row r="1357" spans="1:8">
      <c r="A1357" t="s">
        <v>3300</v>
      </c>
      <c r="B1357" t="s">
        <v>468</v>
      </c>
      <c r="C1357" t="s">
        <v>469</v>
      </c>
      <c r="D1357" t="s">
        <v>467</v>
      </c>
      <c r="E1357" t="s">
        <v>86</v>
      </c>
      <c r="F1357" s="2">
        <v>189.58</v>
      </c>
      <c r="G1357">
        <v>2</v>
      </c>
      <c r="H1357" s="2">
        <f>Tabla_Items_Inactivos[[#This Row],[EXISTENCIA]]*Tabla_Items_Inactivos[[#This Row],[COSTO]]</f>
        <v>379.16</v>
      </c>
    </row>
    <row r="1358" spans="1:8">
      <c r="A1358" t="s">
        <v>3301</v>
      </c>
      <c r="B1358" t="s">
        <v>5520</v>
      </c>
      <c r="C1358" t="s">
        <v>5521</v>
      </c>
      <c r="D1358" t="s">
        <v>467</v>
      </c>
      <c r="E1358" t="s">
        <v>86</v>
      </c>
      <c r="F1358" s="2">
        <v>161.04740000000001</v>
      </c>
      <c r="G1358">
        <v>6</v>
      </c>
      <c r="H1358" s="2">
        <f>Tabla_Items_Inactivos[[#This Row],[EXISTENCIA]]*Tabla_Items_Inactivos[[#This Row],[COSTO]]</f>
        <v>966.28440000000001</v>
      </c>
    </row>
    <row r="1359" spans="1:8">
      <c r="A1359" t="s">
        <v>3300</v>
      </c>
      <c r="B1359" t="s">
        <v>5520</v>
      </c>
      <c r="C1359" t="s">
        <v>5521</v>
      </c>
      <c r="D1359" t="s">
        <v>467</v>
      </c>
      <c r="E1359" t="s">
        <v>86</v>
      </c>
      <c r="F1359" s="2">
        <v>161.04740000000001</v>
      </c>
      <c r="G1359">
        <v>6</v>
      </c>
      <c r="H1359" s="2">
        <f>Tabla_Items_Inactivos[[#This Row],[EXISTENCIA]]*Tabla_Items_Inactivos[[#This Row],[COSTO]]</f>
        <v>966.28440000000001</v>
      </c>
    </row>
    <row r="1360" spans="1:8">
      <c r="A1360" t="s">
        <v>3300</v>
      </c>
      <c r="B1360" t="s">
        <v>4593</v>
      </c>
      <c r="C1360" t="s">
        <v>4594</v>
      </c>
      <c r="D1360" t="s">
        <v>467</v>
      </c>
      <c r="E1360" t="s">
        <v>86</v>
      </c>
      <c r="F1360" s="2">
        <v>0.79759999999999998</v>
      </c>
      <c r="G1360">
        <v>4</v>
      </c>
      <c r="H1360" s="2">
        <f>Tabla_Items_Inactivos[[#This Row],[EXISTENCIA]]*Tabla_Items_Inactivos[[#This Row],[COSTO]]</f>
        <v>3.1903999999999999</v>
      </c>
    </row>
    <row r="1361" spans="1:8">
      <c r="A1361" t="s">
        <v>3301</v>
      </c>
      <c r="B1361" t="s">
        <v>4593</v>
      </c>
      <c r="C1361" t="s">
        <v>4594</v>
      </c>
      <c r="D1361" t="s">
        <v>467</v>
      </c>
      <c r="E1361" t="s">
        <v>86</v>
      </c>
      <c r="F1361" s="2">
        <v>0.79759999999999998</v>
      </c>
      <c r="G1361">
        <v>4</v>
      </c>
      <c r="H1361" s="2">
        <f>Tabla_Items_Inactivos[[#This Row],[EXISTENCIA]]*Tabla_Items_Inactivos[[#This Row],[COSTO]]</f>
        <v>3.1903999999999999</v>
      </c>
    </row>
    <row r="1362" spans="1:8">
      <c r="A1362" t="s">
        <v>3300</v>
      </c>
      <c r="B1362" t="s">
        <v>4595</v>
      </c>
      <c r="C1362" t="s">
        <v>4596</v>
      </c>
      <c r="D1362" t="s">
        <v>467</v>
      </c>
      <c r="E1362" t="s">
        <v>86</v>
      </c>
      <c r="F1362" s="2">
        <v>204.5658</v>
      </c>
      <c r="G1362">
        <v>15</v>
      </c>
      <c r="H1362" s="2">
        <f>Tabla_Items_Inactivos[[#This Row],[EXISTENCIA]]*Tabla_Items_Inactivos[[#This Row],[COSTO]]</f>
        <v>3068.4870000000001</v>
      </c>
    </row>
    <row r="1363" spans="1:8">
      <c r="A1363" t="s">
        <v>3301</v>
      </c>
      <c r="B1363" t="s">
        <v>4595</v>
      </c>
      <c r="C1363" t="s">
        <v>4596</v>
      </c>
      <c r="D1363" t="s">
        <v>467</v>
      </c>
      <c r="E1363" t="s">
        <v>86</v>
      </c>
      <c r="F1363" s="2">
        <v>204.5658</v>
      </c>
      <c r="G1363">
        <v>15</v>
      </c>
      <c r="H1363" s="2">
        <f>Tabla_Items_Inactivos[[#This Row],[EXISTENCIA]]*Tabla_Items_Inactivos[[#This Row],[COSTO]]</f>
        <v>3068.4870000000001</v>
      </c>
    </row>
    <row r="1364" spans="1:8">
      <c r="A1364" t="s">
        <v>3301</v>
      </c>
      <c r="B1364" t="s">
        <v>5522</v>
      </c>
      <c r="C1364" t="s">
        <v>5523</v>
      </c>
      <c r="D1364" t="s">
        <v>467</v>
      </c>
      <c r="E1364" t="s">
        <v>86</v>
      </c>
      <c r="F1364" s="2">
        <v>209.8432</v>
      </c>
      <c r="G1364">
        <v>3</v>
      </c>
      <c r="H1364" s="2">
        <f>Tabla_Items_Inactivos[[#This Row],[EXISTENCIA]]*Tabla_Items_Inactivos[[#This Row],[COSTO]]</f>
        <v>629.52959999999996</v>
      </c>
    </row>
    <row r="1365" spans="1:8">
      <c r="A1365" t="s">
        <v>3300</v>
      </c>
      <c r="B1365" t="s">
        <v>5522</v>
      </c>
      <c r="C1365" t="s">
        <v>5523</v>
      </c>
      <c r="D1365" t="s">
        <v>467</v>
      </c>
      <c r="E1365" t="s">
        <v>86</v>
      </c>
      <c r="F1365" s="2">
        <v>209.8432</v>
      </c>
      <c r="G1365">
        <v>3</v>
      </c>
      <c r="H1365" s="2">
        <f>Tabla_Items_Inactivos[[#This Row],[EXISTENCIA]]*Tabla_Items_Inactivos[[#This Row],[COSTO]]</f>
        <v>629.52959999999996</v>
      </c>
    </row>
    <row r="1366" spans="1:8">
      <c r="A1366" t="s">
        <v>3300</v>
      </c>
      <c r="B1366" t="s">
        <v>4597</v>
      </c>
      <c r="C1366" t="s">
        <v>4598</v>
      </c>
      <c r="D1366" t="s">
        <v>467</v>
      </c>
      <c r="E1366" t="s">
        <v>86</v>
      </c>
      <c r="F1366" s="2">
        <v>257.1574</v>
      </c>
      <c r="G1366">
        <v>1</v>
      </c>
      <c r="H1366" s="2">
        <f>Tabla_Items_Inactivos[[#This Row],[EXISTENCIA]]*Tabla_Items_Inactivos[[#This Row],[COSTO]]</f>
        <v>257.1574</v>
      </c>
    </row>
    <row r="1367" spans="1:8">
      <c r="A1367" t="s">
        <v>3300</v>
      </c>
      <c r="B1367" t="s">
        <v>5524</v>
      </c>
      <c r="C1367" t="s">
        <v>5525</v>
      </c>
      <c r="D1367" t="s">
        <v>467</v>
      </c>
      <c r="E1367" t="s">
        <v>86</v>
      </c>
      <c r="F1367" s="2">
        <v>246.29740000000001</v>
      </c>
      <c r="G1367">
        <v>7</v>
      </c>
      <c r="H1367" s="2">
        <f>Tabla_Items_Inactivos[[#This Row],[EXISTENCIA]]*Tabla_Items_Inactivos[[#This Row],[COSTO]]</f>
        <v>1724.0818000000002</v>
      </c>
    </row>
    <row r="1368" spans="1:8">
      <c r="A1368" t="s">
        <v>3301</v>
      </c>
      <c r="B1368" t="s">
        <v>5524</v>
      </c>
      <c r="C1368" t="s">
        <v>5525</v>
      </c>
      <c r="D1368" t="s">
        <v>467</v>
      </c>
      <c r="E1368" t="s">
        <v>86</v>
      </c>
      <c r="F1368" s="2">
        <v>246.29740000000001</v>
      </c>
      <c r="G1368">
        <v>7</v>
      </c>
      <c r="H1368" s="2">
        <f>Tabla_Items_Inactivos[[#This Row],[EXISTENCIA]]*Tabla_Items_Inactivos[[#This Row],[COSTO]]</f>
        <v>1724.0818000000002</v>
      </c>
    </row>
    <row r="1369" spans="1:8">
      <c r="A1369" t="s">
        <v>3300</v>
      </c>
      <c r="B1369" t="s">
        <v>4599</v>
      </c>
      <c r="C1369" t="s">
        <v>4600</v>
      </c>
      <c r="D1369" t="s">
        <v>467</v>
      </c>
      <c r="E1369" t="s">
        <v>86</v>
      </c>
      <c r="F1369" s="2">
        <v>394.80829999999997</v>
      </c>
      <c r="G1369">
        <v>7</v>
      </c>
      <c r="H1369" s="2">
        <f>Tabla_Items_Inactivos[[#This Row],[EXISTENCIA]]*Tabla_Items_Inactivos[[#This Row],[COSTO]]</f>
        <v>2763.6580999999996</v>
      </c>
    </row>
    <row r="1370" spans="1:8">
      <c r="A1370" t="s">
        <v>3301</v>
      </c>
      <c r="B1370" t="s">
        <v>4599</v>
      </c>
      <c r="C1370" t="s">
        <v>4600</v>
      </c>
      <c r="D1370" t="s">
        <v>467</v>
      </c>
      <c r="E1370" t="s">
        <v>86</v>
      </c>
      <c r="F1370" s="2">
        <v>394.80829999999997</v>
      </c>
      <c r="G1370">
        <v>7</v>
      </c>
      <c r="H1370" s="2">
        <f>Tabla_Items_Inactivos[[#This Row],[EXISTENCIA]]*Tabla_Items_Inactivos[[#This Row],[COSTO]]</f>
        <v>2763.6580999999996</v>
      </c>
    </row>
    <row r="1371" spans="1:8">
      <c r="A1371" t="s">
        <v>3301</v>
      </c>
      <c r="B1371" t="s">
        <v>5526</v>
      </c>
      <c r="C1371" t="s">
        <v>5527</v>
      </c>
      <c r="D1371" t="s">
        <v>467</v>
      </c>
      <c r="E1371" t="s">
        <v>86</v>
      </c>
      <c r="F1371" s="2">
        <v>179.9</v>
      </c>
      <c r="G1371">
        <v>9</v>
      </c>
      <c r="H1371" s="2">
        <f>Tabla_Items_Inactivos[[#This Row],[EXISTENCIA]]*Tabla_Items_Inactivos[[#This Row],[COSTO]]</f>
        <v>1619.1000000000001</v>
      </c>
    </row>
    <row r="1372" spans="1:8">
      <c r="A1372" t="s">
        <v>3300</v>
      </c>
      <c r="B1372" t="s">
        <v>5526</v>
      </c>
      <c r="C1372" t="s">
        <v>5527</v>
      </c>
      <c r="D1372" t="s">
        <v>467</v>
      </c>
      <c r="E1372" t="s">
        <v>86</v>
      </c>
      <c r="F1372" s="2">
        <v>179.9</v>
      </c>
      <c r="G1372">
        <v>9</v>
      </c>
      <c r="H1372" s="2">
        <f>Tabla_Items_Inactivos[[#This Row],[EXISTENCIA]]*Tabla_Items_Inactivos[[#This Row],[COSTO]]</f>
        <v>1619.1000000000001</v>
      </c>
    </row>
    <row r="1373" spans="1:8">
      <c r="A1373" t="s">
        <v>3300</v>
      </c>
      <c r="B1373" t="s">
        <v>470</v>
      </c>
      <c r="C1373" t="s">
        <v>471</v>
      </c>
      <c r="D1373" t="s">
        <v>467</v>
      </c>
      <c r="E1373" t="s">
        <v>86</v>
      </c>
      <c r="F1373" s="2">
        <v>437.28469999999999</v>
      </c>
      <c r="G1373">
        <v>14</v>
      </c>
      <c r="H1373" s="2">
        <f>Tabla_Items_Inactivos[[#This Row],[EXISTENCIA]]*Tabla_Items_Inactivos[[#This Row],[COSTO]]</f>
        <v>6121.9857999999995</v>
      </c>
    </row>
    <row r="1374" spans="1:8">
      <c r="A1374" t="s">
        <v>3301</v>
      </c>
      <c r="B1374" t="s">
        <v>470</v>
      </c>
      <c r="C1374" t="s">
        <v>471</v>
      </c>
      <c r="D1374" t="s">
        <v>467</v>
      </c>
      <c r="E1374" t="s">
        <v>86</v>
      </c>
      <c r="F1374" s="2">
        <v>437.28469999999999</v>
      </c>
      <c r="G1374">
        <v>14</v>
      </c>
      <c r="H1374" s="2">
        <f>Tabla_Items_Inactivos[[#This Row],[EXISTENCIA]]*Tabla_Items_Inactivos[[#This Row],[COSTO]]</f>
        <v>6121.9857999999995</v>
      </c>
    </row>
    <row r="1375" spans="1:8">
      <c r="A1375" t="s">
        <v>3300</v>
      </c>
      <c r="B1375" t="s">
        <v>4601</v>
      </c>
      <c r="C1375" t="s">
        <v>4602</v>
      </c>
      <c r="D1375" t="s">
        <v>467</v>
      </c>
      <c r="E1375" t="s">
        <v>86</v>
      </c>
      <c r="F1375" s="2">
        <v>387.8218</v>
      </c>
      <c r="G1375">
        <v>1</v>
      </c>
      <c r="H1375" s="2">
        <f>Tabla_Items_Inactivos[[#This Row],[EXISTENCIA]]*Tabla_Items_Inactivos[[#This Row],[COSTO]]</f>
        <v>387.8218</v>
      </c>
    </row>
    <row r="1376" spans="1:8">
      <c r="A1376" t="s">
        <v>3301</v>
      </c>
      <c r="B1376" t="s">
        <v>4601</v>
      </c>
      <c r="C1376" t="s">
        <v>4602</v>
      </c>
      <c r="D1376" t="s">
        <v>467</v>
      </c>
      <c r="E1376" t="s">
        <v>86</v>
      </c>
      <c r="F1376" s="2">
        <v>387.8218</v>
      </c>
      <c r="G1376">
        <v>1</v>
      </c>
      <c r="H1376" s="2">
        <f>Tabla_Items_Inactivos[[#This Row],[EXISTENCIA]]*Tabla_Items_Inactivos[[#This Row],[COSTO]]</f>
        <v>387.8218</v>
      </c>
    </row>
    <row r="1377" spans="1:8">
      <c r="A1377" t="s">
        <v>3301</v>
      </c>
      <c r="B1377" t="s">
        <v>4603</v>
      </c>
      <c r="C1377" t="s">
        <v>4604</v>
      </c>
      <c r="D1377" t="s">
        <v>467</v>
      </c>
      <c r="E1377" t="s">
        <v>86</v>
      </c>
      <c r="F1377" s="2">
        <v>436.6943</v>
      </c>
      <c r="G1377">
        <v>8</v>
      </c>
      <c r="H1377" s="2">
        <f>Tabla_Items_Inactivos[[#This Row],[EXISTENCIA]]*Tabla_Items_Inactivos[[#This Row],[COSTO]]</f>
        <v>3493.5544</v>
      </c>
    </row>
    <row r="1378" spans="1:8">
      <c r="A1378" t="s">
        <v>3300</v>
      </c>
      <c r="B1378" t="s">
        <v>4603</v>
      </c>
      <c r="C1378" t="s">
        <v>4604</v>
      </c>
      <c r="D1378" t="s">
        <v>467</v>
      </c>
      <c r="E1378" t="s">
        <v>86</v>
      </c>
      <c r="F1378" s="2">
        <v>436.6943</v>
      </c>
      <c r="G1378">
        <v>8</v>
      </c>
      <c r="H1378" s="2">
        <f>Tabla_Items_Inactivos[[#This Row],[EXISTENCIA]]*Tabla_Items_Inactivos[[#This Row],[COSTO]]</f>
        <v>3493.5544</v>
      </c>
    </row>
    <row r="1379" spans="1:8">
      <c r="A1379" t="s">
        <v>3300</v>
      </c>
      <c r="B1379" t="s">
        <v>472</v>
      </c>
      <c r="C1379" t="s">
        <v>473</v>
      </c>
      <c r="D1379" t="s">
        <v>467</v>
      </c>
      <c r="E1379" t="s">
        <v>86</v>
      </c>
      <c r="F1379" s="2">
        <v>588.94849999999997</v>
      </c>
      <c r="G1379">
        <v>3</v>
      </c>
      <c r="H1379" s="2">
        <f>Tabla_Items_Inactivos[[#This Row],[EXISTENCIA]]*Tabla_Items_Inactivos[[#This Row],[COSTO]]</f>
        <v>1766.8454999999999</v>
      </c>
    </row>
    <row r="1380" spans="1:8">
      <c r="A1380" t="s">
        <v>3301</v>
      </c>
      <c r="B1380" t="s">
        <v>472</v>
      </c>
      <c r="C1380" t="s">
        <v>473</v>
      </c>
      <c r="D1380" t="s">
        <v>467</v>
      </c>
      <c r="E1380" t="s">
        <v>86</v>
      </c>
      <c r="F1380" s="2">
        <v>588.94849999999997</v>
      </c>
      <c r="G1380">
        <v>3</v>
      </c>
      <c r="H1380" s="2">
        <f>Tabla_Items_Inactivos[[#This Row],[EXISTENCIA]]*Tabla_Items_Inactivos[[#This Row],[COSTO]]</f>
        <v>1766.8454999999999</v>
      </c>
    </row>
    <row r="1381" spans="1:8">
      <c r="A1381" t="s">
        <v>3301</v>
      </c>
      <c r="B1381" t="s">
        <v>4605</v>
      </c>
      <c r="C1381" t="s">
        <v>4606</v>
      </c>
      <c r="D1381" t="s">
        <v>467</v>
      </c>
      <c r="E1381" t="s">
        <v>86</v>
      </c>
      <c r="F1381" s="2">
        <v>601.69579999999996</v>
      </c>
      <c r="G1381">
        <v>9</v>
      </c>
      <c r="H1381" s="2">
        <f>Tabla_Items_Inactivos[[#This Row],[EXISTENCIA]]*Tabla_Items_Inactivos[[#This Row],[COSTO]]</f>
        <v>5415.2621999999992</v>
      </c>
    </row>
    <row r="1382" spans="1:8">
      <c r="A1382" t="s">
        <v>3300</v>
      </c>
      <c r="B1382" t="s">
        <v>4605</v>
      </c>
      <c r="C1382" t="s">
        <v>4606</v>
      </c>
      <c r="D1382" t="s">
        <v>467</v>
      </c>
      <c r="E1382" t="s">
        <v>86</v>
      </c>
      <c r="F1382" s="2">
        <v>601.69579999999996</v>
      </c>
      <c r="G1382">
        <v>9</v>
      </c>
      <c r="H1382" s="2">
        <f>Tabla_Items_Inactivos[[#This Row],[EXISTENCIA]]*Tabla_Items_Inactivos[[#This Row],[COSTO]]</f>
        <v>5415.2621999999992</v>
      </c>
    </row>
    <row r="1383" spans="1:8">
      <c r="A1383" t="s">
        <v>3300</v>
      </c>
      <c r="B1383" t="s">
        <v>4607</v>
      </c>
      <c r="C1383" t="s">
        <v>4608</v>
      </c>
      <c r="D1383" t="s">
        <v>474</v>
      </c>
      <c r="E1383" t="s">
        <v>86</v>
      </c>
      <c r="F1383" s="2">
        <v>363.35149999999999</v>
      </c>
      <c r="G1383">
        <v>8</v>
      </c>
      <c r="H1383" s="2">
        <f>Tabla_Items_Inactivos[[#This Row],[EXISTENCIA]]*Tabla_Items_Inactivos[[#This Row],[COSTO]]</f>
        <v>2906.8119999999999</v>
      </c>
    </row>
    <row r="1384" spans="1:8">
      <c r="A1384" t="s">
        <v>3301</v>
      </c>
      <c r="B1384" t="s">
        <v>4607</v>
      </c>
      <c r="C1384" t="s">
        <v>4608</v>
      </c>
      <c r="D1384" t="s">
        <v>474</v>
      </c>
      <c r="E1384" t="s">
        <v>86</v>
      </c>
      <c r="F1384" s="2">
        <v>363.35149999999999</v>
      </c>
      <c r="G1384">
        <v>8</v>
      </c>
      <c r="H1384" s="2">
        <f>Tabla_Items_Inactivos[[#This Row],[EXISTENCIA]]*Tabla_Items_Inactivos[[#This Row],[COSTO]]</f>
        <v>2906.8119999999999</v>
      </c>
    </row>
    <row r="1385" spans="1:8">
      <c r="A1385" t="s">
        <v>3299</v>
      </c>
      <c r="B1385" t="s">
        <v>4607</v>
      </c>
      <c r="C1385" t="s">
        <v>4608</v>
      </c>
      <c r="D1385" t="s">
        <v>474</v>
      </c>
      <c r="E1385" t="s">
        <v>86</v>
      </c>
      <c r="F1385" s="2">
        <v>363.35149999999999</v>
      </c>
      <c r="G1385">
        <v>8</v>
      </c>
      <c r="H1385" s="2">
        <f>Tabla_Items_Inactivos[[#This Row],[EXISTENCIA]]*Tabla_Items_Inactivos[[#This Row],[COSTO]]</f>
        <v>2906.8119999999999</v>
      </c>
    </row>
    <row r="1386" spans="1:8">
      <c r="A1386" t="s">
        <v>3299</v>
      </c>
      <c r="B1386" t="s">
        <v>5528</v>
      </c>
      <c r="C1386" t="s">
        <v>5529</v>
      </c>
      <c r="D1386" t="s">
        <v>474</v>
      </c>
      <c r="E1386" t="s">
        <v>86</v>
      </c>
      <c r="F1386" s="2">
        <v>391.8784</v>
      </c>
      <c r="G1386">
        <v>14</v>
      </c>
      <c r="H1386" s="2">
        <f>Tabla_Items_Inactivos[[#This Row],[EXISTENCIA]]*Tabla_Items_Inactivos[[#This Row],[COSTO]]</f>
        <v>5486.2975999999999</v>
      </c>
    </row>
    <row r="1387" spans="1:8">
      <c r="A1387" t="s">
        <v>3300</v>
      </c>
      <c r="B1387" t="s">
        <v>5528</v>
      </c>
      <c r="C1387" t="s">
        <v>5529</v>
      </c>
      <c r="D1387" t="s">
        <v>474</v>
      </c>
      <c r="E1387" t="s">
        <v>86</v>
      </c>
      <c r="F1387" s="2">
        <v>391.8784</v>
      </c>
      <c r="G1387">
        <v>14</v>
      </c>
      <c r="H1387" s="2">
        <f>Tabla_Items_Inactivos[[#This Row],[EXISTENCIA]]*Tabla_Items_Inactivos[[#This Row],[COSTO]]</f>
        <v>5486.2975999999999</v>
      </c>
    </row>
    <row r="1388" spans="1:8">
      <c r="A1388" t="s">
        <v>3301</v>
      </c>
      <c r="B1388" t="s">
        <v>5528</v>
      </c>
      <c r="C1388" t="s">
        <v>5529</v>
      </c>
      <c r="D1388" t="s">
        <v>474</v>
      </c>
      <c r="E1388" t="s">
        <v>86</v>
      </c>
      <c r="F1388" s="2">
        <v>391.8784</v>
      </c>
      <c r="G1388">
        <v>14</v>
      </c>
      <c r="H1388" s="2">
        <f>Tabla_Items_Inactivos[[#This Row],[EXISTENCIA]]*Tabla_Items_Inactivos[[#This Row],[COSTO]]</f>
        <v>5486.2975999999999</v>
      </c>
    </row>
    <row r="1389" spans="1:8">
      <c r="A1389" t="s">
        <v>3300</v>
      </c>
      <c r="B1389" t="s">
        <v>4609</v>
      </c>
      <c r="C1389" t="s">
        <v>4610</v>
      </c>
      <c r="D1389" t="s">
        <v>4611</v>
      </c>
      <c r="E1389" t="s">
        <v>86</v>
      </c>
      <c r="F1389" s="2">
        <v>35.85</v>
      </c>
      <c r="G1389">
        <v>3</v>
      </c>
      <c r="H1389" s="2">
        <f>Tabla_Items_Inactivos[[#This Row],[EXISTENCIA]]*Tabla_Items_Inactivos[[#This Row],[COSTO]]</f>
        <v>107.55000000000001</v>
      </c>
    </row>
    <row r="1390" spans="1:8">
      <c r="A1390" t="s">
        <v>3301</v>
      </c>
      <c r="B1390" t="s">
        <v>475</v>
      </c>
      <c r="C1390" t="s">
        <v>4612</v>
      </c>
      <c r="D1390" t="s">
        <v>476</v>
      </c>
      <c r="E1390" t="s">
        <v>86</v>
      </c>
      <c r="F1390" s="2">
        <v>21.08</v>
      </c>
      <c r="G1390">
        <v>8</v>
      </c>
      <c r="H1390" s="2">
        <f>Tabla_Items_Inactivos[[#This Row],[EXISTENCIA]]*Tabla_Items_Inactivos[[#This Row],[COSTO]]</f>
        <v>168.64</v>
      </c>
    </row>
    <row r="1391" spans="1:8">
      <c r="A1391" t="s">
        <v>3300</v>
      </c>
      <c r="B1391" t="s">
        <v>475</v>
      </c>
      <c r="C1391" t="s">
        <v>4612</v>
      </c>
      <c r="D1391" t="s">
        <v>476</v>
      </c>
      <c r="E1391" t="s">
        <v>86</v>
      </c>
      <c r="F1391" s="2">
        <v>21.08</v>
      </c>
      <c r="G1391">
        <v>8</v>
      </c>
      <c r="H1391" s="2">
        <f>Tabla_Items_Inactivos[[#This Row],[EXISTENCIA]]*Tabla_Items_Inactivos[[#This Row],[COSTO]]</f>
        <v>168.64</v>
      </c>
    </row>
    <row r="1392" spans="1:8">
      <c r="A1392" t="s">
        <v>3300</v>
      </c>
      <c r="B1392" t="s">
        <v>4613</v>
      </c>
      <c r="C1392" t="s">
        <v>4614</v>
      </c>
      <c r="D1392" t="s">
        <v>98</v>
      </c>
      <c r="E1392" t="s">
        <v>86</v>
      </c>
      <c r="F1392" s="2">
        <v>7.7942</v>
      </c>
      <c r="G1392">
        <v>21</v>
      </c>
      <c r="H1392" s="2">
        <f>Tabla_Items_Inactivos[[#This Row],[EXISTENCIA]]*Tabla_Items_Inactivos[[#This Row],[COSTO]]</f>
        <v>163.6782</v>
      </c>
    </row>
    <row r="1393" spans="1:8">
      <c r="A1393" t="s">
        <v>3301</v>
      </c>
      <c r="B1393" t="s">
        <v>4613</v>
      </c>
      <c r="C1393" t="s">
        <v>4614</v>
      </c>
      <c r="D1393" t="s">
        <v>98</v>
      </c>
      <c r="E1393" t="s">
        <v>86</v>
      </c>
      <c r="F1393" s="2">
        <v>7.7942</v>
      </c>
      <c r="G1393">
        <v>21</v>
      </c>
      <c r="H1393" s="2">
        <f>Tabla_Items_Inactivos[[#This Row],[EXISTENCIA]]*Tabla_Items_Inactivos[[#This Row],[COSTO]]</f>
        <v>163.6782</v>
      </c>
    </row>
    <row r="1394" spans="1:8">
      <c r="A1394" t="s">
        <v>3300</v>
      </c>
      <c r="B1394" t="s">
        <v>4615</v>
      </c>
      <c r="C1394" t="s">
        <v>4616</v>
      </c>
      <c r="D1394" t="s">
        <v>410</v>
      </c>
      <c r="E1394" t="s">
        <v>86</v>
      </c>
      <c r="F1394" s="2">
        <v>5.67</v>
      </c>
      <c r="G1394">
        <v>1</v>
      </c>
      <c r="H1394" s="2">
        <f>Tabla_Items_Inactivos[[#This Row],[EXISTENCIA]]*Tabla_Items_Inactivos[[#This Row],[COSTO]]</f>
        <v>5.67</v>
      </c>
    </row>
    <row r="1395" spans="1:8">
      <c r="A1395" t="s">
        <v>3300</v>
      </c>
      <c r="B1395" t="s">
        <v>4617</v>
      </c>
      <c r="C1395" t="s">
        <v>4618</v>
      </c>
      <c r="D1395" t="s">
        <v>31</v>
      </c>
      <c r="E1395" t="s">
        <v>31</v>
      </c>
      <c r="F1395" s="2">
        <v>0</v>
      </c>
      <c r="G1395">
        <v>1</v>
      </c>
      <c r="H1395" s="2">
        <f>Tabla_Items_Inactivos[[#This Row],[EXISTENCIA]]*Tabla_Items_Inactivos[[#This Row],[COSTO]]</f>
        <v>0</v>
      </c>
    </row>
    <row r="1396" spans="1:8">
      <c r="A1396" t="s">
        <v>3300</v>
      </c>
      <c r="B1396" t="s">
        <v>4619</v>
      </c>
      <c r="C1396" t="s">
        <v>4620</v>
      </c>
      <c r="D1396" t="s">
        <v>479</v>
      </c>
      <c r="E1396" t="s">
        <v>86</v>
      </c>
      <c r="F1396" s="2">
        <v>158.92509999999999</v>
      </c>
      <c r="G1396">
        <v>3</v>
      </c>
      <c r="H1396" s="2">
        <f>Tabla_Items_Inactivos[[#This Row],[EXISTENCIA]]*Tabla_Items_Inactivos[[#This Row],[COSTO]]</f>
        <v>476.77529999999996</v>
      </c>
    </row>
    <row r="1397" spans="1:8">
      <c r="A1397" t="s">
        <v>3301</v>
      </c>
      <c r="B1397" t="s">
        <v>4619</v>
      </c>
      <c r="C1397" t="s">
        <v>4620</v>
      </c>
      <c r="D1397" t="s">
        <v>479</v>
      </c>
      <c r="E1397" t="s">
        <v>86</v>
      </c>
      <c r="F1397" s="2">
        <v>158.92509999999999</v>
      </c>
      <c r="G1397">
        <v>3</v>
      </c>
      <c r="H1397" s="2">
        <f>Tabla_Items_Inactivos[[#This Row],[EXISTENCIA]]*Tabla_Items_Inactivos[[#This Row],[COSTO]]</f>
        <v>476.77529999999996</v>
      </c>
    </row>
    <row r="1398" spans="1:8">
      <c r="A1398" t="s">
        <v>3300</v>
      </c>
      <c r="B1398" t="s">
        <v>5530</v>
      </c>
      <c r="C1398" t="s">
        <v>5531</v>
      </c>
      <c r="D1398" t="s">
        <v>5532</v>
      </c>
      <c r="E1398" t="s">
        <v>86</v>
      </c>
      <c r="F1398" s="2">
        <v>263.6327</v>
      </c>
      <c r="G1398">
        <v>4</v>
      </c>
      <c r="H1398" s="2">
        <f>Tabla_Items_Inactivos[[#This Row],[EXISTENCIA]]*Tabla_Items_Inactivos[[#This Row],[COSTO]]</f>
        <v>1054.5308</v>
      </c>
    </row>
    <row r="1399" spans="1:8">
      <c r="A1399" t="s">
        <v>3301</v>
      </c>
      <c r="B1399" t="s">
        <v>5530</v>
      </c>
      <c r="C1399" t="s">
        <v>5531</v>
      </c>
      <c r="D1399" t="s">
        <v>5532</v>
      </c>
      <c r="E1399" t="s">
        <v>86</v>
      </c>
      <c r="F1399" s="2">
        <v>263.6327</v>
      </c>
      <c r="G1399">
        <v>4</v>
      </c>
      <c r="H1399" s="2">
        <f>Tabla_Items_Inactivos[[#This Row],[EXISTENCIA]]*Tabla_Items_Inactivos[[#This Row],[COSTO]]</f>
        <v>1054.5308</v>
      </c>
    </row>
    <row r="1400" spans="1:8">
      <c r="A1400" t="s">
        <v>3301</v>
      </c>
      <c r="B1400" t="s">
        <v>477</v>
      </c>
      <c r="C1400" t="s">
        <v>478</v>
      </c>
      <c r="D1400" t="s">
        <v>479</v>
      </c>
      <c r="E1400" t="s">
        <v>86</v>
      </c>
      <c r="F1400" s="2">
        <v>253.22239999999999</v>
      </c>
      <c r="G1400">
        <v>2</v>
      </c>
      <c r="H1400" s="2">
        <f>Tabla_Items_Inactivos[[#This Row],[EXISTENCIA]]*Tabla_Items_Inactivos[[#This Row],[COSTO]]</f>
        <v>506.44479999999999</v>
      </c>
    </row>
    <row r="1401" spans="1:8">
      <c r="A1401" t="s">
        <v>3300</v>
      </c>
      <c r="B1401" t="s">
        <v>477</v>
      </c>
      <c r="C1401" t="s">
        <v>478</v>
      </c>
      <c r="D1401" t="s">
        <v>479</v>
      </c>
      <c r="E1401" t="s">
        <v>86</v>
      </c>
      <c r="F1401" s="2">
        <v>253.22239999999999</v>
      </c>
      <c r="G1401">
        <v>2</v>
      </c>
      <c r="H1401" s="2">
        <f>Tabla_Items_Inactivos[[#This Row],[EXISTENCIA]]*Tabla_Items_Inactivos[[#This Row],[COSTO]]</f>
        <v>506.44479999999999</v>
      </c>
    </row>
    <row r="1402" spans="1:8">
      <c r="A1402" t="s">
        <v>3301</v>
      </c>
      <c r="B1402" t="s">
        <v>5533</v>
      </c>
      <c r="C1402" t="s">
        <v>5534</v>
      </c>
      <c r="D1402" t="s">
        <v>283</v>
      </c>
      <c r="E1402" t="s">
        <v>86</v>
      </c>
      <c r="F1402" s="2">
        <v>405.30770000000001</v>
      </c>
      <c r="G1402">
        <v>32</v>
      </c>
      <c r="H1402" s="2">
        <f>Tabla_Items_Inactivos[[#This Row],[EXISTENCIA]]*Tabla_Items_Inactivos[[#This Row],[COSTO]]</f>
        <v>12969.8464</v>
      </c>
    </row>
    <row r="1403" spans="1:8">
      <c r="A1403" t="s">
        <v>3300</v>
      </c>
      <c r="B1403" t="s">
        <v>5533</v>
      </c>
      <c r="C1403" t="s">
        <v>5534</v>
      </c>
      <c r="D1403" t="s">
        <v>283</v>
      </c>
      <c r="E1403" t="s">
        <v>86</v>
      </c>
      <c r="F1403" s="2">
        <v>405.30770000000001</v>
      </c>
      <c r="G1403">
        <v>32</v>
      </c>
      <c r="H1403" s="2">
        <f>Tabla_Items_Inactivos[[#This Row],[EXISTENCIA]]*Tabla_Items_Inactivos[[#This Row],[COSTO]]</f>
        <v>12969.8464</v>
      </c>
    </row>
    <row r="1404" spans="1:8">
      <c r="A1404" t="s">
        <v>3299</v>
      </c>
      <c r="B1404" t="s">
        <v>5533</v>
      </c>
      <c r="C1404" t="s">
        <v>5534</v>
      </c>
      <c r="D1404" t="s">
        <v>283</v>
      </c>
      <c r="E1404" t="s">
        <v>86</v>
      </c>
      <c r="F1404" s="2">
        <v>405.30770000000001</v>
      </c>
      <c r="G1404">
        <v>32</v>
      </c>
      <c r="H1404" s="2">
        <f>Tabla_Items_Inactivos[[#This Row],[EXISTENCIA]]*Tabla_Items_Inactivos[[#This Row],[COSTO]]</f>
        <v>12969.8464</v>
      </c>
    </row>
    <row r="1405" spans="1:8">
      <c r="A1405" t="s">
        <v>3301</v>
      </c>
      <c r="B1405" t="s">
        <v>5535</v>
      </c>
      <c r="C1405" t="s">
        <v>5536</v>
      </c>
      <c r="D1405" t="s">
        <v>89</v>
      </c>
      <c r="E1405" t="s">
        <v>86</v>
      </c>
      <c r="F1405" s="2">
        <v>146.2319</v>
      </c>
      <c r="G1405">
        <v>3</v>
      </c>
      <c r="H1405" s="2">
        <f>Tabla_Items_Inactivos[[#This Row],[EXISTENCIA]]*Tabla_Items_Inactivos[[#This Row],[COSTO]]</f>
        <v>438.69569999999999</v>
      </c>
    </row>
    <row r="1406" spans="1:8">
      <c r="A1406" t="s">
        <v>3300</v>
      </c>
      <c r="B1406" t="s">
        <v>5535</v>
      </c>
      <c r="C1406" t="s">
        <v>5536</v>
      </c>
      <c r="D1406" t="s">
        <v>89</v>
      </c>
      <c r="E1406" t="s">
        <v>86</v>
      </c>
      <c r="F1406" s="2">
        <v>146.2319</v>
      </c>
      <c r="G1406">
        <v>3</v>
      </c>
      <c r="H1406" s="2">
        <f>Tabla_Items_Inactivos[[#This Row],[EXISTENCIA]]*Tabla_Items_Inactivos[[#This Row],[COSTO]]</f>
        <v>438.69569999999999</v>
      </c>
    </row>
    <row r="1407" spans="1:8">
      <c r="A1407" t="s">
        <v>3300</v>
      </c>
      <c r="B1407" t="s">
        <v>480</v>
      </c>
      <c r="C1407" t="s">
        <v>4621</v>
      </c>
      <c r="D1407" t="s">
        <v>481</v>
      </c>
      <c r="E1407" t="s">
        <v>86</v>
      </c>
      <c r="F1407" s="2">
        <v>212.64920000000001</v>
      </c>
      <c r="G1407">
        <v>11</v>
      </c>
      <c r="H1407" s="2">
        <f>Tabla_Items_Inactivos[[#This Row],[EXISTENCIA]]*Tabla_Items_Inactivos[[#This Row],[COSTO]]</f>
        <v>2339.1412</v>
      </c>
    </row>
    <row r="1408" spans="1:8">
      <c r="A1408" t="s">
        <v>3301</v>
      </c>
      <c r="B1408" t="s">
        <v>480</v>
      </c>
      <c r="C1408" t="s">
        <v>4621</v>
      </c>
      <c r="D1408" t="s">
        <v>481</v>
      </c>
      <c r="E1408" t="s">
        <v>86</v>
      </c>
      <c r="F1408" s="2">
        <v>212.64920000000001</v>
      </c>
      <c r="G1408">
        <v>11</v>
      </c>
      <c r="H1408" s="2">
        <f>Tabla_Items_Inactivos[[#This Row],[EXISTENCIA]]*Tabla_Items_Inactivos[[#This Row],[COSTO]]</f>
        <v>2339.1412</v>
      </c>
    </row>
    <row r="1409" spans="1:8">
      <c r="A1409" t="s">
        <v>3300</v>
      </c>
      <c r="B1409" t="s">
        <v>4622</v>
      </c>
      <c r="C1409" t="s">
        <v>4623</v>
      </c>
      <c r="D1409" t="s">
        <v>219</v>
      </c>
      <c r="E1409" t="s">
        <v>86</v>
      </c>
      <c r="F1409" s="2">
        <v>0</v>
      </c>
      <c r="G1409">
        <v>3</v>
      </c>
      <c r="H1409" s="2">
        <f>Tabla_Items_Inactivos[[#This Row],[EXISTENCIA]]*Tabla_Items_Inactivos[[#This Row],[COSTO]]</f>
        <v>0</v>
      </c>
    </row>
    <row r="1410" spans="1:8">
      <c r="A1410" t="s">
        <v>3300</v>
      </c>
      <c r="B1410" t="s">
        <v>4624</v>
      </c>
      <c r="C1410" t="s">
        <v>4625</v>
      </c>
      <c r="D1410" t="s">
        <v>4626</v>
      </c>
      <c r="E1410" t="s">
        <v>86</v>
      </c>
      <c r="F1410" s="2">
        <v>205.28030000000001</v>
      </c>
      <c r="G1410">
        <v>7</v>
      </c>
      <c r="H1410" s="2">
        <f>Tabla_Items_Inactivos[[#This Row],[EXISTENCIA]]*Tabla_Items_Inactivos[[#This Row],[COSTO]]</f>
        <v>1436.9621000000002</v>
      </c>
    </row>
    <row r="1411" spans="1:8">
      <c r="A1411" t="s">
        <v>3301</v>
      </c>
      <c r="B1411" t="s">
        <v>4624</v>
      </c>
      <c r="C1411" t="s">
        <v>4625</v>
      </c>
      <c r="D1411" t="s">
        <v>4626</v>
      </c>
      <c r="E1411" t="s">
        <v>86</v>
      </c>
      <c r="F1411" s="2">
        <v>205.28030000000001</v>
      </c>
      <c r="G1411">
        <v>7</v>
      </c>
      <c r="H1411" s="2">
        <f>Tabla_Items_Inactivos[[#This Row],[EXISTENCIA]]*Tabla_Items_Inactivos[[#This Row],[COSTO]]</f>
        <v>1436.9621000000002</v>
      </c>
    </row>
    <row r="1412" spans="1:8">
      <c r="A1412" t="s">
        <v>3300</v>
      </c>
      <c r="B1412" t="s">
        <v>4627</v>
      </c>
      <c r="C1412" t="s">
        <v>4628</v>
      </c>
      <c r="D1412" t="s">
        <v>219</v>
      </c>
      <c r="E1412" t="s">
        <v>86</v>
      </c>
      <c r="F1412" s="2">
        <v>2.3050000000000002</v>
      </c>
      <c r="G1412">
        <v>7</v>
      </c>
      <c r="H1412" s="2">
        <f>Tabla_Items_Inactivos[[#This Row],[EXISTENCIA]]*Tabla_Items_Inactivos[[#This Row],[COSTO]]</f>
        <v>16.135000000000002</v>
      </c>
    </row>
    <row r="1413" spans="1:8">
      <c r="A1413" t="s">
        <v>3300</v>
      </c>
      <c r="B1413" t="s">
        <v>4629</v>
      </c>
      <c r="C1413" t="s">
        <v>4630</v>
      </c>
      <c r="D1413" t="s">
        <v>219</v>
      </c>
      <c r="E1413" t="s">
        <v>86</v>
      </c>
      <c r="F1413" s="2">
        <v>4.4420000000000002</v>
      </c>
      <c r="G1413">
        <v>5</v>
      </c>
      <c r="H1413" s="2">
        <f>Tabla_Items_Inactivos[[#This Row],[EXISTENCIA]]*Tabla_Items_Inactivos[[#This Row],[COSTO]]</f>
        <v>22.21</v>
      </c>
    </row>
    <row r="1414" spans="1:8">
      <c r="A1414" t="s">
        <v>3300</v>
      </c>
      <c r="B1414" t="s">
        <v>4631</v>
      </c>
      <c r="C1414" t="s">
        <v>4632</v>
      </c>
      <c r="D1414" t="s">
        <v>219</v>
      </c>
      <c r="E1414" t="s">
        <v>86</v>
      </c>
      <c r="F1414" s="2">
        <v>0</v>
      </c>
      <c r="G1414">
        <v>1</v>
      </c>
      <c r="H1414" s="2">
        <f>Tabla_Items_Inactivos[[#This Row],[EXISTENCIA]]*Tabla_Items_Inactivos[[#This Row],[COSTO]]</f>
        <v>0</v>
      </c>
    </row>
    <row r="1415" spans="1:8">
      <c r="A1415" t="s">
        <v>3300</v>
      </c>
      <c r="B1415" t="s">
        <v>4633</v>
      </c>
      <c r="C1415" t="s">
        <v>4634</v>
      </c>
      <c r="D1415" t="s">
        <v>31</v>
      </c>
      <c r="E1415" t="s">
        <v>31</v>
      </c>
      <c r="F1415" s="2">
        <v>0</v>
      </c>
      <c r="G1415">
        <v>1</v>
      </c>
      <c r="H1415" s="2">
        <f>Tabla_Items_Inactivos[[#This Row],[EXISTENCIA]]*Tabla_Items_Inactivos[[#This Row],[COSTO]]</f>
        <v>0</v>
      </c>
    </row>
    <row r="1416" spans="1:8">
      <c r="A1416" t="s">
        <v>3300</v>
      </c>
      <c r="B1416" t="s">
        <v>4635</v>
      </c>
      <c r="C1416" t="s">
        <v>4636</v>
      </c>
      <c r="D1416" t="s">
        <v>85</v>
      </c>
      <c r="E1416" t="s">
        <v>86</v>
      </c>
      <c r="F1416" s="2">
        <v>8.19</v>
      </c>
      <c r="G1416">
        <v>2</v>
      </c>
      <c r="H1416" s="2">
        <f>Tabla_Items_Inactivos[[#This Row],[EXISTENCIA]]*Tabla_Items_Inactivos[[#This Row],[COSTO]]</f>
        <v>16.38</v>
      </c>
    </row>
    <row r="1417" spans="1:8">
      <c r="A1417" t="s">
        <v>3300</v>
      </c>
      <c r="B1417" t="s">
        <v>3061</v>
      </c>
      <c r="C1417" t="s">
        <v>3062</v>
      </c>
      <c r="D1417" t="s">
        <v>98</v>
      </c>
      <c r="E1417" t="s">
        <v>86</v>
      </c>
      <c r="F1417" s="2">
        <v>0.499</v>
      </c>
      <c r="G1417">
        <v>6</v>
      </c>
      <c r="H1417" s="2">
        <f>Tabla_Items_Inactivos[[#This Row],[EXISTENCIA]]*Tabla_Items_Inactivos[[#This Row],[COSTO]]</f>
        <v>2.9939999999999998</v>
      </c>
    </row>
    <row r="1418" spans="1:8">
      <c r="A1418" t="s">
        <v>3300</v>
      </c>
      <c r="B1418" t="s">
        <v>4637</v>
      </c>
      <c r="C1418" t="s">
        <v>4638</v>
      </c>
      <c r="D1418" t="s">
        <v>85</v>
      </c>
      <c r="E1418" t="s">
        <v>86</v>
      </c>
      <c r="F1418" s="2">
        <v>3.2242000000000002</v>
      </c>
      <c r="G1418">
        <v>23</v>
      </c>
      <c r="H1418" s="2">
        <f>Tabla_Items_Inactivos[[#This Row],[EXISTENCIA]]*Tabla_Items_Inactivos[[#This Row],[COSTO]]</f>
        <v>74.156599999999997</v>
      </c>
    </row>
    <row r="1419" spans="1:8">
      <c r="A1419" t="s">
        <v>3301</v>
      </c>
      <c r="B1419" t="s">
        <v>4637</v>
      </c>
      <c r="C1419" t="s">
        <v>4638</v>
      </c>
      <c r="D1419" t="s">
        <v>85</v>
      </c>
      <c r="E1419" t="s">
        <v>86</v>
      </c>
      <c r="F1419" s="2">
        <v>3.2242000000000002</v>
      </c>
      <c r="G1419">
        <v>23</v>
      </c>
      <c r="H1419" s="2">
        <f>Tabla_Items_Inactivos[[#This Row],[EXISTENCIA]]*Tabla_Items_Inactivos[[#This Row],[COSTO]]</f>
        <v>74.156599999999997</v>
      </c>
    </row>
    <row r="1420" spans="1:8">
      <c r="A1420" t="s">
        <v>3300</v>
      </c>
      <c r="B1420" t="s">
        <v>3063</v>
      </c>
      <c r="C1420" t="s">
        <v>3064</v>
      </c>
      <c r="D1420" t="s">
        <v>85</v>
      </c>
      <c r="E1420" t="s">
        <v>86</v>
      </c>
      <c r="F1420" s="2">
        <v>0.69899999999999995</v>
      </c>
      <c r="G1420">
        <v>15</v>
      </c>
      <c r="H1420" s="2">
        <f>Tabla_Items_Inactivos[[#This Row],[EXISTENCIA]]*Tabla_Items_Inactivos[[#This Row],[COSTO]]</f>
        <v>10.484999999999999</v>
      </c>
    </row>
    <row r="1421" spans="1:8">
      <c r="A1421" t="s">
        <v>3300</v>
      </c>
      <c r="B1421" t="s">
        <v>4639</v>
      </c>
      <c r="C1421" t="s">
        <v>4640</v>
      </c>
      <c r="D1421" t="s">
        <v>85</v>
      </c>
      <c r="E1421" t="s">
        <v>86</v>
      </c>
      <c r="F1421" s="2">
        <v>0.23899999999999999</v>
      </c>
      <c r="G1421">
        <v>10</v>
      </c>
      <c r="H1421" s="2">
        <f>Tabla_Items_Inactivos[[#This Row],[EXISTENCIA]]*Tabla_Items_Inactivos[[#This Row],[COSTO]]</f>
        <v>2.3899999999999997</v>
      </c>
    </row>
    <row r="1422" spans="1:8">
      <c r="A1422" t="s">
        <v>3300</v>
      </c>
      <c r="B1422" t="s">
        <v>4641</v>
      </c>
      <c r="C1422" t="s">
        <v>4642</v>
      </c>
      <c r="D1422" t="s">
        <v>85</v>
      </c>
      <c r="E1422" t="s">
        <v>86</v>
      </c>
      <c r="F1422" s="2">
        <v>2.82</v>
      </c>
      <c r="G1422">
        <v>15</v>
      </c>
      <c r="H1422" s="2">
        <f>Tabla_Items_Inactivos[[#This Row],[EXISTENCIA]]*Tabla_Items_Inactivos[[#This Row],[COSTO]]</f>
        <v>42.3</v>
      </c>
    </row>
    <row r="1423" spans="1:8">
      <c r="A1423" t="s">
        <v>3300</v>
      </c>
      <c r="B1423" t="s">
        <v>4643</v>
      </c>
      <c r="C1423" t="s">
        <v>4644</v>
      </c>
      <c r="D1423" t="s">
        <v>85</v>
      </c>
      <c r="E1423" t="s">
        <v>86</v>
      </c>
      <c r="F1423" s="2">
        <v>1.819</v>
      </c>
      <c r="G1423">
        <v>28</v>
      </c>
      <c r="H1423" s="2">
        <f>Tabla_Items_Inactivos[[#This Row],[EXISTENCIA]]*Tabla_Items_Inactivos[[#This Row],[COSTO]]</f>
        <v>50.932000000000002</v>
      </c>
    </row>
    <row r="1424" spans="1:8">
      <c r="A1424" t="s">
        <v>3301</v>
      </c>
      <c r="B1424" t="s">
        <v>4643</v>
      </c>
      <c r="C1424" t="s">
        <v>4644</v>
      </c>
      <c r="D1424" t="s">
        <v>85</v>
      </c>
      <c r="E1424" t="s">
        <v>86</v>
      </c>
      <c r="F1424" s="2">
        <v>1.819</v>
      </c>
      <c r="G1424">
        <v>28</v>
      </c>
      <c r="H1424" s="2">
        <f>Tabla_Items_Inactivos[[#This Row],[EXISTENCIA]]*Tabla_Items_Inactivos[[#This Row],[COSTO]]</f>
        <v>50.932000000000002</v>
      </c>
    </row>
    <row r="1425" spans="1:8">
      <c r="A1425" t="s">
        <v>3300</v>
      </c>
      <c r="B1425" t="s">
        <v>482</v>
      </c>
      <c r="C1425" t="s">
        <v>483</v>
      </c>
      <c r="D1425" t="s">
        <v>85</v>
      </c>
      <c r="E1425" t="s">
        <v>86</v>
      </c>
      <c r="F1425" s="2">
        <v>3.302</v>
      </c>
      <c r="G1425">
        <v>3</v>
      </c>
      <c r="H1425" s="2">
        <f>Tabla_Items_Inactivos[[#This Row],[EXISTENCIA]]*Tabla_Items_Inactivos[[#This Row],[COSTO]]</f>
        <v>9.9060000000000006</v>
      </c>
    </row>
    <row r="1426" spans="1:8">
      <c r="A1426" t="s">
        <v>3301</v>
      </c>
      <c r="B1426" t="s">
        <v>4645</v>
      </c>
      <c r="C1426" t="s">
        <v>4646</v>
      </c>
      <c r="D1426" t="s">
        <v>85</v>
      </c>
      <c r="E1426" t="s">
        <v>86</v>
      </c>
      <c r="F1426" s="2">
        <v>3.6166</v>
      </c>
      <c r="G1426">
        <v>17</v>
      </c>
      <c r="H1426" s="2">
        <f>Tabla_Items_Inactivos[[#This Row],[EXISTENCIA]]*Tabla_Items_Inactivos[[#This Row],[COSTO]]</f>
        <v>61.482199999999999</v>
      </c>
    </row>
    <row r="1427" spans="1:8">
      <c r="A1427" t="s">
        <v>3300</v>
      </c>
      <c r="B1427" t="s">
        <v>4645</v>
      </c>
      <c r="C1427" t="s">
        <v>4646</v>
      </c>
      <c r="D1427" t="s">
        <v>85</v>
      </c>
      <c r="E1427" t="s">
        <v>86</v>
      </c>
      <c r="F1427" s="2">
        <v>3.6166</v>
      </c>
      <c r="G1427">
        <v>17</v>
      </c>
      <c r="H1427" s="2">
        <f>Tabla_Items_Inactivos[[#This Row],[EXISTENCIA]]*Tabla_Items_Inactivos[[#This Row],[COSTO]]</f>
        <v>61.482199999999999</v>
      </c>
    </row>
    <row r="1428" spans="1:8">
      <c r="A1428" t="s">
        <v>3300</v>
      </c>
      <c r="B1428" t="s">
        <v>4647</v>
      </c>
      <c r="C1428" t="s">
        <v>3228</v>
      </c>
      <c r="D1428" t="s">
        <v>85</v>
      </c>
      <c r="E1428" t="s">
        <v>86</v>
      </c>
      <c r="F1428" s="2">
        <v>4.1688000000000001</v>
      </c>
      <c r="G1428">
        <v>8</v>
      </c>
      <c r="H1428" s="2">
        <f>Tabla_Items_Inactivos[[#This Row],[EXISTENCIA]]*Tabla_Items_Inactivos[[#This Row],[COSTO]]</f>
        <v>33.3504</v>
      </c>
    </row>
    <row r="1429" spans="1:8">
      <c r="A1429" t="s">
        <v>3301</v>
      </c>
      <c r="B1429" t="s">
        <v>4647</v>
      </c>
      <c r="C1429" t="s">
        <v>3228</v>
      </c>
      <c r="D1429" t="s">
        <v>85</v>
      </c>
      <c r="E1429" t="s">
        <v>86</v>
      </c>
      <c r="F1429" s="2">
        <v>4.1688000000000001</v>
      </c>
      <c r="G1429">
        <v>8</v>
      </c>
      <c r="H1429" s="2">
        <f>Tabla_Items_Inactivos[[#This Row],[EXISTENCIA]]*Tabla_Items_Inactivos[[#This Row],[COSTO]]</f>
        <v>33.3504</v>
      </c>
    </row>
    <row r="1430" spans="1:8">
      <c r="A1430" t="s">
        <v>3300</v>
      </c>
      <c r="B1430" t="s">
        <v>4648</v>
      </c>
      <c r="C1430" t="s">
        <v>4649</v>
      </c>
      <c r="D1430" t="s">
        <v>85</v>
      </c>
      <c r="E1430" t="s">
        <v>86</v>
      </c>
      <c r="F1430" s="2">
        <v>4.8499999999999996</v>
      </c>
      <c r="G1430">
        <v>1</v>
      </c>
      <c r="H1430" s="2">
        <f>Tabla_Items_Inactivos[[#This Row],[EXISTENCIA]]*Tabla_Items_Inactivos[[#This Row],[COSTO]]</f>
        <v>4.8499999999999996</v>
      </c>
    </row>
    <row r="1431" spans="1:8">
      <c r="A1431" t="s">
        <v>3300</v>
      </c>
      <c r="B1431" t="s">
        <v>484</v>
      </c>
      <c r="C1431" t="s">
        <v>485</v>
      </c>
      <c r="D1431" t="s">
        <v>85</v>
      </c>
      <c r="E1431" t="s">
        <v>86</v>
      </c>
      <c r="F1431" s="2">
        <v>1.6294999999999999</v>
      </c>
      <c r="G1431">
        <v>4</v>
      </c>
      <c r="H1431" s="2">
        <f>Tabla_Items_Inactivos[[#This Row],[EXISTENCIA]]*Tabla_Items_Inactivos[[#This Row],[COSTO]]</f>
        <v>6.5179999999999998</v>
      </c>
    </row>
    <row r="1432" spans="1:8">
      <c r="A1432" t="s">
        <v>3301</v>
      </c>
      <c r="B1432" t="s">
        <v>484</v>
      </c>
      <c r="C1432" t="s">
        <v>485</v>
      </c>
      <c r="D1432" t="s">
        <v>85</v>
      </c>
      <c r="E1432" t="s">
        <v>86</v>
      </c>
      <c r="F1432" s="2">
        <v>1.6294999999999999</v>
      </c>
      <c r="G1432">
        <v>4</v>
      </c>
      <c r="H1432" s="2">
        <f>Tabla_Items_Inactivos[[#This Row],[EXISTENCIA]]*Tabla_Items_Inactivos[[#This Row],[COSTO]]</f>
        <v>6.5179999999999998</v>
      </c>
    </row>
    <row r="1433" spans="1:8">
      <c r="A1433" t="s">
        <v>3300</v>
      </c>
      <c r="B1433" t="s">
        <v>4650</v>
      </c>
      <c r="C1433" t="s">
        <v>4651</v>
      </c>
      <c r="D1433" t="s">
        <v>85</v>
      </c>
      <c r="E1433" t="s">
        <v>86</v>
      </c>
      <c r="F1433" s="2">
        <v>11.27</v>
      </c>
      <c r="G1433">
        <v>3</v>
      </c>
      <c r="H1433" s="2">
        <f>Tabla_Items_Inactivos[[#This Row],[EXISTENCIA]]*Tabla_Items_Inactivos[[#This Row],[COSTO]]</f>
        <v>33.81</v>
      </c>
    </row>
    <row r="1434" spans="1:8">
      <c r="A1434" t="s">
        <v>3300</v>
      </c>
      <c r="B1434" t="s">
        <v>4652</v>
      </c>
      <c r="C1434" t="s">
        <v>2364</v>
      </c>
      <c r="D1434" t="s">
        <v>98</v>
      </c>
      <c r="E1434" t="s">
        <v>86</v>
      </c>
      <c r="F1434" s="2">
        <v>14.96</v>
      </c>
      <c r="G1434">
        <v>5</v>
      </c>
      <c r="H1434" s="2">
        <f>Tabla_Items_Inactivos[[#This Row],[EXISTENCIA]]*Tabla_Items_Inactivos[[#This Row],[COSTO]]</f>
        <v>74.800000000000011</v>
      </c>
    </row>
    <row r="1435" spans="1:8">
      <c r="A1435" t="s">
        <v>3300</v>
      </c>
      <c r="B1435" t="s">
        <v>4653</v>
      </c>
      <c r="C1435" t="s">
        <v>4654</v>
      </c>
      <c r="D1435" t="s">
        <v>85</v>
      </c>
      <c r="E1435" t="s">
        <v>86</v>
      </c>
      <c r="F1435" s="2">
        <v>13.401199999999999</v>
      </c>
      <c r="G1435">
        <v>15</v>
      </c>
      <c r="H1435" s="2">
        <f>Tabla_Items_Inactivos[[#This Row],[EXISTENCIA]]*Tabla_Items_Inactivos[[#This Row],[COSTO]]</f>
        <v>201.018</v>
      </c>
    </row>
    <row r="1436" spans="1:8">
      <c r="A1436" t="s">
        <v>3300</v>
      </c>
      <c r="B1436" t="s">
        <v>4655</v>
      </c>
      <c r="C1436" t="s">
        <v>4656</v>
      </c>
      <c r="D1436" t="s">
        <v>85</v>
      </c>
      <c r="E1436" t="s">
        <v>86</v>
      </c>
      <c r="F1436" s="2">
        <v>6.94</v>
      </c>
      <c r="G1436">
        <v>4</v>
      </c>
      <c r="H1436" s="2">
        <f>Tabla_Items_Inactivos[[#This Row],[EXISTENCIA]]*Tabla_Items_Inactivos[[#This Row],[COSTO]]</f>
        <v>27.76</v>
      </c>
    </row>
    <row r="1437" spans="1:8">
      <c r="A1437" t="s">
        <v>3300</v>
      </c>
      <c r="B1437" t="s">
        <v>4657</v>
      </c>
      <c r="C1437" t="s">
        <v>2427</v>
      </c>
      <c r="D1437" t="s">
        <v>98</v>
      </c>
      <c r="E1437" t="s">
        <v>86</v>
      </c>
      <c r="F1437" s="2">
        <v>14.74</v>
      </c>
      <c r="G1437">
        <v>1</v>
      </c>
      <c r="H1437" s="2">
        <f>Tabla_Items_Inactivos[[#This Row],[EXISTENCIA]]*Tabla_Items_Inactivos[[#This Row],[COSTO]]</f>
        <v>14.74</v>
      </c>
    </row>
    <row r="1438" spans="1:8">
      <c r="A1438" t="s">
        <v>3300</v>
      </c>
      <c r="B1438" t="s">
        <v>3065</v>
      </c>
      <c r="C1438" t="s">
        <v>3066</v>
      </c>
      <c r="D1438" t="s">
        <v>98</v>
      </c>
      <c r="E1438" t="s">
        <v>86</v>
      </c>
      <c r="F1438" s="2">
        <v>2.14</v>
      </c>
      <c r="G1438">
        <v>14</v>
      </c>
      <c r="H1438" s="2">
        <f>Tabla_Items_Inactivos[[#This Row],[EXISTENCIA]]*Tabla_Items_Inactivos[[#This Row],[COSTO]]</f>
        <v>29.96</v>
      </c>
    </row>
    <row r="1439" spans="1:8">
      <c r="A1439" t="s">
        <v>3300</v>
      </c>
      <c r="B1439" t="s">
        <v>4658</v>
      </c>
      <c r="C1439" t="s">
        <v>2443</v>
      </c>
      <c r="D1439" t="s">
        <v>85</v>
      </c>
      <c r="E1439" t="s">
        <v>86</v>
      </c>
      <c r="F1439" s="2">
        <v>4.54</v>
      </c>
      <c r="G1439">
        <v>2</v>
      </c>
      <c r="H1439" s="2">
        <f>Tabla_Items_Inactivos[[#This Row],[EXISTENCIA]]*Tabla_Items_Inactivos[[#This Row],[COSTO]]</f>
        <v>9.08</v>
      </c>
    </row>
    <row r="1440" spans="1:8">
      <c r="A1440" t="s">
        <v>3300</v>
      </c>
      <c r="B1440" t="s">
        <v>4659</v>
      </c>
      <c r="C1440" t="s">
        <v>2464</v>
      </c>
      <c r="D1440" t="s">
        <v>85</v>
      </c>
      <c r="E1440" t="s">
        <v>86</v>
      </c>
      <c r="F1440" s="2">
        <v>4.2460000000000004</v>
      </c>
      <c r="G1440">
        <v>3</v>
      </c>
      <c r="H1440" s="2">
        <f>Tabla_Items_Inactivos[[#This Row],[EXISTENCIA]]*Tabla_Items_Inactivos[[#This Row],[COSTO]]</f>
        <v>12.738000000000001</v>
      </c>
    </row>
    <row r="1441" spans="1:8">
      <c r="A1441" t="s">
        <v>3300</v>
      </c>
      <c r="B1441" t="s">
        <v>486</v>
      </c>
      <c r="C1441" t="s">
        <v>487</v>
      </c>
      <c r="D1441" t="s">
        <v>85</v>
      </c>
      <c r="E1441" t="s">
        <v>86</v>
      </c>
      <c r="F1441" s="2">
        <v>1.498</v>
      </c>
      <c r="G1441">
        <v>20</v>
      </c>
      <c r="H1441" s="2">
        <f>Tabla_Items_Inactivos[[#This Row],[EXISTENCIA]]*Tabla_Items_Inactivos[[#This Row],[COSTO]]</f>
        <v>29.96</v>
      </c>
    </row>
    <row r="1442" spans="1:8">
      <c r="A1442" t="s">
        <v>3300</v>
      </c>
      <c r="B1442" t="s">
        <v>3067</v>
      </c>
      <c r="C1442" t="s">
        <v>3068</v>
      </c>
      <c r="D1442" t="s">
        <v>85</v>
      </c>
      <c r="E1442" t="s">
        <v>86</v>
      </c>
      <c r="F1442" s="2">
        <v>2.1619999999999999</v>
      </c>
      <c r="G1442">
        <v>15</v>
      </c>
      <c r="H1442" s="2">
        <f>Tabla_Items_Inactivos[[#This Row],[EXISTENCIA]]*Tabla_Items_Inactivos[[#This Row],[COSTO]]</f>
        <v>32.43</v>
      </c>
    </row>
    <row r="1443" spans="1:8">
      <c r="A1443" t="s">
        <v>3300</v>
      </c>
      <c r="B1443" t="s">
        <v>4660</v>
      </c>
      <c r="C1443" t="s">
        <v>4661</v>
      </c>
      <c r="D1443" t="s">
        <v>85</v>
      </c>
      <c r="E1443" t="s">
        <v>86</v>
      </c>
      <c r="F1443" s="2">
        <v>1.6971000000000001</v>
      </c>
      <c r="G1443">
        <v>18</v>
      </c>
      <c r="H1443" s="2">
        <f>Tabla_Items_Inactivos[[#This Row],[EXISTENCIA]]*Tabla_Items_Inactivos[[#This Row],[COSTO]]</f>
        <v>30.547800000000002</v>
      </c>
    </row>
    <row r="1444" spans="1:8">
      <c r="A1444" t="s">
        <v>3300</v>
      </c>
      <c r="B1444" t="s">
        <v>4662</v>
      </c>
      <c r="C1444" t="s">
        <v>4663</v>
      </c>
      <c r="D1444" t="s">
        <v>85</v>
      </c>
      <c r="E1444" t="s">
        <v>86</v>
      </c>
      <c r="F1444" s="2">
        <v>0.28000000000000003</v>
      </c>
      <c r="G1444">
        <v>45</v>
      </c>
      <c r="H1444" s="2">
        <f>Tabla_Items_Inactivos[[#This Row],[EXISTENCIA]]*Tabla_Items_Inactivos[[#This Row],[COSTO]]</f>
        <v>12.600000000000001</v>
      </c>
    </row>
    <row r="1445" spans="1:8">
      <c r="A1445" t="s">
        <v>3300</v>
      </c>
      <c r="B1445" t="s">
        <v>4664</v>
      </c>
      <c r="C1445" t="s">
        <v>4665</v>
      </c>
      <c r="D1445" t="s">
        <v>31</v>
      </c>
      <c r="E1445" t="s">
        <v>31</v>
      </c>
      <c r="F1445" s="2">
        <v>0</v>
      </c>
      <c r="G1445">
        <v>10</v>
      </c>
      <c r="H1445" s="2">
        <f>Tabla_Items_Inactivos[[#This Row],[EXISTENCIA]]*Tabla_Items_Inactivos[[#This Row],[COSTO]]</f>
        <v>0</v>
      </c>
    </row>
    <row r="1446" spans="1:8">
      <c r="A1446" t="s">
        <v>3300</v>
      </c>
      <c r="B1446" t="s">
        <v>4666</v>
      </c>
      <c r="C1446" t="s">
        <v>4667</v>
      </c>
      <c r="D1446" t="s">
        <v>85</v>
      </c>
      <c r="E1446" t="s">
        <v>86</v>
      </c>
      <c r="F1446" s="2">
        <v>1.629</v>
      </c>
      <c r="G1446">
        <v>7</v>
      </c>
      <c r="H1446" s="2">
        <f>Tabla_Items_Inactivos[[#This Row],[EXISTENCIA]]*Tabla_Items_Inactivos[[#This Row],[COSTO]]</f>
        <v>11.403</v>
      </c>
    </row>
    <row r="1447" spans="1:8">
      <c r="A1447" t="s">
        <v>3300</v>
      </c>
      <c r="B1447" t="s">
        <v>4668</v>
      </c>
      <c r="C1447" t="s">
        <v>4669</v>
      </c>
      <c r="D1447" t="s">
        <v>85</v>
      </c>
      <c r="E1447" t="s">
        <v>86</v>
      </c>
      <c r="F1447" s="2">
        <v>1.629</v>
      </c>
      <c r="G1447">
        <v>13</v>
      </c>
      <c r="H1447" s="2">
        <f>Tabla_Items_Inactivos[[#This Row],[EXISTENCIA]]*Tabla_Items_Inactivos[[#This Row],[COSTO]]</f>
        <v>21.177</v>
      </c>
    </row>
    <row r="1448" spans="1:8">
      <c r="A1448" t="s">
        <v>3300</v>
      </c>
      <c r="B1448" t="s">
        <v>3069</v>
      </c>
      <c r="C1448" t="s">
        <v>3070</v>
      </c>
      <c r="D1448" t="s">
        <v>85</v>
      </c>
      <c r="E1448" t="s">
        <v>86</v>
      </c>
      <c r="F1448" s="2">
        <v>18.88</v>
      </c>
      <c r="G1448">
        <v>8</v>
      </c>
      <c r="H1448" s="2">
        <f>Tabla_Items_Inactivos[[#This Row],[EXISTENCIA]]*Tabla_Items_Inactivos[[#This Row],[COSTO]]</f>
        <v>151.04</v>
      </c>
    </row>
    <row r="1449" spans="1:8">
      <c r="A1449" t="s">
        <v>3300</v>
      </c>
      <c r="B1449" t="s">
        <v>3071</v>
      </c>
      <c r="C1449" t="s">
        <v>4670</v>
      </c>
      <c r="D1449" t="s">
        <v>219</v>
      </c>
      <c r="E1449" t="s">
        <v>86</v>
      </c>
      <c r="F1449" s="2">
        <v>61.627000000000002</v>
      </c>
      <c r="G1449">
        <v>3</v>
      </c>
      <c r="H1449" s="2">
        <f>Tabla_Items_Inactivos[[#This Row],[EXISTENCIA]]*Tabla_Items_Inactivos[[#This Row],[COSTO]]</f>
        <v>184.881</v>
      </c>
    </row>
    <row r="1450" spans="1:8">
      <c r="A1450" t="s">
        <v>3300</v>
      </c>
      <c r="B1450" t="s">
        <v>4671</v>
      </c>
      <c r="C1450" t="s">
        <v>4672</v>
      </c>
      <c r="D1450" t="s">
        <v>370</v>
      </c>
      <c r="E1450" t="s">
        <v>86</v>
      </c>
      <c r="F1450" s="2">
        <v>0</v>
      </c>
      <c r="G1450">
        <v>1</v>
      </c>
      <c r="H1450" s="2">
        <f>Tabla_Items_Inactivos[[#This Row],[EXISTENCIA]]*Tabla_Items_Inactivos[[#This Row],[COSTO]]</f>
        <v>0</v>
      </c>
    </row>
    <row r="1451" spans="1:8">
      <c r="A1451" t="s">
        <v>3300</v>
      </c>
      <c r="B1451" t="s">
        <v>3072</v>
      </c>
      <c r="C1451" t="s">
        <v>3073</v>
      </c>
      <c r="D1451" t="s">
        <v>223</v>
      </c>
      <c r="E1451" t="s">
        <v>86</v>
      </c>
      <c r="F1451" s="2">
        <v>25.435199999999998</v>
      </c>
      <c r="G1451">
        <v>9</v>
      </c>
      <c r="H1451" s="2">
        <f>Tabla_Items_Inactivos[[#This Row],[EXISTENCIA]]*Tabla_Items_Inactivos[[#This Row],[COSTO]]</f>
        <v>228.91679999999999</v>
      </c>
    </row>
    <row r="1452" spans="1:8">
      <c r="A1452" t="s">
        <v>3300</v>
      </c>
      <c r="B1452" t="s">
        <v>3074</v>
      </c>
      <c r="C1452" t="s">
        <v>4673</v>
      </c>
      <c r="D1452" t="s">
        <v>85</v>
      </c>
      <c r="E1452" t="s">
        <v>86</v>
      </c>
      <c r="F1452" s="2">
        <v>64.69</v>
      </c>
      <c r="G1452">
        <v>5</v>
      </c>
      <c r="H1452" s="2">
        <f>Tabla_Items_Inactivos[[#This Row],[EXISTENCIA]]*Tabla_Items_Inactivos[[#This Row],[COSTO]]</f>
        <v>323.45</v>
      </c>
    </row>
    <row r="1453" spans="1:8">
      <c r="A1453" t="s">
        <v>3300</v>
      </c>
      <c r="B1453" t="s">
        <v>4674</v>
      </c>
      <c r="C1453" t="s">
        <v>4675</v>
      </c>
      <c r="D1453" t="s">
        <v>219</v>
      </c>
      <c r="E1453" t="s">
        <v>86</v>
      </c>
      <c r="F1453" s="2">
        <v>11.452</v>
      </c>
      <c r="G1453">
        <v>4</v>
      </c>
      <c r="H1453" s="2">
        <f>Tabla_Items_Inactivos[[#This Row],[EXISTENCIA]]*Tabla_Items_Inactivos[[#This Row],[COSTO]]</f>
        <v>45.808</v>
      </c>
    </row>
    <row r="1454" spans="1:8">
      <c r="A1454" t="s">
        <v>3300</v>
      </c>
      <c r="B1454" t="s">
        <v>488</v>
      </c>
      <c r="C1454" t="s">
        <v>4676</v>
      </c>
      <c r="D1454" t="s">
        <v>219</v>
      </c>
      <c r="E1454" t="s">
        <v>86</v>
      </c>
      <c r="F1454" s="2">
        <v>4.46</v>
      </c>
      <c r="G1454">
        <v>3</v>
      </c>
      <c r="H1454" s="2">
        <f>Tabla_Items_Inactivos[[#This Row],[EXISTENCIA]]*Tabla_Items_Inactivos[[#This Row],[COSTO]]</f>
        <v>13.379999999999999</v>
      </c>
    </row>
    <row r="1455" spans="1:8">
      <c r="A1455" t="s">
        <v>3300</v>
      </c>
      <c r="B1455" t="s">
        <v>4677</v>
      </c>
      <c r="C1455" t="s">
        <v>4678</v>
      </c>
      <c r="D1455" t="s">
        <v>436</v>
      </c>
      <c r="E1455" t="s">
        <v>86</v>
      </c>
      <c r="F1455" s="2">
        <v>3.48</v>
      </c>
      <c r="G1455">
        <v>2</v>
      </c>
      <c r="H1455" s="2">
        <f>Tabla_Items_Inactivos[[#This Row],[EXISTENCIA]]*Tabla_Items_Inactivos[[#This Row],[COSTO]]</f>
        <v>6.96</v>
      </c>
    </row>
    <row r="1456" spans="1:8">
      <c r="A1456" t="s">
        <v>3300</v>
      </c>
      <c r="B1456" t="s">
        <v>4679</v>
      </c>
      <c r="C1456" t="s">
        <v>4680</v>
      </c>
      <c r="D1456" t="s">
        <v>219</v>
      </c>
      <c r="E1456" t="s">
        <v>86</v>
      </c>
      <c r="F1456" s="2">
        <v>60.39</v>
      </c>
      <c r="G1456">
        <v>2</v>
      </c>
      <c r="H1456" s="2">
        <f>Tabla_Items_Inactivos[[#This Row],[EXISTENCIA]]*Tabla_Items_Inactivos[[#This Row],[COSTO]]</f>
        <v>120.78</v>
      </c>
    </row>
    <row r="1457" spans="1:8">
      <c r="A1457" t="s">
        <v>3300</v>
      </c>
      <c r="B1457" t="s">
        <v>3075</v>
      </c>
      <c r="C1457" t="s">
        <v>3076</v>
      </c>
      <c r="D1457" t="s">
        <v>219</v>
      </c>
      <c r="E1457" t="s">
        <v>86</v>
      </c>
      <c r="F1457" s="2">
        <v>68.198499999999996</v>
      </c>
      <c r="G1457">
        <v>1</v>
      </c>
      <c r="H1457" s="2">
        <f>Tabla_Items_Inactivos[[#This Row],[EXISTENCIA]]*Tabla_Items_Inactivos[[#This Row],[COSTO]]</f>
        <v>68.198499999999996</v>
      </c>
    </row>
    <row r="1458" spans="1:8">
      <c r="A1458" t="s">
        <v>3301</v>
      </c>
      <c r="B1458" t="s">
        <v>4681</v>
      </c>
      <c r="C1458" t="s">
        <v>4682</v>
      </c>
      <c r="D1458" t="s">
        <v>219</v>
      </c>
      <c r="E1458" t="s">
        <v>86</v>
      </c>
      <c r="F1458" s="2">
        <v>31.967300000000002</v>
      </c>
      <c r="G1458">
        <v>6</v>
      </c>
      <c r="H1458" s="2">
        <f>Tabla_Items_Inactivos[[#This Row],[EXISTENCIA]]*Tabla_Items_Inactivos[[#This Row],[COSTO]]</f>
        <v>191.80380000000002</v>
      </c>
    </row>
    <row r="1459" spans="1:8">
      <c r="A1459" t="s">
        <v>3300</v>
      </c>
      <c r="B1459" t="s">
        <v>4681</v>
      </c>
      <c r="C1459" t="s">
        <v>4682</v>
      </c>
      <c r="D1459" t="s">
        <v>219</v>
      </c>
      <c r="E1459" t="s">
        <v>86</v>
      </c>
      <c r="F1459" s="2">
        <v>31.967300000000002</v>
      </c>
      <c r="G1459">
        <v>6</v>
      </c>
      <c r="H1459" s="2">
        <f>Tabla_Items_Inactivos[[#This Row],[EXISTENCIA]]*Tabla_Items_Inactivos[[#This Row],[COSTO]]</f>
        <v>191.80380000000002</v>
      </c>
    </row>
    <row r="1460" spans="1:8">
      <c r="A1460" t="s">
        <v>3300</v>
      </c>
      <c r="B1460" t="s">
        <v>3077</v>
      </c>
      <c r="C1460" t="s">
        <v>401</v>
      </c>
      <c r="D1460" t="s">
        <v>219</v>
      </c>
      <c r="E1460" t="s">
        <v>86</v>
      </c>
      <c r="F1460" s="2">
        <v>11.74</v>
      </c>
      <c r="G1460">
        <v>7</v>
      </c>
      <c r="H1460" s="2">
        <f>Tabla_Items_Inactivos[[#This Row],[EXISTENCIA]]*Tabla_Items_Inactivos[[#This Row],[COSTO]]</f>
        <v>82.18</v>
      </c>
    </row>
    <row r="1461" spans="1:8">
      <c r="A1461" t="s">
        <v>3300</v>
      </c>
      <c r="B1461" t="s">
        <v>3078</v>
      </c>
      <c r="C1461" t="s">
        <v>3079</v>
      </c>
      <c r="D1461" t="s">
        <v>85</v>
      </c>
      <c r="E1461" t="s">
        <v>86</v>
      </c>
      <c r="F1461" s="2">
        <v>38.466999999999999</v>
      </c>
      <c r="G1461">
        <v>3</v>
      </c>
      <c r="H1461" s="2">
        <f>Tabla_Items_Inactivos[[#This Row],[EXISTENCIA]]*Tabla_Items_Inactivos[[#This Row],[COSTO]]</f>
        <v>115.401</v>
      </c>
    </row>
    <row r="1462" spans="1:8">
      <c r="A1462" t="s">
        <v>3300</v>
      </c>
      <c r="B1462" t="s">
        <v>3080</v>
      </c>
      <c r="C1462" t="s">
        <v>3081</v>
      </c>
      <c r="D1462" t="s">
        <v>219</v>
      </c>
      <c r="E1462" t="s">
        <v>86</v>
      </c>
      <c r="F1462" s="2">
        <v>20.399799999999999</v>
      </c>
      <c r="G1462">
        <v>5</v>
      </c>
      <c r="H1462" s="2">
        <f>Tabla_Items_Inactivos[[#This Row],[EXISTENCIA]]*Tabla_Items_Inactivos[[#This Row],[COSTO]]</f>
        <v>101.999</v>
      </c>
    </row>
    <row r="1463" spans="1:8">
      <c r="A1463" t="s">
        <v>3300</v>
      </c>
      <c r="B1463" t="s">
        <v>4683</v>
      </c>
      <c r="C1463" t="s">
        <v>4684</v>
      </c>
      <c r="D1463" t="s">
        <v>85</v>
      </c>
      <c r="E1463" t="s">
        <v>86</v>
      </c>
      <c r="F1463" s="2">
        <v>8.8910999999999998</v>
      </c>
      <c r="G1463">
        <v>22</v>
      </c>
      <c r="H1463" s="2">
        <f>Tabla_Items_Inactivos[[#This Row],[EXISTENCIA]]*Tabla_Items_Inactivos[[#This Row],[COSTO]]</f>
        <v>195.60419999999999</v>
      </c>
    </row>
    <row r="1464" spans="1:8">
      <c r="A1464" t="s">
        <v>3300</v>
      </c>
      <c r="B1464" t="s">
        <v>4685</v>
      </c>
      <c r="C1464" t="s">
        <v>4686</v>
      </c>
      <c r="D1464" t="s">
        <v>85</v>
      </c>
      <c r="E1464" t="s">
        <v>86</v>
      </c>
      <c r="F1464" s="2">
        <v>7.8070000000000004</v>
      </c>
      <c r="G1464">
        <v>3</v>
      </c>
      <c r="H1464" s="2">
        <f>Tabla_Items_Inactivos[[#This Row],[EXISTENCIA]]*Tabla_Items_Inactivos[[#This Row],[COSTO]]</f>
        <v>23.420999999999999</v>
      </c>
    </row>
    <row r="1465" spans="1:8">
      <c r="A1465" t="s">
        <v>3300</v>
      </c>
      <c r="B1465" t="s">
        <v>4687</v>
      </c>
      <c r="C1465" t="s">
        <v>4688</v>
      </c>
      <c r="D1465" t="s">
        <v>219</v>
      </c>
      <c r="E1465" t="s">
        <v>86</v>
      </c>
      <c r="F1465" s="2">
        <v>0</v>
      </c>
      <c r="G1465">
        <v>2</v>
      </c>
      <c r="H1465" s="2">
        <f>Tabla_Items_Inactivos[[#This Row],[EXISTENCIA]]*Tabla_Items_Inactivos[[#This Row],[COSTO]]</f>
        <v>0</v>
      </c>
    </row>
    <row r="1466" spans="1:8">
      <c r="A1466" t="s">
        <v>3300</v>
      </c>
      <c r="B1466" t="s">
        <v>489</v>
      </c>
      <c r="C1466" t="s">
        <v>490</v>
      </c>
      <c r="D1466" t="s">
        <v>243</v>
      </c>
      <c r="E1466" t="s">
        <v>86</v>
      </c>
      <c r="F1466" s="2">
        <v>13.61</v>
      </c>
      <c r="G1466">
        <v>3</v>
      </c>
      <c r="H1466" s="2">
        <f>Tabla_Items_Inactivos[[#This Row],[EXISTENCIA]]*Tabla_Items_Inactivos[[#This Row],[COSTO]]</f>
        <v>40.83</v>
      </c>
    </row>
    <row r="1467" spans="1:8">
      <c r="A1467" t="s">
        <v>3300</v>
      </c>
      <c r="B1467" t="s">
        <v>4689</v>
      </c>
      <c r="C1467" t="s">
        <v>4690</v>
      </c>
      <c r="D1467" t="s">
        <v>98</v>
      </c>
      <c r="E1467" t="s">
        <v>86</v>
      </c>
      <c r="F1467" s="2">
        <v>11.97</v>
      </c>
      <c r="G1467">
        <v>4</v>
      </c>
      <c r="H1467" s="2">
        <f>Tabla_Items_Inactivos[[#This Row],[EXISTENCIA]]*Tabla_Items_Inactivos[[#This Row],[COSTO]]</f>
        <v>47.88</v>
      </c>
    </row>
    <row r="1468" spans="1:8">
      <c r="A1468" t="s">
        <v>3300</v>
      </c>
      <c r="B1468" t="s">
        <v>4691</v>
      </c>
      <c r="C1468" t="s">
        <v>4692</v>
      </c>
      <c r="D1468" t="s">
        <v>223</v>
      </c>
      <c r="E1468" t="s">
        <v>86</v>
      </c>
      <c r="F1468" s="2">
        <v>3.952</v>
      </c>
      <c r="G1468">
        <v>6</v>
      </c>
      <c r="H1468" s="2">
        <f>Tabla_Items_Inactivos[[#This Row],[EXISTENCIA]]*Tabla_Items_Inactivos[[#This Row],[COSTO]]</f>
        <v>23.712</v>
      </c>
    </row>
    <row r="1469" spans="1:8">
      <c r="A1469" t="s">
        <v>3300</v>
      </c>
      <c r="B1469" t="s">
        <v>4693</v>
      </c>
      <c r="C1469" t="s">
        <v>4694</v>
      </c>
      <c r="D1469" t="s">
        <v>85</v>
      </c>
      <c r="E1469" t="s">
        <v>86</v>
      </c>
      <c r="F1469" s="2">
        <v>7.6148999999999996</v>
      </c>
      <c r="G1469">
        <v>19</v>
      </c>
      <c r="H1469" s="2">
        <f>Tabla_Items_Inactivos[[#This Row],[EXISTENCIA]]*Tabla_Items_Inactivos[[#This Row],[COSTO]]</f>
        <v>144.6831</v>
      </c>
    </row>
    <row r="1470" spans="1:8">
      <c r="A1470" t="s">
        <v>3300</v>
      </c>
      <c r="B1470" t="s">
        <v>3082</v>
      </c>
      <c r="C1470" t="s">
        <v>3083</v>
      </c>
      <c r="D1470" t="s">
        <v>219</v>
      </c>
      <c r="E1470" t="s">
        <v>86</v>
      </c>
      <c r="F1470" s="2">
        <v>43.29</v>
      </c>
      <c r="G1470">
        <v>3</v>
      </c>
      <c r="H1470" s="2">
        <f>Tabla_Items_Inactivos[[#This Row],[EXISTENCIA]]*Tabla_Items_Inactivos[[#This Row],[COSTO]]</f>
        <v>129.87</v>
      </c>
    </row>
    <row r="1471" spans="1:8">
      <c r="A1471" t="s">
        <v>3300</v>
      </c>
      <c r="B1471" t="s">
        <v>4695</v>
      </c>
      <c r="C1471" t="s">
        <v>3085</v>
      </c>
      <c r="D1471" t="s">
        <v>219</v>
      </c>
      <c r="E1471" t="s">
        <v>86</v>
      </c>
      <c r="F1471" s="2">
        <v>18.59</v>
      </c>
      <c r="G1471">
        <v>3</v>
      </c>
      <c r="H1471" s="2">
        <f>Tabla_Items_Inactivos[[#This Row],[EXISTENCIA]]*Tabla_Items_Inactivos[[#This Row],[COSTO]]</f>
        <v>55.769999999999996</v>
      </c>
    </row>
    <row r="1472" spans="1:8">
      <c r="A1472" t="s">
        <v>3300</v>
      </c>
      <c r="B1472" t="s">
        <v>3084</v>
      </c>
      <c r="C1472" t="s">
        <v>3085</v>
      </c>
      <c r="D1472" t="s">
        <v>219</v>
      </c>
      <c r="E1472" t="s">
        <v>86</v>
      </c>
      <c r="F1472" s="2">
        <v>15.0548</v>
      </c>
      <c r="G1472">
        <v>10</v>
      </c>
      <c r="H1472" s="2">
        <f>Tabla_Items_Inactivos[[#This Row],[EXISTENCIA]]*Tabla_Items_Inactivos[[#This Row],[COSTO]]</f>
        <v>150.548</v>
      </c>
    </row>
    <row r="1473" spans="1:8">
      <c r="A1473" t="s">
        <v>3300</v>
      </c>
      <c r="B1473" t="s">
        <v>4696</v>
      </c>
      <c r="C1473" t="s">
        <v>4697</v>
      </c>
      <c r="D1473" t="s">
        <v>219</v>
      </c>
      <c r="E1473" t="s">
        <v>86</v>
      </c>
      <c r="F1473" s="2">
        <v>15.91</v>
      </c>
      <c r="G1473">
        <v>2</v>
      </c>
      <c r="H1473" s="2">
        <f>Tabla_Items_Inactivos[[#This Row],[EXISTENCIA]]*Tabla_Items_Inactivos[[#This Row],[COSTO]]</f>
        <v>31.82</v>
      </c>
    </row>
    <row r="1474" spans="1:8">
      <c r="A1474" t="s">
        <v>3300</v>
      </c>
      <c r="B1474" t="s">
        <v>4698</v>
      </c>
      <c r="C1474" t="s">
        <v>4699</v>
      </c>
      <c r="D1474" t="s">
        <v>219</v>
      </c>
      <c r="E1474" t="s">
        <v>86</v>
      </c>
      <c r="F1474" s="2">
        <v>28.08</v>
      </c>
      <c r="G1474">
        <v>2</v>
      </c>
      <c r="H1474" s="2">
        <f>Tabla_Items_Inactivos[[#This Row],[EXISTENCIA]]*Tabla_Items_Inactivos[[#This Row],[COSTO]]</f>
        <v>56.16</v>
      </c>
    </row>
    <row r="1475" spans="1:8">
      <c r="A1475" t="s">
        <v>3300</v>
      </c>
      <c r="B1475" t="s">
        <v>4700</v>
      </c>
      <c r="C1475" t="s">
        <v>4701</v>
      </c>
      <c r="D1475" t="s">
        <v>436</v>
      </c>
      <c r="E1475" t="s">
        <v>86</v>
      </c>
      <c r="F1475" s="2">
        <v>20.41</v>
      </c>
      <c r="G1475">
        <v>2</v>
      </c>
      <c r="H1475" s="2">
        <f>Tabla_Items_Inactivos[[#This Row],[EXISTENCIA]]*Tabla_Items_Inactivos[[#This Row],[COSTO]]</f>
        <v>40.82</v>
      </c>
    </row>
    <row r="1476" spans="1:8">
      <c r="A1476" t="s">
        <v>3300</v>
      </c>
      <c r="B1476" t="s">
        <v>4702</v>
      </c>
      <c r="C1476" t="s">
        <v>4703</v>
      </c>
      <c r="D1476" t="s">
        <v>85</v>
      </c>
      <c r="E1476" t="s">
        <v>86</v>
      </c>
      <c r="F1476" s="2">
        <v>51.908999999999999</v>
      </c>
      <c r="G1476">
        <v>14</v>
      </c>
      <c r="H1476" s="2">
        <f>Tabla_Items_Inactivos[[#This Row],[EXISTENCIA]]*Tabla_Items_Inactivos[[#This Row],[COSTO]]</f>
        <v>726.726</v>
      </c>
    </row>
    <row r="1477" spans="1:8">
      <c r="A1477" t="s">
        <v>3300</v>
      </c>
      <c r="B1477" t="s">
        <v>4704</v>
      </c>
      <c r="C1477" t="s">
        <v>4705</v>
      </c>
      <c r="D1477" t="s">
        <v>85</v>
      </c>
      <c r="E1477" t="s">
        <v>86</v>
      </c>
      <c r="F1477" s="2">
        <v>74.254000000000005</v>
      </c>
      <c r="G1477">
        <v>3</v>
      </c>
      <c r="H1477" s="2">
        <f>Tabla_Items_Inactivos[[#This Row],[EXISTENCIA]]*Tabla_Items_Inactivos[[#This Row],[COSTO]]</f>
        <v>222.762</v>
      </c>
    </row>
    <row r="1478" spans="1:8">
      <c r="A1478" t="s">
        <v>3300</v>
      </c>
      <c r="B1478" t="s">
        <v>3086</v>
      </c>
      <c r="C1478" t="s">
        <v>3087</v>
      </c>
      <c r="D1478" t="s">
        <v>85</v>
      </c>
      <c r="E1478" t="s">
        <v>86</v>
      </c>
      <c r="F1478" s="2">
        <v>28.102</v>
      </c>
      <c r="G1478">
        <v>7</v>
      </c>
      <c r="H1478" s="2">
        <f>Tabla_Items_Inactivos[[#This Row],[EXISTENCIA]]*Tabla_Items_Inactivos[[#This Row],[COSTO]]</f>
        <v>196.714</v>
      </c>
    </row>
    <row r="1479" spans="1:8">
      <c r="A1479" t="s">
        <v>3300</v>
      </c>
      <c r="B1479" t="s">
        <v>491</v>
      </c>
      <c r="C1479" t="s">
        <v>492</v>
      </c>
      <c r="D1479" t="s">
        <v>85</v>
      </c>
      <c r="E1479" t="s">
        <v>86</v>
      </c>
      <c r="F1479" s="2">
        <v>11.72</v>
      </c>
      <c r="G1479">
        <v>2</v>
      </c>
      <c r="H1479" s="2">
        <f>Tabla_Items_Inactivos[[#This Row],[EXISTENCIA]]*Tabla_Items_Inactivos[[#This Row],[COSTO]]</f>
        <v>23.44</v>
      </c>
    </row>
    <row r="1480" spans="1:8">
      <c r="A1480" t="s">
        <v>3300</v>
      </c>
      <c r="B1480" t="s">
        <v>4706</v>
      </c>
      <c r="C1480" t="s">
        <v>492</v>
      </c>
      <c r="D1480" t="s">
        <v>85</v>
      </c>
      <c r="E1480" t="s">
        <v>86</v>
      </c>
      <c r="F1480" s="2">
        <v>9.5299999999999994</v>
      </c>
      <c r="G1480">
        <v>7</v>
      </c>
      <c r="H1480" s="2">
        <f>Tabla_Items_Inactivos[[#This Row],[EXISTENCIA]]*Tabla_Items_Inactivos[[#This Row],[COSTO]]</f>
        <v>66.709999999999994</v>
      </c>
    </row>
    <row r="1481" spans="1:8">
      <c r="A1481" t="s">
        <v>3300</v>
      </c>
      <c r="B1481" t="s">
        <v>493</v>
      </c>
      <c r="C1481" t="s">
        <v>494</v>
      </c>
      <c r="D1481" t="s">
        <v>85</v>
      </c>
      <c r="E1481" t="s">
        <v>86</v>
      </c>
      <c r="F1481" s="2">
        <v>29.53</v>
      </c>
      <c r="G1481">
        <v>2</v>
      </c>
      <c r="H1481" s="2">
        <f>Tabla_Items_Inactivos[[#This Row],[EXISTENCIA]]*Tabla_Items_Inactivos[[#This Row],[COSTO]]</f>
        <v>59.06</v>
      </c>
    </row>
    <row r="1482" spans="1:8">
      <c r="A1482" t="s">
        <v>3300</v>
      </c>
      <c r="B1482" t="s">
        <v>3088</v>
      </c>
      <c r="C1482" t="s">
        <v>3089</v>
      </c>
      <c r="D1482" t="s">
        <v>85</v>
      </c>
      <c r="E1482" t="s">
        <v>86</v>
      </c>
      <c r="F1482" s="2">
        <v>23.35</v>
      </c>
      <c r="G1482">
        <v>1</v>
      </c>
      <c r="H1482" s="2">
        <f>Tabla_Items_Inactivos[[#This Row],[EXISTENCIA]]*Tabla_Items_Inactivos[[#This Row],[COSTO]]</f>
        <v>23.35</v>
      </c>
    </row>
    <row r="1483" spans="1:8">
      <c r="A1483" t="s">
        <v>3300</v>
      </c>
      <c r="B1483" t="s">
        <v>4707</v>
      </c>
      <c r="C1483" t="s">
        <v>4708</v>
      </c>
      <c r="D1483" t="s">
        <v>85</v>
      </c>
      <c r="E1483" t="s">
        <v>86</v>
      </c>
      <c r="F1483" s="2">
        <v>4.9000000000000004</v>
      </c>
      <c r="G1483">
        <v>4</v>
      </c>
      <c r="H1483" s="2">
        <f>Tabla_Items_Inactivos[[#This Row],[EXISTENCIA]]*Tabla_Items_Inactivos[[#This Row],[COSTO]]</f>
        <v>19.600000000000001</v>
      </c>
    </row>
    <row r="1484" spans="1:8">
      <c r="A1484" t="s">
        <v>3300</v>
      </c>
      <c r="B1484" t="s">
        <v>4709</v>
      </c>
      <c r="C1484" t="s">
        <v>4710</v>
      </c>
      <c r="D1484" t="s">
        <v>85</v>
      </c>
      <c r="E1484" t="s">
        <v>86</v>
      </c>
      <c r="F1484" s="2">
        <v>25.773599999999998</v>
      </c>
      <c r="G1484">
        <v>9</v>
      </c>
      <c r="H1484" s="2">
        <f>Tabla_Items_Inactivos[[#This Row],[EXISTENCIA]]*Tabla_Items_Inactivos[[#This Row],[COSTO]]</f>
        <v>231.96239999999997</v>
      </c>
    </row>
    <row r="1485" spans="1:8">
      <c r="A1485" t="s">
        <v>3300</v>
      </c>
      <c r="B1485" t="s">
        <v>3090</v>
      </c>
      <c r="C1485" t="s">
        <v>4711</v>
      </c>
      <c r="D1485" t="s">
        <v>219</v>
      </c>
      <c r="E1485" t="s">
        <v>86</v>
      </c>
      <c r="F1485" s="2">
        <v>28.93</v>
      </c>
      <c r="G1485">
        <v>2</v>
      </c>
      <c r="H1485" s="2">
        <f>Tabla_Items_Inactivos[[#This Row],[EXISTENCIA]]*Tabla_Items_Inactivos[[#This Row],[COSTO]]</f>
        <v>57.86</v>
      </c>
    </row>
    <row r="1486" spans="1:8">
      <c r="A1486" t="s">
        <v>3300</v>
      </c>
      <c r="B1486" t="s">
        <v>4712</v>
      </c>
      <c r="C1486" t="s">
        <v>4713</v>
      </c>
      <c r="D1486" t="s">
        <v>219</v>
      </c>
      <c r="E1486" t="s">
        <v>86</v>
      </c>
      <c r="F1486" s="2">
        <v>44.96</v>
      </c>
      <c r="G1486">
        <v>1</v>
      </c>
      <c r="H1486" s="2">
        <f>Tabla_Items_Inactivos[[#This Row],[EXISTENCIA]]*Tabla_Items_Inactivos[[#This Row],[COSTO]]</f>
        <v>44.96</v>
      </c>
    </row>
    <row r="1487" spans="1:8">
      <c r="A1487" t="s">
        <v>3300</v>
      </c>
      <c r="B1487" t="s">
        <v>4714</v>
      </c>
      <c r="C1487" t="s">
        <v>4715</v>
      </c>
      <c r="D1487" t="s">
        <v>85</v>
      </c>
      <c r="E1487" t="s">
        <v>86</v>
      </c>
      <c r="F1487" s="2">
        <v>18.503599999999999</v>
      </c>
      <c r="G1487">
        <v>31</v>
      </c>
      <c r="H1487" s="2">
        <f>Tabla_Items_Inactivos[[#This Row],[EXISTENCIA]]*Tabla_Items_Inactivos[[#This Row],[COSTO]]</f>
        <v>573.61159999999995</v>
      </c>
    </row>
    <row r="1488" spans="1:8">
      <c r="A1488" t="s">
        <v>3300</v>
      </c>
      <c r="B1488" t="s">
        <v>3091</v>
      </c>
      <c r="C1488" t="s">
        <v>4716</v>
      </c>
      <c r="D1488" t="s">
        <v>228</v>
      </c>
      <c r="E1488" t="s">
        <v>86</v>
      </c>
      <c r="F1488" s="2">
        <v>13.095599999999999</v>
      </c>
      <c r="G1488">
        <v>73</v>
      </c>
      <c r="H1488" s="2">
        <f>Tabla_Items_Inactivos[[#This Row],[EXISTENCIA]]*Tabla_Items_Inactivos[[#This Row],[COSTO]]</f>
        <v>955.97879999999998</v>
      </c>
    </row>
    <row r="1489" spans="1:8">
      <c r="A1489" t="s">
        <v>3301</v>
      </c>
      <c r="B1489" t="s">
        <v>3091</v>
      </c>
      <c r="C1489" t="s">
        <v>4716</v>
      </c>
      <c r="D1489" t="s">
        <v>228</v>
      </c>
      <c r="E1489" t="s">
        <v>86</v>
      </c>
      <c r="F1489" s="2">
        <v>13.095599999999999</v>
      </c>
      <c r="G1489">
        <v>73</v>
      </c>
      <c r="H1489" s="2">
        <f>Tabla_Items_Inactivos[[#This Row],[EXISTENCIA]]*Tabla_Items_Inactivos[[#This Row],[COSTO]]</f>
        <v>955.97879999999998</v>
      </c>
    </row>
    <row r="1490" spans="1:8">
      <c r="A1490" t="s">
        <v>3300</v>
      </c>
      <c r="B1490" t="s">
        <v>4717</v>
      </c>
      <c r="C1490" t="s">
        <v>4718</v>
      </c>
      <c r="D1490" t="s">
        <v>98</v>
      </c>
      <c r="E1490" t="s">
        <v>86</v>
      </c>
      <c r="F1490" s="2">
        <v>25.855699999999999</v>
      </c>
      <c r="G1490">
        <v>4</v>
      </c>
      <c r="H1490" s="2">
        <f>Tabla_Items_Inactivos[[#This Row],[EXISTENCIA]]*Tabla_Items_Inactivos[[#This Row],[COSTO]]</f>
        <v>103.4228</v>
      </c>
    </row>
    <row r="1491" spans="1:8">
      <c r="A1491" t="s">
        <v>3300</v>
      </c>
      <c r="B1491" t="s">
        <v>4719</v>
      </c>
      <c r="C1491" t="s">
        <v>4720</v>
      </c>
      <c r="D1491" t="s">
        <v>219</v>
      </c>
      <c r="E1491" t="s">
        <v>86</v>
      </c>
      <c r="F1491" s="2">
        <v>66.91</v>
      </c>
      <c r="G1491">
        <v>1</v>
      </c>
      <c r="H1491" s="2">
        <f>Tabla_Items_Inactivos[[#This Row],[EXISTENCIA]]*Tabla_Items_Inactivos[[#This Row],[COSTO]]</f>
        <v>66.91</v>
      </c>
    </row>
    <row r="1492" spans="1:8">
      <c r="A1492" t="s">
        <v>3300</v>
      </c>
      <c r="B1492" t="s">
        <v>4721</v>
      </c>
      <c r="C1492" t="s">
        <v>4722</v>
      </c>
      <c r="D1492" t="s">
        <v>219</v>
      </c>
      <c r="E1492" t="s">
        <v>86</v>
      </c>
      <c r="F1492" s="2">
        <v>37.78</v>
      </c>
      <c r="G1492">
        <v>1</v>
      </c>
      <c r="H1492" s="2">
        <f>Tabla_Items_Inactivos[[#This Row],[EXISTENCIA]]*Tabla_Items_Inactivos[[#This Row],[COSTO]]</f>
        <v>37.78</v>
      </c>
    </row>
    <row r="1493" spans="1:8">
      <c r="A1493" t="s">
        <v>3300</v>
      </c>
      <c r="B1493" t="s">
        <v>4723</v>
      </c>
      <c r="C1493" t="s">
        <v>4724</v>
      </c>
      <c r="D1493" t="s">
        <v>219</v>
      </c>
      <c r="E1493" t="s">
        <v>86</v>
      </c>
      <c r="F1493" s="2">
        <v>23.78</v>
      </c>
      <c r="G1493">
        <v>8</v>
      </c>
      <c r="H1493" s="2">
        <f>Tabla_Items_Inactivos[[#This Row],[EXISTENCIA]]*Tabla_Items_Inactivos[[#This Row],[COSTO]]</f>
        <v>190.24</v>
      </c>
    </row>
    <row r="1494" spans="1:8">
      <c r="A1494" t="s">
        <v>3300</v>
      </c>
      <c r="B1494" t="s">
        <v>3092</v>
      </c>
      <c r="C1494" t="s">
        <v>3093</v>
      </c>
      <c r="D1494" t="s">
        <v>219</v>
      </c>
      <c r="E1494" t="s">
        <v>86</v>
      </c>
      <c r="F1494" s="2">
        <v>20.269400000000001</v>
      </c>
      <c r="G1494">
        <v>16</v>
      </c>
      <c r="H1494" s="2">
        <f>Tabla_Items_Inactivos[[#This Row],[EXISTENCIA]]*Tabla_Items_Inactivos[[#This Row],[COSTO]]</f>
        <v>324.31040000000002</v>
      </c>
    </row>
    <row r="1495" spans="1:8">
      <c r="A1495" t="s">
        <v>3300</v>
      </c>
      <c r="B1495" t="s">
        <v>4725</v>
      </c>
      <c r="C1495" t="s">
        <v>4726</v>
      </c>
      <c r="D1495" t="s">
        <v>3482</v>
      </c>
      <c r="E1495" t="s">
        <v>86</v>
      </c>
      <c r="F1495" s="2">
        <v>1.07</v>
      </c>
      <c r="G1495">
        <v>2</v>
      </c>
      <c r="H1495" s="2">
        <f>Tabla_Items_Inactivos[[#This Row],[EXISTENCIA]]*Tabla_Items_Inactivos[[#This Row],[COSTO]]</f>
        <v>2.14</v>
      </c>
    </row>
    <row r="1496" spans="1:8">
      <c r="A1496" t="s">
        <v>3300</v>
      </c>
      <c r="B1496" t="s">
        <v>3094</v>
      </c>
      <c r="C1496" t="s">
        <v>3095</v>
      </c>
      <c r="D1496" t="s">
        <v>85</v>
      </c>
      <c r="E1496" t="s">
        <v>86</v>
      </c>
      <c r="F1496" s="2">
        <v>11.297000000000001</v>
      </c>
      <c r="G1496">
        <v>36</v>
      </c>
      <c r="H1496" s="2">
        <f>Tabla_Items_Inactivos[[#This Row],[EXISTENCIA]]*Tabla_Items_Inactivos[[#This Row],[COSTO]]</f>
        <v>406.69200000000001</v>
      </c>
    </row>
    <row r="1497" spans="1:8">
      <c r="A1497" t="s">
        <v>3300</v>
      </c>
      <c r="B1497" t="s">
        <v>4727</v>
      </c>
      <c r="C1497" t="s">
        <v>4728</v>
      </c>
      <c r="D1497" t="s">
        <v>85</v>
      </c>
      <c r="E1497" t="s">
        <v>86</v>
      </c>
      <c r="F1497" s="2">
        <v>17.702999999999999</v>
      </c>
      <c r="G1497">
        <v>15</v>
      </c>
      <c r="H1497" s="2">
        <f>Tabla_Items_Inactivos[[#This Row],[EXISTENCIA]]*Tabla_Items_Inactivos[[#This Row],[COSTO]]</f>
        <v>265.54500000000002</v>
      </c>
    </row>
    <row r="1498" spans="1:8">
      <c r="A1498" t="s">
        <v>3300</v>
      </c>
      <c r="B1498" t="s">
        <v>4729</v>
      </c>
      <c r="C1498" t="s">
        <v>4730</v>
      </c>
      <c r="D1498" t="s">
        <v>219</v>
      </c>
      <c r="E1498" t="s">
        <v>86</v>
      </c>
      <c r="F1498" s="2">
        <v>51.35</v>
      </c>
      <c r="G1498">
        <v>1</v>
      </c>
      <c r="H1498" s="2">
        <f>Tabla_Items_Inactivos[[#This Row],[EXISTENCIA]]*Tabla_Items_Inactivos[[#This Row],[COSTO]]</f>
        <v>51.35</v>
      </c>
    </row>
    <row r="1499" spans="1:8">
      <c r="A1499" t="s">
        <v>3300</v>
      </c>
      <c r="B1499" t="s">
        <v>4731</v>
      </c>
      <c r="C1499" t="s">
        <v>4732</v>
      </c>
      <c r="D1499" t="s">
        <v>219</v>
      </c>
      <c r="E1499" t="s">
        <v>86</v>
      </c>
      <c r="F1499" s="2">
        <v>13.38</v>
      </c>
      <c r="G1499">
        <v>3</v>
      </c>
      <c r="H1499" s="2">
        <f>Tabla_Items_Inactivos[[#This Row],[EXISTENCIA]]*Tabla_Items_Inactivos[[#This Row],[COSTO]]</f>
        <v>40.14</v>
      </c>
    </row>
    <row r="1500" spans="1:8">
      <c r="A1500" t="s">
        <v>3300</v>
      </c>
      <c r="B1500" t="s">
        <v>4733</v>
      </c>
      <c r="C1500" t="s">
        <v>4734</v>
      </c>
      <c r="D1500" t="s">
        <v>219</v>
      </c>
      <c r="E1500" t="s">
        <v>86</v>
      </c>
      <c r="F1500" s="2">
        <v>0.1</v>
      </c>
      <c r="G1500">
        <v>1</v>
      </c>
      <c r="H1500" s="2">
        <f>Tabla_Items_Inactivos[[#This Row],[EXISTENCIA]]*Tabla_Items_Inactivos[[#This Row],[COSTO]]</f>
        <v>0.1</v>
      </c>
    </row>
    <row r="1501" spans="1:8">
      <c r="A1501" t="s">
        <v>3300</v>
      </c>
      <c r="B1501" t="s">
        <v>4735</v>
      </c>
      <c r="C1501" t="s">
        <v>2188</v>
      </c>
      <c r="D1501" t="s">
        <v>85</v>
      </c>
      <c r="E1501" t="s">
        <v>86</v>
      </c>
      <c r="F1501" s="2">
        <v>9.827</v>
      </c>
      <c r="G1501">
        <v>3</v>
      </c>
      <c r="H1501" s="2">
        <f>Tabla_Items_Inactivos[[#This Row],[EXISTENCIA]]*Tabla_Items_Inactivos[[#This Row],[COSTO]]</f>
        <v>29.481000000000002</v>
      </c>
    </row>
    <row r="1502" spans="1:8">
      <c r="A1502" t="s">
        <v>3300</v>
      </c>
      <c r="B1502" t="s">
        <v>4736</v>
      </c>
      <c r="C1502" t="s">
        <v>2189</v>
      </c>
      <c r="D1502" t="s">
        <v>85</v>
      </c>
      <c r="E1502" t="s">
        <v>86</v>
      </c>
      <c r="F1502" s="2">
        <v>11.02</v>
      </c>
      <c r="G1502">
        <v>3</v>
      </c>
      <c r="H1502" s="2">
        <f>Tabla_Items_Inactivos[[#This Row],[EXISTENCIA]]*Tabla_Items_Inactivos[[#This Row],[COSTO]]</f>
        <v>33.06</v>
      </c>
    </row>
    <row r="1503" spans="1:8">
      <c r="A1503" t="s">
        <v>3300</v>
      </c>
      <c r="B1503" t="s">
        <v>3096</v>
      </c>
      <c r="C1503" t="s">
        <v>2208</v>
      </c>
      <c r="D1503" t="s">
        <v>85</v>
      </c>
      <c r="E1503" t="s">
        <v>86</v>
      </c>
      <c r="F1503" s="2">
        <v>16.587</v>
      </c>
      <c r="G1503">
        <v>6</v>
      </c>
      <c r="H1503" s="2">
        <f>Tabla_Items_Inactivos[[#This Row],[EXISTENCIA]]*Tabla_Items_Inactivos[[#This Row],[COSTO]]</f>
        <v>99.521999999999991</v>
      </c>
    </row>
    <row r="1504" spans="1:8">
      <c r="A1504" t="s">
        <v>3300</v>
      </c>
      <c r="B1504" t="s">
        <v>4737</v>
      </c>
      <c r="C1504" t="s">
        <v>4738</v>
      </c>
      <c r="D1504" t="s">
        <v>85</v>
      </c>
      <c r="E1504" t="s">
        <v>86</v>
      </c>
      <c r="F1504" s="2">
        <v>2.9980000000000002</v>
      </c>
      <c r="G1504">
        <v>8</v>
      </c>
      <c r="H1504" s="2">
        <f>Tabla_Items_Inactivos[[#This Row],[EXISTENCIA]]*Tabla_Items_Inactivos[[#This Row],[COSTO]]</f>
        <v>23.984000000000002</v>
      </c>
    </row>
    <row r="1505" spans="1:8">
      <c r="A1505" t="s">
        <v>3300</v>
      </c>
      <c r="B1505" t="s">
        <v>4739</v>
      </c>
      <c r="C1505" t="s">
        <v>4740</v>
      </c>
      <c r="D1505" t="s">
        <v>85</v>
      </c>
      <c r="E1505" t="s">
        <v>86</v>
      </c>
      <c r="F1505" s="2">
        <v>1.514</v>
      </c>
      <c r="G1505">
        <v>7</v>
      </c>
      <c r="H1505" s="2">
        <f>Tabla_Items_Inactivos[[#This Row],[EXISTENCIA]]*Tabla_Items_Inactivos[[#This Row],[COSTO]]</f>
        <v>10.598000000000001</v>
      </c>
    </row>
    <row r="1506" spans="1:8">
      <c r="A1506" t="s">
        <v>3300</v>
      </c>
      <c r="B1506" t="s">
        <v>4741</v>
      </c>
      <c r="C1506" t="s">
        <v>4742</v>
      </c>
      <c r="D1506" t="s">
        <v>85</v>
      </c>
      <c r="E1506" t="s">
        <v>86</v>
      </c>
      <c r="F1506" s="2">
        <v>8.8239999999999998</v>
      </c>
      <c r="G1506">
        <v>9</v>
      </c>
      <c r="H1506" s="2">
        <f>Tabla_Items_Inactivos[[#This Row],[EXISTENCIA]]*Tabla_Items_Inactivos[[#This Row],[COSTO]]</f>
        <v>79.415999999999997</v>
      </c>
    </row>
    <row r="1507" spans="1:8">
      <c r="A1507" t="s">
        <v>3301</v>
      </c>
      <c r="B1507" t="s">
        <v>4743</v>
      </c>
      <c r="C1507" t="s">
        <v>2300</v>
      </c>
      <c r="D1507" t="s">
        <v>219</v>
      </c>
      <c r="E1507" t="s">
        <v>86</v>
      </c>
      <c r="F1507" s="2">
        <v>17.237100000000002</v>
      </c>
      <c r="G1507">
        <v>1</v>
      </c>
      <c r="H1507" s="2">
        <f>Tabla_Items_Inactivos[[#This Row],[EXISTENCIA]]*Tabla_Items_Inactivos[[#This Row],[COSTO]]</f>
        <v>17.237100000000002</v>
      </c>
    </row>
    <row r="1508" spans="1:8">
      <c r="A1508" t="s">
        <v>3300</v>
      </c>
      <c r="B1508" t="s">
        <v>4743</v>
      </c>
      <c r="C1508" t="s">
        <v>2300</v>
      </c>
      <c r="D1508" t="s">
        <v>219</v>
      </c>
      <c r="E1508" t="s">
        <v>86</v>
      </c>
      <c r="F1508" s="2">
        <v>17.237100000000002</v>
      </c>
      <c r="G1508">
        <v>1</v>
      </c>
      <c r="H1508" s="2">
        <f>Tabla_Items_Inactivos[[#This Row],[EXISTENCIA]]*Tabla_Items_Inactivos[[#This Row],[COSTO]]</f>
        <v>17.237100000000002</v>
      </c>
    </row>
    <row r="1509" spans="1:8">
      <c r="A1509" t="s">
        <v>3300</v>
      </c>
      <c r="B1509" t="s">
        <v>4744</v>
      </c>
      <c r="C1509" t="s">
        <v>2310</v>
      </c>
      <c r="D1509" t="s">
        <v>219</v>
      </c>
      <c r="E1509" t="s">
        <v>86</v>
      </c>
      <c r="F1509" s="2">
        <v>24.151</v>
      </c>
      <c r="G1509">
        <v>10</v>
      </c>
      <c r="H1509" s="2">
        <f>Tabla_Items_Inactivos[[#This Row],[EXISTENCIA]]*Tabla_Items_Inactivos[[#This Row],[COSTO]]</f>
        <v>241.51</v>
      </c>
    </row>
    <row r="1510" spans="1:8">
      <c r="A1510" t="s">
        <v>3300</v>
      </c>
      <c r="B1510" t="s">
        <v>4745</v>
      </c>
      <c r="C1510" t="s">
        <v>4746</v>
      </c>
      <c r="D1510" t="s">
        <v>219</v>
      </c>
      <c r="E1510" t="s">
        <v>86</v>
      </c>
      <c r="F1510" s="2">
        <v>35.552999999999997</v>
      </c>
      <c r="G1510">
        <v>2</v>
      </c>
      <c r="H1510" s="2">
        <f>Tabla_Items_Inactivos[[#This Row],[EXISTENCIA]]*Tabla_Items_Inactivos[[#This Row],[COSTO]]</f>
        <v>71.105999999999995</v>
      </c>
    </row>
    <row r="1511" spans="1:8">
      <c r="A1511" t="s">
        <v>3300</v>
      </c>
      <c r="B1511" t="s">
        <v>4747</v>
      </c>
      <c r="C1511" t="s">
        <v>4748</v>
      </c>
      <c r="D1511" t="s">
        <v>219</v>
      </c>
      <c r="E1511" t="s">
        <v>86</v>
      </c>
      <c r="F1511" s="2">
        <v>51.108400000000003</v>
      </c>
      <c r="G1511">
        <v>2</v>
      </c>
      <c r="H1511" s="2">
        <f>Tabla_Items_Inactivos[[#This Row],[EXISTENCIA]]*Tabla_Items_Inactivos[[#This Row],[COSTO]]</f>
        <v>102.21680000000001</v>
      </c>
    </row>
    <row r="1512" spans="1:8">
      <c r="A1512" t="s">
        <v>3301</v>
      </c>
      <c r="B1512" t="s">
        <v>4747</v>
      </c>
      <c r="C1512" t="s">
        <v>4748</v>
      </c>
      <c r="D1512" t="s">
        <v>219</v>
      </c>
      <c r="E1512" t="s">
        <v>86</v>
      </c>
      <c r="F1512" s="2">
        <v>51.108400000000003</v>
      </c>
      <c r="G1512">
        <v>2</v>
      </c>
      <c r="H1512" s="2">
        <f>Tabla_Items_Inactivos[[#This Row],[EXISTENCIA]]*Tabla_Items_Inactivos[[#This Row],[COSTO]]</f>
        <v>102.21680000000001</v>
      </c>
    </row>
    <row r="1513" spans="1:8">
      <c r="A1513" t="s">
        <v>3300</v>
      </c>
      <c r="B1513" t="s">
        <v>4749</v>
      </c>
      <c r="C1513" t="s">
        <v>2330</v>
      </c>
      <c r="D1513" t="s">
        <v>219</v>
      </c>
      <c r="E1513" t="s">
        <v>86</v>
      </c>
      <c r="F1513" s="2">
        <v>65.394999999999996</v>
      </c>
      <c r="G1513">
        <v>4</v>
      </c>
      <c r="H1513" s="2">
        <f>Tabla_Items_Inactivos[[#This Row],[EXISTENCIA]]*Tabla_Items_Inactivos[[#This Row],[COSTO]]</f>
        <v>261.58</v>
      </c>
    </row>
    <row r="1514" spans="1:8">
      <c r="A1514" t="s">
        <v>3300</v>
      </c>
      <c r="B1514" t="s">
        <v>4750</v>
      </c>
      <c r="C1514" t="s">
        <v>4751</v>
      </c>
      <c r="D1514" t="s">
        <v>219</v>
      </c>
      <c r="E1514" t="s">
        <v>86</v>
      </c>
      <c r="F1514" s="2">
        <v>22.43</v>
      </c>
      <c r="G1514">
        <v>2</v>
      </c>
      <c r="H1514" s="2">
        <f>Tabla_Items_Inactivos[[#This Row],[EXISTENCIA]]*Tabla_Items_Inactivos[[#This Row],[COSTO]]</f>
        <v>44.86</v>
      </c>
    </row>
    <row r="1515" spans="1:8">
      <c r="A1515" t="s">
        <v>3300</v>
      </c>
      <c r="B1515" t="s">
        <v>4752</v>
      </c>
      <c r="C1515" t="s">
        <v>2334</v>
      </c>
      <c r="D1515" t="s">
        <v>219</v>
      </c>
      <c r="E1515" t="s">
        <v>86</v>
      </c>
      <c r="F1515" s="2">
        <v>61.49</v>
      </c>
      <c r="G1515">
        <v>1</v>
      </c>
      <c r="H1515" s="2">
        <f>Tabla_Items_Inactivos[[#This Row],[EXISTENCIA]]*Tabla_Items_Inactivos[[#This Row],[COSTO]]</f>
        <v>61.49</v>
      </c>
    </row>
    <row r="1516" spans="1:8">
      <c r="A1516" t="s">
        <v>3300</v>
      </c>
      <c r="B1516" t="s">
        <v>4753</v>
      </c>
      <c r="C1516" t="s">
        <v>4754</v>
      </c>
      <c r="D1516" t="s">
        <v>219</v>
      </c>
      <c r="E1516" t="s">
        <v>86</v>
      </c>
      <c r="F1516" s="2">
        <v>45.64</v>
      </c>
      <c r="G1516">
        <v>1</v>
      </c>
      <c r="H1516" s="2">
        <f>Tabla_Items_Inactivos[[#This Row],[EXISTENCIA]]*Tabla_Items_Inactivos[[#This Row],[COSTO]]</f>
        <v>45.64</v>
      </c>
    </row>
    <row r="1517" spans="1:8">
      <c r="A1517" t="s">
        <v>3300</v>
      </c>
      <c r="B1517" t="s">
        <v>4755</v>
      </c>
      <c r="C1517" t="s">
        <v>4756</v>
      </c>
      <c r="D1517" t="s">
        <v>219</v>
      </c>
      <c r="E1517" t="s">
        <v>86</v>
      </c>
      <c r="F1517" s="2">
        <v>22.42</v>
      </c>
      <c r="G1517">
        <v>1</v>
      </c>
      <c r="H1517" s="2">
        <f>Tabla_Items_Inactivos[[#This Row],[EXISTENCIA]]*Tabla_Items_Inactivos[[#This Row],[COSTO]]</f>
        <v>22.42</v>
      </c>
    </row>
    <row r="1518" spans="1:8">
      <c r="A1518" t="s">
        <v>3300</v>
      </c>
      <c r="B1518" t="s">
        <v>4757</v>
      </c>
      <c r="C1518" t="s">
        <v>3254</v>
      </c>
      <c r="D1518" t="s">
        <v>219</v>
      </c>
      <c r="E1518" t="s">
        <v>86</v>
      </c>
      <c r="F1518" s="2">
        <v>27.934999999999999</v>
      </c>
      <c r="G1518">
        <v>2</v>
      </c>
      <c r="H1518" s="2">
        <f>Tabla_Items_Inactivos[[#This Row],[EXISTENCIA]]*Tabla_Items_Inactivos[[#This Row],[COSTO]]</f>
        <v>55.87</v>
      </c>
    </row>
    <row r="1519" spans="1:8">
      <c r="A1519" t="s">
        <v>3300</v>
      </c>
      <c r="B1519" t="s">
        <v>4758</v>
      </c>
      <c r="C1519" t="s">
        <v>2353</v>
      </c>
      <c r="D1519" t="s">
        <v>85</v>
      </c>
      <c r="E1519" t="s">
        <v>86</v>
      </c>
      <c r="F1519" s="2">
        <v>11.757</v>
      </c>
      <c r="G1519">
        <v>3</v>
      </c>
      <c r="H1519" s="2">
        <f>Tabla_Items_Inactivos[[#This Row],[EXISTENCIA]]*Tabla_Items_Inactivos[[#This Row],[COSTO]]</f>
        <v>35.271000000000001</v>
      </c>
    </row>
    <row r="1520" spans="1:8">
      <c r="A1520" t="s">
        <v>3300</v>
      </c>
      <c r="B1520" t="s">
        <v>4759</v>
      </c>
      <c r="C1520" t="s">
        <v>4760</v>
      </c>
      <c r="D1520" t="s">
        <v>85</v>
      </c>
      <c r="E1520" t="s">
        <v>86</v>
      </c>
      <c r="F1520" s="2">
        <v>4.7380000000000004</v>
      </c>
      <c r="G1520">
        <v>45</v>
      </c>
      <c r="H1520" s="2">
        <f>Tabla_Items_Inactivos[[#This Row],[EXISTENCIA]]*Tabla_Items_Inactivos[[#This Row],[COSTO]]</f>
        <v>213.21</v>
      </c>
    </row>
    <row r="1521" spans="1:8">
      <c r="A1521" t="s">
        <v>3301</v>
      </c>
      <c r="B1521" t="s">
        <v>4759</v>
      </c>
      <c r="C1521" t="s">
        <v>4760</v>
      </c>
      <c r="D1521" t="s">
        <v>85</v>
      </c>
      <c r="E1521" t="s">
        <v>86</v>
      </c>
      <c r="F1521" s="2">
        <v>4.7380000000000004</v>
      </c>
      <c r="G1521">
        <v>45</v>
      </c>
      <c r="H1521" s="2">
        <f>Tabla_Items_Inactivos[[#This Row],[EXISTENCIA]]*Tabla_Items_Inactivos[[#This Row],[COSTO]]</f>
        <v>213.21</v>
      </c>
    </row>
    <row r="1522" spans="1:8">
      <c r="A1522" t="s">
        <v>3300</v>
      </c>
      <c r="B1522" t="s">
        <v>4761</v>
      </c>
      <c r="C1522" t="s">
        <v>4762</v>
      </c>
      <c r="D1522" t="s">
        <v>85</v>
      </c>
      <c r="E1522" t="s">
        <v>86</v>
      </c>
      <c r="F1522" s="2">
        <v>51.176099999999998</v>
      </c>
      <c r="G1522">
        <v>10</v>
      </c>
      <c r="H1522" s="2">
        <f>Tabla_Items_Inactivos[[#This Row],[EXISTENCIA]]*Tabla_Items_Inactivos[[#This Row],[COSTO]]</f>
        <v>511.76099999999997</v>
      </c>
    </row>
    <row r="1523" spans="1:8">
      <c r="A1523" t="s">
        <v>3301</v>
      </c>
      <c r="B1523" t="s">
        <v>4761</v>
      </c>
      <c r="C1523" t="s">
        <v>4762</v>
      </c>
      <c r="D1523" t="s">
        <v>85</v>
      </c>
      <c r="E1523" t="s">
        <v>86</v>
      </c>
      <c r="F1523" s="2">
        <v>51.176099999999998</v>
      </c>
      <c r="G1523">
        <v>10</v>
      </c>
      <c r="H1523" s="2">
        <f>Tabla_Items_Inactivos[[#This Row],[EXISTENCIA]]*Tabla_Items_Inactivos[[#This Row],[COSTO]]</f>
        <v>511.76099999999997</v>
      </c>
    </row>
    <row r="1524" spans="1:8">
      <c r="A1524" t="s">
        <v>3300</v>
      </c>
      <c r="B1524" t="s">
        <v>4763</v>
      </c>
      <c r="C1524" t="s">
        <v>4764</v>
      </c>
      <c r="D1524" t="s">
        <v>85</v>
      </c>
      <c r="E1524" t="s">
        <v>86</v>
      </c>
      <c r="F1524" s="2">
        <v>35.410200000000003</v>
      </c>
      <c r="G1524">
        <v>1</v>
      </c>
      <c r="H1524" s="2">
        <f>Tabla_Items_Inactivos[[#This Row],[EXISTENCIA]]*Tabla_Items_Inactivos[[#This Row],[COSTO]]</f>
        <v>35.410200000000003</v>
      </c>
    </row>
    <row r="1525" spans="1:8">
      <c r="A1525" t="s">
        <v>3300</v>
      </c>
      <c r="B1525" t="s">
        <v>3097</v>
      </c>
      <c r="C1525" t="s">
        <v>2373</v>
      </c>
      <c r="D1525" t="s">
        <v>85</v>
      </c>
      <c r="E1525" t="s">
        <v>86</v>
      </c>
      <c r="F1525" s="2">
        <v>25.8081</v>
      </c>
      <c r="G1525">
        <v>30</v>
      </c>
      <c r="H1525" s="2">
        <f>Tabla_Items_Inactivos[[#This Row],[EXISTENCIA]]*Tabla_Items_Inactivos[[#This Row],[COSTO]]</f>
        <v>774.24299999999994</v>
      </c>
    </row>
    <row r="1526" spans="1:8">
      <c r="A1526" t="s">
        <v>3301</v>
      </c>
      <c r="B1526" t="s">
        <v>3097</v>
      </c>
      <c r="C1526" t="s">
        <v>2373</v>
      </c>
      <c r="D1526" t="s">
        <v>85</v>
      </c>
      <c r="E1526" t="s">
        <v>86</v>
      </c>
      <c r="F1526" s="2">
        <v>25.8081</v>
      </c>
      <c r="G1526">
        <v>30</v>
      </c>
      <c r="H1526" s="2">
        <f>Tabla_Items_Inactivos[[#This Row],[EXISTENCIA]]*Tabla_Items_Inactivos[[#This Row],[COSTO]]</f>
        <v>774.24299999999994</v>
      </c>
    </row>
    <row r="1527" spans="1:8">
      <c r="A1527" t="s">
        <v>3301</v>
      </c>
      <c r="B1527" t="s">
        <v>4765</v>
      </c>
      <c r="C1527" t="s">
        <v>4766</v>
      </c>
      <c r="D1527" t="s">
        <v>85</v>
      </c>
      <c r="E1527" t="s">
        <v>86</v>
      </c>
      <c r="F1527" s="2">
        <v>55.989699999999999</v>
      </c>
      <c r="G1527">
        <v>12</v>
      </c>
      <c r="H1527" s="2">
        <f>Tabla_Items_Inactivos[[#This Row],[EXISTENCIA]]*Tabla_Items_Inactivos[[#This Row],[COSTO]]</f>
        <v>671.87639999999999</v>
      </c>
    </row>
    <row r="1528" spans="1:8">
      <c r="A1528" t="s">
        <v>3300</v>
      </c>
      <c r="B1528" t="s">
        <v>4765</v>
      </c>
      <c r="C1528" t="s">
        <v>4766</v>
      </c>
      <c r="D1528" t="s">
        <v>85</v>
      </c>
      <c r="E1528" t="s">
        <v>86</v>
      </c>
      <c r="F1528" s="2">
        <v>55.989699999999999</v>
      </c>
      <c r="G1528">
        <v>12</v>
      </c>
      <c r="H1528" s="2">
        <f>Tabla_Items_Inactivos[[#This Row],[EXISTENCIA]]*Tabla_Items_Inactivos[[#This Row],[COSTO]]</f>
        <v>671.87639999999999</v>
      </c>
    </row>
    <row r="1529" spans="1:8">
      <c r="A1529" t="s">
        <v>3300</v>
      </c>
      <c r="B1529" t="s">
        <v>4767</v>
      </c>
      <c r="C1529" t="s">
        <v>4768</v>
      </c>
      <c r="D1529" t="s">
        <v>85</v>
      </c>
      <c r="E1529" t="s">
        <v>86</v>
      </c>
      <c r="F1529" s="2">
        <v>47.43</v>
      </c>
      <c r="G1529">
        <v>4</v>
      </c>
      <c r="H1529" s="2">
        <f>Tabla_Items_Inactivos[[#This Row],[EXISTENCIA]]*Tabla_Items_Inactivos[[#This Row],[COSTO]]</f>
        <v>189.72</v>
      </c>
    </row>
    <row r="1530" spans="1:8">
      <c r="A1530" t="s">
        <v>3300</v>
      </c>
      <c r="B1530" t="s">
        <v>4769</v>
      </c>
      <c r="C1530" t="s">
        <v>4770</v>
      </c>
      <c r="D1530" t="s">
        <v>85</v>
      </c>
      <c r="E1530" t="s">
        <v>86</v>
      </c>
      <c r="F1530" s="2">
        <v>34.543300000000002</v>
      </c>
      <c r="G1530">
        <v>3</v>
      </c>
      <c r="H1530" s="2">
        <f>Tabla_Items_Inactivos[[#This Row],[EXISTENCIA]]*Tabla_Items_Inactivos[[#This Row],[COSTO]]</f>
        <v>103.62990000000001</v>
      </c>
    </row>
    <row r="1531" spans="1:8">
      <c r="A1531" t="s">
        <v>3300</v>
      </c>
      <c r="B1531" t="s">
        <v>4771</v>
      </c>
      <c r="C1531" t="s">
        <v>4772</v>
      </c>
      <c r="D1531" t="s">
        <v>85</v>
      </c>
      <c r="E1531" t="s">
        <v>86</v>
      </c>
      <c r="F1531" s="2">
        <v>18.248000000000001</v>
      </c>
      <c r="G1531">
        <v>5</v>
      </c>
      <c r="H1531" s="2">
        <f>Tabla_Items_Inactivos[[#This Row],[EXISTENCIA]]*Tabla_Items_Inactivos[[#This Row],[COSTO]]</f>
        <v>91.240000000000009</v>
      </c>
    </row>
    <row r="1532" spans="1:8">
      <c r="A1532" t="s">
        <v>3300</v>
      </c>
      <c r="B1532" t="s">
        <v>4773</v>
      </c>
      <c r="C1532" t="s">
        <v>4774</v>
      </c>
      <c r="D1532" t="s">
        <v>85</v>
      </c>
      <c r="E1532" t="s">
        <v>86</v>
      </c>
      <c r="F1532" s="2">
        <v>21.516999999999999</v>
      </c>
      <c r="G1532">
        <v>5</v>
      </c>
      <c r="H1532" s="2">
        <f>Tabla_Items_Inactivos[[#This Row],[EXISTENCIA]]*Tabla_Items_Inactivos[[#This Row],[COSTO]]</f>
        <v>107.58499999999999</v>
      </c>
    </row>
    <row r="1533" spans="1:8">
      <c r="A1533" t="s">
        <v>3300</v>
      </c>
      <c r="B1533" t="s">
        <v>3098</v>
      </c>
      <c r="C1533" t="s">
        <v>3099</v>
      </c>
      <c r="D1533" t="s">
        <v>85</v>
      </c>
      <c r="E1533" t="s">
        <v>86</v>
      </c>
      <c r="F1533" s="2">
        <v>19.38</v>
      </c>
      <c r="G1533">
        <v>2</v>
      </c>
      <c r="H1533" s="2">
        <f>Tabla_Items_Inactivos[[#This Row],[EXISTENCIA]]*Tabla_Items_Inactivos[[#This Row],[COSTO]]</f>
        <v>38.76</v>
      </c>
    </row>
    <row r="1534" spans="1:8">
      <c r="A1534" t="s">
        <v>3301</v>
      </c>
      <c r="B1534" t="s">
        <v>3098</v>
      </c>
      <c r="C1534" t="s">
        <v>3099</v>
      </c>
      <c r="D1534" t="s">
        <v>85</v>
      </c>
      <c r="E1534" t="s">
        <v>86</v>
      </c>
      <c r="F1534" s="2">
        <v>19.38</v>
      </c>
      <c r="G1534">
        <v>2</v>
      </c>
      <c r="H1534" s="2">
        <f>Tabla_Items_Inactivos[[#This Row],[EXISTENCIA]]*Tabla_Items_Inactivos[[#This Row],[COSTO]]</f>
        <v>38.76</v>
      </c>
    </row>
    <row r="1535" spans="1:8">
      <c r="A1535" t="s">
        <v>3300</v>
      </c>
      <c r="B1535" t="s">
        <v>4775</v>
      </c>
      <c r="C1535" t="s">
        <v>4776</v>
      </c>
      <c r="D1535" t="s">
        <v>434</v>
      </c>
      <c r="E1535" t="s">
        <v>86</v>
      </c>
      <c r="F1535" s="2">
        <v>25.733000000000001</v>
      </c>
      <c r="G1535">
        <v>1</v>
      </c>
      <c r="H1535" s="2">
        <f>Tabla_Items_Inactivos[[#This Row],[EXISTENCIA]]*Tabla_Items_Inactivos[[#This Row],[COSTO]]</f>
        <v>25.733000000000001</v>
      </c>
    </row>
    <row r="1536" spans="1:8">
      <c r="A1536" t="s">
        <v>3300</v>
      </c>
      <c r="B1536" t="s">
        <v>4777</v>
      </c>
      <c r="C1536" t="s">
        <v>4778</v>
      </c>
      <c r="D1536" t="s">
        <v>436</v>
      </c>
      <c r="E1536" t="s">
        <v>86</v>
      </c>
      <c r="F1536" s="2">
        <v>0.1</v>
      </c>
      <c r="G1536">
        <v>2</v>
      </c>
      <c r="H1536" s="2">
        <f>Tabla_Items_Inactivos[[#This Row],[EXISTENCIA]]*Tabla_Items_Inactivos[[#This Row],[COSTO]]</f>
        <v>0.2</v>
      </c>
    </row>
    <row r="1537" spans="1:8">
      <c r="A1537" t="s">
        <v>3300</v>
      </c>
      <c r="B1537" t="s">
        <v>4779</v>
      </c>
      <c r="C1537" t="s">
        <v>4780</v>
      </c>
      <c r="D1537" t="s">
        <v>85</v>
      </c>
      <c r="E1537" t="s">
        <v>86</v>
      </c>
      <c r="F1537" s="2">
        <v>0</v>
      </c>
      <c r="G1537">
        <v>3</v>
      </c>
      <c r="H1537" s="2">
        <f>Tabla_Items_Inactivos[[#This Row],[EXISTENCIA]]*Tabla_Items_Inactivos[[#This Row],[COSTO]]</f>
        <v>0</v>
      </c>
    </row>
    <row r="1538" spans="1:8">
      <c r="A1538" t="s">
        <v>3301</v>
      </c>
      <c r="B1538" t="s">
        <v>3100</v>
      </c>
      <c r="C1538" t="s">
        <v>4781</v>
      </c>
      <c r="D1538" t="s">
        <v>219</v>
      </c>
      <c r="E1538" t="s">
        <v>86</v>
      </c>
      <c r="F1538" s="2">
        <v>107.9485</v>
      </c>
      <c r="G1538">
        <v>3</v>
      </c>
      <c r="H1538" s="2">
        <f>Tabla_Items_Inactivos[[#This Row],[EXISTENCIA]]*Tabla_Items_Inactivos[[#This Row],[COSTO]]</f>
        <v>323.84550000000002</v>
      </c>
    </row>
    <row r="1539" spans="1:8">
      <c r="A1539" t="s">
        <v>3300</v>
      </c>
      <c r="B1539" t="s">
        <v>3100</v>
      </c>
      <c r="C1539" t="s">
        <v>4781</v>
      </c>
      <c r="D1539" t="s">
        <v>219</v>
      </c>
      <c r="E1539" t="s">
        <v>86</v>
      </c>
      <c r="F1539" s="2">
        <v>107.9485</v>
      </c>
      <c r="G1539">
        <v>3</v>
      </c>
      <c r="H1539" s="2">
        <f>Tabla_Items_Inactivos[[#This Row],[EXISTENCIA]]*Tabla_Items_Inactivos[[#This Row],[COSTO]]</f>
        <v>323.84550000000002</v>
      </c>
    </row>
    <row r="1540" spans="1:8">
      <c r="A1540" t="s">
        <v>3300</v>
      </c>
      <c r="B1540" t="s">
        <v>4782</v>
      </c>
      <c r="C1540" t="s">
        <v>4309</v>
      </c>
      <c r="D1540" t="s">
        <v>85</v>
      </c>
      <c r="E1540" t="s">
        <v>86</v>
      </c>
      <c r="F1540" s="2">
        <v>7.64</v>
      </c>
      <c r="G1540">
        <v>1</v>
      </c>
      <c r="H1540" s="2">
        <f>Tabla_Items_Inactivos[[#This Row],[EXISTENCIA]]*Tabla_Items_Inactivos[[#This Row],[COSTO]]</f>
        <v>7.64</v>
      </c>
    </row>
    <row r="1541" spans="1:8">
      <c r="A1541" t="s">
        <v>3300</v>
      </c>
      <c r="B1541" t="s">
        <v>4783</v>
      </c>
      <c r="C1541" t="s">
        <v>4784</v>
      </c>
      <c r="D1541" t="s">
        <v>436</v>
      </c>
      <c r="E1541" t="s">
        <v>86</v>
      </c>
      <c r="F1541" s="2">
        <v>16.703299999999999</v>
      </c>
      <c r="G1541">
        <v>11</v>
      </c>
      <c r="H1541" s="2">
        <f>Tabla_Items_Inactivos[[#This Row],[EXISTENCIA]]*Tabla_Items_Inactivos[[#This Row],[COSTO]]</f>
        <v>183.73629999999997</v>
      </c>
    </row>
    <row r="1542" spans="1:8">
      <c r="A1542" t="s">
        <v>3300</v>
      </c>
      <c r="B1542" t="s">
        <v>3101</v>
      </c>
      <c r="C1542" t="s">
        <v>4785</v>
      </c>
      <c r="D1542" t="s">
        <v>85</v>
      </c>
      <c r="E1542" t="s">
        <v>86</v>
      </c>
      <c r="F1542" s="2">
        <v>14.47</v>
      </c>
      <c r="G1542">
        <v>6</v>
      </c>
      <c r="H1542" s="2">
        <f>Tabla_Items_Inactivos[[#This Row],[EXISTENCIA]]*Tabla_Items_Inactivos[[#This Row],[COSTO]]</f>
        <v>86.820000000000007</v>
      </c>
    </row>
    <row r="1543" spans="1:8">
      <c r="A1543" t="s">
        <v>3300</v>
      </c>
      <c r="B1543" t="s">
        <v>3102</v>
      </c>
      <c r="C1543" t="s">
        <v>3103</v>
      </c>
      <c r="D1543" t="s">
        <v>85</v>
      </c>
      <c r="E1543" t="s">
        <v>86</v>
      </c>
      <c r="F1543" s="2">
        <v>21.328199999999999</v>
      </c>
      <c r="G1543">
        <v>15</v>
      </c>
      <c r="H1543" s="2">
        <f>Tabla_Items_Inactivos[[#This Row],[EXISTENCIA]]*Tabla_Items_Inactivos[[#This Row],[COSTO]]</f>
        <v>319.923</v>
      </c>
    </row>
    <row r="1544" spans="1:8">
      <c r="A1544" t="s">
        <v>3301</v>
      </c>
      <c r="B1544" t="s">
        <v>3102</v>
      </c>
      <c r="C1544" t="s">
        <v>3103</v>
      </c>
      <c r="D1544" t="s">
        <v>85</v>
      </c>
      <c r="E1544" t="s">
        <v>86</v>
      </c>
      <c r="F1544" s="2">
        <v>21.328199999999999</v>
      </c>
      <c r="G1544">
        <v>15</v>
      </c>
      <c r="H1544" s="2">
        <f>Tabla_Items_Inactivos[[#This Row],[EXISTENCIA]]*Tabla_Items_Inactivos[[#This Row],[COSTO]]</f>
        <v>319.923</v>
      </c>
    </row>
    <row r="1545" spans="1:8">
      <c r="A1545" t="s">
        <v>3300</v>
      </c>
      <c r="B1545" t="s">
        <v>4786</v>
      </c>
      <c r="C1545" t="s">
        <v>2474</v>
      </c>
      <c r="D1545" t="s">
        <v>85</v>
      </c>
      <c r="E1545" t="s">
        <v>86</v>
      </c>
      <c r="F1545" s="2">
        <v>13.313000000000001</v>
      </c>
      <c r="G1545">
        <v>6</v>
      </c>
      <c r="H1545" s="2">
        <f>Tabla_Items_Inactivos[[#This Row],[EXISTENCIA]]*Tabla_Items_Inactivos[[#This Row],[COSTO]]</f>
        <v>79.878</v>
      </c>
    </row>
    <row r="1546" spans="1:8">
      <c r="A1546" t="s">
        <v>3300</v>
      </c>
      <c r="B1546" t="s">
        <v>3104</v>
      </c>
      <c r="C1546" t="s">
        <v>3105</v>
      </c>
      <c r="D1546" t="s">
        <v>85</v>
      </c>
      <c r="E1546" t="s">
        <v>86</v>
      </c>
      <c r="F1546" s="2">
        <v>19.068999999999999</v>
      </c>
      <c r="G1546">
        <v>4</v>
      </c>
      <c r="H1546" s="2">
        <f>Tabla_Items_Inactivos[[#This Row],[EXISTENCIA]]*Tabla_Items_Inactivos[[#This Row],[COSTO]]</f>
        <v>76.275999999999996</v>
      </c>
    </row>
    <row r="1547" spans="1:8">
      <c r="A1547" t="s">
        <v>3300</v>
      </c>
      <c r="B1547" t="s">
        <v>4787</v>
      </c>
      <c r="C1547" t="s">
        <v>4788</v>
      </c>
      <c r="D1547" t="s">
        <v>85</v>
      </c>
      <c r="E1547" t="s">
        <v>86</v>
      </c>
      <c r="F1547" s="2">
        <v>38.0047</v>
      </c>
      <c r="G1547">
        <v>9</v>
      </c>
      <c r="H1547" s="2">
        <f>Tabla_Items_Inactivos[[#This Row],[EXISTENCIA]]*Tabla_Items_Inactivos[[#This Row],[COSTO]]</f>
        <v>342.04230000000001</v>
      </c>
    </row>
    <row r="1548" spans="1:8">
      <c r="A1548" t="s">
        <v>3301</v>
      </c>
      <c r="B1548" t="s">
        <v>4787</v>
      </c>
      <c r="C1548" t="s">
        <v>4788</v>
      </c>
      <c r="D1548" t="s">
        <v>85</v>
      </c>
      <c r="E1548" t="s">
        <v>86</v>
      </c>
      <c r="F1548" s="2">
        <v>38.0047</v>
      </c>
      <c r="G1548">
        <v>9</v>
      </c>
      <c r="H1548" s="2">
        <f>Tabla_Items_Inactivos[[#This Row],[EXISTENCIA]]*Tabla_Items_Inactivos[[#This Row],[COSTO]]</f>
        <v>342.04230000000001</v>
      </c>
    </row>
    <row r="1549" spans="1:8">
      <c r="A1549" t="s">
        <v>3300</v>
      </c>
      <c r="B1549" t="s">
        <v>495</v>
      </c>
      <c r="C1549" t="s">
        <v>4789</v>
      </c>
      <c r="D1549" t="s">
        <v>219</v>
      </c>
      <c r="E1549" t="s">
        <v>86</v>
      </c>
      <c r="F1549" s="2">
        <v>26.086600000000001</v>
      </c>
      <c r="G1549">
        <v>23</v>
      </c>
      <c r="H1549" s="2">
        <f>Tabla_Items_Inactivos[[#This Row],[EXISTENCIA]]*Tabla_Items_Inactivos[[#This Row],[COSTO]]</f>
        <v>599.99180000000001</v>
      </c>
    </row>
    <row r="1550" spans="1:8">
      <c r="A1550" t="s">
        <v>3301</v>
      </c>
      <c r="B1550" t="s">
        <v>495</v>
      </c>
      <c r="C1550" t="s">
        <v>4789</v>
      </c>
      <c r="D1550" t="s">
        <v>219</v>
      </c>
      <c r="E1550" t="s">
        <v>86</v>
      </c>
      <c r="F1550" s="2">
        <v>26.086600000000001</v>
      </c>
      <c r="G1550">
        <v>23</v>
      </c>
      <c r="H1550" s="2">
        <f>Tabla_Items_Inactivos[[#This Row],[EXISTENCIA]]*Tabla_Items_Inactivos[[#This Row],[COSTO]]</f>
        <v>599.99180000000001</v>
      </c>
    </row>
    <row r="1551" spans="1:8">
      <c r="A1551" t="s">
        <v>3301</v>
      </c>
      <c r="B1551" t="s">
        <v>496</v>
      </c>
      <c r="C1551" t="s">
        <v>4790</v>
      </c>
      <c r="D1551" t="s">
        <v>219</v>
      </c>
      <c r="E1551" t="s">
        <v>86</v>
      </c>
      <c r="F1551" s="2">
        <v>31.233699999999999</v>
      </c>
      <c r="G1551">
        <v>11</v>
      </c>
      <c r="H1551" s="2">
        <f>Tabla_Items_Inactivos[[#This Row],[EXISTENCIA]]*Tabla_Items_Inactivos[[#This Row],[COSTO]]</f>
        <v>343.57069999999999</v>
      </c>
    </row>
    <row r="1552" spans="1:8">
      <c r="A1552" t="s">
        <v>3300</v>
      </c>
      <c r="B1552" t="s">
        <v>496</v>
      </c>
      <c r="C1552" t="s">
        <v>4790</v>
      </c>
      <c r="D1552" t="s">
        <v>219</v>
      </c>
      <c r="E1552" t="s">
        <v>86</v>
      </c>
      <c r="F1552" s="2">
        <v>31.233699999999999</v>
      </c>
      <c r="G1552">
        <v>11</v>
      </c>
      <c r="H1552" s="2">
        <f>Tabla_Items_Inactivos[[#This Row],[EXISTENCIA]]*Tabla_Items_Inactivos[[#This Row],[COSTO]]</f>
        <v>343.57069999999999</v>
      </c>
    </row>
    <row r="1553" spans="1:8">
      <c r="A1553" t="s">
        <v>3300</v>
      </c>
      <c r="B1553" t="s">
        <v>4791</v>
      </c>
      <c r="C1553" t="s">
        <v>4792</v>
      </c>
      <c r="D1553" t="s">
        <v>85</v>
      </c>
      <c r="E1553" t="s">
        <v>86</v>
      </c>
      <c r="F1553" s="2">
        <v>32.06</v>
      </c>
      <c r="G1553">
        <v>3</v>
      </c>
      <c r="H1553" s="2">
        <f>Tabla_Items_Inactivos[[#This Row],[EXISTENCIA]]*Tabla_Items_Inactivos[[#This Row],[COSTO]]</f>
        <v>96.18</v>
      </c>
    </row>
    <row r="1554" spans="1:8">
      <c r="A1554" t="s">
        <v>3300</v>
      </c>
      <c r="B1554" t="s">
        <v>4793</v>
      </c>
      <c r="C1554" t="s">
        <v>4794</v>
      </c>
      <c r="D1554" t="s">
        <v>85</v>
      </c>
      <c r="E1554" t="s">
        <v>86</v>
      </c>
      <c r="F1554" s="2">
        <v>19.840299999999999</v>
      </c>
      <c r="G1554">
        <v>27</v>
      </c>
      <c r="H1554" s="2">
        <f>Tabla_Items_Inactivos[[#This Row],[EXISTENCIA]]*Tabla_Items_Inactivos[[#This Row],[COSTO]]</f>
        <v>535.68809999999996</v>
      </c>
    </row>
    <row r="1555" spans="1:8">
      <c r="A1555" t="s">
        <v>3301</v>
      </c>
      <c r="B1555" t="s">
        <v>4793</v>
      </c>
      <c r="C1555" t="s">
        <v>4794</v>
      </c>
      <c r="D1555" t="s">
        <v>85</v>
      </c>
      <c r="E1555" t="s">
        <v>86</v>
      </c>
      <c r="F1555" s="2">
        <v>19.840299999999999</v>
      </c>
      <c r="G1555">
        <v>27</v>
      </c>
      <c r="H1555" s="2">
        <f>Tabla_Items_Inactivos[[#This Row],[EXISTENCIA]]*Tabla_Items_Inactivos[[#This Row],[COSTO]]</f>
        <v>535.68809999999996</v>
      </c>
    </row>
    <row r="1556" spans="1:8">
      <c r="A1556" t="s">
        <v>3300</v>
      </c>
      <c r="B1556" t="s">
        <v>4795</v>
      </c>
      <c r="C1556" t="s">
        <v>4796</v>
      </c>
      <c r="D1556" t="s">
        <v>3819</v>
      </c>
      <c r="E1556" t="s">
        <v>86</v>
      </c>
      <c r="F1556" s="2">
        <v>2.6042999999999998</v>
      </c>
      <c r="G1556">
        <v>57</v>
      </c>
      <c r="H1556" s="2">
        <f>Tabla_Items_Inactivos[[#This Row],[EXISTENCIA]]*Tabla_Items_Inactivos[[#This Row],[COSTO]]</f>
        <v>148.4451</v>
      </c>
    </row>
    <row r="1557" spans="1:8">
      <c r="A1557" t="s">
        <v>3300</v>
      </c>
      <c r="B1557" t="s">
        <v>4797</v>
      </c>
      <c r="C1557" t="s">
        <v>4798</v>
      </c>
      <c r="D1557" t="s">
        <v>85</v>
      </c>
      <c r="E1557" t="s">
        <v>86</v>
      </c>
      <c r="F1557" s="2">
        <v>33.423999999999999</v>
      </c>
      <c r="G1557">
        <v>4</v>
      </c>
      <c r="H1557" s="2">
        <f>Tabla_Items_Inactivos[[#This Row],[EXISTENCIA]]*Tabla_Items_Inactivos[[#This Row],[COSTO]]</f>
        <v>133.696</v>
      </c>
    </row>
    <row r="1558" spans="1:8">
      <c r="A1558" t="s">
        <v>3300</v>
      </c>
      <c r="B1558" t="s">
        <v>4799</v>
      </c>
      <c r="C1558" t="s">
        <v>4800</v>
      </c>
      <c r="D1558" t="s">
        <v>85</v>
      </c>
      <c r="E1558" t="s">
        <v>86</v>
      </c>
      <c r="F1558" s="2">
        <v>17.062999999999999</v>
      </c>
      <c r="G1558">
        <v>14</v>
      </c>
      <c r="H1558" s="2">
        <f>Tabla_Items_Inactivos[[#This Row],[EXISTENCIA]]*Tabla_Items_Inactivos[[#This Row],[COSTO]]</f>
        <v>238.88199999999998</v>
      </c>
    </row>
    <row r="1559" spans="1:8">
      <c r="A1559" t="s">
        <v>3300</v>
      </c>
      <c r="B1559" t="s">
        <v>4801</v>
      </c>
      <c r="C1559" t="s">
        <v>4802</v>
      </c>
      <c r="D1559" t="s">
        <v>410</v>
      </c>
      <c r="E1559" t="s">
        <v>86</v>
      </c>
      <c r="F1559" s="2">
        <v>20.824999999999999</v>
      </c>
      <c r="G1559">
        <v>1</v>
      </c>
      <c r="H1559" s="2">
        <f>Tabla_Items_Inactivos[[#This Row],[EXISTENCIA]]*Tabla_Items_Inactivos[[#This Row],[COSTO]]</f>
        <v>20.824999999999999</v>
      </c>
    </row>
    <row r="1560" spans="1:8">
      <c r="A1560" t="s">
        <v>3300</v>
      </c>
      <c r="B1560" t="s">
        <v>4803</v>
      </c>
      <c r="C1560" t="s">
        <v>4804</v>
      </c>
      <c r="D1560" t="s">
        <v>85</v>
      </c>
      <c r="E1560" t="s">
        <v>86</v>
      </c>
      <c r="F1560" s="2">
        <v>27.55</v>
      </c>
      <c r="G1560">
        <v>3</v>
      </c>
      <c r="H1560" s="2">
        <f>Tabla_Items_Inactivos[[#This Row],[EXISTENCIA]]*Tabla_Items_Inactivos[[#This Row],[COSTO]]</f>
        <v>82.65</v>
      </c>
    </row>
    <row r="1561" spans="1:8">
      <c r="A1561" t="s">
        <v>3300</v>
      </c>
      <c r="B1561" t="s">
        <v>4805</v>
      </c>
      <c r="C1561" t="s">
        <v>4806</v>
      </c>
      <c r="D1561" t="s">
        <v>85</v>
      </c>
      <c r="E1561" t="s">
        <v>86</v>
      </c>
      <c r="F1561" s="2">
        <v>2.2395999999999998</v>
      </c>
      <c r="G1561">
        <v>23</v>
      </c>
      <c r="H1561" s="2">
        <f>Tabla_Items_Inactivos[[#This Row],[EXISTENCIA]]*Tabla_Items_Inactivos[[#This Row],[COSTO]]</f>
        <v>51.510799999999996</v>
      </c>
    </row>
    <row r="1562" spans="1:8">
      <c r="A1562" t="s">
        <v>3301</v>
      </c>
      <c r="B1562" t="s">
        <v>4805</v>
      </c>
      <c r="C1562" t="s">
        <v>4806</v>
      </c>
      <c r="D1562" t="s">
        <v>85</v>
      </c>
      <c r="E1562" t="s">
        <v>86</v>
      </c>
      <c r="F1562" s="2">
        <v>2.2395999999999998</v>
      </c>
      <c r="G1562">
        <v>23</v>
      </c>
      <c r="H1562" s="2">
        <f>Tabla_Items_Inactivos[[#This Row],[EXISTENCIA]]*Tabla_Items_Inactivos[[#This Row],[COSTO]]</f>
        <v>51.510799999999996</v>
      </c>
    </row>
    <row r="1563" spans="1:8">
      <c r="A1563" t="s">
        <v>3300</v>
      </c>
      <c r="B1563" t="s">
        <v>4807</v>
      </c>
      <c r="C1563" t="s">
        <v>4808</v>
      </c>
      <c r="D1563" t="s">
        <v>219</v>
      </c>
      <c r="E1563" t="s">
        <v>86</v>
      </c>
      <c r="F1563" s="2">
        <v>60.452500000000001</v>
      </c>
      <c r="G1563">
        <v>3</v>
      </c>
      <c r="H1563" s="2">
        <f>Tabla_Items_Inactivos[[#This Row],[EXISTENCIA]]*Tabla_Items_Inactivos[[#This Row],[COSTO]]</f>
        <v>181.35750000000002</v>
      </c>
    </row>
    <row r="1564" spans="1:8">
      <c r="A1564" t="s">
        <v>3301</v>
      </c>
      <c r="B1564" t="s">
        <v>4807</v>
      </c>
      <c r="C1564" t="s">
        <v>4808</v>
      </c>
      <c r="D1564" t="s">
        <v>219</v>
      </c>
      <c r="E1564" t="s">
        <v>86</v>
      </c>
      <c r="F1564" s="2">
        <v>60.452500000000001</v>
      </c>
      <c r="G1564">
        <v>3</v>
      </c>
      <c r="H1564" s="2">
        <f>Tabla_Items_Inactivos[[#This Row],[EXISTENCIA]]*Tabla_Items_Inactivos[[#This Row],[COSTO]]</f>
        <v>181.35750000000002</v>
      </c>
    </row>
    <row r="1565" spans="1:8">
      <c r="A1565" t="s">
        <v>3301</v>
      </c>
      <c r="B1565" t="s">
        <v>4809</v>
      </c>
      <c r="C1565" t="s">
        <v>4810</v>
      </c>
      <c r="D1565" t="s">
        <v>85</v>
      </c>
      <c r="E1565" t="s">
        <v>86</v>
      </c>
      <c r="F1565" s="2">
        <v>9.6579999999999995</v>
      </c>
      <c r="G1565">
        <v>2</v>
      </c>
      <c r="H1565" s="2">
        <f>Tabla_Items_Inactivos[[#This Row],[EXISTENCIA]]*Tabla_Items_Inactivos[[#This Row],[COSTO]]</f>
        <v>19.315999999999999</v>
      </c>
    </row>
    <row r="1566" spans="1:8">
      <c r="A1566" t="s">
        <v>3300</v>
      </c>
      <c r="B1566" t="s">
        <v>4809</v>
      </c>
      <c r="C1566" t="s">
        <v>4810</v>
      </c>
      <c r="D1566" t="s">
        <v>85</v>
      </c>
      <c r="E1566" t="s">
        <v>86</v>
      </c>
      <c r="F1566" s="2">
        <v>9.6579999999999995</v>
      </c>
      <c r="G1566">
        <v>2</v>
      </c>
      <c r="H1566" s="2">
        <f>Tabla_Items_Inactivos[[#This Row],[EXISTENCIA]]*Tabla_Items_Inactivos[[#This Row],[COSTO]]</f>
        <v>19.315999999999999</v>
      </c>
    </row>
    <row r="1567" spans="1:8">
      <c r="A1567" t="s">
        <v>3300</v>
      </c>
      <c r="B1567" t="s">
        <v>4811</v>
      </c>
      <c r="C1567" t="s">
        <v>4812</v>
      </c>
      <c r="D1567" t="s">
        <v>85</v>
      </c>
      <c r="E1567" t="s">
        <v>86</v>
      </c>
      <c r="F1567" s="2">
        <v>19.350000000000001</v>
      </c>
      <c r="G1567">
        <v>5</v>
      </c>
      <c r="H1567" s="2">
        <f>Tabla_Items_Inactivos[[#This Row],[EXISTENCIA]]*Tabla_Items_Inactivos[[#This Row],[COSTO]]</f>
        <v>96.75</v>
      </c>
    </row>
    <row r="1568" spans="1:8">
      <c r="A1568" t="s">
        <v>3300</v>
      </c>
      <c r="B1568" t="s">
        <v>4813</v>
      </c>
      <c r="C1568" t="s">
        <v>4814</v>
      </c>
      <c r="D1568" t="s">
        <v>85</v>
      </c>
      <c r="E1568" t="s">
        <v>86</v>
      </c>
      <c r="F1568" s="2">
        <v>34.347999999999999</v>
      </c>
      <c r="G1568">
        <v>2</v>
      </c>
      <c r="H1568" s="2">
        <f>Tabla_Items_Inactivos[[#This Row],[EXISTENCIA]]*Tabla_Items_Inactivos[[#This Row],[COSTO]]</f>
        <v>68.695999999999998</v>
      </c>
    </row>
    <row r="1569" spans="1:8">
      <c r="A1569" t="s">
        <v>3300</v>
      </c>
      <c r="B1569" t="s">
        <v>497</v>
      </c>
      <c r="C1569" t="s">
        <v>4815</v>
      </c>
      <c r="D1569" t="s">
        <v>85</v>
      </c>
      <c r="E1569" t="s">
        <v>86</v>
      </c>
      <c r="F1569" s="2">
        <v>30.3</v>
      </c>
      <c r="G1569">
        <v>6</v>
      </c>
      <c r="H1569" s="2">
        <f>Tabla_Items_Inactivos[[#This Row],[EXISTENCIA]]*Tabla_Items_Inactivos[[#This Row],[COSTO]]</f>
        <v>181.8</v>
      </c>
    </row>
    <row r="1570" spans="1:8">
      <c r="A1570" t="s">
        <v>3300</v>
      </c>
      <c r="B1570" t="s">
        <v>498</v>
      </c>
      <c r="C1570" t="s">
        <v>499</v>
      </c>
      <c r="D1570" t="s">
        <v>85</v>
      </c>
      <c r="E1570" t="s">
        <v>86</v>
      </c>
      <c r="F1570" s="2">
        <v>11.5708</v>
      </c>
      <c r="G1570">
        <v>15</v>
      </c>
      <c r="H1570" s="2">
        <f>Tabla_Items_Inactivos[[#This Row],[EXISTENCIA]]*Tabla_Items_Inactivos[[#This Row],[COSTO]]</f>
        <v>173.56200000000001</v>
      </c>
    </row>
    <row r="1571" spans="1:8">
      <c r="A1571" t="s">
        <v>3300</v>
      </c>
      <c r="B1571" t="s">
        <v>4816</v>
      </c>
      <c r="C1571" t="s">
        <v>4817</v>
      </c>
      <c r="D1571" t="s">
        <v>85</v>
      </c>
      <c r="E1571" t="s">
        <v>86</v>
      </c>
      <c r="F1571" s="2">
        <v>52.808100000000003</v>
      </c>
      <c r="G1571">
        <v>3</v>
      </c>
      <c r="H1571" s="2">
        <f>Tabla_Items_Inactivos[[#This Row],[EXISTENCIA]]*Tabla_Items_Inactivos[[#This Row],[COSTO]]</f>
        <v>158.42430000000002</v>
      </c>
    </row>
    <row r="1572" spans="1:8">
      <c r="A1572" t="s">
        <v>3301</v>
      </c>
      <c r="B1572" t="s">
        <v>4816</v>
      </c>
      <c r="C1572" t="s">
        <v>4817</v>
      </c>
      <c r="D1572" t="s">
        <v>85</v>
      </c>
      <c r="E1572" t="s">
        <v>86</v>
      </c>
      <c r="F1572" s="2">
        <v>52.808100000000003</v>
      </c>
      <c r="G1572">
        <v>3</v>
      </c>
      <c r="H1572" s="2">
        <f>Tabla_Items_Inactivos[[#This Row],[EXISTENCIA]]*Tabla_Items_Inactivos[[#This Row],[COSTO]]</f>
        <v>158.42430000000002</v>
      </c>
    </row>
    <row r="1573" spans="1:8">
      <c r="A1573" t="s">
        <v>3300</v>
      </c>
      <c r="B1573" t="s">
        <v>4818</v>
      </c>
      <c r="C1573" t="s">
        <v>4819</v>
      </c>
      <c r="D1573" t="s">
        <v>219</v>
      </c>
      <c r="E1573" t="s">
        <v>86</v>
      </c>
      <c r="F1573" s="2">
        <v>92.31</v>
      </c>
      <c r="G1573">
        <v>4</v>
      </c>
      <c r="H1573" s="2">
        <f>Tabla_Items_Inactivos[[#This Row],[EXISTENCIA]]*Tabla_Items_Inactivos[[#This Row],[COSTO]]</f>
        <v>369.24</v>
      </c>
    </row>
    <row r="1574" spans="1:8">
      <c r="A1574" t="s">
        <v>3300</v>
      </c>
      <c r="B1574" t="s">
        <v>4820</v>
      </c>
      <c r="C1574" t="s">
        <v>4821</v>
      </c>
      <c r="D1574" t="s">
        <v>85</v>
      </c>
      <c r="E1574" t="s">
        <v>86</v>
      </c>
      <c r="F1574" s="2">
        <v>22.67</v>
      </c>
      <c r="G1574">
        <v>5</v>
      </c>
      <c r="H1574" s="2">
        <f>Tabla_Items_Inactivos[[#This Row],[EXISTENCIA]]*Tabla_Items_Inactivos[[#This Row],[COSTO]]</f>
        <v>113.35000000000001</v>
      </c>
    </row>
    <row r="1575" spans="1:8">
      <c r="A1575" t="s">
        <v>3300</v>
      </c>
      <c r="B1575" t="s">
        <v>4822</v>
      </c>
      <c r="C1575" t="s">
        <v>4823</v>
      </c>
      <c r="D1575" t="s">
        <v>85</v>
      </c>
      <c r="E1575" t="s">
        <v>86</v>
      </c>
      <c r="F1575" s="2">
        <v>2.6059000000000001</v>
      </c>
      <c r="G1575">
        <v>22</v>
      </c>
      <c r="H1575" s="2">
        <f>Tabla_Items_Inactivos[[#This Row],[EXISTENCIA]]*Tabla_Items_Inactivos[[#This Row],[COSTO]]</f>
        <v>57.329800000000006</v>
      </c>
    </row>
    <row r="1576" spans="1:8">
      <c r="A1576" t="s">
        <v>3300</v>
      </c>
      <c r="B1576" t="s">
        <v>500</v>
      </c>
      <c r="C1576" t="s">
        <v>501</v>
      </c>
      <c r="D1576" t="s">
        <v>85</v>
      </c>
      <c r="E1576" t="s">
        <v>86</v>
      </c>
      <c r="F1576" s="2">
        <v>0.84299999999999997</v>
      </c>
      <c r="G1576">
        <v>28</v>
      </c>
      <c r="H1576" s="2">
        <f>Tabla_Items_Inactivos[[#This Row],[EXISTENCIA]]*Tabla_Items_Inactivos[[#This Row],[COSTO]]</f>
        <v>23.603999999999999</v>
      </c>
    </row>
    <row r="1577" spans="1:8">
      <c r="A1577" t="s">
        <v>3301</v>
      </c>
      <c r="B1577" t="s">
        <v>4824</v>
      </c>
      <c r="C1577" t="s">
        <v>4825</v>
      </c>
      <c r="D1577" t="s">
        <v>85</v>
      </c>
      <c r="E1577" t="s">
        <v>86</v>
      </c>
      <c r="F1577" s="2">
        <v>0.26910000000000001</v>
      </c>
      <c r="G1577">
        <v>64</v>
      </c>
      <c r="H1577" s="2">
        <f>Tabla_Items_Inactivos[[#This Row],[EXISTENCIA]]*Tabla_Items_Inactivos[[#This Row],[COSTO]]</f>
        <v>17.2224</v>
      </c>
    </row>
    <row r="1578" spans="1:8">
      <c r="A1578" t="s">
        <v>3300</v>
      </c>
      <c r="B1578" t="s">
        <v>4824</v>
      </c>
      <c r="C1578" t="s">
        <v>4825</v>
      </c>
      <c r="D1578" t="s">
        <v>85</v>
      </c>
      <c r="E1578" t="s">
        <v>86</v>
      </c>
      <c r="F1578" s="2">
        <v>0.26910000000000001</v>
      </c>
      <c r="G1578">
        <v>64</v>
      </c>
      <c r="H1578" s="2">
        <f>Tabla_Items_Inactivos[[#This Row],[EXISTENCIA]]*Tabla_Items_Inactivos[[#This Row],[COSTO]]</f>
        <v>17.2224</v>
      </c>
    </row>
    <row r="1579" spans="1:8">
      <c r="A1579" t="s">
        <v>3300</v>
      </c>
      <c r="B1579" t="s">
        <v>502</v>
      </c>
      <c r="C1579" t="s">
        <v>4826</v>
      </c>
      <c r="D1579" t="s">
        <v>85</v>
      </c>
      <c r="E1579" t="s">
        <v>86</v>
      </c>
      <c r="F1579" s="2">
        <v>12.313000000000001</v>
      </c>
      <c r="G1579">
        <v>8</v>
      </c>
      <c r="H1579" s="2">
        <f>Tabla_Items_Inactivos[[#This Row],[EXISTENCIA]]*Tabla_Items_Inactivos[[#This Row],[COSTO]]</f>
        <v>98.504000000000005</v>
      </c>
    </row>
    <row r="1580" spans="1:8">
      <c r="A1580" t="s">
        <v>3300</v>
      </c>
      <c r="B1580" t="s">
        <v>504</v>
      </c>
      <c r="C1580" t="s">
        <v>505</v>
      </c>
      <c r="D1580" t="s">
        <v>85</v>
      </c>
      <c r="E1580" t="s">
        <v>86</v>
      </c>
      <c r="F1580" s="2">
        <v>0.46700000000000003</v>
      </c>
      <c r="G1580">
        <v>24</v>
      </c>
      <c r="H1580" s="2">
        <f>Tabla_Items_Inactivos[[#This Row],[EXISTENCIA]]*Tabla_Items_Inactivos[[#This Row],[COSTO]]</f>
        <v>11.208</v>
      </c>
    </row>
    <row r="1581" spans="1:8">
      <c r="A1581" t="s">
        <v>3300</v>
      </c>
      <c r="B1581" t="s">
        <v>4827</v>
      </c>
      <c r="C1581" t="s">
        <v>4828</v>
      </c>
      <c r="D1581" t="s">
        <v>85</v>
      </c>
      <c r="E1581" t="s">
        <v>86</v>
      </c>
      <c r="F1581" s="2">
        <v>11.5687</v>
      </c>
      <c r="G1581">
        <v>60</v>
      </c>
      <c r="H1581" s="2">
        <f>Tabla_Items_Inactivos[[#This Row],[EXISTENCIA]]*Tabla_Items_Inactivos[[#This Row],[COSTO]]</f>
        <v>694.12199999999996</v>
      </c>
    </row>
    <row r="1582" spans="1:8">
      <c r="A1582" t="s">
        <v>3300</v>
      </c>
      <c r="B1582" t="s">
        <v>506</v>
      </c>
      <c r="C1582" t="s">
        <v>507</v>
      </c>
      <c r="D1582" t="s">
        <v>85</v>
      </c>
      <c r="E1582" t="s">
        <v>86</v>
      </c>
      <c r="F1582" s="2">
        <v>2.4495</v>
      </c>
      <c r="G1582">
        <v>8</v>
      </c>
      <c r="H1582" s="2">
        <f>Tabla_Items_Inactivos[[#This Row],[EXISTENCIA]]*Tabla_Items_Inactivos[[#This Row],[COSTO]]</f>
        <v>19.596</v>
      </c>
    </row>
    <row r="1583" spans="1:8">
      <c r="A1583" t="s">
        <v>3300</v>
      </c>
      <c r="B1583" t="s">
        <v>3106</v>
      </c>
      <c r="C1583" t="s">
        <v>3107</v>
      </c>
      <c r="D1583" t="s">
        <v>85</v>
      </c>
      <c r="E1583" t="s">
        <v>86</v>
      </c>
      <c r="F1583" s="2">
        <v>31.728000000000002</v>
      </c>
      <c r="G1583">
        <v>3</v>
      </c>
      <c r="H1583" s="2">
        <f>Tabla_Items_Inactivos[[#This Row],[EXISTENCIA]]*Tabla_Items_Inactivos[[#This Row],[COSTO]]</f>
        <v>95.183999999999997</v>
      </c>
    </row>
    <row r="1584" spans="1:8">
      <c r="A1584" t="s">
        <v>3300</v>
      </c>
      <c r="B1584" t="s">
        <v>4829</v>
      </c>
      <c r="C1584" t="s">
        <v>4830</v>
      </c>
      <c r="D1584" t="s">
        <v>85</v>
      </c>
      <c r="E1584" t="s">
        <v>86</v>
      </c>
      <c r="F1584" s="2">
        <v>7.9572000000000003</v>
      </c>
      <c r="G1584">
        <v>36</v>
      </c>
      <c r="H1584" s="2">
        <f>Tabla_Items_Inactivos[[#This Row],[EXISTENCIA]]*Tabla_Items_Inactivos[[#This Row],[COSTO]]</f>
        <v>286.45920000000001</v>
      </c>
    </row>
    <row r="1585" spans="1:8">
      <c r="A1585" t="s">
        <v>3300</v>
      </c>
      <c r="B1585" t="s">
        <v>508</v>
      </c>
      <c r="C1585" t="s">
        <v>509</v>
      </c>
      <c r="D1585" t="s">
        <v>85</v>
      </c>
      <c r="E1585" t="s">
        <v>86</v>
      </c>
      <c r="F1585" s="2">
        <v>7.468</v>
      </c>
      <c r="G1585">
        <v>4</v>
      </c>
      <c r="H1585" s="2">
        <f>Tabla_Items_Inactivos[[#This Row],[EXISTENCIA]]*Tabla_Items_Inactivos[[#This Row],[COSTO]]</f>
        <v>29.872</v>
      </c>
    </row>
    <row r="1586" spans="1:8">
      <c r="A1586" t="s">
        <v>3300</v>
      </c>
      <c r="B1586" t="s">
        <v>4831</v>
      </c>
      <c r="C1586" t="s">
        <v>4832</v>
      </c>
      <c r="D1586" t="s">
        <v>85</v>
      </c>
      <c r="E1586" t="s">
        <v>86</v>
      </c>
      <c r="F1586" s="2">
        <v>2.9769999999999999</v>
      </c>
      <c r="G1586">
        <v>173</v>
      </c>
      <c r="H1586" s="2">
        <f>Tabla_Items_Inactivos[[#This Row],[EXISTENCIA]]*Tabla_Items_Inactivos[[#This Row],[COSTO]]</f>
        <v>515.02099999999996</v>
      </c>
    </row>
    <row r="1587" spans="1:8">
      <c r="A1587" t="s">
        <v>3300</v>
      </c>
      <c r="B1587" t="s">
        <v>4833</v>
      </c>
      <c r="C1587" t="s">
        <v>4834</v>
      </c>
      <c r="D1587" t="s">
        <v>85</v>
      </c>
      <c r="E1587" t="s">
        <v>86</v>
      </c>
      <c r="F1587" s="2">
        <v>1.1299999999999999</v>
      </c>
      <c r="G1587">
        <v>26</v>
      </c>
      <c r="H1587" s="2">
        <f>Tabla_Items_Inactivos[[#This Row],[EXISTENCIA]]*Tabla_Items_Inactivos[[#This Row],[COSTO]]</f>
        <v>29.379999999999995</v>
      </c>
    </row>
    <row r="1588" spans="1:8">
      <c r="A1588" t="s">
        <v>3299</v>
      </c>
      <c r="B1588" t="s">
        <v>4835</v>
      </c>
      <c r="C1588" t="s">
        <v>4836</v>
      </c>
      <c r="D1588" t="s">
        <v>85</v>
      </c>
      <c r="E1588" t="s">
        <v>86</v>
      </c>
      <c r="F1588" s="2">
        <v>88.183099999999996</v>
      </c>
      <c r="G1588">
        <v>7</v>
      </c>
      <c r="H1588" s="2">
        <f>Tabla_Items_Inactivos[[#This Row],[EXISTENCIA]]*Tabla_Items_Inactivos[[#This Row],[COSTO]]</f>
        <v>617.2817</v>
      </c>
    </row>
    <row r="1589" spans="1:8">
      <c r="A1589" t="s">
        <v>3300</v>
      </c>
      <c r="B1589" t="s">
        <v>4835</v>
      </c>
      <c r="C1589" t="s">
        <v>4836</v>
      </c>
      <c r="D1589" t="s">
        <v>85</v>
      </c>
      <c r="E1589" t="s">
        <v>86</v>
      </c>
      <c r="F1589" s="2">
        <v>88.183099999999996</v>
      </c>
      <c r="G1589">
        <v>7</v>
      </c>
      <c r="H1589" s="2">
        <f>Tabla_Items_Inactivos[[#This Row],[EXISTENCIA]]*Tabla_Items_Inactivos[[#This Row],[COSTO]]</f>
        <v>617.2817</v>
      </c>
    </row>
    <row r="1590" spans="1:8">
      <c r="A1590" t="s">
        <v>3300</v>
      </c>
      <c r="B1590" t="s">
        <v>4837</v>
      </c>
      <c r="C1590" t="s">
        <v>4838</v>
      </c>
      <c r="D1590" t="s">
        <v>85</v>
      </c>
      <c r="E1590" t="s">
        <v>86</v>
      </c>
      <c r="F1590" s="2">
        <v>0.24</v>
      </c>
      <c r="G1590">
        <v>50</v>
      </c>
      <c r="H1590" s="2">
        <f>Tabla_Items_Inactivos[[#This Row],[EXISTENCIA]]*Tabla_Items_Inactivos[[#This Row],[COSTO]]</f>
        <v>12</v>
      </c>
    </row>
    <row r="1591" spans="1:8">
      <c r="A1591" t="s">
        <v>3300</v>
      </c>
      <c r="B1591" t="s">
        <v>4839</v>
      </c>
      <c r="C1591" t="s">
        <v>4840</v>
      </c>
      <c r="D1591" t="s">
        <v>85</v>
      </c>
      <c r="E1591" t="s">
        <v>86</v>
      </c>
      <c r="F1591" s="2">
        <v>0.22</v>
      </c>
      <c r="G1591">
        <v>25</v>
      </c>
      <c r="H1591" s="2">
        <f>Tabla_Items_Inactivos[[#This Row],[EXISTENCIA]]*Tabla_Items_Inactivos[[#This Row],[COSTO]]</f>
        <v>5.5</v>
      </c>
    </row>
    <row r="1592" spans="1:8">
      <c r="A1592" t="s">
        <v>3300</v>
      </c>
      <c r="B1592" t="s">
        <v>4841</v>
      </c>
      <c r="C1592" t="s">
        <v>4842</v>
      </c>
      <c r="D1592" t="s">
        <v>85</v>
      </c>
      <c r="E1592" t="s">
        <v>86</v>
      </c>
      <c r="F1592" s="2">
        <v>2.4</v>
      </c>
      <c r="G1592">
        <v>25</v>
      </c>
      <c r="H1592" s="2">
        <f>Tabla_Items_Inactivos[[#This Row],[EXISTENCIA]]*Tabla_Items_Inactivos[[#This Row],[COSTO]]</f>
        <v>60</v>
      </c>
    </row>
    <row r="1593" spans="1:8">
      <c r="A1593" t="s">
        <v>3300</v>
      </c>
      <c r="B1593" t="s">
        <v>4843</v>
      </c>
      <c r="C1593" t="s">
        <v>4844</v>
      </c>
      <c r="D1593" t="s">
        <v>85</v>
      </c>
      <c r="E1593" t="s">
        <v>86</v>
      </c>
      <c r="F1593" s="2">
        <v>2.54</v>
      </c>
      <c r="G1593">
        <v>28</v>
      </c>
      <c r="H1593" s="2">
        <f>Tabla_Items_Inactivos[[#This Row],[EXISTENCIA]]*Tabla_Items_Inactivos[[#This Row],[COSTO]]</f>
        <v>71.12</v>
      </c>
    </row>
    <row r="1594" spans="1:8">
      <c r="A1594" t="s">
        <v>3300</v>
      </c>
      <c r="B1594" t="s">
        <v>4845</v>
      </c>
      <c r="C1594" t="s">
        <v>4846</v>
      </c>
      <c r="D1594" t="s">
        <v>85</v>
      </c>
      <c r="E1594" t="s">
        <v>86</v>
      </c>
      <c r="F1594" s="2">
        <v>0.22</v>
      </c>
      <c r="G1594">
        <v>60</v>
      </c>
      <c r="H1594" s="2">
        <f>Tabla_Items_Inactivos[[#This Row],[EXISTENCIA]]*Tabla_Items_Inactivos[[#This Row],[COSTO]]</f>
        <v>13.2</v>
      </c>
    </row>
    <row r="1595" spans="1:8">
      <c r="A1595" t="s">
        <v>3300</v>
      </c>
      <c r="B1595" t="s">
        <v>4847</v>
      </c>
      <c r="C1595" t="s">
        <v>4848</v>
      </c>
      <c r="D1595" t="s">
        <v>85</v>
      </c>
      <c r="E1595" t="s">
        <v>86</v>
      </c>
      <c r="F1595" s="2">
        <v>1.2728999999999999</v>
      </c>
      <c r="G1595">
        <v>26</v>
      </c>
      <c r="H1595" s="2">
        <f>Tabla_Items_Inactivos[[#This Row],[EXISTENCIA]]*Tabla_Items_Inactivos[[#This Row],[COSTO]]</f>
        <v>33.095399999999998</v>
      </c>
    </row>
    <row r="1596" spans="1:8">
      <c r="A1596" t="s">
        <v>3300</v>
      </c>
      <c r="B1596" t="s">
        <v>4849</v>
      </c>
      <c r="C1596" t="s">
        <v>4850</v>
      </c>
      <c r="D1596" t="s">
        <v>85</v>
      </c>
      <c r="E1596" t="s">
        <v>86</v>
      </c>
      <c r="F1596" s="2">
        <v>6.66</v>
      </c>
      <c r="G1596">
        <v>8</v>
      </c>
      <c r="H1596" s="2">
        <f>Tabla_Items_Inactivos[[#This Row],[EXISTENCIA]]*Tabla_Items_Inactivos[[#This Row],[COSTO]]</f>
        <v>53.28</v>
      </c>
    </row>
    <row r="1597" spans="1:8">
      <c r="A1597" t="s">
        <v>3300</v>
      </c>
      <c r="B1597" t="s">
        <v>4851</v>
      </c>
      <c r="C1597" t="s">
        <v>4852</v>
      </c>
      <c r="D1597" t="s">
        <v>85</v>
      </c>
      <c r="E1597" t="s">
        <v>86</v>
      </c>
      <c r="F1597" s="2">
        <v>5.27</v>
      </c>
      <c r="G1597">
        <v>6</v>
      </c>
      <c r="H1597" s="2">
        <f>Tabla_Items_Inactivos[[#This Row],[EXISTENCIA]]*Tabla_Items_Inactivos[[#This Row],[COSTO]]</f>
        <v>31.619999999999997</v>
      </c>
    </row>
    <row r="1598" spans="1:8">
      <c r="A1598" t="s">
        <v>3300</v>
      </c>
      <c r="B1598" t="s">
        <v>3108</v>
      </c>
      <c r="C1598" t="s">
        <v>3109</v>
      </c>
      <c r="D1598" t="s">
        <v>85</v>
      </c>
      <c r="E1598" t="s">
        <v>86</v>
      </c>
      <c r="F1598" s="2">
        <v>6.1</v>
      </c>
      <c r="G1598">
        <v>63</v>
      </c>
      <c r="H1598" s="2">
        <f>Tabla_Items_Inactivos[[#This Row],[EXISTENCIA]]*Tabla_Items_Inactivos[[#This Row],[COSTO]]</f>
        <v>384.29999999999995</v>
      </c>
    </row>
    <row r="1599" spans="1:8">
      <c r="A1599" t="s">
        <v>3300</v>
      </c>
      <c r="B1599" t="s">
        <v>4853</v>
      </c>
      <c r="C1599" t="s">
        <v>4854</v>
      </c>
      <c r="D1599" t="s">
        <v>85</v>
      </c>
      <c r="E1599" t="s">
        <v>86</v>
      </c>
      <c r="F1599" s="2">
        <v>16.48</v>
      </c>
      <c r="G1599">
        <v>10</v>
      </c>
      <c r="H1599" s="2">
        <f>Tabla_Items_Inactivos[[#This Row],[EXISTENCIA]]*Tabla_Items_Inactivos[[#This Row],[COSTO]]</f>
        <v>164.8</v>
      </c>
    </row>
    <row r="1600" spans="1:8">
      <c r="A1600" t="s">
        <v>3300</v>
      </c>
      <c r="B1600" t="s">
        <v>4855</v>
      </c>
      <c r="C1600" t="s">
        <v>4856</v>
      </c>
      <c r="D1600" t="s">
        <v>85</v>
      </c>
      <c r="E1600" t="s">
        <v>86</v>
      </c>
      <c r="F1600" s="2">
        <v>21.177800000000001</v>
      </c>
      <c r="G1600">
        <v>10</v>
      </c>
      <c r="H1600" s="2">
        <f>Tabla_Items_Inactivos[[#This Row],[EXISTENCIA]]*Tabla_Items_Inactivos[[#This Row],[COSTO]]</f>
        <v>211.77800000000002</v>
      </c>
    </row>
    <row r="1601" spans="1:8">
      <c r="A1601" t="s">
        <v>3300</v>
      </c>
      <c r="B1601" t="s">
        <v>510</v>
      </c>
      <c r="C1601" t="s">
        <v>511</v>
      </c>
      <c r="D1601" t="s">
        <v>85</v>
      </c>
      <c r="E1601" t="s">
        <v>86</v>
      </c>
      <c r="F1601" s="2">
        <v>2.8773</v>
      </c>
      <c r="G1601">
        <v>7</v>
      </c>
      <c r="H1601" s="2">
        <f>Tabla_Items_Inactivos[[#This Row],[EXISTENCIA]]*Tabla_Items_Inactivos[[#This Row],[COSTO]]</f>
        <v>20.141100000000002</v>
      </c>
    </row>
    <row r="1602" spans="1:8">
      <c r="A1602" t="s">
        <v>3300</v>
      </c>
      <c r="B1602" t="s">
        <v>512</v>
      </c>
      <c r="C1602" t="s">
        <v>513</v>
      </c>
      <c r="D1602" t="s">
        <v>85</v>
      </c>
      <c r="E1602" t="s">
        <v>86</v>
      </c>
      <c r="F1602" s="2">
        <v>1.2629999999999999</v>
      </c>
      <c r="G1602">
        <v>8</v>
      </c>
      <c r="H1602" s="2">
        <f>Tabla_Items_Inactivos[[#This Row],[EXISTENCIA]]*Tabla_Items_Inactivos[[#This Row],[COSTO]]</f>
        <v>10.103999999999999</v>
      </c>
    </row>
    <row r="1603" spans="1:8">
      <c r="A1603" t="s">
        <v>3300</v>
      </c>
      <c r="B1603" t="s">
        <v>4857</v>
      </c>
      <c r="C1603" t="s">
        <v>4858</v>
      </c>
      <c r="D1603" t="s">
        <v>85</v>
      </c>
      <c r="E1603" t="s">
        <v>86</v>
      </c>
      <c r="F1603" s="2">
        <v>0.50629999999999997</v>
      </c>
      <c r="G1603">
        <v>138</v>
      </c>
      <c r="H1603" s="2">
        <f>Tabla_Items_Inactivos[[#This Row],[EXISTENCIA]]*Tabla_Items_Inactivos[[#This Row],[COSTO]]</f>
        <v>69.869399999999999</v>
      </c>
    </row>
    <row r="1604" spans="1:8">
      <c r="A1604" t="s">
        <v>3300</v>
      </c>
      <c r="B1604" t="s">
        <v>514</v>
      </c>
      <c r="C1604" t="s">
        <v>515</v>
      </c>
      <c r="D1604" t="s">
        <v>85</v>
      </c>
      <c r="E1604" t="s">
        <v>86</v>
      </c>
      <c r="F1604" s="2">
        <v>0.50800000000000001</v>
      </c>
      <c r="G1604">
        <v>9</v>
      </c>
      <c r="H1604" s="2">
        <f>Tabla_Items_Inactivos[[#This Row],[EXISTENCIA]]*Tabla_Items_Inactivos[[#This Row],[COSTO]]</f>
        <v>4.5720000000000001</v>
      </c>
    </row>
    <row r="1605" spans="1:8">
      <c r="A1605" t="s">
        <v>3300</v>
      </c>
      <c r="B1605" t="s">
        <v>4859</v>
      </c>
      <c r="C1605" t="s">
        <v>4860</v>
      </c>
      <c r="D1605" t="s">
        <v>85</v>
      </c>
      <c r="E1605" t="s">
        <v>86</v>
      </c>
      <c r="F1605" s="2">
        <v>2.3736999999999999</v>
      </c>
      <c r="G1605">
        <v>88</v>
      </c>
      <c r="H1605" s="2">
        <f>Tabla_Items_Inactivos[[#This Row],[EXISTENCIA]]*Tabla_Items_Inactivos[[#This Row],[COSTO]]</f>
        <v>208.88559999999998</v>
      </c>
    </row>
    <row r="1606" spans="1:8">
      <c r="A1606" t="s">
        <v>3300</v>
      </c>
      <c r="B1606" t="s">
        <v>4861</v>
      </c>
      <c r="C1606" t="s">
        <v>4862</v>
      </c>
      <c r="D1606" t="s">
        <v>85</v>
      </c>
      <c r="E1606" t="s">
        <v>86</v>
      </c>
      <c r="F1606" s="2">
        <v>3.36</v>
      </c>
      <c r="G1606">
        <v>10</v>
      </c>
      <c r="H1606" s="2">
        <f>Tabla_Items_Inactivos[[#This Row],[EXISTENCIA]]*Tabla_Items_Inactivos[[#This Row],[COSTO]]</f>
        <v>33.6</v>
      </c>
    </row>
    <row r="1607" spans="1:8">
      <c r="A1607" t="s">
        <v>3300</v>
      </c>
      <c r="B1607" t="s">
        <v>3110</v>
      </c>
      <c r="C1607" t="s">
        <v>3111</v>
      </c>
      <c r="D1607" t="s">
        <v>85</v>
      </c>
      <c r="E1607" t="s">
        <v>86</v>
      </c>
      <c r="F1607" s="2">
        <v>16.2074</v>
      </c>
      <c r="G1607">
        <v>9</v>
      </c>
      <c r="H1607" s="2">
        <f>Tabla_Items_Inactivos[[#This Row],[EXISTENCIA]]*Tabla_Items_Inactivos[[#This Row],[COSTO]]</f>
        <v>145.86660000000001</v>
      </c>
    </row>
    <row r="1608" spans="1:8">
      <c r="A1608" t="s">
        <v>3300</v>
      </c>
      <c r="B1608" t="s">
        <v>3112</v>
      </c>
      <c r="C1608" t="s">
        <v>3113</v>
      </c>
      <c r="D1608" t="s">
        <v>219</v>
      </c>
      <c r="E1608" t="s">
        <v>86</v>
      </c>
      <c r="F1608" s="2">
        <v>3.6259999999999999</v>
      </c>
      <c r="G1608">
        <v>8</v>
      </c>
      <c r="H1608" s="2">
        <f>Tabla_Items_Inactivos[[#This Row],[EXISTENCIA]]*Tabla_Items_Inactivos[[#This Row],[COSTO]]</f>
        <v>29.007999999999999</v>
      </c>
    </row>
    <row r="1609" spans="1:8">
      <c r="A1609" t="s">
        <v>3300</v>
      </c>
      <c r="B1609" t="s">
        <v>4863</v>
      </c>
      <c r="C1609" t="s">
        <v>4864</v>
      </c>
      <c r="D1609" t="s">
        <v>85</v>
      </c>
      <c r="E1609" t="s">
        <v>86</v>
      </c>
      <c r="F1609" s="2">
        <v>3.0213999999999999</v>
      </c>
      <c r="G1609">
        <v>19</v>
      </c>
      <c r="H1609" s="2">
        <f>Tabla_Items_Inactivos[[#This Row],[EXISTENCIA]]*Tabla_Items_Inactivos[[#This Row],[COSTO]]</f>
        <v>57.406599999999997</v>
      </c>
    </row>
    <row r="1610" spans="1:8">
      <c r="A1610" t="s">
        <v>3300</v>
      </c>
      <c r="B1610" t="s">
        <v>4865</v>
      </c>
      <c r="C1610" t="s">
        <v>4866</v>
      </c>
      <c r="D1610" t="s">
        <v>31</v>
      </c>
      <c r="E1610" t="s">
        <v>31</v>
      </c>
      <c r="F1610" s="2">
        <v>0</v>
      </c>
      <c r="G1610">
        <v>2</v>
      </c>
      <c r="H1610" s="2">
        <f>Tabla_Items_Inactivos[[#This Row],[EXISTENCIA]]*Tabla_Items_Inactivos[[#This Row],[COSTO]]</f>
        <v>0</v>
      </c>
    </row>
    <row r="1611" spans="1:8">
      <c r="A1611" t="s">
        <v>3300</v>
      </c>
      <c r="B1611" t="s">
        <v>4867</v>
      </c>
      <c r="C1611" t="s">
        <v>4868</v>
      </c>
      <c r="D1611" t="s">
        <v>85</v>
      </c>
      <c r="E1611" t="s">
        <v>86</v>
      </c>
      <c r="F1611" s="2">
        <v>13.5601</v>
      </c>
      <c r="G1611">
        <v>35</v>
      </c>
      <c r="H1611" s="2">
        <f>Tabla_Items_Inactivos[[#This Row],[EXISTENCIA]]*Tabla_Items_Inactivos[[#This Row],[COSTO]]</f>
        <v>474.6035</v>
      </c>
    </row>
    <row r="1612" spans="1:8">
      <c r="A1612" t="s">
        <v>3301</v>
      </c>
      <c r="B1612" t="s">
        <v>4869</v>
      </c>
      <c r="C1612" t="s">
        <v>4870</v>
      </c>
      <c r="D1612" t="s">
        <v>85</v>
      </c>
      <c r="E1612" t="s">
        <v>86</v>
      </c>
      <c r="F1612" s="2">
        <v>17.9481</v>
      </c>
      <c r="G1612">
        <v>26</v>
      </c>
      <c r="H1612" s="2">
        <f>Tabla_Items_Inactivos[[#This Row],[EXISTENCIA]]*Tabla_Items_Inactivos[[#This Row],[COSTO]]</f>
        <v>466.6506</v>
      </c>
    </row>
    <row r="1613" spans="1:8">
      <c r="A1613" t="s">
        <v>3300</v>
      </c>
      <c r="B1613" t="s">
        <v>4869</v>
      </c>
      <c r="C1613" t="s">
        <v>4870</v>
      </c>
      <c r="D1613" t="s">
        <v>85</v>
      </c>
      <c r="E1613" t="s">
        <v>86</v>
      </c>
      <c r="F1613" s="2">
        <v>17.9481</v>
      </c>
      <c r="G1613">
        <v>26</v>
      </c>
      <c r="H1613" s="2">
        <f>Tabla_Items_Inactivos[[#This Row],[EXISTENCIA]]*Tabla_Items_Inactivos[[#This Row],[COSTO]]</f>
        <v>466.6506</v>
      </c>
    </row>
    <row r="1614" spans="1:8">
      <c r="A1614" t="s">
        <v>3301</v>
      </c>
      <c r="B1614" t="s">
        <v>4871</v>
      </c>
      <c r="C1614" t="s">
        <v>2518</v>
      </c>
      <c r="D1614" t="s">
        <v>2095</v>
      </c>
      <c r="E1614" t="s">
        <v>86</v>
      </c>
      <c r="F1614" s="2">
        <v>185.8237</v>
      </c>
      <c r="G1614">
        <v>1</v>
      </c>
      <c r="H1614" s="2">
        <f>Tabla_Items_Inactivos[[#This Row],[EXISTENCIA]]*Tabla_Items_Inactivos[[#This Row],[COSTO]]</f>
        <v>185.8237</v>
      </c>
    </row>
    <row r="1615" spans="1:8">
      <c r="A1615" t="s">
        <v>3300</v>
      </c>
      <c r="B1615" t="s">
        <v>4871</v>
      </c>
      <c r="C1615" t="s">
        <v>2518</v>
      </c>
      <c r="D1615" t="s">
        <v>2095</v>
      </c>
      <c r="E1615" t="s">
        <v>86</v>
      </c>
      <c r="F1615" s="2">
        <v>185.8237</v>
      </c>
      <c r="G1615">
        <v>1</v>
      </c>
      <c r="H1615" s="2">
        <f>Tabla_Items_Inactivos[[#This Row],[EXISTENCIA]]*Tabla_Items_Inactivos[[#This Row],[COSTO]]</f>
        <v>185.8237</v>
      </c>
    </row>
    <row r="1616" spans="1:8">
      <c r="A1616" t="s">
        <v>3300</v>
      </c>
      <c r="B1616" t="s">
        <v>5537</v>
      </c>
      <c r="C1616" t="s">
        <v>5538</v>
      </c>
      <c r="D1616" t="s">
        <v>2095</v>
      </c>
      <c r="E1616" t="s">
        <v>86</v>
      </c>
      <c r="F1616" s="2">
        <v>344.40109999999999</v>
      </c>
      <c r="G1616">
        <v>12</v>
      </c>
      <c r="H1616" s="2">
        <f>Tabla_Items_Inactivos[[#This Row],[EXISTENCIA]]*Tabla_Items_Inactivos[[#This Row],[COSTO]]</f>
        <v>4132.8131999999996</v>
      </c>
    </row>
    <row r="1617" spans="1:8">
      <c r="A1617" t="s">
        <v>3301</v>
      </c>
      <c r="B1617" t="s">
        <v>5537</v>
      </c>
      <c r="C1617" t="s">
        <v>5538</v>
      </c>
      <c r="D1617" t="s">
        <v>2095</v>
      </c>
      <c r="E1617" t="s">
        <v>86</v>
      </c>
      <c r="F1617" s="2">
        <v>344.40109999999999</v>
      </c>
      <c r="G1617">
        <v>12</v>
      </c>
      <c r="H1617" s="2">
        <f>Tabla_Items_Inactivos[[#This Row],[EXISTENCIA]]*Tabla_Items_Inactivos[[#This Row],[COSTO]]</f>
        <v>4132.8131999999996</v>
      </c>
    </row>
    <row r="1618" spans="1:8">
      <c r="A1618" t="s">
        <v>3299</v>
      </c>
      <c r="B1618" t="s">
        <v>5537</v>
      </c>
      <c r="C1618" t="s">
        <v>5538</v>
      </c>
      <c r="D1618" t="s">
        <v>2095</v>
      </c>
      <c r="E1618" t="s">
        <v>86</v>
      </c>
      <c r="F1618" s="2">
        <v>344.40109999999999</v>
      </c>
      <c r="G1618">
        <v>12</v>
      </c>
      <c r="H1618" s="2">
        <f>Tabla_Items_Inactivos[[#This Row],[EXISTENCIA]]*Tabla_Items_Inactivos[[#This Row],[COSTO]]</f>
        <v>4132.8131999999996</v>
      </c>
    </row>
    <row r="1619" spans="1:8">
      <c r="A1619" t="s">
        <v>3300</v>
      </c>
      <c r="B1619" t="s">
        <v>5539</v>
      </c>
      <c r="C1619" t="s">
        <v>5540</v>
      </c>
      <c r="D1619" t="s">
        <v>283</v>
      </c>
      <c r="E1619" t="s">
        <v>86</v>
      </c>
      <c r="F1619" s="2">
        <v>289.15390000000002</v>
      </c>
      <c r="G1619">
        <v>5</v>
      </c>
      <c r="H1619" s="2">
        <f>Tabla_Items_Inactivos[[#This Row],[EXISTENCIA]]*Tabla_Items_Inactivos[[#This Row],[COSTO]]</f>
        <v>1445.7695000000001</v>
      </c>
    </row>
    <row r="1620" spans="1:8">
      <c r="A1620" t="s">
        <v>3301</v>
      </c>
      <c r="B1620" t="s">
        <v>5539</v>
      </c>
      <c r="C1620" t="s">
        <v>5540</v>
      </c>
      <c r="D1620" t="s">
        <v>283</v>
      </c>
      <c r="E1620" t="s">
        <v>86</v>
      </c>
      <c r="F1620" s="2">
        <v>289.15390000000002</v>
      </c>
      <c r="G1620">
        <v>5</v>
      </c>
      <c r="H1620" s="2">
        <f>Tabla_Items_Inactivos[[#This Row],[EXISTENCIA]]*Tabla_Items_Inactivos[[#This Row],[COSTO]]</f>
        <v>1445.7695000000001</v>
      </c>
    </row>
    <row r="1621" spans="1:8">
      <c r="A1621" t="s">
        <v>3301</v>
      </c>
      <c r="B1621" t="s">
        <v>3114</v>
      </c>
      <c r="C1621" t="s">
        <v>3115</v>
      </c>
      <c r="D1621" t="s">
        <v>283</v>
      </c>
      <c r="E1621" t="s">
        <v>86</v>
      </c>
      <c r="F1621" s="2">
        <v>313.9468</v>
      </c>
      <c r="G1621">
        <v>105</v>
      </c>
      <c r="H1621" s="2">
        <f>Tabla_Items_Inactivos[[#This Row],[EXISTENCIA]]*Tabla_Items_Inactivos[[#This Row],[COSTO]]</f>
        <v>32964.413999999997</v>
      </c>
    </row>
    <row r="1622" spans="1:8">
      <c r="A1622" t="s">
        <v>3299</v>
      </c>
      <c r="B1622" t="s">
        <v>3114</v>
      </c>
      <c r="C1622" t="s">
        <v>3115</v>
      </c>
      <c r="D1622" t="s">
        <v>283</v>
      </c>
      <c r="E1622" t="s">
        <v>86</v>
      </c>
      <c r="F1622" s="2">
        <v>313.9468</v>
      </c>
      <c r="G1622">
        <v>105</v>
      </c>
      <c r="H1622" s="2">
        <f>Tabla_Items_Inactivos[[#This Row],[EXISTENCIA]]*Tabla_Items_Inactivos[[#This Row],[COSTO]]</f>
        <v>32964.413999999997</v>
      </c>
    </row>
    <row r="1623" spans="1:8">
      <c r="A1623" t="s">
        <v>3300</v>
      </c>
      <c r="B1623" t="s">
        <v>3114</v>
      </c>
      <c r="C1623" t="s">
        <v>3115</v>
      </c>
      <c r="D1623" t="s">
        <v>283</v>
      </c>
      <c r="E1623" t="s">
        <v>86</v>
      </c>
      <c r="F1623" s="2">
        <v>313.9468</v>
      </c>
      <c r="G1623">
        <v>105</v>
      </c>
      <c r="H1623" s="2">
        <f>Tabla_Items_Inactivos[[#This Row],[EXISTENCIA]]*Tabla_Items_Inactivos[[#This Row],[COSTO]]</f>
        <v>32964.413999999997</v>
      </c>
    </row>
    <row r="1624" spans="1:8">
      <c r="A1624" t="s">
        <v>3300</v>
      </c>
      <c r="B1624" t="s">
        <v>4872</v>
      </c>
      <c r="C1624" t="s">
        <v>4873</v>
      </c>
      <c r="D1624" t="s">
        <v>283</v>
      </c>
      <c r="E1624" t="s">
        <v>86</v>
      </c>
      <c r="F1624" s="2">
        <v>23.636700000000001</v>
      </c>
      <c r="G1624">
        <v>2</v>
      </c>
      <c r="H1624" s="2">
        <f>Tabla_Items_Inactivos[[#This Row],[EXISTENCIA]]*Tabla_Items_Inactivos[[#This Row],[COSTO]]</f>
        <v>47.273400000000002</v>
      </c>
    </row>
    <row r="1625" spans="1:8">
      <c r="A1625" t="s">
        <v>3301</v>
      </c>
      <c r="B1625" t="s">
        <v>4872</v>
      </c>
      <c r="C1625" t="s">
        <v>4873</v>
      </c>
      <c r="D1625" t="s">
        <v>283</v>
      </c>
      <c r="E1625" t="s">
        <v>86</v>
      </c>
      <c r="F1625" s="2">
        <v>23.636700000000001</v>
      </c>
      <c r="G1625">
        <v>2</v>
      </c>
      <c r="H1625" s="2">
        <f>Tabla_Items_Inactivos[[#This Row],[EXISTENCIA]]*Tabla_Items_Inactivos[[#This Row],[COSTO]]</f>
        <v>47.273400000000002</v>
      </c>
    </row>
    <row r="1626" spans="1:8">
      <c r="A1626" t="s">
        <v>3301</v>
      </c>
      <c r="B1626" t="s">
        <v>4874</v>
      </c>
      <c r="C1626" t="s">
        <v>4875</v>
      </c>
      <c r="D1626" t="s">
        <v>283</v>
      </c>
      <c r="E1626" t="s">
        <v>86</v>
      </c>
      <c r="F1626" s="2">
        <v>37.781599999999997</v>
      </c>
      <c r="G1626">
        <v>1</v>
      </c>
      <c r="H1626" s="2">
        <f>Tabla_Items_Inactivos[[#This Row],[EXISTENCIA]]*Tabla_Items_Inactivos[[#This Row],[COSTO]]</f>
        <v>37.781599999999997</v>
      </c>
    </row>
    <row r="1627" spans="1:8">
      <c r="A1627" t="s">
        <v>3300</v>
      </c>
      <c r="B1627" t="s">
        <v>4874</v>
      </c>
      <c r="C1627" t="s">
        <v>4875</v>
      </c>
      <c r="D1627" t="s">
        <v>283</v>
      </c>
      <c r="E1627" t="s">
        <v>86</v>
      </c>
      <c r="F1627" s="2">
        <v>37.781599999999997</v>
      </c>
      <c r="G1627">
        <v>1</v>
      </c>
      <c r="H1627" s="2">
        <f>Tabla_Items_Inactivos[[#This Row],[EXISTENCIA]]*Tabla_Items_Inactivos[[#This Row],[COSTO]]</f>
        <v>37.781599999999997</v>
      </c>
    </row>
    <row r="1628" spans="1:8">
      <c r="A1628" t="s">
        <v>3299</v>
      </c>
      <c r="B1628" t="s">
        <v>3116</v>
      </c>
      <c r="C1628" t="s">
        <v>3117</v>
      </c>
      <c r="D1628" t="s">
        <v>283</v>
      </c>
      <c r="E1628" t="s">
        <v>86</v>
      </c>
      <c r="F1628" s="2">
        <v>52.2682</v>
      </c>
      <c r="G1628">
        <v>53</v>
      </c>
      <c r="H1628" s="2">
        <f>Tabla_Items_Inactivos[[#This Row],[EXISTENCIA]]*Tabla_Items_Inactivos[[#This Row],[COSTO]]</f>
        <v>2770.2145999999998</v>
      </c>
    </row>
    <row r="1629" spans="1:8">
      <c r="A1629" t="s">
        <v>3300</v>
      </c>
      <c r="B1629" t="s">
        <v>3116</v>
      </c>
      <c r="C1629" t="s">
        <v>3117</v>
      </c>
      <c r="D1629" t="s">
        <v>283</v>
      </c>
      <c r="E1629" t="s">
        <v>86</v>
      </c>
      <c r="F1629" s="2">
        <v>52.2682</v>
      </c>
      <c r="G1629">
        <v>53</v>
      </c>
      <c r="H1629" s="2">
        <f>Tabla_Items_Inactivos[[#This Row],[EXISTENCIA]]*Tabla_Items_Inactivos[[#This Row],[COSTO]]</f>
        <v>2770.2145999999998</v>
      </c>
    </row>
    <row r="1630" spans="1:8">
      <c r="A1630" t="s">
        <v>3301</v>
      </c>
      <c r="B1630" t="s">
        <v>3116</v>
      </c>
      <c r="C1630" t="s">
        <v>3117</v>
      </c>
      <c r="D1630" t="s">
        <v>283</v>
      </c>
      <c r="E1630" t="s">
        <v>86</v>
      </c>
      <c r="F1630" s="2">
        <v>52.2682</v>
      </c>
      <c r="G1630">
        <v>53</v>
      </c>
      <c r="H1630" s="2">
        <f>Tabla_Items_Inactivos[[#This Row],[EXISTENCIA]]*Tabla_Items_Inactivos[[#This Row],[COSTO]]</f>
        <v>2770.2145999999998</v>
      </c>
    </row>
    <row r="1631" spans="1:8">
      <c r="A1631" t="s">
        <v>3300</v>
      </c>
      <c r="B1631" t="s">
        <v>3118</v>
      </c>
      <c r="C1631" t="s">
        <v>3119</v>
      </c>
      <c r="D1631" t="s">
        <v>283</v>
      </c>
      <c r="E1631" t="s">
        <v>86</v>
      </c>
      <c r="F1631" s="2">
        <v>47.030700000000003</v>
      </c>
      <c r="G1631">
        <v>74</v>
      </c>
      <c r="H1631" s="2">
        <f>Tabla_Items_Inactivos[[#This Row],[EXISTENCIA]]*Tabla_Items_Inactivos[[#This Row],[COSTO]]</f>
        <v>3480.2718000000004</v>
      </c>
    </row>
    <row r="1632" spans="1:8">
      <c r="A1632" t="s">
        <v>3301</v>
      </c>
      <c r="B1632" t="s">
        <v>3118</v>
      </c>
      <c r="C1632" t="s">
        <v>3119</v>
      </c>
      <c r="D1632" t="s">
        <v>283</v>
      </c>
      <c r="E1632" t="s">
        <v>86</v>
      </c>
      <c r="F1632" s="2">
        <v>47.030700000000003</v>
      </c>
      <c r="G1632">
        <v>74</v>
      </c>
      <c r="H1632" s="2">
        <f>Tabla_Items_Inactivos[[#This Row],[EXISTENCIA]]*Tabla_Items_Inactivos[[#This Row],[COSTO]]</f>
        <v>3480.2718000000004</v>
      </c>
    </row>
    <row r="1633" spans="1:8">
      <c r="A1633" t="s">
        <v>3300</v>
      </c>
      <c r="B1633" t="s">
        <v>4876</v>
      </c>
      <c r="C1633" t="s">
        <v>4877</v>
      </c>
      <c r="D1633" t="s">
        <v>228</v>
      </c>
      <c r="E1633" t="s">
        <v>86</v>
      </c>
      <c r="F1633" s="2">
        <v>10.086399999999999</v>
      </c>
      <c r="G1633">
        <v>259</v>
      </c>
      <c r="H1633" s="2">
        <f>Tabla_Items_Inactivos[[#This Row],[EXISTENCIA]]*Tabla_Items_Inactivos[[#This Row],[COSTO]]</f>
        <v>2612.3775999999998</v>
      </c>
    </row>
    <row r="1634" spans="1:8">
      <c r="A1634" t="s">
        <v>3301</v>
      </c>
      <c r="B1634" t="s">
        <v>4876</v>
      </c>
      <c r="C1634" t="s">
        <v>4877</v>
      </c>
      <c r="D1634" t="s">
        <v>228</v>
      </c>
      <c r="E1634" t="s">
        <v>86</v>
      </c>
      <c r="F1634" s="2">
        <v>10.086399999999999</v>
      </c>
      <c r="G1634">
        <v>259</v>
      </c>
      <c r="H1634" s="2">
        <f>Tabla_Items_Inactivos[[#This Row],[EXISTENCIA]]*Tabla_Items_Inactivos[[#This Row],[COSTO]]</f>
        <v>2612.3775999999998</v>
      </c>
    </row>
    <row r="1635" spans="1:8">
      <c r="A1635" t="s">
        <v>3299</v>
      </c>
      <c r="B1635" t="s">
        <v>4876</v>
      </c>
      <c r="C1635" t="s">
        <v>4877</v>
      </c>
      <c r="D1635" t="s">
        <v>228</v>
      </c>
      <c r="E1635" t="s">
        <v>86</v>
      </c>
      <c r="F1635" s="2">
        <v>10.086399999999999</v>
      </c>
      <c r="G1635">
        <v>259</v>
      </c>
      <c r="H1635" s="2">
        <f>Tabla_Items_Inactivos[[#This Row],[EXISTENCIA]]*Tabla_Items_Inactivos[[#This Row],[COSTO]]</f>
        <v>2612.3775999999998</v>
      </c>
    </row>
    <row r="1636" spans="1:8">
      <c r="A1636" t="s">
        <v>3300</v>
      </c>
      <c r="B1636" t="s">
        <v>4878</v>
      </c>
      <c r="C1636" t="s">
        <v>4879</v>
      </c>
      <c r="D1636" t="s">
        <v>89</v>
      </c>
      <c r="E1636" t="s">
        <v>86</v>
      </c>
      <c r="F1636" s="2">
        <v>184.56559999999999</v>
      </c>
      <c r="G1636">
        <v>5</v>
      </c>
      <c r="H1636" s="2">
        <f>Tabla_Items_Inactivos[[#This Row],[EXISTENCIA]]*Tabla_Items_Inactivos[[#This Row],[COSTO]]</f>
        <v>922.82799999999997</v>
      </c>
    </row>
    <row r="1637" spans="1:8">
      <c r="A1637" t="s">
        <v>3301</v>
      </c>
      <c r="B1637" t="s">
        <v>4878</v>
      </c>
      <c r="C1637" t="s">
        <v>4879</v>
      </c>
      <c r="D1637" t="s">
        <v>89</v>
      </c>
      <c r="E1637" t="s">
        <v>86</v>
      </c>
      <c r="F1637" s="2">
        <v>184.56559999999999</v>
      </c>
      <c r="G1637">
        <v>5</v>
      </c>
      <c r="H1637" s="2">
        <f>Tabla_Items_Inactivos[[#This Row],[EXISTENCIA]]*Tabla_Items_Inactivos[[#This Row],[COSTO]]</f>
        <v>922.82799999999997</v>
      </c>
    </row>
    <row r="1638" spans="1:8">
      <c r="A1638" t="s">
        <v>3300</v>
      </c>
      <c r="B1638" t="s">
        <v>5541</v>
      </c>
      <c r="C1638" t="s">
        <v>5542</v>
      </c>
      <c r="D1638" t="s">
        <v>89</v>
      </c>
      <c r="E1638" t="s">
        <v>86</v>
      </c>
      <c r="F1638" s="2">
        <v>174.60749999999999</v>
      </c>
      <c r="G1638">
        <v>9</v>
      </c>
      <c r="H1638" s="2">
        <f>Tabla_Items_Inactivos[[#This Row],[EXISTENCIA]]*Tabla_Items_Inactivos[[#This Row],[COSTO]]</f>
        <v>1571.4675</v>
      </c>
    </row>
    <row r="1639" spans="1:8">
      <c r="A1639" t="s">
        <v>3301</v>
      </c>
      <c r="B1639" t="s">
        <v>5541</v>
      </c>
      <c r="C1639" t="s">
        <v>5542</v>
      </c>
      <c r="D1639" t="s">
        <v>89</v>
      </c>
      <c r="E1639" t="s">
        <v>86</v>
      </c>
      <c r="F1639" s="2">
        <v>174.60749999999999</v>
      </c>
      <c r="G1639">
        <v>9</v>
      </c>
      <c r="H1639" s="2">
        <f>Tabla_Items_Inactivos[[#This Row],[EXISTENCIA]]*Tabla_Items_Inactivos[[#This Row],[COSTO]]</f>
        <v>1571.4675</v>
      </c>
    </row>
    <row r="1640" spans="1:8">
      <c r="A1640" t="s">
        <v>3300</v>
      </c>
      <c r="B1640" t="s">
        <v>5493</v>
      </c>
      <c r="C1640" t="s">
        <v>5494</v>
      </c>
      <c r="D1640" t="s">
        <v>89</v>
      </c>
      <c r="E1640" t="s">
        <v>86</v>
      </c>
      <c r="F1640" s="2">
        <v>301.04570000000001</v>
      </c>
      <c r="G1640">
        <v>32</v>
      </c>
      <c r="H1640" s="2">
        <f>Tabla_Items_Inactivos[[#This Row],[EXISTENCIA]]*Tabla_Items_Inactivos[[#This Row],[COSTO]]</f>
        <v>9633.4624000000003</v>
      </c>
    </row>
    <row r="1641" spans="1:8">
      <c r="A1641" t="s">
        <v>3301</v>
      </c>
      <c r="B1641" t="s">
        <v>5493</v>
      </c>
      <c r="C1641" t="s">
        <v>5494</v>
      </c>
      <c r="D1641" t="s">
        <v>89</v>
      </c>
      <c r="E1641" t="s">
        <v>86</v>
      </c>
      <c r="F1641" s="2">
        <v>301.04570000000001</v>
      </c>
      <c r="G1641">
        <v>32</v>
      </c>
      <c r="H1641" s="2">
        <f>Tabla_Items_Inactivos[[#This Row],[EXISTENCIA]]*Tabla_Items_Inactivos[[#This Row],[COSTO]]</f>
        <v>9633.4624000000003</v>
      </c>
    </row>
    <row r="1642" spans="1:8">
      <c r="A1642" t="s">
        <v>3299</v>
      </c>
      <c r="B1642" t="s">
        <v>5493</v>
      </c>
      <c r="C1642" t="s">
        <v>5494</v>
      </c>
      <c r="D1642" t="s">
        <v>89</v>
      </c>
      <c r="E1642" t="s">
        <v>86</v>
      </c>
      <c r="F1642" s="2">
        <v>301.04570000000001</v>
      </c>
      <c r="G1642">
        <v>32</v>
      </c>
      <c r="H1642" s="2">
        <f>Tabla_Items_Inactivos[[#This Row],[EXISTENCIA]]*Tabla_Items_Inactivos[[#This Row],[COSTO]]</f>
        <v>9633.4624000000003</v>
      </c>
    </row>
    <row r="1643" spans="1:8">
      <c r="A1643" t="s">
        <v>3300</v>
      </c>
      <c r="B1643" t="s">
        <v>5543</v>
      </c>
      <c r="C1643" t="s">
        <v>5544</v>
      </c>
      <c r="D1643" t="s">
        <v>89</v>
      </c>
      <c r="E1643" t="s">
        <v>86</v>
      </c>
      <c r="F1643" s="2">
        <v>288.39100000000002</v>
      </c>
      <c r="G1643">
        <v>3</v>
      </c>
      <c r="H1643" s="2">
        <f>Tabla_Items_Inactivos[[#This Row],[EXISTENCIA]]*Tabla_Items_Inactivos[[#This Row],[COSTO]]</f>
        <v>865.173</v>
      </c>
    </row>
    <row r="1644" spans="1:8">
      <c r="A1644" t="s">
        <v>3301</v>
      </c>
      <c r="B1644" t="s">
        <v>5543</v>
      </c>
      <c r="C1644" t="s">
        <v>5544</v>
      </c>
      <c r="D1644" t="s">
        <v>89</v>
      </c>
      <c r="E1644" t="s">
        <v>86</v>
      </c>
      <c r="F1644" s="2">
        <v>288.39100000000002</v>
      </c>
      <c r="G1644">
        <v>3</v>
      </c>
      <c r="H1644" s="2">
        <f>Tabla_Items_Inactivos[[#This Row],[EXISTENCIA]]*Tabla_Items_Inactivos[[#This Row],[COSTO]]</f>
        <v>865.173</v>
      </c>
    </row>
    <row r="1645" spans="1:8">
      <c r="A1645" t="s">
        <v>3300</v>
      </c>
      <c r="B1645" t="s">
        <v>4880</v>
      </c>
      <c r="C1645" t="s">
        <v>4881</v>
      </c>
      <c r="D1645" t="s">
        <v>89</v>
      </c>
      <c r="E1645" t="s">
        <v>86</v>
      </c>
      <c r="F1645" s="2">
        <v>297.05549999999999</v>
      </c>
      <c r="G1645">
        <v>27</v>
      </c>
      <c r="H1645" s="2">
        <f>Tabla_Items_Inactivos[[#This Row],[EXISTENCIA]]*Tabla_Items_Inactivos[[#This Row],[COSTO]]</f>
        <v>8020.4984999999997</v>
      </c>
    </row>
    <row r="1646" spans="1:8">
      <c r="A1646" t="s">
        <v>3301</v>
      </c>
      <c r="B1646" t="s">
        <v>4880</v>
      </c>
      <c r="C1646" t="s">
        <v>4881</v>
      </c>
      <c r="D1646" t="s">
        <v>89</v>
      </c>
      <c r="E1646" t="s">
        <v>86</v>
      </c>
      <c r="F1646" s="2">
        <v>297.05549999999999</v>
      </c>
      <c r="G1646">
        <v>27</v>
      </c>
      <c r="H1646" s="2">
        <f>Tabla_Items_Inactivos[[#This Row],[EXISTENCIA]]*Tabla_Items_Inactivos[[#This Row],[COSTO]]</f>
        <v>8020.4984999999997</v>
      </c>
    </row>
    <row r="1647" spans="1:8">
      <c r="A1647" t="s">
        <v>3299</v>
      </c>
      <c r="B1647" t="s">
        <v>3120</v>
      </c>
      <c r="C1647" t="s">
        <v>3121</v>
      </c>
      <c r="D1647" t="s">
        <v>89</v>
      </c>
      <c r="E1647" t="s">
        <v>86</v>
      </c>
      <c r="F1647" s="2">
        <v>329.65910000000002</v>
      </c>
      <c r="G1647">
        <v>45</v>
      </c>
      <c r="H1647" s="2">
        <f>Tabla_Items_Inactivos[[#This Row],[EXISTENCIA]]*Tabla_Items_Inactivos[[#This Row],[COSTO]]</f>
        <v>14834.659500000002</v>
      </c>
    </row>
    <row r="1648" spans="1:8">
      <c r="A1648" t="s">
        <v>3300</v>
      </c>
      <c r="B1648" t="s">
        <v>3120</v>
      </c>
      <c r="C1648" t="s">
        <v>3121</v>
      </c>
      <c r="D1648" t="s">
        <v>89</v>
      </c>
      <c r="E1648" t="s">
        <v>86</v>
      </c>
      <c r="F1648" s="2">
        <v>329.65910000000002</v>
      </c>
      <c r="G1648">
        <v>45</v>
      </c>
      <c r="H1648" s="2">
        <f>Tabla_Items_Inactivos[[#This Row],[EXISTENCIA]]*Tabla_Items_Inactivos[[#This Row],[COSTO]]</f>
        <v>14834.659500000002</v>
      </c>
    </row>
    <row r="1649" spans="1:8">
      <c r="A1649" t="s">
        <v>3301</v>
      </c>
      <c r="B1649" t="s">
        <v>3120</v>
      </c>
      <c r="C1649" t="s">
        <v>3121</v>
      </c>
      <c r="D1649" t="s">
        <v>89</v>
      </c>
      <c r="E1649" t="s">
        <v>86</v>
      </c>
      <c r="F1649" s="2">
        <v>329.65910000000002</v>
      </c>
      <c r="G1649">
        <v>45</v>
      </c>
      <c r="H1649" s="2">
        <f>Tabla_Items_Inactivos[[#This Row],[EXISTENCIA]]*Tabla_Items_Inactivos[[#This Row],[COSTO]]</f>
        <v>14834.659500000002</v>
      </c>
    </row>
    <row r="1650" spans="1:8">
      <c r="A1650" t="s">
        <v>3301</v>
      </c>
      <c r="B1650" t="s">
        <v>4882</v>
      </c>
      <c r="C1650" t="s">
        <v>4883</v>
      </c>
      <c r="D1650" t="s">
        <v>89</v>
      </c>
      <c r="E1650" t="s">
        <v>86</v>
      </c>
      <c r="F1650" s="2">
        <v>211.75659999999999</v>
      </c>
      <c r="G1650">
        <v>5</v>
      </c>
      <c r="H1650" s="2">
        <f>Tabla_Items_Inactivos[[#This Row],[EXISTENCIA]]*Tabla_Items_Inactivos[[#This Row],[COSTO]]</f>
        <v>1058.7829999999999</v>
      </c>
    </row>
    <row r="1651" spans="1:8">
      <c r="A1651" t="s">
        <v>3300</v>
      </c>
      <c r="B1651" t="s">
        <v>4882</v>
      </c>
      <c r="C1651" t="s">
        <v>4883</v>
      </c>
      <c r="D1651" t="s">
        <v>89</v>
      </c>
      <c r="E1651" t="s">
        <v>86</v>
      </c>
      <c r="F1651" s="2">
        <v>211.75659999999999</v>
      </c>
      <c r="G1651">
        <v>5</v>
      </c>
      <c r="H1651" s="2">
        <f>Tabla_Items_Inactivos[[#This Row],[EXISTENCIA]]*Tabla_Items_Inactivos[[#This Row],[COSTO]]</f>
        <v>1058.7829999999999</v>
      </c>
    </row>
    <row r="1652" spans="1:8">
      <c r="A1652" t="s">
        <v>3300</v>
      </c>
      <c r="B1652" t="s">
        <v>516</v>
      </c>
      <c r="C1652" t="s">
        <v>517</v>
      </c>
      <c r="D1652" t="s">
        <v>228</v>
      </c>
      <c r="E1652" t="s">
        <v>86</v>
      </c>
      <c r="F1652" s="2">
        <v>7.0627000000000004</v>
      </c>
      <c r="G1652">
        <v>40</v>
      </c>
      <c r="H1652" s="2">
        <f>Tabla_Items_Inactivos[[#This Row],[EXISTENCIA]]*Tabla_Items_Inactivos[[#This Row],[COSTO]]</f>
        <v>282.50800000000004</v>
      </c>
    </row>
    <row r="1653" spans="1:8">
      <c r="A1653" t="s">
        <v>3301</v>
      </c>
      <c r="B1653" t="s">
        <v>516</v>
      </c>
      <c r="C1653" t="s">
        <v>517</v>
      </c>
      <c r="D1653" t="s">
        <v>228</v>
      </c>
      <c r="E1653" t="s">
        <v>86</v>
      </c>
      <c r="F1653" s="2">
        <v>7.0627000000000004</v>
      </c>
      <c r="G1653">
        <v>40</v>
      </c>
      <c r="H1653" s="2">
        <f>Tabla_Items_Inactivos[[#This Row],[EXISTENCIA]]*Tabla_Items_Inactivos[[#This Row],[COSTO]]</f>
        <v>282.50800000000004</v>
      </c>
    </row>
    <row r="1654" spans="1:8">
      <c r="A1654" t="s">
        <v>3299</v>
      </c>
      <c r="B1654" t="s">
        <v>516</v>
      </c>
      <c r="C1654" t="s">
        <v>517</v>
      </c>
      <c r="D1654" t="s">
        <v>228</v>
      </c>
      <c r="E1654" t="s">
        <v>86</v>
      </c>
      <c r="F1654" s="2">
        <v>7.0627000000000004</v>
      </c>
      <c r="G1654">
        <v>40</v>
      </c>
      <c r="H1654" s="2">
        <f>Tabla_Items_Inactivos[[#This Row],[EXISTENCIA]]*Tabla_Items_Inactivos[[#This Row],[COSTO]]</f>
        <v>282.50800000000004</v>
      </c>
    </row>
    <row r="1655" spans="1:8">
      <c r="A1655" t="s">
        <v>3300</v>
      </c>
      <c r="B1655" t="s">
        <v>4884</v>
      </c>
      <c r="C1655" t="s">
        <v>4885</v>
      </c>
      <c r="D1655" t="s">
        <v>436</v>
      </c>
      <c r="E1655" t="s">
        <v>86</v>
      </c>
      <c r="F1655" s="2">
        <v>0.1</v>
      </c>
      <c r="G1655">
        <v>2</v>
      </c>
      <c r="H1655" s="2">
        <f>Tabla_Items_Inactivos[[#This Row],[EXISTENCIA]]*Tabla_Items_Inactivos[[#This Row],[COSTO]]</f>
        <v>0.2</v>
      </c>
    </row>
    <row r="1656" spans="1:8">
      <c r="A1656" t="s">
        <v>3300</v>
      </c>
      <c r="B1656" t="s">
        <v>4886</v>
      </c>
      <c r="C1656" t="s">
        <v>4887</v>
      </c>
      <c r="D1656" t="s">
        <v>85</v>
      </c>
      <c r="E1656" t="s">
        <v>86</v>
      </c>
      <c r="F1656" s="2">
        <v>0</v>
      </c>
      <c r="G1656">
        <v>6</v>
      </c>
      <c r="H1656" s="2">
        <f>Tabla_Items_Inactivos[[#This Row],[EXISTENCIA]]*Tabla_Items_Inactivos[[#This Row],[COSTO]]</f>
        <v>0</v>
      </c>
    </row>
    <row r="1657" spans="1:8">
      <c r="A1657" t="s">
        <v>3300</v>
      </c>
      <c r="B1657" t="s">
        <v>4888</v>
      </c>
      <c r="C1657" t="s">
        <v>4889</v>
      </c>
      <c r="D1657" t="s">
        <v>85</v>
      </c>
      <c r="E1657" t="s">
        <v>86</v>
      </c>
      <c r="F1657" s="2">
        <v>13.765000000000001</v>
      </c>
      <c r="G1657">
        <v>47</v>
      </c>
      <c r="H1657" s="2">
        <f>Tabla_Items_Inactivos[[#This Row],[EXISTENCIA]]*Tabla_Items_Inactivos[[#This Row],[COSTO]]</f>
        <v>646.95500000000004</v>
      </c>
    </row>
    <row r="1658" spans="1:8">
      <c r="A1658" t="s">
        <v>3300</v>
      </c>
      <c r="B1658" t="s">
        <v>4890</v>
      </c>
      <c r="C1658" t="s">
        <v>4891</v>
      </c>
      <c r="D1658" t="s">
        <v>85</v>
      </c>
      <c r="E1658" t="s">
        <v>86</v>
      </c>
      <c r="F1658" s="2">
        <v>21.828900000000001</v>
      </c>
      <c r="G1658">
        <v>6</v>
      </c>
      <c r="H1658" s="2">
        <f>Tabla_Items_Inactivos[[#This Row],[EXISTENCIA]]*Tabla_Items_Inactivos[[#This Row],[COSTO]]</f>
        <v>130.9734</v>
      </c>
    </row>
    <row r="1659" spans="1:8">
      <c r="A1659" t="s">
        <v>3301</v>
      </c>
      <c r="B1659" t="s">
        <v>4890</v>
      </c>
      <c r="C1659" t="s">
        <v>4891</v>
      </c>
      <c r="D1659" t="s">
        <v>85</v>
      </c>
      <c r="E1659" t="s">
        <v>86</v>
      </c>
      <c r="F1659" s="2">
        <v>21.828900000000001</v>
      </c>
      <c r="G1659">
        <v>6</v>
      </c>
      <c r="H1659" s="2">
        <f>Tabla_Items_Inactivos[[#This Row],[EXISTENCIA]]*Tabla_Items_Inactivos[[#This Row],[COSTO]]</f>
        <v>130.9734</v>
      </c>
    </row>
    <row r="1660" spans="1:8">
      <c r="A1660" t="s">
        <v>3301</v>
      </c>
      <c r="B1660" t="s">
        <v>518</v>
      </c>
      <c r="C1660" t="s">
        <v>519</v>
      </c>
      <c r="D1660" t="s">
        <v>85</v>
      </c>
      <c r="E1660" t="s">
        <v>86</v>
      </c>
      <c r="F1660" s="2">
        <v>4.2861000000000002</v>
      </c>
      <c r="G1660">
        <v>19</v>
      </c>
      <c r="H1660" s="2">
        <f>Tabla_Items_Inactivos[[#This Row],[EXISTENCIA]]*Tabla_Items_Inactivos[[#This Row],[COSTO]]</f>
        <v>81.435900000000004</v>
      </c>
    </row>
    <row r="1661" spans="1:8">
      <c r="A1661" t="s">
        <v>3300</v>
      </c>
      <c r="B1661" t="s">
        <v>518</v>
      </c>
      <c r="C1661" t="s">
        <v>519</v>
      </c>
      <c r="D1661" t="s">
        <v>85</v>
      </c>
      <c r="E1661" t="s">
        <v>86</v>
      </c>
      <c r="F1661" s="2">
        <v>4.2861000000000002</v>
      </c>
      <c r="G1661">
        <v>19</v>
      </c>
      <c r="H1661" s="2">
        <f>Tabla_Items_Inactivos[[#This Row],[EXISTENCIA]]*Tabla_Items_Inactivos[[#This Row],[COSTO]]</f>
        <v>81.435900000000004</v>
      </c>
    </row>
    <row r="1662" spans="1:8">
      <c r="A1662" t="s">
        <v>3300</v>
      </c>
      <c r="B1662" t="s">
        <v>3122</v>
      </c>
      <c r="C1662" t="s">
        <v>3123</v>
      </c>
      <c r="D1662" t="s">
        <v>85</v>
      </c>
      <c r="E1662" t="s">
        <v>86</v>
      </c>
      <c r="F1662" s="2">
        <v>9.0759000000000007</v>
      </c>
      <c r="G1662">
        <v>11</v>
      </c>
      <c r="H1662" s="2">
        <f>Tabla_Items_Inactivos[[#This Row],[EXISTENCIA]]*Tabla_Items_Inactivos[[#This Row],[COSTO]]</f>
        <v>99.834900000000005</v>
      </c>
    </row>
    <row r="1663" spans="1:8">
      <c r="A1663" t="s">
        <v>3301</v>
      </c>
      <c r="B1663" t="s">
        <v>3122</v>
      </c>
      <c r="C1663" t="s">
        <v>3123</v>
      </c>
      <c r="D1663" t="s">
        <v>85</v>
      </c>
      <c r="E1663" t="s">
        <v>86</v>
      </c>
      <c r="F1663" s="2">
        <v>9.0759000000000007</v>
      </c>
      <c r="G1663">
        <v>11</v>
      </c>
      <c r="H1663" s="2">
        <f>Tabla_Items_Inactivos[[#This Row],[EXISTENCIA]]*Tabla_Items_Inactivos[[#This Row],[COSTO]]</f>
        <v>99.834900000000005</v>
      </c>
    </row>
    <row r="1664" spans="1:8">
      <c r="A1664" t="s">
        <v>3300</v>
      </c>
      <c r="B1664" t="s">
        <v>4892</v>
      </c>
      <c r="C1664" t="s">
        <v>4893</v>
      </c>
      <c r="D1664" t="s">
        <v>98</v>
      </c>
      <c r="E1664" t="s">
        <v>86</v>
      </c>
      <c r="F1664" s="2">
        <v>1.8479000000000001</v>
      </c>
      <c r="G1664">
        <v>14</v>
      </c>
      <c r="H1664" s="2">
        <f>Tabla_Items_Inactivos[[#This Row],[EXISTENCIA]]*Tabla_Items_Inactivos[[#This Row],[COSTO]]</f>
        <v>25.870600000000003</v>
      </c>
    </row>
    <row r="1665" spans="1:8">
      <c r="A1665" t="s">
        <v>3300</v>
      </c>
      <c r="B1665" t="s">
        <v>4894</v>
      </c>
      <c r="C1665" t="s">
        <v>4895</v>
      </c>
      <c r="D1665" t="s">
        <v>85</v>
      </c>
      <c r="E1665" t="s">
        <v>86</v>
      </c>
      <c r="F1665" s="2">
        <v>0.60629999999999995</v>
      </c>
      <c r="G1665">
        <v>76</v>
      </c>
      <c r="H1665" s="2">
        <f>Tabla_Items_Inactivos[[#This Row],[EXISTENCIA]]*Tabla_Items_Inactivos[[#This Row],[COSTO]]</f>
        <v>46.078799999999994</v>
      </c>
    </row>
    <row r="1666" spans="1:8">
      <c r="A1666" t="s">
        <v>3300</v>
      </c>
      <c r="B1666" t="s">
        <v>4896</v>
      </c>
      <c r="C1666" t="s">
        <v>4897</v>
      </c>
      <c r="D1666" t="s">
        <v>219</v>
      </c>
      <c r="E1666" t="s">
        <v>86</v>
      </c>
      <c r="F1666" s="2">
        <v>0.98</v>
      </c>
      <c r="G1666">
        <v>10</v>
      </c>
      <c r="H1666" s="2">
        <f>Tabla_Items_Inactivos[[#This Row],[EXISTENCIA]]*Tabla_Items_Inactivos[[#This Row],[COSTO]]</f>
        <v>9.8000000000000007</v>
      </c>
    </row>
    <row r="1667" spans="1:8">
      <c r="A1667" t="s">
        <v>3300</v>
      </c>
      <c r="B1667" t="s">
        <v>4898</v>
      </c>
      <c r="C1667" t="s">
        <v>4899</v>
      </c>
      <c r="D1667" t="s">
        <v>85</v>
      </c>
      <c r="E1667" t="s">
        <v>86</v>
      </c>
      <c r="F1667" s="2">
        <v>0.64</v>
      </c>
      <c r="G1667">
        <v>15</v>
      </c>
      <c r="H1667" s="2">
        <f>Tabla_Items_Inactivos[[#This Row],[EXISTENCIA]]*Tabla_Items_Inactivos[[#This Row],[COSTO]]</f>
        <v>9.6</v>
      </c>
    </row>
    <row r="1668" spans="1:8">
      <c r="A1668" t="s">
        <v>3300</v>
      </c>
      <c r="B1668" t="s">
        <v>3124</v>
      </c>
      <c r="C1668" t="s">
        <v>3125</v>
      </c>
      <c r="D1668" t="s">
        <v>85</v>
      </c>
      <c r="E1668" t="s">
        <v>86</v>
      </c>
      <c r="F1668" s="2">
        <v>0.81789999999999996</v>
      </c>
      <c r="G1668">
        <v>82</v>
      </c>
      <c r="H1668" s="2">
        <f>Tabla_Items_Inactivos[[#This Row],[EXISTENCIA]]*Tabla_Items_Inactivos[[#This Row],[COSTO]]</f>
        <v>67.067799999999991</v>
      </c>
    </row>
    <row r="1669" spans="1:8">
      <c r="A1669" t="s">
        <v>3301</v>
      </c>
      <c r="B1669" t="s">
        <v>3124</v>
      </c>
      <c r="C1669" t="s">
        <v>3125</v>
      </c>
      <c r="D1669" t="s">
        <v>85</v>
      </c>
      <c r="E1669" t="s">
        <v>86</v>
      </c>
      <c r="F1669" s="2">
        <v>0.81789999999999996</v>
      </c>
      <c r="G1669">
        <v>82</v>
      </c>
      <c r="H1669" s="2">
        <f>Tabla_Items_Inactivos[[#This Row],[EXISTENCIA]]*Tabla_Items_Inactivos[[#This Row],[COSTO]]</f>
        <v>67.067799999999991</v>
      </c>
    </row>
    <row r="1670" spans="1:8">
      <c r="A1670" t="s">
        <v>3300</v>
      </c>
      <c r="B1670" t="s">
        <v>4900</v>
      </c>
      <c r="C1670" t="s">
        <v>4901</v>
      </c>
      <c r="D1670" t="s">
        <v>85</v>
      </c>
      <c r="E1670" t="s">
        <v>86</v>
      </c>
      <c r="F1670" s="2">
        <v>0.67359999999999998</v>
      </c>
      <c r="G1670">
        <v>121</v>
      </c>
      <c r="H1670" s="2">
        <f>Tabla_Items_Inactivos[[#This Row],[EXISTENCIA]]*Tabla_Items_Inactivos[[#This Row],[COSTO]]</f>
        <v>81.505600000000001</v>
      </c>
    </row>
    <row r="1671" spans="1:8">
      <c r="A1671" t="s">
        <v>3301</v>
      </c>
      <c r="B1671" t="s">
        <v>4900</v>
      </c>
      <c r="C1671" t="s">
        <v>4901</v>
      </c>
      <c r="D1671" t="s">
        <v>85</v>
      </c>
      <c r="E1671" t="s">
        <v>86</v>
      </c>
      <c r="F1671" s="2">
        <v>0.67359999999999998</v>
      </c>
      <c r="G1671">
        <v>121</v>
      </c>
      <c r="H1671" s="2">
        <f>Tabla_Items_Inactivos[[#This Row],[EXISTENCIA]]*Tabla_Items_Inactivos[[#This Row],[COSTO]]</f>
        <v>81.505600000000001</v>
      </c>
    </row>
    <row r="1672" spans="1:8">
      <c r="A1672" t="s">
        <v>3300</v>
      </c>
      <c r="B1672" t="s">
        <v>4902</v>
      </c>
      <c r="C1672" t="s">
        <v>4903</v>
      </c>
      <c r="D1672" t="s">
        <v>85</v>
      </c>
      <c r="E1672" t="s">
        <v>86</v>
      </c>
      <c r="F1672" s="2">
        <v>0.76439999999999997</v>
      </c>
      <c r="G1672">
        <v>45</v>
      </c>
      <c r="H1672" s="2">
        <f>Tabla_Items_Inactivos[[#This Row],[EXISTENCIA]]*Tabla_Items_Inactivos[[#This Row],[COSTO]]</f>
        <v>34.397999999999996</v>
      </c>
    </row>
    <row r="1673" spans="1:8">
      <c r="A1673" t="s">
        <v>3301</v>
      </c>
      <c r="B1673" t="s">
        <v>4902</v>
      </c>
      <c r="C1673" t="s">
        <v>4903</v>
      </c>
      <c r="D1673" t="s">
        <v>85</v>
      </c>
      <c r="E1673" t="s">
        <v>86</v>
      </c>
      <c r="F1673" s="2">
        <v>0.76439999999999997</v>
      </c>
      <c r="G1673">
        <v>45</v>
      </c>
      <c r="H1673" s="2">
        <f>Tabla_Items_Inactivos[[#This Row],[EXISTENCIA]]*Tabla_Items_Inactivos[[#This Row],[COSTO]]</f>
        <v>34.397999999999996</v>
      </c>
    </row>
    <row r="1674" spans="1:8">
      <c r="A1674" t="s">
        <v>3300</v>
      </c>
      <c r="B1674" t="s">
        <v>4904</v>
      </c>
      <c r="C1674" t="s">
        <v>2345</v>
      </c>
      <c r="D1674" t="s">
        <v>219</v>
      </c>
      <c r="E1674" t="s">
        <v>86</v>
      </c>
      <c r="F1674" s="2">
        <v>0.54</v>
      </c>
      <c r="G1674">
        <v>3</v>
      </c>
      <c r="H1674" s="2">
        <f>Tabla_Items_Inactivos[[#This Row],[EXISTENCIA]]*Tabla_Items_Inactivos[[#This Row],[COSTO]]</f>
        <v>1.62</v>
      </c>
    </row>
    <row r="1675" spans="1:8">
      <c r="A1675" t="s">
        <v>3301</v>
      </c>
      <c r="B1675" t="s">
        <v>520</v>
      </c>
      <c r="C1675" t="s">
        <v>521</v>
      </c>
      <c r="D1675" t="s">
        <v>219</v>
      </c>
      <c r="E1675" t="s">
        <v>86</v>
      </c>
      <c r="F1675" s="2">
        <v>0.75039999999999996</v>
      </c>
      <c r="G1675">
        <v>12</v>
      </c>
      <c r="H1675" s="2">
        <f>Tabla_Items_Inactivos[[#This Row],[EXISTENCIA]]*Tabla_Items_Inactivos[[#This Row],[COSTO]]</f>
        <v>9.0047999999999995</v>
      </c>
    </row>
    <row r="1676" spans="1:8">
      <c r="A1676" t="s">
        <v>3300</v>
      </c>
      <c r="B1676" t="s">
        <v>520</v>
      </c>
      <c r="C1676" t="s">
        <v>521</v>
      </c>
      <c r="D1676" t="s">
        <v>219</v>
      </c>
      <c r="E1676" t="s">
        <v>86</v>
      </c>
      <c r="F1676" s="2">
        <v>0.75039999999999996</v>
      </c>
      <c r="G1676">
        <v>12</v>
      </c>
      <c r="H1676" s="2">
        <f>Tabla_Items_Inactivos[[#This Row],[EXISTENCIA]]*Tabla_Items_Inactivos[[#This Row],[COSTO]]</f>
        <v>9.0047999999999995</v>
      </c>
    </row>
    <row r="1677" spans="1:8">
      <c r="A1677" t="s">
        <v>3300</v>
      </c>
      <c r="B1677" t="s">
        <v>4905</v>
      </c>
      <c r="C1677" t="s">
        <v>4906</v>
      </c>
      <c r="D1677" t="s">
        <v>85</v>
      </c>
      <c r="E1677" t="s">
        <v>86</v>
      </c>
      <c r="F1677" s="2">
        <v>0.46750000000000003</v>
      </c>
      <c r="G1677">
        <v>40</v>
      </c>
      <c r="H1677" s="2">
        <f>Tabla_Items_Inactivos[[#This Row],[EXISTENCIA]]*Tabla_Items_Inactivos[[#This Row],[COSTO]]</f>
        <v>18.700000000000003</v>
      </c>
    </row>
    <row r="1678" spans="1:8">
      <c r="A1678" t="s">
        <v>3300</v>
      </c>
      <c r="B1678" t="s">
        <v>4907</v>
      </c>
      <c r="C1678" t="s">
        <v>4908</v>
      </c>
      <c r="D1678" t="s">
        <v>219</v>
      </c>
      <c r="E1678" t="s">
        <v>86</v>
      </c>
      <c r="F1678" s="2">
        <v>1.48</v>
      </c>
      <c r="G1678">
        <v>5</v>
      </c>
      <c r="H1678" s="2">
        <f>Tabla_Items_Inactivos[[#This Row],[EXISTENCIA]]*Tabla_Items_Inactivos[[#This Row],[COSTO]]</f>
        <v>7.4</v>
      </c>
    </row>
    <row r="1679" spans="1:8">
      <c r="A1679" t="s">
        <v>3300</v>
      </c>
      <c r="B1679" t="s">
        <v>4909</v>
      </c>
      <c r="C1679" t="s">
        <v>4910</v>
      </c>
      <c r="D1679" t="s">
        <v>85</v>
      </c>
      <c r="E1679" t="s">
        <v>86</v>
      </c>
      <c r="F1679" s="2">
        <v>0.34</v>
      </c>
      <c r="G1679">
        <v>41</v>
      </c>
      <c r="H1679" s="2">
        <f>Tabla_Items_Inactivos[[#This Row],[EXISTENCIA]]*Tabla_Items_Inactivos[[#This Row],[COSTO]]</f>
        <v>13.940000000000001</v>
      </c>
    </row>
    <row r="1680" spans="1:8">
      <c r="A1680" t="s">
        <v>3300</v>
      </c>
      <c r="B1680" t="s">
        <v>4911</v>
      </c>
      <c r="C1680" t="s">
        <v>4912</v>
      </c>
      <c r="D1680" t="s">
        <v>436</v>
      </c>
      <c r="E1680" t="s">
        <v>86</v>
      </c>
      <c r="F1680" s="2">
        <v>0.64</v>
      </c>
      <c r="G1680">
        <v>3</v>
      </c>
      <c r="H1680" s="2">
        <f>Tabla_Items_Inactivos[[#This Row],[EXISTENCIA]]*Tabla_Items_Inactivos[[#This Row],[COSTO]]</f>
        <v>1.92</v>
      </c>
    </row>
    <row r="1681" spans="1:8">
      <c r="A1681" t="s">
        <v>3300</v>
      </c>
      <c r="B1681" t="s">
        <v>4913</v>
      </c>
      <c r="C1681" t="s">
        <v>3235</v>
      </c>
      <c r="D1681" t="s">
        <v>85</v>
      </c>
      <c r="E1681" t="s">
        <v>86</v>
      </c>
      <c r="F1681" s="2">
        <v>0.52800000000000002</v>
      </c>
      <c r="G1681">
        <v>17</v>
      </c>
      <c r="H1681" s="2">
        <f>Tabla_Items_Inactivos[[#This Row],[EXISTENCIA]]*Tabla_Items_Inactivos[[#This Row],[COSTO]]</f>
        <v>8.9760000000000009</v>
      </c>
    </row>
    <row r="1682" spans="1:8">
      <c r="A1682" t="s">
        <v>3300</v>
      </c>
      <c r="B1682" t="s">
        <v>3126</v>
      </c>
      <c r="C1682" t="s">
        <v>3127</v>
      </c>
      <c r="D1682" t="s">
        <v>85</v>
      </c>
      <c r="E1682" t="s">
        <v>86</v>
      </c>
      <c r="F1682" s="2">
        <v>0.29139999999999999</v>
      </c>
      <c r="G1682">
        <v>30</v>
      </c>
      <c r="H1682" s="2">
        <f>Tabla_Items_Inactivos[[#This Row],[EXISTENCIA]]*Tabla_Items_Inactivos[[#This Row],[COSTO]]</f>
        <v>8.7419999999999991</v>
      </c>
    </row>
    <row r="1683" spans="1:8">
      <c r="A1683" t="s">
        <v>3300</v>
      </c>
      <c r="B1683" t="s">
        <v>4914</v>
      </c>
      <c r="C1683" t="s">
        <v>4915</v>
      </c>
      <c r="D1683" t="s">
        <v>85</v>
      </c>
      <c r="E1683" t="s">
        <v>86</v>
      </c>
      <c r="F1683" s="2">
        <v>1.9413</v>
      </c>
      <c r="G1683">
        <v>85</v>
      </c>
      <c r="H1683" s="2">
        <f>Tabla_Items_Inactivos[[#This Row],[EXISTENCIA]]*Tabla_Items_Inactivos[[#This Row],[COSTO]]</f>
        <v>165.01050000000001</v>
      </c>
    </row>
    <row r="1684" spans="1:8">
      <c r="A1684" t="s">
        <v>3301</v>
      </c>
      <c r="B1684" t="s">
        <v>4914</v>
      </c>
      <c r="C1684" t="s">
        <v>4915</v>
      </c>
      <c r="D1684" t="s">
        <v>85</v>
      </c>
      <c r="E1684" t="s">
        <v>86</v>
      </c>
      <c r="F1684" s="2">
        <v>1.9413</v>
      </c>
      <c r="G1684">
        <v>85</v>
      </c>
      <c r="H1684" s="2">
        <f>Tabla_Items_Inactivos[[#This Row],[EXISTENCIA]]*Tabla_Items_Inactivos[[#This Row],[COSTO]]</f>
        <v>165.01050000000001</v>
      </c>
    </row>
    <row r="1685" spans="1:8">
      <c r="A1685" t="s">
        <v>3300</v>
      </c>
      <c r="B1685" t="s">
        <v>522</v>
      </c>
      <c r="C1685" t="s">
        <v>4916</v>
      </c>
      <c r="D1685" t="s">
        <v>85</v>
      </c>
      <c r="E1685" t="s">
        <v>86</v>
      </c>
      <c r="F1685" s="2">
        <v>0.32290000000000002</v>
      </c>
      <c r="G1685">
        <v>40</v>
      </c>
      <c r="H1685" s="2">
        <f>Tabla_Items_Inactivos[[#This Row],[EXISTENCIA]]*Tabla_Items_Inactivos[[#This Row],[COSTO]]</f>
        <v>12.916</v>
      </c>
    </row>
    <row r="1686" spans="1:8">
      <c r="A1686" t="s">
        <v>3301</v>
      </c>
      <c r="B1686" t="s">
        <v>522</v>
      </c>
      <c r="C1686" t="s">
        <v>4916</v>
      </c>
      <c r="D1686" t="s">
        <v>85</v>
      </c>
      <c r="E1686" t="s">
        <v>86</v>
      </c>
      <c r="F1686" s="2">
        <v>0.32290000000000002</v>
      </c>
      <c r="G1686">
        <v>40</v>
      </c>
      <c r="H1686" s="2">
        <f>Tabla_Items_Inactivos[[#This Row],[EXISTENCIA]]*Tabla_Items_Inactivos[[#This Row],[COSTO]]</f>
        <v>12.916</v>
      </c>
    </row>
    <row r="1687" spans="1:8">
      <c r="A1687" t="s">
        <v>3300</v>
      </c>
      <c r="B1687" t="s">
        <v>3128</v>
      </c>
      <c r="C1687" t="s">
        <v>4917</v>
      </c>
      <c r="D1687" t="s">
        <v>85</v>
      </c>
      <c r="E1687" t="s">
        <v>86</v>
      </c>
      <c r="F1687" s="2">
        <v>0.23699999999999999</v>
      </c>
      <c r="G1687">
        <v>15</v>
      </c>
      <c r="H1687" s="2">
        <f>Tabla_Items_Inactivos[[#This Row],[EXISTENCIA]]*Tabla_Items_Inactivos[[#This Row],[COSTO]]</f>
        <v>3.5549999999999997</v>
      </c>
    </row>
    <row r="1688" spans="1:8">
      <c r="A1688" t="s">
        <v>3300</v>
      </c>
      <c r="B1688" t="s">
        <v>4918</v>
      </c>
      <c r="C1688" t="s">
        <v>4919</v>
      </c>
      <c r="D1688" t="s">
        <v>85</v>
      </c>
      <c r="E1688" t="s">
        <v>86</v>
      </c>
      <c r="F1688" s="2">
        <v>0.2382</v>
      </c>
      <c r="G1688">
        <v>40</v>
      </c>
      <c r="H1688" s="2">
        <f>Tabla_Items_Inactivos[[#This Row],[EXISTENCIA]]*Tabla_Items_Inactivos[[#This Row],[COSTO]]</f>
        <v>9.5280000000000005</v>
      </c>
    </row>
    <row r="1689" spans="1:8">
      <c r="A1689" t="s">
        <v>3300</v>
      </c>
      <c r="B1689" t="s">
        <v>4920</v>
      </c>
      <c r="C1689" t="s">
        <v>4921</v>
      </c>
      <c r="D1689" t="s">
        <v>98</v>
      </c>
      <c r="E1689" t="s">
        <v>86</v>
      </c>
      <c r="F1689" s="2">
        <v>1.9</v>
      </c>
      <c r="G1689">
        <v>5</v>
      </c>
      <c r="H1689" s="2">
        <f>Tabla_Items_Inactivos[[#This Row],[EXISTENCIA]]*Tabla_Items_Inactivos[[#This Row],[COSTO]]</f>
        <v>9.5</v>
      </c>
    </row>
    <row r="1690" spans="1:8">
      <c r="A1690" t="s">
        <v>3300</v>
      </c>
      <c r="B1690" t="s">
        <v>3129</v>
      </c>
      <c r="C1690" t="s">
        <v>3130</v>
      </c>
      <c r="D1690" t="s">
        <v>85</v>
      </c>
      <c r="E1690" t="s">
        <v>86</v>
      </c>
      <c r="F1690" s="2">
        <v>3.3159999999999998</v>
      </c>
      <c r="G1690">
        <v>19</v>
      </c>
      <c r="H1690" s="2">
        <f>Tabla_Items_Inactivos[[#This Row],[EXISTENCIA]]*Tabla_Items_Inactivos[[#This Row],[COSTO]]</f>
        <v>63.003999999999998</v>
      </c>
    </row>
    <row r="1691" spans="1:8">
      <c r="A1691" t="s">
        <v>3300</v>
      </c>
      <c r="B1691" t="s">
        <v>4922</v>
      </c>
      <c r="C1691" t="s">
        <v>4923</v>
      </c>
      <c r="D1691" t="s">
        <v>219</v>
      </c>
      <c r="E1691" t="s">
        <v>86</v>
      </c>
      <c r="F1691" s="2">
        <v>2.95</v>
      </c>
      <c r="G1691">
        <v>2</v>
      </c>
      <c r="H1691" s="2">
        <f>Tabla_Items_Inactivos[[#This Row],[EXISTENCIA]]*Tabla_Items_Inactivos[[#This Row],[COSTO]]</f>
        <v>5.9</v>
      </c>
    </row>
    <row r="1692" spans="1:8">
      <c r="A1692" t="s">
        <v>3300</v>
      </c>
      <c r="B1692" t="s">
        <v>4924</v>
      </c>
      <c r="C1692" t="s">
        <v>4925</v>
      </c>
      <c r="D1692" t="s">
        <v>219</v>
      </c>
      <c r="E1692" t="s">
        <v>86</v>
      </c>
      <c r="F1692" s="2">
        <v>1.54</v>
      </c>
      <c r="G1692">
        <v>3</v>
      </c>
      <c r="H1692" s="2">
        <f>Tabla_Items_Inactivos[[#This Row],[EXISTENCIA]]*Tabla_Items_Inactivos[[#This Row],[COSTO]]</f>
        <v>4.62</v>
      </c>
    </row>
    <row r="1693" spans="1:8">
      <c r="A1693" t="s">
        <v>3300</v>
      </c>
      <c r="B1693" t="s">
        <v>3131</v>
      </c>
      <c r="C1693" t="s">
        <v>3132</v>
      </c>
      <c r="D1693" t="s">
        <v>85</v>
      </c>
      <c r="E1693" t="s">
        <v>86</v>
      </c>
      <c r="F1693" s="2">
        <v>3.0036</v>
      </c>
      <c r="G1693">
        <v>80</v>
      </c>
      <c r="H1693" s="2">
        <f>Tabla_Items_Inactivos[[#This Row],[EXISTENCIA]]*Tabla_Items_Inactivos[[#This Row],[COSTO]]</f>
        <v>240.28800000000001</v>
      </c>
    </row>
    <row r="1694" spans="1:8">
      <c r="A1694" t="s">
        <v>3301</v>
      </c>
      <c r="B1694" t="s">
        <v>3131</v>
      </c>
      <c r="C1694" t="s">
        <v>3132</v>
      </c>
      <c r="D1694" t="s">
        <v>85</v>
      </c>
      <c r="E1694" t="s">
        <v>86</v>
      </c>
      <c r="F1694" s="2">
        <v>3.0036</v>
      </c>
      <c r="G1694">
        <v>80</v>
      </c>
      <c r="H1694" s="2">
        <f>Tabla_Items_Inactivos[[#This Row],[EXISTENCIA]]*Tabla_Items_Inactivos[[#This Row],[COSTO]]</f>
        <v>240.28800000000001</v>
      </c>
    </row>
    <row r="1695" spans="1:8">
      <c r="A1695" t="s">
        <v>3300</v>
      </c>
      <c r="B1695" t="s">
        <v>523</v>
      </c>
      <c r="C1695" t="s">
        <v>4926</v>
      </c>
      <c r="D1695" t="s">
        <v>85</v>
      </c>
      <c r="E1695" t="s">
        <v>86</v>
      </c>
      <c r="F1695" s="2">
        <v>2.5981000000000001</v>
      </c>
      <c r="G1695">
        <v>30</v>
      </c>
      <c r="H1695" s="2">
        <f>Tabla_Items_Inactivos[[#This Row],[EXISTENCIA]]*Tabla_Items_Inactivos[[#This Row],[COSTO]]</f>
        <v>77.942999999999998</v>
      </c>
    </row>
    <row r="1696" spans="1:8">
      <c r="A1696" t="s">
        <v>3301</v>
      </c>
      <c r="B1696" t="s">
        <v>523</v>
      </c>
      <c r="C1696" t="s">
        <v>4926</v>
      </c>
      <c r="D1696" t="s">
        <v>85</v>
      </c>
      <c r="E1696" t="s">
        <v>86</v>
      </c>
      <c r="F1696" s="2">
        <v>2.5981000000000001</v>
      </c>
      <c r="G1696">
        <v>30</v>
      </c>
      <c r="H1696" s="2">
        <f>Tabla_Items_Inactivos[[#This Row],[EXISTENCIA]]*Tabla_Items_Inactivos[[#This Row],[COSTO]]</f>
        <v>77.942999999999998</v>
      </c>
    </row>
    <row r="1697" spans="1:8">
      <c r="A1697" t="s">
        <v>3301</v>
      </c>
      <c r="B1697" t="s">
        <v>4927</v>
      </c>
      <c r="C1697" t="s">
        <v>4928</v>
      </c>
      <c r="D1697" t="s">
        <v>85</v>
      </c>
      <c r="E1697" t="s">
        <v>86</v>
      </c>
      <c r="F1697" s="2">
        <v>2.6812</v>
      </c>
      <c r="G1697">
        <v>11</v>
      </c>
      <c r="H1697" s="2">
        <f>Tabla_Items_Inactivos[[#This Row],[EXISTENCIA]]*Tabla_Items_Inactivos[[#This Row],[COSTO]]</f>
        <v>29.493200000000002</v>
      </c>
    </row>
    <row r="1698" spans="1:8">
      <c r="A1698" t="s">
        <v>3300</v>
      </c>
      <c r="B1698" t="s">
        <v>4927</v>
      </c>
      <c r="C1698" t="s">
        <v>4928</v>
      </c>
      <c r="D1698" t="s">
        <v>85</v>
      </c>
      <c r="E1698" t="s">
        <v>86</v>
      </c>
      <c r="F1698" s="2">
        <v>2.6812</v>
      </c>
      <c r="G1698">
        <v>11</v>
      </c>
      <c r="H1698" s="2">
        <f>Tabla_Items_Inactivos[[#This Row],[EXISTENCIA]]*Tabla_Items_Inactivos[[#This Row],[COSTO]]</f>
        <v>29.493200000000002</v>
      </c>
    </row>
    <row r="1699" spans="1:8">
      <c r="A1699" t="s">
        <v>3300</v>
      </c>
      <c r="B1699" t="s">
        <v>4929</v>
      </c>
      <c r="C1699" t="s">
        <v>4930</v>
      </c>
      <c r="D1699" t="s">
        <v>219</v>
      </c>
      <c r="E1699" t="s">
        <v>86</v>
      </c>
      <c r="F1699" s="2">
        <v>0.90790000000000004</v>
      </c>
      <c r="G1699">
        <v>31</v>
      </c>
      <c r="H1699" s="2">
        <f>Tabla_Items_Inactivos[[#This Row],[EXISTENCIA]]*Tabla_Items_Inactivos[[#This Row],[COSTO]]</f>
        <v>28.1449</v>
      </c>
    </row>
    <row r="1700" spans="1:8">
      <c r="A1700" t="s">
        <v>3301</v>
      </c>
      <c r="B1700" t="s">
        <v>4929</v>
      </c>
      <c r="C1700" t="s">
        <v>4930</v>
      </c>
      <c r="D1700" t="s">
        <v>219</v>
      </c>
      <c r="E1700" t="s">
        <v>86</v>
      </c>
      <c r="F1700" s="2">
        <v>0.90790000000000004</v>
      </c>
      <c r="G1700">
        <v>31</v>
      </c>
      <c r="H1700" s="2">
        <f>Tabla_Items_Inactivos[[#This Row],[EXISTENCIA]]*Tabla_Items_Inactivos[[#This Row],[COSTO]]</f>
        <v>28.1449</v>
      </c>
    </row>
    <row r="1701" spans="1:8">
      <c r="A1701" t="s">
        <v>3300</v>
      </c>
      <c r="B1701" t="s">
        <v>524</v>
      </c>
      <c r="C1701" t="s">
        <v>525</v>
      </c>
      <c r="D1701" t="s">
        <v>219</v>
      </c>
      <c r="E1701" t="s">
        <v>86</v>
      </c>
      <c r="F1701" s="2">
        <v>0.77969999999999995</v>
      </c>
      <c r="G1701">
        <v>14</v>
      </c>
      <c r="H1701" s="2">
        <f>Tabla_Items_Inactivos[[#This Row],[EXISTENCIA]]*Tabla_Items_Inactivos[[#This Row],[COSTO]]</f>
        <v>10.915799999999999</v>
      </c>
    </row>
    <row r="1702" spans="1:8">
      <c r="A1702" t="s">
        <v>3301</v>
      </c>
      <c r="B1702" t="s">
        <v>524</v>
      </c>
      <c r="C1702" t="s">
        <v>525</v>
      </c>
      <c r="D1702" t="s">
        <v>219</v>
      </c>
      <c r="E1702" t="s">
        <v>86</v>
      </c>
      <c r="F1702" s="2">
        <v>0.77969999999999995</v>
      </c>
      <c r="G1702">
        <v>14</v>
      </c>
      <c r="H1702" s="2">
        <f>Tabla_Items_Inactivos[[#This Row],[EXISTENCIA]]*Tabla_Items_Inactivos[[#This Row],[COSTO]]</f>
        <v>10.915799999999999</v>
      </c>
    </row>
    <row r="1703" spans="1:8">
      <c r="A1703" t="s">
        <v>3300</v>
      </c>
      <c r="B1703" t="s">
        <v>4931</v>
      </c>
      <c r="C1703" t="s">
        <v>4932</v>
      </c>
      <c r="D1703" t="s">
        <v>85</v>
      </c>
      <c r="E1703" t="s">
        <v>86</v>
      </c>
      <c r="F1703" s="2">
        <v>0</v>
      </c>
      <c r="G1703">
        <v>4</v>
      </c>
      <c r="H1703" s="2">
        <f>Tabla_Items_Inactivos[[#This Row],[EXISTENCIA]]*Tabla_Items_Inactivos[[#This Row],[COSTO]]</f>
        <v>0</v>
      </c>
    </row>
    <row r="1704" spans="1:8">
      <c r="A1704" t="s">
        <v>3300</v>
      </c>
      <c r="B1704" t="s">
        <v>526</v>
      </c>
      <c r="C1704" t="s">
        <v>527</v>
      </c>
      <c r="D1704" t="s">
        <v>85</v>
      </c>
      <c r="E1704" t="s">
        <v>86</v>
      </c>
      <c r="F1704" s="2">
        <v>0.755</v>
      </c>
      <c r="G1704">
        <v>2</v>
      </c>
      <c r="H1704" s="2">
        <f>Tabla_Items_Inactivos[[#This Row],[EXISTENCIA]]*Tabla_Items_Inactivos[[#This Row],[COSTO]]</f>
        <v>1.51</v>
      </c>
    </row>
    <row r="1705" spans="1:8">
      <c r="A1705" t="s">
        <v>3300</v>
      </c>
      <c r="B1705" t="s">
        <v>528</v>
      </c>
      <c r="C1705" t="s">
        <v>529</v>
      </c>
      <c r="D1705" t="s">
        <v>219</v>
      </c>
      <c r="E1705" t="s">
        <v>86</v>
      </c>
      <c r="F1705" s="2">
        <v>1.65</v>
      </c>
      <c r="G1705">
        <v>6</v>
      </c>
      <c r="H1705" s="2">
        <f>Tabla_Items_Inactivos[[#This Row],[EXISTENCIA]]*Tabla_Items_Inactivos[[#This Row],[COSTO]]</f>
        <v>9.8999999999999986</v>
      </c>
    </row>
    <row r="1706" spans="1:8">
      <c r="A1706" t="s">
        <v>3300</v>
      </c>
      <c r="B1706" t="s">
        <v>4933</v>
      </c>
      <c r="C1706" t="s">
        <v>4934</v>
      </c>
      <c r="D1706" t="s">
        <v>85</v>
      </c>
      <c r="E1706" t="s">
        <v>86</v>
      </c>
      <c r="F1706" s="2">
        <v>0.20599999999999999</v>
      </c>
      <c r="G1706">
        <v>30</v>
      </c>
      <c r="H1706" s="2">
        <f>Tabla_Items_Inactivos[[#This Row],[EXISTENCIA]]*Tabla_Items_Inactivos[[#This Row],[COSTO]]</f>
        <v>6.18</v>
      </c>
    </row>
    <row r="1707" spans="1:8">
      <c r="A1707" t="s">
        <v>3300</v>
      </c>
      <c r="B1707" t="s">
        <v>530</v>
      </c>
      <c r="C1707" t="s">
        <v>531</v>
      </c>
      <c r="D1707" t="s">
        <v>219</v>
      </c>
      <c r="E1707" t="s">
        <v>86</v>
      </c>
      <c r="F1707" s="2">
        <v>0</v>
      </c>
      <c r="G1707">
        <v>12</v>
      </c>
      <c r="H1707" s="2">
        <f>Tabla_Items_Inactivos[[#This Row],[EXISTENCIA]]*Tabla_Items_Inactivos[[#This Row],[COSTO]]</f>
        <v>0</v>
      </c>
    </row>
    <row r="1708" spans="1:8">
      <c r="A1708" t="s">
        <v>3300</v>
      </c>
      <c r="B1708" t="s">
        <v>4935</v>
      </c>
      <c r="C1708" t="s">
        <v>4936</v>
      </c>
      <c r="D1708" t="s">
        <v>219</v>
      </c>
      <c r="E1708" t="s">
        <v>86</v>
      </c>
      <c r="F1708" s="2">
        <v>0.92579999999999996</v>
      </c>
      <c r="G1708">
        <v>6</v>
      </c>
      <c r="H1708" s="2">
        <f>Tabla_Items_Inactivos[[#This Row],[EXISTENCIA]]*Tabla_Items_Inactivos[[#This Row],[COSTO]]</f>
        <v>5.5548000000000002</v>
      </c>
    </row>
    <row r="1709" spans="1:8">
      <c r="A1709" t="s">
        <v>3301</v>
      </c>
      <c r="B1709" t="s">
        <v>4935</v>
      </c>
      <c r="C1709" t="s">
        <v>4936</v>
      </c>
      <c r="D1709" t="s">
        <v>219</v>
      </c>
      <c r="E1709" t="s">
        <v>86</v>
      </c>
      <c r="F1709" s="2">
        <v>0.92579999999999996</v>
      </c>
      <c r="G1709">
        <v>6</v>
      </c>
      <c r="H1709" s="2">
        <f>Tabla_Items_Inactivos[[#This Row],[EXISTENCIA]]*Tabla_Items_Inactivos[[#This Row],[COSTO]]</f>
        <v>5.5548000000000002</v>
      </c>
    </row>
    <row r="1710" spans="1:8">
      <c r="A1710" t="s">
        <v>3300</v>
      </c>
      <c r="B1710" t="s">
        <v>3133</v>
      </c>
      <c r="C1710" t="s">
        <v>3134</v>
      </c>
      <c r="D1710" t="s">
        <v>85</v>
      </c>
      <c r="E1710" t="s">
        <v>86</v>
      </c>
      <c r="F1710" s="2">
        <v>0.66439999999999999</v>
      </c>
      <c r="G1710">
        <v>23</v>
      </c>
      <c r="H1710" s="2">
        <f>Tabla_Items_Inactivos[[#This Row],[EXISTENCIA]]*Tabla_Items_Inactivos[[#This Row],[COSTO]]</f>
        <v>15.2812</v>
      </c>
    </row>
    <row r="1711" spans="1:8">
      <c r="A1711" t="s">
        <v>3301</v>
      </c>
      <c r="B1711" t="s">
        <v>4937</v>
      </c>
      <c r="C1711" t="s">
        <v>4938</v>
      </c>
      <c r="D1711" t="s">
        <v>85</v>
      </c>
      <c r="E1711" t="s">
        <v>86</v>
      </c>
      <c r="F1711" s="2">
        <v>1.1608000000000001</v>
      </c>
      <c r="G1711">
        <v>242</v>
      </c>
      <c r="H1711" s="2">
        <f>Tabla_Items_Inactivos[[#This Row],[EXISTENCIA]]*Tabla_Items_Inactivos[[#This Row],[COSTO]]</f>
        <v>280.91360000000003</v>
      </c>
    </row>
    <row r="1712" spans="1:8">
      <c r="A1712" t="s">
        <v>3300</v>
      </c>
      <c r="B1712" t="s">
        <v>4937</v>
      </c>
      <c r="C1712" t="s">
        <v>4938</v>
      </c>
      <c r="D1712" t="s">
        <v>85</v>
      </c>
      <c r="E1712" t="s">
        <v>86</v>
      </c>
      <c r="F1712" s="2">
        <v>1.1608000000000001</v>
      </c>
      <c r="G1712">
        <v>242</v>
      </c>
      <c r="H1712" s="2">
        <f>Tabla_Items_Inactivos[[#This Row],[EXISTENCIA]]*Tabla_Items_Inactivos[[#This Row],[COSTO]]</f>
        <v>280.91360000000003</v>
      </c>
    </row>
    <row r="1713" spans="1:8">
      <c r="A1713" t="s">
        <v>3300</v>
      </c>
      <c r="B1713" t="s">
        <v>4939</v>
      </c>
      <c r="C1713" t="s">
        <v>4940</v>
      </c>
      <c r="D1713" t="s">
        <v>85</v>
      </c>
      <c r="E1713" t="s">
        <v>86</v>
      </c>
      <c r="F1713" s="2">
        <v>0.79169999999999996</v>
      </c>
      <c r="G1713">
        <v>95</v>
      </c>
      <c r="H1713" s="2">
        <f>Tabla_Items_Inactivos[[#This Row],[EXISTENCIA]]*Tabla_Items_Inactivos[[#This Row],[COSTO]]</f>
        <v>75.211500000000001</v>
      </c>
    </row>
    <row r="1714" spans="1:8">
      <c r="A1714" t="s">
        <v>3301</v>
      </c>
      <c r="B1714" t="s">
        <v>4939</v>
      </c>
      <c r="C1714" t="s">
        <v>4940</v>
      </c>
      <c r="D1714" t="s">
        <v>85</v>
      </c>
      <c r="E1714" t="s">
        <v>86</v>
      </c>
      <c r="F1714" s="2">
        <v>0.79169999999999996</v>
      </c>
      <c r="G1714">
        <v>95</v>
      </c>
      <c r="H1714" s="2">
        <f>Tabla_Items_Inactivos[[#This Row],[EXISTENCIA]]*Tabla_Items_Inactivos[[#This Row],[COSTO]]</f>
        <v>75.211500000000001</v>
      </c>
    </row>
    <row r="1715" spans="1:8">
      <c r="A1715" t="s">
        <v>3300</v>
      </c>
      <c r="B1715" t="s">
        <v>532</v>
      </c>
      <c r="C1715" t="s">
        <v>533</v>
      </c>
      <c r="D1715" t="s">
        <v>85</v>
      </c>
      <c r="E1715" t="s">
        <v>86</v>
      </c>
      <c r="F1715" s="2">
        <v>0.39419999999999999</v>
      </c>
      <c r="G1715">
        <v>175</v>
      </c>
      <c r="H1715" s="2">
        <f>Tabla_Items_Inactivos[[#This Row],[EXISTENCIA]]*Tabla_Items_Inactivos[[#This Row],[COSTO]]</f>
        <v>68.984999999999999</v>
      </c>
    </row>
    <row r="1716" spans="1:8">
      <c r="A1716" t="s">
        <v>3301</v>
      </c>
      <c r="B1716" t="s">
        <v>532</v>
      </c>
      <c r="C1716" t="s">
        <v>533</v>
      </c>
      <c r="D1716" t="s">
        <v>85</v>
      </c>
      <c r="E1716" t="s">
        <v>86</v>
      </c>
      <c r="F1716" s="2">
        <v>0.39419999999999999</v>
      </c>
      <c r="G1716">
        <v>175</v>
      </c>
      <c r="H1716" s="2">
        <f>Tabla_Items_Inactivos[[#This Row],[EXISTENCIA]]*Tabla_Items_Inactivos[[#This Row],[COSTO]]</f>
        <v>68.984999999999999</v>
      </c>
    </row>
    <row r="1717" spans="1:8">
      <c r="A1717" t="s">
        <v>3301</v>
      </c>
      <c r="B1717" t="s">
        <v>3135</v>
      </c>
      <c r="C1717" t="s">
        <v>3136</v>
      </c>
      <c r="D1717" t="s">
        <v>85</v>
      </c>
      <c r="E1717" t="s">
        <v>86</v>
      </c>
      <c r="F1717" s="2">
        <v>1.4907999999999999</v>
      </c>
      <c r="G1717">
        <v>97</v>
      </c>
      <c r="H1717" s="2">
        <f>Tabla_Items_Inactivos[[#This Row],[EXISTENCIA]]*Tabla_Items_Inactivos[[#This Row],[COSTO]]</f>
        <v>144.60759999999999</v>
      </c>
    </row>
    <row r="1718" spans="1:8">
      <c r="A1718" t="s">
        <v>3300</v>
      </c>
      <c r="B1718" t="s">
        <v>3135</v>
      </c>
      <c r="C1718" t="s">
        <v>3136</v>
      </c>
      <c r="D1718" t="s">
        <v>85</v>
      </c>
      <c r="E1718" t="s">
        <v>86</v>
      </c>
      <c r="F1718" s="2">
        <v>1.4907999999999999</v>
      </c>
      <c r="G1718">
        <v>97</v>
      </c>
      <c r="H1718" s="2">
        <f>Tabla_Items_Inactivos[[#This Row],[EXISTENCIA]]*Tabla_Items_Inactivos[[#This Row],[COSTO]]</f>
        <v>144.60759999999999</v>
      </c>
    </row>
    <row r="1719" spans="1:8">
      <c r="A1719" t="s">
        <v>3300</v>
      </c>
      <c r="B1719" t="s">
        <v>4941</v>
      </c>
      <c r="C1719" t="s">
        <v>4942</v>
      </c>
      <c r="D1719" t="s">
        <v>219</v>
      </c>
      <c r="E1719" t="s">
        <v>86</v>
      </c>
      <c r="F1719" s="2">
        <v>0.51349999999999996</v>
      </c>
      <c r="G1719">
        <v>12</v>
      </c>
      <c r="H1719" s="2">
        <f>Tabla_Items_Inactivos[[#This Row],[EXISTENCIA]]*Tabla_Items_Inactivos[[#This Row],[COSTO]]</f>
        <v>6.161999999999999</v>
      </c>
    </row>
    <row r="1720" spans="1:8">
      <c r="A1720" t="s">
        <v>3301</v>
      </c>
      <c r="B1720" t="s">
        <v>4941</v>
      </c>
      <c r="C1720" t="s">
        <v>4942</v>
      </c>
      <c r="D1720" t="s">
        <v>219</v>
      </c>
      <c r="E1720" t="s">
        <v>86</v>
      </c>
      <c r="F1720" s="2">
        <v>0.51349999999999996</v>
      </c>
      <c r="G1720">
        <v>12</v>
      </c>
      <c r="H1720" s="2">
        <f>Tabla_Items_Inactivos[[#This Row],[EXISTENCIA]]*Tabla_Items_Inactivos[[#This Row],[COSTO]]</f>
        <v>6.161999999999999</v>
      </c>
    </row>
    <row r="1721" spans="1:8">
      <c r="A1721" t="s">
        <v>3300</v>
      </c>
      <c r="B1721" t="s">
        <v>4943</v>
      </c>
      <c r="C1721" t="s">
        <v>4944</v>
      </c>
      <c r="D1721" t="s">
        <v>219</v>
      </c>
      <c r="E1721" t="s">
        <v>86</v>
      </c>
      <c r="F1721" s="2">
        <v>1.1519999999999999</v>
      </c>
      <c r="G1721">
        <v>18</v>
      </c>
      <c r="H1721" s="2">
        <f>Tabla_Items_Inactivos[[#This Row],[EXISTENCIA]]*Tabla_Items_Inactivos[[#This Row],[COSTO]]</f>
        <v>20.735999999999997</v>
      </c>
    </row>
    <row r="1722" spans="1:8">
      <c r="A1722" t="s">
        <v>3300</v>
      </c>
      <c r="B1722" t="s">
        <v>3137</v>
      </c>
      <c r="C1722" t="s">
        <v>4945</v>
      </c>
      <c r="D1722" t="s">
        <v>219</v>
      </c>
      <c r="E1722" t="s">
        <v>86</v>
      </c>
      <c r="F1722" s="2">
        <v>1.2011000000000001</v>
      </c>
      <c r="G1722">
        <v>26</v>
      </c>
      <c r="H1722" s="2">
        <f>Tabla_Items_Inactivos[[#This Row],[EXISTENCIA]]*Tabla_Items_Inactivos[[#This Row],[COSTO]]</f>
        <v>31.2286</v>
      </c>
    </row>
    <row r="1723" spans="1:8">
      <c r="A1723" t="s">
        <v>3301</v>
      </c>
      <c r="B1723" t="s">
        <v>3137</v>
      </c>
      <c r="C1723" t="s">
        <v>4945</v>
      </c>
      <c r="D1723" t="s">
        <v>219</v>
      </c>
      <c r="E1723" t="s">
        <v>86</v>
      </c>
      <c r="F1723" s="2">
        <v>1.2011000000000001</v>
      </c>
      <c r="G1723">
        <v>26</v>
      </c>
      <c r="H1723" s="2">
        <f>Tabla_Items_Inactivos[[#This Row],[EXISTENCIA]]*Tabla_Items_Inactivos[[#This Row],[COSTO]]</f>
        <v>31.2286</v>
      </c>
    </row>
    <row r="1724" spans="1:8">
      <c r="A1724" t="s">
        <v>3301</v>
      </c>
      <c r="B1724" t="s">
        <v>534</v>
      </c>
      <c r="C1724" t="s">
        <v>535</v>
      </c>
      <c r="D1724" t="s">
        <v>219</v>
      </c>
      <c r="E1724" t="s">
        <v>86</v>
      </c>
      <c r="F1724" s="2">
        <v>0.72270000000000001</v>
      </c>
      <c r="G1724">
        <v>23</v>
      </c>
      <c r="H1724" s="2">
        <f>Tabla_Items_Inactivos[[#This Row],[EXISTENCIA]]*Tabla_Items_Inactivos[[#This Row],[COSTO]]</f>
        <v>16.6221</v>
      </c>
    </row>
    <row r="1725" spans="1:8">
      <c r="A1725" t="s">
        <v>3300</v>
      </c>
      <c r="B1725" t="s">
        <v>534</v>
      </c>
      <c r="C1725" t="s">
        <v>535</v>
      </c>
      <c r="D1725" t="s">
        <v>219</v>
      </c>
      <c r="E1725" t="s">
        <v>86</v>
      </c>
      <c r="F1725" s="2">
        <v>0.72270000000000001</v>
      </c>
      <c r="G1725">
        <v>23</v>
      </c>
      <c r="H1725" s="2">
        <f>Tabla_Items_Inactivos[[#This Row],[EXISTENCIA]]*Tabla_Items_Inactivos[[#This Row],[COSTO]]</f>
        <v>16.6221</v>
      </c>
    </row>
    <row r="1726" spans="1:8">
      <c r="A1726" t="s">
        <v>3300</v>
      </c>
      <c r="B1726" t="s">
        <v>536</v>
      </c>
      <c r="C1726" t="s">
        <v>537</v>
      </c>
      <c r="D1726" t="s">
        <v>219</v>
      </c>
      <c r="E1726" t="s">
        <v>86</v>
      </c>
      <c r="F1726" s="2">
        <v>0.95609999999999995</v>
      </c>
      <c r="G1726">
        <v>5</v>
      </c>
      <c r="H1726" s="2">
        <f>Tabla_Items_Inactivos[[#This Row],[EXISTENCIA]]*Tabla_Items_Inactivos[[#This Row],[COSTO]]</f>
        <v>4.7805</v>
      </c>
    </row>
    <row r="1727" spans="1:8">
      <c r="A1727" t="s">
        <v>3301</v>
      </c>
      <c r="B1727" t="s">
        <v>536</v>
      </c>
      <c r="C1727" t="s">
        <v>537</v>
      </c>
      <c r="D1727" t="s">
        <v>219</v>
      </c>
      <c r="E1727" t="s">
        <v>86</v>
      </c>
      <c r="F1727" s="2">
        <v>0.95609999999999995</v>
      </c>
      <c r="G1727">
        <v>5</v>
      </c>
      <c r="H1727" s="2">
        <f>Tabla_Items_Inactivos[[#This Row],[EXISTENCIA]]*Tabla_Items_Inactivos[[#This Row],[COSTO]]</f>
        <v>4.7805</v>
      </c>
    </row>
    <row r="1728" spans="1:8">
      <c r="A1728" t="s">
        <v>3300</v>
      </c>
      <c r="B1728" t="s">
        <v>4946</v>
      </c>
      <c r="C1728" t="s">
        <v>4947</v>
      </c>
      <c r="D1728" t="s">
        <v>219</v>
      </c>
      <c r="E1728" t="s">
        <v>86</v>
      </c>
      <c r="F1728" s="2">
        <v>1.5129999999999999</v>
      </c>
      <c r="G1728">
        <v>10</v>
      </c>
      <c r="H1728" s="2">
        <f>Tabla_Items_Inactivos[[#This Row],[EXISTENCIA]]*Tabla_Items_Inactivos[[#This Row],[COSTO]]</f>
        <v>15.129999999999999</v>
      </c>
    </row>
    <row r="1729" spans="1:8">
      <c r="A1729" t="s">
        <v>3300</v>
      </c>
      <c r="B1729" t="s">
        <v>4948</v>
      </c>
      <c r="C1729" t="s">
        <v>4949</v>
      </c>
      <c r="D1729" t="s">
        <v>219</v>
      </c>
      <c r="E1729" t="s">
        <v>86</v>
      </c>
      <c r="F1729" s="2">
        <v>0.35310000000000002</v>
      </c>
      <c r="G1729">
        <v>37</v>
      </c>
      <c r="H1729" s="2">
        <f>Tabla_Items_Inactivos[[#This Row],[EXISTENCIA]]*Tabla_Items_Inactivos[[#This Row],[COSTO]]</f>
        <v>13.0647</v>
      </c>
    </row>
    <row r="1730" spans="1:8">
      <c r="A1730" t="s">
        <v>3301</v>
      </c>
      <c r="B1730" t="s">
        <v>4948</v>
      </c>
      <c r="C1730" t="s">
        <v>4949</v>
      </c>
      <c r="D1730" t="s">
        <v>219</v>
      </c>
      <c r="E1730" t="s">
        <v>86</v>
      </c>
      <c r="F1730" s="2">
        <v>0.35310000000000002</v>
      </c>
      <c r="G1730">
        <v>37</v>
      </c>
      <c r="H1730" s="2">
        <f>Tabla_Items_Inactivos[[#This Row],[EXISTENCIA]]*Tabla_Items_Inactivos[[#This Row],[COSTO]]</f>
        <v>13.0647</v>
      </c>
    </row>
    <row r="1731" spans="1:8">
      <c r="A1731" t="s">
        <v>3300</v>
      </c>
      <c r="B1731" t="s">
        <v>4950</v>
      </c>
      <c r="C1731" t="s">
        <v>3267</v>
      </c>
      <c r="D1731" t="s">
        <v>219</v>
      </c>
      <c r="E1731" t="s">
        <v>86</v>
      </c>
      <c r="F1731" s="2">
        <v>2.8214999999999999</v>
      </c>
      <c r="G1731">
        <v>19</v>
      </c>
      <c r="H1731" s="2">
        <f>Tabla_Items_Inactivos[[#This Row],[EXISTENCIA]]*Tabla_Items_Inactivos[[#This Row],[COSTO]]</f>
        <v>53.608499999999999</v>
      </c>
    </row>
    <row r="1732" spans="1:8">
      <c r="A1732" t="s">
        <v>3301</v>
      </c>
      <c r="B1732" t="s">
        <v>4950</v>
      </c>
      <c r="C1732" t="s">
        <v>3267</v>
      </c>
      <c r="D1732" t="s">
        <v>219</v>
      </c>
      <c r="E1732" t="s">
        <v>86</v>
      </c>
      <c r="F1732" s="2">
        <v>2.8214999999999999</v>
      </c>
      <c r="G1732">
        <v>19</v>
      </c>
      <c r="H1732" s="2">
        <f>Tabla_Items_Inactivos[[#This Row],[EXISTENCIA]]*Tabla_Items_Inactivos[[#This Row],[COSTO]]</f>
        <v>53.608499999999999</v>
      </c>
    </row>
    <row r="1733" spans="1:8">
      <c r="A1733" t="s">
        <v>3300</v>
      </c>
      <c r="B1733" t="s">
        <v>3138</v>
      </c>
      <c r="C1733" t="s">
        <v>3139</v>
      </c>
      <c r="D1733" t="s">
        <v>85</v>
      </c>
      <c r="E1733" t="s">
        <v>86</v>
      </c>
      <c r="F1733" s="2">
        <v>1.4448000000000001</v>
      </c>
      <c r="G1733">
        <v>12</v>
      </c>
      <c r="H1733" s="2">
        <f>Tabla_Items_Inactivos[[#This Row],[EXISTENCIA]]*Tabla_Items_Inactivos[[#This Row],[COSTO]]</f>
        <v>17.337600000000002</v>
      </c>
    </row>
    <row r="1734" spans="1:8">
      <c r="A1734" t="s">
        <v>3301</v>
      </c>
      <c r="B1734" t="s">
        <v>3138</v>
      </c>
      <c r="C1734" t="s">
        <v>3139</v>
      </c>
      <c r="D1734" t="s">
        <v>85</v>
      </c>
      <c r="E1734" t="s">
        <v>86</v>
      </c>
      <c r="F1734" s="2">
        <v>1.4448000000000001</v>
      </c>
      <c r="G1734">
        <v>12</v>
      </c>
      <c r="H1734" s="2">
        <f>Tabla_Items_Inactivos[[#This Row],[EXISTENCIA]]*Tabla_Items_Inactivos[[#This Row],[COSTO]]</f>
        <v>17.337600000000002</v>
      </c>
    </row>
    <row r="1735" spans="1:8">
      <c r="A1735" t="s">
        <v>3300</v>
      </c>
      <c r="B1735" t="s">
        <v>3140</v>
      </c>
      <c r="C1735" t="s">
        <v>3141</v>
      </c>
      <c r="D1735" t="s">
        <v>85</v>
      </c>
      <c r="E1735" t="s">
        <v>86</v>
      </c>
      <c r="F1735" s="2">
        <v>0</v>
      </c>
      <c r="G1735">
        <v>21</v>
      </c>
      <c r="H1735" s="2">
        <f>Tabla_Items_Inactivos[[#This Row],[EXISTENCIA]]*Tabla_Items_Inactivos[[#This Row],[COSTO]]</f>
        <v>0</v>
      </c>
    </row>
    <row r="1736" spans="1:8">
      <c r="A1736" t="s">
        <v>3300</v>
      </c>
      <c r="B1736" t="s">
        <v>4951</v>
      </c>
      <c r="C1736" t="s">
        <v>2165</v>
      </c>
      <c r="D1736" t="s">
        <v>85</v>
      </c>
      <c r="E1736" t="s">
        <v>86</v>
      </c>
      <c r="F1736" s="2">
        <v>0.09</v>
      </c>
      <c r="G1736">
        <v>2</v>
      </c>
      <c r="H1736" s="2">
        <f>Tabla_Items_Inactivos[[#This Row],[EXISTENCIA]]*Tabla_Items_Inactivos[[#This Row],[COSTO]]</f>
        <v>0.18</v>
      </c>
    </row>
    <row r="1737" spans="1:8">
      <c r="A1737" t="s">
        <v>3300</v>
      </c>
      <c r="B1737" t="s">
        <v>3142</v>
      </c>
      <c r="C1737" t="s">
        <v>3143</v>
      </c>
      <c r="D1737" t="s">
        <v>98</v>
      </c>
      <c r="E1737" t="s">
        <v>86</v>
      </c>
      <c r="F1737" s="2">
        <v>0.81599999999999995</v>
      </c>
      <c r="G1737">
        <v>10</v>
      </c>
      <c r="H1737" s="2">
        <f>Tabla_Items_Inactivos[[#This Row],[EXISTENCIA]]*Tabla_Items_Inactivos[[#This Row],[COSTO]]</f>
        <v>8.16</v>
      </c>
    </row>
    <row r="1738" spans="1:8">
      <c r="A1738" t="s">
        <v>3300</v>
      </c>
      <c r="B1738" t="s">
        <v>3144</v>
      </c>
      <c r="C1738" t="s">
        <v>3145</v>
      </c>
      <c r="D1738" t="s">
        <v>85</v>
      </c>
      <c r="E1738" t="s">
        <v>86</v>
      </c>
      <c r="F1738" s="2">
        <v>0.2392</v>
      </c>
      <c r="G1738">
        <v>35</v>
      </c>
      <c r="H1738" s="2">
        <f>Tabla_Items_Inactivos[[#This Row],[EXISTENCIA]]*Tabla_Items_Inactivos[[#This Row],[COSTO]]</f>
        <v>8.3719999999999999</v>
      </c>
    </row>
    <row r="1739" spans="1:8">
      <c r="A1739" t="s">
        <v>3300</v>
      </c>
      <c r="B1739" t="s">
        <v>4952</v>
      </c>
      <c r="C1739" t="s">
        <v>4953</v>
      </c>
      <c r="D1739" t="s">
        <v>85</v>
      </c>
      <c r="E1739" t="s">
        <v>86</v>
      </c>
      <c r="F1739" s="2">
        <v>0.39560000000000001</v>
      </c>
      <c r="G1739">
        <v>89</v>
      </c>
      <c r="H1739" s="2">
        <f>Tabla_Items_Inactivos[[#This Row],[EXISTENCIA]]*Tabla_Items_Inactivos[[#This Row],[COSTO]]</f>
        <v>35.208399999999997</v>
      </c>
    </row>
    <row r="1740" spans="1:8">
      <c r="A1740" t="s">
        <v>3301</v>
      </c>
      <c r="B1740" t="s">
        <v>4952</v>
      </c>
      <c r="C1740" t="s">
        <v>4953</v>
      </c>
      <c r="D1740" t="s">
        <v>85</v>
      </c>
      <c r="E1740" t="s">
        <v>86</v>
      </c>
      <c r="F1740" s="2">
        <v>0.39560000000000001</v>
      </c>
      <c r="G1740">
        <v>89</v>
      </c>
      <c r="H1740" s="2">
        <f>Tabla_Items_Inactivos[[#This Row],[EXISTENCIA]]*Tabla_Items_Inactivos[[#This Row],[COSTO]]</f>
        <v>35.208399999999997</v>
      </c>
    </row>
    <row r="1741" spans="1:8">
      <c r="A1741" t="s">
        <v>3300</v>
      </c>
      <c r="B1741" t="s">
        <v>4954</v>
      </c>
      <c r="C1741" t="s">
        <v>4955</v>
      </c>
      <c r="D1741" t="s">
        <v>85</v>
      </c>
      <c r="E1741" t="s">
        <v>86</v>
      </c>
      <c r="F1741" s="2">
        <v>3.43</v>
      </c>
      <c r="G1741">
        <v>4</v>
      </c>
      <c r="H1741" s="2">
        <f>Tabla_Items_Inactivos[[#This Row],[EXISTENCIA]]*Tabla_Items_Inactivos[[#This Row],[COSTO]]</f>
        <v>13.72</v>
      </c>
    </row>
    <row r="1742" spans="1:8">
      <c r="A1742" t="s">
        <v>3300</v>
      </c>
      <c r="B1742" t="s">
        <v>4956</v>
      </c>
      <c r="C1742" t="s">
        <v>3247</v>
      </c>
      <c r="D1742" t="s">
        <v>219</v>
      </c>
      <c r="E1742" t="s">
        <v>86</v>
      </c>
      <c r="F1742" s="2">
        <v>1.034</v>
      </c>
      <c r="G1742">
        <v>9</v>
      </c>
      <c r="H1742" s="2">
        <f>Tabla_Items_Inactivos[[#This Row],[EXISTENCIA]]*Tabla_Items_Inactivos[[#This Row],[COSTO]]</f>
        <v>9.3060000000000009</v>
      </c>
    </row>
    <row r="1743" spans="1:8">
      <c r="A1743" t="s">
        <v>3301</v>
      </c>
      <c r="B1743" t="s">
        <v>4956</v>
      </c>
      <c r="C1743" t="s">
        <v>3247</v>
      </c>
      <c r="D1743" t="s">
        <v>219</v>
      </c>
      <c r="E1743" t="s">
        <v>86</v>
      </c>
      <c r="F1743" s="2">
        <v>1.034</v>
      </c>
      <c r="G1743">
        <v>9</v>
      </c>
      <c r="H1743" s="2">
        <f>Tabla_Items_Inactivos[[#This Row],[EXISTENCIA]]*Tabla_Items_Inactivos[[#This Row],[COSTO]]</f>
        <v>9.3060000000000009</v>
      </c>
    </row>
    <row r="1744" spans="1:8">
      <c r="A1744" t="s">
        <v>3300</v>
      </c>
      <c r="B1744" t="s">
        <v>4957</v>
      </c>
      <c r="C1744" t="s">
        <v>4958</v>
      </c>
      <c r="D1744" t="s">
        <v>85</v>
      </c>
      <c r="E1744" t="s">
        <v>86</v>
      </c>
      <c r="F1744" s="2">
        <v>0</v>
      </c>
      <c r="G1744">
        <v>10</v>
      </c>
      <c r="H1744" s="2">
        <f>Tabla_Items_Inactivos[[#This Row],[EXISTENCIA]]*Tabla_Items_Inactivos[[#This Row],[COSTO]]</f>
        <v>0</v>
      </c>
    </row>
    <row r="1745" spans="1:8">
      <c r="A1745" t="s">
        <v>3300</v>
      </c>
      <c r="B1745" t="s">
        <v>3146</v>
      </c>
      <c r="C1745" t="s">
        <v>2164</v>
      </c>
      <c r="D1745" t="s">
        <v>85</v>
      </c>
      <c r="E1745" t="s">
        <v>86</v>
      </c>
      <c r="F1745" s="2">
        <v>0.55500000000000005</v>
      </c>
      <c r="G1745">
        <v>28</v>
      </c>
      <c r="H1745" s="2">
        <f>Tabla_Items_Inactivos[[#This Row],[EXISTENCIA]]*Tabla_Items_Inactivos[[#This Row],[COSTO]]</f>
        <v>15.540000000000001</v>
      </c>
    </row>
    <row r="1746" spans="1:8">
      <c r="A1746" t="s">
        <v>3300</v>
      </c>
      <c r="B1746" t="s">
        <v>4959</v>
      </c>
      <c r="C1746" t="s">
        <v>4960</v>
      </c>
      <c r="D1746" t="s">
        <v>98</v>
      </c>
      <c r="E1746" t="s">
        <v>86</v>
      </c>
      <c r="F1746" s="2">
        <v>0.438</v>
      </c>
      <c r="G1746">
        <v>4</v>
      </c>
      <c r="H1746" s="2">
        <f>Tabla_Items_Inactivos[[#This Row],[EXISTENCIA]]*Tabla_Items_Inactivos[[#This Row],[COSTO]]</f>
        <v>1.752</v>
      </c>
    </row>
    <row r="1747" spans="1:8">
      <c r="A1747" t="s">
        <v>3300</v>
      </c>
      <c r="B1747" t="s">
        <v>4961</v>
      </c>
      <c r="C1747" t="s">
        <v>4962</v>
      </c>
      <c r="D1747" t="s">
        <v>85</v>
      </c>
      <c r="E1747" t="s">
        <v>86</v>
      </c>
      <c r="F1747" s="2">
        <v>0.7</v>
      </c>
      <c r="G1747">
        <v>3</v>
      </c>
      <c r="H1747" s="2">
        <f>Tabla_Items_Inactivos[[#This Row],[EXISTENCIA]]*Tabla_Items_Inactivos[[#This Row],[COSTO]]</f>
        <v>2.0999999999999996</v>
      </c>
    </row>
    <row r="1748" spans="1:8">
      <c r="A1748" t="s">
        <v>3300</v>
      </c>
      <c r="B1748" t="s">
        <v>4963</v>
      </c>
      <c r="C1748" t="s">
        <v>4964</v>
      </c>
      <c r="D1748" t="s">
        <v>85</v>
      </c>
      <c r="E1748" t="s">
        <v>86</v>
      </c>
      <c r="F1748" s="2">
        <v>0.68</v>
      </c>
      <c r="G1748">
        <v>10</v>
      </c>
      <c r="H1748" s="2">
        <f>Tabla_Items_Inactivos[[#This Row],[EXISTENCIA]]*Tabla_Items_Inactivos[[#This Row],[COSTO]]</f>
        <v>6.8000000000000007</v>
      </c>
    </row>
    <row r="1749" spans="1:8">
      <c r="A1749" t="s">
        <v>3300</v>
      </c>
      <c r="B1749" t="s">
        <v>538</v>
      </c>
      <c r="C1749" t="s">
        <v>4965</v>
      </c>
      <c r="D1749" t="s">
        <v>85</v>
      </c>
      <c r="E1749" t="s">
        <v>86</v>
      </c>
      <c r="F1749" s="2">
        <v>0.87629999999999997</v>
      </c>
      <c r="G1749">
        <v>9</v>
      </c>
      <c r="H1749" s="2">
        <f>Tabla_Items_Inactivos[[#This Row],[EXISTENCIA]]*Tabla_Items_Inactivos[[#This Row],[COSTO]]</f>
        <v>7.8866999999999994</v>
      </c>
    </row>
    <row r="1750" spans="1:8">
      <c r="A1750" t="s">
        <v>3300</v>
      </c>
      <c r="B1750" t="s">
        <v>4966</v>
      </c>
      <c r="C1750" t="s">
        <v>4967</v>
      </c>
      <c r="D1750" t="s">
        <v>85</v>
      </c>
      <c r="E1750" t="s">
        <v>86</v>
      </c>
      <c r="F1750" s="2">
        <v>0.56100000000000005</v>
      </c>
      <c r="G1750">
        <v>7</v>
      </c>
      <c r="H1750" s="2">
        <f>Tabla_Items_Inactivos[[#This Row],[EXISTENCIA]]*Tabla_Items_Inactivos[[#This Row],[COSTO]]</f>
        <v>3.9270000000000005</v>
      </c>
    </row>
    <row r="1751" spans="1:8">
      <c r="A1751" t="s">
        <v>3300</v>
      </c>
      <c r="B1751" t="s">
        <v>4968</v>
      </c>
      <c r="C1751" t="s">
        <v>4969</v>
      </c>
      <c r="D1751" t="s">
        <v>85</v>
      </c>
      <c r="E1751" t="s">
        <v>86</v>
      </c>
      <c r="F1751" s="2">
        <v>1.2473000000000001</v>
      </c>
      <c r="G1751">
        <v>12</v>
      </c>
      <c r="H1751" s="2">
        <f>Tabla_Items_Inactivos[[#This Row],[EXISTENCIA]]*Tabla_Items_Inactivos[[#This Row],[COSTO]]</f>
        <v>14.967600000000001</v>
      </c>
    </row>
    <row r="1752" spans="1:8">
      <c r="A1752" t="s">
        <v>3300</v>
      </c>
      <c r="B1752" t="s">
        <v>4970</v>
      </c>
      <c r="C1752" t="s">
        <v>4971</v>
      </c>
      <c r="D1752" t="s">
        <v>219</v>
      </c>
      <c r="E1752" t="s">
        <v>86</v>
      </c>
      <c r="F1752" s="2">
        <v>2.5992000000000002</v>
      </c>
      <c r="G1752">
        <v>8</v>
      </c>
      <c r="H1752" s="2">
        <f>Tabla_Items_Inactivos[[#This Row],[EXISTENCIA]]*Tabla_Items_Inactivos[[#This Row],[COSTO]]</f>
        <v>20.793600000000001</v>
      </c>
    </row>
    <row r="1753" spans="1:8">
      <c r="A1753" t="s">
        <v>3301</v>
      </c>
      <c r="B1753" t="s">
        <v>4970</v>
      </c>
      <c r="C1753" t="s">
        <v>4971</v>
      </c>
      <c r="D1753" t="s">
        <v>219</v>
      </c>
      <c r="E1753" t="s">
        <v>86</v>
      </c>
      <c r="F1753" s="2">
        <v>2.5992000000000002</v>
      </c>
      <c r="G1753">
        <v>8</v>
      </c>
      <c r="H1753" s="2">
        <f>Tabla_Items_Inactivos[[#This Row],[EXISTENCIA]]*Tabla_Items_Inactivos[[#This Row],[COSTO]]</f>
        <v>20.793600000000001</v>
      </c>
    </row>
    <row r="1754" spans="1:8">
      <c r="A1754" t="s">
        <v>3300</v>
      </c>
      <c r="B1754" t="s">
        <v>4972</v>
      </c>
      <c r="C1754" t="s">
        <v>4973</v>
      </c>
      <c r="D1754" t="s">
        <v>219</v>
      </c>
      <c r="E1754" t="s">
        <v>86</v>
      </c>
      <c r="F1754" s="2">
        <v>1.1826000000000001</v>
      </c>
      <c r="G1754">
        <v>4</v>
      </c>
      <c r="H1754" s="2">
        <f>Tabla_Items_Inactivos[[#This Row],[EXISTENCIA]]*Tabla_Items_Inactivos[[#This Row],[COSTO]]</f>
        <v>4.7304000000000004</v>
      </c>
    </row>
    <row r="1755" spans="1:8">
      <c r="A1755" t="s">
        <v>3301</v>
      </c>
      <c r="B1755" t="s">
        <v>4972</v>
      </c>
      <c r="C1755" t="s">
        <v>4973</v>
      </c>
      <c r="D1755" t="s">
        <v>219</v>
      </c>
      <c r="E1755" t="s">
        <v>86</v>
      </c>
      <c r="F1755" s="2">
        <v>1.1826000000000001</v>
      </c>
      <c r="G1755">
        <v>4</v>
      </c>
      <c r="H1755" s="2">
        <f>Tabla_Items_Inactivos[[#This Row],[EXISTENCIA]]*Tabla_Items_Inactivos[[#This Row],[COSTO]]</f>
        <v>4.7304000000000004</v>
      </c>
    </row>
    <row r="1756" spans="1:8">
      <c r="A1756" t="s">
        <v>3300</v>
      </c>
      <c r="B1756" t="s">
        <v>4974</v>
      </c>
      <c r="C1756" t="s">
        <v>4975</v>
      </c>
      <c r="D1756" t="s">
        <v>219</v>
      </c>
      <c r="E1756" t="s">
        <v>86</v>
      </c>
      <c r="F1756" s="2">
        <v>0</v>
      </c>
      <c r="G1756">
        <v>5</v>
      </c>
      <c r="H1756" s="2">
        <f>Tabla_Items_Inactivos[[#This Row],[EXISTENCIA]]*Tabla_Items_Inactivos[[#This Row],[COSTO]]</f>
        <v>0</v>
      </c>
    </row>
    <row r="1757" spans="1:8">
      <c r="A1757" t="s">
        <v>3300</v>
      </c>
      <c r="B1757" t="s">
        <v>4976</v>
      </c>
      <c r="C1757" t="s">
        <v>4977</v>
      </c>
      <c r="D1757" t="s">
        <v>219</v>
      </c>
      <c r="E1757" t="s">
        <v>86</v>
      </c>
      <c r="F1757" s="2">
        <v>2.8940000000000001</v>
      </c>
      <c r="G1757">
        <v>6</v>
      </c>
      <c r="H1757" s="2">
        <f>Tabla_Items_Inactivos[[#This Row],[EXISTENCIA]]*Tabla_Items_Inactivos[[#This Row],[COSTO]]</f>
        <v>17.364000000000001</v>
      </c>
    </row>
    <row r="1758" spans="1:8">
      <c r="A1758" t="s">
        <v>3300</v>
      </c>
      <c r="B1758" t="s">
        <v>4978</v>
      </c>
      <c r="C1758" t="s">
        <v>4979</v>
      </c>
      <c r="D1758" t="s">
        <v>85</v>
      </c>
      <c r="E1758" t="s">
        <v>86</v>
      </c>
      <c r="F1758" s="2">
        <v>0.29620000000000002</v>
      </c>
      <c r="G1758">
        <v>118</v>
      </c>
      <c r="H1758" s="2">
        <f>Tabla_Items_Inactivos[[#This Row],[EXISTENCIA]]*Tabla_Items_Inactivos[[#This Row],[COSTO]]</f>
        <v>34.951599999999999</v>
      </c>
    </row>
    <row r="1759" spans="1:8">
      <c r="A1759" t="s">
        <v>3300</v>
      </c>
      <c r="B1759" t="s">
        <v>4980</v>
      </c>
      <c r="C1759" t="s">
        <v>4981</v>
      </c>
      <c r="D1759" t="s">
        <v>85</v>
      </c>
      <c r="E1759" t="s">
        <v>86</v>
      </c>
      <c r="F1759" s="2">
        <v>6.0185000000000004</v>
      </c>
      <c r="G1759">
        <v>21</v>
      </c>
      <c r="H1759" s="2">
        <f>Tabla_Items_Inactivos[[#This Row],[EXISTENCIA]]*Tabla_Items_Inactivos[[#This Row],[COSTO]]</f>
        <v>126.38850000000001</v>
      </c>
    </row>
    <row r="1760" spans="1:8">
      <c r="A1760" t="s">
        <v>3301</v>
      </c>
      <c r="B1760" t="s">
        <v>4980</v>
      </c>
      <c r="C1760" t="s">
        <v>4981</v>
      </c>
      <c r="D1760" t="s">
        <v>85</v>
      </c>
      <c r="E1760" t="s">
        <v>86</v>
      </c>
      <c r="F1760" s="2">
        <v>6.0185000000000004</v>
      </c>
      <c r="G1760">
        <v>21</v>
      </c>
      <c r="H1760" s="2">
        <f>Tabla_Items_Inactivos[[#This Row],[EXISTENCIA]]*Tabla_Items_Inactivos[[#This Row],[COSTO]]</f>
        <v>126.38850000000001</v>
      </c>
    </row>
    <row r="1761" spans="1:8">
      <c r="A1761" t="s">
        <v>3300</v>
      </c>
      <c r="B1761" t="s">
        <v>539</v>
      </c>
      <c r="C1761" t="s">
        <v>540</v>
      </c>
      <c r="D1761" t="s">
        <v>85</v>
      </c>
      <c r="E1761" t="s">
        <v>86</v>
      </c>
      <c r="F1761" s="2">
        <v>1.669</v>
      </c>
      <c r="G1761">
        <v>24</v>
      </c>
      <c r="H1761" s="2">
        <f>Tabla_Items_Inactivos[[#This Row],[EXISTENCIA]]*Tabla_Items_Inactivos[[#This Row],[COSTO]]</f>
        <v>40.055999999999997</v>
      </c>
    </row>
    <row r="1762" spans="1:8">
      <c r="A1762" t="s">
        <v>3300</v>
      </c>
      <c r="B1762" t="s">
        <v>541</v>
      </c>
      <c r="C1762" t="s">
        <v>542</v>
      </c>
      <c r="D1762" t="s">
        <v>85</v>
      </c>
      <c r="E1762" t="s">
        <v>86</v>
      </c>
      <c r="F1762" s="2">
        <v>0.62</v>
      </c>
      <c r="G1762">
        <v>19</v>
      </c>
      <c r="H1762" s="2">
        <f>Tabla_Items_Inactivos[[#This Row],[EXISTENCIA]]*Tabla_Items_Inactivos[[#This Row],[COSTO]]</f>
        <v>11.78</v>
      </c>
    </row>
    <row r="1763" spans="1:8">
      <c r="A1763" t="s">
        <v>3301</v>
      </c>
      <c r="B1763" t="s">
        <v>541</v>
      </c>
      <c r="C1763" t="s">
        <v>542</v>
      </c>
      <c r="D1763" t="s">
        <v>85</v>
      </c>
      <c r="E1763" t="s">
        <v>86</v>
      </c>
      <c r="F1763" s="2">
        <v>0.62</v>
      </c>
      <c r="G1763">
        <v>19</v>
      </c>
      <c r="H1763" s="2">
        <f>Tabla_Items_Inactivos[[#This Row],[EXISTENCIA]]*Tabla_Items_Inactivos[[#This Row],[COSTO]]</f>
        <v>11.78</v>
      </c>
    </row>
    <row r="1764" spans="1:8">
      <c r="A1764" t="s">
        <v>3300</v>
      </c>
      <c r="B1764" t="s">
        <v>3147</v>
      </c>
      <c r="C1764" t="s">
        <v>3148</v>
      </c>
      <c r="D1764" t="s">
        <v>85</v>
      </c>
      <c r="E1764" t="s">
        <v>86</v>
      </c>
      <c r="F1764" s="2">
        <v>0.64970000000000006</v>
      </c>
      <c r="G1764">
        <v>15</v>
      </c>
      <c r="H1764" s="2">
        <f>Tabla_Items_Inactivos[[#This Row],[EXISTENCIA]]*Tabla_Items_Inactivos[[#This Row],[COSTO]]</f>
        <v>9.7455000000000016</v>
      </c>
    </row>
    <row r="1765" spans="1:8">
      <c r="A1765" t="s">
        <v>3301</v>
      </c>
      <c r="B1765" t="s">
        <v>3147</v>
      </c>
      <c r="C1765" t="s">
        <v>3148</v>
      </c>
      <c r="D1765" t="s">
        <v>85</v>
      </c>
      <c r="E1765" t="s">
        <v>86</v>
      </c>
      <c r="F1765" s="2">
        <v>0.64970000000000006</v>
      </c>
      <c r="G1765">
        <v>15</v>
      </c>
      <c r="H1765" s="2">
        <f>Tabla_Items_Inactivos[[#This Row],[EXISTENCIA]]*Tabla_Items_Inactivos[[#This Row],[COSTO]]</f>
        <v>9.7455000000000016</v>
      </c>
    </row>
    <row r="1766" spans="1:8">
      <c r="A1766" t="s">
        <v>3300</v>
      </c>
      <c r="B1766" t="s">
        <v>4982</v>
      </c>
      <c r="C1766" t="s">
        <v>4983</v>
      </c>
      <c r="D1766" t="s">
        <v>85</v>
      </c>
      <c r="E1766" t="s">
        <v>86</v>
      </c>
      <c r="F1766" s="2">
        <v>0.48</v>
      </c>
      <c r="G1766">
        <v>5</v>
      </c>
      <c r="H1766" s="2">
        <f>Tabla_Items_Inactivos[[#This Row],[EXISTENCIA]]*Tabla_Items_Inactivos[[#This Row],[COSTO]]</f>
        <v>2.4</v>
      </c>
    </row>
    <row r="1767" spans="1:8">
      <c r="A1767" t="s">
        <v>3300</v>
      </c>
      <c r="B1767" t="s">
        <v>3149</v>
      </c>
      <c r="C1767" t="s">
        <v>3150</v>
      </c>
      <c r="D1767" t="s">
        <v>223</v>
      </c>
      <c r="E1767" t="s">
        <v>86</v>
      </c>
      <c r="F1767" s="2">
        <v>4.383</v>
      </c>
      <c r="G1767">
        <v>7</v>
      </c>
      <c r="H1767" s="2">
        <f>Tabla_Items_Inactivos[[#This Row],[EXISTENCIA]]*Tabla_Items_Inactivos[[#This Row],[COSTO]]</f>
        <v>30.681000000000001</v>
      </c>
    </row>
    <row r="1768" spans="1:8">
      <c r="A1768" t="s">
        <v>3300</v>
      </c>
      <c r="B1768" t="s">
        <v>4984</v>
      </c>
      <c r="C1768" t="s">
        <v>4985</v>
      </c>
      <c r="D1768" t="s">
        <v>85</v>
      </c>
      <c r="E1768" t="s">
        <v>86</v>
      </c>
      <c r="F1768" s="2">
        <v>2.1543000000000001</v>
      </c>
      <c r="G1768">
        <v>38</v>
      </c>
      <c r="H1768" s="2">
        <f>Tabla_Items_Inactivos[[#This Row],[EXISTENCIA]]*Tabla_Items_Inactivos[[#This Row],[COSTO]]</f>
        <v>81.863399999999999</v>
      </c>
    </row>
    <row r="1769" spans="1:8">
      <c r="A1769" t="s">
        <v>3300</v>
      </c>
      <c r="B1769" t="s">
        <v>3151</v>
      </c>
      <c r="C1769" t="s">
        <v>3152</v>
      </c>
      <c r="D1769" t="s">
        <v>85</v>
      </c>
      <c r="E1769" t="s">
        <v>86</v>
      </c>
      <c r="F1769" s="2">
        <v>7.7618999999999998</v>
      </c>
      <c r="G1769">
        <v>41</v>
      </c>
      <c r="H1769" s="2">
        <f>Tabla_Items_Inactivos[[#This Row],[EXISTENCIA]]*Tabla_Items_Inactivos[[#This Row],[COSTO]]</f>
        <v>318.23789999999997</v>
      </c>
    </row>
    <row r="1770" spans="1:8">
      <c r="A1770" t="s">
        <v>3301</v>
      </c>
      <c r="B1770" t="s">
        <v>3151</v>
      </c>
      <c r="C1770" t="s">
        <v>3152</v>
      </c>
      <c r="D1770" t="s">
        <v>85</v>
      </c>
      <c r="E1770" t="s">
        <v>86</v>
      </c>
      <c r="F1770" s="2">
        <v>7.7618999999999998</v>
      </c>
      <c r="G1770">
        <v>41</v>
      </c>
      <c r="H1770" s="2">
        <f>Tabla_Items_Inactivos[[#This Row],[EXISTENCIA]]*Tabla_Items_Inactivos[[#This Row],[COSTO]]</f>
        <v>318.23789999999997</v>
      </c>
    </row>
    <row r="1771" spans="1:8">
      <c r="A1771" t="s">
        <v>3300</v>
      </c>
      <c r="B1771" t="s">
        <v>4986</v>
      </c>
      <c r="C1771" t="s">
        <v>4987</v>
      </c>
      <c r="D1771" t="s">
        <v>85</v>
      </c>
      <c r="E1771" t="s">
        <v>86</v>
      </c>
      <c r="F1771" s="2">
        <v>2.0897999999999999</v>
      </c>
      <c r="G1771">
        <v>41</v>
      </c>
      <c r="H1771" s="2">
        <f>Tabla_Items_Inactivos[[#This Row],[EXISTENCIA]]*Tabla_Items_Inactivos[[#This Row],[COSTO]]</f>
        <v>85.681799999999996</v>
      </c>
    </row>
    <row r="1772" spans="1:8">
      <c r="A1772" t="s">
        <v>3300</v>
      </c>
      <c r="B1772" t="s">
        <v>4988</v>
      </c>
      <c r="C1772" t="s">
        <v>4989</v>
      </c>
      <c r="D1772" t="s">
        <v>434</v>
      </c>
      <c r="E1772" t="s">
        <v>86</v>
      </c>
      <c r="F1772" s="2">
        <v>8.4720999999999993</v>
      </c>
      <c r="G1772">
        <v>4</v>
      </c>
      <c r="H1772" s="2">
        <f>Tabla_Items_Inactivos[[#This Row],[EXISTENCIA]]*Tabla_Items_Inactivos[[#This Row],[COSTO]]</f>
        <v>33.888399999999997</v>
      </c>
    </row>
    <row r="1773" spans="1:8">
      <c r="A1773" t="s">
        <v>3301</v>
      </c>
      <c r="B1773" t="s">
        <v>4988</v>
      </c>
      <c r="C1773" t="s">
        <v>4989</v>
      </c>
      <c r="D1773" t="s">
        <v>434</v>
      </c>
      <c r="E1773" t="s">
        <v>86</v>
      </c>
      <c r="F1773" s="2">
        <v>8.4720999999999993</v>
      </c>
      <c r="G1773">
        <v>4</v>
      </c>
      <c r="H1773" s="2">
        <f>Tabla_Items_Inactivos[[#This Row],[EXISTENCIA]]*Tabla_Items_Inactivos[[#This Row],[COSTO]]</f>
        <v>33.888399999999997</v>
      </c>
    </row>
    <row r="1774" spans="1:8">
      <c r="A1774" t="s">
        <v>3300</v>
      </c>
      <c r="B1774" t="s">
        <v>4990</v>
      </c>
      <c r="C1774" t="s">
        <v>4991</v>
      </c>
      <c r="D1774" t="s">
        <v>219</v>
      </c>
      <c r="E1774" t="s">
        <v>86</v>
      </c>
      <c r="F1774" s="2">
        <v>2.4474999999999998</v>
      </c>
      <c r="G1774">
        <v>15</v>
      </c>
      <c r="H1774" s="2">
        <f>Tabla_Items_Inactivos[[#This Row],[EXISTENCIA]]*Tabla_Items_Inactivos[[#This Row],[COSTO]]</f>
        <v>36.712499999999999</v>
      </c>
    </row>
    <row r="1775" spans="1:8">
      <c r="A1775" t="s">
        <v>3300</v>
      </c>
      <c r="B1775" t="s">
        <v>3153</v>
      </c>
      <c r="C1775" t="s">
        <v>3154</v>
      </c>
      <c r="D1775" t="s">
        <v>98</v>
      </c>
      <c r="E1775" t="s">
        <v>86</v>
      </c>
      <c r="F1775" s="2">
        <v>1.363</v>
      </c>
      <c r="G1775">
        <v>8</v>
      </c>
      <c r="H1775" s="2">
        <f>Tabla_Items_Inactivos[[#This Row],[EXISTENCIA]]*Tabla_Items_Inactivos[[#This Row],[COSTO]]</f>
        <v>10.904</v>
      </c>
    </row>
    <row r="1776" spans="1:8">
      <c r="A1776" t="s">
        <v>3300</v>
      </c>
      <c r="B1776" t="s">
        <v>4992</v>
      </c>
      <c r="C1776" t="s">
        <v>4993</v>
      </c>
      <c r="D1776" t="s">
        <v>219</v>
      </c>
      <c r="E1776" t="s">
        <v>86</v>
      </c>
      <c r="F1776" s="2">
        <v>0.60399999999999998</v>
      </c>
      <c r="G1776">
        <v>9</v>
      </c>
      <c r="H1776" s="2">
        <f>Tabla_Items_Inactivos[[#This Row],[EXISTENCIA]]*Tabla_Items_Inactivos[[#This Row],[COSTO]]</f>
        <v>5.4359999999999999</v>
      </c>
    </row>
    <row r="1777" spans="1:8">
      <c r="A1777" t="s">
        <v>3300</v>
      </c>
      <c r="B1777" t="s">
        <v>4994</v>
      </c>
      <c r="C1777" t="s">
        <v>4995</v>
      </c>
      <c r="D1777" t="s">
        <v>85</v>
      </c>
      <c r="E1777" t="s">
        <v>86</v>
      </c>
      <c r="F1777" s="2">
        <v>0.59530000000000005</v>
      </c>
      <c r="G1777">
        <v>27</v>
      </c>
      <c r="H1777" s="2">
        <f>Tabla_Items_Inactivos[[#This Row],[EXISTENCIA]]*Tabla_Items_Inactivos[[#This Row],[COSTO]]</f>
        <v>16.0731</v>
      </c>
    </row>
    <row r="1778" spans="1:8">
      <c r="A1778" t="s">
        <v>3301</v>
      </c>
      <c r="B1778" t="s">
        <v>4994</v>
      </c>
      <c r="C1778" t="s">
        <v>4995</v>
      </c>
      <c r="D1778" t="s">
        <v>85</v>
      </c>
      <c r="E1778" t="s">
        <v>86</v>
      </c>
      <c r="F1778" s="2">
        <v>0.59530000000000005</v>
      </c>
      <c r="G1778">
        <v>27</v>
      </c>
      <c r="H1778" s="2">
        <f>Tabla_Items_Inactivos[[#This Row],[EXISTENCIA]]*Tabla_Items_Inactivos[[#This Row],[COSTO]]</f>
        <v>16.0731</v>
      </c>
    </row>
    <row r="1779" spans="1:8">
      <c r="A1779" t="s">
        <v>3300</v>
      </c>
      <c r="B1779" t="s">
        <v>3155</v>
      </c>
      <c r="C1779" t="s">
        <v>3156</v>
      </c>
      <c r="D1779" t="s">
        <v>85</v>
      </c>
      <c r="E1779" t="s">
        <v>86</v>
      </c>
      <c r="F1779" s="2">
        <v>1.018</v>
      </c>
      <c r="G1779">
        <v>4</v>
      </c>
      <c r="H1779" s="2">
        <f>Tabla_Items_Inactivos[[#This Row],[EXISTENCIA]]*Tabla_Items_Inactivos[[#This Row],[COSTO]]</f>
        <v>4.0720000000000001</v>
      </c>
    </row>
    <row r="1780" spans="1:8">
      <c r="A1780" t="s">
        <v>3300</v>
      </c>
      <c r="B1780" t="s">
        <v>4996</v>
      </c>
      <c r="C1780" t="s">
        <v>4997</v>
      </c>
      <c r="D1780" t="s">
        <v>85</v>
      </c>
      <c r="E1780" t="s">
        <v>86</v>
      </c>
      <c r="F1780" s="2">
        <v>0.439</v>
      </c>
      <c r="G1780">
        <v>10</v>
      </c>
      <c r="H1780" s="2">
        <f>Tabla_Items_Inactivos[[#This Row],[EXISTENCIA]]*Tabla_Items_Inactivos[[#This Row],[COSTO]]</f>
        <v>4.3899999999999997</v>
      </c>
    </row>
    <row r="1781" spans="1:8">
      <c r="A1781" t="s">
        <v>3300</v>
      </c>
      <c r="B1781" t="s">
        <v>4998</v>
      </c>
      <c r="C1781" t="s">
        <v>3248</v>
      </c>
      <c r="D1781" t="s">
        <v>219</v>
      </c>
      <c r="E1781" t="s">
        <v>86</v>
      </c>
      <c r="F1781" s="2">
        <v>0.55900000000000005</v>
      </c>
      <c r="G1781">
        <v>7</v>
      </c>
      <c r="H1781" s="2">
        <f>Tabla_Items_Inactivos[[#This Row],[EXISTENCIA]]*Tabla_Items_Inactivos[[#This Row],[COSTO]]</f>
        <v>3.9130000000000003</v>
      </c>
    </row>
    <row r="1782" spans="1:8">
      <c r="A1782" t="s">
        <v>3300</v>
      </c>
      <c r="B1782" t="s">
        <v>4999</v>
      </c>
      <c r="C1782" t="s">
        <v>3243</v>
      </c>
      <c r="D1782" t="s">
        <v>219</v>
      </c>
      <c r="E1782" t="s">
        <v>86</v>
      </c>
      <c r="F1782" s="2">
        <v>0.24299999999999999</v>
      </c>
      <c r="G1782">
        <v>5</v>
      </c>
      <c r="H1782" s="2">
        <f>Tabla_Items_Inactivos[[#This Row],[EXISTENCIA]]*Tabla_Items_Inactivos[[#This Row],[COSTO]]</f>
        <v>1.2149999999999999</v>
      </c>
    </row>
    <row r="1783" spans="1:8">
      <c r="A1783" t="s">
        <v>3300</v>
      </c>
      <c r="B1783" t="s">
        <v>5000</v>
      </c>
      <c r="C1783" t="s">
        <v>3249</v>
      </c>
      <c r="D1783" t="s">
        <v>219</v>
      </c>
      <c r="E1783" t="s">
        <v>86</v>
      </c>
      <c r="F1783" s="2">
        <v>1.1759999999999999</v>
      </c>
      <c r="G1783">
        <v>7</v>
      </c>
      <c r="H1783" s="2">
        <f>Tabla_Items_Inactivos[[#This Row],[EXISTENCIA]]*Tabla_Items_Inactivos[[#This Row],[COSTO]]</f>
        <v>8.2319999999999993</v>
      </c>
    </row>
    <row r="1784" spans="1:8">
      <c r="A1784" t="s">
        <v>3300</v>
      </c>
      <c r="B1784" t="s">
        <v>5001</v>
      </c>
      <c r="C1784" t="s">
        <v>5002</v>
      </c>
      <c r="D1784" t="s">
        <v>85</v>
      </c>
      <c r="E1784" t="s">
        <v>86</v>
      </c>
      <c r="F1784" s="2">
        <v>0.45569999999999999</v>
      </c>
      <c r="G1784">
        <v>12</v>
      </c>
      <c r="H1784" s="2">
        <f>Tabla_Items_Inactivos[[#This Row],[EXISTENCIA]]*Tabla_Items_Inactivos[[#This Row],[COSTO]]</f>
        <v>5.4683999999999999</v>
      </c>
    </row>
    <row r="1785" spans="1:8">
      <c r="A1785" t="s">
        <v>3300</v>
      </c>
      <c r="B1785" t="s">
        <v>5003</v>
      </c>
      <c r="C1785" t="s">
        <v>5004</v>
      </c>
      <c r="D1785" t="s">
        <v>85</v>
      </c>
      <c r="E1785" t="s">
        <v>86</v>
      </c>
      <c r="F1785" s="2">
        <v>0.29389999999999999</v>
      </c>
      <c r="G1785">
        <v>37</v>
      </c>
      <c r="H1785" s="2">
        <f>Tabla_Items_Inactivos[[#This Row],[EXISTENCIA]]*Tabla_Items_Inactivos[[#This Row],[COSTO]]</f>
        <v>10.8743</v>
      </c>
    </row>
    <row r="1786" spans="1:8">
      <c r="A1786" t="s">
        <v>3300</v>
      </c>
      <c r="B1786" t="s">
        <v>5005</v>
      </c>
      <c r="C1786" t="s">
        <v>5006</v>
      </c>
      <c r="D1786" t="s">
        <v>85</v>
      </c>
      <c r="E1786" t="s">
        <v>86</v>
      </c>
      <c r="F1786" s="2">
        <v>0.4924</v>
      </c>
      <c r="G1786">
        <v>12</v>
      </c>
      <c r="H1786" s="2">
        <f>Tabla_Items_Inactivos[[#This Row],[EXISTENCIA]]*Tabla_Items_Inactivos[[#This Row],[COSTO]]</f>
        <v>5.9088000000000003</v>
      </c>
    </row>
    <row r="1787" spans="1:8">
      <c r="A1787" t="s">
        <v>3300</v>
      </c>
      <c r="B1787" t="s">
        <v>5007</v>
      </c>
      <c r="C1787" t="s">
        <v>5008</v>
      </c>
      <c r="D1787" t="s">
        <v>85</v>
      </c>
      <c r="E1787" t="s">
        <v>86</v>
      </c>
      <c r="F1787" s="2">
        <v>0.3</v>
      </c>
      <c r="G1787">
        <v>1</v>
      </c>
      <c r="H1787" s="2">
        <f>Tabla_Items_Inactivos[[#This Row],[EXISTENCIA]]*Tabla_Items_Inactivos[[#This Row],[COSTO]]</f>
        <v>0.3</v>
      </c>
    </row>
    <row r="1788" spans="1:8">
      <c r="A1788" t="s">
        <v>3300</v>
      </c>
      <c r="B1788" t="s">
        <v>5009</v>
      </c>
      <c r="C1788" t="s">
        <v>2307</v>
      </c>
      <c r="D1788" t="s">
        <v>219</v>
      </c>
      <c r="E1788" t="s">
        <v>86</v>
      </c>
      <c r="F1788" s="2">
        <v>0.158</v>
      </c>
      <c r="G1788">
        <v>3</v>
      </c>
      <c r="H1788" s="2">
        <f>Tabla_Items_Inactivos[[#This Row],[EXISTENCIA]]*Tabla_Items_Inactivos[[#This Row],[COSTO]]</f>
        <v>0.47399999999999998</v>
      </c>
    </row>
    <row r="1789" spans="1:8">
      <c r="A1789" t="s">
        <v>3300</v>
      </c>
      <c r="B1789" t="s">
        <v>5010</v>
      </c>
      <c r="C1789" t="s">
        <v>2127</v>
      </c>
      <c r="D1789" t="s">
        <v>85</v>
      </c>
      <c r="E1789" t="s">
        <v>86</v>
      </c>
      <c r="F1789" s="2">
        <v>0.98519999999999996</v>
      </c>
      <c r="G1789">
        <v>45</v>
      </c>
      <c r="H1789" s="2">
        <f>Tabla_Items_Inactivos[[#This Row],[EXISTENCIA]]*Tabla_Items_Inactivos[[#This Row],[COSTO]]</f>
        <v>44.333999999999996</v>
      </c>
    </row>
    <row r="1790" spans="1:8">
      <c r="A1790" t="s">
        <v>3301</v>
      </c>
      <c r="B1790" t="s">
        <v>5010</v>
      </c>
      <c r="C1790" t="s">
        <v>2127</v>
      </c>
      <c r="D1790" t="s">
        <v>85</v>
      </c>
      <c r="E1790" t="s">
        <v>86</v>
      </c>
      <c r="F1790" s="2">
        <v>0.98519999999999996</v>
      </c>
      <c r="G1790">
        <v>45</v>
      </c>
      <c r="H1790" s="2">
        <f>Tabla_Items_Inactivos[[#This Row],[EXISTENCIA]]*Tabla_Items_Inactivos[[#This Row],[COSTO]]</f>
        <v>44.333999999999996</v>
      </c>
    </row>
    <row r="1791" spans="1:8">
      <c r="A1791" t="s">
        <v>3300</v>
      </c>
      <c r="B1791" t="s">
        <v>543</v>
      </c>
      <c r="C1791" t="s">
        <v>544</v>
      </c>
      <c r="D1791" t="s">
        <v>85</v>
      </c>
      <c r="E1791" t="s">
        <v>86</v>
      </c>
      <c r="F1791" s="2">
        <v>1.1579999999999999</v>
      </c>
      <c r="G1791">
        <v>33</v>
      </c>
      <c r="H1791" s="2">
        <f>Tabla_Items_Inactivos[[#This Row],[EXISTENCIA]]*Tabla_Items_Inactivos[[#This Row],[COSTO]]</f>
        <v>38.213999999999999</v>
      </c>
    </row>
    <row r="1792" spans="1:8">
      <c r="A1792" t="s">
        <v>3301</v>
      </c>
      <c r="B1792" t="s">
        <v>543</v>
      </c>
      <c r="C1792" t="s">
        <v>544</v>
      </c>
      <c r="D1792" t="s">
        <v>85</v>
      </c>
      <c r="E1792" t="s">
        <v>86</v>
      </c>
      <c r="F1792" s="2">
        <v>1.1579999999999999</v>
      </c>
      <c r="G1792">
        <v>33</v>
      </c>
      <c r="H1792" s="2">
        <f>Tabla_Items_Inactivos[[#This Row],[EXISTENCIA]]*Tabla_Items_Inactivos[[#This Row],[COSTO]]</f>
        <v>38.213999999999999</v>
      </c>
    </row>
    <row r="1793" spans="1:8">
      <c r="A1793" t="s">
        <v>3300</v>
      </c>
      <c r="B1793" t="s">
        <v>5011</v>
      </c>
      <c r="C1793" t="s">
        <v>5012</v>
      </c>
      <c r="D1793" t="s">
        <v>85</v>
      </c>
      <c r="E1793" t="s">
        <v>86</v>
      </c>
      <c r="F1793" s="2">
        <v>2.4609000000000001</v>
      </c>
      <c r="G1793">
        <v>90</v>
      </c>
      <c r="H1793" s="2">
        <f>Tabla_Items_Inactivos[[#This Row],[EXISTENCIA]]*Tabla_Items_Inactivos[[#This Row],[COSTO]]</f>
        <v>221.48099999999999</v>
      </c>
    </row>
    <row r="1794" spans="1:8">
      <c r="A1794" t="s">
        <v>3301</v>
      </c>
      <c r="B1794" t="s">
        <v>5011</v>
      </c>
      <c r="C1794" t="s">
        <v>5012</v>
      </c>
      <c r="D1794" t="s">
        <v>85</v>
      </c>
      <c r="E1794" t="s">
        <v>86</v>
      </c>
      <c r="F1794" s="2">
        <v>2.4609000000000001</v>
      </c>
      <c r="G1794">
        <v>90</v>
      </c>
      <c r="H1794" s="2">
        <f>Tabla_Items_Inactivos[[#This Row],[EXISTENCIA]]*Tabla_Items_Inactivos[[#This Row],[COSTO]]</f>
        <v>221.48099999999999</v>
      </c>
    </row>
    <row r="1795" spans="1:8">
      <c r="A1795" t="s">
        <v>3301</v>
      </c>
      <c r="B1795" t="s">
        <v>5013</v>
      </c>
      <c r="C1795" t="s">
        <v>5014</v>
      </c>
      <c r="D1795" t="s">
        <v>219</v>
      </c>
      <c r="E1795" t="s">
        <v>86</v>
      </c>
      <c r="F1795" s="2">
        <v>3.3391000000000002</v>
      </c>
      <c r="G1795">
        <v>47</v>
      </c>
      <c r="H1795" s="2">
        <f>Tabla_Items_Inactivos[[#This Row],[EXISTENCIA]]*Tabla_Items_Inactivos[[#This Row],[COSTO]]</f>
        <v>156.93770000000001</v>
      </c>
    </row>
    <row r="1796" spans="1:8">
      <c r="A1796" t="s">
        <v>3300</v>
      </c>
      <c r="B1796" t="s">
        <v>5013</v>
      </c>
      <c r="C1796" t="s">
        <v>5014</v>
      </c>
      <c r="D1796" t="s">
        <v>219</v>
      </c>
      <c r="E1796" t="s">
        <v>86</v>
      </c>
      <c r="F1796" s="2">
        <v>3.3391000000000002</v>
      </c>
      <c r="G1796">
        <v>47</v>
      </c>
      <c r="H1796" s="2">
        <f>Tabla_Items_Inactivos[[#This Row],[EXISTENCIA]]*Tabla_Items_Inactivos[[#This Row],[COSTO]]</f>
        <v>156.93770000000001</v>
      </c>
    </row>
    <row r="1797" spans="1:8">
      <c r="A1797" t="s">
        <v>3300</v>
      </c>
      <c r="B1797" t="s">
        <v>5015</v>
      </c>
      <c r="C1797" t="s">
        <v>5016</v>
      </c>
      <c r="D1797" t="s">
        <v>85</v>
      </c>
      <c r="E1797" t="s">
        <v>86</v>
      </c>
      <c r="F1797" s="2">
        <v>0.99</v>
      </c>
      <c r="G1797">
        <v>10</v>
      </c>
      <c r="H1797" s="2">
        <f>Tabla_Items_Inactivos[[#This Row],[EXISTENCIA]]*Tabla_Items_Inactivos[[#This Row],[COSTO]]</f>
        <v>9.9</v>
      </c>
    </row>
    <row r="1798" spans="1:8">
      <c r="A1798" t="s">
        <v>3300</v>
      </c>
      <c r="B1798" t="s">
        <v>545</v>
      </c>
      <c r="C1798" t="s">
        <v>546</v>
      </c>
      <c r="D1798" t="s">
        <v>219</v>
      </c>
      <c r="E1798" t="s">
        <v>86</v>
      </c>
      <c r="F1798" s="2">
        <v>3.9190999999999998</v>
      </c>
      <c r="G1798">
        <v>41</v>
      </c>
      <c r="H1798" s="2">
        <f>Tabla_Items_Inactivos[[#This Row],[EXISTENCIA]]*Tabla_Items_Inactivos[[#This Row],[COSTO]]</f>
        <v>160.6831</v>
      </c>
    </row>
    <row r="1799" spans="1:8">
      <c r="A1799" t="s">
        <v>3301</v>
      </c>
      <c r="B1799" t="s">
        <v>545</v>
      </c>
      <c r="C1799" t="s">
        <v>546</v>
      </c>
      <c r="D1799" t="s">
        <v>219</v>
      </c>
      <c r="E1799" t="s">
        <v>86</v>
      </c>
      <c r="F1799" s="2">
        <v>3.9190999999999998</v>
      </c>
      <c r="G1799">
        <v>41</v>
      </c>
      <c r="H1799" s="2">
        <f>Tabla_Items_Inactivos[[#This Row],[EXISTENCIA]]*Tabla_Items_Inactivos[[#This Row],[COSTO]]</f>
        <v>160.6831</v>
      </c>
    </row>
    <row r="1800" spans="1:8">
      <c r="A1800" t="s">
        <v>3300</v>
      </c>
      <c r="B1800" t="s">
        <v>5017</v>
      </c>
      <c r="C1800" t="s">
        <v>2255</v>
      </c>
      <c r="D1800" t="s">
        <v>85</v>
      </c>
      <c r="E1800" t="s">
        <v>86</v>
      </c>
      <c r="F1800" s="2">
        <v>1.8103</v>
      </c>
      <c r="G1800">
        <v>37</v>
      </c>
      <c r="H1800" s="2">
        <f>Tabla_Items_Inactivos[[#This Row],[EXISTENCIA]]*Tabla_Items_Inactivos[[#This Row],[COSTO]]</f>
        <v>66.981099999999998</v>
      </c>
    </row>
    <row r="1801" spans="1:8">
      <c r="A1801" t="s">
        <v>3301</v>
      </c>
      <c r="B1801" t="s">
        <v>5017</v>
      </c>
      <c r="C1801" t="s">
        <v>2255</v>
      </c>
      <c r="D1801" t="s">
        <v>85</v>
      </c>
      <c r="E1801" t="s">
        <v>86</v>
      </c>
      <c r="F1801" s="2">
        <v>1.8103</v>
      </c>
      <c r="G1801">
        <v>37</v>
      </c>
      <c r="H1801" s="2">
        <f>Tabla_Items_Inactivos[[#This Row],[EXISTENCIA]]*Tabla_Items_Inactivos[[#This Row],[COSTO]]</f>
        <v>66.981099999999998</v>
      </c>
    </row>
    <row r="1802" spans="1:8">
      <c r="A1802" t="s">
        <v>3300</v>
      </c>
      <c r="B1802" t="s">
        <v>5018</v>
      </c>
      <c r="C1802" t="s">
        <v>5019</v>
      </c>
      <c r="D1802" t="s">
        <v>85</v>
      </c>
      <c r="E1802" t="s">
        <v>86</v>
      </c>
      <c r="F1802" s="2">
        <v>2.9950000000000001</v>
      </c>
      <c r="G1802">
        <v>2</v>
      </c>
      <c r="H1802" s="2">
        <f>Tabla_Items_Inactivos[[#This Row],[EXISTENCIA]]*Tabla_Items_Inactivos[[#This Row],[COSTO]]</f>
        <v>5.99</v>
      </c>
    </row>
    <row r="1803" spans="1:8">
      <c r="A1803" t="s">
        <v>3300</v>
      </c>
      <c r="B1803" t="s">
        <v>5020</v>
      </c>
      <c r="C1803" t="s">
        <v>2206</v>
      </c>
      <c r="D1803" t="s">
        <v>85</v>
      </c>
      <c r="E1803" t="s">
        <v>86</v>
      </c>
      <c r="F1803" s="2">
        <v>4.367</v>
      </c>
      <c r="G1803">
        <v>1</v>
      </c>
      <c r="H1803" s="2">
        <f>Tabla_Items_Inactivos[[#This Row],[EXISTENCIA]]*Tabla_Items_Inactivos[[#This Row],[COSTO]]</f>
        <v>4.367</v>
      </c>
    </row>
    <row r="1804" spans="1:8">
      <c r="A1804" t="s">
        <v>3300</v>
      </c>
      <c r="B1804" t="s">
        <v>5021</v>
      </c>
      <c r="C1804" t="s">
        <v>2296</v>
      </c>
      <c r="D1804" t="s">
        <v>85</v>
      </c>
      <c r="E1804" t="s">
        <v>86</v>
      </c>
      <c r="F1804" s="2">
        <v>2.8889999999999998</v>
      </c>
      <c r="G1804">
        <v>5</v>
      </c>
      <c r="H1804" s="2">
        <f>Tabla_Items_Inactivos[[#This Row],[EXISTENCIA]]*Tabla_Items_Inactivos[[#This Row],[COSTO]]</f>
        <v>14.444999999999999</v>
      </c>
    </row>
    <row r="1805" spans="1:8">
      <c r="A1805" t="s">
        <v>3300</v>
      </c>
      <c r="B1805" t="s">
        <v>5022</v>
      </c>
      <c r="C1805" t="s">
        <v>5023</v>
      </c>
      <c r="D1805" t="s">
        <v>219</v>
      </c>
      <c r="E1805" t="s">
        <v>86</v>
      </c>
      <c r="F1805" s="2">
        <v>2.2029000000000001</v>
      </c>
      <c r="G1805">
        <v>10</v>
      </c>
      <c r="H1805" s="2">
        <f>Tabla_Items_Inactivos[[#This Row],[EXISTENCIA]]*Tabla_Items_Inactivos[[#This Row],[COSTO]]</f>
        <v>22.029</v>
      </c>
    </row>
    <row r="1806" spans="1:8">
      <c r="A1806" t="s">
        <v>3301</v>
      </c>
      <c r="B1806" t="s">
        <v>5022</v>
      </c>
      <c r="C1806" t="s">
        <v>5023</v>
      </c>
      <c r="D1806" t="s">
        <v>219</v>
      </c>
      <c r="E1806" t="s">
        <v>86</v>
      </c>
      <c r="F1806" s="2">
        <v>2.2029000000000001</v>
      </c>
      <c r="G1806">
        <v>10</v>
      </c>
      <c r="H1806" s="2">
        <f>Tabla_Items_Inactivos[[#This Row],[EXISTENCIA]]*Tabla_Items_Inactivos[[#This Row],[COSTO]]</f>
        <v>22.029</v>
      </c>
    </row>
    <row r="1807" spans="1:8">
      <c r="A1807" t="s">
        <v>3300</v>
      </c>
      <c r="B1807" t="s">
        <v>3157</v>
      </c>
      <c r="C1807" t="s">
        <v>3158</v>
      </c>
      <c r="D1807" t="s">
        <v>85</v>
      </c>
      <c r="E1807" t="s">
        <v>86</v>
      </c>
      <c r="F1807" s="2">
        <v>0.3</v>
      </c>
      <c r="G1807">
        <v>19</v>
      </c>
      <c r="H1807" s="2">
        <f>Tabla_Items_Inactivos[[#This Row],[EXISTENCIA]]*Tabla_Items_Inactivos[[#This Row],[COSTO]]</f>
        <v>5.7</v>
      </c>
    </row>
    <row r="1808" spans="1:8">
      <c r="A1808" t="s">
        <v>3300</v>
      </c>
      <c r="B1808" t="s">
        <v>5024</v>
      </c>
      <c r="C1808" t="s">
        <v>2253</v>
      </c>
      <c r="D1808" t="s">
        <v>85</v>
      </c>
      <c r="E1808" t="s">
        <v>86</v>
      </c>
      <c r="F1808" s="2">
        <v>0.28000000000000003</v>
      </c>
      <c r="G1808">
        <v>10</v>
      </c>
      <c r="H1808" s="2">
        <f>Tabla_Items_Inactivos[[#This Row],[EXISTENCIA]]*Tabla_Items_Inactivos[[#This Row],[COSTO]]</f>
        <v>2.8000000000000003</v>
      </c>
    </row>
    <row r="1809" spans="1:8">
      <c r="A1809" t="s">
        <v>3300</v>
      </c>
      <c r="B1809" t="s">
        <v>5025</v>
      </c>
      <c r="C1809" t="s">
        <v>5026</v>
      </c>
      <c r="D1809" t="s">
        <v>219</v>
      </c>
      <c r="E1809" t="s">
        <v>86</v>
      </c>
      <c r="F1809" s="2">
        <v>0.29220000000000002</v>
      </c>
      <c r="G1809">
        <v>9</v>
      </c>
      <c r="H1809" s="2">
        <f>Tabla_Items_Inactivos[[#This Row],[EXISTENCIA]]*Tabla_Items_Inactivos[[#This Row],[COSTO]]</f>
        <v>2.6298000000000004</v>
      </c>
    </row>
    <row r="1810" spans="1:8">
      <c r="A1810" t="s">
        <v>3300</v>
      </c>
      <c r="B1810" t="s">
        <v>5027</v>
      </c>
      <c r="C1810" t="s">
        <v>5028</v>
      </c>
      <c r="D1810" t="s">
        <v>85</v>
      </c>
      <c r="E1810" t="s">
        <v>86</v>
      </c>
      <c r="F1810" s="2">
        <v>0.12</v>
      </c>
      <c r="G1810">
        <v>10</v>
      </c>
      <c r="H1810" s="2">
        <f>Tabla_Items_Inactivos[[#This Row],[EXISTENCIA]]*Tabla_Items_Inactivos[[#This Row],[COSTO]]</f>
        <v>1.2</v>
      </c>
    </row>
    <row r="1811" spans="1:8">
      <c r="A1811" t="s">
        <v>3300</v>
      </c>
      <c r="B1811" t="s">
        <v>547</v>
      </c>
      <c r="C1811" t="s">
        <v>548</v>
      </c>
      <c r="D1811" t="s">
        <v>85</v>
      </c>
      <c r="E1811" t="s">
        <v>86</v>
      </c>
      <c r="F1811" s="2">
        <v>2.9918999999999998</v>
      </c>
      <c r="G1811">
        <v>6</v>
      </c>
      <c r="H1811" s="2">
        <f>Tabla_Items_Inactivos[[#This Row],[EXISTENCIA]]*Tabla_Items_Inactivos[[#This Row],[COSTO]]</f>
        <v>17.9514</v>
      </c>
    </row>
    <row r="1812" spans="1:8">
      <c r="A1812" t="s">
        <v>3301</v>
      </c>
      <c r="B1812" t="s">
        <v>547</v>
      </c>
      <c r="C1812" t="s">
        <v>548</v>
      </c>
      <c r="D1812" t="s">
        <v>85</v>
      </c>
      <c r="E1812" t="s">
        <v>86</v>
      </c>
      <c r="F1812" s="2">
        <v>2.9918999999999998</v>
      </c>
      <c r="G1812">
        <v>6</v>
      </c>
      <c r="H1812" s="2">
        <f>Tabla_Items_Inactivos[[#This Row],[EXISTENCIA]]*Tabla_Items_Inactivos[[#This Row],[COSTO]]</f>
        <v>17.9514</v>
      </c>
    </row>
    <row r="1813" spans="1:8">
      <c r="A1813" t="s">
        <v>3300</v>
      </c>
      <c r="B1813" t="s">
        <v>5029</v>
      </c>
      <c r="C1813" t="s">
        <v>5030</v>
      </c>
      <c r="D1813" t="s">
        <v>85</v>
      </c>
      <c r="E1813" t="s">
        <v>86</v>
      </c>
      <c r="F1813" s="2">
        <v>1.5760000000000001</v>
      </c>
      <c r="G1813">
        <v>4</v>
      </c>
      <c r="H1813" s="2">
        <f>Tabla_Items_Inactivos[[#This Row],[EXISTENCIA]]*Tabla_Items_Inactivos[[#This Row],[COSTO]]</f>
        <v>6.3040000000000003</v>
      </c>
    </row>
    <row r="1814" spans="1:8">
      <c r="A1814" t="s">
        <v>3300</v>
      </c>
      <c r="B1814" t="s">
        <v>5031</v>
      </c>
      <c r="C1814" t="s">
        <v>5032</v>
      </c>
      <c r="D1814" t="s">
        <v>85</v>
      </c>
      <c r="E1814" t="s">
        <v>86</v>
      </c>
      <c r="F1814" s="2">
        <v>0.66830000000000001</v>
      </c>
      <c r="G1814">
        <v>68</v>
      </c>
      <c r="H1814" s="2">
        <f>Tabla_Items_Inactivos[[#This Row],[EXISTENCIA]]*Tabla_Items_Inactivos[[#This Row],[COSTO]]</f>
        <v>45.444400000000002</v>
      </c>
    </row>
    <row r="1815" spans="1:8">
      <c r="A1815" t="s">
        <v>3300</v>
      </c>
      <c r="B1815" t="s">
        <v>549</v>
      </c>
      <c r="C1815" t="s">
        <v>550</v>
      </c>
      <c r="D1815" t="s">
        <v>85</v>
      </c>
      <c r="E1815" t="s">
        <v>86</v>
      </c>
      <c r="F1815" s="2">
        <v>0.64300000000000002</v>
      </c>
      <c r="G1815">
        <v>4</v>
      </c>
      <c r="H1815" s="2">
        <f>Tabla_Items_Inactivos[[#This Row],[EXISTENCIA]]*Tabla_Items_Inactivos[[#This Row],[COSTO]]</f>
        <v>2.5720000000000001</v>
      </c>
    </row>
    <row r="1816" spans="1:8">
      <c r="A1816" t="s">
        <v>3300</v>
      </c>
      <c r="B1816" t="s">
        <v>551</v>
      </c>
      <c r="C1816" t="s">
        <v>552</v>
      </c>
      <c r="D1816" t="s">
        <v>219</v>
      </c>
      <c r="E1816" t="s">
        <v>86</v>
      </c>
      <c r="F1816" s="2">
        <v>1.83</v>
      </c>
      <c r="G1816">
        <v>5</v>
      </c>
      <c r="H1816" s="2">
        <f>Tabla_Items_Inactivos[[#This Row],[EXISTENCIA]]*Tabla_Items_Inactivos[[#This Row],[COSTO]]</f>
        <v>9.15</v>
      </c>
    </row>
    <row r="1817" spans="1:8">
      <c r="A1817" t="s">
        <v>3300</v>
      </c>
      <c r="B1817" t="s">
        <v>553</v>
      </c>
      <c r="C1817" t="s">
        <v>554</v>
      </c>
      <c r="D1817" t="s">
        <v>219</v>
      </c>
      <c r="E1817" t="s">
        <v>86</v>
      </c>
      <c r="F1817" s="2">
        <v>1.83</v>
      </c>
      <c r="G1817">
        <v>5</v>
      </c>
      <c r="H1817" s="2">
        <f>Tabla_Items_Inactivos[[#This Row],[EXISTENCIA]]*Tabla_Items_Inactivos[[#This Row],[COSTO]]</f>
        <v>9.15</v>
      </c>
    </row>
    <row r="1818" spans="1:8">
      <c r="A1818" t="s">
        <v>3300</v>
      </c>
      <c r="B1818" t="s">
        <v>3159</v>
      </c>
      <c r="C1818" t="s">
        <v>5033</v>
      </c>
      <c r="D1818" t="s">
        <v>85</v>
      </c>
      <c r="E1818" t="s">
        <v>86</v>
      </c>
      <c r="F1818" s="2">
        <v>7.05</v>
      </c>
      <c r="G1818">
        <v>1</v>
      </c>
      <c r="H1818" s="2">
        <f>Tabla_Items_Inactivos[[#This Row],[EXISTENCIA]]*Tabla_Items_Inactivos[[#This Row],[COSTO]]</f>
        <v>7.05</v>
      </c>
    </row>
    <row r="1819" spans="1:8">
      <c r="A1819" t="s">
        <v>3300</v>
      </c>
      <c r="B1819" t="s">
        <v>3160</v>
      </c>
      <c r="C1819" t="s">
        <v>3161</v>
      </c>
      <c r="D1819" t="s">
        <v>85</v>
      </c>
      <c r="E1819" t="s">
        <v>86</v>
      </c>
      <c r="F1819" s="2">
        <v>10.7065</v>
      </c>
      <c r="G1819">
        <v>15</v>
      </c>
      <c r="H1819" s="2">
        <f>Tabla_Items_Inactivos[[#This Row],[EXISTENCIA]]*Tabla_Items_Inactivos[[#This Row],[COSTO]]</f>
        <v>160.5975</v>
      </c>
    </row>
    <row r="1820" spans="1:8">
      <c r="A1820" t="s">
        <v>3301</v>
      </c>
      <c r="B1820" t="s">
        <v>3160</v>
      </c>
      <c r="C1820" t="s">
        <v>3161</v>
      </c>
      <c r="D1820" t="s">
        <v>85</v>
      </c>
      <c r="E1820" t="s">
        <v>86</v>
      </c>
      <c r="F1820" s="2">
        <v>10.7065</v>
      </c>
      <c r="G1820">
        <v>15</v>
      </c>
      <c r="H1820" s="2">
        <f>Tabla_Items_Inactivos[[#This Row],[EXISTENCIA]]*Tabla_Items_Inactivos[[#This Row],[COSTO]]</f>
        <v>160.5975</v>
      </c>
    </row>
    <row r="1821" spans="1:8">
      <c r="A1821" t="s">
        <v>3300</v>
      </c>
      <c r="B1821" t="s">
        <v>5034</v>
      </c>
      <c r="C1821" t="s">
        <v>5035</v>
      </c>
      <c r="D1821" t="s">
        <v>85</v>
      </c>
      <c r="E1821" t="s">
        <v>86</v>
      </c>
      <c r="F1821" s="2">
        <v>9.4278999999999993</v>
      </c>
      <c r="G1821">
        <v>20</v>
      </c>
      <c r="H1821" s="2">
        <f>Tabla_Items_Inactivos[[#This Row],[EXISTENCIA]]*Tabla_Items_Inactivos[[#This Row],[COSTO]]</f>
        <v>188.55799999999999</v>
      </c>
    </row>
    <row r="1822" spans="1:8">
      <c r="A1822" t="s">
        <v>3301</v>
      </c>
      <c r="B1822" t="s">
        <v>5034</v>
      </c>
      <c r="C1822" t="s">
        <v>5035</v>
      </c>
      <c r="D1822" t="s">
        <v>85</v>
      </c>
      <c r="E1822" t="s">
        <v>86</v>
      </c>
      <c r="F1822" s="2">
        <v>9.4278999999999993</v>
      </c>
      <c r="G1822">
        <v>20</v>
      </c>
      <c r="H1822" s="2">
        <f>Tabla_Items_Inactivos[[#This Row],[EXISTENCIA]]*Tabla_Items_Inactivos[[#This Row],[COSTO]]</f>
        <v>188.55799999999999</v>
      </c>
    </row>
    <row r="1823" spans="1:8">
      <c r="A1823" t="s">
        <v>3301</v>
      </c>
      <c r="B1823" t="s">
        <v>5036</v>
      </c>
      <c r="C1823" t="s">
        <v>5037</v>
      </c>
      <c r="D1823" t="s">
        <v>85</v>
      </c>
      <c r="E1823" t="s">
        <v>86</v>
      </c>
      <c r="F1823" s="2">
        <v>5.5468999999999999</v>
      </c>
      <c r="G1823">
        <v>11</v>
      </c>
      <c r="H1823" s="2">
        <f>Tabla_Items_Inactivos[[#This Row],[EXISTENCIA]]*Tabla_Items_Inactivos[[#This Row],[COSTO]]</f>
        <v>61.015900000000002</v>
      </c>
    </row>
    <row r="1824" spans="1:8">
      <c r="A1824" t="s">
        <v>3300</v>
      </c>
      <c r="B1824" t="s">
        <v>5036</v>
      </c>
      <c r="C1824" t="s">
        <v>5037</v>
      </c>
      <c r="D1824" t="s">
        <v>85</v>
      </c>
      <c r="E1824" t="s">
        <v>86</v>
      </c>
      <c r="F1824" s="2">
        <v>5.5468999999999999</v>
      </c>
      <c r="G1824">
        <v>11</v>
      </c>
      <c r="H1824" s="2">
        <f>Tabla_Items_Inactivos[[#This Row],[EXISTENCIA]]*Tabla_Items_Inactivos[[#This Row],[COSTO]]</f>
        <v>61.015900000000002</v>
      </c>
    </row>
    <row r="1825" spans="1:8">
      <c r="A1825" t="s">
        <v>3300</v>
      </c>
      <c r="B1825" t="s">
        <v>3162</v>
      </c>
      <c r="C1825" t="s">
        <v>5038</v>
      </c>
      <c r="D1825" t="s">
        <v>85</v>
      </c>
      <c r="E1825" t="s">
        <v>86</v>
      </c>
      <c r="F1825" s="2">
        <v>9.1638999999999999</v>
      </c>
      <c r="G1825">
        <v>4</v>
      </c>
      <c r="H1825" s="2">
        <f>Tabla_Items_Inactivos[[#This Row],[EXISTENCIA]]*Tabla_Items_Inactivos[[#This Row],[COSTO]]</f>
        <v>36.6556</v>
      </c>
    </row>
    <row r="1826" spans="1:8">
      <c r="A1826" t="s">
        <v>3301</v>
      </c>
      <c r="B1826" t="s">
        <v>3162</v>
      </c>
      <c r="C1826" t="s">
        <v>5038</v>
      </c>
      <c r="D1826" t="s">
        <v>85</v>
      </c>
      <c r="E1826" t="s">
        <v>86</v>
      </c>
      <c r="F1826" s="2">
        <v>9.1638999999999999</v>
      </c>
      <c r="G1826">
        <v>4</v>
      </c>
      <c r="H1826" s="2">
        <f>Tabla_Items_Inactivos[[#This Row],[EXISTENCIA]]*Tabla_Items_Inactivos[[#This Row],[COSTO]]</f>
        <v>36.6556</v>
      </c>
    </row>
    <row r="1827" spans="1:8">
      <c r="A1827" t="s">
        <v>3300</v>
      </c>
      <c r="B1827" t="s">
        <v>5039</v>
      </c>
      <c r="C1827" t="s">
        <v>5040</v>
      </c>
      <c r="D1827" t="s">
        <v>85</v>
      </c>
      <c r="E1827" t="s">
        <v>86</v>
      </c>
      <c r="F1827" s="2">
        <v>2.82</v>
      </c>
      <c r="G1827">
        <v>5</v>
      </c>
      <c r="H1827" s="2">
        <f>Tabla_Items_Inactivos[[#This Row],[EXISTENCIA]]*Tabla_Items_Inactivos[[#This Row],[COSTO]]</f>
        <v>14.1</v>
      </c>
    </row>
    <row r="1828" spans="1:8">
      <c r="A1828" t="s">
        <v>3300</v>
      </c>
      <c r="B1828" t="s">
        <v>5041</v>
      </c>
      <c r="C1828" t="s">
        <v>5042</v>
      </c>
      <c r="D1828" t="s">
        <v>436</v>
      </c>
      <c r="E1828" t="s">
        <v>86</v>
      </c>
      <c r="F1828" s="2">
        <v>0.68</v>
      </c>
      <c r="G1828">
        <v>1</v>
      </c>
      <c r="H1828" s="2">
        <f>Tabla_Items_Inactivos[[#This Row],[EXISTENCIA]]*Tabla_Items_Inactivos[[#This Row],[COSTO]]</f>
        <v>0.68</v>
      </c>
    </row>
    <row r="1829" spans="1:8">
      <c r="A1829" t="s">
        <v>3300</v>
      </c>
      <c r="B1829" t="s">
        <v>3163</v>
      </c>
      <c r="C1829" t="s">
        <v>3164</v>
      </c>
      <c r="D1829" t="s">
        <v>219</v>
      </c>
      <c r="E1829" t="s">
        <v>86</v>
      </c>
      <c r="F1829" s="2">
        <v>0.435</v>
      </c>
      <c r="G1829">
        <v>10</v>
      </c>
      <c r="H1829" s="2">
        <f>Tabla_Items_Inactivos[[#This Row],[EXISTENCIA]]*Tabla_Items_Inactivos[[#This Row],[COSTO]]</f>
        <v>4.3499999999999996</v>
      </c>
    </row>
    <row r="1830" spans="1:8">
      <c r="A1830" t="s">
        <v>3300</v>
      </c>
      <c r="B1830" t="s">
        <v>555</v>
      </c>
      <c r="C1830" t="s">
        <v>5043</v>
      </c>
      <c r="D1830" t="s">
        <v>219</v>
      </c>
      <c r="E1830" t="s">
        <v>86</v>
      </c>
      <c r="F1830" s="2">
        <v>0.34620000000000001</v>
      </c>
      <c r="G1830">
        <v>12</v>
      </c>
      <c r="H1830" s="2">
        <f>Tabla_Items_Inactivos[[#This Row],[EXISTENCIA]]*Tabla_Items_Inactivos[[#This Row],[COSTO]]</f>
        <v>4.1543999999999999</v>
      </c>
    </row>
    <row r="1831" spans="1:8">
      <c r="A1831" t="s">
        <v>3301</v>
      </c>
      <c r="B1831" t="s">
        <v>555</v>
      </c>
      <c r="C1831" t="s">
        <v>5043</v>
      </c>
      <c r="D1831" t="s">
        <v>219</v>
      </c>
      <c r="E1831" t="s">
        <v>86</v>
      </c>
      <c r="F1831" s="2">
        <v>0.34620000000000001</v>
      </c>
      <c r="G1831">
        <v>12</v>
      </c>
      <c r="H1831" s="2">
        <f>Tabla_Items_Inactivos[[#This Row],[EXISTENCIA]]*Tabla_Items_Inactivos[[#This Row],[COSTO]]</f>
        <v>4.1543999999999999</v>
      </c>
    </row>
    <row r="1832" spans="1:8">
      <c r="A1832" t="s">
        <v>3301</v>
      </c>
      <c r="B1832" t="s">
        <v>5044</v>
      </c>
      <c r="C1832" t="s">
        <v>5045</v>
      </c>
      <c r="D1832" t="s">
        <v>219</v>
      </c>
      <c r="E1832" t="s">
        <v>86</v>
      </c>
      <c r="F1832" s="2">
        <v>4.7058999999999997</v>
      </c>
      <c r="G1832">
        <v>18</v>
      </c>
      <c r="H1832" s="2">
        <f>Tabla_Items_Inactivos[[#This Row],[EXISTENCIA]]*Tabla_Items_Inactivos[[#This Row],[COSTO]]</f>
        <v>84.706199999999995</v>
      </c>
    </row>
    <row r="1833" spans="1:8">
      <c r="A1833" t="s">
        <v>3300</v>
      </c>
      <c r="B1833" t="s">
        <v>5044</v>
      </c>
      <c r="C1833" t="s">
        <v>5045</v>
      </c>
      <c r="D1833" t="s">
        <v>219</v>
      </c>
      <c r="E1833" t="s">
        <v>86</v>
      </c>
      <c r="F1833" s="2">
        <v>4.7058999999999997</v>
      </c>
      <c r="G1833">
        <v>18</v>
      </c>
      <c r="H1833" s="2">
        <f>Tabla_Items_Inactivos[[#This Row],[EXISTENCIA]]*Tabla_Items_Inactivos[[#This Row],[COSTO]]</f>
        <v>84.706199999999995</v>
      </c>
    </row>
    <row r="1834" spans="1:8">
      <c r="A1834" t="s">
        <v>3300</v>
      </c>
      <c r="B1834" t="s">
        <v>5495</v>
      </c>
      <c r="C1834" t="s">
        <v>5496</v>
      </c>
      <c r="D1834" t="s">
        <v>5497</v>
      </c>
      <c r="E1834" t="s">
        <v>86</v>
      </c>
      <c r="F1834" s="2">
        <v>240.26429999999999</v>
      </c>
      <c r="G1834">
        <v>7</v>
      </c>
      <c r="H1834" s="2">
        <f>Tabla_Items_Inactivos[[#This Row],[EXISTENCIA]]*Tabla_Items_Inactivos[[#This Row],[COSTO]]</f>
        <v>1681.8500999999999</v>
      </c>
    </row>
    <row r="1835" spans="1:8">
      <c r="A1835" t="s">
        <v>3301</v>
      </c>
      <c r="B1835" t="s">
        <v>5495</v>
      </c>
      <c r="C1835" t="s">
        <v>5496</v>
      </c>
      <c r="D1835" t="s">
        <v>5497</v>
      </c>
      <c r="E1835" t="s">
        <v>86</v>
      </c>
      <c r="F1835" s="2">
        <v>240.26429999999999</v>
      </c>
      <c r="G1835">
        <v>7</v>
      </c>
      <c r="H1835" s="2">
        <f>Tabla_Items_Inactivos[[#This Row],[EXISTENCIA]]*Tabla_Items_Inactivos[[#This Row],[COSTO]]</f>
        <v>1681.8500999999999</v>
      </c>
    </row>
    <row r="1836" spans="1:8">
      <c r="A1836" t="s">
        <v>3300</v>
      </c>
      <c r="B1836" t="s">
        <v>3165</v>
      </c>
      <c r="C1836" t="s">
        <v>3166</v>
      </c>
      <c r="D1836" t="s">
        <v>263</v>
      </c>
      <c r="E1836" t="s">
        <v>86</v>
      </c>
      <c r="F1836" s="2">
        <v>76.514300000000006</v>
      </c>
      <c r="G1836">
        <v>7</v>
      </c>
      <c r="H1836" s="2">
        <f>Tabla_Items_Inactivos[[#This Row],[EXISTENCIA]]*Tabla_Items_Inactivos[[#This Row],[COSTO]]</f>
        <v>535.6001</v>
      </c>
    </row>
    <row r="1837" spans="1:8">
      <c r="A1837" t="s">
        <v>3300</v>
      </c>
      <c r="B1837" t="s">
        <v>3167</v>
      </c>
      <c r="C1837" t="s">
        <v>5046</v>
      </c>
      <c r="D1837" t="s">
        <v>228</v>
      </c>
      <c r="E1837" t="s">
        <v>86</v>
      </c>
      <c r="F1837" s="2">
        <v>10.377700000000001</v>
      </c>
      <c r="G1837">
        <v>45</v>
      </c>
      <c r="H1837" s="2">
        <f>Tabla_Items_Inactivos[[#This Row],[EXISTENCIA]]*Tabla_Items_Inactivos[[#This Row],[COSTO]]</f>
        <v>466.99650000000003</v>
      </c>
    </row>
    <row r="1838" spans="1:8">
      <c r="A1838" t="s">
        <v>3301</v>
      </c>
      <c r="B1838" t="s">
        <v>3167</v>
      </c>
      <c r="C1838" t="s">
        <v>5046</v>
      </c>
      <c r="D1838" t="s">
        <v>228</v>
      </c>
      <c r="E1838" t="s">
        <v>86</v>
      </c>
      <c r="F1838" s="2">
        <v>10.377700000000001</v>
      </c>
      <c r="G1838">
        <v>45</v>
      </c>
      <c r="H1838" s="2">
        <f>Tabla_Items_Inactivos[[#This Row],[EXISTENCIA]]*Tabla_Items_Inactivos[[#This Row],[COSTO]]</f>
        <v>466.99650000000003</v>
      </c>
    </row>
    <row r="1839" spans="1:8">
      <c r="A1839" t="s">
        <v>3300</v>
      </c>
      <c r="B1839" t="s">
        <v>3168</v>
      </c>
      <c r="C1839" t="s">
        <v>5047</v>
      </c>
      <c r="D1839" t="s">
        <v>228</v>
      </c>
      <c r="E1839" t="s">
        <v>86</v>
      </c>
      <c r="F1839" s="2">
        <v>8.6082000000000001</v>
      </c>
      <c r="G1839">
        <v>105</v>
      </c>
      <c r="H1839" s="2">
        <f>Tabla_Items_Inactivos[[#This Row],[EXISTENCIA]]*Tabla_Items_Inactivos[[#This Row],[COSTO]]</f>
        <v>903.86099999999999</v>
      </c>
    </row>
    <row r="1840" spans="1:8">
      <c r="A1840" t="s">
        <v>3301</v>
      </c>
      <c r="B1840" t="s">
        <v>3168</v>
      </c>
      <c r="C1840" t="s">
        <v>5047</v>
      </c>
      <c r="D1840" t="s">
        <v>228</v>
      </c>
      <c r="E1840" t="s">
        <v>86</v>
      </c>
      <c r="F1840" s="2">
        <v>8.6082000000000001</v>
      </c>
      <c r="G1840">
        <v>105</v>
      </c>
      <c r="H1840" s="2">
        <f>Tabla_Items_Inactivos[[#This Row],[EXISTENCIA]]*Tabla_Items_Inactivos[[#This Row],[COSTO]]</f>
        <v>903.86099999999999</v>
      </c>
    </row>
    <row r="1841" spans="1:8">
      <c r="A1841" t="s">
        <v>3300</v>
      </c>
      <c r="B1841" t="s">
        <v>3169</v>
      </c>
      <c r="C1841" t="s">
        <v>3170</v>
      </c>
      <c r="D1841" t="s">
        <v>85</v>
      </c>
      <c r="E1841" t="s">
        <v>86</v>
      </c>
      <c r="F1841" s="2">
        <v>41.81</v>
      </c>
      <c r="G1841">
        <v>2</v>
      </c>
      <c r="H1841" s="2">
        <f>Tabla_Items_Inactivos[[#This Row],[EXISTENCIA]]*Tabla_Items_Inactivos[[#This Row],[COSTO]]</f>
        <v>83.62</v>
      </c>
    </row>
    <row r="1842" spans="1:8">
      <c r="A1842" t="s">
        <v>3300</v>
      </c>
      <c r="B1842" t="s">
        <v>3171</v>
      </c>
      <c r="C1842" t="s">
        <v>3172</v>
      </c>
      <c r="D1842" t="s">
        <v>85</v>
      </c>
      <c r="E1842" t="s">
        <v>86</v>
      </c>
      <c r="F1842" s="2">
        <v>0.75460000000000005</v>
      </c>
      <c r="G1842">
        <v>24</v>
      </c>
      <c r="H1842" s="2">
        <f>Tabla_Items_Inactivos[[#This Row],[EXISTENCIA]]*Tabla_Items_Inactivos[[#This Row],[COSTO]]</f>
        <v>18.110400000000002</v>
      </c>
    </row>
    <row r="1843" spans="1:8">
      <c r="A1843" t="s">
        <v>3301</v>
      </c>
      <c r="B1843" t="s">
        <v>3171</v>
      </c>
      <c r="C1843" t="s">
        <v>3172</v>
      </c>
      <c r="D1843" t="s">
        <v>85</v>
      </c>
      <c r="E1843" t="s">
        <v>86</v>
      </c>
      <c r="F1843" s="2">
        <v>0.75460000000000005</v>
      </c>
      <c r="G1843">
        <v>24</v>
      </c>
      <c r="H1843" s="2">
        <f>Tabla_Items_Inactivos[[#This Row],[EXISTENCIA]]*Tabla_Items_Inactivos[[#This Row],[COSTO]]</f>
        <v>18.110400000000002</v>
      </c>
    </row>
    <row r="1844" spans="1:8">
      <c r="A1844" t="s">
        <v>3300</v>
      </c>
      <c r="B1844" t="s">
        <v>5048</v>
      </c>
      <c r="C1844" t="s">
        <v>5049</v>
      </c>
      <c r="D1844" t="s">
        <v>228</v>
      </c>
      <c r="E1844" t="s">
        <v>86</v>
      </c>
      <c r="F1844" s="2">
        <v>3.5510000000000002</v>
      </c>
      <c r="G1844">
        <v>11</v>
      </c>
      <c r="H1844" s="2">
        <f>Tabla_Items_Inactivos[[#This Row],[EXISTENCIA]]*Tabla_Items_Inactivos[[#This Row],[COSTO]]</f>
        <v>39.061</v>
      </c>
    </row>
    <row r="1845" spans="1:8">
      <c r="A1845" t="s">
        <v>3300</v>
      </c>
      <c r="B1845" t="s">
        <v>5050</v>
      </c>
      <c r="C1845" t="s">
        <v>5051</v>
      </c>
      <c r="D1845" t="s">
        <v>85</v>
      </c>
      <c r="E1845" t="s">
        <v>86</v>
      </c>
      <c r="F1845" s="2">
        <v>1.6019000000000001</v>
      </c>
      <c r="G1845">
        <v>344.9</v>
      </c>
      <c r="H1845" s="2">
        <f>Tabla_Items_Inactivos[[#This Row],[EXISTENCIA]]*Tabla_Items_Inactivos[[#This Row],[COSTO]]</f>
        <v>552.49531000000002</v>
      </c>
    </row>
    <row r="1846" spans="1:8">
      <c r="A1846" t="s">
        <v>3301</v>
      </c>
      <c r="B1846" t="s">
        <v>5050</v>
      </c>
      <c r="C1846" t="s">
        <v>5051</v>
      </c>
      <c r="D1846" t="s">
        <v>85</v>
      </c>
      <c r="E1846" t="s">
        <v>86</v>
      </c>
      <c r="F1846" s="2">
        <v>1.6019000000000001</v>
      </c>
      <c r="G1846">
        <v>344.9</v>
      </c>
      <c r="H1846" s="2">
        <f>Tabla_Items_Inactivos[[#This Row],[EXISTENCIA]]*Tabla_Items_Inactivos[[#This Row],[COSTO]]</f>
        <v>552.49531000000002</v>
      </c>
    </row>
    <row r="1847" spans="1:8">
      <c r="A1847" t="s">
        <v>3301</v>
      </c>
      <c r="B1847" t="s">
        <v>556</v>
      </c>
      <c r="C1847" t="s">
        <v>5052</v>
      </c>
      <c r="D1847" t="s">
        <v>3819</v>
      </c>
      <c r="E1847" t="s">
        <v>86</v>
      </c>
      <c r="F1847" s="2">
        <v>1.3017000000000001</v>
      </c>
      <c r="G1847">
        <v>3</v>
      </c>
      <c r="H1847" s="2">
        <f>Tabla_Items_Inactivos[[#This Row],[EXISTENCIA]]*Tabla_Items_Inactivos[[#This Row],[COSTO]]</f>
        <v>3.9051</v>
      </c>
    </row>
    <row r="1848" spans="1:8">
      <c r="A1848" t="s">
        <v>3300</v>
      </c>
      <c r="B1848" t="s">
        <v>556</v>
      </c>
      <c r="C1848" t="s">
        <v>5052</v>
      </c>
      <c r="D1848" t="s">
        <v>3819</v>
      </c>
      <c r="E1848" t="s">
        <v>86</v>
      </c>
      <c r="F1848" s="2">
        <v>1.3017000000000001</v>
      </c>
      <c r="G1848">
        <v>3</v>
      </c>
      <c r="H1848" s="2">
        <f>Tabla_Items_Inactivos[[#This Row],[EXISTENCIA]]*Tabla_Items_Inactivos[[#This Row],[COSTO]]</f>
        <v>3.9051</v>
      </c>
    </row>
    <row r="1849" spans="1:8">
      <c r="A1849" t="s">
        <v>3300</v>
      </c>
      <c r="B1849" t="s">
        <v>557</v>
      </c>
      <c r="C1849" t="s">
        <v>558</v>
      </c>
      <c r="D1849" t="s">
        <v>228</v>
      </c>
      <c r="E1849" t="s">
        <v>86</v>
      </c>
      <c r="F1849" s="2">
        <v>1.5130999999999999</v>
      </c>
      <c r="G1849">
        <v>78</v>
      </c>
      <c r="H1849" s="2">
        <f>Tabla_Items_Inactivos[[#This Row],[EXISTENCIA]]*Tabla_Items_Inactivos[[#This Row],[COSTO]]</f>
        <v>118.02179999999998</v>
      </c>
    </row>
    <row r="1850" spans="1:8">
      <c r="A1850" t="s">
        <v>3300</v>
      </c>
      <c r="B1850" t="s">
        <v>5053</v>
      </c>
      <c r="C1850" t="s">
        <v>5054</v>
      </c>
      <c r="D1850" t="s">
        <v>219</v>
      </c>
      <c r="E1850" t="s">
        <v>86</v>
      </c>
      <c r="F1850" s="2">
        <v>5.8289</v>
      </c>
      <c r="G1850">
        <v>10</v>
      </c>
      <c r="H1850" s="2">
        <f>Tabla_Items_Inactivos[[#This Row],[EXISTENCIA]]*Tabla_Items_Inactivos[[#This Row],[COSTO]]</f>
        <v>58.289000000000001</v>
      </c>
    </row>
    <row r="1851" spans="1:8">
      <c r="A1851" t="s">
        <v>3301</v>
      </c>
      <c r="B1851" t="s">
        <v>5053</v>
      </c>
      <c r="C1851" t="s">
        <v>5054</v>
      </c>
      <c r="D1851" t="s">
        <v>219</v>
      </c>
      <c r="E1851" t="s">
        <v>86</v>
      </c>
      <c r="F1851" s="2">
        <v>5.8289</v>
      </c>
      <c r="G1851">
        <v>10</v>
      </c>
      <c r="H1851" s="2">
        <f>Tabla_Items_Inactivos[[#This Row],[EXISTENCIA]]*Tabla_Items_Inactivos[[#This Row],[COSTO]]</f>
        <v>58.289000000000001</v>
      </c>
    </row>
    <row r="1852" spans="1:8">
      <c r="A1852" t="s">
        <v>3300</v>
      </c>
      <c r="B1852" t="s">
        <v>559</v>
      </c>
      <c r="C1852" t="s">
        <v>5055</v>
      </c>
      <c r="D1852" t="s">
        <v>85</v>
      </c>
      <c r="E1852" t="s">
        <v>86</v>
      </c>
      <c r="F1852" s="2">
        <v>5.5711000000000004</v>
      </c>
      <c r="G1852">
        <v>8</v>
      </c>
      <c r="H1852" s="2">
        <f>Tabla_Items_Inactivos[[#This Row],[EXISTENCIA]]*Tabla_Items_Inactivos[[#This Row],[COSTO]]</f>
        <v>44.568800000000003</v>
      </c>
    </row>
    <row r="1853" spans="1:8">
      <c r="A1853" t="s">
        <v>3301</v>
      </c>
      <c r="B1853" t="s">
        <v>5056</v>
      </c>
      <c r="C1853" t="s">
        <v>3244</v>
      </c>
      <c r="D1853" t="s">
        <v>219</v>
      </c>
      <c r="E1853" t="s">
        <v>86</v>
      </c>
      <c r="F1853" s="2">
        <v>3.4573</v>
      </c>
      <c r="G1853">
        <v>14</v>
      </c>
      <c r="H1853" s="2">
        <f>Tabla_Items_Inactivos[[#This Row],[EXISTENCIA]]*Tabla_Items_Inactivos[[#This Row],[COSTO]]</f>
        <v>48.402200000000001</v>
      </c>
    </row>
    <row r="1854" spans="1:8">
      <c r="A1854" t="s">
        <v>3300</v>
      </c>
      <c r="B1854" t="s">
        <v>5056</v>
      </c>
      <c r="C1854" t="s">
        <v>3244</v>
      </c>
      <c r="D1854" t="s">
        <v>219</v>
      </c>
      <c r="E1854" t="s">
        <v>86</v>
      </c>
      <c r="F1854" s="2">
        <v>3.4573</v>
      </c>
      <c r="G1854">
        <v>14</v>
      </c>
      <c r="H1854" s="2">
        <f>Tabla_Items_Inactivos[[#This Row],[EXISTENCIA]]*Tabla_Items_Inactivos[[#This Row],[COSTO]]</f>
        <v>48.402200000000001</v>
      </c>
    </row>
    <row r="1855" spans="1:8">
      <c r="A1855" t="s">
        <v>3300</v>
      </c>
      <c r="B1855" t="s">
        <v>5057</v>
      </c>
      <c r="C1855" t="s">
        <v>5058</v>
      </c>
      <c r="D1855" t="s">
        <v>3537</v>
      </c>
      <c r="E1855" t="s">
        <v>86</v>
      </c>
      <c r="F1855" s="2">
        <v>0.31900000000000001</v>
      </c>
      <c r="G1855">
        <v>94</v>
      </c>
      <c r="H1855" s="2">
        <f>Tabla_Items_Inactivos[[#This Row],[EXISTENCIA]]*Tabla_Items_Inactivos[[#This Row],[COSTO]]</f>
        <v>29.986000000000001</v>
      </c>
    </row>
    <row r="1856" spans="1:8">
      <c r="A1856" t="s">
        <v>3300</v>
      </c>
      <c r="B1856" t="s">
        <v>5059</v>
      </c>
      <c r="C1856" t="s">
        <v>5060</v>
      </c>
      <c r="D1856" t="s">
        <v>85</v>
      </c>
      <c r="E1856" t="s">
        <v>86</v>
      </c>
      <c r="F1856" s="2">
        <v>0.32600000000000001</v>
      </c>
      <c r="G1856">
        <v>59</v>
      </c>
      <c r="H1856" s="2">
        <f>Tabla_Items_Inactivos[[#This Row],[EXISTENCIA]]*Tabla_Items_Inactivos[[#This Row],[COSTO]]</f>
        <v>19.234000000000002</v>
      </c>
    </row>
    <row r="1857" spans="1:8">
      <c r="A1857" t="s">
        <v>3301</v>
      </c>
      <c r="B1857" t="s">
        <v>5061</v>
      </c>
      <c r="C1857" t="s">
        <v>5062</v>
      </c>
      <c r="D1857" t="s">
        <v>219</v>
      </c>
      <c r="E1857" t="s">
        <v>86</v>
      </c>
      <c r="F1857" s="2">
        <v>16.238299999999999</v>
      </c>
      <c r="G1857">
        <v>6</v>
      </c>
      <c r="H1857" s="2">
        <f>Tabla_Items_Inactivos[[#This Row],[EXISTENCIA]]*Tabla_Items_Inactivos[[#This Row],[COSTO]]</f>
        <v>97.4298</v>
      </c>
    </row>
    <row r="1858" spans="1:8">
      <c r="A1858" t="s">
        <v>3300</v>
      </c>
      <c r="B1858" t="s">
        <v>5061</v>
      </c>
      <c r="C1858" t="s">
        <v>5062</v>
      </c>
      <c r="D1858" t="s">
        <v>219</v>
      </c>
      <c r="E1858" t="s">
        <v>86</v>
      </c>
      <c r="F1858" s="2">
        <v>16.238299999999999</v>
      </c>
      <c r="G1858">
        <v>6</v>
      </c>
      <c r="H1858" s="2">
        <f>Tabla_Items_Inactivos[[#This Row],[EXISTENCIA]]*Tabla_Items_Inactivos[[#This Row],[COSTO]]</f>
        <v>97.4298</v>
      </c>
    </row>
    <row r="1859" spans="1:8">
      <c r="A1859" t="s">
        <v>3300</v>
      </c>
      <c r="B1859" t="s">
        <v>560</v>
      </c>
      <c r="C1859" t="s">
        <v>561</v>
      </c>
      <c r="D1859" t="s">
        <v>5063</v>
      </c>
      <c r="E1859" t="s">
        <v>125</v>
      </c>
      <c r="F1859" s="2">
        <v>1318.4211</v>
      </c>
      <c r="G1859">
        <v>1</v>
      </c>
      <c r="H1859" s="2">
        <f>Tabla_Items_Inactivos[[#This Row],[EXISTENCIA]]*Tabla_Items_Inactivos[[#This Row],[COSTO]]</f>
        <v>1318.4211</v>
      </c>
    </row>
    <row r="1860" spans="1:8">
      <c r="A1860" t="s">
        <v>3301</v>
      </c>
      <c r="B1860" t="s">
        <v>560</v>
      </c>
      <c r="C1860" t="s">
        <v>561</v>
      </c>
      <c r="D1860" t="s">
        <v>5063</v>
      </c>
      <c r="E1860" t="s">
        <v>125</v>
      </c>
      <c r="F1860" s="2">
        <v>1318.4211</v>
      </c>
      <c r="G1860">
        <v>1</v>
      </c>
      <c r="H1860" s="2">
        <f>Tabla_Items_Inactivos[[#This Row],[EXISTENCIA]]*Tabla_Items_Inactivos[[#This Row],[COSTO]]</f>
        <v>1318.4211</v>
      </c>
    </row>
    <row r="1861" spans="1:8">
      <c r="A1861" t="s">
        <v>3299</v>
      </c>
      <c r="B1861" t="s">
        <v>562</v>
      </c>
      <c r="C1861" t="s">
        <v>563</v>
      </c>
      <c r="D1861" t="s">
        <v>618</v>
      </c>
      <c r="E1861" t="s">
        <v>626</v>
      </c>
      <c r="F1861" s="2">
        <v>27.699000000000002</v>
      </c>
      <c r="G1861">
        <v>4</v>
      </c>
      <c r="H1861" s="2">
        <f>Tabla_Items_Inactivos[[#This Row],[EXISTENCIA]]*Tabla_Items_Inactivos[[#This Row],[COSTO]]</f>
        <v>110.79600000000001</v>
      </c>
    </row>
    <row r="1862" spans="1:8">
      <c r="A1862" t="s">
        <v>3299</v>
      </c>
      <c r="B1862" t="s">
        <v>564</v>
      </c>
      <c r="C1862" t="s">
        <v>565</v>
      </c>
      <c r="D1862" t="s">
        <v>115</v>
      </c>
      <c r="E1862" t="s">
        <v>1931</v>
      </c>
      <c r="F1862" s="2">
        <v>16.013999999999999</v>
      </c>
      <c r="G1862">
        <v>10</v>
      </c>
      <c r="H1862" s="2">
        <f>Tabla_Items_Inactivos[[#This Row],[EXISTENCIA]]*Tabla_Items_Inactivos[[#This Row],[COSTO]]</f>
        <v>160.13999999999999</v>
      </c>
    </row>
    <row r="1863" spans="1:8">
      <c r="A1863" t="s">
        <v>3299</v>
      </c>
      <c r="B1863" t="s">
        <v>566</v>
      </c>
      <c r="C1863" t="s">
        <v>567</v>
      </c>
      <c r="D1863" t="s">
        <v>618</v>
      </c>
      <c r="E1863" t="s">
        <v>626</v>
      </c>
      <c r="F1863" s="2">
        <v>2.9529999999999998</v>
      </c>
      <c r="G1863">
        <v>4</v>
      </c>
      <c r="H1863" s="2">
        <f>Tabla_Items_Inactivos[[#This Row],[EXISTENCIA]]*Tabla_Items_Inactivos[[#This Row],[COSTO]]</f>
        <v>11.811999999999999</v>
      </c>
    </row>
    <row r="1864" spans="1:8">
      <c r="A1864" t="s">
        <v>3299</v>
      </c>
      <c r="B1864" t="s">
        <v>568</v>
      </c>
      <c r="C1864" t="s">
        <v>569</v>
      </c>
      <c r="D1864" t="s">
        <v>580</v>
      </c>
      <c r="E1864" t="s">
        <v>581</v>
      </c>
      <c r="F1864" s="2">
        <v>37.918999999999997</v>
      </c>
      <c r="G1864">
        <v>53</v>
      </c>
      <c r="H1864" s="2">
        <f>Tabla_Items_Inactivos[[#This Row],[EXISTENCIA]]*Tabla_Items_Inactivos[[#This Row],[COSTO]]</f>
        <v>2009.7069999999999</v>
      </c>
    </row>
    <row r="1865" spans="1:8">
      <c r="A1865" t="s">
        <v>3299</v>
      </c>
      <c r="B1865" t="s">
        <v>570</v>
      </c>
      <c r="C1865" t="s">
        <v>571</v>
      </c>
      <c r="D1865" t="s">
        <v>618</v>
      </c>
      <c r="E1865" t="s">
        <v>626</v>
      </c>
      <c r="F1865" s="2">
        <v>511.09399999999999</v>
      </c>
      <c r="G1865">
        <v>0.36</v>
      </c>
      <c r="H1865" s="2">
        <f>Tabla_Items_Inactivos[[#This Row],[EXISTENCIA]]*Tabla_Items_Inactivos[[#This Row],[COSTO]]</f>
        <v>183.99383999999998</v>
      </c>
    </row>
    <row r="1866" spans="1:8">
      <c r="A1866" t="s">
        <v>3299</v>
      </c>
      <c r="B1866" t="s">
        <v>572</v>
      </c>
      <c r="C1866" t="s">
        <v>573</v>
      </c>
      <c r="D1866" t="s">
        <v>31</v>
      </c>
      <c r="E1866" t="s">
        <v>31</v>
      </c>
      <c r="F1866" s="2">
        <v>39.78</v>
      </c>
      <c r="G1866">
        <v>4</v>
      </c>
      <c r="H1866" s="2">
        <f>Tabla_Items_Inactivos[[#This Row],[EXISTENCIA]]*Tabla_Items_Inactivos[[#This Row],[COSTO]]</f>
        <v>159.12</v>
      </c>
    </row>
    <row r="1867" spans="1:8">
      <c r="A1867" t="s">
        <v>3299</v>
      </c>
      <c r="B1867" t="s">
        <v>574</v>
      </c>
      <c r="C1867" t="s">
        <v>575</v>
      </c>
      <c r="D1867" t="s">
        <v>580</v>
      </c>
      <c r="E1867" t="s">
        <v>581</v>
      </c>
      <c r="F1867" s="2">
        <v>10.722099999999999</v>
      </c>
      <c r="G1867">
        <v>32</v>
      </c>
      <c r="H1867" s="2">
        <f>Tabla_Items_Inactivos[[#This Row],[EXISTENCIA]]*Tabla_Items_Inactivos[[#This Row],[COSTO]]</f>
        <v>343.10719999999998</v>
      </c>
    </row>
    <row r="1868" spans="1:8">
      <c r="A1868" t="s">
        <v>3299</v>
      </c>
      <c r="B1868" t="s">
        <v>576</v>
      </c>
      <c r="C1868" t="s">
        <v>577</v>
      </c>
      <c r="D1868" t="s">
        <v>580</v>
      </c>
      <c r="E1868" t="s">
        <v>581</v>
      </c>
      <c r="F1868" s="2">
        <v>121.78400000000001</v>
      </c>
      <c r="G1868">
        <v>1</v>
      </c>
      <c r="H1868" s="2">
        <f>Tabla_Items_Inactivos[[#This Row],[EXISTENCIA]]*Tabla_Items_Inactivos[[#This Row],[COSTO]]</f>
        <v>121.78400000000001</v>
      </c>
    </row>
    <row r="1869" spans="1:8">
      <c r="A1869" t="s">
        <v>3299</v>
      </c>
      <c r="B1869" t="s">
        <v>578</v>
      </c>
      <c r="C1869" t="s">
        <v>579</v>
      </c>
      <c r="D1869" t="s">
        <v>580</v>
      </c>
      <c r="E1869" t="s">
        <v>581</v>
      </c>
      <c r="F1869" s="2">
        <v>3.2545999999999999</v>
      </c>
      <c r="G1869">
        <v>556</v>
      </c>
      <c r="H1869" s="2">
        <f>Tabla_Items_Inactivos[[#This Row],[EXISTENCIA]]*Tabla_Items_Inactivos[[#This Row],[COSTO]]</f>
        <v>1809.5575999999999</v>
      </c>
    </row>
    <row r="1870" spans="1:8">
      <c r="A1870" t="s">
        <v>3301</v>
      </c>
      <c r="B1870" t="s">
        <v>578</v>
      </c>
      <c r="C1870" t="s">
        <v>579</v>
      </c>
      <c r="D1870" t="s">
        <v>580</v>
      </c>
      <c r="E1870" t="s">
        <v>581</v>
      </c>
      <c r="F1870" s="2">
        <v>3.2545999999999999</v>
      </c>
      <c r="G1870">
        <v>556</v>
      </c>
      <c r="H1870" s="2">
        <f>Tabla_Items_Inactivos[[#This Row],[EXISTENCIA]]*Tabla_Items_Inactivos[[#This Row],[COSTO]]</f>
        <v>1809.5575999999999</v>
      </c>
    </row>
    <row r="1871" spans="1:8">
      <c r="A1871" t="s">
        <v>3299</v>
      </c>
      <c r="B1871" t="s">
        <v>582</v>
      </c>
      <c r="C1871" t="s">
        <v>583</v>
      </c>
      <c r="D1871" t="s">
        <v>580</v>
      </c>
      <c r="E1871" t="s">
        <v>581</v>
      </c>
      <c r="F1871" s="2">
        <v>6.5549999999999997</v>
      </c>
      <c r="G1871">
        <v>82</v>
      </c>
      <c r="H1871" s="2">
        <f>Tabla_Items_Inactivos[[#This Row],[EXISTENCIA]]*Tabla_Items_Inactivos[[#This Row],[COSTO]]</f>
        <v>537.51</v>
      </c>
    </row>
    <row r="1872" spans="1:8">
      <c r="A1872" t="s">
        <v>3299</v>
      </c>
      <c r="B1872" t="s">
        <v>584</v>
      </c>
      <c r="C1872" t="s">
        <v>585</v>
      </c>
      <c r="D1872" t="s">
        <v>580</v>
      </c>
      <c r="E1872" t="s">
        <v>581</v>
      </c>
      <c r="F1872" s="2">
        <v>24.733000000000001</v>
      </c>
      <c r="G1872">
        <v>8</v>
      </c>
      <c r="H1872" s="2">
        <f>Tabla_Items_Inactivos[[#This Row],[EXISTENCIA]]*Tabla_Items_Inactivos[[#This Row],[COSTO]]</f>
        <v>197.864</v>
      </c>
    </row>
    <row r="1873" spans="1:8">
      <c r="A1873" t="s">
        <v>3299</v>
      </c>
      <c r="B1873" t="s">
        <v>586</v>
      </c>
      <c r="C1873" t="s">
        <v>587</v>
      </c>
      <c r="D1873" t="s">
        <v>580</v>
      </c>
      <c r="E1873" t="s">
        <v>581</v>
      </c>
      <c r="F1873" s="2">
        <v>2.6122000000000001</v>
      </c>
      <c r="G1873">
        <v>65</v>
      </c>
      <c r="H1873" s="2">
        <f>Tabla_Items_Inactivos[[#This Row],[EXISTENCIA]]*Tabla_Items_Inactivos[[#This Row],[COSTO]]</f>
        <v>169.79300000000001</v>
      </c>
    </row>
    <row r="1874" spans="1:8">
      <c r="A1874" t="s">
        <v>3300</v>
      </c>
      <c r="B1874" t="s">
        <v>588</v>
      </c>
      <c r="C1874" t="s">
        <v>589</v>
      </c>
      <c r="D1874" t="s">
        <v>31</v>
      </c>
      <c r="E1874" t="s">
        <v>1931</v>
      </c>
      <c r="F1874" s="2">
        <v>36</v>
      </c>
      <c r="G1874">
        <v>8</v>
      </c>
      <c r="H1874" s="2">
        <f>Tabla_Items_Inactivos[[#This Row],[EXISTENCIA]]*Tabla_Items_Inactivos[[#This Row],[COSTO]]</f>
        <v>288</v>
      </c>
    </row>
    <row r="1875" spans="1:8">
      <c r="A1875" t="s">
        <v>3300</v>
      </c>
      <c r="B1875" t="s">
        <v>590</v>
      </c>
      <c r="C1875" t="s">
        <v>591</v>
      </c>
      <c r="D1875" t="s">
        <v>5064</v>
      </c>
      <c r="E1875" t="s">
        <v>1931</v>
      </c>
      <c r="F1875" s="2">
        <v>57</v>
      </c>
      <c r="G1875">
        <v>1</v>
      </c>
      <c r="H1875" s="2">
        <f>Tabla_Items_Inactivos[[#This Row],[EXISTENCIA]]*Tabla_Items_Inactivos[[#This Row],[COSTO]]</f>
        <v>57</v>
      </c>
    </row>
    <row r="1876" spans="1:8">
      <c r="A1876" t="s">
        <v>3300</v>
      </c>
      <c r="B1876" t="s">
        <v>592</v>
      </c>
      <c r="C1876" t="s">
        <v>593</v>
      </c>
      <c r="D1876" t="s">
        <v>31</v>
      </c>
      <c r="E1876" t="s">
        <v>1931</v>
      </c>
      <c r="F1876" s="2">
        <v>252.56</v>
      </c>
      <c r="G1876">
        <v>1</v>
      </c>
      <c r="H1876" s="2">
        <f>Tabla_Items_Inactivos[[#This Row],[EXISTENCIA]]*Tabla_Items_Inactivos[[#This Row],[COSTO]]</f>
        <v>252.56</v>
      </c>
    </row>
    <row r="1877" spans="1:8">
      <c r="A1877" t="s">
        <v>3300</v>
      </c>
      <c r="B1877" t="s">
        <v>594</v>
      </c>
      <c r="C1877" t="s">
        <v>595</v>
      </c>
      <c r="D1877" t="s">
        <v>31</v>
      </c>
      <c r="E1877" t="s">
        <v>1931</v>
      </c>
      <c r="F1877" s="2">
        <v>34.5</v>
      </c>
      <c r="G1877">
        <v>4</v>
      </c>
      <c r="H1877" s="2">
        <f>Tabla_Items_Inactivos[[#This Row],[EXISTENCIA]]*Tabla_Items_Inactivos[[#This Row],[COSTO]]</f>
        <v>138</v>
      </c>
    </row>
    <row r="1878" spans="1:8">
      <c r="A1878" t="s">
        <v>3300</v>
      </c>
      <c r="B1878" t="s">
        <v>596</v>
      </c>
      <c r="C1878" t="s">
        <v>597</v>
      </c>
      <c r="D1878" t="s">
        <v>31</v>
      </c>
      <c r="E1878" t="s">
        <v>1931</v>
      </c>
      <c r="F1878" s="2">
        <v>19.2</v>
      </c>
      <c r="G1878">
        <v>2</v>
      </c>
      <c r="H1878" s="2">
        <f>Tabla_Items_Inactivos[[#This Row],[EXISTENCIA]]*Tabla_Items_Inactivos[[#This Row],[COSTO]]</f>
        <v>38.4</v>
      </c>
    </row>
    <row r="1879" spans="1:8">
      <c r="A1879" t="s">
        <v>3300</v>
      </c>
      <c r="B1879" t="s">
        <v>598</v>
      </c>
      <c r="C1879" t="s">
        <v>599</v>
      </c>
      <c r="D1879" t="s">
        <v>1044</v>
      </c>
      <c r="E1879" t="s">
        <v>125</v>
      </c>
      <c r="F1879" s="2">
        <v>14.6816</v>
      </c>
      <c r="G1879">
        <v>1</v>
      </c>
      <c r="H1879" s="2">
        <f>Tabla_Items_Inactivos[[#This Row],[EXISTENCIA]]*Tabla_Items_Inactivos[[#This Row],[COSTO]]</f>
        <v>14.6816</v>
      </c>
    </row>
    <row r="1880" spans="1:8">
      <c r="A1880" t="s">
        <v>3301</v>
      </c>
      <c r="B1880" t="s">
        <v>598</v>
      </c>
      <c r="C1880" t="s">
        <v>599</v>
      </c>
      <c r="D1880" t="s">
        <v>1044</v>
      </c>
      <c r="E1880" t="s">
        <v>125</v>
      </c>
      <c r="F1880" s="2">
        <v>14.6816</v>
      </c>
      <c r="G1880">
        <v>1</v>
      </c>
      <c r="H1880" s="2">
        <f>Tabla_Items_Inactivos[[#This Row],[EXISTENCIA]]*Tabla_Items_Inactivos[[#This Row],[COSTO]]</f>
        <v>14.6816</v>
      </c>
    </row>
    <row r="1881" spans="1:8">
      <c r="A1881" t="s">
        <v>3300</v>
      </c>
      <c r="B1881" t="s">
        <v>600</v>
      </c>
      <c r="C1881" t="s">
        <v>601</v>
      </c>
      <c r="D1881" t="s">
        <v>31</v>
      </c>
      <c r="E1881" t="s">
        <v>1931</v>
      </c>
      <c r="F1881" s="2">
        <v>195</v>
      </c>
      <c r="G1881">
        <v>3</v>
      </c>
      <c r="H1881" s="2">
        <f>Tabla_Items_Inactivos[[#This Row],[EXISTENCIA]]*Tabla_Items_Inactivos[[#This Row],[COSTO]]</f>
        <v>585</v>
      </c>
    </row>
    <row r="1882" spans="1:8">
      <c r="A1882" t="s">
        <v>3300</v>
      </c>
      <c r="B1882" t="s">
        <v>602</v>
      </c>
      <c r="C1882" t="s">
        <v>603</v>
      </c>
      <c r="D1882" t="s">
        <v>31</v>
      </c>
      <c r="E1882" t="s">
        <v>1931</v>
      </c>
      <c r="F1882" s="2">
        <v>108</v>
      </c>
      <c r="G1882">
        <v>1</v>
      </c>
      <c r="H1882" s="2">
        <f>Tabla_Items_Inactivos[[#This Row],[EXISTENCIA]]*Tabla_Items_Inactivos[[#This Row],[COSTO]]</f>
        <v>108</v>
      </c>
    </row>
    <row r="1883" spans="1:8">
      <c r="A1883" t="s">
        <v>3300</v>
      </c>
      <c r="B1883" t="s">
        <v>604</v>
      </c>
      <c r="C1883" t="s">
        <v>605</v>
      </c>
      <c r="D1883" t="s">
        <v>31</v>
      </c>
      <c r="E1883" t="s">
        <v>1931</v>
      </c>
      <c r="F1883" s="2">
        <v>30</v>
      </c>
      <c r="G1883">
        <v>1</v>
      </c>
      <c r="H1883" s="2">
        <f>Tabla_Items_Inactivos[[#This Row],[EXISTENCIA]]*Tabla_Items_Inactivos[[#This Row],[COSTO]]</f>
        <v>30</v>
      </c>
    </row>
    <row r="1884" spans="1:8">
      <c r="A1884" t="s">
        <v>3300</v>
      </c>
      <c r="B1884" t="s">
        <v>606</v>
      </c>
      <c r="C1884" t="s">
        <v>607</v>
      </c>
      <c r="D1884" t="s">
        <v>31</v>
      </c>
      <c r="E1884" t="s">
        <v>1931</v>
      </c>
      <c r="F1884" s="2">
        <v>16</v>
      </c>
      <c r="G1884">
        <v>1</v>
      </c>
      <c r="H1884" s="2">
        <f>Tabla_Items_Inactivos[[#This Row],[EXISTENCIA]]*Tabla_Items_Inactivos[[#This Row],[COSTO]]</f>
        <v>16</v>
      </c>
    </row>
    <row r="1885" spans="1:8">
      <c r="A1885" t="s">
        <v>3300</v>
      </c>
      <c r="B1885" t="s">
        <v>608</v>
      </c>
      <c r="C1885" t="s">
        <v>609</v>
      </c>
      <c r="D1885" t="s">
        <v>98</v>
      </c>
      <c r="E1885" t="s">
        <v>86</v>
      </c>
      <c r="F1885" s="2">
        <v>4.7649999999999997</v>
      </c>
      <c r="G1885">
        <v>14</v>
      </c>
      <c r="H1885" s="2">
        <f>Tabla_Items_Inactivos[[#This Row],[EXISTENCIA]]*Tabla_Items_Inactivos[[#This Row],[COSTO]]</f>
        <v>66.709999999999994</v>
      </c>
    </row>
    <row r="1886" spans="1:8">
      <c r="A1886" t="s">
        <v>3300</v>
      </c>
      <c r="B1886" t="s">
        <v>610</v>
      </c>
      <c r="C1886" t="s">
        <v>611</v>
      </c>
      <c r="D1886" t="s">
        <v>31</v>
      </c>
      <c r="E1886" t="s">
        <v>1931</v>
      </c>
      <c r="F1886" s="2">
        <v>26.086300000000001</v>
      </c>
      <c r="G1886">
        <v>3</v>
      </c>
      <c r="H1886" s="2">
        <f>Tabla_Items_Inactivos[[#This Row],[EXISTENCIA]]*Tabla_Items_Inactivos[[#This Row],[COSTO]]</f>
        <v>78.258900000000011</v>
      </c>
    </row>
    <row r="1887" spans="1:8">
      <c r="A1887" t="s">
        <v>3301</v>
      </c>
      <c r="B1887" t="s">
        <v>610</v>
      </c>
      <c r="C1887" t="s">
        <v>611</v>
      </c>
      <c r="D1887" t="s">
        <v>31</v>
      </c>
      <c r="E1887" t="s">
        <v>1931</v>
      </c>
      <c r="F1887" s="2">
        <v>26.086300000000001</v>
      </c>
      <c r="G1887">
        <v>3</v>
      </c>
      <c r="H1887" s="2">
        <f>Tabla_Items_Inactivos[[#This Row],[EXISTENCIA]]*Tabla_Items_Inactivos[[#This Row],[COSTO]]</f>
        <v>78.258900000000011</v>
      </c>
    </row>
    <row r="1888" spans="1:8">
      <c r="A1888" t="s">
        <v>3300</v>
      </c>
      <c r="B1888" t="s">
        <v>612</v>
      </c>
      <c r="C1888" t="s">
        <v>613</v>
      </c>
      <c r="D1888" t="s">
        <v>476</v>
      </c>
      <c r="E1888" t="s">
        <v>86</v>
      </c>
      <c r="F1888" s="2">
        <v>3.28</v>
      </c>
      <c r="G1888">
        <v>99.73</v>
      </c>
      <c r="H1888" s="2">
        <f>Tabla_Items_Inactivos[[#This Row],[EXISTENCIA]]*Tabla_Items_Inactivos[[#This Row],[COSTO]]</f>
        <v>327.11439999999999</v>
      </c>
    </row>
    <row r="1889" spans="1:8">
      <c r="A1889" t="s">
        <v>3299</v>
      </c>
      <c r="B1889" t="s">
        <v>614</v>
      </c>
      <c r="C1889" t="s">
        <v>615</v>
      </c>
      <c r="D1889" t="s">
        <v>31</v>
      </c>
      <c r="E1889" t="s">
        <v>31</v>
      </c>
      <c r="F1889" s="2">
        <v>267</v>
      </c>
      <c r="G1889">
        <v>3</v>
      </c>
      <c r="H1889" s="2">
        <f>Tabla_Items_Inactivos[[#This Row],[EXISTENCIA]]*Tabla_Items_Inactivos[[#This Row],[COSTO]]</f>
        <v>801</v>
      </c>
    </row>
    <row r="1890" spans="1:8">
      <c r="A1890" t="s">
        <v>3299</v>
      </c>
      <c r="B1890" t="s">
        <v>616</v>
      </c>
      <c r="C1890" t="s">
        <v>617</v>
      </c>
      <c r="D1890" t="s">
        <v>618</v>
      </c>
      <c r="E1890" t="s">
        <v>619</v>
      </c>
      <c r="F1890" s="2">
        <v>63.359000000000002</v>
      </c>
      <c r="G1890">
        <v>8</v>
      </c>
      <c r="H1890" s="2">
        <f>Tabla_Items_Inactivos[[#This Row],[EXISTENCIA]]*Tabla_Items_Inactivos[[#This Row],[COSTO]]</f>
        <v>506.87200000000001</v>
      </c>
    </row>
    <row r="1891" spans="1:8">
      <c r="A1891" t="s">
        <v>3301</v>
      </c>
      <c r="B1891" t="s">
        <v>620</v>
      </c>
      <c r="C1891" t="s">
        <v>621</v>
      </c>
      <c r="D1891" t="s">
        <v>580</v>
      </c>
      <c r="E1891" t="s">
        <v>619</v>
      </c>
      <c r="F1891" s="2">
        <v>18.316099999999999</v>
      </c>
      <c r="G1891">
        <v>38</v>
      </c>
      <c r="H1891" s="2">
        <f>Tabla_Items_Inactivos[[#This Row],[EXISTENCIA]]*Tabla_Items_Inactivos[[#This Row],[COSTO]]</f>
        <v>696.01179999999999</v>
      </c>
    </row>
    <row r="1892" spans="1:8">
      <c r="A1892" t="s">
        <v>3299</v>
      </c>
      <c r="B1892" t="s">
        <v>620</v>
      </c>
      <c r="C1892" t="s">
        <v>621</v>
      </c>
      <c r="D1892" t="s">
        <v>580</v>
      </c>
      <c r="E1892" t="s">
        <v>619</v>
      </c>
      <c r="F1892" s="2">
        <v>18.316099999999999</v>
      </c>
      <c r="G1892">
        <v>38</v>
      </c>
      <c r="H1892" s="2">
        <f>Tabla_Items_Inactivos[[#This Row],[EXISTENCIA]]*Tabla_Items_Inactivos[[#This Row],[COSTO]]</f>
        <v>696.01179999999999</v>
      </c>
    </row>
    <row r="1893" spans="1:8">
      <c r="A1893" t="s">
        <v>3299</v>
      </c>
      <c r="B1893" t="s">
        <v>622</v>
      </c>
      <c r="C1893" t="s">
        <v>623</v>
      </c>
      <c r="D1893" t="s">
        <v>618</v>
      </c>
      <c r="E1893" t="s">
        <v>619</v>
      </c>
      <c r="F1893" s="2">
        <v>40.319000000000003</v>
      </c>
      <c r="G1893">
        <v>87</v>
      </c>
      <c r="H1893" s="2">
        <f>Tabla_Items_Inactivos[[#This Row],[EXISTENCIA]]*Tabla_Items_Inactivos[[#This Row],[COSTO]]</f>
        <v>3507.7530000000002</v>
      </c>
    </row>
    <row r="1894" spans="1:8">
      <c r="A1894" t="s">
        <v>3299</v>
      </c>
      <c r="B1894" t="s">
        <v>624</v>
      </c>
      <c r="C1894" t="s">
        <v>625</v>
      </c>
      <c r="D1894" t="s">
        <v>618</v>
      </c>
      <c r="E1894" t="s">
        <v>626</v>
      </c>
      <c r="F1894" s="2">
        <v>98.302000000000007</v>
      </c>
      <c r="G1894">
        <v>12</v>
      </c>
      <c r="H1894" s="2">
        <f>Tabla_Items_Inactivos[[#This Row],[EXISTENCIA]]*Tabla_Items_Inactivos[[#This Row],[COSTO]]</f>
        <v>1179.624</v>
      </c>
    </row>
    <row r="1895" spans="1:8">
      <c r="A1895" t="s">
        <v>3299</v>
      </c>
      <c r="B1895" t="s">
        <v>627</v>
      </c>
      <c r="C1895" t="s">
        <v>628</v>
      </c>
      <c r="D1895" t="s">
        <v>618</v>
      </c>
      <c r="E1895" t="s">
        <v>626</v>
      </c>
      <c r="F1895" s="2">
        <v>519.351</v>
      </c>
      <c r="G1895">
        <v>8</v>
      </c>
      <c r="H1895" s="2">
        <f>Tabla_Items_Inactivos[[#This Row],[EXISTENCIA]]*Tabla_Items_Inactivos[[#This Row],[COSTO]]</f>
        <v>4154.808</v>
      </c>
    </row>
    <row r="1896" spans="1:8">
      <c r="A1896" t="s">
        <v>3299</v>
      </c>
      <c r="B1896" t="s">
        <v>629</v>
      </c>
      <c r="C1896" t="s">
        <v>630</v>
      </c>
      <c r="D1896" t="s">
        <v>618</v>
      </c>
      <c r="E1896" t="s">
        <v>619</v>
      </c>
      <c r="F1896" s="2">
        <v>39.78</v>
      </c>
      <c r="G1896">
        <v>52</v>
      </c>
      <c r="H1896" s="2">
        <f>Tabla_Items_Inactivos[[#This Row],[EXISTENCIA]]*Tabla_Items_Inactivos[[#This Row],[COSTO]]</f>
        <v>2068.56</v>
      </c>
    </row>
    <row r="1897" spans="1:8">
      <c r="A1897" t="s">
        <v>3299</v>
      </c>
      <c r="B1897" t="s">
        <v>631</v>
      </c>
      <c r="C1897" t="s">
        <v>632</v>
      </c>
      <c r="D1897" t="s">
        <v>101</v>
      </c>
      <c r="E1897" t="s">
        <v>581</v>
      </c>
      <c r="F1897" s="2">
        <v>14.293200000000001</v>
      </c>
      <c r="G1897">
        <v>63.25</v>
      </c>
      <c r="H1897" s="2">
        <f>Tabla_Items_Inactivos[[#This Row],[EXISTENCIA]]*Tabla_Items_Inactivos[[#This Row],[COSTO]]</f>
        <v>904.04489999999998</v>
      </c>
    </row>
    <row r="1898" spans="1:8">
      <c r="A1898" t="s">
        <v>3299</v>
      </c>
      <c r="B1898" t="s">
        <v>5065</v>
      </c>
      <c r="C1898" t="s">
        <v>5066</v>
      </c>
      <c r="D1898" t="s">
        <v>101</v>
      </c>
      <c r="E1898" t="s">
        <v>581</v>
      </c>
      <c r="F1898" s="2">
        <v>5.93</v>
      </c>
      <c r="G1898">
        <v>770.9</v>
      </c>
      <c r="H1898" s="2">
        <f>Tabla_Items_Inactivos[[#This Row],[EXISTENCIA]]*Tabla_Items_Inactivos[[#This Row],[COSTO]]</f>
        <v>4571.4369999999999</v>
      </c>
    </row>
    <row r="1899" spans="1:8">
      <c r="A1899" t="s">
        <v>3299</v>
      </c>
      <c r="B1899" t="s">
        <v>633</v>
      </c>
      <c r="C1899" t="s">
        <v>634</v>
      </c>
      <c r="D1899" t="s">
        <v>101</v>
      </c>
      <c r="E1899" t="s">
        <v>581</v>
      </c>
      <c r="F1899" s="2">
        <v>37.57</v>
      </c>
      <c r="G1899">
        <v>30</v>
      </c>
      <c r="H1899" s="2">
        <f>Tabla_Items_Inactivos[[#This Row],[EXISTENCIA]]*Tabla_Items_Inactivos[[#This Row],[COSTO]]</f>
        <v>1127.0999999999999</v>
      </c>
    </row>
    <row r="1900" spans="1:8">
      <c r="A1900" t="s">
        <v>3299</v>
      </c>
      <c r="B1900" t="s">
        <v>635</v>
      </c>
      <c r="C1900" t="s">
        <v>636</v>
      </c>
      <c r="D1900" t="s">
        <v>101</v>
      </c>
      <c r="E1900" t="s">
        <v>581</v>
      </c>
      <c r="F1900" s="2">
        <v>5100</v>
      </c>
      <c r="G1900">
        <v>1.49</v>
      </c>
      <c r="H1900" s="2">
        <f>Tabla_Items_Inactivos[[#This Row],[EXISTENCIA]]*Tabla_Items_Inactivos[[#This Row],[COSTO]]</f>
        <v>7599</v>
      </c>
    </row>
    <row r="1901" spans="1:8">
      <c r="A1901" t="s">
        <v>3299</v>
      </c>
      <c r="B1901" t="s">
        <v>637</v>
      </c>
      <c r="C1901" t="s">
        <v>638</v>
      </c>
      <c r="D1901" t="s">
        <v>618</v>
      </c>
      <c r="E1901" t="s">
        <v>626</v>
      </c>
      <c r="F1901" s="2">
        <v>26.518000000000001</v>
      </c>
      <c r="G1901">
        <v>163</v>
      </c>
      <c r="H1901" s="2">
        <f>Tabla_Items_Inactivos[[#This Row],[EXISTENCIA]]*Tabla_Items_Inactivos[[#This Row],[COSTO]]</f>
        <v>4322.4340000000002</v>
      </c>
    </row>
    <row r="1902" spans="1:8">
      <c r="A1902" t="s">
        <v>3301</v>
      </c>
      <c r="B1902" t="s">
        <v>5067</v>
      </c>
      <c r="C1902" t="s">
        <v>5068</v>
      </c>
      <c r="D1902" t="s">
        <v>5069</v>
      </c>
      <c r="E1902" t="s">
        <v>5070</v>
      </c>
      <c r="F1902" s="2">
        <v>0</v>
      </c>
      <c r="G1902">
        <v>1</v>
      </c>
      <c r="H1902" s="2">
        <f>Tabla_Items_Inactivos[[#This Row],[EXISTENCIA]]*Tabla_Items_Inactivos[[#This Row],[COSTO]]</f>
        <v>0</v>
      </c>
    </row>
    <row r="1903" spans="1:8">
      <c r="A1903" t="s">
        <v>3300</v>
      </c>
      <c r="B1903" t="s">
        <v>639</v>
      </c>
      <c r="C1903" t="s">
        <v>640</v>
      </c>
      <c r="D1903" t="s">
        <v>31</v>
      </c>
      <c r="E1903" t="s">
        <v>1931</v>
      </c>
      <c r="F1903" s="2">
        <v>76.61</v>
      </c>
      <c r="G1903">
        <v>1</v>
      </c>
      <c r="H1903" s="2">
        <f>Tabla_Items_Inactivos[[#This Row],[EXISTENCIA]]*Tabla_Items_Inactivos[[#This Row],[COSTO]]</f>
        <v>76.61</v>
      </c>
    </row>
    <row r="1904" spans="1:8">
      <c r="A1904" t="s">
        <v>3300</v>
      </c>
      <c r="B1904" t="s">
        <v>641</v>
      </c>
      <c r="C1904" t="s">
        <v>642</v>
      </c>
      <c r="D1904" t="s">
        <v>31</v>
      </c>
      <c r="E1904" t="s">
        <v>1931</v>
      </c>
      <c r="F1904" s="2">
        <v>7.4610000000000003</v>
      </c>
      <c r="G1904">
        <v>1</v>
      </c>
      <c r="H1904" s="2">
        <f>Tabla_Items_Inactivos[[#This Row],[EXISTENCIA]]*Tabla_Items_Inactivos[[#This Row],[COSTO]]</f>
        <v>7.4610000000000003</v>
      </c>
    </row>
    <row r="1905" spans="1:8">
      <c r="A1905" t="s">
        <v>3300</v>
      </c>
      <c r="B1905" t="s">
        <v>643</v>
      </c>
      <c r="C1905" t="s">
        <v>644</v>
      </c>
      <c r="D1905" t="s">
        <v>31</v>
      </c>
      <c r="E1905" t="s">
        <v>1931</v>
      </c>
      <c r="F1905" s="2">
        <v>2.6179999999999999</v>
      </c>
      <c r="G1905">
        <v>1</v>
      </c>
      <c r="H1905" s="2">
        <f>Tabla_Items_Inactivos[[#This Row],[EXISTENCIA]]*Tabla_Items_Inactivos[[#This Row],[COSTO]]</f>
        <v>2.6179999999999999</v>
      </c>
    </row>
    <row r="1906" spans="1:8">
      <c r="A1906" t="s">
        <v>3300</v>
      </c>
      <c r="B1906" t="s">
        <v>645</v>
      </c>
      <c r="C1906" t="s">
        <v>646</v>
      </c>
      <c r="D1906" t="s">
        <v>31</v>
      </c>
      <c r="E1906" t="s">
        <v>1931</v>
      </c>
      <c r="F1906" s="2">
        <v>10.923999999999999</v>
      </c>
      <c r="G1906">
        <v>1</v>
      </c>
      <c r="H1906" s="2">
        <f>Tabla_Items_Inactivos[[#This Row],[EXISTENCIA]]*Tabla_Items_Inactivos[[#This Row],[COSTO]]</f>
        <v>10.923999999999999</v>
      </c>
    </row>
    <row r="1907" spans="1:8">
      <c r="A1907" t="s">
        <v>3300</v>
      </c>
      <c r="B1907" t="s">
        <v>647</v>
      </c>
      <c r="C1907" t="s">
        <v>648</v>
      </c>
      <c r="D1907" t="s">
        <v>31</v>
      </c>
      <c r="E1907" t="s">
        <v>1931</v>
      </c>
      <c r="F1907" s="2">
        <v>43.209000000000003</v>
      </c>
      <c r="G1907">
        <v>1</v>
      </c>
      <c r="H1907" s="2">
        <f>Tabla_Items_Inactivos[[#This Row],[EXISTENCIA]]*Tabla_Items_Inactivos[[#This Row],[COSTO]]</f>
        <v>43.209000000000003</v>
      </c>
    </row>
    <row r="1908" spans="1:8">
      <c r="A1908" t="s">
        <v>3301</v>
      </c>
      <c r="B1908" t="s">
        <v>5071</v>
      </c>
      <c r="C1908" t="s">
        <v>5072</v>
      </c>
      <c r="D1908" t="s">
        <v>3304</v>
      </c>
      <c r="E1908" t="s">
        <v>1931</v>
      </c>
      <c r="F1908" s="2">
        <v>28.92</v>
      </c>
      <c r="G1908">
        <v>2</v>
      </c>
      <c r="H1908" s="2">
        <f>Tabla_Items_Inactivos[[#This Row],[EXISTENCIA]]*Tabla_Items_Inactivos[[#This Row],[COSTO]]</f>
        <v>57.84</v>
      </c>
    </row>
    <row r="1909" spans="1:8">
      <c r="A1909" t="s">
        <v>3301</v>
      </c>
      <c r="B1909" t="s">
        <v>5073</v>
      </c>
      <c r="C1909" t="s">
        <v>5074</v>
      </c>
      <c r="D1909" t="s">
        <v>3304</v>
      </c>
      <c r="E1909" t="s">
        <v>1931</v>
      </c>
      <c r="F1909" s="2">
        <v>28.92</v>
      </c>
      <c r="G1909">
        <v>2</v>
      </c>
      <c r="H1909" s="2">
        <f>Tabla_Items_Inactivos[[#This Row],[EXISTENCIA]]*Tabla_Items_Inactivos[[#This Row],[COSTO]]</f>
        <v>57.84</v>
      </c>
    </row>
    <row r="1910" spans="1:8">
      <c r="A1910" t="s">
        <v>3301</v>
      </c>
      <c r="B1910" t="s">
        <v>5075</v>
      </c>
      <c r="C1910" t="s">
        <v>5076</v>
      </c>
      <c r="D1910" t="s">
        <v>3304</v>
      </c>
      <c r="E1910" t="s">
        <v>1931</v>
      </c>
      <c r="F1910" s="2">
        <v>30.34</v>
      </c>
      <c r="G1910">
        <v>1</v>
      </c>
      <c r="H1910" s="2">
        <f>Tabla_Items_Inactivos[[#This Row],[EXISTENCIA]]*Tabla_Items_Inactivos[[#This Row],[COSTO]]</f>
        <v>30.34</v>
      </c>
    </row>
    <row r="1911" spans="1:8">
      <c r="A1911" t="s">
        <v>3301</v>
      </c>
      <c r="B1911" t="s">
        <v>5077</v>
      </c>
      <c r="C1911" t="s">
        <v>5078</v>
      </c>
      <c r="D1911" t="s">
        <v>3304</v>
      </c>
      <c r="E1911" t="s">
        <v>1931</v>
      </c>
      <c r="F1911" s="2">
        <v>26.8</v>
      </c>
      <c r="G1911">
        <v>2</v>
      </c>
      <c r="H1911" s="2">
        <f>Tabla_Items_Inactivos[[#This Row],[EXISTENCIA]]*Tabla_Items_Inactivos[[#This Row],[COSTO]]</f>
        <v>53.6</v>
      </c>
    </row>
    <row r="1912" spans="1:8">
      <c r="A1912" t="s">
        <v>3301</v>
      </c>
      <c r="B1912" t="s">
        <v>5079</v>
      </c>
      <c r="C1912" t="s">
        <v>5080</v>
      </c>
      <c r="D1912" t="s">
        <v>3304</v>
      </c>
      <c r="E1912" t="s">
        <v>1931</v>
      </c>
      <c r="F1912" s="2">
        <v>66.540000000000006</v>
      </c>
      <c r="G1912">
        <v>3</v>
      </c>
      <c r="H1912" s="2">
        <f>Tabla_Items_Inactivos[[#This Row],[EXISTENCIA]]*Tabla_Items_Inactivos[[#This Row],[COSTO]]</f>
        <v>199.62</v>
      </c>
    </row>
    <row r="1913" spans="1:8">
      <c r="A1913" t="s">
        <v>3300</v>
      </c>
      <c r="B1913" t="s">
        <v>649</v>
      </c>
      <c r="C1913" t="s">
        <v>650</v>
      </c>
      <c r="D1913" t="s">
        <v>31</v>
      </c>
      <c r="E1913" t="s">
        <v>1931</v>
      </c>
      <c r="F1913" s="2">
        <v>1.3</v>
      </c>
      <c r="G1913">
        <v>1</v>
      </c>
      <c r="H1913" s="2">
        <f>Tabla_Items_Inactivos[[#This Row],[EXISTENCIA]]*Tabla_Items_Inactivos[[#This Row],[COSTO]]</f>
        <v>1.3</v>
      </c>
    </row>
    <row r="1914" spans="1:8">
      <c r="A1914" t="s">
        <v>3300</v>
      </c>
      <c r="B1914" t="s">
        <v>651</v>
      </c>
      <c r="C1914" t="s">
        <v>652</v>
      </c>
      <c r="D1914" t="s">
        <v>31</v>
      </c>
      <c r="E1914" t="s">
        <v>1931</v>
      </c>
      <c r="F1914" s="2">
        <v>4.1100000000000003</v>
      </c>
      <c r="G1914">
        <v>1</v>
      </c>
      <c r="H1914" s="2">
        <f>Tabla_Items_Inactivos[[#This Row],[EXISTENCIA]]*Tabla_Items_Inactivos[[#This Row],[COSTO]]</f>
        <v>4.1100000000000003</v>
      </c>
    </row>
    <row r="1915" spans="1:8">
      <c r="A1915" t="s">
        <v>3300</v>
      </c>
      <c r="B1915" t="s">
        <v>653</v>
      </c>
      <c r="C1915" t="s">
        <v>654</v>
      </c>
      <c r="D1915" t="s">
        <v>31</v>
      </c>
      <c r="E1915" t="s">
        <v>1931</v>
      </c>
      <c r="F1915" s="2">
        <v>43.931600000000003</v>
      </c>
      <c r="G1915">
        <v>2</v>
      </c>
      <c r="H1915" s="2">
        <f>Tabla_Items_Inactivos[[#This Row],[EXISTENCIA]]*Tabla_Items_Inactivos[[#This Row],[COSTO]]</f>
        <v>87.863200000000006</v>
      </c>
    </row>
    <row r="1916" spans="1:8">
      <c r="A1916" t="s">
        <v>3301</v>
      </c>
      <c r="B1916" t="s">
        <v>653</v>
      </c>
      <c r="C1916" t="s">
        <v>654</v>
      </c>
      <c r="D1916" t="s">
        <v>31</v>
      </c>
      <c r="E1916" t="s">
        <v>1931</v>
      </c>
      <c r="F1916" s="2">
        <v>43.931600000000003</v>
      </c>
      <c r="G1916">
        <v>2</v>
      </c>
      <c r="H1916" s="2">
        <f>Tabla_Items_Inactivos[[#This Row],[EXISTENCIA]]*Tabla_Items_Inactivos[[#This Row],[COSTO]]</f>
        <v>87.863200000000006</v>
      </c>
    </row>
    <row r="1917" spans="1:8">
      <c r="A1917" t="s">
        <v>3300</v>
      </c>
      <c r="B1917" t="s">
        <v>655</v>
      </c>
      <c r="C1917" t="s">
        <v>656</v>
      </c>
      <c r="D1917" t="s">
        <v>31</v>
      </c>
      <c r="E1917" t="s">
        <v>1931</v>
      </c>
      <c r="F1917" s="2">
        <v>75.575800000000001</v>
      </c>
      <c r="G1917">
        <v>3</v>
      </c>
      <c r="H1917" s="2">
        <f>Tabla_Items_Inactivos[[#This Row],[EXISTENCIA]]*Tabla_Items_Inactivos[[#This Row],[COSTO]]</f>
        <v>226.72739999999999</v>
      </c>
    </row>
    <row r="1918" spans="1:8">
      <c r="A1918" t="s">
        <v>3301</v>
      </c>
      <c r="B1918" t="s">
        <v>655</v>
      </c>
      <c r="C1918" t="s">
        <v>656</v>
      </c>
      <c r="D1918" t="s">
        <v>31</v>
      </c>
      <c r="E1918" t="s">
        <v>1931</v>
      </c>
      <c r="F1918" s="2">
        <v>75.575800000000001</v>
      </c>
      <c r="G1918">
        <v>3</v>
      </c>
      <c r="H1918" s="2">
        <f>Tabla_Items_Inactivos[[#This Row],[EXISTENCIA]]*Tabla_Items_Inactivos[[#This Row],[COSTO]]</f>
        <v>226.72739999999999</v>
      </c>
    </row>
    <row r="1919" spans="1:8">
      <c r="A1919" t="s">
        <v>3301</v>
      </c>
      <c r="B1919" t="s">
        <v>657</v>
      </c>
      <c r="C1919" t="s">
        <v>658</v>
      </c>
      <c r="D1919" t="s">
        <v>208</v>
      </c>
      <c r="E1919" t="s">
        <v>125</v>
      </c>
      <c r="F1919" s="2">
        <v>6.7789000000000001</v>
      </c>
      <c r="G1919">
        <v>6</v>
      </c>
      <c r="H1919" s="2">
        <f>Tabla_Items_Inactivos[[#This Row],[EXISTENCIA]]*Tabla_Items_Inactivos[[#This Row],[COSTO]]</f>
        <v>40.673400000000001</v>
      </c>
    </row>
    <row r="1920" spans="1:8">
      <c r="A1920" t="s">
        <v>3300</v>
      </c>
      <c r="B1920" t="s">
        <v>657</v>
      </c>
      <c r="C1920" t="s">
        <v>658</v>
      </c>
      <c r="D1920" t="s">
        <v>208</v>
      </c>
      <c r="E1920" t="s">
        <v>125</v>
      </c>
      <c r="F1920" s="2">
        <v>6.7789000000000001</v>
      </c>
      <c r="G1920">
        <v>6</v>
      </c>
      <c r="H1920" s="2">
        <f>Tabla_Items_Inactivos[[#This Row],[EXISTENCIA]]*Tabla_Items_Inactivos[[#This Row],[COSTO]]</f>
        <v>40.673400000000001</v>
      </c>
    </row>
    <row r="1921" spans="1:8">
      <c r="A1921" t="s">
        <v>3300</v>
      </c>
      <c r="B1921" t="s">
        <v>659</v>
      </c>
      <c r="C1921" t="s">
        <v>660</v>
      </c>
      <c r="D1921" t="s">
        <v>208</v>
      </c>
      <c r="E1921" t="s">
        <v>125</v>
      </c>
      <c r="F1921" s="2">
        <v>7</v>
      </c>
      <c r="G1921">
        <v>1</v>
      </c>
      <c r="H1921" s="2">
        <f>Tabla_Items_Inactivos[[#This Row],[EXISTENCIA]]*Tabla_Items_Inactivos[[#This Row],[COSTO]]</f>
        <v>7</v>
      </c>
    </row>
    <row r="1922" spans="1:8">
      <c r="A1922" t="s">
        <v>3300</v>
      </c>
      <c r="B1922" t="s">
        <v>661</v>
      </c>
      <c r="C1922" t="s">
        <v>662</v>
      </c>
      <c r="D1922" t="s">
        <v>208</v>
      </c>
      <c r="E1922" t="s">
        <v>125</v>
      </c>
      <c r="F1922" s="2">
        <v>7</v>
      </c>
      <c r="G1922">
        <v>1</v>
      </c>
      <c r="H1922" s="2">
        <f>Tabla_Items_Inactivos[[#This Row],[EXISTENCIA]]*Tabla_Items_Inactivos[[#This Row],[COSTO]]</f>
        <v>7</v>
      </c>
    </row>
    <row r="1923" spans="1:8">
      <c r="A1923" t="s">
        <v>3300</v>
      </c>
      <c r="B1923" t="s">
        <v>663</v>
      </c>
      <c r="C1923" t="s">
        <v>664</v>
      </c>
      <c r="D1923" t="s">
        <v>208</v>
      </c>
      <c r="E1923" t="s">
        <v>125</v>
      </c>
      <c r="F1923" s="2">
        <v>7</v>
      </c>
      <c r="G1923">
        <v>1</v>
      </c>
      <c r="H1923" s="2">
        <f>Tabla_Items_Inactivos[[#This Row],[EXISTENCIA]]*Tabla_Items_Inactivos[[#This Row],[COSTO]]</f>
        <v>7</v>
      </c>
    </row>
    <row r="1924" spans="1:8">
      <c r="A1924" t="s">
        <v>3300</v>
      </c>
      <c r="B1924" t="s">
        <v>3173</v>
      </c>
      <c r="C1924" t="s">
        <v>3174</v>
      </c>
      <c r="D1924" t="s">
        <v>5081</v>
      </c>
      <c r="E1924" t="s">
        <v>125</v>
      </c>
      <c r="F1924" s="2">
        <v>2.2254999999999998</v>
      </c>
      <c r="G1924">
        <v>149</v>
      </c>
      <c r="H1924" s="2">
        <f>Tabla_Items_Inactivos[[#This Row],[EXISTENCIA]]*Tabla_Items_Inactivos[[#This Row],[COSTO]]</f>
        <v>331.59949999999998</v>
      </c>
    </row>
    <row r="1925" spans="1:8">
      <c r="A1925" t="s">
        <v>3301</v>
      </c>
      <c r="B1925" t="s">
        <v>3173</v>
      </c>
      <c r="C1925" t="s">
        <v>3174</v>
      </c>
      <c r="D1925" t="s">
        <v>5081</v>
      </c>
      <c r="E1925" t="s">
        <v>125</v>
      </c>
      <c r="F1925" s="2">
        <v>2.2254999999999998</v>
      </c>
      <c r="G1925">
        <v>149</v>
      </c>
      <c r="H1925" s="2">
        <f>Tabla_Items_Inactivos[[#This Row],[EXISTENCIA]]*Tabla_Items_Inactivos[[#This Row],[COSTO]]</f>
        <v>331.59949999999998</v>
      </c>
    </row>
    <row r="1926" spans="1:8">
      <c r="A1926" t="s">
        <v>3300</v>
      </c>
      <c r="B1926" t="s">
        <v>5082</v>
      </c>
      <c r="C1926" t="s">
        <v>5083</v>
      </c>
      <c r="D1926" t="s">
        <v>5081</v>
      </c>
      <c r="E1926" t="s">
        <v>125</v>
      </c>
      <c r="F1926" s="2">
        <v>4.4211</v>
      </c>
      <c r="G1926">
        <v>2</v>
      </c>
      <c r="H1926" s="2">
        <f>Tabla_Items_Inactivos[[#This Row],[EXISTENCIA]]*Tabla_Items_Inactivos[[#This Row],[COSTO]]</f>
        <v>8.8422000000000001</v>
      </c>
    </row>
    <row r="1927" spans="1:8">
      <c r="A1927" t="s">
        <v>3301</v>
      </c>
      <c r="B1927" t="s">
        <v>5082</v>
      </c>
      <c r="C1927" t="s">
        <v>5083</v>
      </c>
      <c r="D1927" t="s">
        <v>5081</v>
      </c>
      <c r="E1927" t="s">
        <v>125</v>
      </c>
      <c r="F1927" s="2">
        <v>4.4211</v>
      </c>
      <c r="G1927">
        <v>2</v>
      </c>
      <c r="H1927" s="2">
        <f>Tabla_Items_Inactivos[[#This Row],[EXISTENCIA]]*Tabla_Items_Inactivos[[#This Row],[COSTO]]</f>
        <v>8.8422000000000001</v>
      </c>
    </row>
    <row r="1928" spans="1:8">
      <c r="A1928" t="s">
        <v>3300</v>
      </c>
      <c r="B1928" t="s">
        <v>665</v>
      </c>
      <c r="C1928" t="s">
        <v>666</v>
      </c>
      <c r="D1928" t="s">
        <v>208</v>
      </c>
      <c r="E1928" t="s">
        <v>125</v>
      </c>
      <c r="F1928" s="2">
        <v>4.1052999999999997</v>
      </c>
      <c r="G1928">
        <v>3</v>
      </c>
      <c r="H1928" s="2">
        <f>Tabla_Items_Inactivos[[#This Row],[EXISTENCIA]]*Tabla_Items_Inactivos[[#This Row],[COSTO]]</f>
        <v>12.315899999999999</v>
      </c>
    </row>
    <row r="1929" spans="1:8">
      <c r="A1929" t="s">
        <v>3301</v>
      </c>
      <c r="B1929" t="s">
        <v>665</v>
      </c>
      <c r="C1929" t="s">
        <v>666</v>
      </c>
      <c r="D1929" t="s">
        <v>208</v>
      </c>
      <c r="E1929" t="s">
        <v>125</v>
      </c>
      <c r="F1929" s="2">
        <v>4.1052999999999997</v>
      </c>
      <c r="G1929">
        <v>3</v>
      </c>
      <c r="H1929" s="2">
        <f>Tabla_Items_Inactivos[[#This Row],[EXISTENCIA]]*Tabla_Items_Inactivos[[#This Row],[COSTO]]</f>
        <v>12.315899999999999</v>
      </c>
    </row>
    <row r="1930" spans="1:8">
      <c r="A1930" t="s">
        <v>3300</v>
      </c>
      <c r="B1930" t="s">
        <v>667</v>
      </c>
      <c r="C1930" t="s">
        <v>668</v>
      </c>
      <c r="D1930" t="s">
        <v>208</v>
      </c>
      <c r="E1930" t="s">
        <v>125</v>
      </c>
      <c r="F1930" s="2">
        <v>374.63369999999998</v>
      </c>
      <c r="G1930">
        <v>2</v>
      </c>
      <c r="H1930" s="2">
        <f>Tabla_Items_Inactivos[[#This Row],[EXISTENCIA]]*Tabla_Items_Inactivos[[#This Row],[COSTO]]</f>
        <v>749.26739999999995</v>
      </c>
    </row>
    <row r="1931" spans="1:8">
      <c r="A1931" t="s">
        <v>3301</v>
      </c>
      <c r="B1931" t="s">
        <v>667</v>
      </c>
      <c r="C1931" t="s">
        <v>668</v>
      </c>
      <c r="D1931" t="s">
        <v>208</v>
      </c>
      <c r="E1931" t="s">
        <v>125</v>
      </c>
      <c r="F1931" s="2">
        <v>374.63369999999998</v>
      </c>
      <c r="G1931">
        <v>2</v>
      </c>
      <c r="H1931" s="2">
        <f>Tabla_Items_Inactivos[[#This Row],[EXISTENCIA]]*Tabla_Items_Inactivos[[#This Row],[COSTO]]</f>
        <v>749.26739999999995</v>
      </c>
    </row>
    <row r="1932" spans="1:8">
      <c r="A1932" t="s">
        <v>3300</v>
      </c>
      <c r="B1932" t="s">
        <v>669</v>
      </c>
      <c r="C1932" t="s">
        <v>670</v>
      </c>
      <c r="D1932" t="s">
        <v>31</v>
      </c>
      <c r="E1932" t="s">
        <v>1931</v>
      </c>
      <c r="F1932" s="2">
        <v>1.7370000000000001</v>
      </c>
      <c r="G1932">
        <v>2</v>
      </c>
      <c r="H1932" s="2">
        <f>Tabla_Items_Inactivos[[#This Row],[EXISTENCIA]]*Tabla_Items_Inactivos[[#This Row],[COSTO]]</f>
        <v>3.4740000000000002</v>
      </c>
    </row>
    <row r="1933" spans="1:8">
      <c r="A1933" t="s">
        <v>3300</v>
      </c>
      <c r="B1933" t="s">
        <v>671</v>
      </c>
      <c r="C1933" t="s">
        <v>672</v>
      </c>
      <c r="D1933" t="s">
        <v>31</v>
      </c>
      <c r="E1933" t="s">
        <v>1931</v>
      </c>
      <c r="F1933" s="2">
        <v>151.47</v>
      </c>
      <c r="G1933">
        <v>1</v>
      </c>
      <c r="H1933" s="2">
        <f>Tabla_Items_Inactivos[[#This Row],[EXISTENCIA]]*Tabla_Items_Inactivos[[#This Row],[COSTO]]</f>
        <v>151.47</v>
      </c>
    </row>
    <row r="1934" spans="1:8">
      <c r="A1934" t="s">
        <v>3300</v>
      </c>
      <c r="B1934" t="s">
        <v>673</v>
      </c>
      <c r="C1934" t="s">
        <v>674</v>
      </c>
      <c r="D1934" t="s">
        <v>31</v>
      </c>
      <c r="E1934" t="s">
        <v>1931</v>
      </c>
      <c r="F1934" s="2">
        <v>104.7</v>
      </c>
      <c r="G1934">
        <v>3</v>
      </c>
      <c r="H1934" s="2">
        <f>Tabla_Items_Inactivos[[#This Row],[EXISTENCIA]]*Tabla_Items_Inactivos[[#This Row],[COSTO]]</f>
        <v>314.10000000000002</v>
      </c>
    </row>
    <row r="1935" spans="1:8">
      <c r="A1935" t="s">
        <v>3300</v>
      </c>
      <c r="B1935" t="s">
        <v>675</v>
      </c>
      <c r="C1935" t="s">
        <v>676</v>
      </c>
      <c r="D1935" t="s">
        <v>3304</v>
      </c>
      <c r="E1935" t="s">
        <v>1931</v>
      </c>
      <c r="F1935" s="2">
        <v>443.61630000000002</v>
      </c>
      <c r="G1935">
        <v>1</v>
      </c>
      <c r="H1935" s="2">
        <f>Tabla_Items_Inactivos[[#This Row],[EXISTENCIA]]*Tabla_Items_Inactivos[[#This Row],[COSTO]]</f>
        <v>443.61630000000002</v>
      </c>
    </row>
    <row r="1936" spans="1:8">
      <c r="A1936" t="s">
        <v>3301</v>
      </c>
      <c r="B1936" t="s">
        <v>675</v>
      </c>
      <c r="C1936" t="s">
        <v>676</v>
      </c>
      <c r="D1936" t="s">
        <v>3304</v>
      </c>
      <c r="E1936" t="s">
        <v>1931</v>
      </c>
      <c r="F1936" s="2">
        <v>443.61630000000002</v>
      </c>
      <c r="G1936">
        <v>1</v>
      </c>
      <c r="H1936" s="2">
        <f>Tabla_Items_Inactivos[[#This Row],[EXISTENCIA]]*Tabla_Items_Inactivos[[#This Row],[COSTO]]</f>
        <v>443.61630000000002</v>
      </c>
    </row>
    <row r="1937" spans="1:8">
      <c r="A1937" t="s">
        <v>3300</v>
      </c>
      <c r="B1937" t="s">
        <v>677</v>
      </c>
      <c r="C1937" t="s">
        <v>678</v>
      </c>
      <c r="D1937" t="s">
        <v>31</v>
      </c>
      <c r="E1937" t="s">
        <v>1931</v>
      </c>
      <c r="F1937" s="2">
        <v>60</v>
      </c>
      <c r="G1937">
        <v>2</v>
      </c>
      <c r="H1937" s="2">
        <f>Tabla_Items_Inactivos[[#This Row],[EXISTENCIA]]*Tabla_Items_Inactivos[[#This Row],[COSTO]]</f>
        <v>120</v>
      </c>
    </row>
    <row r="1938" spans="1:8">
      <c r="A1938" t="s">
        <v>3300</v>
      </c>
      <c r="B1938" t="s">
        <v>679</v>
      </c>
      <c r="C1938" t="s">
        <v>680</v>
      </c>
      <c r="D1938" t="s">
        <v>31</v>
      </c>
      <c r="E1938" t="s">
        <v>1931</v>
      </c>
      <c r="F1938" s="2">
        <v>33.761000000000003</v>
      </c>
      <c r="G1938">
        <v>1</v>
      </c>
      <c r="H1938" s="2">
        <f>Tabla_Items_Inactivos[[#This Row],[EXISTENCIA]]*Tabla_Items_Inactivos[[#This Row],[COSTO]]</f>
        <v>33.761000000000003</v>
      </c>
    </row>
    <row r="1939" spans="1:8">
      <c r="A1939" t="s">
        <v>3300</v>
      </c>
      <c r="B1939" t="s">
        <v>681</v>
      </c>
      <c r="C1939" t="s">
        <v>682</v>
      </c>
      <c r="D1939" t="s">
        <v>128</v>
      </c>
      <c r="E1939" t="s">
        <v>125</v>
      </c>
      <c r="F1939" s="2">
        <v>15</v>
      </c>
      <c r="G1939">
        <v>3</v>
      </c>
      <c r="H1939" s="2">
        <f>Tabla_Items_Inactivos[[#This Row],[EXISTENCIA]]*Tabla_Items_Inactivos[[#This Row],[COSTO]]</f>
        <v>45</v>
      </c>
    </row>
    <row r="1940" spans="1:8">
      <c r="A1940" t="s">
        <v>3300</v>
      </c>
      <c r="B1940" t="s">
        <v>683</v>
      </c>
      <c r="C1940" t="s">
        <v>684</v>
      </c>
      <c r="D1940" t="s">
        <v>31</v>
      </c>
      <c r="E1940" t="s">
        <v>1931</v>
      </c>
      <c r="F1940" s="2">
        <v>219.15790000000001</v>
      </c>
      <c r="G1940">
        <v>2</v>
      </c>
      <c r="H1940" s="2">
        <f>Tabla_Items_Inactivos[[#This Row],[EXISTENCIA]]*Tabla_Items_Inactivos[[#This Row],[COSTO]]</f>
        <v>438.31580000000002</v>
      </c>
    </row>
    <row r="1941" spans="1:8">
      <c r="A1941" t="s">
        <v>3301</v>
      </c>
      <c r="B1941" t="s">
        <v>683</v>
      </c>
      <c r="C1941" t="s">
        <v>684</v>
      </c>
      <c r="D1941" t="s">
        <v>31</v>
      </c>
      <c r="E1941" t="s">
        <v>1931</v>
      </c>
      <c r="F1941" s="2">
        <v>219.15790000000001</v>
      </c>
      <c r="G1941">
        <v>2</v>
      </c>
      <c r="H1941" s="2">
        <f>Tabla_Items_Inactivos[[#This Row],[EXISTENCIA]]*Tabla_Items_Inactivos[[#This Row],[COSTO]]</f>
        <v>438.31580000000002</v>
      </c>
    </row>
    <row r="1942" spans="1:8">
      <c r="A1942" t="s">
        <v>3301</v>
      </c>
      <c r="B1942" t="s">
        <v>685</v>
      </c>
      <c r="C1942" t="s">
        <v>686</v>
      </c>
      <c r="D1942" t="s">
        <v>131</v>
      </c>
      <c r="E1942" t="s">
        <v>125</v>
      </c>
      <c r="F1942" s="2">
        <v>38.352600000000002</v>
      </c>
      <c r="G1942">
        <v>1</v>
      </c>
      <c r="H1942" s="2">
        <f>Tabla_Items_Inactivos[[#This Row],[EXISTENCIA]]*Tabla_Items_Inactivos[[#This Row],[COSTO]]</f>
        <v>38.352600000000002</v>
      </c>
    </row>
    <row r="1943" spans="1:8">
      <c r="A1943" t="s">
        <v>3300</v>
      </c>
      <c r="B1943" t="s">
        <v>685</v>
      </c>
      <c r="C1943" t="s">
        <v>686</v>
      </c>
      <c r="D1943" t="s">
        <v>131</v>
      </c>
      <c r="E1943" t="s">
        <v>125</v>
      </c>
      <c r="F1943" s="2">
        <v>38.352600000000002</v>
      </c>
      <c r="G1943">
        <v>1</v>
      </c>
      <c r="H1943" s="2">
        <f>Tabla_Items_Inactivos[[#This Row],[EXISTENCIA]]*Tabla_Items_Inactivos[[#This Row],[COSTO]]</f>
        <v>38.352600000000002</v>
      </c>
    </row>
    <row r="1944" spans="1:8">
      <c r="A1944" t="s">
        <v>3300</v>
      </c>
      <c r="B1944" t="s">
        <v>687</v>
      </c>
      <c r="C1944" t="s">
        <v>688</v>
      </c>
      <c r="D1944" t="s">
        <v>3304</v>
      </c>
      <c r="E1944" t="s">
        <v>1931</v>
      </c>
      <c r="F1944" s="2">
        <v>23.589500000000001</v>
      </c>
      <c r="G1944">
        <v>2</v>
      </c>
      <c r="H1944" s="2">
        <f>Tabla_Items_Inactivos[[#This Row],[EXISTENCIA]]*Tabla_Items_Inactivos[[#This Row],[COSTO]]</f>
        <v>47.179000000000002</v>
      </c>
    </row>
    <row r="1945" spans="1:8">
      <c r="A1945" t="s">
        <v>3301</v>
      </c>
      <c r="B1945" t="s">
        <v>687</v>
      </c>
      <c r="C1945" t="s">
        <v>688</v>
      </c>
      <c r="D1945" t="s">
        <v>3304</v>
      </c>
      <c r="E1945" t="s">
        <v>1931</v>
      </c>
      <c r="F1945" s="2">
        <v>23.589500000000001</v>
      </c>
      <c r="G1945">
        <v>2</v>
      </c>
      <c r="H1945" s="2">
        <f>Tabla_Items_Inactivos[[#This Row],[EXISTENCIA]]*Tabla_Items_Inactivos[[#This Row],[COSTO]]</f>
        <v>47.179000000000002</v>
      </c>
    </row>
    <row r="1946" spans="1:8">
      <c r="A1946" t="s">
        <v>3300</v>
      </c>
      <c r="B1946" t="s">
        <v>689</v>
      </c>
      <c r="C1946" t="s">
        <v>690</v>
      </c>
      <c r="D1946" t="s">
        <v>31</v>
      </c>
      <c r="E1946" t="s">
        <v>1931</v>
      </c>
      <c r="F1946" s="2">
        <v>15</v>
      </c>
      <c r="G1946">
        <v>2</v>
      </c>
      <c r="H1946" s="2">
        <f>Tabla_Items_Inactivos[[#This Row],[EXISTENCIA]]*Tabla_Items_Inactivos[[#This Row],[COSTO]]</f>
        <v>30</v>
      </c>
    </row>
    <row r="1947" spans="1:8">
      <c r="A1947" t="s">
        <v>3300</v>
      </c>
      <c r="B1947" t="s">
        <v>691</v>
      </c>
      <c r="C1947" t="s">
        <v>692</v>
      </c>
      <c r="D1947" t="s">
        <v>31</v>
      </c>
      <c r="E1947" t="s">
        <v>1931</v>
      </c>
      <c r="F1947" s="2">
        <v>105</v>
      </c>
      <c r="G1947">
        <v>1</v>
      </c>
      <c r="H1947" s="2">
        <f>Tabla_Items_Inactivos[[#This Row],[EXISTENCIA]]*Tabla_Items_Inactivos[[#This Row],[COSTO]]</f>
        <v>105</v>
      </c>
    </row>
    <row r="1948" spans="1:8">
      <c r="A1948" t="s">
        <v>3300</v>
      </c>
      <c r="B1948" t="s">
        <v>693</v>
      </c>
      <c r="C1948" t="s">
        <v>694</v>
      </c>
      <c r="D1948" t="s">
        <v>31</v>
      </c>
      <c r="E1948" t="s">
        <v>1931</v>
      </c>
      <c r="F1948" s="2">
        <v>150</v>
      </c>
      <c r="G1948">
        <v>1</v>
      </c>
      <c r="H1948" s="2">
        <f>Tabla_Items_Inactivos[[#This Row],[EXISTENCIA]]*Tabla_Items_Inactivos[[#This Row],[COSTO]]</f>
        <v>150</v>
      </c>
    </row>
    <row r="1949" spans="1:8">
      <c r="A1949" t="s">
        <v>3300</v>
      </c>
      <c r="B1949" t="s">
        <v>695</v>
      </c>
      <c r="C1949" t="s">
        <v>696</v>
      </c>
      <c r="D1949" t="s">
        <v>208</v>
      </c>
      <c r="E1949" t="s">
        <v>125</v>
      </c>
      <c r="F1949" s="2">
        <v>51.989600000000003</v>
      </c>
      <c r="G1949">
        <v>7</v>
      </c>
      <c r="H1949" s="2">
        <f>Tabla_Items_Inactivos[[#This Row],[EXISTENCIA]]*Tabla_Items_Inactivos[[#This Row],[COSTO]]</f>
        <v>363.92720000000003</v>
      </c>
    </row>
    <row r="1950" spans="1:8">
      <c r="A1950" t="s">
        <v>3301</v>
      </c>
      <c r="B1950" t="s">
        <v>695</v>
      </c>
      <c r="C1950" t="s">
        <v>696</v>
      </c>
      <c r="D1950" t="s">
        <v>208</v>
      </c>
      <c r="E1950" t="s">
        <v>125</v>
      </c>
      <c r="F1950" s="2">
        <v>51.989600000000003</v>
      </c>
      <c r="G1950">
        <v>7</v>
      </c>
      <c r="H1950" s="2">
        <f>Tabla_Items_Inactivos[[#This Row],[EXISTENCIA]]*Tabla_Items_Inactivos[[#This Row],[COSTO]]</f>
        <v>363.92720000000003</v>
      </c>
    </row>
    <row r="1951" spans="1:8">
      <c r="A1951" t="s">
        <v>3299</v>
      </c>
      <c r="B1951" t="s">
        <v>695</v>
      </c>
      <c r="C1951" t="s">
        <v>696</v>
      </c>
      <c r="D1951" t="s">
        <v>208</v>
      </c>
      <c r="E1951" t="s">
        <v>125</v>
      </c>
      <c r="F1951" s="2">
        <v>51.989600000000003</v>
      </c>
      <c r="G1951">
        <v>7</v>
      </c>
      <c r="H1951" s="2">
        <f>Tabla_Items_Inactivos[[#This Row],[EXISTENCIA]]*Tabla_Items_Inactivos[[#This Row],[COSTO]]</f>
        <v>363.92720000000003</v>
      </c>
    </row>
    <row r="1952" spans="1:8">
      <c r="A1952" t="s">
        <v>3300</v>
      </c>
      <c r="B1952" t="s">
        <v>697</v>
      </c>
      <c r="C1952" t="s">
        <v>698</v>
      </c>
      <c r="D1952" t="s">
        <v>31</v>
      </c>
      <c r="E1952" t="s">
        <v>1931</v>
      </c>
      <c r="F1952" s="2">
        <v>15.458299999999999</v>
      </c>
      <c r="G1952">
        <v>5</v>
      </c>
      <c r="H1952" s="2">
        <f>Tabla_Items_Inactivos[[#This Row],[EXISTENCIA]]*Tabla_Items_Inactivos[[#This Row],[COSTO]]</f>
        <v>77.291499999999999</v>
      </c>
    </row>
    <row r="1953" spans="1:8">
      <c r="A1953" t="s">
        <v>3301</v>
      </c>
      <c r="B1953" t="s">
        <v>697</v>
      </c>
      <c r="C1953" t="s">
        <v>698</v>
      </c>
      <c r="D1953" t="s">
        <v>31</v>
      </c>
      <c r="E1953" t="s">
        <v>1931</v>
      </c>
      <c r="F1953" s="2">
        <v>15.458299999999999</v>
      </c>
      <c r="G1953">
        <v>5</v>
      </c>
      <c r="H1953" s="2">
        <f>Tabla_Items_Inactivos[[#This Row],[EXISTENCIA]]*Tabla_Items_Inactivos[[#This Row],[COSTO]]</f>
        <v>77.291499999999999</v>
      </c>
    </row>
    <row r="1954" spans="1:8">
      <c r="A1954" t="s">
        <v>3300</v>
      </c>
      <c r="B1954" t="s">
        <v>699</v>
      </c>
      <c r="C1954" t="s">
        <v>700</v>
      </c>
      <c r="D1954" t="s">
        <v>31</v>
      </c>
      <c r="E1954" t="s">
        <v>1931</v>
      </c>
      <c r="F1954" s="2">
        <v>17.916599999999999</v>
      </c>
      <c r="G1954">
        <v>12</v>
      </c>
      <c r="H1954" s="2">
        <f>Tabla_Items_Inactivos[[#This Row],[EXISTENCIA]]*Tabla_Items_Inactivos[[#This Row],[COSTO]]</f>
        <v>214.99919999999997</v>
      </c>
    </row>
    <row r="1955" spans="1:8">
      <c r="A1955" t="s">
        <v>3301</v>
      </c>
      <c r="B1955" t="s">
        <v>699</v>
      </c>
      <c r="C1955" t="s">
        <v>700</v>
      </c>
      <c r="D1955" t="s">
        <v>31</v>
      </c>
      <c r="E1955" t="s">
        <v>1931</v>
      </c>
      <c r="F1955" s="2">
        <v>17.916599999999999</v>
      </c>
      <c r="G1955">
        <v>12</v>
      </c>
      <c r="H1955" s="2">
        <f>Tabla_Items_Inactivos[[#This Row],[EXISTENCIA]]*Tabla_Items_Inactivos[[#This Row],[COSTO]]</f>
        <v>214.99919999999997</v>
      </c>
    </row>
    <row r="1956" spans="1:8">
      <c r="A1956" t="s">
        <v>3300</v>
      </c>
      <c r="B1956" t="s">
        <v>701</v>
      </c>
      <c r="C1956" t="s">
        <v>702</v>
      </c>
      <c r="D1956" t="s">
        <v>5064</v>
      </c>
      <c r="E1956" t="s">
        <v>1931</v>
      </c>
      <c r="F1956" s="2">
        <v>93.796800000000005</v>
      </c>
      <c r="G1956">
        <v>3</v>
      </c>
      <c r="H1956" s="2">
        <f>Tabla_Items_Inactivos[[#This Row],[EXISTENCIA]]*Tabla_Items_Inactivos[[#This Row],[COSTO]]</f>
        <v>281.3904</v>
      </c>
    </row>
    <row r="1957" spans="1:8">
      <c r="A1957" t="s">
        <v>3301</v>
      </c>
      <c r="B1957" t="s">
        <v>701</v>
      </c>
      <c r="C1957" t="s">
        <v>702</v>
      </c>
      <c r="D1957" t="s">
        <v>5064</v>
      </c>
      <c r="E1957" t="s">
        <v>1931</v>
      </c>
      <c r="F1957" s="2">
        <v>93.796800000000005</v>
      </c>
      <c r="G1957">
        <v>3</v>
      </c>
      <c r="H1957" s="2">
        <f>Tabla_Items_Inactivos[[#This Row],[EXISTENCIA]]*Tabla_Items_Inactivos[[#This Row],[COSTO]]</f>
        <v>281.3904</v>
      </c>
    </row>
    <row r="1958" spans="1:8">
      <c r="A1958" t="s">
        <v>3300</v>
      </c>
      <c r="B1958" t="s">
        <v>703</v>
      </c>
      <c r="C1958" t="s">
        <v>704</v>
      </c>
      <c r="D1958" t="s">
        <v>3304</v>
      </c>
      <c r="E1958" t="s">
        <v>1931</v>
      </c>
      <c r="F1958" s="2">
        <v>1534.2275999999999</v>
      </c>
      <c r="G1958">
        <v>3</v>
      </c>
      <c r="H1958" s="2">
        <f>Tabla_Items_Inactivos[[#This Row],[EXISTENCIA]]*Tabla_Items_Inactivos[[#This Row],[COSTO]]</f>
        <v>4602.6827999999996</v>
      </c>
    </row>
    <row r="1959" spans="1:8">
      <c r="A1959" t="s">
        <v>3301</v>
      </c>
      <c r="B1959" t="s">
        <v>703</v>
      </c>
      <c r="C1959" t="s">
        <v>704</v>
      </c>
      <c r="D1959" t="s">
        <v>3304</v>
      </c>
      <c r="E1959" t="s">
        <v>1931</v>
      </c>
      <c r="F1959" s="2">
        <v>1534.2275999999999</v>
      </c>
      <c r="G1959">
        <v>3</v>
      </c>
      <c r="H1959" s="2">
        <f>Tabla_Items_Inactivos[[#This Row],[EXISTENCIA]]*Tabla_Items_Inactivos[[#This Row],[COSTO]]</f>
        <v>4602.6827999999996</v>
      </c>
    </row>
    <row r="1960" spans="1:8">
      <c r="A1960" t="s">
        <v>3299</v>
      </c>
      <c r="B1960" t="s">
        <v>705</v>
      </c>
      <c r="C1960" t="s">
        <v>706</v>
      </c>
      <c r="D1960" t="s">
        <v>580</v>
      </c>
      <c r="E1960" t="s">
        <v>581</v>
      </c>
      <c r="F1960" s="2">
        <v>0.87090000000000001</v>
      </c>
      <c r="G1960">
        <v>1145</v>
      </c>
      <c r="H1960" s="2">
        <f>Tabla_Items_Inactivos[[#This Row],[EXISTENCIA]]*Tabla_Items_Inactivos[[#This Row],[COSTO]]</f>
        <v>997.18050000000005</v>
      </c>
    </row>
    <row r="1961" spans="1:8">
      <c r="A1961" t="s">
        <v>3301</v>
      </c>
      <c r="B1961" t="s">
        <v>705</v>
      </c>
      <c r="C1961" t="s">
        <v>706</v>
      </c>
      <c r="D1961" t="s">
        <v>580</v>
      </c>
      <c r="E1961" t="s">
        <v>581</v>
      </c>
      <c r="F1961" s="2">
        <v>0.87090000000000001</v>
      </c>
      <c r="G1961">
        <v>1145</v>
      </c>
      <c r="H1961" s="2">
        <f>Tabla_Items_Inactivos[[#This Row],[EXISTENCIA]]*Tabla_Items_Inactivos[[#This Row],[COSTO]]</f>
        <v>997.18050000000005</v>
      </c>
    </row>
    <row r="1962" spans="1:8">
      <c r="A1962" t="s">
        <v>3299</v>
      </c>
      <c r="B1962" t="s">
        <v>707</v>
      </c>
      <c r="C1962" t="s">
        <v>708</v>
      </c>
      <c r="D1962" t="s">
        <v>580</v>
      </c>
      <c r="E1962" t="s">
        <v>581</v>
      </c>
      <c r="F1962" s="2">
        <v>2.7258</v>
      </c>
      <c r="G1962">
        <v>255</v>
      </c>
      <c r="H1962" s="2">
        <f>Tabla_Items_Inactivos[[#This Row],[EXISTENCIA]]*Tabla_Items_Inactivos[[#This Row],[COSTO]]</f>
        <v>695.07899999999995</v>
      </c>
    </row>
    <row r="1963" spans="1:8">
      <c r="A1963" t="s">
        <v>3301</v>
      </c>
      <c r="B1963" t="s">
        <v>5084</v>
      </c>
      <c r="C1963" t="s">
        <v>5085</v>
      </c>
      <c r="D1963" t="s">
        <v>580</v>
      </c>
      <c r="E1963" t="s">
        <v>581</v>
      </c>
      <c r="F1963" s="2">
        <v>1.7613000000000001</v>
      </c>
      <c r="G1963">
        <v>306</v>
      </c>
      <c r="H1963" s="2">
        <f>Tabla_Items_Inactivos[[#This Row],[EXISTENCIA]]*Tabla_Items_Inactivos[[#This Row],[COSTO]]</f>
        <v>538.95780000000002</v>
      </c>
    </row>
    <row r="1964" spans="1:8">
      <c r="A1964" t="s">
        <v>3299</v>
      </c>
      <c r="B1964" t="s">
        <v>5084</v>
      </c>
      <c r="C1964" t="s">
        <v>5085</v>
      </c>
      <c r="D1964" t="s">
        <v>580</v>
      </c>
      <c r="E1964" t="s">
        <v>581</v>
      </c>
      <c r="F1964" s="2">
        <v>1.7613000000000001</v>
      </c>
      <c r="G1964">
        <v>306</v>
      </c>
      <c r="H1964" s="2">
        <f>Tabla_Items_Inactivos[[#This Row],[EXISTENCIA]]*Tabla_Items_Inactivos[[#This Row],[COSTO]]</f>
        <v>538.95780000000002</v>
      </c>
    </row>
    <row r="1965" spans="1:8">
      <c r="A1965" t="s">
        <v>3299</v>
      </c>
      <c r="B1965" t="s">
        <v>709</v>
      </c>
      <c r="C1965" t="s">
        <v>710</v>
      </c>
      <c r="D1965" t="s">
        <v>618</v>
      </c>
      <c r="E1965" t="s">
        <v>626</v>
      </c>
      <c r="F1965" s="2">
        <v>16.905999999999999</v>
      </c>
      <c r="G1965">
        <v>5</v>
      </c>
      <c r="H1965" s="2">
        <f>Tabla_Items_Inactivos[[#This Row],[EXISTENCIA]]*Tabla_Items_Inactivos[[#This Row],[COSTO]]</f>
        <v>84.53</v>
      </c>
    </row>
    <row r="1966" spans="1:8">
      <c r="A1966" t="s">
        <v>3299</v>
      </c>
      <c r="B1966" t="s">
        <v>712</v>
      </c>
      <c r="C1966" t="s">
        <v>713</v>
      </c>
      <c r="D1966" t="s">
        <v>580</v>
      </c>
      <c r="E1966" t="s">
        <v>581</v>
      </c>
      <c r="F1966" s="2">
        <v>1.9557</v>
      </c>
      <c r="G1966">
        <v>140</v>
      </c>
      <c r="H1966" s="2">
        <f>Tabla_Items_Inactivos[[#This Row],[EXISTENCIA]]*Tabla_Items_Inactivos[[#This Row],[COSTO]]</f>
        <v>273.798</v>
      </c>
    </row>
    <row r="1967" spans="1:8">
      <c r="A1967" t="s">
        <v>3301</v>
      </c>
      <c r="B1967" t="s">
        <v>712</v>
      </c>
      <c r="C1967" t="s">
        <v>713</v>
      </c>
      <c r="D1967" t="s">
        <v>580</v>
      </c>
      <c r="E1967" t="s">
        <v>581</v>
      </c>
      <c r="F1967" s="2">
        <v>1.9557</v>
      </c>
      <c r="G1967">
        <v>140</v>
      </c>
      <c r="H1967" s="2">
        <f>Tabla_Items_Inactivos[[#This Row],[EXISTENCIA]]*Tabla_Items_Inactivos[[#This Row],[COSTO]]</f>
        <v>273.798</v>
      </c>
    </row>
    <row r="1968" spans="1:8">
      <c r="A1968" t="s">
        <v>3299</v>
      </c>
      <c r="B1968" t="s">
        <v>5086</v>
      </c>
      <c r="C1968" t="s">
        <v>5087</v>
      </c>
      <c r="D1968" t="s">
        <v>580</v>
      </c>
      <c r="E1968" t="s">
        <v>581</v>
      </c>
      <c r="F1968" s="2">
        <v>0.4032</v>
      </c>
      <c r="G1968">
        <v>1</v>
      </c>
      <c r="H1968" s="2">
        <f>Tabla_Items_Inactivos[[#This Row],[EXISTENCIA]]*Tabla_Items_Inactivos[[#This Row],[COSTO]]</f>
        <v>0.4032</v>
      </c>
    </row>
    <row r="1969" spans="1:8">
      <c r="A1969" t="s">
        <v>3301</v>
      </c>
      <c r="B1969" t="s">
        <v>714</v>
      </c>
      <c r="C1969" t="s">
        <v>715</v>
      </c>
      <c r="D1969" t="s">
        <v>580</v>
      </c>
      <c r="E1969" t="s">
        <v>581</v>
      </c>
      <c r="F1969" s="2">
        <v>1.8749</v>
      </c>
      <c r="G1969">
        <v>264</v>
      </c>
      <c r="H1969" s="2">
        <f>Tabla_Items_Inactivos[[#This Row],[EXISTENCIA]]*Tabla_Items_Inactivos[[#This Row],[COSTO]]</f>
        <v>494.97359999999998</v>
      </c>
    </row>
    <row r="1970" spans="1:8">
      <c r="A1970" t="s">
        <v>3299</v>
      </c>
      <c r="B1970" t="s">
        <v>714</v>
      </c>
      <c r="C1970" t="s">
        <v>715</v>
      </c>
      <c r="D1970" t="s">
        <v>580</v>
      </c>
      <c r="E1970" t="s">
        <v>581</v>
      </c>
      <c r="F1970" s="2">
        <v>1.8749</v>
      </c>
      <c r="G1970">
        <v>264</v>
      </c>
      <c r="H1970" s="2">
        <f>Tabla_Items_Inactivos[[#This Row],[EXISTENCIA]]*Tabla_Items_Inactivos[[#This Row],[COSTO]]</f>
        <v>494.97359999999998</v>
      </c>
    </row>
    <row r="1971" spans="1:8">
      <c r="A1971" t="s">
        <v>3299</v>
      </c>
      <c r="B1971" t="s">
        <v>716</v>
      </c>
      <c r="C1971" t="s">
        <v>717</v>
      </c>
      <c r="D1971" t="s">
        <v>580</v>
      </c>
      <c r="E1971" t="s">
        <v>581</v>
      </c>
      <c r="F1971" s="2">
        <v>2.9035000000000002</v>
      </c>
      <c r="G1971">
        <v>210</v>
      </c>
      <c r="H1971" s="2">
        <f>Tabla_Items_Inactivos[[#This Row],[EXISTENCIA]]*Tabla_Items_Inactivos[[#This Row],[COSTO]]</f>
        <v>609.73500000000001</v>
      </c>
    </row>
    <row r="1972" spans="1:8">
      <c r="A1972" t="s">
        <v>3301</v>
      </c>
      <c r="B1972" t="s">
        <v>716</v>
      </c>
      <c r="C1972" t="s">
        <v>717</v>
      </c>
      <c r="D1972" t="s">
        <v>580</v>
      </c>
      <c r="E1972" t="s">
        <v>581</v>
      </c>
      <c r="F1972" s="2">
        <v>2.9035000000000002</v>
      </c>
      <c r="G1972">
        <v>210</v>
      </c>
      <c r="H1972" s="2">
        <f>Tabla_Items_Inactivos[[#This Row],[EXISTENCIA]]*Tabla_Items_Inactivos[[#This Row],[COSTO]]</f>
        <v>609.73500000000001</v>
      </c>
    </row>
    <row r="1973" spans="1:8">
      <c r="A1973" t="s">
        <v>3301</v>
      </c>
      <c r="B1973" t="s">
        <v>718</v>
      </c>
      <c r="C1973" t="s">
        <v>719</v>
      </c>
      <c r="D1973" t="s">
        <v>580</v>
      </c>
      <c r="E1973" t="s">
        <v>581</v>
      </c>
      <c r="F1973" s="2">
        <v>2.1314000000000002</v>
      </c>
      <c r="G1973">
        <v>376</v>
      </c>
      <c r="H1973" s="2">
        <f>Tabla_Items_Inactivos[[#This Row],[EXISTENCIA]]*Tabla_Items_Inactivos[[#This Row],[COSTO]]</f>
        <v>801.40640000000008</v>
      </c>
    </row>
    <row r="1974" spans="1:8">
      <c r="A1974" t="s">
        <v>3299</v>
      </c>
      <c r="B1974" t="s">
        <v>718</v>
      </c>
      <c r="C1974" t="s">
        <v>719</v>
      </c>
      <c r="D1974" t="s">
        <v>580</v>
      </c>
      <c r="E1974" t="s">
        <v>581</v>
      </c>
      <c r="F1974" s="2">
        <v>2.1314000000000002</v>
      </c>
      <c r="G1974">
        <v>376</v>
      </c>
      <c r="H1974" s="2">
        <f>Tabla_Items_Inactivos[[#This Row],[EXISTENCIA]]*Tabla_Items_Inactivos[[#This Row],[COSTO]]</f>
        <v>801.40640000000008</v>
      </c>
    </row>
    <row r="1975" spans="1:8">
      <c r="A1975" t="s">
        <v>3299</v>
      </c>
      <c r="B1975" t="s">
        <v>720</v>
      </c>
      <c r="C1975" t="s">
        <v>721</v>
      </c>
      <c r="D1975" t="s">
        <v>618</v>
      </c>
      <c r="E1975" t="s">
        <v>626</v>
      </c>
      <c r="F1975" s="2">
        <v>4.9225000000000003</v>
      </c>
      <c r="G1975">
        <v>107</v>
      </c>
      <c r="H1975" s="2">
        <f>Tabla_Items_Inactivos[[#This Row],[EXISTENCIA]]*Tabla_Items_Inactivos[[#This Row],[COSTO]]</f>
        <v>526.70749999999998</v>
      </c>
    </row>
    <row r="1976" spans="1:8">
      <c r="A1976" t="s">
        <v>3299</v>
      </c>
      <c r="B1976" t="s">
        <v>5088</v>
      </c>
      <c r="C1976" t="s">
        <v>5089</v>
      </c>
      <c r="D1976" t="s">
        <v>580</v>
      </c>
      <c r="E1976" t="s">
        <v>619</v>
      </c>
      <c r="F1976" s="2">
        <v>0</v>
      </c>
      <c r="G1976">
        <v>1</v>
      </c>
      <c r="H1976" s="2">
        <f>Tabla_Items_Inactivos[[#This Row],[EXISTENCIA]]*Tabla_Items_Inactivos[[#This Row],[COSTO]]</f>
        <v>0</v>
      </c>
    </row>
    <row r="1977" spans="1:8">
      <c r="A1977" t="s">
        <v>3301</v>
      </c>
      <c r="B1977" t="s">
        <v>722</v>
      </c>
      <c r="C1977" t="s">
        <v>723</v>
      </c>
      <c r="D1977" t="s">
        <v>618</v>
      </c>
      <c r="E1977" t="s">
        <v>626</v>
      </c>
      <c r="F1977" s="2">
        <v>2.1326999999999998</v>
      </c>
      <c r="G1977">
        <v>656</v>
      </c>
      <c r="H1977" s="2">
        <f>Tabla_Items_Inactivos[[#This Row],[EXISTENCIA]]*Tabla_Items_Inactivos[[#This Row],[COSTO]]</f>
        <v>1399.0511999999999</v>
      </c>
    </row>
    <row r="1978" spans="1:8">
      <c r="A1978" t="s">
        <v>3299</v>
      </c>
      <c r="B1978" t="s">
        <v>722</v>
      </c>
      <c r="C1978" t="s">
        <v>723</v>
      </c>
      <c r="D1978" t="s">
        <v>618</v>
      </c>
      <c r="E1978" t="s">
        <v>626</v>
      </c>
      <c r="F1978" s="2">
        <v>2.1326999999999998</v>
      </c>
      <c r="G1978">
        <v>656</v>
      </c>
      <c r="H1978" s="2">
        <f>Tabla_Items_Inactivos[[#This Row],[EXISTENCIA]]*Tabla_Items_Inactivos[[#This Row],[COSTO]]</f>
        <v>1399.0511999999999</v>
      </c>
    </row>
    <row r="1979" spans="1:8">
      <c r="A1979" t="s">
        <v>3301</v>
      </c>
      <c r="B1979" t="s">
        <v>724</v>
      </c>
      <c r="C1979" t="s">
        <v>725</v>
      </c>
      <c r="D1979" t="s">
        <v>618</v>
      </c>
      <c r="E1979" t="s">
        <v>626</v>
      </c>
      <c r="F1979" s="2">
        <v>3.9781</v>
      </c>
      <c r="G1979">
        <v>91</v>
      </c>
      <c r="H1979" s="2">
        <f>Tabla_Items_Inactivos[[#This Row],[EXISTENCIA]]*Tabla_Items_Inactivos[[#This Row],[COSTO]]</f>
        <v>362.00709999999998</v>
      </c>
    </row>
    <row r="1980" spans="1:8">
      <c r="A1980" t="s">
        <v>3299</v>
      </c>
      <c r="B1980" t="s">
        <v>724</v>
      </c>
      <c r="C1980" t="s">
        <v>725</v>
      </c>
      <c r="D1980" t="s">
        <v>618</v>
      </c>
      <c r="E1980" t="s">
        <v>626</v>
      </c>
      <c r="F1980" s="2">
        <v>3.9781</v>
      </c>
      <c r="G1980">
        <v>91</v>
      </c>
      <c r="H1980" s="2">
        <f>Tabla_Items_Inactivos[[#This Row],[EXISTENCIA]]*Tabla_Items_Inactivos[[#This Row],[COSTO]]</f>
        <v>362.00709999999998</v>
      </c>
    </row>
    <row r="1981" spans="1:8">
      <c r="A1981" t="s">
        <v>3299</v>
      </c>
      <c r="B1981" t="s">
        <v>726</v>
      </c>
      <c r="C1981" t="s">
        <v>727</v>
      </c>
      <c r="D1981" t="s">
        <v>618</v>
      </c>
      <c r="E1981" t="s">
        <v>626</v>
      </c>
      <c r="F1981" s="2">
        <v>5.75</v>
      </c>
      <c r="G1981">
        <v>5</v>
      </c>
      <c r="H1981" s="2">
        <f>Tabla_Items_Inactivos[[#This Row],[EXISTENCIA]]*Tabla_Items_Inactivos[[#This Row],[COSTO]]</f>
        <v>28.75</v>
      </c>
    </row>
    <row r="1982" spans="1:8">
      <c r="A1982" t="s">
        <v>3301</v>
      </c>
      <c r="B1982" t="s">
        <v>728</v>
      </c>
      <c r="C1982" t="s">
        <v>729</v>
      </c>
      <c r="D1982" t="s">
        <v>618</v>
      </c>
      <c r="E1982" t="s">
        <v>626</v>
      </c>
      <c r="F1982" s="2">
        <v>4.7916999999999996</v>
      </c>
      <c r="G1982">
        <v>75</v>
      </c>
      <c r="H1982" s="2">
        <f>Tabla_Items_Inactivos[[#This Row],[EXISTENCIA]]*Tabla_Items_Inactivos[[#This Row],[COSTO]]</f>
        <v>359.3775</v>
      </c>
    </row>
    <row r="1983" spans="1:8">
      <c r="A1983" t="s">
        <v>3299</v>
      </c>
      <c r="B1983" t="s">
        <v>728</v>
      </c>
      <c r="C1983" t="s">
        <v>729</v>
      </c>
      <c r="D1983" t="s">
        <v>618</v>
      </c>
      <c r="E1983" t="s">
        <v>626</v>
      </c>
      <c r="F1983" s="2">
        <v>4.7916999999999996</v>
      </c>
      <c r="G1983">
        <v>75</v>
      </c>
      <c r="H1983" s="2">
        <f>Tabla_Items_Inactivos[[#This Row],[EXISTENCIA]]*Tabla_Items_Inactivos[[#This Row],[COSTO]]</f>
        <v>359.3775</v>
      </c>
    </row>
    <row r="1984" spans="1:8">
      <c r="A1984" t="s">
        <v>3301</v>
      </c>
      <c r="B1984" t="s">
        <v>730</v>
      </c>
      <c r="C1984" t="s">
        <v>731</v>
      </c>
      <c r="D1984" t="s">
        <v>618</v>
      </c>
      <c r="E1984" t="s">
        <v>626</v>
      </c>
      <c r="F1984" s="2">
        <v>2.6358999999999999</v>
      </c>
      <c r="G1984">
        <v>100</v>
      </c>
      <c r="H1984" s="2">
        <f>Tabla_Items_Inactivos[[#This Row],[EXISTENCIA]]*Tabla_Items_Inactivos[[#This Row],[COSTO]]</f>
        <v>263.58999999999997</v>
      </c>
    </row>
    <row r="1985" spans="1:8">
      <c r="A1985" t="s">
        <v>3299</v>
      </c>
      <c r="B1985" t="s">
        <v>730</v>
      </c>
      <c r="C1985" t="s">
        <v>731</v>
      </c>
      <c r="D1985" t="s">
        <v>618</v>
      </c>
      <c r="E1985" t="s">
        <v>626</v>
      </c>
      <c r="F1985" s="2">
        <v>2.6358999999999999</v>
      </c>
      <c r="G1985">
        <v>100</v>
      </c>
      <c r="H1985" s="2">
        <f>Tabla_Items_Inactivos[[#This Row],[EXISTENCIA]]*Tabla_Items_Inactivos[[#This Row],[COSTO]]</f>
        <v>263.58999999999997</v>
      </c>
    </row>
    <row r="1986" spans="1:8">
      <c r="A1986" t="s">
        <v>3301</v>
      </c>
      <c r="B1986" t="s">
        <v>5090</v>
      </c>
      <c r="C1986" t="s">
        <v>5091</v>
      </c>
      <c r="D1986" t="s">
        <v>618</v>
      </c>
      <c r="E1986" t="s">
        <v>626</v>
      </c>
      <c r="F1986" s="2">
        <v>1.2442</v>
      </c>
      <c r="G1986">
        <v>85</v>
      </c>
      <c r="H1986" s="2">
        <f>Tabla_Items_Inactivos[[#This Row],[EXISTENCIA]]*Tabla_Items_Inactivos[[#This Row],[COSTO]]</f>
        <v>105.75699999999999</v>
      </c>
    </row>
    <row r="1987" spans="1:8">
      <c r="A1987" t="s">
        <v>3299</v>
      </c>
      <c r="B1987" t="s">
        <v>5090</v>
      </c>
      <c r="C1987" t="s">
        <v>5091</v>
      </c>
      <c r="D1987" t="s">
        <v>618</v>
      </c>
      <c r="E1987" t="s">
        <v>626</v>
      </c>
      <c r="F1987" s="2">
        <v>1.2442</v>
      </c>
      <c r="G1987">
        <v>85</v>
      </c>
      <c r="H1987" s="2">
        <f>Tabla_Items_Inactivos[[#This Row],[EXISTENCIA]]*Tabla_Items_Inactivos[[#This Row],[COSTO]]</f>
        <v>105.75699999999999</v>
      </c>
    </row>
    <row r="1988" spans="1:8">
      <c r="A1988" t="s">
        <v>3301</v>
      </c>
      <c r="B1988" t="s">
        <v>5092</v>
      </c>
      <c r="C1988" t="s">
        <v>5093</v>
      </c>
      <c r="D1988" t="s">
        <v>618</v>
      </c>
      <c r="E1988" t="s">
        <v>626</v>
      </c>
      <c r="F1988" s="2">
        <v>9.0198</v>
      </c>
      <c r="G1988">
        <v>102</v>
      </c>
      <c r="H1988" s="2">
        <f>Tabla_Items_Inactivos[[#This Row],[EXISTENCIA]]*Tabla_Items_Inactivos[[#This Row],[COSTO]]</f>
        <v>920.01959999999997</v>
      </c>
    </row>
    <row r="1989" spans="1:8">
      <c r="A1989" t="s">
        <v>3299</v>
      </c>
      <c r="B1989" t="s">
        <v>5092</v>
      </c>
      <c r="C1989" t="s">
        <v>5093</v>
      </c>
      <c r="D1989" t="s">
        <v>618</v>
      </c>
      <c r="E1989" t="s">
        <v>626</v>
      </c>
      <c r="F1989" s="2">
        <v>9.0198</v>
      </c>
      <c r="G1989">
        <v>102</v>
      </c>
      <c r="H1989" s="2">
        <f>Tabla_Items_Inactivos[[#This Row],[EXISTENCIA]]*Tabla_Items_Inactivos[[#This Row],[COSTO]]</f>
        <v>920.01959999999997</v>
      </c>
    </row>
    <row r="1990" spans="1:8">
      <c r="A1990" t="s">
        <v>3299</v>
      </c>
      <c r="B1990" t="s">
        <v>732</v>
      </c>
      <c r="C1990" t="s">
        <v>733</v>
      </c>
      <c r="D1990" t="s">
        <v>580</v>
      </c>
      <c r="E1990" t="s">
        <v>734</v>
      </c>
      <c r="F1990" s="2">
        <v>0.68149999999999999</v>
      </c>
      <c r="G1990">
        <v>203</v>
      </c>
      <c r="H1990" s="2">
        <f>Tabla_Items_Inactivos[[#This Row],[EXISTENCIA]]*Tabla_Items_Inactivos[[#This Row],[COSTO]]</f>
        <v>138.34450000000001</v>
      </c>
    </row>
    <row r="1991" spans="1:8">
      <c r="A1991" t="s">
        <v>3299</v>
      </c>
      <c r="B1991" t="s">
        <v>5094</v>
      </c>
      <c r="C1991" t="s">
        <v>5095</v>
      </c>
      <c r="D1991" t="s">
        <v>580</v>
      </c>
      <c r="E1991" t="s">
        <v>734</v>
      </c>
      <c r="F1991" s="2">
        <v>1.1618999999999999</v>
      </c>
      <c r="G1991">
        <v>234</v>
      </c>
      <c r="H1991" s="2">
        <f>Tabla_Items_Inactivos[[#This Row],[EXISTENCIA]]*Tabla_Items_Inactivos[[#This Row],[COSTO]]</f>
        <v>271.88459999999998</v>
      </c>
    </row>
    <row r="1992" spans="1:8">
      <c r="A1992" t="s">
        <v>3301</v>
      </c>
      <c r="B1992" t="s">
        <v>735</v>
      </c>
      <c r="C1992" t="s">
        <v>736</v>
      </c>
      <c r="D1992" t="s">
        <v>580</v>
      </c>
      <c r="E1992" t="s">
        <v>734</v>
      </c>
      <c r="F1992" s="2">
        <v>0.55120000000000002</v>
      </c>
      <c r="G1992">
        <v>112</v>
      </c>
      <c r="H1992" s="2">
        <f>Tabla_Items_Inactivos[[#This Row],[EXISTENCIA]]*Tabla_Items_Inactivos[[#This Row],[COSTO]]</f>
        <v>61.734400000000001</v>
      </c>
    </row>
    <row r="1993" spans="1:8">
      <c r="A1993" t="s">
        <v>3299</v>
      </c>
      <c r="B1993" t="s">
        <v>735</v>
      </c>
      <c r="C1993" t="s">
        <v>736</v>
      </c>
      <c r="D1993" t="s">
        <v>580</v>
      </c>
      <c r="E1993" t="s">
        <v>734</v>
      </c>
      <c r="F1993" s="2">
        <v>0.55120000000000002</v>
      </c>
      <c r="G1993">
        <v>112</v>
      </c>
      <c r="H1993" s="2">
        <f>Tabla_Items_Inactivos[[#This Row],[EXISTENCIA]]*Tabla_Items_Inactivos[[#This Row],[COSTO]]</f>
        <v>61.734400000000001</v>
      </c>
    </row>
    <row r="1994" spans="1:8">
      <c r="A1994" t="s">
        <v>3299</v>
      </c>
      <c r="B1994" t="s">
        <v>737</v>
      </c>
      <c r="C1994" t="s">
        <v>738</v>
      </c>
      <c r="D1994" t="s">
        <v>580</v>
      </c>
      <c r="E1994" t="s">
        <v>581</v>
      </c>
      <c r="F1994" s="2">
        <v>1.5785</v>
      </c>
      <c r="G1994">
        <v>159</v>
      </c>
      <c r="H1994" s="2">
        <f>Tabla_Items_Inactivos[[#This Row],[EXISTENCIA]]*Tabla_Items_Inactivos[[#This Row],[COSTO]]</f>
        <v>250.98150000000001</v>
      </c>
    </row>
    <row r="1995" spans="1:8">
      <c r="A1995" t="s">
        <v>3301</v>
      </c>
      <c r="B1995" t="s">
        <v>737</v>
      </c>
      <c r="C1995" t="s">
        <v>738</v>
      </c>
      <c r="D1995" t="s">
        <v>580</v>
      </c>
      <c r="E1995" t="s">
        <v>581</v>
      </c>
      <c r="F1995" s="2">
        <v>1.5785</v>
      </c>
      <c r="G1995">
        <v>159</v>
      </c>
      <c r="H1995" s="2">
        <f>Tabla_Items_Inactivos[[#This Row],[EXISTENCIA]]*Tabla_Items_Inactivos[[#This Row],[COSTO]]</f>
        <v>250.98150000000001</v>
      </c>
    </row>
    <row r="1996" spans="1:8">
      <c r="A1996" t="s">
        <v>3299</v>
      </c>
      <c r="B1996" t="s">
        <v>739</v>
      </c>
      <c r="C1996" t="s">
        <v>740</v>
      </c>
      <c r="D1996" t="s">
        <v>618</v>
      </c>
      <c r="E1996" t="s">
        <v>626</v>
      </c>
      <c r="F1996" s="2">
        <v>8.4269999999999996</v>
      </c>
      <c r="G1996">
        <v>2</v>
      </c>
      <c r="H1996" s="2">
        <f>Tabla_Items_Inactivos[[#This Row],[EXISTENCIA]]*Tabla_Items_Inactivos[[#This Row],[COSTO]]</f>
        <v>16.853999999999999</v>
      </c>
    </row>
    <row r="1997" spans="1:8">
      <c r="A1997" t="s">
        <v>3301</v>
      </c>
      <c r="B1997" t="s">
        <v>741</v>
      </c>
      <c r="C1997" t="s">
        <v>742</v>
      </c>
      <c r="D1997" t="s">
        <v>618</v>
      </c>
      <c r="E1997" t="s">
        <v>626</v>
      </c>
      <c r="F1997" s="2">
        <v>6.6551</v>
      </c>
      <c r="G1997">
        <v>192</v>
      </c>
      <c r="H1997" s="2">
        <f>Tabla_Items_Inactivos[[#This Row],[EXISTENCIA]]*Tabla_Items_Inactivos[[#This Row],[COSTO]]</f>
        <v>1277.7791999999999</v>
      </c>
    </row>
    <row r="1998" spans="1:8">
      <c r="A1998" t="s">
        <v>3299</v>
      </c>
      <c r="B1998" t="s">
        <v>741</v>
      </c>
      <c r="C1998" t="s">
        <v>742</v>
      </c>
      <c r="D1998" t="s">
        <v>618</v>
      </c>
      <c r="E1998" t="s">
        <v>626</v>
      </c>
      <c r="F1998" s="2">
        <v>6.6551</v>
      </c>
      <c r="G1998">
        <v>192</v>
      </c>
      <c r="H1998" s="2">
        <f>Tabla_Items_Inactivos[[#This Row],[EXISTENCIA]]*Tabla_Items_Inactivos[[#This Row],[COSTO]]</f>
        <v>1277.7791999999999</v>
      </c>
    </row>
    <row r="1999" spans="1:8">
      <c r="A1999" t="s">
        <v>3301</v>
      </c>
      <c r="B1999" t="s">
        <v>743</v>
      </c>
      <c r="C1999" t="s">
        <v>744</v>
      </c>
      <c r="D1999" t="s">
        <v>618</v>
      </c>
      <c r="E1999" t="s">
        <v>626</v>
      </c>
      <c r="F1999" s="2">
        <v>0.86970000000000003</v>
      </c>
      <c r="G1999">
        <v>54</v>
      </c>
      <c r="H1999" s="2">
        <f>Tabla_Items_Inactivos[[#This Row],[EXISTENCIA]]*Tabla_Items_Inactivos[[#This Row],[COSTO]]</f>
        <v>46.963799999999999</v>
      </c>
    </row>
    <row r="2000" spans="1:8">
      <c r="A2000" t="s">
        <v>3299</v>
      </c>
      <c r="B2000" t="s">
        <v>743</v>
      </c>
      <c r="C2000" t="s">
        <v>744</v>
      </c>
      <c r="D2000" t="s">
        <v>618</v>
      </c>
      <c r="E2000" t="s">
        <v>626</v>
      </c>
      <c r="F2000" s="2">
        <v>0.86970000000000003</v>
      </c>
      <c r="G2000">
        <v>54</v>
      </c>
      <c r="H2000" s="2">
        <f>Tabla_Items_Inactivos[[#This Row],[EXISTENCIA]]*Tabla_Items_Inactivos[[#This Row],[COSTO]]</f>
        <v>46.963799999999999</v>
      </c>
    </row>
    <row r="2001" spans="1:8">
      <c r="A2001" t="s">
        <v>3301</v>
      </c>
      <c r="B2001" t="s">
        <v>745</v>
      </c>
      <c r="C2001" t="s">
        <v>746</v>
      </c>
      <c r="D2001" t="s">
        <v>618</v>
      </c>
      <c r="E2001" t="s">
        <v>626</v>
      </c>
      <c r="F2001" s="2">
        <v>1.4067000000000001</v>
      </c>
      <c r="G2001">
        <v>97</v>
      </c>
      <c r="H2001" s="2">
        <f>Tabla_Items_Inactivos[[#This Row],[EXISTENCIA]]*Tabla_Items_Inactivos[[#This Row],[COSTO]]</f>
        <v>136.44990000000001</v>
      </c>
    </row>
    <row r="2002" spans="1:8">
      <c r="A2002" t="s">
        <v>3299</v>
      </c>
      <c r="B2002" t="s">
        <v>745</v>
      </c>
      <c r="C2002" t="s">
        <v>746</v>
      </c>
      <c r="D2002" t="s">
        <v>618</v>
      </c>
      <c r="E2002" t="s">
        <v>626</v>
      </c>
      <c r="F2002" s="2">
        <v>1.4067000000000001</v>
      </c>
      <c r="G2002">
        <v>97</v>
      </c>
      <c r="H2002" s="2">
        <f>Tabla_Items_Inactivos[[#This Row],[EXISTENCIA]]*Tabla_Items_Inactivos[[#This Row],[COSTO]]</f>
        <v>136.44990000000001</v>
      </c>
    </row>
    <row r="2003" spans="1:8">
      <c r="A2003" t="s">
        <v>3301</v>
      </c>
      <c r="B2003" t="s">
        <v>747</v>
      </c>
      <c r="C2003" t="s">
        <v>748</v>
      </c>
      <c r="D2003" t="s">
        <v>618</v>
      </c>
      <c r="E2003" t="s">
        <v>626</v>
      </c>
      <c r="F2003" s="2">
        <v>2.1341000000000001</v>
      </c>
      <c r="G2003">
        <v>296</v>
      </c>
      <c r="H2003" s="2">
        <f>Tabla_Items_Inactivos[[#This Row],[EXISTENCIA]]*Tabla_Items_Inactivos[[#This Row],[COSTO]]</f>
        <v>631.69360000000006</v>
      </c>
    </row>
    <row r="2004" spans="1:8">
      <c r="A2004" t="s">
        <v>3299</v>
      </c>
      <c r="B2004" t="s">
        <v>747</v>
      </c>
      <c r="C2004" t="s">
        <v>748</v>
      </c>
      <c r="D2004" t="s">
        <v>618</v>
      </c>
      <c r="E2004" t="s">
        <v>626</v>
      </c>
      <c r="F2004" s="2">
        <v>2.1341000000000001</v>
      </c>
      <c r="G2004">
        <v>296</v>
      </c>
      <c r="H2004" s="2">
        <f>Tabla_Items_Inactivos[[#This Row],[EXISTENCIA]]*Tabla_Items_Inactivos[[#This Row],[COSTO]]</f>
        <v>631.69360000000006</v>
      </c>
    </row>
    <row r="2005" spans="1:8">
      <c r="A2005" t="s">
        <v>3301</v>
      </c>
      <c r="B2005" t="s">
        <v>749</v>
      </c>
      <c r="C2005" t="s">
        <v>750</v>
      </c>
      <c r="D2005" t="s">
        <v>618</v>
      </c>
      <c r="E2005" t="s">
        <v>626</v>
      </c>
      <c r="F2005" s="2">
        <v>4.7957000000000001</v>
      </c>
      <c r="G2005">
        <v>376</v>
      </c>
      <c r="H2005" s="2">
        <f>Tabla_Items_Inactivos[[#This Row],[EXISTENCIA]]*Tabla_Items_Inactivos[[#This Row],[COSTO]]</f>
        <v>1803.1831999999999</v>
      </c>
    </row>
    <row r="2006" spans="1:8">
      <c r="A2006" t="s">
        <v>3299</v>
      </c>
      <c r="B2006" t="s">
        <v>749</v>
      </c>
      <c r="C2006" t="s">
        <v>750</v>
      </c>
      <c r="D2006" t="s">
        <v>618</v>
      </c>
      <c r="E2006" t="s">
        <v>626</v>
      </c>
      <c r="F2006" s="2">
        <v>4.7957000000000001</v>
      </c>
      <c r="G2006">
        <v>376</v>
      </c>
      <c r="H2006" s="2">
        <f>Tabla_Items_Inactivos[[#This Row],[EXISTENCIA]]*Tabla_Items_Inactivos[[#This Row],[COSTO]]</f>
        <v>1803.1831999999999</v>
      </c>
    </row>
    <row r="2007" spans="1:8">
      <c r="A2007" t="s">
        <v>3299</v>
      </c>
      <c r="B2007" t="s">
        <v>751</v>
      </c>
      <c r="C2007" t="s">
        <v>752</v>
      </c>
      <c r="D2007" t="s">
        <v>618</v>
      </c>
      <c r="E2007" t="s">
        <v>626</v>
      </c>
      <c r="F2007" s="2">
        <v>8.6260999999999992</v>
      </c>
      <c r="G2007">
        <v>131</v>
      </c>
      <c r="H2007" s="2">
        <f>Tabla_Items_Inactivos[[#This Row],[EXISTENCIA]]*Tabla_Items_Inactivos[[#This Row],[COSTO]]</f>
        <v>1130.0191</v>
      </c>
    </row>
    <row r="2008" spans="1:8">
      <c r="A2008" t="s">
        <v>3301</v>
      </c>
      <c r="B2008" t="s">
        <v>751</v>
      </c>
      <c r="C2008" t="s">
        <v>752</v>
      </c>
      <c r="D2008" t="s">
        <v>618</v>
      </c>
      <c r="E2008" t="s">
        <v>626</v>
      </c>
      <c r="F2008" s="2">
        <v>8.6260999999999992</v>
      </c>
      <c r="G2008">
        <v>131</v>
      </c>
      <c r="H2008" s="2">
        <f>Tabla_Items_Inactivos[[#This Row],[EXISTENCIA]]*Tabla_Items_Inactivos[[#This Row],[COSTO]]</f>
        <v>1130.0191</v>
      </c>
    </row>
    <row r="2009" spans="1:8">
      <c r="A2009" t="s">
        <v>3299</v>
      </c>
      <c r="B2009" t="s">
        <v>753</v>
      </c>
      <c r="C2009" t="s">
        <v>754</v>
      </c>
      <c r="D2009" t="s">
        <v>618</v>
      </c>
      <c r="E2009" t="s">
        <v>626</v>
      </c>
      <c r="F2009" s="2">
        <v>2.1745999999999999</v>
      </c>
      <c r="G2009">
        <v>23</v>
      </c>
      <c r="H2009" s="2">
        <f>Tabla_Items_Inactivos[[#This Row],[EXISTENCIA]]*Tabla_Items_Inactivos[[#This Row],[COSTO]]</f>
        <v>50.015799999999999</v>
      </c>
    </row>
    <row r="2010" spans="1:8">
      <c r="A2010" t="s">
        <v>3301</v>
      </c>
      <c r="B2010" t="s">
        <v>755</v>
      </c>
      <c r="C2010" t="s">
        <v>756</v>
      </c>
      <c r="D2010" t="s">
        <v>618</v>
      </c>
      <c r="E2010" t="s">
        <v>626</v>
      </c>
      <c r="F2010" s="2">
        <v>23.4467</v>
      </c>
      <c r="G2010">
        <v>539</v>
      </c>
      <c r="H2010" s="2">
        <f>Tabla_Items_Inactivos[[#This Row],[EXISTENCIA]]*Tabla_Items_Inactivos[[#This Row],[COSTO]]</f>
        <v>12637.7713</v>
      </c>
    </row>
    <row r="2011" spans="1:8">
      <c r="A2011" t="s">
        <v>3299</v>
      </c>
      <c r="B2011" t="s">
        <v>755</v>
      </c>
      <c r="C2011" t="s">
        <v>756</v>
      </c>
      <c r="D2011" t="s">
        <v>618</v>
      </c>
      <c r="E2011" t="s">
        <v>626</v>
      </c>
      <c r="F2011" s="2">
        <v>23.4467</v>
      </c>
      <c r="G2011">
        <v>539</v>
      </c>
      <c r="H2011" s="2">
        <f>Tabla_Items_Inactivos[[#This Row],[EXISTENCIA]]*Tabla_Items_Inactivos[[#This Row],[COSTO]]</f>
        <v>12637.7713</v>
      </c>
    </row>
    <row r="2012" spans="1:8">
      <c r="A2012" t="s">
        <v>3299</v>
      </c>
      <c r="B2012" t="s">
        <v>757</v>
      </c>
      <c r="C2012" t="s">
        <v>758</v>
      </c>
      <c r="D2012" t="s">
        <v>580</v>
      </c>
      <c r="E2012" t="s">
        <v>734</v>
      </c>
      <c r="F2012" s="2">
        <v>2.0674999999999999</v>
      </c>
      <c r="G2012">
        <v>144</v>
      </c>
      <c r="H2012" s="2">
        <f>Tabla_Items_Inactivos[[#This Row],[EXISTENCIA]]*Tabla_Items_Inactivos[[#This Row],[COSTO]]</f>
        <v>297.71999999999997</v>
      </c>
    </row>
    <row r="2013" spans="1:8">
      <c r="A2013" t="s">
        <v>3301</v>
      </c>
      <c r="B2013" t="s">
        <v>759</v>
      </c>
      <c r="C2013" t="s">
        <v>760</v>
      </c>
      <c r="D2013" t="s">
        <v>580</v>
      </c>
      <c r="E2013" t="s">
        <v>581</v>
      </c>
      <c r="F2013" s="2">
        <v>5.2549000000000001</v>
      </c>
      <c r="G2013">
        <v>248</v>
      </c>
      <c r="H2013" s="2">
        <f>Tabla_Items_Inactivos[[#This Row],[EXISTENCIA]]*Tabla_Items_Inactivos[[#This Row],[COSTO]]</f>
        <v>1303.2152000000001</v>
      </c>
    </row>
    <row r="2014" spans="1:8">
      <c r="A2014" t="s">
        <v>3299</v>
      </c>
      <c r="B2014" t="s">
        <v>759</v>
      </c>
      <c r="C2014" t="s">
        <v>760</v>
      </c>
      <c r="D2014" t="s">
        <v>580</v>
      </c>
      <c r="E2014" t="s">
        <v>581</v>
      </c>
      <c r="F2014" s="2">
        <v>5.2549000000000001</v>
      </c>
      <c r="G2014">
        <v>248</v>
      </c>
      <c r="H2014" s="2">
        <f>Tabla_Items_Inactivos[[#This Row],[EXISTENCIA]]*Tabla_Items_Inactivos[[#This Row],[COSTO]]</f>
        <v>1303.2152000000001</v>
      </c>
    </row>
    <row r="2015" spans="1:8">
      <c r="A2015" t="s">
        <v>3299</v>
      </c>
      <c r="B2015" t="s">
        <v>761</v>
      </c>
      <c r="C2015" t="s">
        <v>762</v>
      </c>
      <c r="D2015" t="s">
        <v>580</v>
      </c>
      <c r="E2015" t="s">
        <v>581</v>
      </c>
      <c r="F2015" s="2">
        <v>7.3280000000000003</v>
      </c>
      <c r="G2015">
        <v>40</v>
      </c>
      <c r="H2015" s="2">
        <f>Tabla_Items_Inactivos[[#This Row],[EXISTENCIA]]*Tabla_Items_Inactivos[[#This Row],[COSTO]]</f>
        <v>293.12</v>
      </c>
    </row>
    <row r="2016" spans="1:8">
      <c r="A2016" t="s">
        <v>3299</v>
      </c>
      <c r="B2016" t="s">
        <v>763</v>
      </c>
      <c r="C2016" t="s">
        <v>764</v>
      </c>
      <c r="D2016" t="s">
        <v>580</v>
      </c>
      <c r="E2016" t="s">
        <v>581</v>
      </c>
      <c r="F2016" s="2">
        <v>3.2938000000000001</v>
      </c>
      <c r="G2016">
        <v>95</v>
      </c>
      <c r="H2016" s="2">
        <f>Tabla_Items_Inactivos[[#This Row],[EXISTENCIA]]*Tabla_Items_Inactivos[[#This Row],[COSTO]]</f>
        <v>312.911</v>
      </c>
    </row>
    <row r="2017" spans="1:8">
      <c r="A2017" t="s">
        <v>3299</v>
      </c>
      <c r="B2017" t="s">
        <v>765</v>
      </c>
      <c r="C2017" t="s">
        <v>766</v>
      </c>
      <c r="D2017" t="s">
        <v>618</v>
      </c>
      <c r="E2017" t="s">
        <v>626</v>
      </c>
      <c r="F2017" s="2">
        <v>4.5045999999999999</v>
      </c>
      <c r="G2017">
        <v>80</v>
      </c>
      <c r="H2017" s="2">
        <f>Tabla_Items_Inactivos[[#This Row],[EXISTENCIA]]*Tabla_Items_Inactivos[[#This Row],[COSTO]]</f>
        <v>360.36799999999999</v>
      </c>
    </row>
    <row r="2018" spans="1:8">
      <c r="A2018" t="s">
        <v>3301</v>
      </c>
      <c r="B2018" t="s">
        <v>765</v>
      </c>
      <c r="C2018" t="s">
        <v>766</v>
      </c>
      <c r="D2018" t="s">
        <v>618</v>
      </c>
      <c r="E2018" t="s">
        <v>626</v>
      </c>
      <c r="F2018" s="2">
        <v>4.5045999999999999</v>
      </c>
      <c r="G2018">
        <v>80</v>
      </c>
      <c r="H2018" s="2">
        <f>Tabla_Items_Inactivos[[#This Row],[EXISTENCIA]]*Tabla_Items_Inactivos[[#This Row],[COSTO]]</f>
        <v>360.36799999999999</v>
      </c>
    </row>
    <row r="2019" spans="1:8">
      <c r="A2019" t="s">
        <v>3301</v>
      </c>
      <c r="B2019" t="s">
        <v>5096</v>
      </c>
      <c r="C2019" t="s">
        <v>5097</v>
      </c>
      <c r="D2019" t="s">
        <v>580</v>
      </c>
      <c r="E2019" t="s">
        <v>619</v>
      </c>
      <c r="F2019" s="2">
        <v>0.82599999999999996</v>
      </c>
      <c r="G2019">
        <v>89</v>
      </c>
      <c r="H2019" s="2">
        <f>Tabla_Items_Inactivos[[#This Row],[EXISTENCIA]]*Tabla_Items_Inactivos[[#This Row],[COSTO]]</f>
        <v>73.513999999999996</v>
      </c>
    </row>
    <row r="2020" spans="1:8">
      <c r="A2020" t="s">
        <v>3299</v>
      </c>
      <c r="B2020" t="s">
        <v>5096</v>
      </c>
      <c r="C2020" t="s">
        <v>5097</v>
      </c>
      <c r="D2020" t="s">
        <v>580</v>
      </c>
      <c r="E2020" t="s">
        <v>619</v>
      </c>
      <c r="F2020" s="2">
        <v>0.82599999999999996</v>
      </c>
      <c r="G2020">
        <v>89</v>
      </c>
      <c r="H2020" s="2">
        <f>Tabla_Items_Inactivos[[#This Row],[EXISTENCIA]]*Tabla_Items_Inactivos[[#This Row],[COSTO]]</f>
        <v>73.513999999999996</v>
      </c>
    </row>
    <row r="2021" spans="1:8">
      <c r="A2021" t="s">
        <v>3299</v>
      </c>
      <c r="B2021" t="s">
        <v>767</v>
      </c>
      <c r="C2021" t="s">
        <v>768</v>
      </c>
      <c r="D2021" t="s">
        <v>580</v>
      </c>
      <c r="E2021" t="s">
        <v>581</v>
      </c>
      <c r="F2021" s="2">
        <v>2.9962</v>
      </c>
      <c r="G2021">
        <v>222</v>
      </c>
      <c r="H2021" s="2">
        <f>Tabla_Items_Inactivos[[#This Row],[EXISTENCIA]]*Tabla_Items_Inactivos[[#This Row],[COSTO]]</f>
        <v>665.15639999999996</v>
      </c>
    </row>
    <row r="2022" spans="1:8">
      <c r="A2022" t="s">
        <v>3299</v>
      </c>
      <c r="B2022" t="s">
        <v>769</v>
      </c>
      <c r="C2022" t="s">
        <v>770</v>
      </c>
      <c r="D2022" t="s">
        <v>618</v>
      </c>
      <c r="E2022" t="s">
        <v>711</v>
      </c>
      <c r="F2022" s="2">
        <v>9.2040000000000006</v>
      </c>
      <c r="G2022">
        <v>3</v>
      </c>
      <c r="H2022" s="2">
        <f>Tabla_Items_Inactivos[[#This Row],[EXISTENCIA]]*Tabla_Items_Inactivos[[#This Row],[COSTO]]</f>
        <v>27.612000000000002</v>
      </c>
    </row>
    <row r="2023" spans="1:8">
      <c r="A2023" t="s">
        <v>3301</v>
      </c>
      <c r="B2023" t="s">
        <v>5098</v>
      </c>
      <c r="C2023" t="s">
        <v>5099</v>
      </c>
      <c r="D2023" t="s">
        <v>618</v>
      </c>
      <c r="E2023" t="s">
        <v>626</v>
      </c>
      <c r="F2023" s="2">
        <v>2.5413000000000001</v>
      </c>
      <c r="G2023">
        <v>177</v>
      </c>
      <c r="H2023" s="2">
        <f>Tabla_Items_Inactivos[[#This Row],[EXISTENCIA]]*Tabla_Items_Inactivos[[#This Row],[COSTO]]</f>
        <v>449.81010000000003</v>
      </c>
    </row>
    <row r="2024" spans="1:8">
      <c r="A2024" t="s">
        <v>3299</v>
      </c>
      <c r="B2024" t="s">
        <v>5098</v>
      </c>
      <c r="C2024" t="s">
        <v>5099</v>
      </c>
      <c r="D2024" t="s">
        <v>618</v>
      </c>
      <c r="E2024" t="s">
        <v>626</v>
      </c>
      <c r="F2024" s="2">
        <v>2.5413000000000001</v>
      </c>
      <c r="G2024">
        <v>177</v>
      </c>
      <c r="H2024" s="2">
        <f>Tabla_Items_Inactivos[[#This Row],[EXISTENCIA]]*Tabla_Items_Inactivos[[#This Row],[COSTO]]</f>
        <v>449.81010000000003</v>
      </c>
    </row>
    <row r="2025" spans="1:8">
      <c r="A2025" t="s">
        <v>3299</v>
      </c>
      <c r="B2025" t="s">
        <v>5100</v>
      </c>
      <c r="C2025" t="s">
        <v>5101</v>
      </c>
      <c r="D2025" t="s">
        <v>618</v>
      </c>
      <c r="E2025" t="s">
        <v>626</v>
      </c>
      <c r="F2025" s="2">
        <v>4.4741</v>
      </c>
      <c r="G2025">
        <v>66</v>
      </c>
      <c r="H2025" s="2">
        <f>Tabla_Items_Inactivos[[#This Row],[EXISTENCIA]]*Tabla_Items_Inactivos[[#This Row],[COSTO]]</f>
        <v>295.29059999999998</v>
      </c>
    </row>
    <row r="2026" spans="1:8">
      <c r="A2026" t="s">
        <v>3301</v>
      </c>
      <c r="B2026" t="s">
        <v>5100</v>
      </c>
      <c r="C2026" t="s">
        <v>5101</v>
      </c>
      <c r="D2026" t="s">
        <v>618</v>
      </c>
      <c r="E2026" t="s">
        <v>626</v>
      </c>
      <c r="F2026" s="2">
        <v>4.4741</v>
      </c>
      <c r="G2026">
        <v>66</v>
      </c>
      <c r="H2026" s="2">
        <f>Tabla_Items_Inactivos[[#This Row],[EXISTENCIA]]*Tabla_Items_Inactivos[[#This Row],[COSTO]]</f>
        <v>295.29059999999998</v>
      </c>
    </row>
    <row r="2027" spans="1:8">
      <c r="A2027" t="s">
        <v>3299</v>
      </c>
      <c r="B2027" t="s">
        <v>5102</v>
      </c>
      <c r="C2027" t="s">
        <v>5103</v>
      </c>
      <c r="D2027" t="s">
        <v>618</v>
      </c>
      <c r="E2027" t="s">
        <v>626</v>
      </c>
      <c r="F2027" s="2">
        <v>6.5823999999999998</v>
      </c>
      <c r="G2027">
        <v>264</v>
      </c>
      <c r="H2027" s="2">
        <f>Tabla_Items_Inactivos[[#This Row],[EXISTENCIA]]*Tabla_Items_Inactivos[[#This Row],[COSTO]]</f>
        <v>1737.7536</v>
      </c>
    </row>
    <row r="2028" spans="1:8">
      <c r="A2028" t="s">
        <v>3301</v>
      </c>
      <c r="B2028" t="s">
        <v>5104</v>
      </c>
      <c r="C2028" t="s">
        <v>5105</v>
      </c>
      <c r="D2028" t="s">
        <v>618</v>
      </c>
      <c r="E2028" t="s">
        <v>626</v>
      </c>
      <c r="F2028" s="2">
        <v>1.1251</v>
      </c>
      <c r="G2028">
        <v>75</v>
      </c>
      <c r="H2028" s="2">
        <f>Tabla_Items_Inactivos[[#This Row],[EXISTENCIA]]*Tabla_Items_Inactivos[[#This Row],[COSTO]]</f>
        <v>84.382499999999993</v>
      </c>
    </row>
    <row r="2029" spans="1:8">
      <c r="A2029" t="s">
        <v>3299</v>
      </c>
      <c r="B2029" t="s">
        <v>5104</v>
      </c>
      <c r="C2029" t="s">
        <v>5105</v>
      </c>
      <c r="D2029" t="s">
        <v>618</v>
      </c>
      <c r="E2029" t="s">
        <v>626</v>
      </c>
      <c r="F2029" s="2">
        <v>1.1251</v>
      </c>
      <c r="G2029">
        <v>75</v>
      </c>
      <c r="H2029" s="2">
        <f>Tabla_Items_Inactivos[[#This Row],[EXISTENCIA]]*Tabla_Items_Inactivos[[#This Row],[COSTO]]</f>
        <v>84.382499999999993</v>
      </c>
    </row>
    <row r="2030" spans="1:8">
      <c r="A2030" t="s">
        <v>3301</v>
      </c>
      <c r="B2030" t="s">
        <v>771</v>
      </c>
      <c r="C2030" t="s">
        <v>772</v>
      </c>
      <c r="D2030" t="s">
        <v>618</v>
      </c>
      <c r="E2030" t="s">
        <v>711</v>
      </c>
      <c r="F2030" s="2">
        <v>12.354200000000001</v>
      </c>
      <c r="G2030">
        <v>42</v>
      </c>
      <c r="H2030" s="2">
        <f>Tabla_Items_Inactivos[[#This Row],[EXISTENCIA]]*Tabla_Items_Inactivos[[#This Row],[COSTO]]</f>
        <v>518.87639999999999</v>
      </c>
    </row>
    <row r="2031" spans="1:8">
      <c r="A2031" t="s">
        <v>3299</v>
      </c>
      <c r="B2031" t="s">
        <v>771</v>
      </c>
      <c r="C2031" t="s">
        <v>772</v>
      </c>
      <c r="D2031" t="s">
        <v>618</v>
      </c>
      <c r="E2031" t="s">
        <v>711</v>
      </c>
      <c r="F2031" s="2">
        <v>12.354200000000001</v>
      </c>
      <c r="G2031">
        <v>42</v>
      </c>
      <c r="H2031" s="2">
        <f>Tabla_Items_Inactivos[[#This Row],[EXISTENCIA]]*Tabla_Items_Inactivos[[#This Row],[COSTO]]</f>
        <v>518.87639999999999</v>
      </c>
    </row>
    <row r="2032" spans="1:8">
      <c r="A2032" t="s">
        <v>3299</v>
      </c>
      <c r="B2032" t="s">
        <v>773</v>
      </c>
      <c r="C2032" t="s">
        <v>774</v>
      </c>
      <c r="D2032" t="s">
        <v>580</v>
      </c>
      <c r="E2032" t="s">
        <v>581</v>
      </c>
      <c r="F2032" s="2">
        <v>1.0994999999999999</v>
      </c>
      <c r="G2032">
        <v>775</v>
      </c>
      <c r="H2032" s="2">
        <f>Tabla_Items_Inactivos[[#This Row],[EXISTENCIA]]*Tabla_Items_Inactivos[[#This Row],[COSTO]]</f>
        <v>852.11249999999995</v>
      </c>
    </row>
    <row r="2033" spans="1:8">
      <c r="A2033" t="s">
        <v>3301</v>
      </c>
      <c r="B2033" t="s">
        <v>773</v>
      </c>
      <c r="C2033" t="s">
        <v>774</v>
      </c>
      <c r="D2033" t="s">
        <v>580</v>
      </c>
      <c r="E2033" t="s">
        <v>581</v>
      </c>
      <c r="F2033" s="2">
        <v>1.0994999999999999</v>
      </c>
      <c r="G2033">
        <v>775</v>
      </c>
      <c r="H2033" s="2">
        <f>Tabla_Items_Inactivos[[#This Row],[EXISTENCIA]]*Tabla_Items_Inactivos[[#This Row],[COSTO]]</f>
        <v>852.11249999999995</v>
      </c>
    </row>
    <row r="2034" spans="1:8">
      <c r="A2034" t="s">
        <v>3301</v>
      </c>
      <c r="B2034" t="s">
        <v>5106</v>
      </c>
      <c r="C2034" t="s">
        <v>5107</v>
      </c>
      <c r="D2034" t="s">
        <v>580</v>
      </c>
      <c r="E2034" t="s">
        <v>581</v>
      </c>
      <c r="F2034" s="2">
        <v>3.4923000000000002</v>
      </c>
      <c r="G2034">
        <v>70</v>
      </c>
      <c r="H2034" s="2">
        <f>Tabla_Items_Inactivos[[#This Row],[EXISTENCIA]]*Tabla_Items_Inactivos[[#This Row],[COSTO]]</f>
        <v>244.46100000000001</v>
      </c>
    </row>
    <row r="2035" spans="1:8">
      <c r="A2035" t="s">
        <v>3299</v>
      </c>
      <c r="B2035" t="s">
        <v>5106</v>
      </c>
      <c r="C2035" t="s">
        <v>5107</v>
      </c>
      <c r="D2035" t="s">
        <v>580</v>
      </c>
      <c r="E2035" t="s">
        <v>581</v>
      </c>
      <c r="F2035" s="2">
        <v>3.4923000000000002</v>
      </c>
      <c r="G2035">
        <v>70</v>
      </c>
      <c r="H2035" s="2">
        <f>Tabla_Items_Inactivos[[#This Row],[EXISTENCIA]]*Tabla_Items_Inactivos[[#This Row],[COSTO]]</f>
        <v>244.46100000000001</v>
      </c>
    </row>
    <row r="2036" spans="1:8">
      <c r="A2036" t="s">
        <v>3301</v>
      </c>
      <c r="B2036" t="s">
        <v>5108</v>
      </c>
      <c r="C2036" t="s">
        <v>5109</v>
      </c>
      <c r="D2036" t="s">
        <v>580</v>
      </c>
      <c r="E2036" t="s">
        <v>581</v>
      </c>
      <c r="F2036" s="2">
        <v>2.8771</v>
      </c>
      <c r="G2036">
        <v>208</v>
      </c>
      <c r="H2036" s="2">
        <f>Tabla_Items_Inactivos[[#This Row],[EXISTENCIA]]*Tabla_Items_Inactivos[[#This Row],[COSTO]]</f>
        <v>598.43679999999995</v>
      </c>
    </row>
    <row r="2037" spans="1:8">
      <c r="A2037" t="s">
        <v>3299</v>
      </c>
      <c r="B2037" t="s">
        <v>5108</v>
      </c>
      <c r="C2037" t="s">
        <v>5109</v>
      </c>
      <c r="D2037" t="s">
        <v>580</v>
      </c>
      <c r="E2037" t="s">
        <v>581</v>
      </c>
      <c r="F2037" s="2">
        <v>2.8771</v>
      </c>
      <c r="G2037">
        <v>208</v>
      </c>
      <c r="H2037" s="2">
        <f>Tabla_Items_Inactivos[[#This Row],[EXISTENCIA]]*Tabla_Items_Inactivos[[#This Row],[COSTO]]</f>
        <v>598.43679999999995</v>
      </c>
    </row>
    <row r="2038" spans="1:8">
      <c r="A2038" t="s">
        <v>3299</v>
      </c>
      <c r="B2038" t="s">
        <v>775</v>
      </c>
      <c r="C2038" t="s">
        <v>776</v>
      </c>
      <c r="D2038" t="s">
        <v>618</v>
      </c>
      <c r="E2038" t="s">
        <v>711</v>
      </c>
      <c r="F2038" s="2">
        <v>59.833100000000002</v>
      </c>
      <c r="G2038">
        <v>6</v>
      </c>
      <c r="H2038" s="2">
        <f>Tabla_Items_Inactivos[[#This Row],[EXISTENCIA]]*Tabla_Items_Inactivos[[#This Row],[COSTO]]</f>
        <v>358.99860000000001</v>
      </c>
    </row>
    <row r="2039" spans="1:8">
      <c r="A2039" t="s">
        <v>3301</v>
      </c>
      <c r="B2039" t="s">
        <v>777</v>
      </c>
      <c r="C2039" t="s">
        <v>778</v>
      </c>
      <c r="D2039" t="s">
        <v>618</v>
      </c>
      <c r="E2039" t="s">
        <v>626</v>
      </c>
      <c r="F2039" s="2">
        <v>3.7187000000000001</v>
      </c>
      <c r="G2039">
        <v>1015</v>
      </c>
      <c r="H2039" s="2">
        <f>Tabla_Items_Inactivos[[#This Row],[EXISTENCIA]]*Tabla_Items_Inactivos[[#This Row],[COSTO]]</f>
        <v>3774.4805000000001</v>
      </c>
    </row>
    <row r="2040" spans="1:8">
      <c r="A2040" t="s">
        <v>3299</v>
      </c>
      <c r="B2040" t="s">
        <v>777</v>
      </c>
      <c r="C2040" t="s">
        <v>778</v>
      </c>
      <c r="D2040" t="s">
        <v>618</v>
      </c>
      <c r="E2040" t="s">
        <v>626</v>
      </c>
      <c r="F2040" s="2">
        <v>3.7187000000000001</v>
      </c>
      <c r="G2040">
        <v>1015</v>
      </c>
      <c r="H2040" s="2">
        <f>Tabla_Items_Inactivos[[#This Row],[EXISTENCIA]]*Tabla_Items_Inactivos[[#This Row],[COSTO]]</f>
        <v>3774.4805000000001</v>
      </c>
    </row>
    <row r="2041" spans="1:8">
      <c r="A2041" t="s">
        <v>3299</v>
      </c>
      <c r="B2041" t="s">
        <v>779</v>
      </c>
      <c r="C2041" t="s">
        <v>780</v>
      </c>
      <c r="D2041" t="s">
        <v>580</v>
      </c>
      <c r="E2041" t="s">
        <v>581</v>
      </c>
      <c r="F2041" s="2">
        <v>0.76670000000000005</v>
      </c>
      <c r="G2041">
        <v>1156</v>
      </c>
      <c r="H2041" s="2">
        <f>Tabla_Items_Inactivos[[#This Row],[EXISTENCIA]]*Tabla_Items_Inactivos[[#This Row],[COSTO]]</f>
        <v>886.30520000000001</v>
      </c>
    </row>
    <row r="2042" spans="1:8">
      <c r="A2042" t="s">
        <v>3301</v>
      </c>
      <c r="B2042" t="s">
        <v>781</v>
      </c>
      <c r="C2042" t="s">
        <v>782</v>
      </c>
      <c r="D2042" t="s">
        <v>580</v>
      </c>
      <c r="E2042" t="s">
        <v>581</v>
      </c>
      <c r="F2042" s="2">
        <v>2.3353999999999999</v>
      </c>
      <c r="G2042">
        <v>313</v>
      </c>
      <c r="H2042" s="2">
        <f>Tabla_Items_Inactivos[[#This Row],[EXISTENCIA]]*Tabla_Items_Inactivos[[#This Row],[COSTO]]</f>
        <v>730.98019999999997</v>
      </c>
    </row>
    <row r="2043" spans="1:8">
      <c r="A2043" t="s">
        <v>3299</v>
      </c>
      <c r="B2043" t="s">
        <v>781</v>
      </c>
      <c r="C2043" t="s">
        <v>782</v>
      </c>
      <c r="D2043" t="s">
        <v>580</v>
      </c>
      <c r="E2043" t="s">
        <v>581</v>
      </c>
      <c r="F2043" s="2">
        <v>2.3353999999999999</v>
      </c>
      <c r="G2043">
        <v>313</v>
      </c>
      <c r="H2043" s="2">
        <f>Tabla_Items_Inactivos[[#This Row],[EXISTENCIA]]*Tabla_Items_Inactivos[[#This Row],[COSTO]]</f>
        <v>730.98019999999997</v>
      </c>
    </row>
    <row r="2044" spans="1:8">
      <c r="A2044" t="s">
        <v>3299</v>
      </c>
      <c r="B2044" t="s">
        <v>783</v>
      </c>
      <c r="C2044" t="s">
        <v>784</v>
      </c>
      <c r="D2044" t="s">
        <v>618</v>
      </c>
      <c r="E2044" t="s">
        <v>626</v>
      </c>
      <c r="F2044" s="2">
        <v>0.9234</v>
      </c>
      <c r="G2044">
        <v>11</v>
      </c>
      <c r="H2044" s="2">
        <f>Tabla_Items_Inactivos[[#This Row],[EXISTENCIA]]*Tabla_Items_Inactivos[[#This Row],[COSTO]]</f>
        <v>10.157399999999999</v>
      </c>
    </row>
    <row r="2045" spans="1:8">
      <c r="A2045" t="s">
        <v>3299</v>
      </c>
      <c r="B2045" t="s">
        <v>785</v>
      </c>
      <c r="C2045" t="s">
        <v>786</v>
      </c>
      <c r="D2045" t="s">
        <v>580</v>
      </c>
      <c r="E2045" t="s">
        <v>619</v>
      </c>
      <c r="F2045" s="2">
        <v>15.127800000000001</v>
      </c>
      <c r="G2045">
        <v>13</v>
      </c>
      <c r="H2045" s="2">
        <f>Tabla_Items_Inactivos[[#This Row],[EXISTENCIA]]*Tabla_Items_Inactivos[[#This Row],[COSTO]]</f>
        <v>196.66140000000001</v>
      </c>
    </row>
    <row r="2046" spans="1:8">
      <c r="A2046" t="s">
        <v>3299</v>
      </c>
      <c r="B2046" t="s">
        <v>787</v>
      </c>
      <c r="C2046" t="s">
        <v>788</v>
      </c>
      <c r="D2046" t="s">
        <v>580</v>
      </c>
      <c r="E2046" t="s">
        <v>619</v>
      </c>
      <c r="F2046" s="2">
        <v>0.97709999999999997</v>
      </c>
      <c r="G2046">
        <v>130</v>
      </c>
      <c r="H2046" s="2">
        <f>Tabla_Items_Inactivos[[#This Row],[EXISTENCIA]]*Tabla_Items_Inactivos[[#This Row],[COSTO]]</f>
        <v>127.023</v>
      </c>
    </row>
    <row r="2047" spans="1:8">
      <c r="A2047" t="s">
        <v>3299</v>
      </c>
      <c r="B2047" t="s">
        <v>789</v>
      </c>
      <c r="C2047" t="s">
        <v>790</v>
      </c>
      <c r="D2047" t="s">
        <v>618</v>
      </c>
      <c r="E2047" t="s">
        <v>626</v>
      </c>
      <c r="F2047" s="2">
        <v>13.419</v>
      </c>
      <c r="G2047">
        <v>5</v>
      </c>
      <c r="H2047" s="2">
        <f>Tabla_Items_Inactivos[[#This Row],[EXISTENCIA]]*Tabla_Items_Inactivos[[#This Row],[COSTO]]</f>
        <v>67.094999999999999</v>
      </c>
    </row>
    <row r="2048" spans="1:8">
      <c r="A2048" t="s">
        <v>3301</v>
      </c>
      <c r="B2048" t="s">
        <v>791</v>
      </c>
      <c r="C2048" t="s">
        <v>792</v>
      </c>
      <c r="D2048" t="s">
        <v>580</v>
      </c>
      <c r="E2048" t="s">
        <v>581</v>
      </c>
      <c r="F2048" s="2">
        <v>2.1558000000000002</v>
      </c>
      <c r="G2048">
        <v>632</v>
      </c>
      <c r="H2048" s="2">
        <f>Tabla_Items_Inactivos[[#This Row],[EXISTENCIA]]*Tabla_Items_Inactivos[[#This Row],[COSTO]]</f>
        <v>1362.4656</v>
      </c>
    </row>
    <row r="2049" spans="1:8">
      <c r="A2049" t="s">
        <v>3299</v>
      </c>
      <c r="B2049" t="s">
        <v>791</v>
      </c>
      <c r="C2049" t="s">
        <v>792</v>
      </c>
      <c r="D2049" t="s">
        <v>580</v>
      </c>
      <c r="E2049" t="s">
        <v>581</v>
      </c>
      <c r="F2049" s="2">
        <v>2.1558000000000002</v>
      </c>
      <c r="G2049">
        <v>632</v>
      </c>
      <c r="H2049" s="2">
        <f>Tabla_Items_Inactivos[[#This Row],[EXISTENCIA]]*Tabla_Items_Inactivos[[#This Row],[COSTO]]</f>
        <v>1362.4656</v>
      </c>
    </row>
    <row r="2050" spans="1:8">
      <c r="A2050" t="s">
        <v>3301</v>
      </c>
      <c r="B2050" t="s">
        <v>793</v>
      </c>
      <c r="C2050" t="s">
        <v>794</v>
      </c>
      <c r="D2050" t="s">
        <v>580</v>
      </c>
      <c r="E2050" t="s">
        <v>581</v>
      </c>
      <c r="F2050" s="2">
        <v>3.9603999999999999</v>
      </c>
      <c r="G2050">
        <v>563</v>
      </c>
      <c r="H2050" s="2">
        <f>Tabla_Items_Inactivos[[#This Row],[EXISTENCIA]]*Tabla_Items_Inactivos[[#This Row],[COSTO]]</f>
        <v>2229.7051999999999</v>
      </c>
    </row>
    <row r="2051" spans="1:8">
      <c r="A2051" t="s">
        <v>3299</v>
      </c>
      <c r="B2051" t="s">
        <v>793</v>
      </c>
      <c r="C2051" t="s">
        <v>794</v>
      </c>
      <c r="D2051" t="s">
        <v>580</v>
      </c>
      <c r="E2051" t="s">
        <v>581</v>
      </c>
      <c r="F2051" s="2">
        <v>3.9603999999999999</v>
      </c>
      <c r="G2051">
        <v>563</v>
      </c>
      <c r="H2051" s="2">
        <f>Tabla_Items_Inactivos[[#This Row],[EXISTENCIA]]*Tabla_Items_Inactivos[[#This Row],[COSTO]]</f>
        <v>2229.7051999999999</v>
      </c>
    </row>
    <row r="2052" spans="1:8">
      <c r="A2052" t="s">
        <v>3299</v>
      </c>
      <c r="B2052" t="s">
        <v>795</v>
      </c>
      <c r="C2052" t="s">
        <v>796</v>
      </c>
      <c r="D2052" t="s">
        <v>580</v>
      </c>
      <c r="E2052" t="s">
        <v>581</v>
      </c>
      <c r="F2052" s="2">
        <v>12.454000000000001</v>
      </c>
      <c r="G2052">
        <v>20.002300000000002</v>
      </c>
      <c r="H2052" s="2">
        <f>Tabla_Items_Inactivos[[#This Row],[EXISTENCIA]]*Tabla_Items_Inactivos[[#This Row],[COSTO]]</f>
        <v>249.10864420000004</v>
      </c>
    </row>
    <row r="2053" spans="1:8">
      <c r="A2053" t="s">
        <v>3299</v>
      </c>
      <c r="B2053" t="s">
        <v>797</v>
      </c>
      <c r="C2053" t="s">
        <v>798</v>
      </c>
      <c r="D2053" t="s">
        <v>580</v>
      </c>
      <c r="E2053" t="s">
        <v>619</v>
      </c>
      <c r="F2053" s="2">
        <v>2.4020999999999999</v>
      </c>
      <c r="G2053">
        <v>577</v>
      </c>
      <c r="H2053" s="2">
        <f>Tabla_Items_Inactivos[[#This Row],[EXISTENCIA]]*Tabla_Items_Inactivos[[#This Row],[COSTO]]</f>
        <v>1386.0117</v>
      </c>
    </row>
    <row r="2054" spans="1:8">
      <c r="A2054" t="s">
        <v>3299</v>
      </c>
      <c r="B2054" t="s">
        <v>799</v>
      </c>
      <c r="C2054" t="s">
        <v>800</v>
      </c>
      <c r="D2054" t="s">
        <v>580</v>
      </c>
      <c r="E2054" t="s">
        <v>619</v>
      </c>
      <c r="F2054" s="2">
        <v>2.5693999999999999</v>
      </c>
      <c r="G2054">
        <v>23</v>
      </c>
      <c r="H2054" s="2">
        <f>Tabla_Items_Inactivos[[#This Row],[EXISTENCIA]]*Tabla_Items_Inactivos[[#This Row],[COSTO]]</f>
        <v>59.096199999999996</v>
      </c>
    </row>
    <row r="2055" spans="1:8">
      <c r="A2055" t="s">
        <v>3301</v>
      </c>
      <c r="B2055" t="s">
        <v>5110</v>
      </c>
      <c r="C2055" t="s">
        <v>5111</v>
      </c>
      <c r="D2055" t="s">
        <v>580</v>
      </c>
      <c r="E2055" t="s">
        <v>581</v>
      </c>
      <c r="F2055" s="2">
        <v>1.0135000000000001</v>
      </c>
      <c r="G2055">
        <v>347</v>
      </c>
      <c r="H2055" s="2">
        <f>Tabla_Items_Inactivos[[#This Row],[EXISTENCIA]]*Tabla_Items_Inactivos[[#This Row],[COSTO]]</f>
        <v>351.68450000000001</v>
      </c>
    </row>
    <row r="2056" spans="1:8">
      <c r="A2056" t="s">
        <v>3299</v>
      </c>
      <c r="B2056" t="s">
        <v>5110</v>
      </c>
      <c r="C2056" t="s">
        <v>5111</v>
      </c>
      <c r="D2056" t="s">
        <v>580</v>
      </c>
      <c r="E2056" t="s">
        <v>581</v>
      </c>
      <c r="F2056" s="2">
        <v>1.0135000000000001</v>
      </c>
      <c r="G2056">
        <v>347</v>
      </c>
      <c r="H2056" s="2">
        <f>Tabla_Items_Inactivos[[#This Row],[EXISTENCIA]]*Tabla_Items_Inactivos[[#This Row],[COSTO]]</f>
        <v>351.68450000000001</v>
      </c>
    </row>
    <row r="2057" spans="1:8">
      <c r="A2057" t="s">
        <v>3299</v>
      </c>
      <c r="B2057" t="s">
        <v>801</v>
      </c>
      <c r="C2057" t="s">
        <v>802</v>
      </c>
      <c r="D2057" t="s">
        <v>618</v>
      </c>
      <c r="E2057" t="s">
        <v>626</v>
      </c>
      <c r="F2057" s="2">
        <v>1.2682</v>
      </c>
      <c r="G2057">
        <v>200</v>
      </c>
      <c r="H2057" s="2">
        <f>Tabla_Items_Inactivos[[#This Row],[EXISTENCIA]]*Tabla_Items_Inactivos[[#This Row],[COSTO]]</f>
        <v>253.64</v>
      </c>
    </row>
    <row r="2058" spans="1:8">
      <c r="A2058" t="s">
        <v>3299</v>
      </c>
      <c r="B2058" t="s">
        <v>803</v>
      </c>
      <c r="C2058" t="s">
        <v>804</v>
      </c>
      <c r="D2058" t="s">
        <v>580</v>
      </c>
      <c r="E2058" t="s">
        <v>581</v>
      </c>
      <c r="F2058" s="2">
        <v>6.4301000000000004</v>
      </c>
      <c r="G2058">
        <v>300</v>
      </c>
      <c r="H2058" s="2">
        <f>Tabla_Items_Inactivos[[#This Row],[EXISTENCIA]]*Tabla_Items_Inactivos[[#This Row],[COSTO]]</f>
        <v>1929.0300000000002</v>
      </c>
    </row>
    <row r="2059" spans="1:8">
      <c r="A2059" t="s">
        <v>3299</v>
      </c>
      <c r="B2059" t="s">
        <v>805</v>
      </c>
      <c r="C2059" t="s">
        <v>806</v>
      </c>
      <c r="D2059" t="s">
        <v>580</v>
      </c>
      <c r="E2059" t="s">
        <v>581</v>
      </c>
      <c r="F2059" s="2">
        <v>2.0306999999999999</v>
      </c>
      <c r="G2059">
        <v>243</v>
      </c>
      <c r="H2059" s="2">
        <f>Tabla_Items_Inactivos[[#This Row],[EXISTENCIA]]*Tabla_Items_Inactivos[[#This Row],[COSTO]]</f>
        <v>493.46010000000001</v>
      </c>
    </row>
    <row r="2060" spans="1:8">
      <c r="A2060" t="s">
        <v>3301</v>
      </c>
      <c r="B2060" t="s">
        <v>805</v>
      </c>
      <c r="C2060" t="s">
        <v>806</v>
      </c>
      <c r="D2060" t="s">
        <v>580</v>
      </c>
      <c r="E2060" t="s">
        <v>581</v>
      </c>
      <c r="F2060" s="2">
        <v>2.0306999999999999</v>
      </c>
      <c r="G2060">
        <v>243</v>
      </c>
      <c r="H2060" s="2">
        <f>Tabla_Items_Inactivos[[#This Row],[EXISTENCIA]]*Tabla_Items_Inactivos[[#This Row],[COSTO]]</f>
        <v>493.46010000000001</v>
      </c>
    </row>
    <row r="2061" spans="1:8">
      <c r="A2061" t="s">
        <v>3301</v>
      </c>
      <c r="B2061" t="s">
        <v>807</v>
      </c>
      <c r="C2061" t="s">
        <v>808</v>
      </c>
      <c r="D2061" t="s">
        <v>580</v>
      </c>
      <c r="E2061" t="s">
        <v>581</v>
      </c>
      <c r="F2061" s="2">
        <v>1.8198000000000001</v>
      </c>
      <c r="G2061">
        <v>632</v>
      </c>
      <c r="H2061" s="2">
        <f>Tabla_Items_Inactivos[[#This Row],[EXISTENCIA]]*Tabla_Items_Inactivos[[#This Row],[COSTO]]</f>
        <v>1150.1136000000001</v>
      </c>
    </row>
    <row r="2062" spans="1:8">
      <c r="A2062" t="s">
        <v>3299</v>
      </c>
      <c r="B2062" t="s">
        <v>807</v>
      </c>
      <c r="C2062" t="s">
        <v>808</v>
      </c>
      <c r="D2062" t="s">
        <v>580</v>
      </c>
      <c r="E2062" t="s">
        <v>581</v>
      </c>
      <c r="F2062" s="2">
        <v>1.8198000000000001</v>
      </c>
      <c r="G2062">
        <v>632</v>
      </c>
      <c r="H2062" s="2">
        <f>Tabla_Items_Inactivos[[#This Row],[EXISTENCIA]]*Tabla_Items_Inactivos[[#This Row],[COSTO]]</f>
        <v>1150.1136000000001</v>
      </c>
    </row>
    <row r="2063" spans="1:8">
      <c r="A2063" t="s">
        <v>3301</v>
      </c>
      <c r="B2063" t="s">
        <v>809</v>
      </c>
      <c r="C2063" t="s">
        <v>810</v>
      </c>
      <c r="D2063" t="s">
        <v>580</v>
      </c>
      <c r="E2063" t="s">
        <v>581</v>
      </c>
      <c r="F2063" s="2">
        <v>1.7966</v>
      </c>
      <c r="G2063">
        <v>265</v>
      </c>
      <c r="H2063" s="2">
        <f>Tabla_Items_Inactivos[[#This Row],[EXISTENCIA]]*Tabla_Items_Inactivos[[#This Row],[COSTO]]</f>
        <v>476.09899999999999</v>
      </c>
    </row>
    <row r="2064" spans="1:8">
      <c r="A2064" t="s">
        <v>3299</v>
      </c>
      <c r="B2064" t="s">
        <v>809</v>
      </c>
      <c r="C2064" t="s">
        <v>810</v>
      </c>
      <c r="D2064" t="s">
        <v>580</v>
      </c>
      <c r="E2064" t="s">
        <v>581</v>
      </c>
      <c r="F2064" s="2">
        <v>1.7966</v>
      </c>
      <c r="G2064">
        <v>265</v>
      </c>
      <c r="H2064" s="2">
        <f>Tabla_Items_Inactivos[[#This Row],[EXISTENCIA]]*Tabla_Items_Inactivos[[#This Row],[COSTO]]</f>
        <v>476.09899999999999</v>
      </c>
    </row>
    <row r="2065" spans="1:8">
      <c r="A2065" t="s">
        <v>3299</v>
      </c>
      <c r="B2065" t="s">
        <v>811</v>
      </c>
      <c r="C2065" t="s">
        <v>812</v>
      </c>
      <c r="D2065" t="s">
        <v>580</v>
      </c>
      <c r="E2065" t="s">
        <v>581</v>
      </c>
      <c r="F2065" s="2">
        <v>2.0013000000000001</v>
      </c>
      <c r="G2065">
        <v>206</v>
      </c>
      <c r="H2065" s="2">
        <f>Tabla_Items_Inactivos[[#This Row],[EXISTENCIA]]*Tabla_Items_Inactivos[[#This Row],[COSTO]]</f>
        <v>412.26780000000002</v>
      </c>
    </row>
    <row r="2066" spans="1:8">
      <c r="A2066" t="s">
        <v>3301</v>
      </c>
      <c r="B2066" t="s">
        <v>811</v>
      </c>
      <c r="C2066" t="s">
        <v>812</v>
      </c>
      <c r="D2066" t="s">
        <v>580</v>
      </c>
      <c r="E2066" t="s">
        <v>581</v>
      </c>
      <c r="F2066" s="2">
        <v>2.0013000000000001</v>
      </c>
      <c r="G2066">
        <v>206</v>
      </c>
      <c r="H2066" s="2">
        <f>Tabla_Items_Inactivos[[#This Row],[EXISTENCIA]]*Tabla_Items_Inactivos[[#This Row],[COSTO]]</f>
        <v>412.26780000000002</v>
      </c>
    </row>
    <row r="2067" spans="1:8">
      <c r="A2067" t="s">
        <v>3299</v>
      </c>
      <c r="B2067" t="s">
        <v>813</v>
      </c>
      <c r="C2067" t="s">
        <v>814</v>
      </c>
      <c r="D2067" t="s">
        <v>618</v>
      </c>
      <c r="E2067" t="s">
        <v>626</v>
      </c>
      <c r="F2067" s="2">
        <v>1.4827999999999999</v>
      </c>
      <c r="G2067">
        <v>550</v>
      </c>
      <c r="H2067" s="2">
        <f>Tabla_Items_Inactivos[[#This Row],[EXISTENCIA]]*Tabla_Items_Inactivos[[#This Row],[COSTO]]</f>
        <v>815.54</v>
      </c>
    </row>
    <row r="2068" spans="1:8">
      <c r="A2068" t="s">
        <v>3301</v>
      </c>
      <c r="B2068" t="s">
        <v>813</v>
      </c>
      <c r="C2068" t="s">
        <v>814</v>
      </c>
      <c r="D2068" t="s">
        <v>618</v>
      </c>
      <c r="E2068" t="s">
        <v>626</v>
      </c>
      <c r="F2068" s="2">
        <v>1.4827999999999999</v>
      </c>
      <c r="G2068">
        <v>550</v>
      </c>
      <c r="H2068" s="2">
        <f>Tabla_Items_Inactivos[[#This Row],[EXISTENCIA]]*Tabla_Items_Inactivos[[#This Row],[COSTO]]</f>
        <v>815.54</v>
      </c>
    </row>
    <row r="2069" spans="1:8">
      <c r="A2069" t="s">
        <v>3301</v>
      </c>
      <c r="B2069" t="s">
        <v>815</v>
      </c>
      <c r="C2069" t="s">
        <v>5112</v>
      </c>
      <c r="D2069" t="s">
        <v>580</v>
      </c>
      <c r="E2069" t="s">
        <v>581</v>
      </c>
      <c r="F2069" s="2">
        <v>2.5670000000000002</v>
      </c>
      <c r="G2069">
        <v>1604</v>
      </c>
      <c r="H2069" s="2">
        <f>Tabla_Items_Inactivos[[#This Row],[EXISTENCIA]]*Tabla_Items_Inactivos[[#This Row],[COSTO]]</f>
        <v>4117.4679999999998</v>
      </c>
    </row>
    <row r="2070" spans="1:8">
      <c r="A2070" t="s">
        <v>3299</v>
      </c>
      <c r="B2070" t="s">
        <v>815</v>
      </c>
      <c r="C2070" t="s">
        <v>5112</v>
      </c>
      <c r="D2070" t="s">
        <v>580</v>
      </c>
      <c r="E2070" t="s">
        <v>581</v>
      </c>
      <c r="F2070" s="2">
        <v>2.5670000000000002</v>
      </c>
      <c r="G2070">
        <v>1604</v>
      </c>
      <c r="H2070" s="2">
        <f>Tabla_Items_Inactivos[[#This Row],[EXISTENCIA]]*Tabla_Items_Inactivos[[#This Row],[COSTO]]</f>
        <v>4117.4679999999998</v>
      </c>
    </row>
    <row r="2071" spans="1:8">
      <c r="A2071" t="s">
        <v>3301</v>
      </c>
      <c r="B2071" t="s">
        <v>816</v>
      </c>
      <c r="C2071" t="s">
        <v>817</v>
      </c>
      <c r="D2071" t="s">
        <v>580</v>
      </c>
      <c r="E2071" t="s">
        <v>581</v>
      </c>
      <c r="F2071" s="2">
        <v>1.3392999999999999</v>
      </c>
      <c r="G2071">
        <v>140</v>
      </c>
      <c r="H2071" s="2">
        <f>Tabla_Items_Inactivos[[#This Row],[EXISTENCIA]]*Tabla_Items_Inactivos[[#This Row],[COSTO]]</f>
        <v>187.50199999999998</v>
      </c>
    </row>
    <row r="2072" spans="1:8">
      <c r="A2072" t="s">
        <v>3299</v>
      </c>
      <c r="B2072" t="s">
        <v>816</v>
      </c>
      <c r="C2072" t="s">
        <v>817</v>
      </c>
      <c r="D2072" t="s">
        <v>580</v>
      </c>
      <c r="E2072" t="s">
        <v>581</v>
      </c>
      <c r="F2072" s="2">
        <v>1.3392999999999999</v>
      </c>
      <c r="G2072">
        <v>140</v>
      </c>
      <c r="H2072" s="2">
        <f>Tabla_Items_Inactivos[[#This Row],[EXISTENCIA]]*Tabla_Items_Inactivos[[#This Row],[COSTO]]</f>
        <v>187.50199999999998</v>
      </c>
    </row>
    <row r="2073" spans="1:8">
      <c r="A2073" t="s">
        <v>3301</v>
      </c>
      <c r="B2073" t="s">
        <v>818</v>
      </c>
      <c r="C2073" t="s">
        <v>819</v>
      </c>
      <c r="D2073" t="s">
        <v>618</v>
      </c>
      <c r="E2073" t="s">
        <v>626</v>
      </c>
      <c r="F2073" s="2">
        <v>2.8277000000000001</v>
      </c>
      <c r="G2073">
        <v>564</v>
      </c>
      <c r="H2073" s="2">
        <f>Tabla_Items_Inactivos[[#This Row],[EXISTENCIA]]*Tabla_Items_Inactivos[[#This Row],[COSTO]]</f>
        <v>1594.8228000000001</v>
      </c>
    </row>
    <row r="2074" spans="1:8">
      <c r="A2074" t="s">
        <v>3299</v>
      </c>
      <c r="B2074" t="s">
        <v>818</v>
      </c>
      <c r="C2074" t="s">
        <v>819</v>
      </c>
      <c r="D2074" t="s">
        <v>618</v>
      </c>
      <c r="E2074" t="s">
        <v>626</v>
      </c>
      <c r="F2074" s="2">
        <v>2.8277000000000001</v>
      </c>
      <c r="G2074">
        <v>564</v>
      </c>
      <c r="H2074" s="2">
        <f>Tabla_Items_Inactivos[[#This Row],[EXISTENCIA]]*Tabla_Items_Inactivos[[#This Row],[COSTO]]</f>
        <v>1594.8228000000001</v>
      </c>
    </row>
    <row r="2075" spans="1:8">
      <c r="A2075" t="s">
        <v>3301</v>
      </c>
      <c r="B2075" t="s">
        <v>820</v>
      </c>
      <c r="C2075" t="s">
        <v>821</v>
      </c>
      <c r="D2075" t="s">
        <v>618</v>
      </c>
      <c r="E2075" t="s">
        <v>626</v>
      </c>
      <c r="F2075" s="2">
        <v>5.3960999999999997</v>
      </c>
      <c r="G2075">
        <v>557</v>
      </c>
      <c r="H2075" s="2">
        <f>Tabla_Items_Inactivos[[#This Row],[EXISTENCIA]]*Tabla_Items_Inactivos[[#This Row],[COSTO]]</f>
        <v>3005.6277</v>
      </c>
    </row>
    <row r="2076" spans="1:8">
      <c r="A2076" t="s">
        <v>3299</v>
      </c>
      <c r="B2076" t="s">
        <v>820</v>
      </c>
      <c r="C2076" t="s">
        <v>821</v>
      </c>
      <c r="D2076" t="s">
        <v>618</v>
      </c>
      <c r="E2076" t="s">
        <v>626</v>
      </c>
      <c r="F2076" s="2">
        <v>5.3960999999999997</v>
      </c>
      <c r="G2076">
        <v>557</v>
      </c>
      <c r="H2076" s="2">
        <f>Tabla_Items_Inactivos[[#This Row],[EXISTENCIA]]*Tabla_Items_Inactivos[[#This Row],[COSTO]]</f>
        <v>3005.6277</v>
      </c>
    </row>
    <row r="2077" spans="1:8">
      <c r="A2077" t="s">
        <v>3299</v>
      </c>
      <c r="B2077" t="s">
        <v>822</v>
      </c>
      <c r="C2077" t="s">
        <v>823</v>
      </c>
      <c r="D2077" t="s">
        <v>618</v>
      </c>
      <c r="E2077" t="s">
        <v>626</v>
      </c>
      <c r="F2077" s="2">
        <v>20.721</v>
      </c>
      <c r="G2077">
        <v>5</v>
      </c>
      <c r="H2077" s="2">
        <f>Tabla_Items_Inactivos[[#This Row],[EXISTENCIA]]*Tabla_Items_Inactivos[[#This Row],[COSTO]]</f>
        <v>103.605</v>
      </c>
    </row>
    <row r="2078" spans="1:8">
      <c r="A2078" t="s">
        <v>3299</v>
      </c>
      <c r="B2078" t="s">
        <v>824</v>
      </c>
      <c r="C2078" t="s">
        <v>825</v>
      </c>
      <c r="D2078" t="s">
        <v>618</v>
      </c>
      <c r="E2078" t="s">
        <v>626</v>
      </c>
      <c r="F2078" s="2">
        <v>0.98529999999999995</v>
      </c>
      <c r="G2078">
        <v>136</v>
      </c>
      <c r="H2078" s="2">
        <f>Tabla_Items_Inactivos[[#This Row],[EXISTENCIA]]*Tabla_Items_Inactivos[[#This Row],[COSTO]]</f>
        <v>134.0008</v>
      </c>
    </row>
    <row r="2079" spans="1:8">
      <c r="A2079" t="s">
        <v>3301</v>
      </c>
      <c r="B2079" t="s">
        <v>824</v>
      </c>
      <c r="C2079" t="s">
        <v>825</v>
      </c>
      <c r="D2079" t="s">
        <v>618</v>
      </c>
      <c r="E2079" t="s">
        <v>626</v>
      </c>
      <c r="F2079" s="2">
        <v>0.98529999999999995</v>
      </c>
      <c r="G2079">
        <v>136</v>
      </c>
      <c r="H2079" s="2">
        <f>Tabla_Items_Inactivos[[#This Row],[EXISTENCIA]]*Tabla_Items_Inactivos[[#This Row],[COSTO]]</f>
        <v>134.0008</v>
      </c>
    </row>
    <row r="2080" spans="1:8">
      <c r="A2080" t="s">
        <v>3301</v>
      </c>
      <c r="B2080" t="s">
        <v>826</v>
      </c>
      <c r="C2080" t="s">
        <v>827</v>
      </c>
      <c r="D2080" t="s">
        <v>618</v>
      </c>
      <c r="E2080" t="s">
        <v>626</v>
      </c>
      <c r="F2080" s="2">
        <v>0.90910000000000002</v>
      </c>
      <c r="G2080">
        <v>152</v>
      </c>
      <c r="H2080" s="2">
        <f>Tabla_Items_Inactivos[[#This Row],[EXISTENCIA]]*Tabla_Items_Inactivos[[#This Row],[COSTO]]</f>
        <v>138.1832</v>
      </c>
    </row>
    <row r="2081" spans="1:8">
      <c r="A2081" t="s">
        <v>3299</v>
      </c>
      <c r="B2081" t="s">
        <v>826</v>
      </c>
      <c r="C2081" t="s">
        <v>827</v>
      </c>
      <c r="D2081" t="s">
        <v>618</v>
      </c>
      <c r="E2081" t="s">
        <v>626</v>
      </c>
      <c r="F2081" s="2">
        <v>0.90910000000000002</v>
      </c>
      <c r="G2081">
        <v>152</v>
      </c>
      <c r="H2081" s="2">
        <f>Tabla_Items_Inactivos[[#This Row],[EXISTENCIA]]*Tabla_Items_Inactivos[[#This Row],[COSTO]]</f>
        <v>138.1832</v>
      </c>
    </row>
    <row r="2082" spans="1:8">
      <c r="A2082" t="s">
        <v>3299</v>
      </c>
      <c r="B2082" t="s">
        <v>5113</v>
      </c>
      <c r="C2082" t="s">
        <v>5114</v>
      </c>
      <c r="D2082" t="s">
        <v>580</v>
      </c>
      <c r="E2082" t="s">
        <v>619</v>
      </c>
      <c r="F2082" s="2">
        <v>15.289400000000001</v>
      </c>
      <c r="G2082">
        <v>108</v>
      </c>
      <c r="H2082" s="2">
        <f>Tabla_Items_Inactivos[[#This Row],[EXISTENCIA]]*Tabla_Items_Inactivos[[#This Row],[COSTO]]</f>
        <v>1651.2552000000001</v>
      </c>
    </row>
    <row r="2083" spans="1:8">
      <c r="A2083" t="s">
        <v>3299</v>
      </c>
      <c r="B2083" t="s">
        <v>828</v>
      </c>
      <c r="C2083" t="s">
        <v>829</v>
      </c>
      <c r="D2083" t="s">
        <v>580</v>
      </c>
      <c r="E2083" t="s">
        <v>581</v>
      </c>
      <c r="F2083" s="2">
        <v>0.99</v>
      </c>
      <c r="G2083">
        <v>4</v>
      </c>
      <c r="H2083" s="2">
        <f>Tabla_Items_Inactivos[[#This Row],[EXISTENCIA]]*Tabla_Items_Inactivos[[#This Row],[COSTO]]</f>
        <v>3.96</v>
      </c>
    </row>
    <row r="2084" spans="1:8">
      <c r="A2084" t="s">
        <v>3299</v>
      </c>
      <c r="B2084" t="s">
        <v>830</v>
      </c>
      <c r="C2084" t="s">
        <v>831</v>
      </c>
      <c r="D2084" t="s">
        <v>101</v>
      </c>
      <c r="E2084" t="s">
        <v>626</v>
      </c>
      <c r="F2084" s="2">
        <v>1.5687</v>
      </c>
      <c r="G2084">
        <v>70</v>
      </c>
      <c r="H2084" s="2">
        <f>Tabla_Items_Inactivos[[#This Row],[EXISTENCIA]]*Tabla_Items_Inactivos[[#This Row],[COSTO]]</f>
        <v>109.809</v>
      </c>
    </row>
    <row r="2085" spans="1:8">
      <c r="A2085" t="s">
        <v>3299</v>
      </c>
      <c r="B2085" t="s">
        <v>832</v>
      </c>
      <c r="C2085" t="s">
        <v>833</v>
      </c>
      <c r="D2085" t="s">
        <v>618</v>
      </c>
      <c r="E2085" t="s">
        <v>626</v>
      </c>
      <c r="F2085" s="2">
        <v>7.0606</v>
      </c>
      <c r="G2085">
        <v>13</v>
      </c>
      <c r="H2085" s="2">
        <f>Tabla_Items_Inactivos[[#This Row],[EXISTENCIA]]*Tabla_Items_Inactivos[[#This Row],[COSTO]]</f>
        <v>91.787800000000004</v>
      </c>
    </row>
    <row r="2086" spans="1:8">
      <c r="A2086" t="s">
        <v>3301</v>
      </c>
      <c r="B2086" t="s">
        <v>832</v>
      </c>
      <c r="C2086" t="s">
        <v>833</v>
      </c>
      <c r="D2086" t="s">
        <v>618</v>
      </c>
      <c r="E2086" t="s">
        <v>626</v>
      </c>
      <c r="F2086" s="2">
        <v>7.0606</v>
      </c>
      <c r="G2086">
        <v>13</v>
      </c>
      <c r="H2086" s="2">
        <f>Tabla_Items_Inactivos[[#This Row],[EXISTENCIA]]*Tabla_Items_Inactivos[[#This Row],[COSTO]]</f>
        <v>91.787800000000004</v>
      </c>
    </row>
    <row r="2087" spans="1:8">
      <c r="A2087" t="s">
        <v>3299</v>
      </c>
      <c r="B2087" t="s">
        <v>834</v>
      </c>
      <c r="C2087" t="s">
        <v>835</v>
      </c>
      <c r="D2087" t="s">
        <v>618</v>
      </c>
      <c r="E2087" t="s">
        <v>626</v>
      </c>
      <c r="F2087" s="2">
        <v>1.8667</v>
      </c>
      <c r="G2087">
        <v>3</v>
      </c>
      <c r="H2087" s="2">
        <f>Tabla_Items_Inactivos[[#This Row],[EXISTENCIA]]*Tabla_Items_Inactivos[[#This Row],[COSTO]]</f>
        <v>5.6001000000000003</v>
      </c>
    </row>
    <row r="2088" spans="1:8">
      <c r="A2088" t="s">
        <v>3301</v>
      </c>
      <c r="B2088" t="s">
        <v>836</v>
      </c>
      <c r="C2088" t="s">
        <v>837</v>
      </c>
      <c r="D2088" t="s">
        <v>618</v>
      </c>
      <c r="E2088" t="s">
        <v>626</v>
      </c>
      <c r="F2088" s="2">
        <v>1.8015000000000001</v>
      </c>
      <c r="G2088">
        <v>174</v>
      </c>
      <c r="H2088" s="2">
        <f>Tabla_Items_Inactivos[[#This Row],[EXISTENCIA]]*Tabla_Items_Inactivos[[#This Row],[COSTO]]</f>
        <v>313.46100000000001</v>
      </c>
    </row>
    <row r="2089" spans="1:8">
      <c r="A2089" t="s">
        <v>3299</v>
      </c>
      <c r="B2089" t="s">
        <v>836</v>
      </c>
      <c r="C2089" t="s">
        <v>837</v>
      </c>
      <c r="D2089" t="s">
        <v>618</v>
      </c>
      <c r="E2089" t="s">
        <v>626</v>
      </c>
      <c r="F2089" s="2">
        <v>1.8015000000000001</v>
      </c>
      <c r="G2089">
        <v>174</v>
      </c>
      <c r="H2089" s="2">
        <f>Tabla_Items_Inactivos[[#This Row],[EXISTENCIA]]*Tabla_Items_Inactivos[[#This Row],[COSTO]]</f>
        <v>313.46100000000001</v>
      </c>
    </row>
    <row r="2090" spans="1:8">
      <c r="A2090" t="s">
        <v>3299</v>
      </c>
      <c r="B2090" t="s">
        <v>838</v>
      </c>
      <c r="C2090" t="s">
        <v>839</v>
      </c>
      <c r="D2090" t="s">
        <v>618</v>
      </c>
      <c r="E2090" t="s">
        <v>626</v>
      </c>
      <c r="F2090" s="2">
        <v>3.7450000000000001</v>
      </c>
      <c r="G2090">
        <v>271</v>
      </c>
      <c r="H2090" s="2">
        <f>Tabla_Items_Inactivos[[#This Row],[EXISTENCIA]]*Tabla_Items_Inactivos[[#This Row],[COSTO]]</f>
        <v>1014.895</v>
      </c>
    </row>
    <row r="2091" spans="1:8">
      <c r="A2091" t="s">
        <v>3301</v>
      </c>
      <c r="B2091" t="s">
        <v>838</v>
      </c>
      <c r="C2091" t="s">
        <v>839</v>
      </c>
      <c r="D2091" t="s">
        <v>618</v>
      </c>
      <c r="E2091" t="s">
        <v>626</v>
      </c>
      <c r="F2091" s="2">
        <v>3.7450000000000001</v>
      </c>
      <c r="G2091">
        <v>271</v>
      </c>
      <c r="H2091" s="2">
        <f>Tabla_Items_Inactivos[[#This Row],[EXISTENCIA]]*Tabla_Items_Inactivos[[#This Row],[COSTO]]</f>
        <v>1014.895</v>
      </c>
    </row>
    <row r="2092" spans="1:8">
      <c r="A2092" t="s">
        <v>3299</v>
      </c>
      <c r="B2092" t="s">
        <v>5115</v>
      </c>
      <c r="C2092" t="s">
        <v>5116</v>
      </c>
      <c r="D2092" t="s">
        <v>618</v>
      </c>
      <c r="E2092" t="s">
        <v>626</v>
      </c>
      <c r="F2092" s="2">
        <v>3.1945000000000001</v>
      </c>
      <c r="G2092">
        <v>105</v>
      </c>
      <c r="H2092" s="2">
        <f>Tabla_Items_Inactivos[[#This Row],[EXISTENCIA]]*Tabla_Items_Inactivos[[#This Row],[COSTO]]</f>
        <v>335.42250000000001</v>
      </c>
    </row>
    <row r="2093" spans="1:8">
      <c r="A2093" t="s">
        <v>3301</v>
      </c>
      <c r="B2093" t="s">
        <v>5115</v>
      </c>
      <c r="C2093" t="s">
        <v>5116</v>
      </c>
      <c r="D2093" t="s">
        <v>618</v>
      </c>
      <c r="E2093" t="s">
        <v>626</v>
      </c>
      <c r="F2093" s="2">
        <v>3.1945000000000001</v>
      </c>
      <c r="G2093">
        <v>105</v>
      </c>
      <c r="H2093" s="2">
        <f>Tabla_Items_Inactivos[[#This Row],[EXISTENCIA]]*Tabla_Items_Inactivos[[#This Row],[COSTO]]</f>
        <v>335.42250000000001</v>
      </c>
    </row>
    <row r="2094" spans="1:8">
      <c r="A2094" t="s">
        <v>3299</v>
      </c>
      <c r="B2094" t="s">
        <v>840</v>
      </c>
      <c r="C2094" t="s">
        <v>841</v>
      </c>
      <c r="D2094" t="s">
        <v>580</v>
      </c>
      <c r="E2094" t="s">
        <v>581</v>
      </c>
      <c r="F2094" s="2">
        <v>0.66500000000000004</v>
      </c>
      <c r="G2094">
        <v>2</v>
      </c>
      <c r="H2094" s="2">
        <f>Tabla_Items_Inactivos[[#This Row],[EXISTENCIA]]*Tabla_Items_Inactivos[[#This Row],[COSTO]]</f>
        <v>1.33</v>
      </c>
    </row>
    <row r="2095" spans="1:8">
      <c r="A2095" t="s">
        <v>3299</v>
      </c>
      <c r="B2095" t="s">
        <v>842</v>
      </c>
      <c r="C2095" t="s">
        <v>843</v>
      </c>
      <c r="D2095" t="s">
        <v>618</v>
      </c>
      <c r="E2095" t="s">
        <v>626</v>
      </c>
      <c r="F2095" s="2">
        <v>13.135400000000001</v>
      </c>
      <c r="G2095">
        <v>171</v>
      </c>
      <c r="H2095" s="2">
        <f>Tabla_Items_Inactivos[[#This Row],[EXISTENCIA]]*Tabla_Items_Inactivos[[#This Row],[COSTO]]</f>
        <v>2246.1534000000001</v>
      </c>
    </row>
    <row r="2096" spans="1:8">
      <c r="A2096" t="s">
        <v>3299</v>
      </c>
      <c r="B2096" t="s">
        <v>844</v>
      </c>
      <c r="C2096" t="s">
        <v>845</v>
      </c>
      <c r="D2096" t="s">
        <v>580</v>
      </c>
      <c r="E2096" t="s">
        <v>581</v>
      </c>
      <c r="F2096" s="2">
        <v>9.8119999999999994</v>
      </c>
      <c r="G2096">
        <v>31</v>
      </c>
      <c r="H2096" s="2">
        <f>Tabla_Items_Inactivos[[#This Row],[EXISTENCIA]]*Tabla_Items_Inactivos[[#This Row],[COSTO]]</f>
        <v>304.17199999999997</v>
      </c>
    </row>
    <row r="2097" spans="1:8">
      <c r="A2097" t="s">
        <v>3301</v>
      </c>
      <c r="B2097" t="s">
        <v>846</v>
      </c>
      <c r="C2097" t="s">
        <v>847</v>
      </c>
      <c r="D2097" t="s">
        <v>618</v>
      </c>
      <c r="E2097" t="s">
        <v>626</v>
      </c>
      <c r="F2097" s="2">
        <v>7.8913000000000002</v>
      </c>
      <c r="G2097">
        <v>20</v>
      </c>
      <c r="H2097" s="2">
        <f>Tabla_Items_Inactivos[[#This Row],[EXISTENCIA]]*Tabla_Items_Inactivos[[#This Row],[COSTO]]</f>
        <v>157.82599999999999</v>
      </c>
    </row>
    <row r="2098" spans="1:8">
      <c r="A2098" t="s">
        <v>3299</v>
      </c>
      <c r="B2098" t="s">
        <v>846</v>
      </c>
      <c r="C2098" t="s">
        <v>847</v>
      </c>
      <c r="D2098" t="s">
        <v>618</v>
      </c>
      <c r="E2098" t="s">
        <v>626</v>
      </c>
      <c r="F2098" s="2">
        <v>7.8913000000000002</v>
      </c>
      <c r="G2098">
        <v>20</v>
      </c>
      <c r="H2098" s="2">
        <f>Tabla_Items_Inactivos[[#This Row],[EXISTENCIA]]*Tabla_Items_Inactivos[[#This Row],[COSTO]]</f>
        <v>157.82599999999999</v>
      </c>
    </row>
    <row r="2099" spans="1:8">
      <c r="A2099" t="s">
        <v>3299</v>
      </c>
      <c r="B2099" t="s">
        <v>848</v>
      </c>
      <c r="C2099" t="s">
        <v>849</v>
      </c>
      <c r="D2099" t="s">
        <v>618</v>
      </c>
      <c r="E2099" t="s">
        <v>626</v>
      </c>
      <c r="F2099" s="2">
        <v>11.4969</v>
      </c>
      <c r="G2099">
        <v>70</v>
      </c>
      <c r="H2099" s="2">
        <f>Tabla_Items_Inactivos[[#This Row],[EXISTENCIA]]*Tabla_Items_Inactivos[[#This Row],[COSTO]]</f>
        <v>804.78300000000002</v>
      </c>
    </row>
    <row r="2100" spans="1:8">
      <c r="A2100" t="s">
        <v>3299</v>
      </c>
      <c r="B2100" t="s">
        <v>5117</v>
      </c>
      <c r="C2100" t="s">
        <v>5118</v>
      </c>
      <c r="D2100" t="s">
        <v>618</v>
      </c>
      <c r="E2100" t="s">
        <v>711</v>
      </c>
      <c r="F2100" s="2">
        <v>11.200699999999999</v>
      </c>
      <c r="G2100">
        <v>526</v>
      </c>
      <c r="H2100" s="2">
        <f>Tabla_Items_Inactivos[[#This Row],[EXISTENCIA]]*Tabla_Items_Inactivos[[#This Row],[COSTO]]</f>
        <v>5891.5681999999997</v>
      </c>
    </row>
    <row r="2101" spans="1:8">
      <c r="A2101" t="s">
        <v>3301</v>
      </c>
      <c r="B2101" t="s">
        <v>850</v>
      </c>
      <c r="C2101" t="s">
        <v>851</v>
      </c>
      <c r="D2101" t="s">
        <v>618</v>
      </c>
      <c r="E2101" t="s">
        <v>711</v>
      </c>
      <c r="F2101" s="2">
        <v>3.5931999999999999</v>
      </c>
      <c r="G2101">
        <v>217</v>
      </c>
      <c r="H2101" s="2">
        <f>Tabla_Items_Inactivos[[#This Row],[EXISTENCIA]]*Tabla_Items_Inactivos[[#This Row],[COSTO]]</f>
        <v>779.72439999999995</v>
      </c>
    </row>
    <row r="2102" spans="1:8">
      <c r="A2102" t="s">
        <v>3299</v>
      </c>
      <c r="B2102" t="s">
        <v>850</v>
      </c>
      <c r="C2102" t="s">
        <v>851</v>
      </c>
      <c r="D2102" t="s">
        <v>618</v>
      </c>
      <c r="E2102" t="s">
        <v>711</v>
      </c>
      <c r="F2102" s="2">
        <v>3.5931999999999999</v>
      </c>
      <c r="G2102">
        <v>217</v>
      </c>
      <c r="H2102" s="2">
        <f>Tabla_Items_Inactivos[[#This Row],[EXISTENCIA]]*Tabla_Items_Inactivos[[#This Row],[COSTO]]</f>
        <v>779.72439999999995</v>
      </c>
    </row>
    <row r="2103" spans="1:8">
      <c r="A2103" t="s">
        <v>3299</v>
      </c>
      <c r="B2103" t="s">
        <v>852</v>
      </c>
      <c r="C2103" t="s">
        <v>853</v>
      </c>
      <c r="D2103" t="s">
        <v>580</v>
      </c>
      <c r="E2103" t="s">
        <v>581</v>
      </c>
      <c r="F2103" s="2">
        <v>1.3</v>
      </c>
      <c r="G2103">
        <v>3</v>
      </c>
      <c r="H2103" s="2">
        <f>Tabla_Items_Inactivos[[#This Row],[EXISTENCIA]]*Tabla_Items_Inactivos[[#This Row],[COSTO]]</f>
        <v>3.9000000000000004</v>
      </c>
    </row>
    <row r="2104" spans="1:8">
      <c r="A2104" t="s">
        <v>3299</v>
      </c>
      <c r="B2104" t="s">
        <v>5119</v>
      </c>
      <c r="C2104" t="s">
        <v>5120</v>
      </c>
      <c r="D2104" t="s">
        <v>580</v>
      </c>
      <c r="E2104" t="s">
        <v>581</v>
      </c>
      <c r="F2104" s="2">
        <v>0.19600000000000001</v>
      </c>
      <c r="G2104">
        <v>200</v>
      </c>
      <c r="H2104" s="2">
        <f>Tabla_Items_Inactivos[[#This Row],[EXISTENCIA]]*Tabla_Items_Inactivos[[#This Row],[COSTO]]</f>
        <v>39.200000000000003</v>
      </c>
    </row>
    <row r="2105" spans="1:8">
      <c r="A2105" t="s">
        <v>3301</v>
      </c>
      <c r="B2105" t="s">
        <v>854</v>
      </c>
      <c r="C2105" t="s">
        <v>855</v>
      </c>
      <c r="D2105" t="s">
        <v>1972</v>
      </c>
      <c r="E2105" t="s">
        <v>125</v>
      </c>
      <c r="F2105" s="2">
        <v>0.94640000000000002</v>
      </c>
      <c r="G2105">
        <v>118</v>
      </c>
      <c r="H2105" s="2">
        <f>Tabla_Items_Inactivos[[#This Row],[EXISTENCIA]]*Tabla_Items_Inactivos[[#This Row],[COSTO]]</f>
        <v>111.6752</v>
      </c>
    </row>
    <row r="2106" spans="1:8">
      <c r="A2106" t="s">
        <v>3300</v>
      </c>
      <c r="B2106" t="s">
        <v>854</v>
      </c>
      <c r="C2106" t="s">
        <v>855</v>
      </c>
      <c r="D2106" t="s">
        <v>1972</v>
      </c>
      <c r="E2106" t="s">
        <v>125</v>
      </c>
      <c r="F2106" s="2">
        <v>0.94640000000000002</v>
      </c>
      <c r="G2106">
        <v>118</v>
      </c>
      <c r="H2106" s="2">
        <f>Tabla_Items_Inactivos[[#This Row],[EXISTENCIA]]*Tabla_Items_Inactivos[[#This Row],[COSTO]]</f>
        <v>111.6752</v>
      </c>
    </row>
    <row r="2107" spans="1:8">
      <c r="A2107" t="s">
        <v>3300</v>
      </c>
      <c r="B2107" t="s">
        <v>856</v>
      </c>
      <c r="C2107" t="s">
        <v>5121</v>
      </c>
      <c r="D2107" t="s">
        <v>98</v>
      </c>
      <c r="E2107" t="s">
        <v>86</v>
      </c>
      <c r="F2107" s="2">
        <v>7.8971</v>
      </c>
      <c r="G2107">
        <v>10</v>
      </c>
      <c r="H2107" s="2">
        <f>Tabla_Items_Inactivos[[#This Row],[EXISTENCIA]]*Tabla_Items_Inactivos[[#This Row],[COSTO]]</f>
        <v>78.971000000000004</v>
      </c>
    </row>
    <row r="2108" spans="1:8">
      <c r="A2108" t="s">
        <v>3301</v>
      </c>
      <c r="B2108" t="s">
        <v>856</v>
      </c>
      <c r="C2108" t="s">
        <v>5121</v>
      </c>
      <c r="D2108" t="s">
        <v>98</v>
      </c>
      <c r="E2108" t="s">
        <v>86</v>
      </c>
      <c r="F2108" s="2">
        <v>7.8971</v>
      </c>
      <c r="G2108">
        <v>10</v>
      </c>
      <c r="H2108" s="2">
        <f>Tabla_Items_Inactivos[[#This Row],[EXISTENCIA]]*Tabla_Items_Inactivos[[#This Row],[COSTO]]</f>
        <v>78.971000000000004</v>
      </c>
    </row>
    <row r="2109" spans="1:8">
      <c r="A2109" t="s">
        <v>3300</v>
      </c>
      <c r="B2109" t="s">
        <v>857</v>
      </c>
      <c r="C2109" t="s">
        <v>858</v>
      </c>
      <c r="D2109" t="s">
        <v>944</v>
      </c>
      <c r="E2109" t="s">
        <v>125</v>
      </c>
      <c r="F2109" s="2">
        <v>24.355</v>
      </c>
      <c r="G2109">
        <v>3</v>
      </c>
      <c r="H2109" s="2">
        <f>Tabla_Items_Inactivos[[#This Row],[EXISTENCIA]]*Tabla_Items_Inactivos[[#This Row],[COSTO]]</f>
        <v>73.064999999999998</v>
      </c>
    </row>
    <row r="2110" spans="1:8">
      <c r="A2110" t="s">
        <v>3300</v>
      </c>
      <c r="B2110" t="s">
        <v>859</v>
      </c>
      <c r="C2110" t="s">
        <v>860</v>
      </c>
      <c r="D2110" t="s">
        <v>31</v>
      </c>
      <c r="E2110" t="s">
        <v>125</v>
      </c>
      <c r="F2110" s="2">
        <v>1.7350000000000001</v>
      </c>
      <c r="G2110">
        <v>4</v>
      </c>
      <c r="H2110" s="2">
        <f>Tabla_Items_Inactivos[[#This Row],[EXISTENCIA]]*Tabla_Items_Inactivos[[#This Row],[COSTO]]</f>
        <v>6.94</v>
      </c>
    </row>
    <row r="2111" spans="1:8">
      <c r="A2111" t="s">
        <v>3300</v>
      </c>
      <c r="B2111" t="s">
        <v>861</v>
      </c>
      <c r="C2111" t="s">
        <v>862</v>
      </c>
      <c r="D2111" t="s">
        <v>1972</v>
      </c>
      <c r="E2111" t="s">
        <v>125</v>
      </c>
      <c r="F2111" s="2">
        <v>7.0629999999999997</v>
      </c>
      <c r="G2111">
        <v>8</v>
      </c>
      <c r="H2111" s="2">
        <f>Tabla_Items_Inactivos[[#This Row],[EXISTENCIA]]*Tabla_Items_Inactivos[[#This Row],[COSTO]]</f>
        <v>56.503999999999998</v>
      </c>
    </row>
    <row r="2112" spans="1:8">
      <c r="A2112" t="s">
        <v>3301</v>
      </c>
      <c r="B2112" t="s">
        <v>861</v>
      </c>
      <c r="C2112" t="s">
        <v>862</v>
      </c>
      <c r="D2112" t="s">
        <v>1972</v>
      </c>
      <c r="E2112" t="s">
        <v>125</v>
      </c>
      <c r="F2112" s="2">
        <v>7.0629999999999997</v>
      </c>
      <c r="G2112">
        <v>8</v>
      </c>
      <c r="H2112" s="2">
        <f>Tabla_Items_Inactivos[[#This Row],[EXISTENCIA]]*Tabla_Items_Inactivos[[#This Row],[COSTO]]</f>
        <v>56.503999999999998</v>
      </c>
    </row>
    <row r="2113" spans="1:8">
      <c r="A2113" t="s">
        <v>3300</v>
      </c>
      <c r="B2113" t="s">
        <v>863</v>
      </c>
      <c r="C2113" t="s">
        <v>864</v>
      </c>
      <c r="D2113" t="s">
        <v>31</v>
      </c>
      <c r="E2113" t="s">
        <v>125</v>
      </c>
      <c r="F2113" s="2">
        <v>1.6080000000000001</v>
      </c>
      <c r="G2113">
        <v>13</v>
      </c>
      <c r="H2113" s="2">
        <f>Tabla_Items_Inactivos[[#This Row],[EXISTENCIA]]*Tabla_Items_Inactivos[[#This Row],[COSTO]]</f>
        <v>20.904</v>
      </c>
    </row>
    <row r="2114" spans="1:8">
      <c r="A2114" t="s">
        <v>3300</v>
      </c>
      <c r="B2114" t="s">
        <v>865</v>
      </c>
      <c r="C2114" t="s">
        <v>866</v>
      </c>
      <c r="D2114" t="s">
        <v>31</v>
      </c>
      <c r="E2114" t="s">
        <v>125</v>
      </c>
      <c r="F2114" s="2">
        <v>0.93899999999999995</v>
      </c>
      <c r="G2114">
        <v>14</v>
      </c>
      <c r="H2114" s="2">
        <f>Tabla_Items_Inactivos[[#This Row],[EXISTENCIA]]*Tabla_Items_Inactivos[[#This Row],[COSTO]]</f>
        <v>13.145999999999999</v>
      </c>
    </row>
    <row r="2115" spans="1:8">
      <c r="A2115" t="s">
        <v>3301</v>
      </c>
      <c r="B2115" t="s">
        <v>867</v>
      </c>
      <c r="C2115" t="s">
        <v>868</v>
      </c>
      <c r="D2115" t="s">
        <v>944</v>
      </c>
      <c r="E2115" t="s">
        <v>125</v>
      </c>
      <c r="F2115" s="2">
        <v>3.9085000000000001</v>
      </c>
      <c r="G2115">
        <v>8</v>
      </c>
      <c r="H2115" s="2">
        <f>Tabla_Items_Inactivos[[#This Row],[EXISTENCIA]]*Tabla_Items_Inactivos[[#This Row],[COSTO]]</f>
        <v>31.268000000000001</v>
      </c>
    </row>
    <row r="2116" spans="1:8">
      <c r="A2116" t="s">
        <v>3300</v>
      </c>
      <c r="B2116" t="s">
        <v>867</v>
      </c>
      <c r="C2116" t="s">
        <v>868</v>
      </c>
      <c r="D2116" t="s">
        <v>944</v>
      </c>
      <c r="E2116" t="s">
        <v>125</v>
      </c>
      <c r="F2116" s="2">
        <v>3.9085000000000001</v>
      </c>
      <c r="G2116">
        <v>8</v>
      </c>
      <c r="H2116" s="2">
        <f>Tabla_Items_Inactivos[[#This Row],[EXISTENCIA]]*Tabla_Items_Inactivos[[#This Row],[COSTO]]</f>
        <v>31.268000000000001</v>
      </c>
    </row>
    <row r="2117" spans="1:8">
      <c r="A2117" t="s">
        <v>3301</v>
      </c>
      <c r="B2117" t="s">
        <v>5122</v>
      </c>
      <c r="C2117" t="s">
        <v>5123</v>
      </c>
      <c r="D2117" t="s">
        <v>1972</v>
      </c>
      <c r="E2117" t="s">
        <v>125</v>
      </c>
      <c r="F2117" s="2">
        <v>2.3935</v>
      </c>
      <c r="G2117">
        <v>27</v>
      </c>
      <c r="H2117" s="2">
        <f>Tabla_Items_Inactivos[[#This Row],[EXISTENCIA]]*Tabla_Items_Inactivos[[#This Row],[COSTO]]</f>
        <v>64.624499999999998</v>
      </c>
    </row>
    <row r="2118" spans="1:8">
      <c r="A2118" t="s">
        <v>3300</v>
      </c>
      <c r="B2118" t="s">
        <v>5122</v>
      </c>
      <c r="C2118" t="s">
        <v>5123</v>
      </c>
      <c r="D2118" t="s">
        <v>1972</v>
      </c>
      <c r="E2118" t="s">
        <v>125</v>
      </c>
      <c r="F2118" s="2">
        <v>2.3935</v>
      </c>
      <c r="G2118">
        <v>27</v>
      </c>
      <c r="H2118" s="2">
        <f>Tabla_Items_Inactivos[[#This Row],[EXISTENCIA]]*Tabla_Items_Inactivos[[#This Row],[COSTO]]</f>
        <v>64.624499999999998</v>
      </c>
    </row>
    <row r="2119" spans="1:8">
      <c r="A2119" t="s">
        <v>3300</v>
      </c>
      <c r="B2119" t="s">
        <v>869</v>
      </c>
      <c r="C2119" t="s">
        <v>870</v>
      </c>
      <c r="D2119" t="s">
        <v>31</v>
      </c>
      <c r="E2119" t="s">
        <v>125</v>
      </c>
      <c r="F2119" s="2">
        <v>0.32</v>
      </c>
      <c r="G2119">
        <v>32</v>
      </c>
      <c r="H2119" s="2">
        <f>Tabla_Items_Inactivos[[#This Row],[EXISTENCIA]]*Tabla_Items_Inactivos[[#This Row],[COSTO]]</f>
        <v>10.24</v>
      </c>
    </row>
    <row r="2120" spans="1:8">
      <c r="A2120" t="s">
        <v>3300</v>
      </c>
      <c r="B2120" t="s">
        <v>871</v>
      </c>
      <c r="C2120" t="s">
        <v>872</v>
      </c>
      <c r="D2120" t="s">
        <v>944</v>
      </c>
      <c r="E2120" t="s">
        <v>125</v>
      </c>
      <c r="F2120" s="2">
        <v>2.7919999999999998</v>
      </c>
      <c r="G2120">
        <v>23</v>
      </c>
      <c r="H2120" s="2">
        <f>Tabla_Items_Inactivos[[#This Row],[EXISTENCIA]]*Tabla_Items_Inactivos[[#This Row],[COSTO]]</f>
        <v>64.215999999999994</v>
      </c>
    </row>
    <row r="2121" spans="1:8">
      <c r="A2121" t="s">
        <v>3300</v>
      </c>
      <c r="B2121" t="s">
        <v>873</v>
      </c>
      <c r="C2121" t="s">
        <v>874</v>
      </c>
      <c r="D2121" t="s">
        <v>944</v>
      </c>
      <c r="E2121" t="s">
        <v>125</v>
      </c>
      <c r="F2121" s="2">
        <v>0.95599999999999996</v>
      </c>
      <c r="G2121">
        <v>26</v>
      </c>
      <c r="H2121" s="2">
        <f>Tabla_Items_Inactivos[[#This Row],[EXISTENCIA]]*Tabla_Items_Inactivos[[#This Row],[COSTO]]</f>
        <v>24.855999999999998</v>
      </c>
    </row>
    <row r="2122" spans="1:8">
      <c r="A2122" t="s">
        <v>3301</v>
      </c>
      <c r="B2122" t="s">
        <v>3175</v>
      </c>
      <c r="C2122" t="s">
        <v>3176</v>
      </c>
      <c r="D2122" t="s">
        <v>944</v>
      </c>
      <c r="E2122" t="s">
        <v>125</v>
      </c>
      <c r="F2122" s="2">
        <v>11.347300000000001</v>
      </c>
      <c r="G2122">
        <v>4</v>
      </c>
      <c r="H2122" s="2">
        <f>Tabla_Items_Inactivos[[#This Row],[EXISTENCIA]]*Tabla_Items_Inactivos[[#This Row],[COSTO]]</f>
        <v>45.389200000000002</v>
      </c>
    </row>
    <row r="2123" spans="1:8">
      <c r="A2123" t="s">
        <v>3300</v>
      </c>
      <c r="B2123" t="s">
        <v>3175</v>
      </c>
      <c r="C2123" t="s">
        <v>3176</v>
      </c>
      <c r="D2123" t="s">
        <v>944</v>
      </c>
      <c r="E2123" t="s">
        <v>125</v>
      </c>
      <c r="F2123" s="2">
        <v>11.347300000000001</v>
      </c>
      <c r="G2123">
        <v>4</v>
      </c>
      <c r="H2123" s="2">
        <f>Tabla_Items_Inactivos[[#This Row],[EXISTENCIA]]*Tabla_Items_Inactivos[[#This Row],[COSTO]]</f>
        <v>45.389200000000002</v>
      </c>
    </row>
    <row r="2124" spans="1:8">
      <c r="A2124" t="s">
        <v>3300</v>
      </c>
      <c r="B2124" t="s">
        <v>875</v>
      </c>
      <c r="C2124" t="s">
        <v>876</v>
      </c>
      <c r="D2124" t="s">
        <v>944</v>
      </c>
      <c r="E2124" t="s">
        <v>125</v>
      </c>
      <c r="F2124" s="2">
        <v>4.0400999999999998</v>
      </c>
      <c r="G2124">
        <v>7</v>
      </c>
      <c r="H2124" s="2">
        <f>Tabla_Items_Inactivos[[#This Row],[EXISTENCIA]]*Tabla_Items_Inactivos[[#This Row],[COSTO]]</f>
        <v>28.2807</v>
      </c>
    </row>
    <row r="2125" spans="1:8">
      <c r="A2125" t="s">
        <v>3301</v>
      </c>
      <c r="B2125" t="s">
        <v>875</v>
      </c>
      <c r="C2125" t="s">
        <v>876</v>
      </c>
      <c r="D2125" t="s">
        <v>944</v>
      </c>
      <c r="E2125" t="s">
        <v>125</v>
      </c>
      <c r="F2125" s="2">
        <v>4.0400999999999998</v>
      </c>
      <c r="G2125">
        <v>7</v>
      </c>
      <c r="H2125" s="2">
        <f>Tabla_Items_Inactivos[[#This Row],[EXISTENCIA]]*Tabla_Items_Inactivos[[#This Row],[COSTO]]</f>
        <v>28.2807</v>
      </c>
    </row>
    <row r="2126" spans="1:8">
      <c r="A2126" t="s">
        <v>3300</v>
      </c>
      <c r="B2126" t="s">
        <v>877</v>
      </c>
      <c r="C2126" t="s">
        <v>878</v>
      </c>
      <c r="D2126" t="s">
        <v>31</v>
      </c>
      <c r="E2126" t="s">
        <v>125</v>
      </c>
      <c r="F2126" s="2">
        <v>3.55</v>
      </c>
      <c r="G2126">
        <v>3</v>
      </c>
      <c r="H2126" s="2">
        <f>Tabla_Items_Inactivos[[#This Row],[EXISTENCIA]]*Tabla_Items_Inactivos[[#This Row],[COSTO]]</f>
        <v>10.649999999999999</v>
      </c>
    </row>
    <row r="2127" spans="1:8">
      <c r="A2127" t="s">
        <v>3300</v>
      </c>
      <c r="B2127" t="s">
        <v>879</v>
      </c>
      <c r="C2127" t="s">
        <v>880</v>
      </c>
      <c r="D2127" t="s">
        <v>98</v>
      </c>
      <c r="E2127" t="s">
        <v>86</v>
      </c>
      <c r="F2127" s="2">
        <v>0.34599999999999997</v>
      </c>
      <c r="G2127">
        <v>37</v>
      </c>
      <c r="H2127" s="2">
        <f>Tabla_Items_Inactivos[[#This Row],[EXISTENCIA]]*Tabla_Items_Inactivos[[#This Row],[COSTO]]</f>
        <v>12.802</v>
      </c>
    </row>
    <row r="2128" spans="1:8">
      <c r="A2128" t="s">
        <v>3300</v>
      </c>
      <c r="B2128" t="s">
        <v>881</v>
      </c>
      <c r="C2128" t="s">
        <v>882</v>
      </c>
      <c r="D2128" t="s">
        <v>944</v>
      </c>
      <c r="E2128" t="s">
        <v>125</v>
      </c>
      <c r="F2128" s="2">
        <v>1.371</v>
      </c>
      <c r="G2128">
        <v>12</v>
      </c>
      <c r="H2128" s="2">
        <f>Tabla_Items_Inactivos[[#This Row],[EXISTENCIA]]*Tabla_Items_Inactivos[[#This Row],[COSTO]]</f>
        <v>16.451999999999998</v>
      </c>
    </row>
    <row r="2129" spans="1:8">
      <c r="A2129" t="s">
        <v>3300</v>
      </c>
      <c r="B2129" t="s">
        <v>883</v>
      </c>
      <c r="C2129" t="s">
        <v>884</v>
      </c>
      <c r="D2129" t="s">
        <v>1972</v>
      </c>
      <c r="E2129" t="s">
        <v>125</v>
      </c>
      <c r="F2129" s="2">
        <v>1.135</v>
      </c>
      <c r="G2129">
        <v>11</v>
      </c>
      <c r="H2129" s="2">
        <f>Tabla_Items_Inactivos[[#This Row],[EXISTENCIA]]*Tabla_Items_Inactivos[[#This Row],[COSTO]]</f>
        <v>12.484999999999999</v>
      </c>
    </row>
    <row r="2130" spans="1:8">
      <c r="A2130" t="s">
        <v>3301</v>
      </c>
      <c r="B2130" t="s">
        <v>883</v>
      </c>
      <c r="C2130" t="s">
        <v>884</v>
      </c>
      <c r="D2130" t="s">
        <v>1972</v>
      </c>
      <c r="E2130" t="s">
        <v>125</v>
      </c>
      <c r="F2130" s="2">
        <v>1.135</v>
      </c>
      <c r="G2130">
        <v>11</v>
      </c>
      <c r="H2130" s="2">
        <f>Tabla_Items_Inactivos[[#This Row],[EXISTENCIA]]*Tabla_Items_Inactivos[[#This Row],[COSTO]]</f>
        <v>12.484999999999999</v>
      </c>
    </row>
    <row r="2131" spans="1:8">
      <c r="A2131" t="s">
        <v>3300</v>
      </c>
      <c r="B2131" t="s">
        <v>885</v>
      </c>
      <c r="C2131" t="s">
        <v>886</v>
      </c>
      <c r="D2131" t="s">
        <v>31</v>
      </c>
      <c r="E2131" t="s">
        <v>125</v>
      </c>
      <c r="F2131" s="2">
        <v>3.734</v>
      </c>
      <c r="G2131">
        <v>4</v>
      </c>
      <c r="H2131" s="2">
        <f>Tabla_Items_Inactivos[[#This Row],[EXISTENCIA]]*Tabla_Items_Inactivos[[#This Row],[COSTO]]</f>
        <v>14.936</v>
      </c>
    </row>
    <row r="2132" spans="1:8">
      <c r="A2132" t="s">
        <v>3300</v>
      </c>
      <c r="B2132" t="s">
        <v>887</v>
      </c>
      <c r="C2132" t="s">
        <v>888</v>
      </c>
      <c r="D2132" t="s">
        <v>98</v>
      </c>
      <c r="E2132" t="s">
        <v>86</v>
      </c>
      <c r="F2132" s="2">
        <v>0.40400000000000003</v>
      </c>
      <c r="G2132">
        <v>10</v>
      </c>
      <c r="H2132" s="2">
        <f>Tabla_Items_Inactivos[[#This Row],[EXISTENCIA]]*Tabla_Items_Inactivos[[#This Row],[COSTO]]</f>
        <v>4.04</v>
      </c>
    </row>
    <row r="2133" spans="1:8">
      <c r="A2133" t="s">
        <v>3300</v>
      </c>
      <c r="B2133" t="s">
        <v>889</v>
      </c>
      <c r="C2133" t="s">
        <v>890</v>
      </c>
      <c r="D2133" t="s">
        <v>98</v>
      </c>
      <c r="E2133" t="s">
        <v>86</v>
      </c>
      <c r="F2133" s="2">
        <v>0.40400000000000003</v>
      </c>
      <c r="G2133">
        <v>10</v>
      </c>
      <c r="H2133" s="2">
        <f>Tabla_Items_Inactivos[[#This Row],[EXISTENCIA]]*Tabla_Items_Inactivos[[#This Row],[COSTO]]</f>
        <v>4.04</v>
      </c>
    </row>
    <row r="2134" spans="1:8">
      <c r="A2134" t="s">
        <v>3300</v>
      </c>
      <c r="B2134" t="s">
        <v>891</v>
      </c>
      <c r="C2134" t="s">
        <v>892</v>
      </c>
      <c r="D2134" t="s">
        <v>31</v>
      </c>
      <c r="E2134" t="s">
        <v>125</v>
      </c>
      <c r="F2134" s="2">
        <v>4.5860000000000003</v>
      </c>
      <c r="G2134">
        <v>41</v>
      </c>
      <c r="H2134" s="2">
        <f>Tabla_Items_Inactivos[[#This Row],[EXISTENCIA]]*Tabla_Items_Inactivos[[#This Row],[COSTO]]</f>
        <v>188.02600000000001</v>
      </c>
    </row>
    <row r="2135" spans="1:8">
      <c r="A2135" t="s">
        <v>3300</v>
      </c>
      <c r="B2135" t="s">
        <v>893</v>
      </c>
      <c r="C2135" t="s">
        <v>5124</v>
      </c>
      <c r="D2135" t="s">
        <v>944</v>
      </c>
      <c r="E2135" t="s">
        <v>125</v>
      </c>
      <c r="F2135" s="2">
        <v>347.19900000000001</v>
      </c>
      <c r="G2135">
        <v>1</v>
      </c>
      <c r="H2135" s="2">
        <f>Tabla_Items_Inactivos[[#This Row],[EXISTENCIA]]*Tabla_Items_Inactivos[[#This Row],[COSTO]]</f>
        <v>347.19900000000001</v>
      </c>
    </row>
    <row r="2136" spans="1:8">
      <c r="A2136" t="s">
        <v>3300</v>
      </c>
      <c r="B2136" t="s">
        <v>894</v>
      </c>
      <c r="C2136" t="s">
        <v>895</v>
      </c>
      <c r="D2136" t="s">
        <v>31</v>
      </c>
      <c r="E2136" t="s">
        <v>125</v>
      </c>
      <c r="F2136" s="2">
        <v>2.629</v>
      </c>
      <c r="G2136">
        <v>18</v>
      </c>
      <c r="H2136" s="2">
        <f>Tabla_Items_Inactivos[[#This Row],[EXISTENCIA]]*Tabla_Items_Inactivos[[#This Row],[COSTO]]</f>
        <v>47.322000000000003</v>
      </c>
    </row>
    <row r="2137" spans="1:8">
      <c r="A2137" t="s">
        <v>3300</v>
      </c>
      <c r="B2137" t="s">
        <v>896</v>
      </c>
      <c r="C2137" t="s">
        <v>897</v>
      </c>
      <c r="D2137" t="s">
        <v>160</v>
      </c>
      <c r="E2137" t="s">
        <v>125</v>
      </c>
      <c r="F2137" s="2">
        <v>0.72509999999999997</v>
      </c>
      <c r="G2137">
        <v>45</v>
      </c>
      <c r="H2137" s="2">
        <f>Tabla_Items_Inactivos[[#This Row],[EXISTENCIA]]*Tabla_Items_Inactivos[[#This Row],[COSTO]]</f>
        <v>32.6295</v>
      </c>
    </row>
    <row r="2138" spans="1:8">
      <c r="A2138" t="s">
        <v>3301</v>
      </c>
      <c r="B2138" t="s">
        <v>896</v>
      </c>
      <c r="C2138" t="s">
        <v>897</v>
      </c>
      <c r="D2138" t="s">
        <v>160</v>
      </c>
      <c r="E2138" t="s">
        <v>125</v>
      </c>
      <c r="F2138" s="2">
        <v>0.72509999999999997</v>
      </c>
      <c r="G2138">
        <v>45</v>
      </c>
      <c r="H2138" s="2">
        <f>Tabla_Items_Inactivos[[#This Row],[EXISTENCIA]]*Tabla_Items_Inactivos[[#This Row],[COSTO]]</f>
        <v>32.6295</v>
      </c>
    </row>
    <row r="2139" spans="1:8">
      <c r="A2139" t="s">
        <v>3300</v>
      </c>
      <c r="B2139" t="s">
        <v>898</v>
      </c>
      <c r="C2139" t="s">
        <v>899</v>
      </c>
      <c r="D2139" t="s">
        <v>31</v>
      </c>
      <c r="E2139" t="s">
        <v>125</v>
      </c>
      <c r="F2139" s="2">
        <v>9.76</v>
      </c>
      <c r="G2139">
        <v>1</v>
      </c>
      <c r="H2139" s="2">
        <f>Tabla_Items_Inactivos[[#This Row],[EXISTENCIA]]*Tabla_Items_Inactivos[[#This Row],[COSTO]]</f>
        <v>9.76</v>
      </c>
    </row>
    <row r="2140" spans="1:8">
      <c r="A2140" t="s">
        <v>3300</v>
      </c>
      <c r="B2140" t="s">
        <v>900</v>
      </c>
      <c r="C2140" t="s">
        <v>901</v>
      </c>
      <c r="D2140" t="s">
        <v>944</v>
      </c>
      <c r="E2140" t="s">
        <v>125</v>
      </c>
      <c r="F2140" s="2">
        <v>259.13900000000001</v>
      </c>
      <c r="G2140">
        <v>18</v>
      </c>
      <c r="H2140" s="2">
        <f>Tabla_Items_Inactivos[[#This Row],[EXISTENCIA]]*Tabla_Items_Inactivos[[#This Row],[COSTO]]</f>
        <v>4664.5020000000004</v>
      </c>
    </row>
    <row r="2141" spans="1:8">
      <c r="A2141" t="s">
        <v>3300</v>
      </c>
      <c r="B2141" t="s">
        <v>902</v>
      </c>
      <c r="C2141" t="s">
        <v>903</v>
      </c>
      <c r="D2141" t="s">
        <v>31</v>
      </c>
      <c r="E2141" t="s">
        <v>125</v>
      </c>
      <c r="F2141" s="2">
        <v>0.79400000000000004</v>
      </c>
      <c r="G2141">
        <v>10</v>
      </c>
      <c r="H2141" s="2">
        <f>Tabla_Items_Inactivos[[#This Row],[EXISTENCIA]]*Tabla_Items_Inactivos[[#This Row],[COSTO]]</f>
        <v>7.94</v>
      </c>
    </row>
    <row r="2142" spans="1:8">
      <c r="A2142" t="s">
        <v>3300</v>
      </c>
      <c r="B2142" t="s">
        <v>904</v>
      </c>
      <c r="C2142" t="s">
        <v>905</v>
      </c>
      <c r="D2142" t="s">
        <v>31</v>
      </c>
      <c r="E2142" t="s">
        <v>125</v>
      </c>
      <c r="F2142" s="2">
        <v>1.262</v>
      </c>
      <c r="G2142">
        <v>5</v>
      </c>
      <c r="H2142" s="2">
        <f>Tabla_Items_Inactivos[[#This Row],[EXISTENCIA]]*Tabla_Items_Inactivos[[#This Row],[COSTO]]</f>
        <v>6.3100000000000005</v>
      </c>
    </row>
    <row r="2143" spans="1:8">
      <c r="A2143" t="s">
        <v>3300</v>
      </c>
      <c r="B2143" t="s">
        <v>906</v>
      </c>
      <c r="C2143" t="s">
        <v>907</v>
      </c>
      <c r="D2143" t="s">
        <v>31</v>
      </c>
      <c r="E2143" t="s">
        <v>125</v>
      </c>
      <c r="F2143" s="2">
        <v>2.5230000000000001</v>
      </c>
      <c r="G2143">
        <v>10</v>
      </c>
      <c r="H2143" s="2">
        <f>Tabla_Items_Inactivos[[#This Row],[EXISTENCIA]]*Tabla_Items_Inactivos[[#This Row],[COSTO]]</f>
        <v>25.23</v>
      </c>
    </row>
    <row r="2144" spans="1:8">
      <c r="A2144" t="s">
        <v>3300</v>
      </c>
      <c r="B2144" t="s">
        <v>908</v>
      </c>
      <c r="C2144" t="s">
        <v>909</v>
      </c>
      <c r="D2144" t="s">
        <v>1972</v>
      </c>
      <c r="E2144" t="s">
        <v>125</v>
      </c>
      <c r="F2144" s="2">
        <v>1.3073999999999999</v>
      </c>
      <c r="G2144">
        <v>14</v>
      </c>
      <c r="H2144" s="2">
        <f>Tabla_Items_Inactivos[[#This Row],[EXISTENCIA]]*Tabla_Items_Inactivos[[#This Row],[COSTO]]</f>
        <v>18.303599999999999</v>
      </c>
    </row>
    <row r="2145" spans="1:8">
      <c r="A2145" t="s">
        <v>3301</v>
      </c>
      <c r="B2145" t="s">
        <v>908</v>
      </c>
      <c r="C2145" t="s">
        <v>909</v>
      </c>
      <c r="D2145" t="s">
        <v>1972</v>
      </c>
      <c r="E2145" t="s">
        <v>125</v>
      </c>
      <c r="F2145" s="2">
        <v>1.3073999999999999</v>
      </c>
      <c r="G2145">
        <v>14</v>
      </c>
      <c r="H2145" s="2">
        <f>Tabla_Items_Inactivos[[#This Row],[EXISTENCIA]]*Tabla_Items_Inactivos[[#This Row],[COSTO]]</f>
        <v>18.303599999999999</v>
      </c>
    </row>
    <row r="2146" spans="1:8">
      <c r="A2146" t="s">
        <v>3300</v>
      </c>
      <c r="B2146" t="s">
        <v>910</v>
      </c>
      <c r="C2146" t="s">
        <v>911</v>
      </c>
      <c r="D2146" t="s">
        <v>31</v>
      </c>
      <c r="E2146" t="s">
        <v>125</v>
      </c>
      <c r="F2146" s="2">
        <v>0.59299999999999997</v>
      </c>
      <c r="G2146">
        <v>10</v>
      </c>
      <c r="H2146" s="2">
        <f>Tabla_Items_Inactivos[[#This Row],[EXISTENCIA]]*Tabla_Items_Inactivos[[#This Row],[COSTO]]</f>
        <v>5.93</v>
      </c>
    </row>
    <row r="2147" spans="1:8">
      <c r="A2147" t="s">
        <v>3300</v>
      </c>
      <c r="B2147" t="s">
        <v>912</v>
      </c>
      <c r="C2147" t="s">
        <v>913</v>
      </c>
      <c r="D2147" t="s">
        <v>31</v>
      </c>
      <c r="E2147" t="s">
        <v>125</v>
      </c>
      <c r="F2147" s="2">
        <v>4.6790000000000003</v>
      </c>
      <c r="G2147">
        <v>5</v>
      </c>
      <c r="H2147" s="2">
        <f>Tabla_Items_Inactivos[[#This Row],[EXISTENCIA]]*Tabla_Items_Inactivos[[#This Row],[COSTO]]</f>
        <v>23.395000000000003</v>
      </c>
    </row>
    <row r="2148" spans="1:8">
      <c r="A2148" t="s">
        <v>3300</v>
      </c>
      <c r="B2148" t="s">
        <v>914</v>
      </c>
      <c r="C2148" t="s">
        <v>915</v>
      </c>
      <c r="D2148" t="s">
        <v>944</v>
      </c>
      <c r="E2148" t="s">
        <v>125</v>
      </c>
      <c r="F2148" s="2">
        <v>7.1769999999999996</v>
      </c>
      <c r="G2148">
        <v>2</v>
      </c>
      <c r="H2148" s="2">
        <f>Tabla_Items_Inactivos[[#This Row],[EXISTENCIA]]*Tabla_Items_Inactivos[[#This Row],[COSTO]]</f>
        <v>14.353999999999999</v>
      </c>
    </row>
    <row r="2149" spans="1:8">
      <c r="A2149" t="s">
        <v>3300</v>
      </c>
      <c r="B2149" t="s">
        <v>916</v>
      </c>
      <c r="C2149" t="s">
        <v>917</v>
      </c>
      <c r="D2149" t="s">
        <v>31</v>
      </c>
      <c r="E2149" t="s">
        <v>125</v>
      </c>
      <c r="F2149" s="2">
        <v>1.337</v>
      </c>
      <c r="G2149">
        <v>7</v>
      </c>
      <c r="H2149" s="2">
        <f>Tabla_Items_Inactivos[[#This Row],[EXISTENCIA]]*Tabla_Items_Inactivos[[#This Row],[COSTO]]</f>
        <v>9.359</v>
      </c>
    </row>
    <row r="2150" spans="1:8">
      <c r="A2150" t="s">
        <v>3300</v>
      </c>
      <c r="B2150" t="s">
        <v>918</v>
      </c>
      <c r="C2150" t="s">
        <v>919</v>
      </c>
      <c r="D2150" t="s">
        <v>31</v>
      </c>
      <c r="E2150" t="s">
        <v>125</v>
      </c>
      <c r="F2150" s="2">
        <v>3.1549999999999998</v>
      </c>
      <c r="G2150">
        <v>3</v>
      </c>
      <c r="H2150" s="2">
        <f>Tabla_Items_Inactivos[[#This Row],[EXISTENCIA]]*Tabla_Items_Inactivos[[#This Row],[COSTO]]</f>
        <v>9.4649999999999999</v>
      </c>
    </row>
    <row r="2151" spans="1:8">
      <c r="A2151" t="s">
        <v>3300</v>
      </c>
      <c r="B2151" t="s">
        <v>920</v>
      </c>
      <c r="C2151" t="s">
        <v>921</v>
      </c>
      <c r="D2151" t="s">
        <v>31</v>
      </c>
      <c r="E2151" t="s">
        <v>125</v>
      </c>
      <c r="F2151" s="2">
        <v>0.74299999999999999</v>
      </c>
      <c r="G2151">
        <v>10</v>
      </c>
      <c r="H2151" s="2">
        <f>Tabla_Items_Inactivos[[#This Row],[EXISTENCIA]]*Tabla_Items_Inactivos[[#This Row],[COSTO]]</f>
        <v>7.43</v>
      </c>
    </row>
    <row r="2152" spans="1:8">
      <c r="A2152" t="s">
        <v>3300</v>
      </c>
      <c r="B2152" t="s">
        <v>922</v>
      </c>
      <c r="C2152" t="s">
        <v>923</v>
      </c>
      <c r="D2152" t="s">
        <v>31</v>
      </c>
      <c r="E2152" t="s">
        <v>125</v>
      </c>
      <c r="F2152" s="2">
        <v>1.5740000000000001</v>
      </c>
      <c r="G2152">
        <v>3</v>
      </c>
      <c r="H2152" s="2">
        <f>Tabla_Items_Inactivos[[#This Row],[EXISTENCIA]]*Tabla_Items_Inactivos[[#This Row],[COSTO]]</f>
        <v>4.7220000000000004</v>
      </c>
    </row>
    <row r="2153" spans="1:8">
      <c r="A2153" t="s">
        <v>3300</v>
      </c>
      <c r="B2153" t="s">
        <v>924</v>
      </c>
      <c r="C2153" t="s">
        <v>925</v>
      </c>
      <c r="D2153" t="s">
        <v>31</v>
      </c>
      <c r="E2153" t="s">
        <v>125</v>
      </c>
      <c r="F2153" s="2">
        <v>3.948</v>
      </c>
      <c r="G2153">
        <v>14</v>
      </c>
      <c r="H2153" s="2">
        <f>Tabla_Items_Inactivos[[#This Row],[EXISTENCIA]]*Tabla_Items_Inactivos[[#This Row],[COSTO]]</f>
        <v>55.271999999999998</v>
      </c>
    </row>
    <row r="2154" spans="1:8">
      <c r="A2154" t="s">
        <v>3300</v>
      </c>
      <c r="B2154" t="s">
        <v>926</v>
      </c>
      <c r="C2154" t="s">
        <v>927</v>
      </c>
      <c r="D2154" t="s">
        <v>31</v>
      </c>
      <c r="E2154" t="s">
        <v>125</v>
      </c>
      <c r="F2154" s="2">
        <v>0.872</v>
      </c>
      <c r="G2154">
        <v>5</v>
      </c>
      <c r="H2154" s="2">
        <f>Tabla_Items_Inactivos[[#This Row],[EXISTENCIA]]*Tabla_Items_Inactivos[[#This Row],[COSTO]]</f>
        <v>4.3600000000000003</v>
      </c>
    </row>
    <row r="2155" spans="1:8">
      <c r="A2155" t="s">
        <v>3300</v>
      </c>
      <c r="B2155" t="s">
        <v>928</v>
      </c>
      <c r="C2155" t="s">
        <v>929</v>
      </c>
      <c r="D2155" t="s">
        <v>31</v>
      </c>
      <c r="E2155" t="s">
        <v>125</v>
      </c>
      <c r="F2155" s="2">
        <v>13.007999999999999</v>
      </c>
      <c r="G2155">
        <v>4</v>
      </c>
      <c r="H2155" s="2">
        <f>Tabla_Items_Inactivos[[#This Row],[EXISTENCIA]]*Tabla_Items_Inactivos[[#This Row],[COSTO]]</f>
        <v>52.031999999999996</v>
      </c>
    </row>
    <row r="2156" spans="1:8">
      <c r="A2156" t="s">
        <v>3300</v>
      </c>
      <c r="B2156" t="s">
        <v>930</v>
      </c>
      <c r="C2156" t="s">
        <v>931</v>
      </c>
      <c r="D2156" t="s">
        <v>31</v>
      </c>
      <c r="E2156" t="s">
        <v>125</v>
      </c>
      <c r="F2156" s="2">
        <v>1.778</v>
      </c>
      <c r="G2156">
        <v>5</v>
      </c>
      <c r="H2156" s="2">
        <f>Tabla_Items_Inactivos[[#This Row],[EXISTENCIA]]*Tabla_Items_Inactivos[[#This Row],[COSTO]]</f>
        <v>8.89</v>
      </c>
    </row>
    <row r="2157" spans="1:8">
      <c r="A2157" t="s">
        <v>3300</v>
      </c>
      <c r="B2157" t="s">
        <v>932</v>
      </c>
      <c r="C2157" t="s">
        <v>933</v>
      </c>
      <c r="D2157" t="s">
        <v>31</v>
      </c>
      <c r="E2157" t="s">
        <v>125</v>
      </c>
      <c r="F2157" s="2">
        <v>0.87</v>
      </c>
      <c r="G2157">
        <v>19</v>
      </c>
      <c r="H2157" s="2">
        <f>Tabla_Items_Inactivos[[#This Row],[EXISTENCIA]]*Tabla_Items_Inactivos[[#This Row],[COSTO]]</f>
        <v>16.53</v>
      </c>
    </row>
    <row r="2158" spans="1:8">
      <c r="A2158" t="s">
        <v>3300</v>
      </c>
      <c r="B2158" t="s">
        <v>934</v>
      </c>
      <c r="C2158" t="s">
        <v>935</v>
      </c>
      <c r="D2158" t="s">
        <v>31</v>
      </c>
      <c r="E2158" t="s">
        <v>125</v>
      </c>
      <c r="F2158" s="2">
        <v>3.67</v>
      </c>
      <c r="G2158">
        <v>3</v>
      </c>
      <c r="H2158" s="2">
        <f>Tabla_Items_Inactivos[[#This Row],[EXISTENCIA]]*Tabla_Items_Inactivos[[#This Row],[COSTO]]</f>
        <v>11.01</v>
      </c>
    </row>
    <row r="2159" spans="1:8">
      <c r="A2159" t="s">
        <v>3300</v>
      </c>
      <c r="B2159" t="s">
        <v>936</v>
      </c>
      <c r="C2159" t="s">
        <v>937</v>
      </c>
      <c r="D2159" t="s">
        <v>944</v>
      </c>
      <c r="E2159" t="s">
        <v>125</v>
      </c>
      <c r="F2159" s="2">
        <v>177.2</v>
      </c>
      <c r="G2159">
        <v>7</v>
      </c>
      <c r="H2159" s="2">
        <f>Tabla_Items_Inactivos[[#This Row],[EXISTENCIA]]*Tabla_Items_Inactivos[[#This Row],[COSTO]]</f>
        <v>1240.3999999999999</v>
      </c>
    </row>
    <row r="2160" spans="1:8">
      <c r="A2160" t="s">
        <v>3301</v>
      </c>
      <c r="B2160" t="s">
        <v>936</v>
      </c>
      <c r="C2160" t="s">
        <v>937</v>
      </c>
      <c r="D2160" t="s">
        <v>944</v>
      </c>
      <c r="E2160" t="s">
        <v>125</v>
      </c>
      <c r="F2160" s="2">
        <v>177.2</v>
      </c>
      <c r="G2160">
        <v>7</v>
      </c>
      <c r="H2160" s="2">
        <f>Tabla_Items_Inactivos[[#This Row],[EXISTENCIA]]*Tabla_Items_Inactivos[[#This Row],[COSTO]]</f>
        <v>1240.3999999999999</v>
      </c>
    </row>
    <row r="2161" spans="1:8">
      <c r="A2161" t="s">
        <v>3300</v>
      </c>
      <c r="B2161" t="s">
        <v>938</v>
      </c>
      <c r="C2161" t="s">
        <v>939</v>
      </c>
      <c r="D2161" t="s">
        <v>31</v>
      </c>
      <c r="E2161" t="s">
        <v>125</v>
      </c>
      <c r="F2161" s="2">
        <v>4.97</v>
      </c>
      <c r="G2161">
        <v>10</v>
      </c>
      <c r="H2161" s="2">
        <f>Tabla_Items_Inactivos[[#This Row],[EXISTENCIA]]*Tabla_Items_Inactivos[[#This Row],[COSTO]]</f>
        <v>49.699999999999996</v>
      </c>
    </row>
    <row r="2162" spans="1:8">
      <c r="A2162" t="s">
        <v>3300</v>
      </c>
      <c r="B2162" t="s">
        <v>940</v>
      </c>
      <c r="C2162" t="s">
        <v>941</v>
      </c>
      <c r="D2162" t="s">
        <v>31</v>
      </c>
      <c r="E2162" t="s">
        <v>125</v>
      </c>
      <c r="F2162" s="2">
        <v>5.008</v>
      </c>
      <c r="G2162">
        <v>6</v>
      </c>
      <c r="H2162" s="2">
        <f>Tabla_Items_Inactivos[[#This Row],[EXISTENCIA]]*Tabla_Items_Inactivos[[#This Row],[COSTO]]</f>
        <v>30.048000000000002</v>
      </c>
    </row>
    <row r="2163" spans="1:8">
      <c r="A2163" t="s">
        <v>3300</v>
      </c>
      <c r="B2163" t="s">
        <v>942</v>
      </c>
      <c r="C2163" t="s">
        <v>943</v>
      </c>
      <c r="D2163" t="s">
        <v>944</v>
      </c>
      <c r="E2163" t="s">
        <v>125</v>
      </c>
      <c r="F2163" s="2">
        <v>24.738900000000001</v>
      </c>
      <c r="G2163">
        <v>3</v>
      </c>
      <c r="H2163" s="2">
        <f>Tabla_Items_Inactivos[[#This Row],[EXISTENCIA]]*Tabla_Items_Inactivos[[#This Row],[COSTO]]</f>
        <v>74.216700000000003</v>
      </c>
    </row>
    <row r="2164" spans="1:8">
      <c r="A2164" t="s">
        <v>3301</v>
      </c>
      <c r="B2164" t="s">
        <v>942</v>
      </c>
      <c r="C2164" t="s">
        <v>943</v>
      </c>
      <c r="D2164" t="s">
        <v>944</v>
      </c>
      <c r="E2164" t="s">
        <v>125</v>
      </c>
      <c r="F2164" s="2">
        <v>24.738900000000001</v>
      </c>
      <c r="G2164">
        <v>3</v>
      </c>
      <c r="H2164" s="2">
        <f>Tabla_Items_Inactivos[[#This Row],[EXISTENCIA]]*Tabla_Items_Inactivos[[#This Row],[COSTO]]</f>
        <v>74.216700000000003</v>
      </c>
    </row>
    <row r="2165" spans="1:8">
      <c r="A2165" t="s">
        <v>3300</v>
      </c>
      <c r="B2165" t="s">
        <v>945</v>
      </c>
      <c r="C2165" t="s">
        <v>946</v>
      </c>
      <c r="D2165" t="s">
        <v>31</v>
      </c>
      <c r="E2165" t="s">
        <v>125</v>
      </c>
      <c r="F2165" s="2">
        <v>2.7629999999999999</v>
      </c>
      <c r="G2165">
        <v>4</v>
      </c>
      <c r="H2165" s="2">
        <f>Tabla_Items_Inactivos[[#This Row],[EXISTENCIA]]*Tabla_Items_Inactivos[[#This Row],[COSTO]]</f>
        <v>11.052</v>
      </c>
    </row>
    <row r="2166" spans="1:8">
      <c r="A2166" t="s">
        <v>3300</v>
      </c>
      <c r="B2166" t="s">
        <v>947</v>
      </c>
      <c r="C2166" t="s">
        <v>948</v>
      </c>
      <c r="D2166" t="s">
        <v>944</v>
      </c>
      <c r="E2166" t="s">
        <v>125</v>
      </c>
      <c r="F2166" s="2">
        <v>0</v>
      </c>
      <c r="G2166">
        <v>2</v>
      </c>
      <c r="H2166" s="2">
        <f>Tabla_Items_Inactivos[[#This Row],[EXISTENCIA]]*Tabla_Items_Inactivos[[#This Row],[COSTO]]</f>
        <v>0</v>
      </c>
    </row>
    <row r="2167" spans="1:8">
      <c r="A2167" t="s">
        <v>3300</v>
      </c>
      <c r="B2167" t="s">
        <v>949</v>
      </c>
      <c r="C2167" t="s">
        <v>950</v>
      </c>
      <c r="D2167" t="s">
        <v>31</v>
      </c>
      <c r="E2167" t="s">
        <v>125</v>
      </c>
      <c r="F2167" s="2">
        <v>3.597</v>
      </c>
      <c r="G2167">
        <v>11</v>
      </c>
      <c r="H2167" s="2">
        <f>Tabla_Items_Inactivos[[#This Row],[EXISTENCIA]]*Tabla_Items_Inactivos[[#This Row],[COSTO]]</f>
        <v>39.567</v>
      </c>
    </row>
    <row r="2168" spans="1:8">
      <c r="A2168" t="s">
        <v>3300</v>
      </c>
      <c r="B2168" t="s">
        <v>951</v>
      </c>
      <c r="C2168" t="s">
        <v>952</v>
      </c>
      <c r="D2168" t="s">
        <v>944</v>
      </c>
      <c r="E2168" t="s">
        <v>125</v>
      </c>
      <c r="F2168" s="2">
        <v>20.7864</v>
      </c>
      <c r="G2168">
        <v>4</v>
      </c>
      <c r="H2168" s="2">
        <f>Tabla_Items_Inactivos[[#This Row],[EXISTENCIA]]*Tabla_Items_Inactivos[[#This Row],[COSTO]]</f>
        <v>83.145600000000002</v>
      </c>
    </row>
    <row r="2169" spans="1:8">
      <c r="A2169" t="s">
        <v>3301</v>
      </c>
      <c r="B2169" t="s">
        <v>951</v>
      </c>
      <c r="C2169" t="s">
        <v>952</v>
      </c>
      <c r="D2169" t="s">
        <v>944</v>
      </c>
      <c r="E2169" t="s">
        <v>125</v>
      </c>
      <c r="F2169" s="2">
        <v>20.7864</v>
      </c>
      <c r="G2169">
        <v>4</v>
      </c>
      <c r="H2169" s="2">
        <f>Tabla_Items_Inactivos[[#This Row],[EXISTENCIA]]*Tabla_Items_Inactivos[[#This Row],[COSTO]]</f>
        <v>83.145600000000002</v>
      </c>
    </row>
    <row r="2170" spans="1:8">
      <c r="A2170" t="s">
        <v>3300</v>
      </c>
      <c r="B2170" t="s">
        <v>953</v>
      </c>
      <c r="C2170" t="s">
        <v>954</v>
      </c>
      <c r="D2170" t="s">
        <v>31</v>
      </c>
      <c r="E2170" t="s">
        <v>125</v>
      </c>
      <c r="F2170" s="2">
        <v>0.55000000000000004</v>
      </c>
      <c r="G2170">
        <v>2</v>
      </c>
      <c r="H2170" s="2">
        <f>Tabla_Items_Inactivos[[#This Row],[EXISTENCIA]]*Tabla_Items_Inactivos[[#This Row],[COSTO]]</f>
        <v>1.1000000000000001</v>
      </c>
    </row>
    <row r="2171" spans="1:8">
      <c r="A2171" t="s">
        <v>3300</v>
      </c>
      <c r="B2171" t="s">
        <v>955</v>
      </c>
      <c r="C2171" t="s">
        <v>956</v>
      </c>
      <c r="D2171" t="s">
        <v>31</v>
      </c>
      <c r="E2171" t="s">
        <v>125</v>
      </c>
      <c r="F2171" s="2">
        <v>2.056</v>
      </c>
      <c r="G2171">
        <v>5</v>
      </c>
      <c r="H2171" s="2">
        <f>Tabla_Items_Inactivos[[#This Row],[EXISTENCIA]]*Tabla_Items_Inactivos[[#This Row],[COSTO]]</f>
        <v>10.280000000000001</v>
      </c>
    </row>
    <row r="2172" spans="1:8">
      <c r="A2172" t="s">
        <v>3300</v>
      </c>
      <c r="B2172" t="s">
        <v>957</v>
      </c>
      <c r="C2172" t="s">
        <v>5125</v>
      </c>
      <c r="D2172" t="s">
        <v>944</v>
      </c>
      <c r="E2172" t="s">
        <v>125</v>
      </c>
      <c r="F2172" s="2">
        <v>6.31</v>
      </c>
      <c r="G2172">
        <v>3</v>
      </c>
      <c r="H2172" s="2">
        <f>Tabla_Items_Inactivos[[#This Row],[EXISTENCIA]]*Tabla_Items_Inactivos[[#This Row],[COSTO]]</f>
        <v>18.93</v>
      </c>
    </row>
    <row r="2173" spans="1:8">
      <c r="A2173" t="s">
        <v>3300</v>
      </c>
      <c r="B2173" t="s">
        <v>958</v>
      </c>
      <c r="C2173" t="s">
        <v>959</v>
      </c>
      <c r="D2173" t="s">
        <v>944</v>
      </c>
      <c r="E2173" t="s">
        <v>125</v>
      </c>
      <c r="F2173" s="2">
        <v>8.0836000000000006</v>
      </c>
      <c r="G2173">
        <v>10</v>
      </c>
      <c r="H2173" s="2">
        <f>Tabla_Items_Inactivos[[#This Row],[EXISTENCIA]]*Tabla_Items_Inactivos[[#This Row],[COSTO]]</f>
        <v>80.836000000000013</v>
      </c>
    </row>
    <row r="2174" spans="1:8">
      <c r="A2174" t="s">
        <v>3300</v>
      </c>
      <c r="B2174" t="s">
        <v>960</v>
      </c>
      <c r="C2174" t="s">
        <v>961</v>
      </c>
      <c r="D2174" t="s">
        <v>944</v>
      </c>
      <c r="E2174" t="s">
        <v>125</v>
      </c>
      <c r="F2174" s="2">
        <v>12.2554</v>
      </c>
      <c r="G2174">
        <v>8</v>
      </c>
      <c r="H2174" s="2">
        <f>Tabla_Items_Inactivos[[#This Row],[EXISTENCIA]]*Tabla_Items_Inactivos[[#This Row],[COSTO]]</f>
        <v>98.043199999999999</v>
      </c>
    </row>
    <row r="2175" spans="1:8">
      <c r="A2175" t="s">
        <v>3301</v>
      </c>
      <c r="B2175" t="s">
        <v>960</v>
      </c>
      <c r="C2175" t="s">
        <v>961</v>
      </c>
      <c r="D2175" t="s">
        <v>944</v>
      </c>
      <c r="E2175" t="s">
        <v>125</v>
      </c>
      <c r="F2175" s="2">
        <v>12.2554</v>
      </c>
      <c r="G2175">
        <v>8</v>
      </c>
      <c r="H2175" s="2">
        <f>Tabla_Items_Inactivos[[#This Row],[EXISTENCIA]]*Tabla_Items_Inactivos[[#This Row],[COSTO]]</f>
        <v>98.043199999999999</v>
      </c>
    </row>
    <row r="2176" spans="1:8">
      <c r="A2176" t="s">
        <v>3300</v>
      </c>
      <c r="B2176" t="s">
        <v>962</v>
      </c>
      <c r="C2176" t="s">
        <v>963</v>
      </c>
      <c r="D2176" t="s">
        <v>944</v>
      </c>
      <c r="E2176" t="s">
        <v>125</v>
      </c>
      <c r="F2176" s="2">
        <v>0</v>
      </c>
      <c r="G2176">
        <v>4</v>
      </c>
      <c r="H2176" s="2">
        <f>Tabla_Items_Inactivos[[#This Row],[EXISTENCIA]]*Tabla_Items_Inactivos[[#This Row],[COSTO]]</f>
        <v>0</v>
      </c>
    </row>
    <row r="2177" spans="1:8">
      <c r="A2177" t="s">
        <v>3300</v>
      </c>
      <c r="B2177" t="s">
        <v>964</v>
      </c>
      <c r="C2177" t="s">
        <v>965</v>
      </c>
      <c r="D2177" t="s">
        <v>944</v>
      </c>
      <c r="E2177" t="s">
        <v>125</v>
      </c>
      <c r="F2177" s="2">
        <v>0</v>
      </c>
      <c r="G2177">
        <v>2</v>
      </c>
      <c r="H2177" s="2">
        <f>Tabla_Items_Inactivos[[#This Row],[EXISTENCIA]]*Tabla_Items_Inactivos[[#This Row],[COSTO]]</f>
        <v>0</v>
      </c>
    </row>
    <row r="2178" spans="1:8">
      <c r="A2178" t="s">
        <v>3300</v>
      </c>
      <c r="B2178" t="s">
        <v>966</v>
      </c>
      <c r="C2178" t="s">
        <v>967</v>
      </c>
      <c r="D2178" t="s">
        <v>944</v>
      </c>
      <c r="E2178" t="s">
        <v>125</v>
      </c>
      <c r="F2178" s="2">
        <v>0</v>
      </c>
      <c r="G2178">
        <v>3</v>
      </c>
      <c r="H2178" s="2">
        <f>Tabla_Items_Inactivos[[#This Row],[EXISTENCIA]]*Tabla_Items_Inactivos[[#This Row],[COSTO]]</f>
        <v>0</v>
      </c>
    </row>
    <row r="2179" spans="1:8">
      <c r="A2179" t="s">
        <v>3300</v>
      </c>
      <c r="B2179" t="s">
        <v>968</v>
      </c>
      <c r="C2179" t="s">
        <v>969</v>
      </c>
      <c r="D2179" t="s">
        <v>944</v>
      </c>
      <c r="E2179" t="s">
        <v>125</v>
      </c>
      <c r="F2179" s="2">
        <v>0</v>
      </c>
      <c r="G2179">
        <v>1</v>
      </c>
      <c r="H2179" s="2">
        <f>Tabla_Items_Inactivos[[#This Row],[EXISTENCIA]]*Tabla_Items_Inactivos[[#This Row],[COSTO]]</f>
        <v>0</v>
      </c>
    </row>
    <row r="2180" spans="1:8">
      <c r="A2180" t="s">
        <v>3300</v>
      </c>
      <c r="B2180" t="s">
        <v>970</v>
      </c>
      <c r="C2180" t="s">
        <v>971</v>
      </c>
      <c r="D2180" t="s">
        <v>944</v>
      </c>
      <c r="E2180" t="s">
        <v>125</v>
      </c>
      <c r="F2180" s="2">
        <v>0</v>
      </c>
      <c r="G2180">
        <v>2</v>
      </c>
      <c r="H2180" s="2">
        <f>Tabla_Items_Inactivos[[#This Row],[EXISTENCIA]]*Tabla_Items_Inactivos[[#This Row],[COSTO]]</f>
        <v>0</v>
      </c>
    </row>
    <row r="2181" spans="1:8">
      <c r="A2181" t="s">
        <v>3300</v>
      </c>
      <c r="B2181" t="s">
        <v>972</v>
      </c>
      <c r="C2181" t="s">
        <v>973</v>
      </c>
      <c r="D2181" t="s">
        <v>944</v>
      </c>
      <c r="E2181" t="s">
        <v>125</v>
      </c>
      <c r="F2181" s="2">
        <v>13.508699999999999</v>
      </c>
      <c r="G2181">
        <v>8</v>
      </c>
      <c r="H2181" s="2">
        <f>Tabla_Items_Inactivos[[#This Row],[EXISTENCIA]]*Tabla_Items_Inactivos[[#This Row],[COSTO]]</f>
        <v>108.06959999999999</v>
      </c>
    </row>
    <row r="2182" spans="1:8">
      <c r="A2182" t="s">
        <v>3301</v>
      </c>
      <c r="B2182" t="s">
        <v>972</v>
      </c>
      <c r="C2182" t="s">
        <v>973</v>
      </c>
      <c r="D2182" t="s">
        <v>944</v>
      </c>
      <c r="E2182" t="s">
        <v>125</v>
      </c>
      <c r="F2182" s="2">
        <v>13.508699999999999</v>
      </c>
      <c r="G2182">
        <v>8</v>
      </c>
      <c r="H2182" s="2">
        <f>Tabla_Items_Inactivos[[#This Row],[EXISTENCIA]]*Tabla_Items_Inactivos[[#This Row],[COSTO]]</f>
        <v>108.06959999999999</v>
      </c>
    </row>
    <row r="2183" spans="1:8">
      <c r="A2183" t="s">
        <v>3300</v>
      </c>
      <c r="B2183" t="s">
        <v>974</v>
      </c>
      <c r="C2183" t="s">
        <v>5126</v>
      </c>
      <c r="D2183" t="s">
        <v>944</v>
      </c>
      <c r="E2183" t="s">
        <v>125</v>
      </c>
      <c r="F2183" s="2">
        <v>8.7316000000000003</v>
      </c>
      <c r="G2183">
        <v>47.5</v>
      </c>
      <c r="H2183" s="2">
        <f>Tabla_Items_Inactivos[[#This Row],[EXISTENCIA]]*Tabla_Items_Inactivos[[#This Row],[COSTO]]</f>
        <v>414.75100000000003</v>
      </c>
    </row>
    <row r="2184" spans="1:8">
      <c r="A2184" t="s">
        <v>3301</v>
      </c>
      <c r="B2184" t="s">
        <v>974</v>
      </c>
      <c r="C2184" t="s">
        <v>5126</v>
      </c>
      <c r="D2184" t="s">
        <v>944</v>
      </c>
      <c r="E2184" t="s">
        <v>125</v>
      </c>
      <c r="F2184" s="2">
        <v>8.7316000000000003</v>
      </c>
      <c r="G2184">
        <v>47.5</v>
      </c>
      <c r="H2184" s="2">
        <f>Tabla_Items_Inactivos[[#This Row],[EXISTENCIA]]*Tabla_Items_Inactivos[[#This Row],[COSTO]]</f>
        <v>414.75100000000003</v>
      </c>
    </row>
    <row r="2185" spans="1:8">
      <c r="A2185" t="s">
        <v>3300</v>
      </c>
      <c r="B2185" t="s">
        <v>975</v>
      </c>
      <c r="C2185" t="s">
        <v>976</v>
      </c>
      <c r="D2185" t="s">
        <v>944</v>
      </c>
      <c r="E2185" t="s">
        <v>125</v>
      </c>
      <c r="F2185" s="2">
        <v>9.3000000000000007</v>
      </c>
      <c r="G2185">
        <v>8</v>
      </c>
      <c r="H2185" s="2">
        <f>Tabla_Items_Inactivos[[#This Row],[EXISTENCIA]]*Tabla_Items_Inactivos[[#This Row],[COSTO]]</f>
        <v>74.400000000000006</v>
      </c>
    </row>
    <row r="2186" spans="1:8">
      <c r="A2186" t="s">
        <v>3300</v>
      </c>
      <c r="B2186" t="s">
        <v>977</v>
      </c>
      <c r="C2186" t="s">
        <v>978</v>
      </c>
      <c r="D2186" t="s">
        <v>1972</v>
      </c>
      <c r="E2186" t="s">
        <v>125</v>
      </c>
      <c r="F2186" s="2">
        <v>7.8547000000000002</v>
      </c>
      <c r="G2186">
        <v>58</v>
      </c>
      <c r="H2186" s="2">
        <f>Tabla_Items_Inactivos[[#This Row],[EXISTENCIA]]*Tabla_Items_Inactivos[[#This Row],[COSTO]]</f>
        <v>455.57260000000002</v>
      </c>
    </row>
    <row r="2187" spans="1:8">
      <c r="A2187" t="s">
        <v>3301</v>
      </c>
      <c r="B2187" t="s">
        <v>977</v>
      </c>
      <c r="C2187" t="s">
        <v>978</v>
      </c>
      <c r="D2187" t="s">
        <v>1972</v>
      </c>
      <c r="E2187" t="s">
        <v>125</v>
      </c>
      <c r="F2187" s="2">
        <v>7.8547000000000002</v>
      </c>
      <c r="G2187">
        <v>58</v>
      </c>
      <c r="H2187" s="2">
        <f>Tabla_Items_Inactivos[[#This Row],[EXISTENCIA]]*Tabla_Items_Inactivos[[#This Row],[COSTO]]</f>
        <v>455.57260000000002</v>
      </c>
    </row>
    <row r="2188" spans="1:8">
      <c r="A2188" t="s">
        <v>3300</v>
      </c>
      <c r="B2188" t="s">
        <v>980</v>
      </c>
      <c r="C2188" t="s">
        <v>981</v>
      </c>
      <c r="D2188" t="s">
        <v>128</v>
      </c>
      <c r="E2188" t="s">
        <v>125</v>
      </c>
      <c r="F2188" s="2">
        <v>14.375</v>
      </c>
      <c r="G2188">
        <v>2</v>
      </c>
      <c r="H2188" s="2">
        <f>Tabla_Items_Inactivos[[#This Row],[EXISTENCIA]]*Tabla_Items_Inactivos[[#This Row],[COSTO]]</f>
        <v>28.75</v>
      </c>
    </row>
    <row r="2189" spans="1:8">
      <c r="A2189" t="s">
        <v>3300</v>
      </c>
      <c r="B2189" t="s">
        <v>982</v>
      </c>
      <c r="C2189" t="s">
        <v>983</v>
      </c>
      <c r="D2189" t="s">
        <v>131</v>
      </c>
      <c r="E2189" t="s">
        <v>125</v>
      </c>
      <c r="F2189" s="2">
        <v>231.40799999999999</v>
      </c>
      <c r="G2189">
        <v>1</v>
      </c>
      <c r="H2189" s="2">
        <f>Tabla_Items_Inactivos[[#This Row],[EXISTENCIA]]*Tabla_Items_Inactivos[[#This Row],[COSTO]]</f>
        <v>231.40799999999999</v>
      </c>
    </row>
    <row r="2190" spans="1:8">
      <c r="A2190" t="s">
        <v>3300</v>
      </c>
      <c r="B2190" t="s">
        <v>984</v>
      </c>
      <c r="C2190" t="s">
        <v>985</v>
      </c>
      <c r="D2190" t="s">
        <v>944</v>
      </c>
      <c r="E2190" t="s">
        <v>125</v>
      </c>
      <c r="F2190" s="2">
        <v>10</v>
      </c>
      <c r="G2190">
        <v>6</v>
      </c>
      <c r="H2190" s="2">
        <f>Tabla_Items_Inactivos[[#This Row],[EXISTENCIA]]*Tabla_Items_Inactivos[[#This Row],[COSTO]]</f>
        <v>60</v>
      </c>
    </row>
    <row r="2191" spans="1:8">
      <c r="A2191" t="s">
        <v>3300</v>
      </c>
      <c r="B2191" t="s">
        <v>986</v>
      </c>
      <c r="C2191" t="s">
        <v>987</v>
      </c>
      <c r="D2191" t="s">
        <v>944</v>
      </c>
      <c r="E2191" t="s">
        <v>125</v>
      </c>
      <c r="F2191" s="2">
        <v>3.4836999999999998</v>
      </c>
      <c r="G2191">
        <v>8</v>
      </c>
      <c r="H2191" s="2">
        <f>Tabla_Items_Inactivos[[#This Row],[EXISTENCIA]]*Tabla_Items_Inactivos[[#This Row],[COSTO]]</f>
        <v>27.869599999999998</v>
      </c>
    </row>
    <row r="2192" spans="1:8">
      <c r="A2192" t="s">
        <v>3300</v>
      </c>
      <c r="B2192" t="s">
        <v>988</v>
      </c>
      <c r="C2192" t="s">
        <v>989</v>
      </c>
      <c r="D2192" t="s">
        <v>944</v>
      </c>
      <c r="E2192" t="s">
        <v>125</v>
      </c>
      <c r="F2192" s="2">
        <v>1.6879999999999999</v>
      </c>
      <c r="G2192">
        <v>5</v>
      </c>
      <c r="H2192" s="2">
        <f>Tabla_Items_Inactivos[[#This Row],[EXISTENCIA]]*Tabla_Items_Inactivos[[#This Row],[COSTO]]</f>
        <v>8.44</v>
      </c>
    </row>
    <row r="2193" spans="1:8">
      <c r="A2193" t="s">
        <v>3300</v>
      </c>
      <c r="B2193" t="s">
        <v>5127</v>
      </c>
      <c r="C2193" t="s">
        <v>5128</v>
      </c>
      <c r="D2193" t="s">
        <v>1847</v>
      </c>
      <c r="E2193" t="s">
        <v>125</v>
      </c>
      <c r="F2193" s="2">
        <v>824.58</v>
      </c>
      <c r="G2193">
        <v>1</v>
      </c>
      <c r="H2193" s="2">
        <f>Tabla_Items_Inactivos[[#This Row],[EXISTENCIA]]*Tabla_Items_Inactivos[[#This Row],[COSTO]]</f>
        <v>824.58</v>
      </c>
    </row>
    <row r="2194" spans="1:8">
      <c r="A2194" t="s">
        <v>3300</v>
      </c>
      <c r="B2194" t="s">
        <v>5129</v>
      </c>
      <c r="C2194" t="s">
        <v>5130</v>
      </c>
      <c r="D2194" t="s">
        <v>1847</v>
      </c>
      <c r="E2194" t="s">
        <v>125</v>
      </c>
      <c r="F2194" s="2">
        <v>913.7</v>
      </c>
      <c r="G2194">
        <v>1</v>
      </c>
      <c r="H2194" s="2">
        <f>Tabla_Items_Inactivos[[#This Row],[EXISTENCIA]]*Tabla_Items_Inactivos[[#This Row],[COSTO]]</f>
        <v>913.7</v>
      </c>
    </row>
    <row r="2195" spans="1:8">
      <c r="A2195" t="s">
        <v>3300</v>
      </c>
      <c r="B2195" t="s">
        <v>990</v>
      </c>
      <c r="C2195" t="s">
        <v>991</v>
      </c>
      <c r="D2195" t="s">
        <v>944</v>
      </c>
      <c r="E2195" t="s">
        <v>125</v>
      </c>
      <c r="F2195" s="2">
        <v>8.59</v>
      </c>
      <c r="G2195">
        <v>4</v>
      </c>
      <c r="H2195" s="2">
        <f>Tabla_Items_Inactivos[[#This Row],[EXISTENCIA]]*Tabla_Items_Inactivos[[#This Row],[COSTO]]</f>
        <v>34.36</v>
      </c>
    </row>
    <row r="2196" spans="1:8">
      <c r="A2196" t="s">
        <v>3300</v>
      </c>
      <c r="B2196" t="s">
        <v>992</v>
      </c>
      <c r="C2196" t="s">
        <v>993</v>
      </c>
      <c r="D2196" t="s">
        <v>944</v>
      </c>
      <c r="E2196" t="s">
        <v>125</v>
      </c>
      <c r="F2196" s="2">
        <v>12.65</v>
      </c>
      <c r="G2196">
        <v>4</v>
      </c>
      <c r="H2196" s="2">
        <f>Tabla_Items_Inactivos[[#This Row],[EXISTENCIA]]*Tabla_Items_Inactivos[[#This Row],[COSTO]]</f>
        <v>50.6</v>
      </c>
    </row>
    <row r="2197" spans="1:8">
      <c r="A2197" t="s">
        <v>3300</v>
      </c>
      <c r="B2197" t="s">
        <v>5131</v>
      </c>
      <c r="C2197" t="s">
        <v>5132</v>
      </c>
      <c r="D2197" t="s">
        <v>994</v>
      </c>
      <c r="E2197" t="s">
        <v>125</v>
      </c>
      <c r="F2197" s="2">
        <v>950.07</v>
      </c>
      <c r="G2197">
        <v>1</v>
      </c>
      <c r="H2197" s="2">
        <f>Tabla_Items_Inactivos[[#This Row],[EXISTENCIA]]*Tabla_Items_Inactivos[[#This Row],[COSTO]]</f>
        <v>950.07</v>
      </c>
    </row>
    <row r="2198" spans="1:8">
      <c r="A2198" t="s">
        <v>3299</v>
      </c>
      <c r="B2198" t="s">
        <v>995</v>
      </c>
      <c r="C2198" t="s">
        <v>996</v>
      </c>
      <c r="D2198" t="s">
        <v>618</v>
      </c>
      <c r="E2198" t="s">
        <v>626</v>
      </c>
      <c r="F2198" s="2">
        <v>3.4851999999999999</v>
      </c>
      <c r="G2198">
        <v>10</v>
      </c>
      <c r="H2198" s="2">
        <f>Tabla_Items_Inactivos[[#This Row],[EXISTENCIA]]*Tabla_Items_Inactivos[[#This Row],[COSTO]]</f>
        <v>34.851999999999997</v>
      </c>
    </row>
    <row r="2199" spans="1:8">
      <c r="A2199" t="s">
        <v>3299</v>
      </c>
      <c r="B2199" t="s">
        <v>997</v>
      </c>
      <c r="C2199" t="s">
        <v>998</v>
      </c>
      <c r="D2199" t="s">
        <v>580</v>
      </c>
      <c r="E2199" t="s">
        <v>619</v>
      </c>
      <c r="F2199" s="2">
        <v>22.457000000000001</v>
      </c>
      <c r="G2199">
        <v>15</v>
      </c>
      <c r="H2199" s="2">
        <f>Tabla_Items_Inactivos[[#This Row],[EXISTENCIA]]*Tabla_Items_Inactivos[[#This Row],[COSTO]]</f>
        <v>336.85500000000002</v>
      </c>
    </row>
    <row r="2200" spans="1:8">
      <c r="A2200" t="s">
        <v>3301</v>
      </c>
      <c r="B2200" t="s">
        <v>999</v>
      </c>
      <c r="C2200" t="s">
        <v>1000</v>
      </c>
      <c r="D2200" t="s">
        <v>618</v>
      </c>
      <c r="E2200" t="s">
        <v>626</v>
      </c>
      <c r="F2200" s="2">
        <v>1.0048999999999999</v>
      </c>
      <c r="G2200">
        <v>242</v>
      </c>
      <c r="H2200" s="2">
        <f>Tabla_Items_Inactivos[[#This Row],[EXISTENCIA]]*Tabla_Items_Inactivos[[#This Row],[COSTO]]</f>
        <v>243.18579999999997</v>
      </c>
    </row>
    <row r="2201" spans="1:8">
      <c r="A2201" t="s">
        <v>3299</v>
      </c>
      <c r="B2201" t="s">
        <v>999</v>
      </c>
      <c r="C2201" t="s">
        <v>1000</v>
      </c>
      <c r="D2201" t="s">
        <v>618</v>
      </c>
      <c r="E2201" t="s">
        <v>626</v>
      </c>
      <c r="F2201" s="2">
        <v>1.0048999999999999</v>
      </c>
      <c r="G2201">
        <v>242</v>
      </c>
      <c r="H2201" s="2">
        <f>Tabla_Items_Inactivos[[#This Row],[EXISTENCIA]]*Tabla_Items_Inactivos[[#This Row],[COSTO]]</f>
        <v>243.18579999999997</v>
      </c>
    </row>
    <row r="2202" spans="1:8">
      <c r="A2202" t="s">
        <v>3299</v>
      </c>
      <c r="B2202" t="s">
        <v>1001</v>
      </c>
      <c r="C2202" t="s">
        <v>1002</v>
      </c>
      <c r="D2202" t="s">
        <v>618</v>
      </c>
      <c r="E2202" t="s">
        <v>626</v>
      </c>
      <c r="F2202" s="2">
        <v>11.621</v>
      </c>
      <c r="G2202">
        <v>9</v>
      </c>
      <c r="H2202" s="2">
        <f>Tabla_Items_Inactivos[[#This Row],[EXISTENCIA]]*Tabla_Items_Inactivos[[#This Row],[COSTO]]</f>
        <v>104.589</v>
      </c>
    </row>
    <row r="2203" spans="1:8">
      <c r="A2203" t="s">
        <v>3299</v>
      </c>
      <c r="B2203" t="s">
        <v>1003</v>
      </c>
      <c r="C2203" t="s">
        <v>1004</v>
      </c>
      <c r="D2203" t="s">
        <v>618</v>
      </c>
      <c r="E2203" t="s">
        <v>626</v>
      </c>
      <c r="F2203" s="2">
        <v>0.90300000000000002</v>
      </c>
      <c r="G2203">
        <v>2</v>
      </c>
      <c r="H2203" s="2">
        <f>Tabla_Items_Inactivos[[#This Row],[EXISTENCIA]]*Tabla_Items_Inactivos[[#This Row],[COSTO]]</f>
        <v>1.806</v>
      </c>
    </row>
    <row r="2204" spans="1:8">
      <c r="A2204" t="s">
        <v>3300</v>
      </c>
      <c r="B2204" t="s">
        <v>1005</v>
      </c>
      <c r="C2204" t="s">
        <v>1006</v>
      </c>
      <c r="D2204" t="s">
        <v>31</v>
      </c>
      <c r="E2204" t="s">
        <v>1931</v>
      </c>
      <c r="F2204" s="2">
        <v>0.3</v>
      </c>
      <c r="G2204">
        <v>19</v>
      </c>
      <c r="H2204" s="2">
        <f>Tabla_Items_Inactivos[[#This Row],[EXISTENCIA]]*Tabla_Items_Inactivos[[#This Row],[COSTO]]</f>
        <v>5.7</v>
      </c>
    </row>
    <row r="2205" spans="1:8">
      <c r="A2205" t="s">
        <v>3300</v>
      </c>
      <c r="B2205" t="s">
        <v>1007</v>
      </c>
      <c r="C2205" t="s">
        <v>1008</v>
      </c>
      <c r="D2205" t="s">
        <v>31</v>
      </c>
      <c r="E2205" t="s">
        <v>1931</v>
      </c>
      <c r="F2205" s="2">
        <v>0.75</v>
      </c>
      <c r="G2205">
        <v>1</v>
      </c>
      <c r="H2205" s="2">
        <f>Tabla_Items_Inactivos[[#This Row],[EXISTENCIA]]*Tabla_Items_Inactivos[[#This Row],[COSTO]]</f>
        <v>0.75</v>
      </c>
    </row>
    <row r="2206" spans="1:8">
      <c r="A2206" t="s">
        <v>3300</v>
      </c>
      <c r="B2206" t="s">
        <v>1009</v>
      </c>
      <c r="C2206" t="s">
        <v>1010</v>
      </c>
      <c r="D2206" t="s">
        <v>31</v>
      </c>
      <c r="E2206" t="s">
        <v>1931</v>
      </c>
      <c r="F2206" s="2">
        <v>0.89</v>
      </c>
      <c r="G2206">
        <v>9</v>
      </c>
      <c r="H2206" s="2">
        <f>Tabla_Items_Inactivos[[#This Row],[EXISTENCIA]]*Tabla_Items_Inactivos[[#This Row],[COSTO]]</f>
        <v>8.01</v>
      </c>
    </row>
    <row r="2207" spans="1:8">
      <c r="A2207" t="s">
        <v>3300</v>
      </c>
      <c r="B2207" t="s">
        <v>1011</v>
      </c>
      <c r="C2207" t="s">
        <v>1012</v>
      </c>
      <c r="D2207" t="s">
        <v>31</v>
      </c>
      <c r="E2207" t="s">
        <v>1931</v>
      </c>
      <c r="F2207" s="2">
        <v>0.75</v>
      </c>
      <c r="G2207">
        <v>26</v>
      </c>
      <c r="H2207" s="2">
        <f>Tabla_Items_Inactivos[[#This Row],[EXISTENCIA]]*Tabla_Items_Inactivos[[#This Row],[COSTO]]</f>
        <v>19.5</v>
      </c>
    </row>
    <row r="2208" spans="1:8">
      <c r="A2208" t="s">
        <v>3300</v>
      </c>
      <c r="B2208" t="s">
        <v>1013</v>
      </c>
      <c r="C2208" t="s">
        <v>1014</v>
      </c>
      <c r="D2208" t="s">
        <v>31</v>
      </c>
      <c r="E2208" t="s">
        <v>1931</v>
      </c>
      <c r="F2208" s="2">
        <v>2.5000000000000001E-2</v>
      </c>
      <c r="G2208">
        <v>104</v>
      </c>
      <c r="H2208" s="2">
        <f>Tabla_Items_Inactivos[[#This Row],[EXISTENCIA]]*Tabla_Items_Inactivos[[#This Row],[COSTO]]</f>
        <v>2.6</v>
      </c>
    </row>
    <row r="2209" spans="1:8">
      <c r="A2209" t="s">
        <v>3300</v>
      </c>
      <c r="B2209" t="s">
        <v>1015</v>
      </c>
      <c r="C2209" t="s">
        <v>1016</v>
      </c>
      <c r="D2209" t="s">
        <v>31</v>
      </c>
      <c r="E2209" t="s">
        <v>1931</v>
      </c>
      <c r="F2209" s="2">
        <v>2.7E-2</v>
      </c>
      <c r="G2209">
        <v>6</v>
      </c>
      <c r="H2209" s="2">
        <f>Tabla_Items_Inactivos[[#This Row],[EXISTENCIA]]*Tabla_Items_Inactivos[[#This Row],[COSTO]]</f>
        <v>0.16200000000000001</v>
      </c>
    </row>
    <row r="2210" spans="1:8">
      <c r="A2210" t="s">
        <v>3300</v>
      </c>
      <c r="B2210" t="s">
        <v>5133</v>
      </c>
      <c r="C2210" t="s">
        <v>5134</v>
      </c>
      <c r="D2210" t="s">
        <v>115</v>
      </c>
      <c r="E2210" t="s">
        <v>1931</v>
      </c>
      <c r="F2210" s="2">
        <v>0.373</v>
      </c>
      <c r="G2210">
        <v>4542</v>
      </c>
      <c r="H2210" s="2">
        <f>Tabla_Items_Inactivos[[#This Row],[EXISTENCIA]]*Tabla_Items_Inactivos[[#This Row],[COSTO]]</f>
        <v>1694.1659999999999</v>
      </c>
    </row>
    <row r="2211" spans="1:8">
      <c r="A2211" t="s">
        <v>3301</v>
      </c>
      <c r="B2211" t="s">
        <v>5133</v>
      </c>
      <c r="C2211" t="s">
        <v>5134</v>
      </c>
      <c r="D2211" t="s">
        <v>115</v>
      </c>
      <c r="E2211" t="s">
        <v>1931</v>
      </c>
      <c r="F2211" s="2">
        <v>0.373</v>
      </c>
      <c r="G2211">
        <v>4542</v>
      </c>
      <c r="H2211" s="2">
        <f>Tabla_Items_Inactivos[[#This Row],[EXISTENCIA]]*Tabla_Items_Inactivos[[#This Row],[COSTO]]</f>
        <v>1694.1659999999999</v>
      </c>
    </row>
    <row r="2212" spans="1:8">
      <c r="A2212" t="s">
        <v>3299</v>
      </c>
      <c r="B2212" t="s">
        <v>5133</v>
      </c>
      <c r="C2212" t="s">
        <v>5134</v>
      </c>
      <c r="D2212" t="s">
        <v>115</v>
      </c>
      <c r="E2212" t="s">
        <v>1931</v>
      </c>
      <c r="F2212" s="2">
        <v>0.373</v>
      </c>
      <c r="G2212">
        <v>4542</v>
      </c>
      <c r="H2212" s="2">
        <f>Tabla_Items_Inactivos[[#This Row],[EXISTENCIA]]*Tabla_Items_Inactivos[[#This Row],[COSTO]]</f>
        <v>1694.1659999999999</v>
      </c>
    </row>
    <row r="2213" spans="1:8">
      <c r="A2213" t="s">
        <v>3300</v>
      </c>
      <c r="B2213" t="s">
        <v>1017</v>
      </c>
      <c r="C2213" t="s">
        <v>1018</v>
      </c>
      <c r="D2213" t="s">
        <v>31</v>
      </c>
      <c r="E2213" t="s">
        <v>1931</v>
      </c>
      <c r="F2213" s="2">
        <v>48.34</v>
      </c>
      <c r="G2213">
        <v>2</v>
      </c>
      <c r="H2213" s="2">
        <f>Tabla_Items_Inactivos[[#This Row],[EXISTENCIA]]*Tabla_Items_Inactivos[[#This Row],[COSTO]]</f>
        <v>96.68</v>
      </c>
    </row>
    <row r="2214" spans="1:8">
      <c r="A2214" t="s">
        <v>3300</v>
      </c>
      <c r="B2214" t="s">
        <v>1019</v>
      </c>
      <c r="C2214" t="s">
        <v>1020</v>
      </c>
      <c r="D2214" t="s">
        <v>31</v>
      </c>
      <c r="E2214" t="s">
        <v>1931</v>
      </c>
      <c r="F2214" s="2">
        <v>158.27000000000001</v>
      </c>
      <c r="G2214">
        <v>4</v>
      </c>
      <c r="H2214" s="2">
        <f>Tabla_Items_Inactivos[[#This Row],[EXISTENCIA]]*Tabla_Items_Inactivos[[#This Row],[COSTO]]</f>
        <v>633.08000000000004</v>
      </c>
    </row>
    <row r="2215" spans="1:8">
      <c r="A2215" t="s">
        <v>3300</v>
      </c>
      <c r="B2215" t="s">
        <v>1021</v>
      </c>
      <c r="C2215" t="s">
        <v>1022</v>
      </c>
      <c r="D2215" t="s">
        <v>31</v>
      </c>
      <c r="E2215" t="s">
        <v>1931</v>
      </c>
      <c r="F2215" s="2">
        <v>210</v>
      </c>
      <c r="G2215">
        <v>2</v>
      </c>
      <c r="H2215" s="2">
        <f>Tabla_Items_Inactivos[[#This Row],[EXISTENCIA]]*Tabla_Items_Inactivos[[#This Row],[COSTO]]</f>
        <v>420</v>
      </c>
    </row>
    <row r="2216" spans="1:8">
      <c r="A2216" t="s">
        <v>3300</v>
      </c>
      <c r="B2216" t="s">
        <v>1023</v>
      </c>
      <c r="C2216" t="s">
        <v>1024</v>
      </c>
      <c r="D2216" t="s">
        <v>31</v>
      </c>
      <c r="E2216" t="s">
        <v>1931</v>
      </c>
      <c r="F2216" s="2">
        <v>58.68</v>
      </c>
      <c r="G2216">
        <v>5</v>
      </c>
      <c r="H2216" s="2">
        <f>Tabla_Items_Inactivos[[#This Row],[EXISTENCIA]]*Tabla_Items_Inactivos[[#This Row],[COSTO]]</f>
        <v>293.39999999999998</v>
      </c>
    </row>
    <row r="2217" spans="1:8">
      <c r="A2217" t="s">
        <v>3300</v>
      </c>
      <c r="B2217" t="s">
        <v>1025</v>
      </c>
      <c r="C2217" t="s">
        <v>1026</v>
      </c>
      <c r="D2217" t="s">
        <v>31</v>
      </c>
      <c r="E2217" t="s">
        <v>1931</v>
      </c>
      <c r="F2217" s="2">
        <v>103.76</v>
      </c>
      <c r="G2217">
        <v>3</v>
      </c>
      <c r="H2217" s="2">
        <f>Tabla_Items_Inactivos[[#This Row],[EXISTENCIA]]*Tabla_Items_Inactivos[[#This Row],[COSTO]]</f>
        <v>311.28000000000003</v>
      </c>
    </row>
    <row r="2218" spans="1:8">
      <c r="A2218" t="s">
        <v>3300</v>
      </c>
      <c r="B2218" t="s">
        <v>1027</v>
      </c>
      <c r="C2218" t="s">
        <v>1028</v>
      </c>
      <c r="D2218" t="s">
        <v>31</v>
      </c>
      <c r="E2218" t="s">
        <v>1931</v>
      </c>
      <c r="F2218" s="2">
        <v>107.17740000000001</v>
      </c>
      <c r="G2218">
        <v>2</v>
      </c>
      <c r="H2218" s="2">
        <f>Tabla_Items_Inactivos[[#This Row],[EXISTENCIA]]*Tabla_Items_Inactivos[[#This Row],[COSTO]]</f>
        <v>214.35480000000001</v>
      </c>
    </row>
    <row r="2219" spans="1:8">
      <c r="A2219" t="s">
        <v>3301</v>
      </c>
      <c r="B2219" t="s">
        <v>1027</v>
      </c>
      <c r="C2219" t="s">
        <v>1028</v>
      </c>
      <c r="D2219" t="s">
        <v>31</v>
      </c>
      <c r="E2219" t="s">
        <v>1931</v>
      </c>
      <c r="F2219" s="2">
        <v>107.17740000000001</v>
      </c>
      <c r="G2219">
        <v>2</v>
      </c>
      <c r="H2219" s="2">
        <f>Tabla_Items_Inactivos[[#This Row],[EXISTENCIA]]*Tabla_Items_Inactivos[[#This Row],[COSTO]]</f>
        <v>214.35480000000001</v>
      </c>
    </row>
    <row r="2220" spans="1:8">
      <c r="A2220" t="s">
        <v>3300</v>
      </c>
      <c r="B2220" t="s">
        <v>1029</v>
      </c>
      <c r="C2220" t="s">
        <v>1030</v>
      </c>
      <c r="D2220" t="s">
        <v>2574</v>
      </c>
      <c r="E2220" t="s">
        <v>125</v>
      </c>
      <c r="F2220" s="2">
        <v>398.19349999999997</v>
      </c>
      <c r="G2220">
        <v>7</v>
      </c>
      <c r="H2220" s="2">
        <f>Tabla_Items_Inactivos[[#This Row],[EXISTENCIA]]*Tabla_Items_Inactivos[[#This Row],[COSTO]]</f>
        <v>2787.3544999999999</v>
      </c>
    </row>
    <row r="2221" spans="1:8">
      <c r="A2221" t="s">
        <v>3301</v>
      </c>
      <c r="B2221" t="s">
        <v>1029</v>
      </c>
      <c r="C2221" t="s">
        <v>1030</v>
      </c>
      <c r="D2221" t="s">
        <v>2574</v>
      </c>
      <c r="E2221" t="s">
        <v>125</v>
      </c>
      <c r="F2221" s="2">
        <v>398.19349999999997</v>
      </c>
      <c r="G2221">
        <v>7</v>
      </c>
      <c r="H2221" s="2">
        <f>Tabla_Items_Inactivos[[#This Row],[EXISTENCIA]]*Tabla_Items_Inactivos[[#This Row],[COSTO]]</f>
        <v>2787.3544999999999</v>
      </c>
    </row>
    <row r="2222" spans="1:8">
      <c r="A2222" t="s">
        <v>3300</v>
      </c>
      <c r="B2222" t="s">
        <v>5135</v>
      </c>
      <c r="C2222" t="s">
        <v>5136</v>
      </c>
      <c r="D2222" t="s">
        <v>153</v>
      </c>
      <c r="E2222" t="s">
        <v>125</v>
      </c>
      <c r="F2222" s="2">
        <v>1415.3098</v>
      </c>
      <c r="G2222">
        <v>23</v>
      </c>
      <c r="H2222" s="2">
        <f>Tabla_Items_Inactivos[[#This Row],[EXISTENCIA]]*Tabla_Items_Inactivos[[#This Row],[COSTO]]</f>
        <v>32552.125400000001</v>
      </c>
    </row>
    <row r="2223" spans="1:8">
      <c r="A2223" t="s">
        <v>3301</v>
      </c>
      <c r="B2223" t="s">
        <v>5135</v>
      </c>
      <c r="C2223" t="s">
        <v>5136</v>
      </c>
      <c r="D2223" t="s">
        <v>153</v>
      </c>
      <c r="E2223" t="s">
        <v>125</v>
      </c>
      <c r="F2223" s="2">
        <v>1415.3098</v>
      </c>
      <c r="G2223">
        <v>23</v>
      </c>
      <c r="H2223" s="2">
        <f>Tabla_Items_Inactivos[[#This Row],[EXISTENCIA]]*Tabla_Items_Inactivos[[#This Row],[COSTO]]</f>
        <v>32552.125400000001</v>
      </c>
    </row>
    <row r="2224" spans="1:8">
      <c r="A2224" t="s">
        <v>3300</v>
      </c>
      <c r="B2224" t="s">
        <v>5137</v>
      </c>
      <c r="C2224" t="s">
        <v>5138</v>
      </c>
      <c r="D2224" t="s">
        <v>153</v>
      </c>
      <c r="E2224" t="s">
        <v>125</v>
      </c>
      <c r="F2224" s="2">
        <v>675.10109999999997</v>
      </c>
      <c r="G2224">
        <v>9</v>
      </c>
      <c r="H2224" s="2">
        <f>Tabla_Items_Inactivos[[#This Row],[EXISTENCIA]]*Tabla_Items_Inactivos[[#This Row],[COSTO]]</f>
        <v>6075.9098999999997</v>
      </c>
    </row>
    <row r="2225" spans="1:8">
      <c r="A2225" t="s">
        <v>3301</v>
      </c>
      <c r="B2225" t="s">
        <v>5137</v>
      </c>
      <c r="C2225" t="s">
        <v>5138</v>
      </c>
      <c r="D2225" t="s">
        <v>153</v>
      </c>
      <c r="E2225" t="s">
        <v>125</v>
      </c>
      <c r="F2225" s="2">
        <v>675.10109999999997</v>
      </c>
      <c r="G2225">
        <v>9</v>
      </c>
      <c r="H2225" s="2">
        <f>Tabla_Items_Inactivos[[#This Row],[EXISTENCIA]]*Tabla_Items_Inactivos[[#This Row],[COSTO]]</f>
        <v>6075.9098999999997</v>
      </c>
    </row>
    <row r="2226" spans="1:8">
      <c r="A2226" t="s">
        <v>3300</v>
      </c>
      <c r="B2226" t="s">
        <v>3177</v>
      </c>
      <c r="C2226" t="s">
        <v>3178</v>
      </c>
      <c r="D2226" t="s">
        <v>141</v>
      </c>
      <c r="E2226" t="s">
        <v>125</v>
      </c>
      <c r="F2226" s="2">
        <v>0.73799999999999999</v>
      </c>
      <c r="G2226">
        <v>70</v>
      </c>
      <c r="H2226" s="2">
        <f>Tabla_Items_Inactivos[[#This Row],[EXISTENCIA]]*Tabla_Items_Inactivos[[#This Row],[COSTO]]</f>
        <v>51.66</v>
      </c>
    </row>
    <row r="2227" spans="1:8">
      <c r="A2227" t="s">
        <v>3300</v>
      </c>
      <c r="B2227" t="s">
        <v>1031</v>
      </c>
      <c r="C2227" t="s">
        <v>1032</v>
      </c>
      <c r="D2227" t="s">
        <v>141</v>
      </c>
      <c r="E2227" t="s">
        <v>125</v>
      </c>
      <c r="F2227" s="2">
        <v>1.5880000000000001</v>
      </c>
      <c r="G2227">
        <v>6</v>
      </c>
      <c r="H2227" s="2">
        <f>Tabla_Items_Inactivos[[#This Row],[EXISTENCIA]]*Tabla_Items_Inactivos[[#This Row],[COSTO]]</f>
        <v>9.5280000000000005</v>
      </c>
    </row>
    <row r="2228" spans="1:8">
      <c r="A2228" t="s">
        <v>3300</v>
      </c>
      <c r="B2228" t="s">
        <v>1033</v>
      </c>
      <c r="C2228" t="s">
        <v>1034</v>
      </c>
      <c r="D2228" t="s">
        <v>128</v>
      </c>
      <c r="E2228" t="s">
        <v>125</v>
      </c>
      <c r="F2228" s="2">
        <v>3.6589999999999998</v>
      </c>
      <c r="G2228">
        <v>9</v>
      </c>
      <c r="H2228" s="2">
        <f>Tabla_Items_Inactivos[[#This Row],[EXISTENCIA]]*Tabla_Items_Inactivos[[#This Row],[COSTO]]</f>
        <v>32.930999999999997</v>
      </c>
    </row>
    <row r="2229" spans="1:8">
      <c r="A2229" t="s">
        <v>3300</v>
      </c>
      <c r="B2229" t="s">
        <v>1035</v>
      </c>
      <c r="C2229" t="s">
        <v>1036</v>
      </c>
      <c r="D2229" t="s">
        <v>128</v>
      </c>
      <c r="E2229" t="s">
        <v>125</v>
      </c>
      <c r="F2229" s="2">
        <v>4.41</v>
      </c>
      <c r="G2229">
        <v>3</v>
      </c>
      <c r="H2229" s="2">
        <f>Tabla_Items_Inactivos[[#This Row],[EXISTENCIA]]*Tabla_Items_Inactivos[[#This Row],[COSTO]]</f>
        <v>13.23</v>
      </c>
    </row>
    <row r="2230" spans="1:8">
      <c r="A2230" t="s">
        <v>3300</v>
      </c>
      <c r="B2230" t="s">
        <v>5139</v>
      </c>
      <c r="C2230" t="s">
        <v>5140</v>
      </c>
      <c r="D2230" t="s">
        <v>128</v>
      </c>
      <c r="E2230" t="s">
        <v>125</v>
      </c>
      <c r="F2230" s="2">
        <v>4.57</v>
      </c>
      <c r="G2230">
        <v>3</v>
      </c>
      <c r="H2230" s="2">
        <f>Tabla_Items_Inactivos[[#This Row],[EXISTENCIA]]*Tabla_Items_Inactivos[[#This Row],[COSTO]]</f>
        <v>13.71</v>
      </c>
    </row>
    <row r="2231" spans="1:8">
      <c r="A2231" t="s">
        <v>3300</v>
      </c>
      <c r="B2231" t="s">
        <v>1037</v>
      </c>
      <c r="C2231" t="s">
        <v>5141</v>
      </c>
      <c r="D2231" t="s">
        <v>1119</v>
      </c>
      <c r="E2231" t="s">
        <v>125</v>
      </c>
      <c r="F2231" s="2">
        <v>4.6890000000000001</v>
      </c>
      <c r="G2231">
        <v>10</v>
      </c>
      <c r="H2231" s="2">
        <f>Tabla_Items_Inactivos[[#This Row],[EXISTENCIA]]*Tabla_Items_Inactivos[[#This Row],[COSTO]]</f>
        <v>46.89</v>
      </c>
    </row>
    <row r="2232" spans="1:8">
      <c r="A2232" t="s">
        <v>3300</v>
      </c>
      <c r="B2232" t="s">
        <v>3180</v>
      </c>
      <c r="C2232" t="s">
        <v>3181</v>
      </c>
      <c r="D2232" t="s">
        <v>128</v>
      </c>
      <c r="E2232" t="s">
        <v>125</v>
      </c>
      <c r="F2232" s="2">
        <v>5.556</v>
      </c>
      <c r="G2232">
        <v>4</v>
      </c>
      <c r="H2232" s="2">
        <f>Tabla_Items_Inactivos[[#This Row],[EXISTENCIA]]*Tabla_Items_Inactivos[[#This Row],[COSTO]]</f>
        <v>22.224</v>
      </c>
    </row>
    <row r="2233" spans="1:8">
      <c r="A2233" t="s">
        <v>3300</v>
      </c>
      <c r="B2233" t="s">
        <v>1038</v>
      </c>
      <c r="C2233" t="s">
        <v>1039</v>
      </c>
      <c r="D2233" t="s">
        <v>141</v>
      </c>
      <c r="E2233" t="s">
        <v>125</v>
      </c>
      <c r="F2233" s="2">
        <v>6.625</v>
      </c>
      <c r="G2233">
        <v>2</v>
      </c>
      <c r="H2233" s="2">
        <f>Tabla_Items_Inactivos[[#This Row],[EXISTENCIA]]*Tabla_Items_Inactivos[[#This Row],[COSTO]]</f>
        <v>13.25</v>
      </c>
    </row>
    <row r="2234" spans="1:8">
      <c r="A2234" t="s">
        <v>3300</v>
      </c>
      <c r="B2234" t="s">
        <v>3182</v>
      </c>
      <c r="C2234" t="s">
        <v>3183</v>
      </c>
      <c r="D2234" t="s">
        <v>128</v>
      </c>
      <c r="E2234" t="s">
        <v>125</v>
      </c>
      <c r="F2234" s="2">
        <v>15.803800000000001</v>
      </c>
      <c r="G2234">
        <v>9</v>
      </c>
      <c r="H2234" s="2">
        <f>Tabla_Items_Inactivos[[#This Row],[EXISTENCIA]]*Tabla_Items_Inactivos[[#This Row],[COSTO]]</f>
        <v>142.23420000000002</v>
      </c>
    </row>
    <row r="2235" spans="1:8">
      <c r="A2235" t="s">
        <v>3301</v>
      </c>
      <c r="B2235" t="s">
        <v>3184</v>
      </c>
      <c r="C2235" t="s">
        <v>3185</v>
      </c>
      <c r="D2235" t="s">
        <v>128</v>
      </c>
      <c r="E2235" t="s">
        <v>125</v>
      </c>
      <c r="F2235" s="2">
        <v>18.8079</v>
      </c>
      <c r="G2235">
        <v>13</v>
      </c>
      <c r="H2235" s="2">
        <f>Tabla_Items_Inactivos[[#This Row],[EXISTENCIA]]*Tabla_Items_Inactivos[[#This Row],[COSTO]]</f>
        <v>244.5027</v>
      </c>
    </row>
    <row r="2236" spans="1:8">
      <c r="A2236" t="s">
        <v>3300</v>
      </c>
      <c r="B2236" t="s">
        <v>3184</v>
      </c>
      <c r="C2236" t="s">
        <v>3185</v>
      </c>
      <c r="D2236" t="s">
        <v>128</v>
      </c>
      <c r="E2236" t="s">
        <v>125</v>
      </c>
      <c r="F2236" s="2">
        <v>18.8079</v>
      </c>
      <c r="G2236">
        <v>13</v>
      </c>
      <c r="H2236" s="2">
        <f>Tabla_Items_Inactivos[[#This Row],[EXISTENCIA]]*Tabla_Items_Inactivos[[#This Row],[COSTO]]</f>
        <v>244.5027</v>
      </c>
    </row>
    <row r="2237" spans="1:8">
      <c r="A2237" t="s">
        <v>3300</v>
      </c>
      <c r="B2237" t="s">
        <v>3186</v>
      </c>
      <c r="C2237" t="s">
        <v>3187</v>
      </c>
      <c r="D2237" t="s">
        <v>128</v>
      </c>
      <c r="E2237" t="s">
        <v>125</v>
      </c>
      <c r="F2237" s="2">
        <v>19.172999999999998</v>
      </c>
      <c r="G2237">
        <v>3</v>
      </c>
      <c r="H2237" s="2">
        <f>Tabla_Items_Inactivos[[#This Row],[EXISTENCIA]]*Tabla_Items_Inactivos[[#This Row],[COSTO]]</f>
        <v>57.518999999999991</v>
      </c>
    </row>
    <row r="2238" spans="1:8">
      <c r="A2238" t="s">
        <v>3300</v>
      </c>
      <c r="B2238" t="s">
        <v>5142</v>
      </c>
      <c r="C2238" t="s">
        <v>5143</v>
      </c>
      <c r="D2238" t="s">
        <v>208</v>
      </c>
      <c r="E2238" t="s">
        <v>125</v>
      </c>
      <c r="F2238" s="2">
        <v>8.25</v>
      </c>
      <c r="G2238">
        <v>2</v>
      </c>
      <c r="H2238" s="2">
        <f>Tabla_Items_Inactivos[[#This Row],[EXISTENCIA]]*Tabla_Items_Inactivos[[#This Row],[COSTO]]</f>
        <v>16.5</v>
      </c>
    </row>
    <row r="2239" spans="1:8">
      <c r="A2239" t="s">
        <v>3300</v>
      </c>
      <c r="B2239" t="s">
        <v>1040</v>
      </c>
      <c r="C2239" t="s">
        <v>1041</v>
      </c>
      <c r="D2239" t="s">
        <v>128</v>
      </c>
      <c r="E2239" t="s">
        <v>125</v>
      </c>
      <c r="F2239" s="2">
        <v>18.062999999999999</v>
      </c>
      <c r="G2239">
        <v>6</v>
      </c>
      <c r="H2239" s="2">
        <f>Tabla_Items_Inactivos[[#This Row],[EXISTENCIA]]*Tabla_Items_Inactivos[[#This Row],[COSTO]]</f>
        <v>108.37799999999999</v>
      </c>
    </row>
    <row r="2240" spans="1:8">
      <c r="A2240" t="s">
        <v>3300</v>
      </c>
      <c r="B2240" t="s">
        <v>5144</v>
      </c>
      <c r="C2240" t="s">
        <v>5145</v>
      </c>
      <c r="D2240" t="s">
        <v>128</v>
      </c>
      <c r="E2240" t="s">
        <v>125</v>
      </c>
      <c r="F2240" s="2">
        <v>26.295000000000002</v>
      </c>
      <c r="G2240">
        <v>2</v>
      </c>
      <c r="H2240" s="2">
        <f>Tabla_Items_Inactivos[[#This Row],[EXISTENCIA]]*Tabla_Items_Inactivos[[#This Row],[COSTO]]</f>
        <v>52.59</v>
      </c>
    </row>
    <row r="2241" spans="1:8">
      <c r="A2241" t="s">
        <v>3300</v>
      </c>
      <c r="B2241" t="s">
        <v>5146</v>
      </c>
      <c r="C2241" t="s">
        <v>5147</v>
      </c>
      <c r="D2241" t="s">
        <v>128</v>
      </c>
      <c r="E2241" t="s">
        <v>125</v>
      </c>
      <c r="F2241" s="2">
        <v>42.392000000000003</v>
      </c>
      <c r="G2241">
        <v>5</v>
      </c>
      <c r="H2241" s="2">
        <f>Tabla_Items_Inactivos[[#This Row],[EXISTENCIA]]*Tabla_Items_Inactivos[[#This Row],[COSTO]]</f>
        <v>211.96</v>
      </c>
    </row>
    <row r="2242" spans="1:8">
      <c r="A2242" t="s">
        <v>3300</v>
      </c>
      <c r="B2242" t="s">
        <v>3188</v>
      </c>
      <c r="C2242" t="s">
        <v>3189</v>
      </c>
      <c r="D2242" t="s">
        <v>128</v>
      </c>
      <c r="E2242" t="s">
        <v>125</v>
      </c>
      <c r="F2242" s="2">
        <v>46.344999999999999</v>
      </c>
      <c r="G2242">
        <v>3</v>
      </c>
      <c r="H2242" s="2">
        <f>Tabla_Items_Inactivos[[#This Row],[EXISTENCIA]]*Tabla_Items_Inactivos[[#This Row],[COSTO]]</f>
        <v>139.035</v>
      </c>
    </row>
    <row r="2243" spans="1:8">
      <c r="A2243" t="s">
        <v>3300</v>
      </c>
      <c r="B2243" t="s">
        <v>1042</v>
      </c>
      <c r="C2243" t="s">
        <v>1043</v>
      </c>
      <c r="D2243" t="s">
        <v>131</v>
      </c>
      <c r="E2243" t="s">
        <v>125</v>
      </c>
      <c r="F2243" s="2">
        <v>73.19</v>
      </c>
      <c r="G2243">
        <v>1</v>
      </c>
      <c r="H2243" s="2">
        <f>Tabla_Items_Inactivos[[#This Row],[EXISTENCIA]]*Tabla_Items_Inactivos[[#This Row],[COSTO]]</f>
        <v>73.19</v>
      </c>
    </row>
    <row r="2244" spans="1:8">
      <c r="A2244" t="s">
        <v>3300</v>
      </c>
      <c r="B2244" t="s">
        <v>5148</v>
      </c>
      <c r="C2244" t="s">
        <v>5149</v>
      </c>
      <c r="D2244" t="s">
        <v>128</v>
      </c>
      <c r="E2244" t="s">
        <v>125</v>
      </c>
      <c r="F2244" s="2">
        <v>66.37</v>
      </c>
      <c r="G2244">
        <v>5</v>
      </c>
      <c r="H2244" s="2">
        <f>Tabla_Items_Inactivos[[#This Row],[EXISTENCIA]]*Tabla_Items_Inactivos[[#This Row],[COSTO]]</f>
        <v>331.85</v>
      </c>
    </row>
    <row r="2245" spans="1:8">
      <c r="A2245" t="s">
        <v>3300</v>
      </c>
      <c r="B2245" t="s">
        <v>5150</v>
      </c>
      <c r="C2245" t="s">
        <v>5151</v>
      </c>
      <c r="D2245" t="s">
        <v>128</v>
      </c>
      <c r="E2245" t="s">
        <v>125</v>
      </c>
      <c r="F2245" s="2">
        <v>75.878600000000006</v>
      </c>
      <c r="G2245">
        <v>7</v>
      </c>
      <c r="H2245" s="2">
        <f>Tabla_Items_Inactivos[[#This Row],[EXISTENCIA]]*Tabla_Items_Inactivos[[#This Row],[COSTO]]</f>
        <v>531.15020000000004</v>
      </c>
    </row>
    <row r="2246" spans="1:8">
      <c r="A2246" t="s">
        <v>3300</v>
      </c>
      <c r="B2246" t="s">
        <v>1045</v>
      </c>
      <c r="C2246" t="s">
        <v>1046</v>
      </c>
      <c r="D2246" t="s">
        <v>131</v>
      </c>
      <c r="E2246" t="s">
        <v>125</v>
      </c>
      <c r="F2246" s="2">
        <v>81.481999999999999</v>
      </c>
      <c r="G2246">
        <v>2</v>
      </c>
      <c r="H2246" s="2">
        <f>Tabla_Items_Inactivos[[#This Row],[EXISTENCIA]]*Tabla_Items_Inactivos[[#This Row],[COSTO]]</f>
        <v>162.964</v>
      </c>
    </row>
    <row r="2247" spans="1:8">
      <c r="A2247" t="s">
        <v>3300</v>
      </c>
      <c r="B2247" t="s">
        <v>1047</v>
      </c>
      <c r="C2247" t="s">
        <v>1048</v>
      </c>
      <c r="D2247" t="s">
        <v>128</v>
      </c>
      <c r="E2247" t="s">
        <v>125</v>
      </c>
      <c r="F2247" s="2">
        <v>70.521000000000001</v>
      </c>
      <c r="G2247">
        <v>5</v>
      </c>
      <c r="H2247" s="2">
        <f>Tabla_Items_Inactivos[[#This Row],[EXISTENCIA]]*Tabla_Items_Inactivos[[#This Row],[COSTO]]</f>
        <v>352.60500000000002</v>
      </c>
    </row>
    <row r="2248" spans="1:8">
      <c r="A2248" t="s">
        <v>3300</v>
      </c>
      <c r="B2248" t="s">
        <v>5152</v>
      </c>
      <c r="C2248" t="s">
        <v>5153</v>
      </c>
      <c r="D2248" t="s">
        <v>128</v>
      </c>
      <c r="E2248" t="s">
        <v>125</v>
      </c>
      <c r="F2248" s="2">
        <v>94.597999999999999</v>
      </c>
      <c r="G2248">
        <v>4</v>
      </c>
      <c r="H2248" s="2">
        <f>Tabla_Items_Inactivos[[#This Row],[EXISTENCIA]]*Tabla_Items_Inactivos[[#This Row],[COSTO]]</f>
        <v>378.392</v>
      </c>
    </row>
    <row r="2249" spans="1:8">
      <c r="A2249" t="s">
        <v>3300</v>
      </c>
      <c r="B2249" t="s">
        <v>1049</v>
      </c>
      <c r="C2249" t="s">
        <v>1050</v>
      </c>
      <c r="D2249" t="s">
        <v>1874</v>
      </c>
      <c r="E2249" t="s">
        <v>125</v>
      </c>
      <c r="F2249" s="2">
        <v>554.66999999999996</v>
      </c>
      <c r="G2249">
        <v>1</v>
      </c>
      <c r="H2249" s="2">
        <f>Tabla_Items_Inactivos[[#This Row],[EXISTENCIA]]*Tabla_Items_Inactivos[[#This Row],[COSTO]]</f>
        <v>554.66999999999996</v>
      </c>
    </row>
    <row r="2250" spans="1:8">
      <c r="A2250" t="s">
        <v>3301</v>
      </c>
      <c r="B2250" t="s">
        <v>3190</v>
      </c>
      <c r="C2250" t="s">
        <v>3191</v>
      </c>
      <c r="D2250" t="s">
        <v>153</v>
      </c>
      <c r="E2250" t="s">
        <v>125</v>
      </c>
      <c r="F2250" s="2">
        <v>760.41610000000003</v>
      </c>
      <c r="G2250">
        <v>15</v>
      </c>
      <c r="H2250" s="2">
        <f>Tabla_Items_Inactivos[[#This Row],[EXISTENCIA]]*Tabla_Items_Inactivos[[#This Row],[COSTO]]</f>
        <v>11406.2415</v>
      </c>
    </row>
    <row r="2251" spans="1:8">
      <c r="A2251" t="s">
        <v>3300</v>
      </c>
      <c r="B2251" t="s">
        <v>3190</v>
      </c>
      <c r="C2251" t="s">
        <v>3191</v>
      </c>
      <c r="D2251" t="s">
        <v>153</v>
      </c>
      <c r="E2251" t="s">
        <v>125</v>
      </c>
      <c r="F2251" s="2">
        <v>760.41610000000003</v>
      </c>
      <c r="G2251">
        <v>15</v>
      </c>
      <c r="H2251" s="2">
        <f>Tabla_Items_Inactivos[[#This Row],[EXISTENCIA]]*Tabla_Items_Inactivos[[#This Row],[COSTO]]</f>
        <v>11406.2415</v>
      </c>
    </row>
    <row r="2252" spans="1:8">
      <c r="A2252" t="s">
        <v>3300</v>
      </c>
      <c r="B2252" t="s">
        <v>1051</v>
      </c>
      <c r="C2252" t="s">
        <v>1052</v>
      </c>
      <c r="D2252" t="s">
        <v>128</v>
      </c>
      <c r="E2252" t="s">
        <v>125</v>
      </c>
      <c r="F2252" s="2">
        <v>0.01</v>
      </c>
      <c r="G2252">
        <v>1</v>
      </c>
      <c r="H2252" s="2">
        <f>Tabla_Items_Inactivos[[#This Row],[EXISTENCIA]]*Tabla_Items_Inactivos[[#This Row],[COSTO]]</f>
        <v>0.01</v>
      </c>
    </row>
    <row r="2253" spans="1:8">
      <c r="A2253" t="s">
        <v>3300</v>
      </c>
      <c r="B2253" t="s">
        <v>1053</v>
      </c>
      <c r="C2253" t="s">
        <v>1054</v>
      </c>
      <c r="D2253" t="s">
        <v>5154</v>
      </c>
      <c r="E2253" t="s">
        <v>125</v>
      </c>
      <c r="F2253" s="2">
        <v>40.42</v>
      </c>
      <c r="G2253">
        <v>2</v>
      </c>
      <c r="H2253" s="2">
        <f>Tabla_Items_Inactivos[[#This Row],[EXISTENCIA]]*Tabla_Items_Inactivos[[#This Row],[COSTO]]</f>
        <v>80.84</v>
      </c>
    </row>
    <row r="2254" spans="1:8">
      <c r="A2254" t="s">
        <v>3300</v>
      </c>
      <c r="B2254" t="s">
        <v>3192</v>
      </c>
      <c r="C2254" t="s">
        <v>3193</v>
      </c>
      <c r="D2254" t="s">
        <v>203</v>
      </c>
      <c r="E2254" t="s">
        <v>125</v>
      </c>
      <c r="F2254" s="2">
        <v>638.21699999999998</v>
      </c>
      <c r="G2254">
        <v>2</v>
      </c>
      <c r="H2254" s="2">
        <f>Tabla_Items_Inactivos[[#This Row],[EXISTENCIA]]*Tabla_Items_Inactivos[[#This Row],[COSTO]]</f>
        <v>1276.434</v>
      </c>
    </row>
    <row r="2255" spans="1:8">
      <c r="A2255" t="s">
        <v>3301</v>
      </c>
      <c r="B2255" t="s">
        <v>3192</v>
      </c>
      <c r="C2255" t="s">
        <v>3193</v>
      </c>
      <c r="D2255" t="s">
        <v>203</v>
      </c>
      <c r="E2255" t="s">
        <v>125</v>
      </c>
      <c r="F2255" s="2">
        <v>638.21699999999998</v>
      </c>
      <c r="G2255">
        <v>2</v>
      </c>
      <c r="H2255" s="2">
        <f>Tabla_Items_Inactivos[[#This Row],[EXISTENCIA]]*Tabla_Items_Inactivos[[#This Row],[COSTO]]</f>
        <v>1276.434</v>
      </c>
    </row>
    <row r="2256" spans="1:8">
      <c r="A2256" t="s">
        <v>3300</v>
      </c>
      <c r="B2256" t="s">
        <v>3194</v>
      </c>
      <c r="C2256" t="s">
        <v>3195</v>
      </c>
      <c r="D2256" t="s">
        <v>203</v>
      </c>
      <c r="E2256" t="s">
        <v>125</v>
      </c>
      <c r="F2256" s="2">
        <v>526.55809999999997</v>
      </c>
      <c r="G2256">
        <v>17</v>
      </c>
      <c r="H2256" s="2">
        <f>Tabla_Items_Inactivos[[#This Row],[EXISTENCIA]]*Tabla_Items_Inactivos[[#This Row],[COSTO]]</f>
        <v>8951.4876999999997</v>
      </c>
    </row>
    <row r="2257" spans="1:8">
      <c r="A2257" t="s">
        <v>3301</v>
      </c>
      <c r="B2257" t="s">
        <v>3194</v>
      </c>
      <c r="C2257" t="s">
        <v>3195</v>
      </c>
      <c r="D2257" t="s">
        <v>203</v>
      </c>
      <c r="E2257" t="s">
        <v>125</v>
      </c>
      <c r="F2257" s="2">
        <v>526.55809999999997</v>
      </c>
      <c r="G2257">
        <v>17</v>
      </c>
      <c r="H2257" s="2">
        <f>Tabla_Items_Inactivos[[#This Row],[EXISTENCIA]]*Tabla_Items_Inactivos[[#This Row],[COSTO]]</f>
        <v>8951.4876999999997</v>
      </c>
    </row>
    <row r="2258" spans="1:8">
      <c r="A2258" t="s">
        <v>3299</v>
      </c>
      <c r="B2258" t="s">
        <v>3194</v>
      </c>
      <c r="C2258" t="s">
        <v>3195</v>
      </c>
      <c r="D2258" t="s">
        <v>203</v>
      </c>
      <c r="E2258" t="s">
        <v>125</v>
      </c>
      <c r="F2258" s="2">
        <v>526.55809999999997</v>
      </c>
      <c r="G2258">
        <v>17</v>
      </c>
      <c r="H2258" s="2">
        <f>Tabla_Items_Inactivos[[#This Row],[EXISTENCIA]]*Tabla_Items_Inactivos[[#This Row],[COSTO]]</f>
        <v>8951.4876999999997</v>
      </c>
    </row>
    <row r="2259" spans="1:8">
      <c r="A2259" t="s">
        <v>3300</v>
      </c>
      <c r="B2259" t="s">
        <v>5155</v>
      </c>
      <c r="C2259" t="s">
        <v>5156</v>
      </c>
      <c r="D2259" t="s">
        <v>141</v>
      </c>
      <c r="E2259" t="s">
        <v>125</v>
      </c>
      <c r="F2259" s="2">
        <v>6.5670000000000002</v>
      </c>
      <c r="G2259">
        <v>2</v>
      </c>
      <c r="H2259" s="2">
        <f>Tabla_Items_Inactivos[[#This Row],[EXISTENCIA]]*Tabla_Items_Inactivos[[#This Row],[COSTO]]</f>
        <v>13.134</v>
      </c>
    </row>
    <row r="2260" spans="1:8">
      <c r="A2260" t="s">
        <v>3300</v>
      </c>
      <c r="B2260" t="s">
        <v>1055</v>
      </c>
      <c r="C2260" t="s">
        <v>1056</v>
      </c>
      <c r="D2260" t="s">
        <v>979</v>
      </c>
      <c r="E2260" t="s">
        <v>125</v>
      </c>
      <c r="F2260" s="2">
        <v>1282.4639999999999</v>
      </c>
      <c r="G2260">
        <v>1</v>
      </c>
      <c r="H2260" s="2">
        <f>Tabla_Items_Inactivos[[#This Row],[EXISTENCIA]]*Tabla_Items_Inactivos[[#This Row],[COSTO]]</f>
        <v>1282.4639999999999</v>
      </c>
    </row>
    <row r="2261" spans="1:8">
      <c r="A2261" t="s">
        <v>3300</v>
      </c>
      <c r="B2261" t="s">
        <v>3196</v>
      </c>
      <c r="C2261" t="s">
        <v>3197</v>
      </c>
      <c r="D2261" t="s">
        <v>141</v>
      </c>
      <c r="E2261" t="s">
        <v>125</v>
      </c>
      <c r="F2261" s="2">
        <v>23.935500000000001</v>
      </c>
      <c r="G2261">
        <v>7</v>
      </c>
      <c r="H2261" s="2">
        <f>Tabla_Items_Inactivos[[#This Row],[EXISTENCIA]]*Tabla_Items_Inactivos[[#This Row],[COSTO]]</f>
        <v>167.54850000000002</v>
      </c>
    </row>
    <row r="2262" spans="1:8">
      <c r="A2262" t="s">
        <v>3301</v>
      </c>
      <c r="B2262" t="s">
        <v>3196</v>
      </c>
      <c r="C2262" t="s">
        <v>3197</v>
      </c>
      <c r="D2262" t="s">
        <v>141</v>
      </c>
      <c r="E2262" t="s">
        <v>125</v>
      </c>
      <c r="F2262" s="2">
        <v>23.935500000000001</v>
      </c>
      <c r="G2262">
        <v>7</v>
      </c>
      <c r="H2262" s="2">
        <f>Tabla_Items_Inactivos[[#This Row],[EXISTENCIA]]*Tabla_Items_Inactivos[[#This Row],[COSTO]]</f>
        <v>167.54850000000002</v>
      </c>
    </row>
    <row r="2263" spans="1:8">
      <c r="A2263" t="s">
        <v>3300</v>
      </c>
      <c r="B2263" t="s">
        <v>1057</v>
      </c>
      <c r="C2263" t="s">
        <v>1058</v>
      </c>
      <c r="D2263" t="s">
        <v>128</v>
      </c>
      <c r="E2263" t="s">
        <v>125</v>
      </c>
      <c r="F2263" s="2">
        <v>34.737000000000002</v>
      </c>
      <c r="G2263">
        <v>3</v>
      </c>
      <c r="H2263" s="2">
        <f>Tabla_Items_Inactivos[[#This Row],[EXISTENCIA]]*Tabla_Items_Inactivos[[#This Row],[COSTO]]</f>
        <v>104.21100000000001</v>
      </c>
    </row>
    <row r="2264" spans="1:8">
      <c r="A2264" t="s">
        <v>3300</v>
      </c>
      <c r="B2264" t="s">
        <v>1059</v>
      </c>
      <c r="C2264" t="s">
        <v>1060</v>
      </c>
      <c r="D2264" t="s">
        <v>128</v>
      </c>
      <c r="E2264" t="s">
        <v>125</v>
      </c>
      <c r="F2264" s="2">
        <v>61.042999999999999</v>
      </c>
      <c r="G2264">
        <v>2</v>
      </c>
      <c r="H2264" s="2">
        <f>Tabla_Items_Inactivos[[#This Row],[EXISTENCIA]]*Tabla_Items_Inactivos[[#This Row],[COSTO]]</f>
        <v>122.086</v>
      </c>
    </row>
    <row r="2265" spans="1:8">
      <c r="A2265" t="s">
        <v>3300</v>
      </c>
      <c r="B2265" t="s">
        <v>1061</v>
      </c>
      <c r="C2265" t="s">
        <v>1062</v>
      </c>
      <c r="D2265" t="s">
        <v>128</v>
      </c>
      <c r="E2265" t="s">
        <v>125</v>
      </c>
      <c r="F2265" s="2">
        <v>38.515999999999998</v>
      </c>
      <c r="G2265">
        <v>4</v>
      </c>
      <c r="H2265" s="2">
        <f>Tabla_Items_Inactivos[[#This Row],[EXISTENCIA]]*Tabla_Items_Inactivos[[#This Row],[COSTO]]</f>
        <v>154.06399999999999</v>
      </c>
    </row>
    <row r="2266" spans="1:8">
      <c r="A2266" t="s">
        <v>3300</v>
      </c>
      <c r="B2266" t="s">
        <v>5157</v>
      </c>
      <c r="C2266" t="s">
        <v>5158</v>
      </c>
      <c r="D2266" t="s">
        <v>141</v>
      </c>
      <c r="E2266" t="s">
        <v>125</v>
      </c>
      <c r="F2266" s="2">
        <v>75.461699999999993</v>
      </c>
      <c r="G2266">
        <v>2</v>
      </c>
      <c r="H2266" s="2">
        <f>Tabla_Items_Inactivos[[#This Row],[EXISTENCIA]]*Tabla_Items_Inactivos[[#This Row],[COSTO]]</f>
        <v>150.92339999999999</v>
      </c>
    </row>
    <row r="2267" spans="1:8">
      <c r="A2267" t="s">
        <v>3301</v>
      </c>
      <c r="B2267" t="s">
        <v>5157</v>
      </c>
      <c r="C2267" t="s">
        <v>5158</v>
      </c>
      <c r="D2267" t="s">
        <v>141</v>
      </c>
      <c r="E2267" t="s">
        <v>125</v>
      </c>
      <c r="F2267" s="2">
        <v>75.461699999999993</v>
      </c>
      <c r="G2267">
        <v>2</v>
      </c>
      <c r="H2267" s="2">
        <f>Tabla_Items_Inactivos[[#This Row],[EXISTENCIA]]*Tabla_Items_Inactivos[[#This Row],[COSTO]]</f>
        <v>150.92339999999999</v>
      </c>
    </row>
    <row r="2268" spans="1:8">
      <c r="A2268" t="s">
        <v>3300</v>
      </c>
      <c r="B2268" t="s">
        <v>5159</v>
      </c>
      <c r="C2268" t="s">
        <v>5160</v>
      </c>
      <c r="D2268" t="s">
        <v>141</v>
      </c>
      <c r="E2268" t="s">
        <v>125</v>
      </c>
      <c r="F2268" s="2">
        <v>63.317999999999998</v>
      </c>
      <c r="G2268">
        <v>4</v>
      </c>
      <c r="H2268" s="2">
        <f>Tabla_Items_Inactivos[[#This Row],[EXISTENCIA]]*Tabla_Items_Inactivos[[#This Row],[COSTO]]</f>
        <v>253.27199999999999</v>
      </c>
    </row>
    <row r="2269" spans="1:8">
      <c r="A2269" t="s">
        <v>3300</v>
      </c>
      <c r="B2269" t="s">
        <v>1063</v>
      </c>
      <c r="C2269" t="s">
        <v>1064</v>
      </c>
      <c r="D2269" t="s">
        <v>128</v>
      </c>
      <c r="E2269" t="s">
        <v>125</v>
      </c>
      <c r="F2269" s="2">
        <v>386.4</v>
      </c>
      <c r="G2269">
        <v>1</v>
      </c>
      <c r="H2269" s="2">
        <f>Tabla_Items_Inactivos[[#This Row],[EXISTENCIA]]*Tabla_Items_Inactivos[[#This Row],[COSTO]]</f>
        <v>386.4</v>
      </c>
    </row>
    <row r="2270" spans="1:8">
      <c r="A2270" t="s">
        <v>3300</v>
      </c>
      <c r="B2270" t="s">
        <v>1065</v>
      </c>
      <c r="C2270" t="s">
        <v>1066</v>
      </c>
      <c r="D2270" t="s">
        <v>141</v>
      </c>
      <c r="E2270" t="s">
        <v>125</v>
      </c>
      <c r="F2270" s="2">
        <v>26.7666</v>
      </c>
      <c r="G2270">
        <v>3</v>
      </c>
      <c r="H2270" s="2">
        <f>Tabla_Items_Inactivos[[#This Row],[EXISTENCIA]]*Tabla_Items_Inactivos[[#This Row],[COSTO]]</f>
        <v>80.299800000000005</v>
      </c>
    </row>
    <row r="2271" spans="1:8">
      <c r="A2271" t="s">
        <v>3301</v>
      </c>
      <c r="B2271" t="s">
        <v>1065</v>
      </c>
      <c r="C2271" t="s">
        <v>1066</v>
      </c>
      <c r="D2271" t="s">
        <v>141</v>
      </c>
      <c r="E2271" t="s">
        <v>125</v>
      </c>
      <c r="F2271" s="2">
        <v>26.7666</v>
      </c>
      <c r="G2271">
        <v>3</v>
      </c>
      <c r="H2271" s="2">
        <f>Tabla_Items_Inactivos[[#This Row],[EXISTENCIA]]*Tabla_Items_Inactivos[[#This Row],[COSTO]]</f>
        <v>80.299800000000005</v>
      </c>
    </row>
    <row r="2272" spans="1:8">
      <c r="A2272" t="s">
        <v>3301</v>
      </c>
      <c r="B2272" t="s">
        <v>3198</v>
      </c>
      <c r="C2272" t="s">
        <v>3199</v>
      </c>
      <c r="D2272" t="s">
        <v>153</v>
      </c>
      <c r="E2272" t="s">
        <v>125</v>
      </c>
      <c r="F2272" s="2">
        <v>328.3947</v>
      </c>
      <c r="G2272">
        <v>6</v>
      </c>
      <c r="H2272" s="2">
        <f>Tabla_Items_Inactivos[[#This Row],[EXISTENCIA]]*Tabla_Items_Inactivos[[#This Row],[COSTO]]</f>
        <v>1970.3681999999999</v>
      </c>
    </row>
    <row r="2273" spans="1:8">
      <c r="A2273" t="s">
        <v>3300</v>
      </c>
      <c r="B2273" t="s">
        <v>3198</v>
      </c>
      <c r="C2273" t="s">
        <v>3199</v>
      </c>
      <c r="D2273" t="s">
        <v>153</v>
      </c>
      <c r="E2273" t="s">
        <v>125</v>
      </c>
      <c r="F2273" s="2">
        <v>328.3947</v>
      </c>
      <c r="G2273">
        <v>6</v>
      </c>
      <c r="H2273" s="2">
        <f>Tabla_Items_Inactivos[[#This Row],[EXISTENCIA]]*Tabla_Items_Inactivos[[#This Row],[COSTO]]</f>
        <v>1970.3681999999999</v>
      </c>
    </row>
    <row r="2274" spans="1:8">
      <c r="A2274" t="s">
        <v>3300</v>
      </c>
      <c r="B2274" t="s">
        <v>1067</v>
      </c>
      <c r="C2274" t="s">
        <v>1068</v>
      </c>
      <c r="D2274" t="s">
        <v>141</v>
      </c>
      <c r="E2274" t="s">
        <v>125</v>
      </c>
      <c r="F2274" s="2">
        <v>47.92</v>
      </c>
      <c r="G2274">
        <v>1</v>
      </c>
      <c r="H2274" s="2">
        <f>Tabla_Items_Inactivos[[#This Row],[EXISTENCIA]]*Tabla_Items_Inactivos[[#This Row],[COSTO]]</f>
        <v>47.92</v>
      </c>
    </row>
    <row r="2275" spans="1:8">
      <c r="A2275" t="s">
        <v>3300</v>
      </c>
      <c r="B2275" t="s">
        <v>1069</v>
      </c>
      <c r="C2275" t="s">
        <v>1070</v>
      </c>
      <c r="D2275" t="s">
        <v>141</v>
      </c>
      <c r="E2275" t="s">
        <v>125</v>
      </c>
      <c r="F2275" s="2">
        <v>61.295000000000002</v>
      </c>
      <c r="G2275">
        <v>1</v>
      </c>
      <c r="H2275" s="2">
        <f>Tabla_Items_Inactivos[[#This Row],[EXISTENCIA]]*Tabla_Items_Inactivos[[#This Row],[COSTO]]</f>
        <v>61.295000000000002</v>
      </c>
    </row>
    <row r="2276" spans="1:8">
      <c r="A2276" t="s">
        <v>3300</v>
      </c>
      <c r="B2276" t="s">
        <v>1071</v>
      </c>
      <c r="C2276" t="s">
        <v>1072</v>
      </c>
      <c r="D2276" t="s">
        <v>131</v>
      </c>
      <c r="E2276" t="s">
        <v>125</v>
      </c>
      <c r="F2276" s="2">
        <v>83.674999999999997</v>
      </c>
      <c r="G2276">
        <v>1</v>
      </c>
      <c r="H2276" s="2">
        <f>Tabla_Items_Inactivos[[#This Row],[EXISTENCIA]]*Tabla_Items_Inactivos[[#This Row],[COSTO]]</f>
        <v>83.674999999999997</v>
      </c>
    </row>
    <row r="2277" spans="1:8">
      <c r="A2277" t="s">
        <v>3300</v>
      </c>
      <c r="B2277" t="s">
        <v>1073</v>
      </c>
      <c r="C2277" t="s">
        <v>1074</v>
      </c>
      <c r="D2277" t="s">
        <v>128</v>
      </c>
      <c r="E2277" t="s">
        <v>125</v>
      </c>
      <c r="F2277" s="2">
        <v>2.9950000000000001</v>
      </c>
      <c r="G2277">
        <v>1</v>
      </c>
      <c r="H2277" s="2">
        <f>Tabla_Items_Inactivos[[#This Row],[EXISTENCIA]]*Tabla_Items_Inactivos[[#This Row],[COSTO]]</f>
        <v>2.9950000000000001</v>
      </c>
    </row>
    <row r="2278" spans="1:8">
      <c r="A2278" t="s">
        <v>3300</v>
      </c>
      <c r="B2278" t="s">
        <v>1075</v>
      </c>
      <c r="C2278" t="s">
        <v>1076</v>
      </c>
      <c r="D2278" t="s">
        <v>131</v>
      </c>
      <c r="E2278" t="s">
        <v>125</v>
      </c>
      <c r="F2278" s="2">
        <v>2.2639999999999998</v>
      </c>
      <c r="G2278">
        <v>6</v>
      </c>
      <c r="H2278" s="2">
        <f>Tabla_Items_Inactivos[[#This Row],[EXISTENCIA]]*Tabla_Items_Inactivos[[#This Row],[COSTO]]</f>
        <v>13.584</v>
      </c>
    </row>
    <row r="2279" spans="1:8">
      <c r="A2279" t="s">
        <v>3300</v>
      </c>
      <c r="B2279" t="s">
        <v>1077</v>
      </c>
      <c r="C2279" t="s">
        <v>1078</v>
      </c>
      <c r="D2279" t="s">
        <v>131</v>
      </c>
      <c r="E2279" t="s">
        <v>125</v>
      </c>
      <c r="F2279" s="2">
        <v>0.39900000000000002</v>
      </c>
      <c r="G2279">
        <v>14</v>
      </c>
      <c r="H2279" s="2">
        <f>Tabla_Items_Inactivos[[#This Row],[EXISTENCIA]]*Tabla_Items_Inactivos[[#This Row],[COSTO]]</f>
        <v>5.5860000000000003</v>
      </c>
    </row>
    <row r="2280" spans="1:8">
      <c r="A2280" t="s">
        <v>3300</v>
      </c>
      <c r="B2280" t="s">
        <v>1079</v>
      </c>
      <c r="C2280" t="s">
        <v>1080</v>
      </c>
      <c r="D2280" t="s">
        <v>131</v>
      </c>
      <c r="E2280" t="s">
        <v>125</v>
      </c>
      <c r="F2280" s="2">
        <v>0.373</v>
      </c>
      <c r="G2280">
        <v>11</v>
      </c>
      <c r="H2280" s="2">
        <f>Tabla_Items_Inactivos[[#This Row],[EXISTENCIA]]*Tabla_Items_Inactivos[[#This Row],[COSTO]]</f>
        <v>4.1029999999999998</v>
      </c>
    </row>
    <row r="2281" spans="1:8">
      <c r="A2281" t="s">
        <v>3300</v>
      </c>
      <c r="B2281" t="s">
        <v>1081</v>
      </c>
      <c r="C2281" t="s">
        <v>1082</v>
      </c>
      <c r="D2281" t="s">
        <v>131</v>
      </c>
      <c r="E2281" t="s">
        <v>125</v>
      </c>
      <c r="F2281" s="2">
        <v>0.28299999999999997</v>
      </c>
      <c r="G2281">
        <v>11</v>
      </c>
      <c r="H2281" s="2">
        <f>Tabla_Items_Inactivos[[#This Row],[EXISTENCIA]]*Tabla_Items_Inactivos[[#This Row],[COSTO]]</f>
        <v>3.1129999999999995</v>
      </c>
    </row>
    <row r="2282" spans="1:8">
      <c r="A2282" t="s">
        <v>3300</v>
      </c>
      <c r="B2282" t="s">
        <v>1083</v>
      </c>
      <c r="C2282" t="s">
        <v>1084</v>
      </c>
      <c r="D2282" t="s">
        <v>131</v>
      </c>
      <c r="E2282" t="s">
        <v>125</v>
      </c>
      <c r="F2282" s="2">
        <v>0.11799999999999999</v>
      </c>
      <c r="G2282">
        <v>11</v>
      </c>
      <c r="H2282" s="2">
        <f>Tabla_Items_Inactivos[[#This Row],[EXISTENCIA]]*Tabla_Items_Inactivos[[#This Row],[COSTO]]</f>
        <v>1.298</v>
      </c>
    </row>
    <row r="2283" spans="1:8">
      <c r="A2283" t="s">
        <v>3300</v>
      </c>
      <c r="B2283" t="s">
        <v>1085</v>
      </c>
      <c r="C2283" t="s">
        <v>1086</v>
      </c>
      <c r="D2283" t="s">
        <v>141</v>
      </c>
      <c r="E2283" t="s">
        <v>125</v>
      </c>
      <c r="F2283" s="2">
        <v>8.1850000000000005</v>
      </c>
      <c r="G2283">
        <v>2</v>
      </c>
      <c r="H2283" s="2">
        <f>Tabla_Items_Inactivos[[#This Row],[EXISTENCIA]]*Tabla_Items_Inactivos[[#This Row],[COSTO]]</f>
        <v>16.37</v>
      </c>
    </row>
    <row r="2284" spans="1:8">
      <c r="A2284" t="s">
        <v>3300</v>
      </c>
      <c r="B2284" t="s">
        <v>1087</v>
      </c>
      <c r="C2284" t="s">
        <v>1088</v>
      </c>
      <c r="D2284" t="s">
        <v>136</v>
      </c>
      <c r="E2284" t="s">
        <v>125</v>
      </c>
      <c r="F2284" s="2">
        <v>222.88</v>
      </c>
      <c r="G2284">
        <v>1</v>
      </c>
      <c r="H2284" s="2">
        <f>Tabla_Items_Inactivos[[#This Row],[EXISTENCIA]]*Tabla_Items_Inactivos[[#This Row],[COSTO]]</f>
        <v>222.88</v>
      </c>
    </row>
    <row r="2285" spans="1:8">
      <c r="A2285" t="s">
        <v>3300</v>
      </c>
      <c r="B2285" t="s">
        <v>1089</v>
      </c>
      <c r="C2285" t="s">
        <v>1090</v>
      </c>
      <c r="D2285" t="s">
        <v>131</v>
      </c>
      <c r="E2285" t="s">
        <v>125</v>
      </c>
      <c r="F2285" s="2">
        <v>47.947000000000003</v>
      </c>
      <c r="G2285">
        <v>2</v>
      </c>
      <c r="H2285" s="2">
        <f>Tabla_Items_Inactivos[[#This Row],[EXISTENCIA]]*Tabla_Items_Inactivos[[#This Row],[COSTO]]</f>
        <v>95.894000000000005</v>
      </c>
    </row>
    <row r="2286" spans="1:8">
      <c r="A2286" t="s">
        <v>3300</v>
      </c>
      <c r="B2286" t="s">
        <v>1091</v>
      </c>
      <c r="C2286" t="s">
        <v>1092</v>
      </c>
      <c r="D2286" t="s">
        <v>141</v>
      </c>
      <c r="E2286" t="s">
        <v>125</v>
      </c>
      <c r="F2286" s="2">
        <v>48.683</v>
      </c>
      <c r="G2286">
        <v>2</v>
      </c>
      <c r="H2286" s="2">
        <f>Tabla_Items_Inactivos[[#This Row],[EXISTENCIA]]*Tabla_Items_Inactivos[[#This Row],[COSTO]]</f>
        <v>97.366</v>
      </c>
    </row>
    <row r="2287" spans="1:8">
      <c r="A2287" t="s">
        <v>3300</v>
      </c>
      <c r="B2287" t="s">
        <v>1093</v>
      </c>
      <c r="C2287" t="s">
        <v>1094</v>
      </c>
      <c r="D2287" t="s">
        <v>131</v>
      </c>
      <c r="E2287" t="s">
        <v>125</v>
      </c>
      <c r="F2287" s="2">
        <v>36.616999999999997</v>
      </c>
      <c r="G2287">
        <v>2</v>
      </c>
      <c r="H2287" s="2">
        <f>Tabla_Items_Inactivos[[#This Row],[EXISTENCIA]]*Tabla_Items_Inactivos[[#This Row],[COSTO]]</f>
        <v>73.233999999999995</v>
      </c>
    </row>
    <row r="2288" spans="1:8">
      <c r="A2288" t="s">
        <v>3300</v>
      </c>
      <c r="B2288" t="s">
        <v>1095</v>
      </c>
      <c r="C2288" t="s">
        <v>1096</v>
      </c>
      <c r="D2288" t="s">
        <v>131</v>
      </c>
      <c r="E2288" t="s">
        <v>125</v>
      </c>
      <c r="F2288" s="2">
        <v>10.127000000000001</v>
      </c>
      <c r="G2288">
        <v>2</v>
      </c>
      <c r="H2288" s="2">
        <f>Tabla_Items_Inactivos[[#This Row],[EXISTENCIA]]*Tabla_Items_Inactivos[[#This Row],[COSTO]]</f>
        <v>20.254000000000001</v>
      </c>
    </row>
    <row r="2289" spans="1:8">
      <c r="A2289" t="s">
        <v>3300</v>
      </c>
      <c r="B2289" t="s">
        <v>1097</v>
      </c>
      <c r="C2289" t="s">
        <v>1098</v>
      </c>
      <c r="D2289" t="s">
        <v>131</v>
      </c>
      <c r="E2289" t="s">
        <v>125</v>
      </c>
      <c r="F2289" s="2">
        <v>16.542999999999999</v>
      </c>
      <c r="G2289">
        <v>3</v>
      </c>
      <c r="H2289" s="2">
        <f>Tabla_Items_Inactivos[[#This Row],[EXISTENCIA]]*Tabla_Items_Inactivos[[#This Row],[COSTO]]</f>
        <v>49.628999999999998</v>
      </c>
    </row>
    <row r="2290" spans="1:8">
      <c r="A2290" t="s">
        <v>3300</v>
      </c>
      <c r="B2290" t="s">
        <v>5161</v>
      </c>
      <c r="C2290" t="s">
        <v>5162</v>
      </c>
      <c r="D2290" t="s">
        <v>128</v>
      </c>
      <c r="E2290" t="s">
        <v>125</v>
      </c>
      <c r="F2290" s="2">
        <v>355.71499999999997</v>
      </c>
      <c r="G2290">
        <v>3</v>
      </c>
      <c r="H2290" s="2">
        <f>Tabla_Items_Inactivos[[#This Row],[EXISTENCIA]]*Tabla_Items_Inactivos[[#This Row],[COSTO]]</f>
        <v>1067.145</v>
      </c>
    </row>
    <row r="2291" spans="1:8">
      <c r="A2291" t="s">
        <v>3300</v>
      </c>
      <c r="B2291" t="s">
        <v>1099</v>
      </c>
      <c r="C2291" t="s">
        <v>1100</v>
      </c>
      <c r="D2291" t="s">
        <v>128</v>
      </c>
      <c r="E2291" t="s">
        <v>125</v>
      </c>
      <c r="F2291" s="2">
        <v>24.367000000000001</v>
      </c>
      <c r="G2291">
        <v>3</v>
      </c>
      <c r="H2291" s="2">
        <f>Tabla_Items_Inactivos[[#This Row],[EXISTENCIA]]*Tabla_Items_Inactivos[[#This Row],[COSTO]]</f>
        <v>73.100999999999999</v>
      </c>
    </row>
    <row r="2292" spans="1:8">
      <c r="A2292" t="s">
        <v>3300</v>
      </c>
      <c r="B2292" t="s">
        <v>1101</v>
      </c>
      <c r="C2292" t="s">
        <v>1102</v>
      </c>
      <c r="D2292" t="s">
        <v>131</v>
      </c>
      <c r="E2292" t="s">
        <v>125</v>
      </c>
      <c r="F2292" s="2">
        <v>17.908000000000001</v>
      </c>
      <c r="G2292">
        <v>4</v>
      </c>
      <c r="H2292" s="2">
        <f>Tabla_Items_Inactivos[[#This Row],[EXISTENCIA]]*Tabla_Items_Inactivos[[#This Row],[COSTO]]</f>
        <v>71.632000000000005</v>
      </c>
    </row>
    <row r="2293" spans="1:8">
      <c r="A2293" t="s">
        <v>3300</v>
      </c>
      <c r="B2293" t="s">
        <v>1103</v>
      </c>
      <c r="C2293" t="s">
        <v>1104</v>
      </c>
      <c r="D2293" t="s">
        <v>141</v>
      </c>
      <c r="E2293" t="s">
        <v>125</v>
      </c>
      <c r="F2293" s="2">
        <v>19.16</v>
      </c>
      <c r="G2293">
        <v>2</v>
      </c>
      <c r="H2293" s="2">
        <f>Tabla_Items_Inactivos[[#This Row],[EXISTENCIA]]*Tabla_Items_Inactivos[[#This Row],[COSTO]]</f>
        <v>38.32</v>
      </c>
    </row>
    <row r="2294" spans="1:8">
      <c r="A2294" t="s">
        <v>3300</v>
      </c>
      <c r="B2294" t="s">
        <v>1105</v>
      </c>
      <c r="C2294" t="s">
        <v>1106</v>
      </c>
      <c r="D2294" t="s">
        <v>131</v>
      </c>
      <c r="E2294" t="s">
        <v>125</v>
      </c>
      <c r="F2294" s="2">
        <v>5.3449999999999998</v>
      </c>
      <c r="G2294">
        <v>2</v>
      </c>
      <c r="H2294" s="2">
        <f>Tabla_Items_Inactivos[[#This Row],[EXISTENCIA]]*Tabla_Items_Inactivos[[#This Row],[COSTO]]</f>
        <v>10.69</v>
      </c>
    </row>
    <row r="2295" spans="1:8">
      <c r="A2295" t="s">
        <v>3300</v>
      </c>
      <c r="B2295" t="s">
        <v>1107</v>
      </c>
      <c r="C2295" t="s">
        <v>1108</v>
      </c>
      <c r="D2295" t="s">
        <v>131</v>
      </c>
      <c r="E2295" t="s">
        <v>125</v>
      </c>
      <c r="F2295" s="2">
        <v>0.22</v>
      </c>
      <c r="G2295">
        <v>2</v>
      </c>
      <c r="H2295" s="2">
        <f>Tabla_Items_Inactivos[[#This Row],[EXISTENCIA]]*Tabla_Items_Inactivos[[#This Row],[COSTO]]</f>
        <v>0.44</v>
      </c>
    </row>
    <row r="2296" spans="1:8">
      <c r="A2296" t="s">
        <v>3300</v>
      </c>
      <c r="B2296" t="s">
        <v>1109</v>
      </c>
      <c r="C2296" t="s">
        <v>1110</v>
      </c>
      <c r="D2296" t="s">
        <v>131</v>
      </c>
      <c r="E2296" t="s">
        <v>125</v>
      </c>
      <c r="F2296" s="2">
        <v>7.0000000000000007E-2</v>
      </c>
      <c r="G2296">
        <v>4</v>
      </c>
      <c r="H2296" s="2">
        <f>Tabla_Items_Inactivos[[#This Row],[EXISTENCIA]]*Tabla_Items_Inactivos[[#This Row],[COSTO]]</f>
        <v>0.28000000000000003</v>
      </c>
    </row>
    <row r="2297" spans="1:8">
      <c r="A2297" t="s">
        <v>3300</v>
      </c>
      <c r="B2297" t="s">
        <v>1111</v>
      </c>
      <c r="C2297" t="s">
        <v>1112</v>
      </c>
      <c r="D2297" t="s">
        <v>131</v>
      </c>
      <c r="E2297" t="s">
        <v>125</v>
      </c>
      <c r="F2297" s="2">
        <v>0.11</v>
      </c>
      <c r="G2297">
        <v>2</v>
      </c>
      <c r="H2297" s="2">
        <f>Tabla_Items_Inactivos[[#This Row],[EXISTENCIA]]*Tabla_Items_Inactivos[[#This Row],[COSTO]]</f>
        <v>0.22</v>
      </c>
    </row>
    <row r="2298" spans="1:8">
      <c r="A2298" t="s">
        <v>3300</v>
      </c>
      <c r="B2298" t="s">
        <v>1113</v>
      </c>
      <c r="C2298" t="s">
        <v>1114</v>
      </c>
      <c r="D2298" t="s">
        <v>131</v>
      </c>
      <c r="E2298" t="s">
        <v>125</v>
      </c>
      <c r="F2298" s="2">
        <v>136.97999999999999</v>
      </c>
      <c r="G2298">
        <v>1</v>
      </c>
      <c r="H2298" s="2">
        <f>Tabla_Items_Inactivos[[#This Row],[EXISTENCIA]]*Tabla_Items_Inactivos[[#This Row],[COSTO]]</f>
        <v>136.97999999999999</v>
      </c>
    </row>
    <row r="2299" spans="1:8">
      <c r="A2299" t="s">
        <v>3300</v>
      </c>
      <c r="B2299" t="s">
        <v>1115</v>
      </c>
      <c r="C2299" t="s">
        <v>1116</v>
      </c>
      <c r="D2299" t="s">
        <v>128</v>
      </c>
      <c r="E2299" t="s">
        <v>125</v>
      </c>
      <c r="F2299" s="2">
        <v>4.335</v>
      </c>
      <c r="G2299">
        <v>2</v>
      </c>
      <c r="H2299" s="2">
        <f>Tabla_Items_Inactivos[[#This Row],[EXISTENCIA]]*Tabla_Items_Inactivos[[#This Row],[COSTO]]</f>
        <v>8.67</v>
      </c>
    </row>
    <row r="2300" spans="1:8">
      <c r="A2300" t="s">
        <v>3301</v>
      </c>
      <c r="B2300" t="s">
        <v>1117</v>
      </c>
      <c r="C2300" t="s">
        <v>1118</v>
      </c>
      <c r="D2300" t="s">
        <v>1119</v>
      </c>
      <c r="E2300" t="s">
        <v>125</v>
      </c>
      <c r="F2300" s="2">
        <v>23.364000000000001</v>
      </c>
      <c r="G2300">
        <v>6</v>
      </c>
      <c r="H2300" s="2">
        <f>Tabla_Items_Inactivos[[#This Row],[EXISTENCIA]]*Tabla_Items_Inactivos[[#This Row],[COSTO]]</f>
        <v>140.184</v>
      </c>
    </row>
    <row r="2301" spans="1:8">
      <c r="A2301" t="s">
        <v>3300</v>
      </c>
      <c r="B2301" t="s">
        <v>1117</v>
      </c>
      <c r="C2301" t="s">
        <v>1118</v>
      </c>
      <c r="D2301" t="s">
        <v>1119</v>
      </c>
      <c r="E2301" t="s">
        <v>125</v>
      </c>
      <c r="F2301" s="2">
        <v>23.364000000000001</v>
      </c>
      <c r="G2301">
        <v>6</v>
      </c>
      <c r="H2301" s="2">
        <f>Tabla_Items_Inactivos[[#This Row],[EXISTENCIA]]*Tabla_Items_Inactivos[[#This Row],[COSTO]]</f>
        <v>140.184</v>
      </c>
    </row>
    <row r="2302" spans="1:8">
      <c r="A2302" t="s">
        <v>3300</v>
      </c>
      <c r="B2302" t="s">
        <v>5163</v>
      </c>
      <c r="C2302" t="s">
        <v>5164</v>
      </c>
      <c r="D2302" t="s">
        <v>208</v>
      </c>
      <c r="E2302" t="s">
        <v>125</v>
      </c>
      <c r="F2302" s="2">
        <v>44.65</v>
      </c>
      <c r="G2302">
        <v>1</v>
      </c>
      <c r="H2302" s="2">
        <f>Tabla_Items_Inactivos[[#This Row],[EXISTENCIA]]*Tabla_Items_Inactivos[[#This Row],[COSTO]]</f>
        <v>44.65</v>
      </c>
    </row>
    <row r="2303" spans="1:8">
      <c r="A2303" t="s">
        <v>3300</v>
      </c>
      <c r="B2303" t="s">
        <v>1120</v>
      </c>
      <c r="C2303" t="s">
        <v>1121</v>
      </c>
      <c r="D2303" t="s">
        <v>31</v>
      </c>
      <c r="E2303" t="s">
        <v>1931</v>
      </c>
      <c r="F2303" s="2">
        <v>13</v>
      </c>
      <c r="G2303">
        <v>1</v>
      </c>
      <c r="H2303" s="2">
        <f>Tabla_Items_Inactivos[[#This Row],[EXISTENCIA]]*Tabla_Items_Inactivos[[#This Row],[COSTO]]</f>
        <v>13</v>
      </c>
    </row>
    <row r="2304" spans="1:8">
      <c r="A2304" t="s">
        <v>3300</v>
      </c>
      <c r="B2304" t="s">
        <v>1122</v>
      </c>
      <c r="C2304" t="s">
        <v>1123</v>
      </c>
      <c r="D2304" t="s">
        <v>31</v>
      </c>
      <c r="E2304" t="s">
        <v>1931</v>
      </c>
      <c r="F2304" s="2">
        <v>12</v>
      </c>
      <c r="G2304">
        <v>2</v>
      </c>
      <c r="H2304" s="2">
        <f>Tabla_Items_Inactivos[[#This Row],[EXISTENCIA]]*Tabla_Items_Inactivos[[#This Row],[COSTO]]</f>
        <v>24</v>
      </c>
    </row>
    <row r="2305" spans="1:8">
      <c r="A2305" t="s">
        <v>3300</v>
      </c>
      <c r="B2305" t="s">
        <v>1124</v>
      </c>
      <c r="C2305" t="s">
        <v>1125</v>
      </c>
      <c r="D2305" t="s">
        <v>31</v>
      </c>
      <c r="E2305" t="s">
        <v>1931</v>
      </c>
      <c r="F2305" s="2">
        <v>6.72</v>
      </c>
      <c r="G2305">
        <v>5</v>
      </c>
      <c r="H2305" s="2">
        <f>Tabla_Items_Inactivos[[#This Row],[EXISTENCIA]]*Tabla_Items_Inactivos[[#This Row],[COSTO]]</f>
        <v>33.6</v>
      </c>
    </row>
    <row r="2306" spans="1:8">
      <c r="A2306" t="s">
        <v>3300</v>
      </c>
      <c r="B2306" t="s">
        <v>1126</v>
      </c>
      <c r="C2306" t="s">
        <v>1127</v>
      </c>
      <c r="D2306" t="s">
        <v>31</v>
      </c>
      <c r="E2306" t="s">
        <v>1931</v>
      </c>
      <c r="F2306" s="2">
        <v>5.76</v>
      </c>
      <c r="G2306">
        <v>8</v>
      </c>
      <c r="H2306" s="2">
        <f>Tabla_Items_Inactivos[[#This Row],[EXISTENCIA]]*Tabla_Items_Inactivos[[#This Row],[COSTO]]</f>
        <v>46.08</v>
      </c>
    </row>
    <row r="2307" spans="1:8">
      <c r="A2307" t="s">
        <v>3300</v>
      </c>
      <c r="B2307" t="s">
        <v>1128</v>
      </c>
      <c r="C2307" t="s">
        <v>1129</v>
      </c>
      <c r="D2307" t="s">
        <v>31</v>
      </c>
      <c r="E2307" t="s">
        <v>1931</v>
      </c>
      <c r="F2307" s="2">
        <v>7.2</v>
      </c>
      <c r="G2307">
        <v>18</v>
      </c>
      <c r="H2307" s="2">
        <f>Tabla_Items_Inactivos[[#This Row],[EXISTENCIA]]*Tabla_Items_Inactivos[[#This Row],[COSTO]]</f>
        <v>129.6</v>
      </c>
    </row>
    <row r="2308" spans="1:8">
      <c r="A2308" t="s">
        <v>3300</v>
      </c>
      <c r="B2308" t="s">
        <v>1130</v>
      </c>
      <c r="C2308" t="s">
        <v>1131</v>
      </c>
      <c r="D2308" t="s">
        <v>31</v>
      </c>
      <c r="E2308" t="s">
        <v>1931</v>
      </c>
      <c r="F2308" s="2">
        <v>3.6</v>
      </c>
      <c r="G2308">
        <v>3</v>
      </c>
      <c r="H2308" s="2">
        <f>Tabla_Items_Inactivos[[#This Row],[EXISTENCIA]]*Tabla_Items_Inactivos[[#This Row],[COSTO]]</f>
        <v>10.8</v>
      </c>
    </row>
    <row r="2309" spans="1:8">
      <c r="A2309" t="s">
        <v>3300</v>
      </c>
      <c r="B2309" t="s">
        <v>1132</v>
      </c>
      <c r="C2309" t="s">
        <v>1133</v>
      </c>
      <c r="D2309" t="s">
        <v>31</v>
      </c>
      <c r="E2309" t="s">
        <v>1931</v>
      </c>
      <c r="F2309" s="2">
        <v>19.5</v>
      </c>
      <c r="G2309">
        <v>1</v>
      </c>
      <c r="H2309" s="2">
        <f>Tabla_Items_Inactivos[[#This Row],[EXISTENCIA]]*Tabla_Items_Inactivos[[#This Row],[COSTO]]</f>
        <v>19.5</v>
      </c>
    </row>
    <row r="2310" spans="1:8">
      <c r="A2310" t="s">
        <v>3300</v>
      </c>
      <c r="B2310" t="s">
        <v>1134</v>
      </c>
      <c r="C2310" t="s">
        <v>1135</v>
      </c>
      <c r="D2310" t="s">
        <v>31</v>
      </c>
      <c r="E2310" t="s">
        <v>1931</v>
      </c>
      <c r="F2310" s="2">
        <v>1.8</v>
      </c>
      <c r="G2310">
        <v>3</v>
      </c>
      <c r="H2310" s="2">
        <f>Tabla_Items_Inactivos[[#This Row],[EXISTENCIA]]*Tabla_Items_Inactivos[[#This Row],[COSTO]]</f>
        <v>5.4</v>
      </c>
    </row>
    <row r="2311" spans="1:8">
      <c r="A2311" t="s">
        <v>3300</v>
      </c>
      <c r="B2311" t="s">
        <v>1136</v>
      </c>
      <c r="C2311" t="s">
        <v>1137</v>
      </c>
      <c r="D2311" t="s">
        <v>31</v>
      </c>
      <c r="E2311" t="s">
        <v>1931</v>
      </c>
      <c r="F2311" s="2">
        <v>16.8</v>
      </c>
      <c r="G2311">
        <v>2</v>
      </c>
      <c r="H2311" s="2">
        <f>Tabla_Items_Inactivos[[#This Row],[EXISTENCIA]]*Tabla_Items_Inactivos[[#This Row],[COSTO]]</f>
        <v>33.6</v>
      </c>
    </row>
    <row r="2312" spans="1:8">
      <c r="A2312" t="s">
        <v>3300</v>
      </c>
      <c r="B2312" t="s">
        <v>1138</v>
      </c>
      <c r="C2312" t="s">
        <v>1139</v>
      </c>
      <c r="D2312" t="s">
        <v>31</v>
      </c>
      <c r="E2312" t="s">
        <v>1931</v>
      </c>
      <c r="F2312" s="2">
        <v>2.4</v>
      </c>
      <c r="G2312">
        <v>6</v>
      </c>
      <c r="H2312" s="2">
        <f>Tabla_Items_Inactivos[[#This Row],[EXISTENCIA]]*Tabla_Items_Inactivos[[#This Row],[COSTO]]</f>
        <v>14.399999999999999</v>
      </c>
    </row>
    <row r="2313" spans="1:8">
      <c r="A2313" t="s">
        <v>3300</v>
      </c>
      <c r="B2313" t="s">
        <v>1140</v>
      </c>
      <c r="C2313" t="s">
        <v>1141</v>
      </c>
      <c r="D2313" t="s">
        <v>31</v>
      </c>
      <c r="E2313" t="s">
        <v>1931</v>
      </c>
      <c r="F2313" s="2">
        <v>24</v>
      </c>
      <c r="G2313">
        <v>6</v>
      </c>
      <c r="H2313" s="2">
        <f>Tabla_Items_Inactivos[[#This Row],[EXISTENCIA]]*Tabla_Items_Inactivos[[#This Row],[COSTO]]</f>
        <v>144</v>
      </c>
    </row>
    <row r="2314" spans="1:8">
      <c r="A2314" t="s">
        <v>3300</v>
      </c>
      <c r="B2314" t="s">
        <v>1142</v>
      </c>
      <c r="C2314" t="s">
        <v>1143</v>
      </c>
      <c r="D2314" t="s">
        <v>31</v>
      </c>
      <c r="E2314" t="s">
        <v>1931</v>
      </c>
      <c r="F2314" s="2">
        <v>7.2</v>
      </c>
      <c r="G2314">
        <v>4</v>
      </c>
      <c r="H2314" s="2">
        <f>Tabla_Items_Inactivos[[#This Row],[EXISTENCIA]]*Tabla_Items_Inactivos[[#This Row],[COSTO]]</f>
        <v>28.8</v>
      </c>
    </row>
    <row r="2315" spans="1:8">
      <c r="A2315" t="s">
        <v>3300</v>
      </c>
      <c r="B2315" t="s">
        <v>1144</v>
      </c>
      <c r="C2315" t="s">
        <v>1145</v>
      </c>
      <c r="D2315" t="s">
        <v>31</v>
      </c>
      <c r="E2315" t="s">
        <v>1931</v>
      </c>
      <c r="F2315" s="2">
        <v>24</v>
      </c>
      <c r="G2315">
        <v>2</v>
      </c>
      <c r="H2315" s="2">
        <f>Tabla_Items_Inactivos[[#This Row],[EXISTENCIA]]*Tabla_Items_Inactivos[[#This Row],[COSTO]]</f>
        <v>48</v>
      </c>
    </row>
    <row r="2316" spans="1:8">
      <c r="A2316" t="s">
        <v>3300</v>
      </c>
      <c r="B2316" t="s">
        <v>1146</v>
      </c>
      <c r="C2316" t="s">
        <v>1147</v>
      </c>
      <c r="D2316" t="s">
        <v>31</v>
      </c>
      <c r="E2316" t="s">
        <v>1931</v>
      </c>
      <c r="F2316" s="2">
        <v>7.2</v>
      </c>
      <c r="G2316">
        <v>7</v>
      </c>
      <c r="H2316" s="2">
        <f>Tabla_Items_Inactivos[[#This Row],[EXISTENCIA]]*Tabla_Items_Inactivos[[#This Row],[COSTO]]</f>
        <v>50.4</v>
      </c>
    </row>
    <row r="2317" spans="1:8">
      <c r="A2317" t="s">
        <v>3300</v>
      </c>
      <c r="B2317" t="s">
        <v>1148</v>
      </c>
      <c r="C2317" t="s">
        <v>1149</v>
      </c>
      <c r="D2317" t="s">
        <v>31</v>
      </c>
      <c r="E2317" t="s">
        <v>1931</v>
      </c>
      <c r="F2317" s="2">
        <v>60</v>
      </c>
      <c r="G2317">
        <v>1</v>
      </c>
      <c r="H2317" s="2">
        <f>Tabla_Items_Inactivos[[#This Row],[EXISTENCIA]]*Tabla_Items_Inactivos[[#This Row],[COSTO]]</f>
        <v>60</v>
      </c>
    </row>
    <row r="2318" spans="1:8">
      <c r="A2318" t="s">
        <v>3300</v>
      </c>
      <c r="B2318" t="s">
        <v>1150</v>
      </c>
      <c r="C2318" t="s">
        <v>1151</v>
      </c>
      <c r="D2318" t="s">
        <v>31</v>
      </c>
      <c r="E2318" t="s">
        <v>1931</v>
      </c>
      <c r="F2318" s="2">
        <v>192</v>
      </c>
      <c r="G2318">
        <v>1</v>
      </c>
      <c r="H2318" s="2">
        <f>Tabla_Items_Inactivos[[#This Row],[EXISTENCIA]]*Tabla_Items_Inactivos[[#This Row],[COSTO]]</f>
        <v>192</v>
      </c>
    </row>
    <row r="2319" spans="1:8">
      <c r="A2319" t="s">
        <v>3300</v>
      </c>
      <c r="B2319" t="s">
        <v>1152</v>
      </c>
      <c r="C2319" t="s">
        <v>1153</v>
      </c>
      <c r="D2319" t="s">
        <v>31</v>
      </c>
      <c r="E2319" t="s">
        <v>1931</v>
      </c>
      <c r="F2319" s="2">
        <v>0.9</v>
      </c>
      <c r="G2319">
        <v>2</v>
      </c>
      <c r="H2319" s="2">
        <f>Tabla_Items_Inactivos[[#This Row],[EXISTENCIA]]*Tabla_Items_Inactivos[[#This Row],[COSTO]]</f>
        <v>1.8</v>
      </c>
    </row>
    <row r="2320" spans="1:8">
      <c r="A2320" t="s">
        <v>3300</v>
      </c>
      <c r="B2320" t="s">
        <v>1154</v>
      </c>
      <c r="C2320" t="s">
        <v>1155</v>
      </c>
      <c r="D2320" t="s">
        <v>31</v>
      </c>
      <c r="E2320" t="s">
        <v>1931</v>
      </c>
      <c r="F2320" s="2">
        <v>5.52</v>
      </c>
      <c r="G2320">
        <v>18</v>
      </c>
      <c r="H2320" s="2">
        <f>Tabla_Items_Inactivos[[#This Row],[EXISTENCIA]]*Tabla_Items_Inactivos[[#This Row],[COSTO]]</f>
        <v>99.359999999999985</v>
      </c>
    </row>
    <row r="2321" spans="1:8">
      <c r="A2321" t="s">
        <v>3300</v>
      </c>
      <c r="B2321" t="s">
        <v>1156</v>
      </c>
      <c r="C2321" t="s">
        <v>1157</v>
      </c>
      <c r="D2321" t="s">
        <v>31</v>
      </c>
      <c r="E2321" t="s">
        <v>1931</v>
      </c>
      <c r="F2321" s="2">
        <v>21.78</v>
      </c>
      <c r="G2321">
        <v>2</v>
      </c>
      <c r="H2321" s="2">
        <f>Tabla_Items_Inactivos[[#This Row],[EXISTENCIA]]*Tabla_Items_Inactivos[[#This Row],[COSTO]]</f>
        <v>43.56</v>
      </c>
    </row>
    <row r="2322" spans="1:8">
      <c r="A2322" t="s">
        <v>3300</v>
      </c>
      <c r="B2322" t="s">
        <v>1158</v>
      </c>
      <c r="C2322" t="s">
        <v>1159</v>
      </c>
      <c r="D2322" t="s">
        <v>31</v>
      </c>
      <c r="E2322" t="s">
        <v>1931</v>
      </c>
      <c r="F2322" s="2">
        <v>22.5</v>
      </c>
      <c r="G2322">
        <v>1</v>
      </c>
      <c r="H2322" s="2">
        <f>Tabla_Items_Inactivos[[#This Row],[EXISTENCIA]]*Tabla_Items_Inactivos[[#This Row],[COSTO]]</f>
        <v>22.5</v>
      </c>
    </row>
    <row r="2323" spans="1:8">
      <c r="A2323" t="s">
        <v>3300</v>
      </c>
      <c r="B2323" t="s">
        <v>1160</v>
      </c>
      <c r="C2323" t="s">
        <v>1161</v>
      </c>
      <c r="D2323" t="s">
        <v>31</v>
      </c>
      <c r="E2323" t="s">
        <v>1931</v>
      </c>
      <c r="F2323" s="2">
        <v>22.5</v>
      </c>
      <c r="G2323">
        <v>1</v>
      </c>
      <c r="H2323" s="2">
        <f>Tabla_Items_Inactivos[[#This Row],[EXISTENCIA]]*Tabla_Items_Inactivos[[#This Row],[COSTO]]</f>
        <v>22.5</v>
      </c>
    </row>
    <row r="2324" spans="1:8">
      <c r="A2324" t="s">
        <v>3300</v>
      </c>
      <c r="B2324" t="s">
        <v>1162</v>
      </c>
      <c r="C2324" t="s">
        <v>1163</v>
      </c>
      <c r="D2324" t="s">
        <v>31</v>
      </c>
      <c r="E2324" t="s">
        <v>1931</v>
      </c>
      <c r="F2324" s="2">
        <v>22.5</v>
      </c>
      <c r="G2324">
        <v>3</v>
      </c>
      <c r="H2324" s="2">
        <f>Tabla_Items_Inactivos[[#This Row],[EXISTENCIA]]*Tabla_Items_Inactivos[[#This Row],[COSTO]]</f>
        <v>67.5</v>
      </c>
    </row>
    <row r="2325" spans="1:8">
      <c r="A2325" t="s">
        <v>3300</v>
      </c>
      <c r="B2325" t="s">
        <v>1164</v>
      </c>
      <c r="C2325" t="s">
        <v>1165</v>
      </c>
      <c r="D2325" t="s">
        <v>31</v>
      </c>
      <c r="E2325" t="s">
        <v>1931</v>
      </c>
      <c r="F2325" s="2">
        <v>15</v>
      </c>
      <c r="G2325">
        <v>13</v>
      </c>
      <c r="H2325" s="2">
        <f>Tabla_Items_Inactivos[[#This Row],[EXISTENCIA]]*Tabla_Items_Inactivos[[#This Row],[COSTO]]</f>
        <v>195</v>
      </c>
    </row>
    <row r="2326" spans="1:8">
      <c r="A2326" t="s">
        <v>3300</v>
      </c>
      <c r="B2326" t="s">
        <v>1166</v>
      </c>
      <c r="C2326" t="s">
        <v>1167</v>
      </c>
      <c r="D2326" t="s">
        <v>31</v>
      </c>
      <c r="E2326" t="s">
        <v>1931</v>
      </c>
      <c r="F2326" s="2">
        <v>21</v>
      </c>
      <c r="G2326">
        <v>13</v>
      </c>
      <c r="H2326" s="2">
        <f>Tabla_Items_Inactivos[[#This Row],[EXISTENCIA]]*Tabla_Items_Inactivos[[#This Row],[COSTO]]</f>
        <v>273</v>
      </c>
    </row>
    <row r="2327" spans="1:8">
      <c r="A2327" t="s">
        <v>3300</v>
      </c>
      <c r="B2327" t="s">
        <v>1168</v>
      </c>
      <c r="C2327" t="s">
        <v>1169</v>
      </c>
      <c r="D2327" t="s">
        <v>31</v>
      </c>
      <c r="E2327" t="s">
        <v>1931</v>
      </c>
      <c r="F2327" s="2">
        <v>45</v>
      </c>
      <c r="G2327">
        <v>1</v>
      </c>
      <c r="H2327" s="2">
        <f>Tabla_Items_Inactivos[[#This Row],[EXISTENCIA]]*Tabla_Items_Inactivos[[#This Row],[COSTO]]</f>
        <v>45</v>
      </c>
    </row>
    <row r="2328" spans="1:8">
      <c r="A2328" t="s">
        <v>3300</v>
      </c>
      <c r="B2328" t="s">
        <v>1170</v>
      </c>
      <c r="C2328" t="s">
        <v>1171</v>
      </c>
      <c r="D2328" t="s">
        <v>31</v>
      </c>
      <c r="E2328" t="s">
        <v>1931</v>
      </c>
      <c r="F2328" s="2">
        <v>15</v>
      </c>
      <c r="G2328">
        <v>14</v>
      </c>
      <c r="H2328" s="2">
        <f>Tabla_Items_Inactivos[[#This Row],[EXISTENCIA]]*Tabla_Items_Inactivos[[#This Row],[COSTO]]</f>
        <v>210</v>
      </c>
    </row>
    <row r="2329" spans="1:8">
      <c r="A2329" t="s">
        <v>3300</v>
      </c>
      <c r="B2329" t="s">
        <v>1172</v>
      </c>
      <c r="C2329" t="s">
        <v>1173</v>
      </c>
      <c r="D2329" t="s">
        <v>31</v>
      </c>
      <c r="E2329" t="s">
        <v>1931</v>
      </c>
      <c r="F2329" s="2">
        <v>15</v>
      </c>
      <c r="G2329">
        <v>2</v>
      </c>
      <c r="H2329" s="2">
        <f>Tabla_Items_Inactivos[[#This Row],[EXISTENCIA]]*Tabla_Items_Inactivos[[#This Row],[COSTO]]</f>
        <v>30</v>
      </c>
    </row>
    <row r="2330" spans="1:8">
      <c r="A2330" t="s">
        <v>3300</v>
      </c>
      <c r="B2330" t="s">
        <v>1174</v>
      </c>
      <c r="C2330" t="s">
        <v>1175</v>
      </c>
      <c r="D2330" t="s">
        <v>31</v>
      </c>
      <c r="E2330" t="s">
        <v>1931</v>
      </c>
      <c r="F2330" s="2">
        <v>1.5</v>
      </c>
      <c r="G2330">
        <v>10</v>
      </c>
      <c r="H2330" s="2">
        <f>Tabla_Items_Inactivos[[#This Row],[EXISTENCIA]]*Tabla_Items_Inactivos[[#This Row],[COSTO]]</f>
        <v>15</v>
      </c>
    </row>
    <row r="2331" spans="1:8">
      <c r="A2331" t="s">
        <v>3300</v>
      </c>
      <c r="B2331" t="s">
        <v>1176</v>
      </c>
      <c r="C2331" t="s">
        <v>1177</v>
      </c>
      <c r="D2331" t="s">
        <v>31</v>
      </c>
      <c r="E2331" t="s">
        <v>1931</v>
      </c>
      <c r="F2331" s="2">
        <v>30</v>
      </c>
      <c r="G2331">
        <v>6</v>
      </c>
      <c r="H2331" s="2">
        <f>Tabla_Items_Inactivos[[#This Row],[EXISTENCIA]]*Tabla_Items_Inactivos[[#This Row],[COSTO]]</f>
        <v>180</v>
      </c>
    </row>
    <row r="2332" spans="1:8">
      <c r="A2332" t="s">
        <v>3300</v>
      </c>
      <c r="B2332" t="s">
        <v>1178</v>
      </c>
      <c r="C2332" t="s">
        <v>1179</v>
      </c>
      <c r="D2332" t="s">
        <v>31</v>
      </c>
      <c r="E2332" t="s">
        <v>1931</v>
      </c>
      <c r="F2332" s="2">
        <v>15</v>
      </c>
      <c r="G2332">
        <v>6</v>
      </c>
      <c r="H2332" s="2">
        <f>Tabla_Items_Inactivos[[#This Row],[EXISTENCIA]]*Tabla_Items_Inactivos[[#This Row],[COSTO]]</f>
        <v>90</v>
      </c>
    </row>
    <row r="2333" spans="1:8">
      <c r="A2333" t="s">
        <v>3300</v>
      </c>
      <c r="B2333" t="s">
        <v>1180</v>
      </c>
      <c r="C2333" t="s">
        <v>1181</v>
      </c>
      <c r="D2333" t="s">
        <v>31</v>
      </c>
      <c r="E2333" t="s">
        <v>1931</v>
      </c>
      <c r="F2333" s="2">
        <v>109.26</v>
      </c>
      <c r="G2333">
        <v>1</v>
      </c>
      <c r="H2333" s="2">
        <f>Tabla_Items_Inactivos[[#This Row],[EXISTENCIA]]*Tabla_Items_Inactivos[[#This Row],[COSTO]]</f>
        <v>109.26</v>
      </c>
    </row>
    <row r="2334" spans="1:8">
      <c r="A2334" t="s">
        <v>3300</v>
      </c>
      <c r="B2334" t="s">
        <v>1182</v>
      </c>
      <c r="C2334" t="s">
        <v>1183</v>
      </c>
      <c r="D2334" t="s">
        <v>31</v>
      </c>
      <c r="E2334" t="s">
        <v>1931</v>
      </c>
      <c r="F2334" s="2">
        <v>49.98</v>
      </c>
      <c r="G2334">
        <v>2</v>
      </c>
      <c r="H2334" s="2">
        <f>Tabla_Items_Inactivos[[#This Row],[EXISTENCIA]]*Tabla_Items_Inactivos[[#This Row],[COSTO]]</f>
        <v>99.96</v>
      </c>
    </row>
    <row r="2335" spans="1:8">
      <c r="A2335" t="s">
        <v>3300</v>
      </c>
      <c r="B2335" t="s">
        <v>1184</v>
      </c>
      <c r="C2335" t="s">
        <v>1185</v>
      </c>
      <c r="D2335" t="s">
        <v>31</v>
      </c>
      <c r="E2335" t="s">
        <v>1931</v>
      </c>
      <c r="F2335" s="2">
        <v>9</v>
      </c>
      <c r="G2335">
        <v>2</v>
      </c>
      <c r="H2335" s="2">
        <f>Tabla_Items_Inactivos[[#This Row],[EXISTENCIA]]*Tabla_Items_Inactivos[[#This Row],[COSTO]]</f>
        <v>18</v>
      </c>
    </row>
    <row r="2336" spans="1:8">
      <c r="A2336" t="s">
        <v>3300</v>
      </c>
      <c r="B2336" t="s">
        <v>1186</v>
      </c>
      <c r="C2336" t="s">
        <v>1187</v>
      </c>
      <c r="D2336" t="s">
        <v>31</v>
      </c>
      <c r="E2336" t="s">
        <v>1931</v>
      </c>
      <c r="F2336" s="2">
        <v>15.99</v>
      </c>
      <c r="G2336">
        <v>2</v>
      </c>
      <c r="H2336" s="2">
        <f>Tabla_Items_Inactivos[[#This Row],[EXISTENCIA]]*Tabla_Items_Inactivos[[#This Row],[COSTO]]</f>
        <v>31.98</v>
      </c>
    </row>
    <row r="2337" spans="1:8">
      <c r="A2337" t="s">
        <v>3300</v>
      </c>
      <c r="B2337" t="s">
        <v>1188</v>
      </c>
      <c r="C2337" t="s">
        <v>1189</v>
      </c>
      <c r="D2337" t="s">
        <v>31</v>
      </c>
      <c r="E2337" t="s">
        <v>1931</v>
      </c>
      <c r="F2337" s="2">
        <v>171.75</v>
      </c>
      <c r="G2337">
        <v>1</v>
      </c>
      <c r="H2337" s="2">
        <f>Tabla_Items_Inactivos[[#This Row],[EXISTENCIA]]*Tabla_Items_Inactivos[[#This Row],[COSTO]]</f>
        <v>171.75</v>
      </c>
    </row>
    <row r="2338" spans="1:8">
      <c r="A2338" t="s">
        <v>3300</v>
      </c>
      <c r="B2338" t="s">
        <v>1190</v>
      </c>
      <c r="C2338" t="s">
        <v>1191</v>
      </c>
      <c r="D2338" t="s">
        <v>31</v>
      </c>
      <c r="E2338" t="s">
        <v>1931</v>
      </c>
      <c r="F2338" s="2">
        <v>6.27</v>
      </c>
      <c r="G2338">
        <v>1</v>
      </c>
      <c r="H2338" s="2">
        <f>Tabla_Items_Inactivos[[#This Row],[EXISTENCIA]]*Tabla_Items_Inactivos[[#This Row],[COSTO]]</f>
        <v>6.27</v>
      </c>
    </row>
    <row r="2339" spans="1:8">
      <c r="A2339" t="s">
        <v>3301</v>
      </c>
      <c r="B2339" t="s">
        <v>1192</v>
      </c>
      <c r="C2339" t="s">
        <v>1193</v>
      </c>
      <c r="D2339" t="s">
        <v>31</v>
      </c>
      <c r="E2339" t="s">
        <v>1931</v>
      </c>
      <c r="F2339" s="2">
        <v>174.61109999999999</v>
      </c>
      <c r="G2339">
        <v>3</v>
      </c>
      <c r="H2339" s="2">
        <f>Tabla_Items_Inactivos[[#This Row],[EXISTENCIA]]*Tabla_Items_Inactivos[[#This Row],[COSTO]]</f>
        <v>523.83330000000001</v>
      </c>
    </row>
    <row r="2340" spans="1:8">
      <c r="A2340" t="s">
        <v>3300</v>
      </c>
      <c r="B2340" t="s">
        <v>1192</v>
      </c>
      <c r="C2340" t="s">
        <v>1193</v>
      </c>
      <c r="D2340" t="s">
        <v>31</v>
      </c>
      <c r="E2340" t="s">
        <v>1931</v>
      </c>
      <c r="F2340" s="2">
        <v>174.61109999999999</v>
      </c>
      <c r="G2340">
        <v>3</v>
      </c>
      <c r="H2340" s="2">
        <f>Tabla_Items_Inactivos[[#This Row],[EXISTENCIA]]*Tabla_Items_Inactivos[[#This Row],[COSTO]]</f>
        <v>523.83330000000001</v>
      </c>
    </row>
    <row r="2341" spans="1:8">
      <c r="A2341" t="s">
        <v>3300</v>
      </c>
      <c r="B2341" t="s">
        <v>1194</v>
      </c>
      <c r="C2341" t="s">
        <v>1195</v>
      </c>
      <c r="D2341" t="s">
        <v>31</v>
      </c>
      <c r="E2341" t="s">
        <v>1931</v>
      </c>
      <c r="F2341" s="2">
        <v>9.4499999999999993</v>
      </c>
      <c r="G2341">
        <v>1</v>
      </c>
      <c r="H2341" s="2">
        <f>Tabla_Items_Inactivos[[#This Row],[EXISTENCIA]]*Tabla_Items_Inactivos[[#This Row],[COSTO]]</f>
        <v>9.4499999999999993</v>
      </c>
    </row>
    <row r="2342" spans="1:8">
      <c r="A2342" t="s">
        <v>3300</v>
      </c>
      <c r="B2342" t="s">
        <v>1196</v>
      </c>
      <c r="C2342" t="s">
        <v>1197</v>
      </c>
      <c r="D2342" t="s">
        <v>31</v>
      </c>
      <c r="E2342" t="s">
        <v>1931</v>
      </c>
      <c r="F2342" s="2">
        <v>206.6189</v>
      </c>
      <c r="G2342">
        <v>2</v>
      </c>
      <c r="H2342" s="2">
        <f>Tabla_Items_Inactivos[[#This Row],[EXISTENCIA]]*Tabla_Items_Inactivos[[#This Row],[COSTO]]</f>
        <v>413.23779999999999</v>
      </c>
    </row>
    <row r="2343" spans="1:8">
      <c r="A2343" t="s">
        <v>3301</v>
      </c>
      <c r="B2343" t="s">
        <v>1196</v>
      </c>
      <c r="C2343" t="s">
        <v>1197</v>
      </c>
      <c r="D2343" t="s">
        <v>31</v>
      </c>
      <c r="E2343" t="s">
        <v>1931</v>
      </c>
      <c r="F2343" s="2">
        <v>206.6189</v>
      </c>
      <c r="G2343">
        <v>2</v>
      </c>
      <c r="H2343" s="2">
        <f>Tabla_Items_Inactivos[[#This Row],[EXISTENCIA]]*Tabla_Items_Inactivos[[#This Row],[COSTO]]</f>
        <v>413.23779999999999</v>
      </c>
    </row>
    <row r="2344" spans="1:8">
      <c r="A2344" t="s">
        <v>3300</v>
      </c>
      <c r="B2344" t="s">
        <v>1198</v>
      </c>
      <c r="C2344" t="s">
        <v>1199</v>
      </c>
      <c r="D2344" t="s">
        <v>31</v>
      </c>
      <c r="E2344" t="s">
        <v>1931</v>
      </c>
      <c r="F2344" s="2">
        <v>14.97</v>
      </c>
      <c r="G2344">
        <v>2</v>
      </c>
      <c r="H2344" s="2">
        <f>Tabla_Items_Inactivos[[#This Row],[EXISTENCIA]]*Tabla_Items_Inactivos[[#This Row],[COSTO]]</f>
        <v>29.94</v>
      </c>
    </row>
    <row r="2345" spans="1:8">
      <c r="A2345" t="s">
        <v>3300</v>
      </c>
      <c r="B2345" t="s">
        <v>1200</v>
      </c>
      <c r="C2345" t="s">
        <v>1201</v>
      </c>
      <c r="D2345" t="s">
        <v>31</v>
      </c>
      <c r="E2345" t="s">
        <v>1931</v>
      </c>
      <c r="F2345" s="2">
        <v>7.29</v>
      </c>
      <c r="G2345">
        <v>2</v>
      </c>
      <c r="H2345" s="2">
        <f>Tabla_Items_Inactivos[[#This Row],[EXISTENCIA]]*Tabla_Items_Inactivos[[#This Row],[COSTO]]</f>
        <v>14.58</v>
      </c>
    </row>
    <row r="2346" spans="1:8">
      <c r="A2346" t="s">
        <v>3300</v>
      </c>
      <c r="B2346" t="s">
        <v>1202</v>
      </c>
      <c r="C2346" t="s">
        <v>1203</v>
      </c>
      <c r="D2346" t="s">
        <v>31</v>
      </c>
      <c r="E2346" t="s">
        <v>1931</v>
      </c>
      <c r="F2346" s="2">
        <v>15.06</v>
      </c>
      <c r="G2346">
        <v>1</v>
      </c>
      <c r="H2346" s="2">
        <f>Tabla_Items_Inactivos[[#This Row],[EXISTENCIA]]*Tabla_Items_Inactivos[[#This Row],[COSTO]]</f>
        <v>15.06</v>
      </c>
    </row>
    <row r="2347" spans="1:8">
      <c r="A2347" t="s">
        <v>3300</v>
      </c>
      <c r="B2347" t="s">
        <v>1204</v>
      </c>
      <c r="C2347" t="s">
        <v>1205</v>
      </c>
      <c r="D2347" t="s">
        <v>31</v>
      </c>
      <c r="E2347" t="s">
        <v>1931</v>
      </c>
      <c r="F2347" s="2">
        <v>18</v>
      </c>
      <c r="G2347">
        <v>1</v>
      </c>
      <c r="H2347" s="2">
        <f>Tabla_Items_Inactivos[[#This Row],[EXISTENCIA]]*Tabla_Items_Inactivos[[#This Row],[COSTO]]</f>
        <v>18</v>
      </c>
    </row>
    <row r="2348" spans="1:8">
      <c r="A2348" t="s">
        <v>3300</v>
      </c>
      <c r="B2348" t="s">
        <v>1206</v>
      </c>
      <c r="C2348" t="s">
        <v>1207</v>
      </c>
      <c r="D2348" t="s">
        <v>31</v>
      </c>
      <c r="E2348" t="s">
        <v>1931</v>
      </c>
      <c r="F2348" s="2">
        <v>21.78</v>
      </c>
      <c r="G2348">
        <v>1</v>
      </c>
      <c r="H2348" s="2">
        <f>Tabla_Items_Inactivos[[#This Row],[EXISTENCIA]]*Tabla_Items_Inactivos[[#This Row],[COSTO]]</f>
        <v>21.78</v>
      </c>
    </row>
    <row r="2349" spans="1:8">
      <c r="A2349" t="s">
        <v>3300</v>
      </c>
      <c r="B2349" t="s">
        <v>1208</v>
      </c>
      <c r="C2349" t="s">
        <v>1209</v>
      </c>
      <c r="D2349" t="s">
        <v>31</v>
      </c>
      <c r="E2349" t="s">
        <v>1931</v>
      </c>
      <c r="F2349" s="2">
        <v>0.18</v>
      </c>
      <c r="G2349">
        <v>6</v>
      </c>
      <c r="H2349" s="2">
        <f>Tabla_Items_Inactivos[[#This Row],[EXISTENCIA]]*Tabla_Items_Inactivos[[#This Row],[COSTO]]</f>
        <v>1.08</v>
      </c>
    </row>
    <row r="2350" spans="1:8">
      <c r="A2350" t="s">
        <v>3300</v>
      </c>
      <c r="B2350" t="s">
        <v>1210</v>
      </c>
      <c r="C2350" t="s">
        <v>1211</v>
      </c>
      <c r="D2350" t="s">
        <v>31</v>
      </c>
      <c r="E2350" t="s">
        <v>1931</v>
      </c>
      <c r="F2350" s="2">
        <v>0.78</v>
      </c>
      <c r="G2350">
        <v>6</v>
      </c>
      <c r="H2350" s="2">
        <f>Tabla_Items_Inactivos[[#This Row],[EXISTENCIA]]*Tabla_Items_Inactivos[[#This Row],[COSTO]]</f>
        <v>4.68</v>
      </c>
    </row>
    <row r="2351" spans="1:8">
      <c r="A2351" t="s">
        <v>3300</v>
      </c>
      <c r="B2351" t="s">
        <v>1212</v>
      </c>
      <c r="C2351" t="s">
        <v>1213</v>
      </c>
      <c r="D2351" t="s">
        <v>31</v>
      </c>
      <c r="E2351" t="s">
        <v>1931</v>
      </c>
      <c r="F2351" s="2">
        <v>0.87</v>
      </c>
      <c r="G2351">
        <v>1</v>
      </c>
      <c r="H2351" s="2">
        <f>Tabla_Items_Inactivos[[#This Row],[EXISTENCIA]]*Tabla_Items_Inactivos[[#This Row],[COSTO]]</f>
        <v>0.87</v>
      </c>
    </row>
    <row r="2352" spans="1:8">
      <c r="A2352" t="s">
        <v>3300</v>
      </c>
      <c r="B2352" t="s">
        <v>1214</v>
      </c>
      <c r="C2352" t="s">
        <v>1215</v>
      </c>
      <c r="D2352" t="s">
        <v>31</v>
      </c>
      <c r="E2352" t="s">
        <v>1931</v>
      </c>
      <c r="F2352" s="2">
        <v>9.24</v>
      </c>
      <c r="G2352">
        <v>3</v>
      </c>
      <c r="H2352" s="2">
        <f>Tabla_Items_Inactivos[[#This Row],[EXISTENCIA]]*Tabla_Items_Inactivos[[#This Row],[COSTO]]</f>
        <v>27.72</v>
      </c>
    </row>
    <row r="2353" spans="1:8">
      <c r="A2353" t="s">
        <v>3300</v>
      </c>
      <c r="B2353" t="s">
        <v>1216</v>
      </c>
      <c r="C2353" t="s">
        <v>1217</v>
      </c>
      <c r="D2353" t="s">
        <v>31</v>
      </c>
      <c r="E2353" t="s">
        <v>1931</v>
      </c>
      <c r="F2353" s="2">
        <v>2.1059999999999999</v>
      </c>
      <c r="G2353">
        <v>6</v>
      </c>
      <c r="H2353" s="2">
        <f>Tabla_Items_Inactivos[[#This Row],[EXISTENCIA]]*Tabla_Items_Inactivos[[#This Row],[COSTO]]</f>
        <v>12.635999999999999</v>
      </c>
    </row>
    <row r="2354" spans="1:8">
      <c r="A2354" t="s">
        <v>3300</v>
      </c>
      <c r="B2354" t="s">
        <v>1218</v>
      </c>
      <c r="C2354" t="s">
        <v>1219</v>
      </c>
      <c r="D2354" t="s">
        <v>31</v>
      </c>
      <c r="E2354" t="s">
        <v>1931</v>
      </c>
      <c r="F2354" s="2">
        <v>2.79</v>
      </c>
      <c r="G2354">
        <v>2</v>
      </c>
      <c r="H2354" s="2">
        <f>Tabla_Items_Inactivos[[#This Row],[EXISTENCIA]]*Tabla_Items_Inactivos[[#This Row],[COSTO]]</f>
        <v>5.58</v>
      </c>
    </row>
    <row r="2355" spans="1:8">
      <c r="A2355" t="s">
        <v>3300</v>
      </c>
      <c r="B2355" t="s">
        <v>1220</v>
      </c>
      <c r="C2355" t="s">
        <v>1221</v>
      </c>
      <c r="D2355" t="s">
        <v>31</v>
      </c>
      <c r="E2355" t="s">
        <v>1931</v>
      </c>
      <c r="F2355" s="2">
        <v>16.32</v>
      </c>
      <c r="G2355">
        <v>1</v>
      </c>
      <c r="H2355" s="2">
        <f>Tabla_Items_Inactivos[[#This Row],[EXISTENCIA]]*Tabla_Items_Inactivos[[#This Row],[COSTO]]</f>
        <v>16.32</v>
      </c>
    </row>
    <row r="2356" spans="1:8">
      <c r="A2356" t="s">
        <v>3300</v>
      </c>
      <c r="B2356" t="s">
        <v>1222</v>
      </c>
      <c r="C2356" t="s">
        <v>1223</v>
      </c>
      <c r="D2356" t="s">
        <v>31</v>
      </c>
      <c r="E2356" t="s">
        <v>1931</v>
      </c>
      <c r="F2356" s="2">
        <v>12.66</v>
      </c>
      <c r="G2356">
        <v>1</v>
      </c>
      <c r="H2356" s="2">
        <f>Tabla_Items_Inactivos[[#This Row],[EXISTENCIA]]*Tabla_Items_Inactivos[[#This Row],[COSTO]]</f>
        <v>12.66</v>
      </c>
    </row>
    <row r="2357" spans="1:8">
      <c r="A2357" t="s">
        <v>3300</v>
      </c>
      <c r="B2357" t="s">
        <v>1224</v>
      </c>
      <c r="C2357" t="s">
        <v>1225</v>
      </c>
      <c r="D2357" t="s">
        <v>31</v>
      </c>
      <c r="E2357" t="s">
        <v>1931</v>
      </c>
      <c r="F2357" s="2">
        <v>37.020000000000003</v>
      </c>
      <c r="G2357">
        <v>1</v>
      </c>
      <c r="H2357" s="2">
        <f>Tabla_Items_Inactivos[[#This Row],[EXISTENCIA]]*Tabla_Items_Inactivos[[#This Row],[COSTO]]</f>
        <v>37.020000000000003</v>
      </c>
    </row>
    <row r="2358" spans="1:8">
      <c r="A2358" t="s">
        <v>3301</v>
      </c>
      <c r="B2358" t="s">
        <v>5165</v>
      </c>
      <c r="C2358" t="s">
        <v>5166</v>
      </c>
      <c r="D2358" t="s">
        <v>3304</v>
      </c>
      <c r="E2358" t="s">
        <v>1931</v>
      </c>
      <c r="F2358" s="2">
        <v>659.29</v>
      </c>
      <c r="G2358">
        <v>3</v>
      </c>
      <c r="H2358" s="2">
        <f>Tabla_Items_Inactivos[[#This Row],[EXISTENCIA]]*Tabla_Items_Inactivos[[#This Row],[COSTO]]</f>
        <v>1977.87</v>
      </c>
    </row>
    <row r="2359" spans="1:8">
      <c r="A2359" t="s">
        <v>3300</v>
      </c>
      <c r="B2359" t="s">
        <v>1226</v>
      </c>
      <c r="C2359" t="s">
        <v>1227</v>
      </c>
      <c r="D2359" t="s">
        <v>31</v>
      </c>
      <c r="E2359" t="s">
        <v>1931</v>
      </c>
      <c r="F2359" s="2">
        <v>74.885999999999996</v>
      </c>
      <c r="G2359">
        <v>1</v>
      </c>
      <c r="H2359" s="2">
        <f>Tabla_Items_Inactivos[[#This Row],[EXISTENCIA]]*Tabla_Items_Inactivos[[#This Row],[COSTO]]</f>
        <v>74.885999999999996</v>
      </c>
    </row>
    <row r="2360" spans="1:8">
      <c r="A2360" t="s">
        <v>3300</v>
      </c>
      <c r="B2360" t="s">
        <v>1228</v>
      </c>
      <c r="C2360" t="s">
        <v>1229</v>
      </c>
      <c r="D2360" t="s">
        <v>31</v>
      </c>
      <c r="E2360" t="s">
        <v>1931</v>
      </c>
      <c r="F2360" s="2">
        <v>359.55</v>
      </c>
      <c r="G2360">
        <v>1</v>
      </c>
      <c r="H2360" s="2">
        <f>Tabla_Items_Inactivos[[#This Row],[EXISTENCIA]]*Tabla_Items_Inactivos[[#This Row],[COSTO]]</f>
        <v>359.55</v>
      </c>
    </row>
    <row r="2361" spans="1:8">
      <c r="A2361" t="s">
        <v>3300</v>
      </c>
      <c r="B2361" t="s">
        <v>5167</v>
      </c>
      <c r="C2361" t="s">
        <v>5168</v>
      </c>
      <c r="D2361" t="s">
        <v>3430</v>
      </c>
      <c r="E2361" t="s">
        <v>1931</v>
      </c>
      <c r="F2361" s="2">
        <v>771.6</v>
      </c>
      <c r="G2361">
        <v>1</v>
      </c>
      <c r="H2361" s="2">
        <f>Tabla_Items_Inactivos[[#This Row],[EXISTENCIA]]*Tabla_Items_Inactivos[[#This Row],[COSTO]]</f>
        <v>771.6</v>
      </c>
    </row>
    <row r="2362" spans="1:8">
      <c r="A2362" t="s">
        <v>3300</v>
      </c>
      <c r="B2362" t="s">
        <v>1230</v>
      </c>
      <c r="C2362" t="s">
        <v>1231</v>
      </c>
      <c r="D2362" t="s">
        <v>31</v>
      </c>
      <c r="E2362" t="s">
        <v>1931</v>
      </c>
      <c r="F2362" s="2">
        <v>0</v>
      </c>
      <c r="G2362">
        <v>10</v>
      </c>
      <c r="H2362" s="2">
        <f>Tabla_Items_Inactivos[[#This Row],[EXISTENCIA]]*Tabla_Items_Inactivos[[#This Row],[COSTO]]</f>
        <v>0</v>
      </c>
    </row>
    <row r="2363" spans="1:8">
      <c r="A2363" t="s">
        <v>3301</v>
      </c>
      <c r="B2363" t="s">
        <v>5169</v>
      </c>
      <c r="C2363" t="s">
        <v>5170</v>
      </c>
      <c r="D2363" t="s">
        <v>3304</v>
      </c>
      <c r="E2363" t="s">
        <v>1931</v>
      </c>
      <c r="F2363" s="2">
        <v>272.64</v>
      </c>
      <c r="G2363">
        <v>3</v>
      </c>
      <c r="H2363" s="2">
        <f>Tabla_Items_Inactivos[[#This Row],[EXISTENCIA]]*Tabla_Items_Inactivos[[#This Row],[COSTO]]</f>
        <v>817.92</v>
      </c>
    </row>
    <row r="2364" spans="1:8">
      <c r="A2364" t="s">
        <v>3301</v>
      </c>
      <c r="B2364" t="s">
        <v>5171</v>
      </c>
      <c r="C2364" t="s">
        <v>5172</v>
      </c>
      <c r="D2364" t="s">
        <v>3304</v>
      </c>
      <c r="E2364" t="s">
        <v>1931</v>
      </c>
      <c r="F2364" s="2">
        <v>174.42500000000001</v>
      </c>
      <c r="G2364">
        <v>1</v>
      </c>
      <c r="H2364" s="2">
        <f>Tabla_Items_Inactivos[[#This Row],[EXISTENCIA]]*Tabla_Items_Inactivos[[#This Row],[COSTO]]</f>
        <v>174.42500000000001</v>
      </c>
    </row>
    <row r="2365" spans="1:8">
      <c r="A2365" t="s">
        <v>3301</v>
      </c>
      <c r="B2365" t="s">
        <v>5173</v>
      </c>
      <c r="C2365" t="s">
        <v>5174</v>
      </c>
      <c r="D2365" t="s">
        <v>3304</v>
      </c>
      <c r="E2365" t="s">
        <v>1931</v>
      </c>
      <c r="F2365" s="2">
        <v>410.66</v>
      </c>
      <c r="G2365">
        <v>3</v>
      </c>
      <c r="H2365" s="2">
        <f>Tabla_Items_Inactivos[[#This Row],[EXISTENCIA]]*Tabla_Items_Inactivos[[#This Row],[COSTO]]</f>
        <v>1231.98</v>
      </c>
    </row>
    <row r="2366" spans="1:8">
      <c r="A2366" t="s">
        <v>3301</v>
      </c>
      <c r="B2366" t="s">
        <v>5175</v>
      </c>
      <c r="C2366" t="s">
        <v>5176</v>
      </c>
      <c r="D2366" t="s">
        <v>3304</v>
      </c>
      <c r="E2366" t="s">
        <v>1931</v>
      </c>
      <c r="F2366" s="2">
        <v>160.93</v>
      </c>
      <c r="G2366">
        <v>1</v>
      </c>
      <c r="H2366" s="2">
        <f>Tabla_Items_Inactivos[[#This Row],[EXISTENCIA]]*Tabla_Items_Inactivos[[#This Row],[COSTO]]</f>
        <v>160.93</v>
      </c>
    </row>
    <row r="2367" spans="1:8">
      <c r="A2367" t="s">
        <v>3301</v>
      </c>
      <c r="B2367" t="s">
        <v>5177</v>
      </c>
      <c r="C2367" t="s">
        <v>5178</v>
      </c>
      <c r="D2367" t="s">
        <v>3304</v>
      </c>
      <c r="E2367" t="s">
        <v>1931</v>
      </c>
      <c r="F2367" s="2">
        <v>117.26</v>
      </c>
      <c r="G2367">
        <v>3</v>
      </c>
      <c r="H2367" s="2">
        <f>Tabla_Items_Inactivos[[#This Row],[EXISTENCIA]]*Tabla_Items_Inactivos[[#This Row],[COSTO]]</f>
        <v>351.78000000000003</v>
      </c>
    </row>
    <row r="2368" spans="1:8">
      <c r="A2368" t="s">
        <v>3301</v>
      </c>
      <c r="B2368" t="s">
        <v>5179</v>
      </c>
      <c r="C2368" t="s">
        <v>5180</v>
      </c>
      <c r="D2368" t="s">
        <v>3304</v>
      </c>
      <c r="E2368" t="s">
        <v>1931</v>
      </c>
      <c r="F2368" s="2">
        <v>340.64659999999998</v>
      </c>
      <c r="G2368">
        <v>2</v>
      </c>
      <c r="H2368" s="2">
        <f>Tabla_Items_Inactivos[[#This Row],[EXISTENCIA]]*Tabla_Items_Inactivos[[#This Row],[COSTO]]</f>
        <v>681.29319999999996</v>
      </c>
    </row>
    <row r="2369" spans="1:8">
      <c r="A2369" t="s">
        <v>3301</v>
      </c>
      <c r="B2369" t="s">
        <v>5181</v>
      </c>
      <c r="C2369" t="s">
        <v>5182</v>
      </c>
      <c r="D2369" t="s">
        <v>3304</v>
      </c>
      <c r="E2369" t="s">
        <v>1931</v>
      </c>
      <c r="F2369" s="2">
        <v>250.15</v>
      </c>
      <c r="G2369">
        <v>3</v>
      </c>
      <c r="H2369" s="2">
        <f>Tabla_Items_Inactivos[[#This Row],[EXISTENCIA]]*Tabla_Items_Inactivos[[#This Row],[COSTO]]</f>
        <v>750.45</v>
      </c>
    </row>
    <row r="2370" spans="1:8">
      <c r="A2370" t="s">
        <v>3301</v>
      </c>
      <c r="B2370" t="s">
        <v>5183</v>
      </c>
      <c r="C2370" t="s">
        <v>5184</v>
      </c>
      <c r="D2370" t="s">
        <v>3304</v>
      </c>
      <c r="E2370" t="s">
        <v>1931</v>
      </c>
      <c r="F2370" s="2">
        <v>269.33999999999997</v>
      </c>
      <c r="G2370">
        <v>3</v>
      </c>
      <c r="H2370" s="2">
        <f>Tabla_Items_Inactivos[[#This Row],[EXISTENCIA]]*Tabla_Items_Inactivos[[#This Row],[COSTO]]</f>
        <v>808.02</v>
      </c>
    </row>
    <row r="2371" spans="1:8">
      <c r="A2371" t="s">
        <v>3301</v>
      </c>
      <c r="B2371" t="s">
        <v>5185</v>
      </c>
      <c r="C2371" t="s">
        <v>5186</v>
      </c>
      <c r="D2371" t="s">
        <v>3304</v>
      </c>
      <c r="E2371" t="s">
        <v>1931</v>
      </c>
      <c r="F2371" s="2">
        <v>433.34</v>
      </c>
      <c r="G2371">
        <v>3</v>
      </c>
      <c r="H2371" s="2">
        <f>Tabla_Items_Inactivos[[#This Row],[EXISTENCIA]]*Tabla_Items_Inactivos[[#This Row],[COSTO]]</f>
        <v>1300.02</v>
      </c>
    </row>
    <row r="2372" spans="1:8">
      <c r="A2372" t="s">
        <v>3300</v>
      </c>
      <c r="B2372" t="s">
        <v>1232</v>
      </c>
      <c r="C2372" t="s">
        <v>1233</v>
      </c>
      <c r="D2372" t="s">
        <v>85</v>
      </c>
      <c r="E2372" t="s">
        <v>86</v>
      </c>
      <c r="F2372" s="2">
        <v>4.6551</v>
      </c>
      <c r="G2372">
        <v>12</v>
      </c>
      <c r="H2372" s="2">
        <f>Tabla_Items_Inactivos[[#This Row],[EXISTENCIA]]*Tabla_Items_Inactivos[[#This Row],[COSTO]]</f>
        <v>55.861199999999997</v>
      </c>
    </row>
    <row r="2373" spans="1:8">
      <c r="A2373" t="s">
        <v>3301</v>
      </c>
      <c r="B2373" t="s">
        <v>1232</v>
      </c>
      <c r="C2373" t="s">
        <v>1233</v>
      </c>
      <c r="D2373" t="s">
        <v>85</v>
      </c>
      <c r="E2373" t="s">
        <v>86</v>
      </c>
      <c r="F2373" s="2">
        <v>4.6551</v>
      </c>
      <c r="G2373">
        <v>12</v>
      </c>
      <c r="H2373" s="2">
        <f>Tabla_Items_Inactivos[[#This Row],[EXISTENCIA]]*Tabla_Items_Inactivos[[#This Row],[COSTO]]</f>
        <v>55.861199999999997</v>
      </c>
    </row>
    <row r="2374" spans="1:8">
      <c r="A2374" t="s">
        <v>3300</v>
      </c>
      <c r="B2374" t="s">
        <v>1234</v>
      </c>
      <c r="C2374" t="s">
        <v>1235</v>
      </c>
      <c r="D2374" t="s">
        <v>85</v>
      </c>
      <c r="E2374" t="s">
        <v>86</v>
      </c>
      <c r="F2374" s="2">
        <v>15.07</v>
      </c>
      <c r="G2374">
        <v>1</v>
      </c>
      <c r="H2374" s="2">
        <f>Tabla_Items_Inactivos[[#This Row],[EXISTENCIA]]*Tabla_Items_Inactivos[[#This Row],[COSTO]]</f>
        <v>15.07</v>
      </c>
    </row>
    <row r="2375" spans="1:8">
      <c r="A2375" t="s">
        <v>3301</v>
      </c>
      <c r="B2375" t="s">
        <v>5187</v>
      </c>
      <c r="C2375" t="s">
        <v>5188</v>
      </c>
      <c r="D2375" t="s">
        <v>3304</v>
      </c>
      <c r="E2375" t="s">
        <v>1931</v>
      </c>
      <c r="F2375" s="2">
        <v>260.57</v>
      </c>
      <c r="G2375">
        <v>1</v>
      </c>
      <c r="H2375" s="2">
        <f>Tabla_Items_Inactivos[[#This Row],[EXISTENCIA]]*Tabla_Items_Inactivos[[#This Row],[COSTO]]</f>
        <v>260.57</v>
      </c>
    </row>
    <row r="2376" spans="1:8">
      <c r="A2376" t="s">
        <v>3300</v>
      </c>
      <c r="B2376" t="s">
        <v>1236</v>
      </c>
      <c r="C2376" t="s">
        <v>1237</v>
      </c>
      <c r="D2376" t="s">
        <v>1821</v>
      </c>
      <c r="E2376" t="s">
        <v>125</v>
      </c>
      <c r="F2376" s="2">
        <v>101.50109999999999</v>
      </c>
      <c r="G2376">
        <v>1</v>
      </c>
      <c r="H2376" s="2">
        <f>Tabla_Items_Inactivos[[#This Row],[EXISTENCIA]]*Tabla_Items_Inactivos[[#This Row],[COSTO]]</f>
        <v>101.50109999999999</v>
      </c>
    </row>
    <row r="2377" spans="1:8">
      <c r="A2377" t="s">
        <v>3301</v>
      </c>
      <c r="B2377" t="s">
        <v>1236</v>
      </c>
      <c r="C2377" t="s">
        <v>1237</v>
      </c>
      <c r="D2377" t="s">
        <v>1821</v>
      </c>
      <c r="E2377" t="s">
        <v>125</v>
      </c>
      <c r="F2377" s="2">
        <v>101.50109999999999</v>
      </c>
      <c r="G2377">
        <v>1</v>
      </c>
      <c r="H2377" s="2">
        <f>Tabla_Items_Inactivos[[#This Row],[EXISTENCIA]]*Tabla_Items_Inactivos[[#This Row],[COSTO]]</f>
        <v>101.50109999999999</v>
      </c>
    </row>
    <row r="2378" spans="1:8">
      <c r="A2378" t="s">
        <v>3300</v>
      </c>
      <c r="B2378" t="s">
        <v>3200</v>
      </c>
      <c r="C2378" t="s">
        <v>3201</v>
      </c>
      <c r="D2378" t="s">
        <v>1852</v>
      </c>
      <c r="E2378" t="s">
        <v>125</v>
      </c>
      <c r="F2378" s="2">
        <v>355.87380000000002</v>
      </c>
      <c r="G2378">
        <v>6</v>
      </c>
      <c r="H2378" s="2">
        <f>Tabla_Items_Inactivos[[#This Row],[EXISTENCIA]]*Tabla_Items_Inactivos[[#This Row],[COSTO]]</f>
        <v>2135.2428</v>
      </c>
    </row>
    <row r="2379" spans="1:8">
      <c r="A2379" t="s">
        <v>3301</v>
      </c>
      <c r="B2379" t="s">
        <v>3200</v>
      </c>
      <c r="C2379" t="s">
        <v>3201</v>
      </c>
      <c r="D2379" t="s">
        <v>1852</v>
      </c>
      <c r="E2379" t="s">
        <v>125</v>
      </c>
      <c r="F2379" s="2">
        <v>355.87380000000002</v>
      </c>
      <c r="G2379">
        <v>6</v>
      </c>
      <c r="H2379" s="2">
        <f>Tabla_Items_Inactivos[[#This Row],[EXISTENCIA]]*Tabla_Items_Inactivos[[#This Row],[COSTO]]</f>
        <v>2135.2428</v>
      </c>
    </row>
    <row r="2380" spans="1:8">
      <c r="A2380" t="s">
        <v>3300</v>
      </c>
      <c r="B2380" t="s">
        <v>5189</v>
      </c>
      <c r="C2380" t="s">
        <v>5190</v>
      </c>
      <c r="D2380" t="s">
        <v>124</v>
      </c>
      <c r="E2380" t="s">
        <v>125</v>
      </c>
      <c r="F2380" s="2">
        <v>204.03219999999999</v>
      </c>
      <c r="G2380">
        <v>4</v>
      </c>
      <c r="H2380" s="2">
        <f>Tabla_Items_Inactivos[[#This Row],[EXISTENCIA]]*Tabla_Items_Inactivos[[#This Row],[COSTO]]</f>
        <v>816.12879999999996</v>
      </c>
    </row>
    <row r="2381" spans="1:8">
      <c r="A2381" t="s">
        <v>3301</v>
      </c>
      <c r="B2381" t="s">
        <v>5189</v>
      </c>
      <c r="C2381" t="s">
        <v>5190</v>
      </c>
      <c r="D2381" t="s">
        <v>124</v>
      </c>
      <c r="E2381" t="s">
        <v>125</v>
      </c>
      <c r="F2381" s="2">
        <v>204.03219999999999</v>
      </c>
      <c r="G2381">
        <v>4</v>
      </c>
      <c r="H2381" s="2">
        <f>Tabla_Items_Inactivos[[#This Row],[EXISTENCIA]]*Tabla_Items_Inactivos[[#This Row],[COSTO]]</f>
        <v>816.12879999999996</v>
      </c>
    </row>
    <row r="2382" spans="1:8">
      <c r="A2382" t="s">
        <v>3300</v>
      </c>
      <c r="B2382" t="s">
        <v>5191</v>
      </c>
      <c r="C2382" t="s">
        <v>5192</v>
      </c>
      <c r="D2382" t="s">
        <v>1852</v>
      </c>
      <c r="E2382" t="s">
        <v>125</v>
      </c>
      <c r="F2382" s="2">
        <v>539.01049999999998</v>
      </c>
      <c r="G2382">
        <v>2</v>
      </c>
      <c r="H2382" s="2">
        <f>Tabla_Items_Inactivos[[#This Row],[EXISTENCIA]]*Tabla_Items_Inactivos[[#This Row],[COSTO]]</f>
        <v>1078.021</v>
      </c>
    </row>
    <row r="2383" spans="1:8">
      <c r="A2383" t="s">
        <v>3301</v>
      </c>
      <c r="B2383" t="s">
        <v>5191</v>
      </c>
      <c r="C2383" t="s">
        <v>5192</v>
      </c>
      <c r="D2383" t="s">
        <v>1852</v>
      </c>
      <c r="E2383" t="s">
        <v>125</v>
      </c>
      <c r="F2383" s="2">
        <v>539.01049999999998</v>
      </c>
      <c r="G2383">
        <v>2</v>
      </c>
      <c r="H2383" s="2">
        <f>Tabla_Items_Inactivos[[#This Row],[EXISTENCIA]]*Tabla_Items_Inactivos[[#This Row],[COSTO]]</f>
        <v>1078.021</v>
      </c>
    </row>
    <row r="2384" spans="1:8">
      <c r="A2384" t="s">
        <v>3300</v>
      </c>
      <c r="B2384" t="s">
        <v>1238</v>
      </c>
      <c r="C2384" t="s">
        <v>1239</v>
      </c>
      <c r="D2384" t="s">
        <v>1821</v>
      </c>
      <c r="E2384" t="s">
        <v>125</v>
      </c>
      <c r="F2384" s="2">
        <v>145.80950000000001</v>
      </c>
      <c r="G2384">
        <v>2</v>
      </c>
      <c r="H2384" s="2">
        <f>Tabla_Items_Inactivos[[#This Row],[EXISTENCIA]]*Tabla_Items_Inactivos[[#This Row],[COSTO]]</f>
        <v>291.61900000000003</v>
      </c>
    </row>
    <row r="2385" spans="1:8">
      <c r="A2385" t="s">
        <v>3301</v>
      </c>
      <c r="B2385" t="s">
        <v>1238</v>
      </c>
      <c r="C2385" t="s">
        <v>1239</v>
      </c>
      <c r="D2385" t="s">
        <v>1821</v>
      </c>
      <c r="E2385" t="s">
        <v>125</v>
      </c>
      <c r="F2385" s="2">
        <v>145.80950000000001</v>
      </c>
      <c r="G2385">
        <v>2</v>
      </c>
      <c r="H2385" s="2">
        <f>Tabla_Items_Inactivos[[#This Row],[EXISTENCIA]]*Tabla_Items_Inactivos[[#This Row],[COSTO]]</f>
        <v>291.61900000000003</v>
      </c>
    </row>
    <row r="2386" spans="1:8">
      <c r="A2386" t="s">
        <v>3300</v>
      </c>
      <c r="B2386" t="s">
        <v>1240</v>
      </c>
      <c r="C2386" t="s">
        <v>1241</v>
      </c>
      <c r="D2386" t="s">
        <v>1852</v>
      </c>
      <c r="E2386" t="s">
        <v>125</v>
      </c>
      <c r="F2386" s="2">
        <v>214.2884</v>
      </c>
      <c r="G2386">
        <v>1</v>
      </c>
      <c r="H2386" s="2">
        <f>Tabla_Items_Inactivos[[#This Row],[EXISTENCIA]]*Tabla_Items_Inactivos[[#This Row],[COSTO]]</f>
        <v>214.2884</v>
      </c>
    </row>
    <row r="2387" spans="1:8">
      <c r="A2387" t="s">
        <v>3301</v>
      </c>
      <c r="B2387" t="s">
        <v>1240</v>
      </c>
      <c r="C2387" t="s">
        <v>1241</v>
      </c>
      <c r="D2387" t="s">
        <v>1852</v>
      </c>
      <c r="E2387" t="s">
        <v>125</v>
      </c>
      <c r="F2387" s="2">
        <v>214.2884</v>
      </c>
      <c r="G2387">
        <v>1</v>
      </c>
      <c r="H2387" s="2">
        <f>Tabla_Items_Inactivos[[#This Row],[EXISTENCIA]]*Tabla_Items_Inactivos[[#This Row],[COSTO]]</f>
        <v>214.2884</v>
      </c>
    </row>
    <row r="2388" spans="1:8">
      <c r="A2388" t="s">
        <v>3301</v>
      </c>
      <c r="B2388" t="s">
        <v>5193</v>
      </c>
      <c r="C2388" t="s">
        <v>5194</v>
      </c>
      <c r="D2388" t="s">
        <v>124</v>
      </c>
      <c r="E2388" t="s">
        <v>125</v>
      </c>
      <c r="F2388" s="2">
        <v>0</v>
      </c>
      <c r="G2388">
        <v>5</v>
      </c>
      <c r="H2388" s="2">
        <f>Tabla_Items_Inactivos[[#This Row],[EXISTENCIA]]*Tabla_Items_Inactivos[[#This Row],[COSTO]]</f>
        <v>0</v>
      </c>
    </row>
    <row r="2389" spans="1:8">
      <c r="A2389" t="s">
        <v>3301</v>
      </c>
      <c r="B2389" t="s">
        <v>5195</v>
      </c>
      <c r="C2389" t="s">
        <v>5196</v>
      </c>
      <c r="D2389" t="s">
        <v>124</v>
      </c>
      <c r="E2389" t="s">
        <v>125</v>
      </c>
      <c r="F2389" s="2">
        <v>0</v>
      </c>
      <c r="G2389">
        <v>5</v>
      </c>
      <c r="H2389" s="2">
        <f>Tabla_Items_Inactivos[[#This Row],[EXISTENCIA]]*Tabla_Items_Inactivos[[#This Row],[COSTO]]</f>
        <v>0</v>
      </c>
    </row>
    <row r="2390" spans="1:8">
      <c r="A2390" t="s">
        <v>3301</v>
      </c>
      <c r="B2390" t="s">
        <v>5197</v>
      </c>
      <c r="C2390" t="s">
        <v>5198</v>
      </c>
      <c r="D2390" t="s">
        <v>124</v>
      </c>
      <c r="E2390" t="s">
        <v>125</v>
      </c>
      <c r="F2390" s="2">
        <v>0</v>
      </c>
      <c r="G2390">
        <v>4</v>
      </c>
      <c r="H2390" s="2">
        <f>Tabla_Items_Inactivos[[#This Row],[EXISTENCIA]]*Tabla_Items_Inactivos[[#This Row],[COSTO]]</f>
        <v>0</v>
      </c>
    </row>
    <row r="2391" spans="1:8">
      <c r="A2391" t="s">
        <v>3299</v>
      </c>
      <c r="B2391" t="s">
        <v>5199</v>
      </c>
      <c r="C2391" t="s">
        <v>5200</v>
      </c>
      <c r="D2391" t="s">
        <v>580</v>
      </c>
      <c r="E2391" t="s">
        <v>581</v>
      </c>
      <c r="F2391" s="2">
        <v>1.76</v>
      </c>
      <c r="G2391">
        <v>300.39999999999998</v>
      </c>
      <c r="H2391" s="2">
        <f>Tabla_Items_Inactivos[[#This Row],[EXISTENCIA]]*Tabla_Items_Inactivos[[#This Row],[COSTO]]</f>
        <v>528.70399999999995</v>
      </c>
    </row>
    <row r="2392" spans="1:8">
      <c r="A2392" t="s">
        <v>3299</v>
      </c>
      <c r="B2392" t="s">
        <v>1242</v>
      </c>
      <c r="C2392" t="s">
        <v>5201</v>
      </c>
      <c r="D2392" t="s">
        <v>101</v>
      </c>
      <c r="E2392" t="s">
        <v>581</v>
      </c>
      <c r="F2392" s="2">
        <v>2.0438000000000001</v>
      </c>
      <c r="G2392">
        <v>474.99</v>
      </c>
      <c r="H2392" s="2">
        <f>Tabla_Items_Inactivos[[#This Row],[EXISTENCIA]]*Tabla_Items_Inactivos[[#This Row],[COSTO]]</f>
        <v>970.78456200000005</v>
      </c>
    </row>
    <row r="2393" spans="1:8">
      <c r="A2393" t="s">
        <v>3299</v>
      </c>
      <c r="B2393" t="s">
        <v>1243</v>
      </c>
      <c r="C2393" t="s">
        <v>1244</v>
      </c>
      <c r="D2393" t="s">
        <v>115</v>
      </c>
      <c r="E2393" t="s">
        <v>102</v>
      </c>
      <c r="F2393" s="2">
        <v>0.11600000000000001</v>
      </c>
      <c r="G2393">
        <v>1126</v>
      </c>
      <c r="H2393" s="2">
        <f>Tabla_Items_Inactivos[[#This Row],[EXISTENCIA]]*Tabla_Items_Inactivos[[#This Row],[COSTO]]</f>
        <v>130.61600000000001</v>
      </c>
    </row>
    <row r="2394" spans="1:8">
      <c r="A2394" t="s">
        <v>3299</v>
      </c>
      <c r="B2394" t="s">
        <v>1245</v>
      </c>
      <c r="C2394" t="s">
        <v>1246</v>
      </c>
      <c r="D2394" t="s">
        <v>115</v>
      </c>
      <c r="E2394" t="s">
        <v>102</v>
      </c>
      <c r="F2394" s="2">
        <v>0.11799999999999999</v>
      </c>
      <c r="G2394">
        <v>1116</v>
      </c>
      <c r="H2394" s="2">
        <f>Tabla_Items_Inactivos[[#This Row],[EXISTENCIA]]*Tabla_Items_Inactivos[[#This Row],[COSTO]]</f>
        <v>131.68799999999999</v>
      </c>
    </row>
    <row r="2395" spans="1:8">
      <c r="A2395" t="s">
        <v>3299</v>
      </c>
      <c r="B2395" t="s">
        <v>1247</v>
      </c>
      <c r="C2395" t="s">
        <v>1248</v>
      </c>
      <c r="D2395" t="s">
        <v>115</v>
      </c>
      <c r="E2395" t="s">
        <v>102</v>
      </c>
      <c r="F2395" s="2">
        <v>0.04</v>
      </c>
      <c r="G2395">
        <v>3242</v>
      </c>
      <c r="H2395" s="2">
        <f>Tabla_Items_Inactivos[[#This Row],[EXISTENCIA]]*Tabla_Items_Inactivos[[#This Row],[COSTO]]</f>
        <v>129.68</v>
      </c>
    </row>
    <row r="2396" spans="1:8">
      <c r="A2396" t="s">
        <v>3299</v>
      </c>
      <c r="B2396" t="s">
        <v>1249</v>
      </c>
      <c r="C2396" t="s">
        <v>1250</v>
      </c>
      <c r="D2396" t="s">
        <v>115</v>
      </c>
      <c r="E2396" t="s">
        <v>102</v>
      </c>
      <c r="F2396" s="2">
        <v>8.0600000000000005E-2</v>
      </c>
      <c r="G2396">
        <v>351</v>
      </c>
      <c r="H2396" s="2">
        <f>Tabla_Items_Inactivos[[#This Row],[EXISTENCIA]]*Tabla_Items_Inactivos[[#This Row],[COSTO]]</f>
        <v>28.290600000000001</v>
      </c>
    </row>
    <row r="2397" spans="1:8">
      <c r="A2397" t="s">
        <v>3299</v>
      </c>
      <c r="B2397" t="s">
        <v>1251</v>
      </c>
      <c r="C2397" t="s">
        <v>1252</v>
      </c>
      <c r="D2397" t="s">
        <v>101</v>
      </c>
      <c r="E2397" t="s">
        <v>581</v>
      </c>
      <c r="F2397" s="2">
        <v>1.3</v>
      </c>
      <c r="G2397">
        <v>1</v>
      </c>
      <c r="H2397" s="2">
        <f>Tabla_Items_Inactivos[[#This Row],[EXISTENCIA]]*Tabla_Items_Inactivos[[#This Row],[COSTO]]</f>
        <v>1.3</v>
      </c>
    </row>
    <row r="2398" spans="1:8">
      <c r="A2398" t="s">
        <v>3299</v>
      </c>
      <c r="B2398" t="s">
        <v>1253</v>
      </c>
      <c r="C2398" t="s">
        <v>1254</v>
      </c>
      <c r="D2398" t="s">
        <v>101</v>
      </c>
      <c r="E2398" t="s">
        <v>581</v>
      </c>
      <c r="F2398" s="2">
        <v>1.3</v>
      </c>
      <c r="G2398">
        <v>25</v>
      </c>
      <c r="H2398" s="2">
        <f>Tabla_Items_Inactivos[[#This Row],[EXISTENCIA]]*Tabla_Items_Inactivos[[#This Row],[COSTO]]</f>
        <v>32.5</v>
      </c>
    </row>
    <row r="2399" spans="1:8">
      <c r="A2399" t="s">
        <v>3299</v>
      </c>
      <c r="B2399" t="s">
        <v>1255</v>
      </c>
      <c r="C2399" t="s">
        <v>1256</v>
      </c>
      <c r="D2399" t="s">
        <v>101</v>
      </c>
      <c r="E2399" t="s">
        <v>581</v>
      </c>
      <c r="F2399" s="2">
        <v>1.56</v>
      </c>
      <c r="G2399">
        <v>976</v>
      </c>
      <c r="H2399" s="2">
        <f>Tabla_Items_Inactivos[[#This Row],[EXISTENCIA]]*Tabla_Items_Inactivos[[#This Row],[COSTO]]</f>
        <v>1522.56</v>
      </c>
    </row>
    <row r="2400" spans="1:8">
      <c r="A2400" t="s">
        <v>3299</v>
      </c>
      <c r="B2400" t="s">
        <v>1257</v>
      </c>
      <c r="C2400" t="s">
        <v>1258</v>
      </c>
      <c r="D2400" t="s">
        <v>101</v>
      </c>
      <c r="E2400" t="s">
        <v>581</v>
      </c>
      <c r="F2400" s="2">
        <v>1.5599000000000001</v>
      </c>
      <c r="G2400">
        <v>914</v>
      </c>
      <c r="H2400" s="2">
        <f>Tabla_Items_Inactivos[[#This Row],[EXISTENCIA]]*Tabla_Items_Inactivos[[#This Row],[COSTO]]</f>
        <v>1425.7486000000001</v>
      </c>
    </row>
    <row r="2401" spans="1:8">
      <c r="A2401" t="s">
        <v>3299</v>
      </c>
      <c r="B2401" t="s">
        <v>1259</v>
      </c>
      <c r="C2401" t="s">
        <v>1260</v>
      </c>
      <c r="D2401" t="s">
        <v>101</v>
      </c>
      <c r="E2401" t="s">
        <v>711</v>
      </c>
      <c r="F2401" s="2">
        <v>20001</v>
      </c>
      <c r="G2401">
        <v>9.9500000000000005E-2</v>
      </c>
      <c r="H2401" s="2">
        <f>Tabla_Items_Inactivos[[#This Row],[EXISTENCIA]]*Tabla_Items_Inactivos[[#This Row],[COSTO]]</f>
        <v>1990.0995</v>
      </c>
    </row>
    <row r="2402" spans="1:8">
      <c r="A2402" t="s">
        <v>3299</v>
      </c>
      <c r="B2402" t="s">
        <v>1261</v>
      </c>
      <c r="C2402" t="s">
        <v>1262</v>
      </c>
      <c r="D2402" t="s">
        <v>101</v>
      </c>
      <c r="E2402" t="s">
        <v>581</v>
      </c>
      <c r="F2402" s="2">
        <v>1.5720000000000001</v>
      </c>
      <c r="G2402">
        <v>1</v>
      </c>
      <c r="H2402" s="2">
        <f>Tabla_Items_Inactivos[[#This Row],[EXISTENCIA]]*Tabla_Items_Inactivos[[#This Row],[COSTO]]</f>
        <v>1.5720000000000001</v>
      </c>
    </row>
    <row r="2403" spans="1:8">
      <c r="A2403" t="s">
        <v>3299</v>
      </c>
      <c r="B2403" t="s">
        <v>1263</v>
      </c>
      <c r="C2403" t="s">
        <v>1264</v>
      </c>
      <c r="D2403" t="s">
        <v>101</v>
      </c>
      <c r="E2403" t="s">
        <v>581</v>
      </c>
      <c r="F2403" s="2">
        <v>1.6359999999999999</v>
      </c>
      <c r="G2403">
        <v>1</v>
      </c>
      <c r="H2403" s="2">
        <f>Tabla_Items_Inactivos[[#This Row],[EXISTENCIA]]*Tabla_Items_Inactivos[[#This Row],[COSTO]]</f>
        <v>1.6359999999999999</v>
      </c>
    </row>
    <row r="2404" spans="1:8">
      <c r="A2404" t="s">
        <v>3299</v>
      </c>
      <c r="B2404" t="s">
        <v>5202</v>
      </c>
      <c r="C2404" t="s">
        <v>5203</v>
      </c>
      <c r="D2404" t="s">
        <v>101</v>
      </c>
      <c r="E2404" t="s">
        <v>581</v>
      </c>
      <c r="F2404" s="2">
        <v>37</v>
      </c>
      <c r="G2404">
        <v>0.04</v>
      </c>
      <c r="H2404" s="2">
        <f>Tabla_Items_Inactivos[[#This Row],[EXISTENCIA]]*Tabla_Items_Inactivos[[#This Row],[COSTO]]</f>
        <v>1.48</v>
      </c>
    </row>
    <row r="2405" spans="1:8">
      <c r="A2405" t="s">
        <v>3299</v>
      </c>
      <c r="B2405" t="s">
        <v>1265</v>
      </c>
      <c r="C2405" t="s">
        <v>1266</v>
      </c>
      <c r="D2405" t="s">
        <v>101</v>
      </c>
      <c r="E2405" t="s">
        <v>581</v>
      </c>
      <c r="F2405" s="2">
        <v>1.56</v>
      </c>
      <c r="G2405">
        <v>231</v>
      </c>
      <c r="H2405" s="2">
        <f>Tabla_Items_Inactivos[[#This Row],[EXISTENCIA]]*Tabla_Items_Inactivos[[#This Row],[COSTO]]</f>
        <v>360.36</v>
      </c>
    </row>
    <row r="2406" spans="1:8">
      <c r="A2406" t="s">
        <v>3299</v>
      </c>
      <c r="B2406" t="s">
        <v>5204</v>
      </c>
      <c r="C2406" t="s">
        <v>5205</v>
      </c>
      <c r="D2406" t="s">
        <v>101</v>
      </c>
      <c r="E2406" t="s">
        <v>102</v>
      </c>
      <c r="F2406" s="2">
        <v>0.20649999999999999</v>
      </c>
      <c r="G2406">
        <v>1165</v>
      </c>
      <c r="H2406" s="2">
        <f>Tabla_Items_Inactivos[[#This Row],[EXISTENCIA]]*Tabla_Items_Inactivos[[#This Row],[COSTO]]</f>
        <v>240.57249999999999</v>
      </c>
    </row>
    <row r="2407" spans="1:8">
      <c r="A2407" t="s">
        <v>3299</v>
      </c>
      <c r="B2407" t="s">
        <v>5206</v>
      </c>
      <c r="C2407" t="s">
        <v>5207</v>
      </c>
      <c r="D2407" t="s">
        <v>115</v>
      </c>
      <c r="E2407" t="s">
        <v>102</v>
      </c>
      <c r="F2407" s="2">
        <v>0.2185</v>
      </c>
      <c r="G2407">
        <v>289</v>
      </c>
      <c r="H2407" s="2">
        <f>Tabla_Items_Inactivos[[#This Row],[EXISTENCIA]]*Tabla_Items_Inactivos[[#This Row],[COSTO]]</f>
        <v>63.146500000000003</v>
      </c>
    </row>
    <row r="2408" spans="1:8">
      <c r="A2408" t="s">
        <v>3299</v>
      </c>
      <c r="B2408" t="s">
        <v>5208</v>
      </c>
      <c r="C2408" t="s">
        <v>5209</v>
      </c>
      <c r="D2408" t="s">
        <v>101</v>
      </c>
      <c r="E2408" t="s">
        <v>581</v>
      </c>
      <c r="F2408" s="2">
        <v>86.56</v>
      </c>
      <c r="G2408">
        <v>5</v>
      </c>
      <c r="H2408" s="2">
        <f>Tabla_Items_Inactivos[[#This Row],[EXISTENCIA]]*Tabla_Items_Inactivos[[#This Row],[COSTO]]</f>
        <v>432.8</v>
      </c>
    </row>
    <row r="2409" spans="1:8">
      <c r="A2409" t="s">
        <v>3299</v>
      </c>
      <c r="B2409" t="s">
        <v>1267</v>
      </c>
      <c r="C2409" t="s">
        <v>1268</v>
      </c>
      <c r="D2409" t="s">
        <v>101</v>
      </c>
      <c r="E2409" t="s">
        <v>581</v>
      </c>
      <c r="F2409" s="2">
        <v>773.87030000000004</v>
      </c>
      <c r="G2409">
        <v>1.8306</v>
      </c>
      <c r="H2409" s="2">
        <f>Tabla_Items_Inactivos[[#This Row],[EXISTENCIA]]*Tabla_Items_Inactivos[[#This Row],[COSTO]]</f>
        <v>1416.64697118</v>
      </c>
    </row>
    <row r="2410" spans="1:8">
      <c r="A2410" t="s">
        <v>3299</v>
      </c>
      <c r="B2410" t="s">
        <v>1269</v>
      </c>
      <c r="C2410" t="s">
        <v>1270</v>
      </c>
      <c r="D2410" t="s">
        <v>101</v>
      </c>
      <c r="E2410" t="s">
        <v>581</v>
      </c>
      <c r="F2410" s="2">
        <v>539.34249999999997</v>
      </c>
      <c r="G2410">
        <v>0.79659999999999997</v>
      </c>
      <c r="H2410" s="2">
        <f>Tabla_Items_Inactivos[[#This Row],[EXISTENCIA]]*Tabla_Items_Inactivos[[#This Row],[COSTO]]</f>
        <v>429.64023549999996</v>
      </c>
    </row>
    <row r="2411" spans="1:8">
      <c r="A2411" t="s">
        <v>3299</v>
      </c>
      <c r="B2411" t="s">
        <v>1271</v>
      </c>
      <c r="C2411" t="s">
        <v>1272</v>
      </c>
      <c r="D2411" t="s">
        <v>115</v>
      </c>
      <c r="E2411" t="s">
        <v>102</v>
      </c>
      <c r="F2411" s="2">
        <v>8.7300000000000003E-2</v>
      </c>
      <c r="G2411">
        <v>1319</v>
      </c>
      <c r="H2411" s="2">
        <f>Tabla_Items_Inactivos[[#This Row],[EXISTENCIA]]*Tabla_Items_Inactivos[[#This Row],[COSTO]]</f>
        <v>115.14870000000001</v>
      </c>
    </row>
    <row r="2412" spans="1:8">
      <c r="A2412" t="s">
        <v>3299</v>
      </c>
      <c r="B2412" t="s">
        <v>1273</v>
      </c>
      <c r="C2412" t="s">
        <v>5210</v>
      </c>
      <c r="D2412" t="s">
        <v>101</v>
      </c>
      <c r="E2412" t="s">
        <v>581</v>
      </c>
      <c r="F2412" s="2">
        <v>8.2921999999999993</v>
      </c>
      <c r="G2412">
        <v>400.10250000000002</v>
      </c>
      <c r="H2412" s="2">
        <f>Tabla_Items_Inactivos[[#This Row],[EXISTENCIA]]*Tabla_Items_Inactivos[[#This Row],[COSTO]]</f>
        <v>3317.7299505000001</v>
      </c>
    </row>
    <row r="2413" spans="1:8">
      <c r="A2413" t="s">
        <v>3299</v>
      </c>
      <c r="B2413" t="s">
        <v>5211</v>
      </c>
      <c r="C2413" t="s">
        <v>5212</v>
      </c>
      <c r="D2413" t="s">
        <v>101</v>
      </c>
      <c r="E2413" t="s">
        <v>102</v>
      </c>
      <c r="F2413" s="2">
        <v>0.57779999999999998</v>
      </c>
      <c r="G2413">
        <v>317</v>
      </c>
      <c r="H2413" s="2">
        <f>Tabla_Items_Inactivos[[#This Row],[EXISTENCIA]]*Tabla_Items_Inactivos[[#This Row],[COSTO]]</f>
        <v>183.1626</v>
      </c>
    </row>
    <row r="2414" spans="1:8">
      <c r="A2414" t="s">
        <v>3299</v>
      </c>
      <c r="B2414" t="s">
        <v>1274</v>
      </c>
      <c r="C2414" t="s">
        <v>1275</v>
      </c>
      <c r="D2414" t="s">
        <v>101</v>
      </c>
      <c r="E2414" t="s">
        <v>581</v>
      </c>
      <c r="F2414" s="2">
        <v>459.6121</v>
      </c>
      <c r="G2414">
        <v>0.81610000000000005</v>
      </c>
      <c r="H2414" s="2">
        <f>Tabla_Items_Inactivos[[#This Row],[EXISTENCIA]]*Tabla_Items_Inactivos[[#This Row],[COSTO]]</f>
        <v>375.08943481</v>
      </c>
    </row>
    <row r="2415" spans="1:8">
      <c r="A2415" t="s">
        <v>3299</v>
      </c>
      <c r="B2415" t="s">
        <v>1276</v>
      </c>
      <c r="C2415" t="s">
        <v>1277</v>
      </c>
      <c r="D2415" t="s">
        <v>101</v>
      </c>
      <c r="E2415" t="s">
        <v>581</v>
      </c>
      <c r="F2415" s="2">
        <v>250.28800000000001</v>
      </c>
      <c r="G2415">
        <v>1.01E-2</v>
      </c>
      <c r="H2415" s="2">
        <f>Tabla_Items_Inactivos[[#This Row],[EXISTENCIA]]*Tabla_Items_Inactivos[[#This Row],[COSTO]]</f>
        <v>2.5279088000000001</v>
      </c>
    </row>
    <row r="2416" spans="1:8">
      <c r="A2416" t="s">
        <v>3299</v>
      </c>
      <c r="B2416" t="s">
        <v>1278</v>
      </c>
      <c r="C2416" t="s">
        <v>1279</v>
      </c>
      <c r="D2416" t="s">
        <v>101</v>
      </c>
      <c r="E2416" t="s">
        <v>581</v>
      </c>
      <c r="F2416" s="2">
        <v>2.4220999999999999</v>
      </c>
      <c r="G2416">
        <v>442.286</v>
      </c>
      <c r="H2416" s="2">
        <f>Tabla_Items_Inactivos[[#This Row],[EXISTENCIA]]*Tabla_Items_Inactivos[[#This Row],[COSTO]]</f>
        <v>1071.2609206</v>
      </c>
    </row>
    <row r="2417" spans="1:8">
      <c r="A2417" t="s">
        <v>3299</v>
      </c>
      <c r="B2417" t="s">
        <v>5213</v>
      </c>
      <c r="C2417" t="s">
        <v>5214</v>
      </c>
      <c r="D2417" t="s">
        <v>101</v>
      </c>
      <c r="E2417" t="s">
        <v>581</v>
      </c>
      <c r="F2417" s="2">
        <v>48</v>
      </c>
      <c r="G2417">
        <v>5</v>
      </c>
      <c r="H2417" s="2">
        <f>Tabla_Items_Inactivos[[#This Row],[EXISTENCIA]]*Tabla_Items_Inactivos[[#This Row],[COSTO]]</f>
        <v>240</v>
      </c>
    </row>
    <row r="2418" spans="1:8">
      <c r="A2418" t="s">
        <v>3299</v>
      </c>
      <c r="B2418" t="s">
        <v>1280</v>
      </c>
      <c r="C2418" t="s">
        <v>1281</v>
      </c>
      <c r="D2418" t="s">
        <v>5215</v>
      </c>
      <c r="E2418" t="s">
        <v>5215</v>
      </c>
      <c r="F2418" s="2">
        <v>4511.0968000000003</v>
      </c>
      <c r="G2418">
        <v>13.0825</v>
      </c>
      <c r="H2418" s="2">
        <f>Tabla_Items_Inactivos[[#This Row],[EXISTENCIA]]*Tabla_Items_Inactivos[[#This Row],[COSTO]]</f>
        <v>59016.423886000004</v>
      </c>
    </row>
    <row r="2419" spans="1:8">
      <c r="A2419" t="s">
        <v>3300</v>
      </c>
      <c r="B2419" t="s">
        <v>1280</v>
      </c>
      <c r="C2419" t="s">
        <v>1281</v>
      </c>
      <c r="D2419" t="s">
        <v>5215</v>
      </c>
      <c r="E2419" t="s">
        <v>5215</v>
      </c>
      <c r="F2419" s="2">
        <v>4511.0968000000003</v>
      </c>
      <c r="G2419">
        <v>13.0825</v>
      </c>
      <c r="H2419" s="2">
        <f>Tabla_Items_Inactivos[[#This Row],[EXISTENCIA]]*Tabla_Items_Inactivos[[#This Row],[COSTO]]</f>
        <v>59016.423886000004</v>
      </c>
    </row>
    <row r="2420" spans="1:8">
      <c r="A2420" t="s">
        <v>3300</v>
      </c>
      <c r="B2420" t="s">
        <v>1282</v>
      </c>
      <c r="C2420" t="s">
        <v>1283</v>
      </c>
      <c r="D2420" t="s">
        <v>5215</v>
      </c>
      <c r="E2420" t="s">
        <v>5215</v>
      </c>
      <c r="F2420" s="2">
        <v>2559.5675000000001</v>
      </c>
      <c r="G2420">
        <v>4.1566000000000001</v>
      </c>
      <c r="H2420" s="2">
        <f>Tabla_Items_Inactivos[[#This Row],[EXISTENCIA]]*Tabla_Items_Inactivos[[#This Row],[COSTO]]</f>
        <v>10639.098270500001</v>
      </c>
    </row>
    <row r="2421" spans="1:8">
      <c r="A2421" t="s">
        <v>3299</v>
      </c>
      <c r="B2421" t="s">
        <v>1282</v>
      </c>
      <c r="C2421" t="s">
        <v>1283</v>
      </c>
      <c r="D2421" t="s">
        <v>5215</v>
      </c>
      <c r="E2421" t="s">
        <v>5215</v>
      </c>
      <c r="F2421" s="2">
        <v>2559.5675000000001</v>
      </c>
      <c r="G2421">
        <v>4.1566000000000001</v>
      </c>
      <c r="H2421" s="2">
        <f>Tabla_Items_Inactivos[[#This Row],[EXISTENCIA]]*Tabla_Items_Inactivos[[#This Row],[COSTO]]</f>
        <v>10639.098270500001</v>
      </c>
    </row>
    <row r="2422" spans="1:8">
      <c r="A2422" t="s">
        <v>3299</v>
      </c>
      <c r="B2422" t="s">
        <v>1284</v>
      </c>
      <c r="C2422" t="s">
        <v>1285</v>
      </c>
      <c r="D2422" t="s">
        <v>101</v>
      </c>
      <c r="E2422" t="s">
        <v>626</v>
      </c>
      <c r="F2422" s="2">
        <v>4.6479999999999997</v>
      </c>
      <c r="G2422">
        <v>1802</v>
      </c>
      <c r="H2422" s="2">
        <f>Tabla_Items_Inactivos[[#This Row],[EXISTENCIA]]*Tabla_Items_Inactivos[[#This Row],[COSTO]]</f>
        <v>8375.6959999999999</v>
      </c>
    </row>
    <row r="2423" spans="1:8">
      <c r="A2423" t="s">
        <v>3300</v>
      </c>
      <c r="B2423" t="s">
        <v>1286</v>
      </c>
      <c r="C2423" t="s">
        <v>5216</v>
      </c>
      <c r="D2423" t="s">
        <v>5215</v>
      </c>
      <c r="E2423" t="s">
        <v>5215</v>
      </c>
      <c r="F2423" s="2">
        <v>3588.1633000000002</v>
      </c>
      <c r="G2423">
        <v>0.33150000000000002</v>
      </c>
      <c r="H2423" s="2">
        <f>Tabla_Items_Inactivos[[#This Row],[EXISTENCIA]]*Tabla_Items_Inactivos[[#This Row],[COSTO]]</f>
        <v>1189.4761339500001</v>
      </c>
    </row>
    <row r="2424" spans="1:8">
      <c r="A2424" t="s">
        <v>3299</v>
      </c>
      <c r="B2424" t="s">
        <v>1286</v>
      </c>
      <c r="C2424" t="s">
        <v>5216</v>
      </c>
      <c r="D2424" t="s">
        <v>5215</v>
      </c>
      <c r="E2424" t="s">
        <v>5215</v>
      </c>
      <c r="F2424" s="2">
        <v>3588.1633000000002</v>
      </c>
      <c r="G2424">
        <v>0.33150000000000002</v>
      </c>
      <c r="H2424" s="2">
        <f>Tabla_Items_Inactivos[[#This Row],[EXISTENCIA]]*Tabla_Items_Inactivos[[#This Row],[COSTO]]</f>
        <v>1189.4761339500001</v>
      </c>
    </row>
    <row r="2425" spans="1:8">
      <c r="A2425" t="s">
        <v>3299</v>
      </c>
      <c r="B2425" t="s">
        <v>1287</v>
      </c>
      <c r="C2425" t="s">
        <v>1288</v>
      </c>
      <c r="D2425" t="s">
        <v>101</v>
      </c>
      <c r="E2425" t="s">
        <v>626</v>
      </c>
      <c r="F2425" s="2">
        <v>5.7009999999999996</v>
      </c>
      <c r="G2425">
        <v>75</v>
      </c>
      <c r="H2425" s="2">
        <f>Tabla_Items_Inactivos[[#This Row],[EXISTENCIA]]*Tabla_Items_Inactivos[[#This Row],[COSTO]]</f>
        <v>427.57499999999999</v>
      </c>
    </row>
    <row r="2426" spans="1:8">
      <c r="A2426" t="s">
        <v>3299</v>
      </c>
      <c r="B2426" t="s">
        <v>1289</v>
      </c>
      <c r="C2426" t="s">
        <v>1290</v>
      </c>
      <c r="D2426" t="s">
        <v>101</v>
      </c>
      <c r="E2426" t="s">
        <v>626</v>
      </c>
      <c r="F2426" s="2">
        <v>1200.9903999999999</v>
      </c>
      <c r="G2426">
        <v>1.1468</v>
      </c>
      <c r="H2426" s="2">
        <f>Tabla_Items_Inactivos[[#This Row],[EXISTENCIA]]*Tabla_Items_Inactivos[[#This Row],[COSTO]]</f>
        <v>1377.29579072</v>
      </c>
    </row>
    <row r="2427" spans="1:8">
      <c r="A2427" t="s">
        <v>3300</v>
      </c>
      <c r="B2427" t="s">
        <v>1291</v>
      </c>
      <c r="C2427" t="s">
        <v>1292</v>
      </c>
      <c r="D2427" t="s">
        <v>101</v>
      </c>
      <c r="E2427" t="s">
        <v>626</v>
      </c>
      <c r="F2427" s="2">
        <v>604.36860000000001</v>
      </c>
      <c r="G2427">
        <v>10.321300000000001</v>
      </c>
      <c r="H2427" s="2">
        <f>Tabla_Items_Inactivos[[#This Row],[EXISTENCIA]]*Tabla_Items_Inactivos[[#This Row],[COSTO]]</f>
        <v>6237.8696311800004</v>
      </c>
    </row>
    <row r="2428" spans="1:8">
      <c r="A2428" t="s">
        <v>3299</v>
      </c>
      <c r="B2428" t="s">
        <v>1291</v>
      </c>
      <c r="C2428" t="s">
        <v>1292</v>
      </c>
      <c r="D2428" t="s">
        <v>101</v>
      </c>
      <c r="E2428" t="s">
        <v>626</v>
      </c>
      <c r="F2428" s="2">
        <v>604.36860000000001</v>
      </c>
      <c r="G2428">
        <v>10.321300000000001</v>
      </c>
      <c r="H2428" s="2">
        <f>Tabla_Items_Inactivos[[#This Row],[EXISTENCIA]]*Tabla_Items_Inactivos[[#This Row],[COSTO]]</f>
        <v>6237.8696311800004</v>
      </c>
    </row>
    <row r="2429" spans="1:8">
      <c r="A2429" t="s">
        <v>3299</v>
      </c>
      <c r="B2429" t="s">
        <v>1293</v>
      </c>
      <c r="C2429" t="s">
        <v>1294</v>
      </c>
      <c r="D2429" t="s">
        <v>101</v>
      </c>
      <c r="E2429" t="s">
        <v>626</v>
      </c>
      <c r="F2429" s="2">
        <v>6.2270000000000003</v>
      </c>
      <c r="G2429">
        <v>151</v>
      </c>
      <c r="H2429" s="2">
        <f>Tabla_Items_Inactivos[[#This Row],[EXISTENCIA]]*Tabla_Items_Inactivos[[#This Row],[COSTO]]</f>
        <v>940.27700000000004</v>
      </c>
    </row>
    <row r="2430" spans="1:8">
      <c r="A2430" t="s">
        <v>3300</v>
      </c>
      <c r="B2430" t="s">
        <v>1295</v>
      </c>
      <c r="C2430" t="s">
        <v>1296</v>
      </c>
      <c r="D2430" t="s">
        <v>101</v>
      </c>
      <c r="E2430" t="s">
        <v>626</v>
      </c>
      <c r="F2430" s="2">
        <v>0.68340000000000001</v>
      </c>
      <c r="G2430">
        <v>5604</v>
      </c>
      <c r="H2430" s="2">
        <f>Tabla_Items_Inactivos[[#This Row],[EXISTENCIA]]*Tabla_Items_Inactivos[[#This Row],[COSTO]]</f>
        <v>3829.7736</v>
      </c>
    </row>
    <row r="2431" spans="1:8">
      <c r="A2431" t="s">
        <v>3299</v>
      </c>
      <c r="B2431" t="s">
        <v>1295</v>
      </c>
      <c r="C2431" t="s">
        <v>1296</v>
      </c>
      <c r="D2431" t="s">
        <v>101</v>
      </c>
      <c r="E2431" t="s">
        <v>626</v>
      </c>
      <c r="F2431" s="2">
        <v>0.68340000000000001</v>
      </c>
      <c r="G2431">
        <v>5604</v>
      </c>
      <c r="H2431" s="2">
        <f>Tabla_Items_Inactivos[[#This Row],[EXISTENCIA]]*Tabla_Items_Inactivos[[#This Row],[COSTO]]</f>
        <v>3829.7736</v>
      </c>
    </row>
    <row r="2432" spans="1:8">
      <c r="A2432" t="s">
        <v>3299</v>
      </c>
      <c r="B2432" t="s">
        <v>1297</v>
      </c>
      <c r="C2432" t="s">
        <v>1298</v>
      </c>
      <c r="D2432" t="s">
        <v>101</v>
      </c>
      <c r="E2432" t="s">
        <v>626</v>
      </c>
      <c r="F2432" s="2">
        <v>794.00139999999999</v>
      </c>
      <c r="G2432">
        <v>1.0378000000000001</v>
      </c>
      <c r="H2432" s="2">
        <f>Tabla_Items_Inactivos[[#This Row],[EXISTENCIA]]*Tabla_Items_Inactivos[[#This Row],[COSTO]]</f>
        <v>824.01465292</v>
      </c>
    </row>
    <row r="2433" spans="1:8">
      <c r="A2433" t="s">
        <v>3299</v>
      </c>
      <c r="B2433" t="s">
        <v>1299</v>
      </c>
      <c r="C2433" t="s">
        <v>5217</v>
      </c>
      <c r="D2433" t="s">
        <v>101</v>
      </c>
      <c r="E2433" t="s">
        <v>626</v>
      </c>
      <c r="F2433" s="2">
        <v>5.6</v>
      </c>
      <c r="G2433">
        <v>23.25</v>
      </c>
      <c r="H2433" s="2">
        <f>Tabla_Items_Inactivos[[#This Row],[EXISTENCIA]]*Tabla_Items_Inactivos[[#This Row],[COSTO]]</f>
        <v>130.19999999999999</v>
      </c>
    </row>
    <row r="2434" spans="1:8">
      <c r="A2434" t="s">
        <v>3299</v>
      </c>
      <c r="B2434" t="s">
        <v>1300</v>
      </c>
      <c r="C2434" t="s">
        <v>1301</v>
      </c>
      <c r="D2434" t="s">
        <v>101</v>
      </c>
      <c r="E2434" t="s">
        <v>711</v>
      </c>
      <c r="F2434" s="2">
        <v>518.0145</v>
      </c>
      <c r="G2434">
        <v>0.49740000000000001</v>
      </c>
      <c r="H2434" s="2">
        <f>Tabla_Items_Inactivos[[#This Row],[EXISTENCIA]]*Tabla_Items_Inactivos[[#This Row],[COSTO]]</f>
        <v>257.66041230000002</v>
      </c>
    </row>
    <row r="2435" spans="1:8">
      <c r="A2435" t="s">
        <v>3299</v>
      </c>
      <c r="B2435" t="s">
        <v>5218</v>
      </c>
      <c r="C2435" t="s">
        <v>5219</v>
      </c>
      <c r="D2435" t="s">
        <v>101</v>
      </c>
      <c r="E2435" t="s">
        <v>711</v>
      </c>
      <c r="F2435" s="2">
        <v>59.72</v>
      </c>
      <c r="G2435">
        <v>4</v>
      </c>
      <c r="H2435" s="2">
        <f>Tabla_Items_Inactivos[[#This Row],[EXISTENCIA]]*Tabla_Items_Inactivos[[#This Row],[COSTO]]</f>
        <v>238.88</v>
      </c>
    </row>
    <row r="2436" spans="1:8">
      <c r="A2436" t="s">
        <v>3299</v>
      </c>
      <c r="B2436" t="s">
        <v>5220</v>
      </c>
      <c r="C2436" t="s">
        <v>5221</v>
      </c>
      <c r="D2436" t="s">
        <v>101</v>
      </c>
      <c r="E2436" t="s">
        <v>711</v>
      </c>
      <c r="F2436" s="2">
        <v>3.3275999999999999</v>
      </c>
      <c r="G2436">
        <v>30</v>
      </c>
      <c r="H2436" s="2">
        <f>Tabla_Items_Inactivos[[#This Row],[EXISTENCIA]]*Tabla_Items_Inactivos[[#This Row],[COSTO]]</f>
        <v>99.828000000000003</v>
      </c>
    </row>
    <row r="2437" spans="1:8">
      <c r="A2437" t="s">
        <v>3299</v>
      </c>
      <c r="B2437" t="s">
        <v>1302</v>
      </c>
      <c r="C2437" t="s">
        <v>1303</v>
      </c>
      <c r="D2437" t="s">
        <v>115</v>
      </c>
      <c r="E2437" t="s">
        <v>734</v>
      </c>
      <c r="F2437" s="2">
        <v>298.58370000000002</v>
      </c>
      <c r="G2437">
        <v>0.17630000000000001</v>
      </c>
      <c r="H2437" s="2">
        <f>Tabla_Items_Inactivos[[#This Row],[EXISTENCIA]]*Tabla_Items_Inactivos[[#This Row],[COSTO]]</f>
        <v>52.640306310000007</v>
      </c>
    </row>
    <row r="2438" spans="1:8">
      <c r="A2438" t="s">
        <v>3300</v>
      </c>
      <c r="B2438" t="s">
        <v>1304</v>
      </c>
      <c r="C2438" t="s">
        <v>1305</v>
      </c>
      <c r="D2438" t="s">
        <v>101</v>
      </c>
      <c r="E2438" t="s">
        <v>619</v>
      </c>
      <c r="F2438" s="2">
        <v>800.27850000000001</v>
      </c>
      <c r="G2438">
        <v>0.78280000000000005</v>
      </c>
      <c r="H2438" s="2">
        <f>Tabla_Items_Inactivos[[#This Row],[EXISTENCIA]]*Tabla_Items_Inactivos[[#This Row],[COSTO]]</f>
        <v>626.45800980000001</v>
      </c>
    </row>
    <row r="2439" spans="1:8">
      <c r="A2439" t="s">
        <v>3299</v>
      </c>
      <c r="B2439" t="s">
        <v>1304</v>
      </c>
      <c r="C2439" t="s">
        <v>1305</v>
      </c>
      <c r="D2439" t="s">
        <v>101</v>
      </c>
      <c r="E2439" t="s">
        <v>619</v>
      </c>
      <c r="F2439" s="2">
        <v>800.27850000000001</v>
      </c>
      <c r="G2439">
        <v>0.78280000000000005</v>
      </c>
      <c r="H2439" s="2">
        <f>Tabla_Items_Inactivos[[#This Row],[EXISTENCIA]]*Tabla_Items_Inactivos[[#This Row],[COSTO]]</f>
        <v>626.45800980000001</v>
      </c>
    </row>
    <row r="2440" spans="1:8">
      <c r="A2440" t="s">
        <v>3300</v>
      </c>
      <c r="B2440" t="s">
        <v>1306</v>
      </c>
      <c r="C2440" t="s">
        <v>1307</v>
      </c>
      <c r="D2440" t="s">
        <v>101</v>
      </c>
      <c r="E2440" t="s">
        <v>619</v>
      </c>
      <c r="F2440" s="2">
        <v>0.96799999999999997</v>
      </c>
      <c r="G2440">
        <v>599</v>
      </c>
      <c r="H2440" s="2">
        <f>Tabla_Items_Inactivos[[#This Row],[EXISTENCIA]]*Tabla_Items_Inactivos[[#This Row],[COSTO]]</f>
        <v>579.83199999999999</v>
      </c>
    </row>
    <row r="2441" spans="1:8">
      <c r="A2441" t="s">
        <v>3299</v>
      </c>
      <c r="B2441" t="s">
        <v>1306</v>
      </c>
      <c r="C2441" t="s">
        <v>1307</v>
      </c>
      <c r="D2441" t="s">
        <v>101</v>
      </c>
      <c r="E2441" t="s">
        <v>619</v>
      </c>
      <c r="F2441" s="2">
        <v>0.96799999999999997</v>
      </c>
      <c r="G2441">
        <v>599</v>
      </c>
      <c r="H2441" s="2">
        <f>Tabla_Items_Inactivos[[#This Row],[EXISTENCIA]]*Tabla_Items_Inactivos[[#This Row],[COSTO]]</f>
        <v>579.83199999999999</v>
      </c>
    </row>
    <row r="2442" spans="1:8">
      <c r="A2442" t="s">
        <v>3300</v>
      </c>
      <c r="B2442" t="s">
        <v>1308</v>
      </c>
      <c r="C2442" t="s">
        <v>1309</v>
      </c>
      <c r="D2442" t="s">
        <v>101</v>
      </c>
      <c r="E2442" t="s">
        <v>619</v>
      </c>
      <c r="F2442" s="2">
        <v>2.4340999999999999</v>
      </c>
      <c r="G2442">
        <v>5762</v>
      </c>
      <c r="H2442" s="2">
        <f>Tabla_Items_Inactivos[[#This Row],[EXISTENCIA]]*Tabla_Items_Inactivos[[#This Row],[COSTO]]</f>
        <v>14025.2842</v>
      </c>
    </row>
    <row r="2443" spans="1:8">
      <c r="A2443" t="s">
        <v>3299</v>
      </c>
      <c r="B2443" t="s">
        <v>1308</v>
      </c>
      <c r="C2443" t="s">
        <v>1309</v>
      </c>
      <c r="D2443" t="s">
        <v>101</v>
      </c>
      <c r="E2443" t="s">
        <v>619</v>
      </c>
      <c r="F2443" s="2">
        <v>2.4340999999999999</v>
      </c>
      <c r="G2443">
        <v>5762</v>
      </c>
      <c r="H2443" s="2">
        <f>Tabla_Items_Inactivos[[#This Row],[EXISTENCIA]]*Tabla_Items_Inactivos[[#This Row],[COSTO]]</f>
        <v>14025.2842</v>
      </c>
    </row>
    <row r="2444" spans="1:8">
      <c r="A2444" t="s">
        <v>3300</v>
      </c>
      <c r="B2444" t="s">
        <v>1310</v>
      </c>
      <c r="C2444" t="s">
        <v>1311</v>
      </c>
      <c r="D2444" t="s">
        <v>101</v>
      </c>
      <c r="E2444" t="s">
        <v>619</v>
      </c>
      <c r="F2444" s="2">
        <v>1.2474000000000001</v>
      </c>
      <c r="G2444">
        <v>3900</v>
      </c>
      <c r="H2444" s="2">
        <f>Tabla_Items_Inactivos[[#This Row],[EXISTENCIA]]*Tabla_Items_Inactivos[[#This Row],[COSTO]]</f>
        <v>4864.8600000000006</v>
      </c>
    </row>
    <row r="2445" spans="1:8">
      <c r="A2445" t="s">
        <v>3299</v>
      </c>
      <c r="B2445" t="s">
        <v>1310</v>
      </c>
      <c r="C2445" t="s">
        <v>1311</v>
      </c>
      <c r="D2445" t="s">
        <v>101</v>
      </c>
      <c r="E2445" t="s">
        <v>619</v>
      </c>
      <c r="F2445" s="2">
        <v>1.2474000000000001</v>
      </c>
      <c r="G2445">
        <v>3900</v>
      </c>
      <c r="H2445" s="2">
        <f>Tabla_Items_Inactivos[[#This Row],[EXISTENCIA]]*Tabla_Items_Inactivos[[#This Row],[COSTO]]</f>
        <v>4864.8600000000006</v>
      </c>
    </row>
    <row r="2446" spans="1:8">
      <c r="A2446" t="s">
        <v>3300</v>
      </c>
      <c r="B2446" t="s">
        <v>1312</v>
      </c>
      <c r="C2446" t="s">
        <v>1313</v>
      </c>
      <c r="D2446" t="s">
        <v>101</v>
      </c>
      <c r="E2446" t="s">
        <v>619</v>
      </c>
      <c r="F2446" s="2">
        <v>715.19929999999999</v>
      </c>
      <c r="G2446">
        <v>13.0702</v>
      </c>
      <c r="H2446" s="2">
        <f>Tabla_Items_Inactivos[[#This Row],[EXISTENCIA]]*Tabla_Items_Inactivos[[#This Row],[COSTO]]</f>
        <v>9347.7978908599998</v>
      </c>
    </row>
    <row r="2447" spans="1:8">
      <c r="A2447" t="s">
        <v>3299</v>
      </c>
      <c r="B2447" t="s">
        <v>1312</v>
      </c>
      <c r="C2447" t="s">
        <v>1313</v>
      </c>
      <c r="D2447" t="s">
        <v>101</v>
      </c>
      <c r="E2447" t="s">
        <v>619</v>
      </c>
      <c r="F2447" s="2">
        <v>715.19929999999999</v>
      </c>
      <c r="G2447">
        <v>13.0702</v>
      </c>
      <c r="H2447" s="2">
        <f>Tabla_Items_Inactivos[[#This Row],[EXISTENCIA]]*Tabla_Items_Inactivos[[#This Row],[COSTO]]</f>
        <v>9347.7978908599998</v>
      </c>
    </row>
    <row r="2448" spans="1:8">
      <c r="A2448" t="s">
        <v>3299</v>
      </c>
      <c r="B2448" t="s">
        <v>1314</v>
      </c>
      <c r="C2448" t="s">
        <v>1315</v>
      </c>
      <c r="D2448" t="s">
        <v>101</v>
      </c>
      <c r="E2448" t="s">
        <v>619</v>
      </c>
      <c r="F2448" s="2">
        <v>30.097100000000001</v>
      </c>
      <c r="G2448">
        <v>350</v>
      </c>
      <c r="H2448" s="2">
        <f>Tabla_Items_Inactivos[[#This Row],[EXISTENCIA]]*Tabla_Items_Inactivos[[#This Row],[COSTO]]</f>
        <v>10533.985000000001</v>
      </c>
    </row>
    <row r="2449" spans="1:8">
      <c r="A2449" t="s">
        <v>3300</v>
      </c>
      <c r="B2449" t="s">
        <v>1314</v>
      </c>
      <c r="C2449" t="s">
        <v>1315</v>
      </c>
      <c r="D2449" t="s">
        <v>101</v>
      </c>
      <c r="E2449" t="s">
        <v>619</v>
      </c>
      <c r="F2449" s="2">
        <v>30.097100000000001</v>
      </c>
      <c r="G2449">
        <v>350</v>
      </c>
      <c r="H2449" s="2">
        <f>Tabla_Items_Inactivos[[#This Row],[EXISTENCIA]]*Tabla_Items_Inactivos[[#This Row],[COSTO]]</f>
        <v>10533.985000000001</v>
      </c>
    </row>
    <row r="2450" spans="1:8">
      <c r="A2450" t="s">
        <v>3299</v>
      </c>
      <c r="B2450" t="s">
        <v>1316</v>
      </c>
      <c r="C2450" t="s">
        <v>1317</v>
      </c>
      <c r="D2450" t="s">
        <v>115</v>
      </c>
      <c r="E2450" t="s">
        <v>102</v>
      </c>
      <c r="F2450" s="2">
        <v>0.17119999999999999</v>
      </c>
      <c r="G2450">
        <v>211</v>
      </c>
      <c r="H2450" s="2">
        <f>Tabla_Items_Inactivos[[#This Row],[EXISTENCIA]]*Tabla_Items_Inactivos[[#This Row],[COSTO]]</f>
        <v>36.123199999999997</v>
      </c>
    </row>
    <row r="2451" spans="1:8">
      <c r="A2451" t="s">
        <v>3299</v>
      </c>
      <c r="B2451" t="s">
        <v>1318</v>
      </c>
      <c r="C2451" t="s">
        <v>1319</v>
      </c>
      <c r="D2451" t="s">
        <v>115</v>
      </c>
      <c r="E2451" t="s">
        <v>102</v>
      </c>
      <c r="F2451" s="2">
        <v>0.252</v>
      </c>
      <c r="G2451">
        <v>380</v>
      </c>
      <c r="H2451" s="2">
        <f>Tabla_Items_Inactivos[[#This Row],[EXISTENCIA]]*Tabla_Items_Inactivos[[#This Row],[COSTO]]</f>
        <v>95.76</v>
      </c>
    </row>
    <row r="2452" spans="1:8">
      <c r="A2452" t="s">
        <v>3299</v>
      </c>
      <c r="B2452" t="s">
        <v>1320</v>
      </c>
      <c r="C2452" t="s">
        <v>1321</v>
      </c>
      <c r="D2452" t="s">
        <v>115</v>
      </c>
      <c r="E2452" t="s">
        <v>102</v>
      </c>
      <c r="F2452" s="2">
        <v>0.248</v>
      </c>
      <c r="G2452">
        <v>526</v>
      </c>
      <c r="H2452" s="2">
        <f>Tabla_Items_Inactivos[[#This Row],[EXISTENCIA]]*Tabla_Items_Inactivos[[#This Row],[COSTO]]</f>
        <v>130.44800000000001</v>
      </c>
    </row>
    <row r="2453" spans="1:8">
      <c r="A2453" t="s">
        <v>3299</v>
      </c>
      <c r="B2453" t="s">
        <v>1322</v>
      </c>
      <c r="C2453" t="s">
        <v>1323</v>
      </c>
      <c r="D2453" t="s">
        <v>115</v>
      </c>
      <c r="E2453" t="s">
        <v>102</v>
      </c>
      <c r="F2453" s="2">
        <v>0.249</v>
      </c>
      <c r="G2453">
        <v>675</v>
      </c>
      <c r="H2453" s="2">
        <f>Tabla_Items_Inactivos[[#This Row],[EXISTENCIA]]*Tabla_Items_Inactivos[[#This Row],[COSTO]]</f>
        <v>168.07499999999999</v>
      </c>
    </row>
    <row r="2454" spans="1:8">
      <c r="A2454" t="s">
        <v>3299</v>
      </c>
      <c r="B2454" t="s">
        <v>1324</v>
      </c>
      <c r="C2454" t="s">
        <v>5222</v>
      </c>
      <c r="D2454" t="s">
        <v>115</v>
      </c>
      <c r="E2454" t="s">
        <v>102</v>
      </c>
      <c r="F2454" s="2">
        <v>0.26719999999999999</v>
      </c>
      <c r="G2454">
        <v>94</v>
      </c>
      <c r="H2454" s="2">
        <f>Tabla_Items_Inactivos[[#This Row],[EXISTENCIA]]*Tabla_Items_Inactivos[[#This Row],[COSTO]]</f>
        <v>25.116799999999998</v>
      </c>
    </row>
    <row r="2455" spans="1:8">
      <c r="A2455" t="s">
        <v>3299</v>
      </c>
      <c r="B2455" t="s">
        <v>1325</v>
      </c>
      <c r="C2455" t="s">
        <v>1326</v>
      </c>
      <c r="D2455" t="s">
        <v>115</v>
      </c>
      <c r="E2455" t="s">
        <v>102</v>
      </c>
      <c r="F2455" s="2">
        <v>0.106</v>
      </c>
      <c r="G2455">
        <v>900</v>
      </c>
      <c r="H2455" s="2">
        <f>Tabla_Items_Inactivos[[#This Row],[EXISTENCIA]]*Tabla_Items_Inactivos[[#This Row],[COSTO]]</f>
        <v>95.399999999999991</v>
      </c>
    </row>
    <row r="2456" spans="1:8">
      <c r="A2456" t="s">
        <v>3299</v>
      </c>
      <c r="B2456" t="s">
        <v>1327</v>
      </c>
      <c r="C2456" t="s">
        <v>1328</v>
      </c>
      <c r="D2456" t="s">
        <v>115</v>
      </c>
      <c r="E2456" t="s">
        <v>102</v>
      </c>
      <c r="F2456" s="2">
        <v>0.153</v>
      </c>
      <c r="G2456">
        <v>500</v>
      </c>
      <c r="H2456" s="2">
        <f>Tabla_Items_Inactivos[[#This Row],[EXISTENCIA]]*Tabla_Items_Inactivos[[#This Row],[COSTO]]</f>
        <v>76.5</v>
      </c>
    </row>
    <row r="2457" spans="1:8">
      <c r="A2457" t="s">
        <v>3299</v>
      </c>
      <c r="B2457" t="s">
        <v>1329</v>
      </c>
      <c r="C2457" t="s">
        <v>1330</v>
      </c>
      <c r="D2457" t="s">
        <v>115</v>
      </c>
      <c r="E2457" t="s">
        <v>102</v>
      </c>
      <c r="F2457" s="2">
        <v>0.1013</v>
      </c>
      <c r="G2457">
        <v>1218</v>
      </c>
      <c r="H2457" s="2">
        <f>Tabla_Items_Inactivos[[#This Row],[EXISTENCIA]]*Tabla_Items_Inactivos[[#This Row],[COSTO]]</f>
        <v>123.38339999999999</v>
      </c>
    </row>
    <row r="2458" spans="1:8">
      <c r="A2458" t="s">
        <v>3299</v>
      </c>
      <c r="B2458" t="s">
        <v>1331</v>
      </c>
      <c r="C2458" t="s">
        <v>1332</v>
      </c>
      <c r="D2458" t="s">
        <v>115</v>
      </c>
      <c r="E2458" t="s">
        <v>102</v>
      </c>
      <c r="F2458" s="2">
        <v>6.2700000000000006E-2</v>
      </c>
      <c r="G2458">
        <v>897</v>
      </c>
      <c r="H2458" s="2">
        <f>Tabla_Items_Inactivos[[#This Row],[EXISTENCIA]]*Tabla_Items_Inactivos[[#This Row],[COSTO]]</f>
        <v>56.241900000000008</v>
      </c>
    </row>
    <row r="2459" spans="1:8">
      <c r="A2459" t="s">
        <v>3299</v>
      </c>
      <c r="B2459" t="s">
        <v>5223</v>
      </c>
      <c r="C2459" t="s">
        <v>5224</v>
      </c>
      <c r="D2459" t="s">
        <v>115</v>
      </c>
      <c r="E2459" t="s">
        <v>102</v>
      </c>
      <c r="F2459" s="2">
        <v>6.54E-2</v>
      </c>
      <c r="G2459">
        <v>1150</v>
      </c>
      <c r="H2459" s="2">
        <f>Tabla_Items_Inactivos[[#This Row],[EXISTENCIA]]*Tabla_Items_Inactivos[[#This Row],[COSTO]]</f>
        <v>75.209999999999994</v>
      </c>
    </row>
    <row r="2460" spans="1:8">
      <c r="A2460" t="s">
        <v>3299</v>
      </c>
      <c r="B2460" t="s">
        <v>1333</v>
      </c>
      <c r="C2460" t="s">
        <v>1334</v>
      </c>
      <c r="D2460" t="s">
        <v>115</v>
      </c>
      <c r="E2460" t="s">
        <v>102</v>
      </c>
      <c r="F2460" s="2">
        <v>0.246</v>
      </c>
      <c r="G2460">
        <v>424</v>
      </c>
      <c r="H2460" s="2">
        <f>Tabla_Items_Inactivos[[#This Row],[EXISTENCIA]]*Tabla_Items_Inactivos[[#This Row],[COSTO]]</f>
        <v>104.304</v>
      </c>
    </row>
    <row r="2461" spans="1:8">
      <c r="A2461" t="s">
        <v>3299</v>
      </c>
      <c r="B2461" t="s">
        <v>1335</v>
      </c>
      <c r="C2461" t="s">
        <v>1336</v>
      </c>
      <c r="D2461" t="s">
        <v>115</v>
      </c>
      <c r="E2461" t="s">
        <v>102</v>
      </c>
      <c r="F2461" s="2">
        <v>0.10340000000000001</v>
      </c>
      <c r="G2461">
        <v>723</v>
      </c>
      <c r="H2461" s="2">
        <f>Tabla_Items_Inactivos[[#This Row],[EXISTENCIA]]*Tabla_Items_Inactivos[[#This Row],[COSTO]]</f>
        <v>74.758200000000002</v>
      </c>
    </row>
    <row r="2462" spans="1:8">
      <c r="A2462" t="s">
        <v>3299</v>
      </c>
      <c r="B2462" t="s">
        <v>1337</v>
      </c>
      <c r="C2462" t="s">
        <v>1338</v>
      </c>
      <c r="D2462" t="s">
        <v>115</v>
      </c>
      <c r="E2462" t="s">
        <v>102</v>
      </c>
      <c r="F2462" s="2">
        <v>6.54E-2</v>
      </c>
      <c r="G2462">
        <v>1164</v>
      </c>
      <c r="H2462" s="2">
        <f>Tabla_Items_Inactivos[[#This Row],[EXISTENCIA]]*Tabla_Items_Inactivos[[#This Row],[COSTO]]</f>
        <v>76.125600000000006</v>
      </c>
    </row>
    <row r="2463" spans="1:8">
      <c r="A2463" t="s">
        <v>3299</v>
      </c>
      <c r="B2463" t="s">
        <v>1339</v>
      </c>
      <c r="C2463" t="s">
        <v>1340</v>
      </c>
      <c r="D2463" t="s">
        <v>115</v>
      </c>
      <c r="E2463" t="s">
        <v>102</v>
      </c>
      <c r="F2463" s="2">
        <v>7.4700000000000003E-2</v>
      </c>
      <c r="G2463">
        <v>763</v>
      </c>
      <c r="H2463" s="2">
        <f>Tabla_Items_Inactivos[[#This Row],[EXISTENCIA]]*Tabla_Items_Inactivos[[#This Row],[COSTO]]</f>
        <v>56.996099999999998</v>
      </c>
    </row>
    <row r="2464" spans="1:8">
      <c r="A2464" t="s">
        <v>3299</v>
      </c>
      <c r="B2464" t="s">
        <v>1341</v>
      </c>
      <c r="C2464" t="s">
        <v>1342</v>
      </c>
      <c r="D2464" t="s">
        <v>115</v>
      </c>
      <c r="E2464" t="s">
        <v>102</v>
      </c>
      <c r="F2464" s="2">
        <v>9.5799999999999996E-2</v>
      </c>
      <c r="G2464">
        <v>765</v>
      </c>
      <c r="H2464" s="2">
        <f>Tabla_Items_Inactivos[[#This Row],[EXISTENCIA]]*Tabla_Items_Inactivos[[#This Row],[COSTO]]</f>
        <v>73.286999999999992</v>
      </c>
    </row>
    <row r="2465" spans="1:8">
      <c r="A2465" t="s">
        <v>3299</v>
      </c>
      <c r="B2465" t="s">
        <v>1343</v>
      </c>
      <c r="C2465" t="s">
        <v>1344</v>
      </c>
      <c r="D2465" t="s">
        <v>115</v>
      </c>
      <c r="E2465" t="s">
        <v>102</v>
      </c>
      <c r="F2465" s="2">
        <v>0.19400000000000001</v>
      </c>
      <c r="G2465">
        <v>715</v>
      </c>
      <c r="H2465" s="2">
        <f>Tabla_Items_Inactivos[[#This Row],[EXISTENCIA]]*Tabla_Items_Inactivos[[#This Row],[COSTO]]</f>
        <v>138.71</v>
      </c>
    </row>
    <row r="2466" spans="1:8">
      <c r="A2466" t="s">
        <v>3299</v>
      </c>
      <c r="B2466" t="s">
        <v>1345</v>
      </c>
      <c r="C2466" t="s">
        <v>1346</v>
      </c>
      <c r="D2466" t="s">
        <v>115</v>
      </c>
      <c r="E2466" t="s">
        <v>102</v>
      </c>
      <c r="F2466" s="2">
        <v>0.2203</v>
      </c>
      <c r="G2466">
        <v>655</v>
      </c>
      <c r="H2466" s="2">
        <f>Tabla_Items_Inactivos[[#This Row],[EXISTENCIA]]*Tabla_Items_Inactivos[[#This Row],[COSTO]]</f>
        <v>144.29650000000001</v>
      </c>
    </row>
    <row r="2467" spans="1:8">
      <c r="A2467" t="s">
        <v>3299</v>
      </c>
      <c r="B2467" t="s">
        <v>1347</v>
      </c>
      <c r="C2467" t="s">
        <v>1348</v>
      </c>
      <c r="D2467" t="s">
        <v>115</v>
      </c>
      <c r="E2467" t="s">
        <v>102</v>
      </c>
      <c r="F2467" s="2">
        <v>6.7599999999999993E-2</v>
      </c>
      <c r="G2467">
        <v>2731</v>
      </c>
      <c r="H2467" s="2">
        <f>Tabla_Items_Inactivos[[#This Row],[EXISTENCIA]]*Tabla_Items_Inactivos[[#This Row],[COSTO]]</f>
        <v>184.61559999999997</v>
      </c>
    </row>
    <row r="2468" spans="1:8">
      <c r="A2468" t="s">
        <v>3299</v>
      </c>
      <c r="B2468" t="s">
        <v>1349</v>
      </c>
      <c r="C2468" t="s">
        <v>1350</v>
      </c>
      <c r="D2468" t="s">
        <v>115</v>
      </c>
      <c r="E2468" t="s">
        <v>102</v>
      </c>
      <c r="F2468" s="2">
        <v>0.188</v>
      </c>
      <c r="G2468">
        <v>129</v>
      </c>
      <c r="H2468" s="2">
        <f>Tabla_Items_Inactivos[[#This Row],[EXISTENCIA]]*Tabla_Items_Inactivos[[#This Row],[COSTO]]</f>
        <v>24.251999999999999</v>
      </c>
    </row>
    <row r="2469" spans="1:8">
      <c r="A2469" t="s">
        <v>3299</v>
      </c>
      <c r="B2469" t="s">
        <v>1351</v>
      </c>
      <c r="C2469" t="s">
        <v>1352</v>
      </c>
      <c r="D2469" t="s">
        <v>115</v>
      </c>
      <c r="E2469" t="s">
        <v>102</v>
      </c>
      <c r="F2469" s="2">
        <v>0.10150000000000001</v>
      </c>
      <c r="G2469">
        <v>993.00009999999997</v>
      </c>
      <c r="H2469" s="2">
        <f>Tabla_Items_Inactivos[[#This Row],[EXISTENCIA]]*Tabla_Items_Inactivos[[#This Row],[COSTO]]</f>
        <v>100.78951015</v>
      </c>
    </row>
    <row r="2470" spans="1:8">
      <c r="A2470" t="s">
        <v>3299</v>
      </c>
      <c r="B2470" t="s">
        <v>5225</v>
      </c>
      <c r="C2470" t="s">
        <v>5226</v>
      </c>
      <c r="D2470" t="s">
        <v>101</v>
      </c>
      <c r="E2470" t="s">
        <v>581</v>
      </c>
      <c r="F2470" s="2">
        <v>1.76</v>
      </c>
      <c r="G2470">
        <v>250</v>
      </c>
      <c r="H2470" s="2">
        <f>Tabla_Items_Inactivos[[#This Row],[EXISTENCIA]]*Tabla_Items_Inactivos[[#This Row],[COSTO]]</f>
        <v>440</v>
      </c>
    </row>
    <row r="2471" spans="1:8">
      <c r="A2471" t="s">
        <v>3299</v>
      </c>
      <c r="B2471" t="s">
        <v>1353</v>
      </c>
      <c r="C2471" t="s">
        <v>1354</v>
      </c>
      <c r="D2471" t="s">
        <v>115</v>
      </c>
      <c r="E2471" t="s">
        <v>102</v>
      </c>
      <c r="F2471" s="2">
        <v>9.8000000000000004E-2</v>
      </c>
      <c r="G2471">
        <v>751</v>
      </c>
      <c r="H2471" s="2">
        <f>Tabla_Items_Inactivos[[#This Row],[EXISTENCIA]]*Tabla_Items_Inactivos[[#This Row],[COSTO]]</f>
        <v>73.597999999999999</v>
      </c>
    </row>
    <row r="2472" spans="1:8">
      <c r="A2472" t="s">
        <v>3299</v>
      </c>
      <c r="B2472" t="s">
        <v>1355</v>
      </c>
      <c r="C2472" t="s">
        <v>1356</v>
      </c>
      <c r="D2472" t="s">
        <v>115</v>
      </c>
      <c r="E2472" t="s">
        <v>102</v>
      </c>
      <c r="F2472" s="2">
        <v>0.156</v>
      </c>
      <c r="G2472">
        <v>469</v>
      </c>
      <c r="H2472" s="2">
        <f>Tabla_Items_Inactivos[[#This Row],[EXISTENCIA]]*Tabla_Items_Inactivos[[#This Row],[COSTO]]</f>
        <v>73.164000000000001</v>
      </c>
    </row>
    <row r="2473" spans="1:8">
      <c r="A2473" t="s">
        <v>3299</v>
      </c>
      <c r="B2473" t="s">
        <v>1357</v>
      </c>
      <c r="C2473" t="s">
        <v>1358</v>
      </c>
      <c r="D2473" t="s">
        <v>115</v>
      </c>
      <c r="E2473" t="s">
        <v>102</v>
      </c>
      <c r="F2473" s="2">
        <v>0.255</v>
      </c>
      <c r="G2473">
        <v>824</v>
      </c>
      <c r="H2473" s="2">
        <f>Tabla_Items_Inactivos[[#This Row],[EXISTENCIA]]*Tabla_Items_Inactivos[[#This Row],[COSTO]]</f>
        <v>210.12</v>
      </c>
    </row>
    <row r="2474" spans="1:8">
      <c r="A2474" t="s">
        <v>3299</v>
      </c>
      <c r="B2474" t="s">
        <v>1359</v>
      </c>
      <c r="C2474" t="s">
        <v>1360</v>
      </c>
      <c r="D2474" t="s">
        <v>115</v>
      </c>
      <c r="E2474" t="s">
        <v>102</v>
      </c>
      <c r="F2474" s="2">
        <v>4.7800000000000002E-2</v>
      </c>
      <c r="G2474">
        <v>5198</v>
      </c>
      <c r="H2474" s="2">
        <f>Tabla_Items_Inactivos[[#This Row],[EXISTENCIA]]*Tabla_Items_Inactivos[[#This Row],[COSTO]]</f>
        <v>248.46440000000001</v>
      </c>
    </row>
    <row r="2475" spans="1:8">
      <c r="A2475" t="s">
        <v>3299</v>
      </c>
      <c r="B2475" t="s">
        <v>1361</v>
      </c>
      <c r="C2475" t="s">
        <v>1362</v>
      </c>
      <c r="D2475" t="s">
        <v>115</v>
      </c>
      <c r="E2475" t="s">
        <v>102</v>
      </c>
      <c r="F2475" s="2">
        <v>9.0999999999999998E-2</v>
      </c>
      <c r="G2475">
        <v>1166</v>
      </c>
      <c r="H2475" s="2">
        <f>Tabla_Items_Inactivos[[#This Row],[EXISTENCIA]]*Tabla_Items_Inactivos[[#This Row],[COSTO]]</f>
        <v>106.10599999999999</v>
      </c>
    </row>
    <row r="2476" spans="1:8">
      <c r="A2476" t="s">
        <v>3299</v>
      </c>
      <c r="B2476" t="s">
        <v>1363</v>
      </c>
      <c r="C2476" t="s">
        <v>1364</v>
      </c>
      <c r="D2476" t="s">
        <v>115</v>
      </c>
      <c r="E2476" t="s">
        <v>102</v>
      </c>
      <c r="F2476" s="2">
        <v>0.1132</v>
      </c>
      <c r="G2476">
        <v>3464</v>
      </c>
      <c r="H2476" s="2">
        <f>Tabla_Items_Inactivos[[#This Row],[EXISTENCIA]]*Tabla_Items_Inactivos[[#This Row],[COSTO]]</f>
        <v>392.12479999999999</v>
      </c>
    </row>
    <row r="2477" spans="1:8">
      <c r="A2477" t="s">
        <v>3299</v>
      </c>
      <c r="B2477" t="s">
        <v>1365</v>
      </c>
      <c r="C2477" t="s">
        <v>1366</v>
      </c>
      <c r="D2477" t="s">
        <v>101</v>
      </c>
      <c r="E2477" t="s">
        <v>581</v>
      </c>
      <c r="F2477" s="2">
        <v>930</v>
      </c>
      <c r="G2477">
        <v>0.38250000000000001</v>
      </c>
      <c r="H2477" s="2">
        <f>Tabla_Items_Inactivos[[#This Row],[EXISTENCIA]]*Tabla_Items_Inactivos[[#This Row],[COSTO]]</f>
        <v>355.72500000000002</v>
      </c>
    </row>
    <row r="2478" spans="1:8">
      <c r="A2478" t="s">
        <v>3299</v>
      </c>
      <c r="B2478" t="s">
        <v>1367</v>
      </c>
      <c r="C2478" t="s">
        <v>1368</v>
      </c>
      <c r="D2478" t="s">
        <v>115</v>
      </c>
      <c r="E2478" t="s">
        <v>102</v>
      </c>
      <c r="F2478" s="2">
        <v>8.2400000000000001E-2</v>
      </c>
      <c r="G2478">
        <v>2111</v>
      </c>
      <c r="H2478" s="2">
        <f>Tabla_Items_Inactivos[[#This Row],[EXISTENCIA]]*Tabla_Items_Inactivos[[#This Row],[COSTO]]</f>
        <v>173.94640000000001</v>
      </c>
    </row>
    <row r="2479" spans="1:8">
      <c r="A2479" t="s">
        <v>3299</v>
      </c>
      <c r="B2479" t="s">
        <v>1369</v>
      </c>
      <c r="C2479" t="s">
        <v>1370</v>
      </c>
      <c r="D2479" t="s">
        <v>115</v>
      </c>
      <c r="E2479" t="s">
        <v>102</v>
      </c>
      <c r="F2479" s="2">
        <v>7.1900000000000006E-2</v>
      </c>
      <c r="G2479">
        <v>2775</v>
      </c>
      <c r="H2479" s="2">
        <f>Tabla_Items_Inactivos[[#This Row],[EXISTENCIA]]*Tabla_Items_Inactivos[[#This Row],[COSTO]]</f>
        <v>199.52250000000001</v>
      </c>
    </row>
    <row r="2480" spans="1:8">
      <c r="A2480" t="s">
        <v>3299</v>
      </c>
      <c r="B2480" t="s">
        <v>1371</v>
      </c>
      <c r="C2480" t="s">
        <v>1372</v>
      </c>
      <c r="D2480" t="s">
        <v>115</v>
      </c>
      <c r="E2480" t="s">
        <v>102</v>
      </c>
      <c r="F2480" s="2">
        <v>0.15529999999999999</v>
      </c>
      <c r="G2480">
        <v>9</v>
      </c>
      <c r="H2480" s="2">
        <f>Tabla_Items_Inactivos[[#This Row],[EXISTENCIA]]*Tabla_Items_Inactivos[[#This Row],[COSTO]]</f>
        <v>1.3976999999999999</v>
      </c>
    </row>
    <row r="2481" spans="1:8">
      <c r="A2481" t="s">
        <v>3299</v>
      </c>
      <c r="B2481" t="s">
        <v>1373</v>
      </c>
      <c r="C2481" t="s">
        <v>5227</v>
      </c>
      <c r="D2481" t="s">
        <v>101</v>
      </c>
      <c r="E2481" t="s">
        <v>581</v>
      </c>
      <c r="F2481" s="2">
        <v>3.28</v>
      </c>
      <c r="G2481">
        <v>1</v>
      </c>
      <c r="H2481" s="2">
        <f>Tabla_Items_Inactivos[[#This Row],[EXISTENCIA]]*Tabla_Items_Inactivos[[#This Row],[COSTO]]</f>
        <v>3.28</v>
      </c>
    </row>
    <row r="2482" spans="1:8">
      <c r="A2482" t="s">
        <v>3299</v>
      </c>
      <c r="B2482" t="s">
        <v>1374</v>
      </c>
      <c r="C2482" t="s">
        <v>1375</v>
      </c>
      <c r="D2482" t="s">
        <v>101</v>
      </c>
      <c r="E2482" t="s">
        <v>581</v>
      </c>
      <c r="F2482" s="2">
        <v>11.7</v>
      </c>
      <c r="G2482">
        <v>20.024000000000001</v>
      </c>
      <c r="H2482" s="2">
        <f>Tabla_Items_Inactivos[[#This Row],[EXISTENCIA]]*Tabla_Items_Inactivos[[#This Row],[COSTO]]</f>
        <v>234.2808</v>
      </c>
    </row>
    <row r="2483" spans="1:8">
      <c r="A2483" t="s">
        <v>3299</v>
      </c>
      <c r="B2483" t="s">
        <v>1376</v>
      </c>
      <c r="C2483" t="s">
        <v>1377</v>
      </c>
      <c r="D2483" t="s">
        <v>115</v>
      </c>
      <c r="E2483" t="s">
        <v>102</v>
      </c>
      <c r="F2483" s="2">
        <v>0.122</v>
      </c>
      <c r="G2483">
        <v>19</v>
      </c>
      <c r="H2483" s="2">
        <f>Tabla_Items_Inactivos[[#This Row],[EXISTENCIA]]*Tabla_Items_Inactivos[[#This Row],[COSTO]]</f>
        <v>2.3180000000000001</v>
      </c>
    </row>
    <row r="2484" spans="1:8">
      <c r="A2484" t="s">
        <v>3299</v>
      </c>
      <c r="B2484" t="s">
        <v>1378</v>
      </c>
      <c r="C2484" t="s">
        <v>1379</v>
      </c>
      <c r="D2484" t="s">
        <v>115</v>
      </c>
      <c r="E2484" t="s">
        <v>102</v>
      </c>
      <c r="F2484" s="2">
        <v>8.8999999999999996E-2</v>
      </c>
      <c r="G2484">
        <v>469</v>
      </c>
      <c r="H2484" s="2">
        <f>Tabla_Items_Inactivos[[#This Row],[EXISTENCIA]]*Tabla_Items_Inactivos[[#This Row],[COSTO]]</f>
        <v>41.741</v>
      </c>
    </row>
    <row r="2485" spans="1:8">
      <c r="A2485" t="s">
        <v>3299</v>
      </c>
      <c r="B2485" t="s">
        <v>1380</v>
      </c>
      <c r="C2485" t="s">
        <v>1381</v>
      </c>
      <c r="D2485" t="s">
        <v>115</v>
      </c>
      <c r="E2485" t="s">
        <v>102</v>
      </c>
      <c r="F2485" s="2">
        <v>0.16900000000000001</v>
      </c>
      <c r="G2485">
        <v>325</v>
      </c>
      <c r="H2485" s="2">
        <f>Tabla_Items_Inactivos[[#This Row],[EXISTENCIA]]*Tabla_Items_Inactivos[[#This Row],[COSTO]]</f>
        <v>54.925000000000004</v>
      </c>
    </row>
    <row r="2486" spans="1:8">
      <c r="A2486" t="s">
        <v>3299</v>
      </c>
      <c r="B2486" t="s">
        <v>1382</v>
      </c>
      <c r="C2486" t="s">
        <v>1383</v>
      </c>
      <c r="D2486" t="s">
        <v>115</v>
      </c>
      <c r="E2486" t="s">
        <v>102</v>
      </c>
      <c r="F2486" s="2">
        <v>0.112</v>
      </c>
      <c r="G2486">
        <v>78</v>
      </c>
      <c r="H2486" s="2">
        <f>Tabla_Items_Inactivos[[#This Row],[EXISTENCIA]]*Tabla_Items_Inactivos[[#This Row],[COSTO]]</f>
        <v>8.7360000000000007</v>
      </c>
    </row>
    <row r="2487" spans="1:8">
      <c r="A2487" t="s">
        <v>3299</v>
      </c>
      <c r="B2487" t="s">
        <v>1384</v>
      </c>
      <c r="C2487" t="s">
        <v>1385</v>
      </c>
      <c r="D2487" t="s">
        <v>115</v>
      </c>
      <c r="E2487" t="s">
        <v>102</v>
      </c>
      <c r="F2487" s="2">
        <v>0.125</v>
      </c>
      <c r="G2487">
        <v>594</v>
      </c>
      <c r="H2487" s="2">
        <f>Tabla_Items_Inactivos[[#This Row],[EXISTENCIA]]*Tabla_Items_Inactivos[[#This Row],[COSTO]]</f>
        <v>74.25</v>
      </c>
    </row>
    <row r="2488" spans="1:8">
      <c r="A2488" t="s">
        <v>3299</v>
      </c>
      <c r="B2488" t="s">
        <v>1386</v>
      </c>
      <c r="C2488" t="s">
        <v>1387</v>
      </c>
      <c r="D2488" t="s">
        <v>115</v>
      </c>
      <c r="E2488" t="s">
        <v>102</v>
      </c>
      <c r="F2488" s="2">
        <v>0.1128</v>
      </c>
      <c r="G2488">
        <v>3526</v>
      </c>
      <c r="H2488" s="2">
        <f>Tabla_Items_Inactivos[[#This Row],[EXISTENCIA]]*Tabla_Items_Inactivos[[#This Row],[COSTO]]</f>
        <v>397.7328</v>
      </c>
    </row>
    <row r="2489" spans="1:8">
      <c r="A2489" t="s">
        <v>3299</v>
      </c>
      <c r="B2489" t="s">
        <v>1388</v>
      </c>
      <c r="C2489" t="s">
        <v>1389</v>
      </c>
      <c r="D2489" t="s">
        <v>115</v>
      </c>
      <c r="E2489" t="s">
        <v>102</v>
      </c>
      <c r="F2489" s="2">
        <v>7.0000000000000007E-2</v>
      </c>
      <c r="G2489">
        <v>1235</v>
      </c>
      <c r="H2489" s="2">
        <f>Tabla_Items_Inactivos[[#This Row],[EXISTENCIA]]*Tabla_Items_Inactivos[[#This Row],[COSTO]]</f>
        <v>86.45</v>
      </c>
    </row>
    <row r="2490" spans="1:8">
      <c r="A2490" t="s">
        <v>3299</v>
      </c>
      <c r="B2490" t="s">
        <v>1390</v>
      </c>
      <c r="C2490" t="s">
        <v>1391</v>
      </c>
      <c r="D2490" t="s">
        <v>115</v>
      </c>
      <c r="E2490" t="s">
        <v>102</v>
      </c>
      <c r="F2490" s="2">
        <v>6.4899999999999999E-2</v>
      </c>
      <c r="G2490">
        <v>2799</v>
      </c>
      <c r="H2490" s="2">
        <f>Tabla_Items_Inactivos[[#This Row],[EXISTENCIA]]*Tabla_Items_Inactivos[[#This Row],[COSTO]]</f>
        <v>181.6551</v>
      </c>
    </row>
    <row r="2491" spans="1:8">
      <c r="A2491" t="s">
        <v>3299</v>
      </c>
      <c r="B2491" t="s">
        <v>1392</v>
      </c>
      <c r="C2491" t="s">
        <v>1393</v>
      </c>
      <c r="D2491" t="s">
        <v>115</v>
      </c>
      <c r="E2491" t="s">
        <v>102</v>
      </c>
      <c r="F2491" s="2">
        <v>7.1900000000000006E-2</v>
      </c>
      <c r="G2491">
        <v>2928</v>
      </c>
      <c r="H2491" s="2">
        <f>Tabla_Items_Inactivos[[#This Row],[EXISTENCIA]]*Tabla_Items_Inactivos[[#This Row],[COSTO]]</f>
        <v>210.5232</v>
      </c>
    </row>
    <row r="2492" spans="1:8">
      <c r="A2492" t="s">
        <v>3299</v>
      </c>
      <c r="B2492" t="s">
        <v>1394</v>
      </c>
      <c r="C2492" t="s">
        <v>1395</v>
      </c>
      <c r="D2492" t="s">
        <v>115</v>
      </c>
      <c r="E2492" t="s">
        <v>102</v>
      </c>
      <c r="F2492" s="2">
        <v>0.108</v>
      </c>
      <c r="G2492">
        <v>840</v>
      </c>
      <c r="H2492" s="2">
        <f>Tabla_Items_Inactivos[[#This Row],[EXISTENCIA]]*Tabla_Items_Inactivos[[#This Row],[COSTO]]</f>
        <v>90.72</v>
      </c>
    </row>
    <row r="2493" spans="1:8">
      <c r="A2493" t="s">
        <v>3299</v>
      </c>
      <c r="B2493" t="s">
        <v>1396</v>
      </c>
      <c r="C2493" t="s">
        <v>1397</v>
      </c>
      <c r="D2493" t="s">
        <v>115</v>
      </c>
      <c r="E2493" t="s">
        <v>102</v>
      </c>
      <c r="F2493" s="2">
        <v>0.48399999999999999</v>
      </c>
      <c r="G2493">
        <v>67</v>
      </c>
      <c r="H2493" s="2">
        <f>Tabla_Items_Inactivos[[#This Row],[EXISTENCIA]]*Tabla_Items_Inactivos[[#This Row],[COSTO]]</f>
        <v>32.427999999999997</v>
      </c>
    </row>
    <row r="2494" spans="1:8">
      <c r="A2494" t="s">
        <v>3299</v>
      </c>
      <c r="B2494" t="s">
        <v>1398</v>
      </c>
      <c r="C2494" t="s">
        <v>1399</v>
      </c>
      <c r="D2494" t="s">
        <v>115</v>
      </c>
      <c r="E2494" t="s">
        <v>102</v>
      </c>
      <c r="F2494" s="2">
        <v>0.48599999999999999</v>
      </c>
      <c r="G2494">
        <v>143</v>
      </c>
      <c r="H2494" s="2">
        <f>Tabla_Items_Inactivos[[#This Row],[EXISTENCIA]]*Tabla_Items_Inactivos[[#This Row],[COSTO]]</f>
        <v>69.498000000000005</v>
      </c>
    </row>
    <row r="2495" spans="1:8">
      <c r="A2495" t="s">
        <v>3299</v>
      </c>
      <c r="B2495" t="s">
        <v>1400</v>
      </c>
      <c r="C2495" t="s">
        <v>1401</v>
      </c>
      <c r="D2495" t="s">
        <v>115</v>
      </c>
      <c r="E2495" t="s">
        <v>102</v>
      </c>
      <c r="F2495" s="2">
        <v>0.1258</v>
      </c>
      <c r="G2495">
        <v>1075</v>
      </c>
      <c r="H2495" s="2">
        <f>Tabla_Items_Inactivos[[#This Row],[EXISTENCIA]]*Tabla_Items_Inactivos[[#This Row],[COSTO]]</f>
        <v>135.23499999999999</v>
      </c>
    </row>
    <row r="2496" spans="1:8">
      <c r="A2496" t="s">
        <v>3299</v>
      </c>
      <c r="B2496" t="s">
        <v>1402</v>
      </c>
      <c r="C2496" t="s">
        <v>1403</v>
      </c>
      <c r="D2496" t="s">
        <v>115</v>
      </c>
      <c r="E2496" t="s">
        <v>102</v>
      </c>
      <c r="F2496" s="2">
        <v>0.17780000000000001</v>
      </c>
      <c r="G2496">
        <v>745</v>
      </c>
      <c r="H2496" s="2">
        <f>Tabla_Items_Inactivos[[#This Row],[EXISTENCIA]]*Tabla_Items_Inactivos[[#This Row],[COSTO]]</f>
        <v>132.46100000000001</v>
      </c>
    </row>
    <row r="2497" spans="1:8">
      <c r="A2497" t="s">
        <v>3299</v>
      </c>
      <c r="B2497" t="s">
        <v>1404</v>
      </c>
      <c r="C2497" t="s">
        <v>1405</v>
      </c>
      <c r="D2497" t="s">
        <v>115</v>
      </c>
      <c r="E2497" t="s">
        <v>102</v>
      </c>
      <c r="F2497" s="2">
        <v>0.151</v>
      </c>
      <c r="G2497">
        <v>405</v>
      </c>
      <c r="H2497" s="2">
        <f>Tabla_Items_Inactivos[[#This Row],[EXISTENCIA]]*Tabla_Items_Inactivos[[#This Row],[COSTO]]</f>
        <v>61.155000000000001</v>
      </c>
    </row>
    <row r="2498" spans="1:8">
      <c r="A2498" t="s">
        <v>3299</v>
      </c>
      <c r="B2498" t="s">
        <v>1406</v>
      </c>
      <c r="C2498" t="s">
        <v>1407</v>
      </c>
      <c r="D2498" t="s">
        <v>115</v>
      </c>
      <c r="E2498" t="s">
        <v>102</v>
      </c>
      <c r="F2498" s="2">
        <v>0.161</v>
      </c>
      <c r="G2498">
        <v>306</v>
      </c>
      <c r="H2498" s="2">
        <f>Tabla_Items_Inactivos[[#This Row],[EXISTENCIA]]*Tabla_Items_Inactivos[[#This Row],[COSTO]]</f>
        <v>49.265999999999998</v>
      </c>
    </row>
    <row r="2499" spans="1:8">
      <c r="A2499" t="s">
        <v>3299</v>
      </c>
      <c r="B2499" t="s">
        <v>1408</v>
      </c>
      <c r="C2499" t="s">
        <v>1409</v>
      </c>
      <c r="D2499" t="s">
        <v>115</v>
      </c>
      <c r="E2499" t="s">
        <v>102</v>
      </c>
      <c r="F2499" s="2">
        <v>6.8199999999999997E-2</v>
      </c>
      <c r="G2499">
        <v>1154</v>
      </c>
      <c r="H2499" s="2">
        <f>Tabla_Items_Inactivos[[#This Row],[EXISTENCIA]]*Tabla_Items_Inactivos[[#This Row],[COSTO]]</f>
        <v>78.702799999999996</v>
      </c>
    </row>
    <row r="2500" spans="1:8">
      <c r="A2500" t="s">
        <v>3299</v>
      </c>
      <c r="B2500" t="s">
        <v>1410</v>
      </c>
      <c r="C2500" t="s">
        <v>5228</v>
      </c>
      <c r="D2500" t="s">
        <v>115</v>
      </c>
      <c r="E2500" t="s">
        <v>102</v>
      </c>
      <c r="F2500" s="2">
        <v>0.1077</v>
      </c>
      <c r="G2500">
        <v>1749</v>
      </c>
      <c r="H2500" s="2">
        <f>Tabla_Items_Inactivos[[#This Row],[EXISTENCIA]]*Tabla_Items_Inactivos[[#This Row],[COSTO]]</f>
        <v>188.3673</v>
      </c>
    </row>
    <row r="2501" spans="1:8">
      <c r="A2501" t="s">
        <v>3299</v>
      </c>
      <c r="B2501" t="s">
        <v>1411</v>
      </c>
      <c r="C2501" t="s">
        <v>1412</v>
      </c>
      <c r="D2501" t="s">
        <v>115</v>
      </c>
      <c r="E2501" t="s">
        <v>102</v>
      </c>
      <c r="F2501" s="2">
        <v>5.1400000000000001E-2</v>
      </c>
      <c r="G2501">
        <v>746</v>
      </c>
      <c r="H2501" s="2">
        <f>Tabla_Items_Inactivos[[#This Row],[EXISTENCIA]]*Tabla_Items_Inactivos[[#This Row],[COSTO]]</f>
        <v>38.3444</v>
      </c>
    </row>
    <row r="2502" spans="1:8">
      <c r="A2502" t="s">
        <v>3299</v>
      </c>
      <c r="B2502" t="s">
        <v>1413</v>
      </c>
      <c r="C2502" t="s">
        <v>1414</v>
      </c>
      <c r="D2502" t="s">
        <v>115</v>
      </c>
      <c r="E2502" t="s">
        <v>102</v>
      </c>
      <c r="F2502" s="2">
        <v>0.2016</v>
      </c>
      <c r="G2502">
        <v>641</v>
      </c>
      <c r="H2502" s="2">
        <f>Tabla_Items_Inactivos[[#This Row],[EXISTENCIA]]*Tabla_Items_Inactivos[[#This Row],[COSTO]]</f>
        <v>129.22560000000001</v>
      </c>
    </row>
    <row r="2503" spans="1:8">
      <c r="A2503" t="s">
        <v>3299</v>
      </c>
      <c r="B2503" t="s">
        <v>1415</v>
      </c>
      <c r="C2503" t="s">
        <v>1416</v>
      </c>
      <c r="D2503" t="s">
        <v>115</v>
      </c>
      <c r="E2503" t="s">
        <v>102</v>
      </c>
      <c r="F2503" s="2">
        <v>0.13</v>
      </c>
      <c r="G2503">
        <v>770</v>
      </c>
      <c r="H2503" s="2">
        <f>Tabla_Items_Inactivos[[#This Row],[EXISTENCIA]]*Tabla_Items_Inactivos[[#This Row],[COSTO]]</f>
        <v>100.10000000000001</v>
      </c>
    </row>
    <row r="2504" spans="1:8">
      <c r="A2504" t="s">
        <v>3299</v>
      </c>
      <c r="B2504" t="s">
        <v>1417</v>
      </c>
      <c r="C2504" t="s">
        <v>1418</v>
      </c>
      <c r="D2504" t="s">
        <v>115</v>
      </c>
      <c r="E2504" t="s">
        <v>102</v>
      </c>
      <c r="F2504" s="2">
        <v>0.22600000000000001</v>
      </c>
      <c r="G2504">
        <v>1031</v>
      </c>
      <c r="H2504" s="2">
        <f>Tabla_Items_Inactivos[[#This Row],[EXISTENCIA]]*Tabla_Items_Inactivos[[#This Row],[COSTO]]</f>
        <v>233.006</v>
      </c>
    </row>
    <row r="2505" spans="1:8">
      <c r="A2505" t="s">
        <v>3299</v>
      </c>
      <c r="B2505" t="s">
        <v>1419</v>
      </c>
      <c r="C2505" t="s">
        <v>1420</v>
      </c>
      <c r="D2505" t="s">
        <v>115</v>
      </c>
      <c r="E2505" t="s">
        <v>102</v>
      </c>
      <c r="F2505" s="2">
        <v>0.121</v>
      </c>
      <c r="G2505">
        <v>3</v>
      </c>
      <c r="H2505" s="2">
        <f>Tabla_Items_Inactivos[[#This Row],[EXISTENCIA]]*Tabla_Items_Inactivos[[#This Row],[COSTO]]</f>
        <v>0.36299999999999999</v>
      </c>
    </row>
    <row r="2506" spans="1:8">
      <c r="A2506" t="s">
        <v>3299</v>
      </c>
      <c r="B2506" t="s">
        <v>1421</v>
      </c>
      <c r="C2506" t="s">
        <v>1422</v>
      </c>
      <c r="D2506" t="s">
        <v>115</v>
      </c>
      <c r="E2506" t="s">
        <v>102</v>
      </c>
      <c r="F2506" s="2">
        <v>0.187</v>
      </c>
      <c r="G2506">
        <v>515</v>
      </c>
      <c r="H2506" s="2">
        <f>Tabla_Items_Inactivos[[#This Row],[EXISTENCIA]]*Tabla_Items_Inactivos[[#This Row],[COSTO]]</f>
        <v>96.305000000000007</v>
      </c>
    </row>
    <row r="2507" spans="1:8">
      <c r="A2507" t="s">
        <v>3299</v>
      </c>
      <c r="B2507" t="s">
        <v>1423</v>
      </c>
      <c r="C2507" t="s">
        <v>1424</v>
      </c>
      <c r="D2507" t="s">
        <v>115</v>
      </c>
      <c r="E2507" t="s">
        <v>102</v>
      </c>
      <c r="F2507" s="2">
        <v>7.6399999999999996E-2</v>
      </c>
      <c r="G2507">
        <v>1569</v>
      </c>
      <c r="H2507" s="2">
        <f>Tabla_Items_Inactivos[[#This Row],[EXISTENCIA]]*Tabla_Items_Inactivos[[#This Row],[COSTO]]</f>
        <v>119.87159999999999</v>
      </c>
    </row>
    <row r="2508" spans="1:8">
      <c r="A2508" t="s">
        <v>3299</v>
      </c>
      <c r="B2508" t="s">
        <v>1425</v>
      </c>
      <c r="C2508" t="s">
        <v>1426</v>
      </c>
      <c r="D2508" t="s">
        <v>115</v>
      </c>
      <c r="E2508" t="s">
        <v>102</v>
      </c>
      <c r="F2508" s="2">
        <v>0.12870000000000001</v>
      </c>
      <c r="G2508">
        <v>1362</v>
      </c>
      <c r="H2508" s="2">
        <f>Tabla_Items_Inactivos[[#This Row],[EXISTENCIA]]*Tabla_Items_Inactivos[[#This Row],[COSTO]]</f>
        <v>175.2894</v>
      </c>
    </row>
    <row r="2509" spans="1:8">
      <c r="A2509" t="s">
        <v>3299</v>
      </c>
      <c r="B2509" t="s">
        <v>1427</v>
      </c>
      <c r="C2509" t="s">
        <v>1428</v>
      </c>
      <c r="D2509" t="s">
        <v>115</v>
      </c>
      <c r="E2509" t="s">
        <v>102</v>
      </c>
      <c r="F2509" s="2">
        <v>7.2300000000000003E-2</v>
      </c>
      <c r="G2509">
        <v>3282</v>
      </c>
      <c r="H2509" s="2">
        <f>Tabla_Items_Inactivos[[#This Row],[EXISTENCIA]]*Tabla_Items_Inactivos[[#This Row],[COSTO]]</f>
        <v>237.2886</v>
      </c>
    </row>
    <row r="2510" spans="1:8">
      <c r="A2510" t="s">
        <v>3299</v>
      </c>
      <c r="B2510" t="s">
        <v>1429</v>
      </c>
      <c r="C2510" t="s">
        <v>1430</v>
      </c>
      <c r="D2510" t="s">
        <v>101</v>
      </c>
      <c r="E2510" t="s">
        <v>102</v>
      </c>
      <c r="F2510" s="2">
        <v>0.14799999999999999</v>
      </c>
      <c r="G2510">
        <v>1040</v>
      </c>
      <c r="H2510" s="2">
        <f>Tabla_Items_Inactivos[[#This Row],[EXISTENCIA]]*Tabla_Items_Inactivos[[#This Row],[COSTO]]</f>
        <v>153.91999999999999</v>
      </c>
    </row>
    <row r="2511" spans="1:8">
      <c r="A2511" t="s">
        <v>3299</v>
      </c>
      <c r="B2511" t="s">
        <v>1431</v>
      </c>
      <c r="C2511" t="s">
        <v>1432</v>
      </c>
      <c r="D2511" t="s">
        <v>115</v>
      </c>
      <c r="E2511" t="s">
        <v>102</v>
      </c>
      <c r="F2511" s="2">
        <v>0.157</v>
      </c>
      <c r="G2511">
        <v>561</v>
      </c>
      <c r="H2511" s="2">
        <f>Tabla_Items_Inactivos[[#This Row],[EXISTENCIA]]*Tabla_Items_Inactivos[[#This Row],[COSTO]]</f>
        <v>88.076999999999998</v>
      </c>
    </row>
    <row r="2512" spans="1:8">
      <c r="A2512" t="s">
        <v>3299</v>
      </c>
      <c r="B2512" t="s">
        <v>1433</v>
      </c>
      <c r="C2512" t="s">
        <v>1434</v>
      </c>
      <c r="D2512" t="s">
        <v>115</v>
      </c>
      <c r="E2512" t="s">
        <v>102</v>
      </c>
      <c r="F2512" s="2">
        <v>0.158</v>
      </c>
      <c r="G2512">
        <v>1137</v>
      </c>
      <c r="H2512" s="2">
        <f>Tabla_Items_Inactivos[[#This Row],[EXISTENCIA]]*Tabla_Items_Inactivos[[#This Row],[COSTO]]</f>
        <v>179.64600000000002</v>
      </c>
    </row>
    <row r="2513" spans="1:8">
      <c r="A2513" t="s">
        <v>3299</v>
      </c>
      <c r="B2513" t="s">
        <v>1435</v>
      </c>
      <c r="C2513" t="s">
        <v>1436</v>
      </c>
      <c r="D2513" t="s">
        <v>115</v>
      </c>
      <c r="E2513" t="s">
        <v>102</v>
      </c>
      <c r="F2513" s="2">
        <v>0.192</v>
      </c>
      <c r="G2513">
        <v>586</v>
      </c>
      <c r="H2513" s="2">
        <f>Tabla_Items_Inactivos[[#This Row],[EXISTENCIA]]*Tabla_Items_Inactivos[[#This Row],[COSTO]]</f>
        <v>112.512</v>
      </c>
    </row>
    <row r="2514" spans="1:8">
      <c r="A2514" t="s">
        <v>3299</v>
      </c>
      <c r="B2514" t="s">
        <v>1437</v>
      </c>
      <c r="C2514" t="s">
        <v>1438</v>
      </c>
      <c r="D2514" t="s">
        <v>115</v>
      </c>
      <c r="E2514" t="s">
        <v>102</v>
      </c>
      <c r="F2514" s="2">
        <v>0.128</v>
      </c>
      <c r="G2514">
        <v>1815</v>
      </c>
      <c r="H2514" s="2">
        <f>Tabla_Items_Inactivos[[#This Row],[EXISTENCIA]]*Tabla_Items_Inactivos[[#This Row],[COSTO]]</f>
        <v>232.32</v>
      </c>
    </row>
    <row r="2515" spans="1:8">
      <c r="A2515" t="s">
        <v>3299</v>
      </c>
      <c r="B2515" t="s">
        <v>1439</v>
      </c>
      <c r="C2515" t="s">
        <v>1440</v>
      </c>
      <c r="D2515" t="s">
        <v>115</v>
      </c>
      <c r="E2515" t="s">
        <v>102</v>
      </c>
      <c r="F2515" s="2">
        <v>0.11310000000000001</v>
      </c>
      <c r="G2515">
        <v>652</v>
      </c>
      <c r="H2515" s="2">
        <f>Tabla_Items_Inactivos[[#This Row],[EXISTENCIA]]*Tabla_Items_Inactivos[[#This Row],[COSTO]]</f>
        <v>73.741200000000006</v>
      </c>
    </row>
    <row r="2516" spans="1:8">
      <c r="A2516" t="s">
        <v>3299</v>
      </c>
      <c r="B2516" t="s">
        <v>1441</v>
      </c>
      <c r="C2516" t="s">
        <v>1442</v>
      </c>
      <c r="D2516" t="s">
        <v>115</v>
      </c>
      <c r="E2516" t="s">
        <v>102</v>
      </c>
      <c r="F2516" s="2">
        <v>0.15</v>
      </c>
      <c r="G2516">
        <v>50</v>
      </c>
      <c r="H2516" s="2">
        <f>Tabla_Items_Inactivos[[#This Row],[EXISTENCIA]]*Tabla_Items_Inactivos[[#This Row],[COSTO]]</f>
        <v>7.5</v>
      </c>
    </row>
    <row r="2517" spans="1:8">
      <c r="A2517" t="s">
        <v>3299</v>
      </c>
      <c r="B2517" t="s">
        <v>1443</v>
      </c>
      <c r="C2517" t="s">
        <v>1444</v>
      </c>
      <c r="D2517" t="s">
        <v>115</v>
      </c>
      <c r="E2517" t="s">
        <v>102</v>
      </c>
      <c r="F2517" s="2">
        <v>0.126</v>
      </c>
      <c r="G2517">
        <v>916</v>
      </c>
      <c r="H2517" s="2">
        <f>Tabla_Items_Inactivos[[#This Row],[EXISTENCIA]]*Tabla_Items_Inactivos[[#This Row],[COSTO]]</f>
        <v>115.416</v>
      </c>
    </row>
    <row r="2518" spans="1:8">
      <c r="A2518" t="s">
        <v>3299</v>
      </c>
      <c r="B2518" t="s">
        <v>1445</v>
      </c>
      <c r="C2518" t="s">
        <v>1446</v>
      </c>
      <c r="D2518" t="s">
        <v>115</v>
      </c>
      <c r="E2518" t="s">
        <v>102</v>
      </c>
      <c r="F2518" s="2">
        <v>0.17499999999999999</v>
      </c>
      <c r="G2518">
        <v>360</v>
      </c>
      <c r="H2518" s="2">
        <f>Tabla_Items_Inactivos[[#This Row],[EXISTENCIA]]*Tabla_Items_Inactivos[[#This Row],[COSTO]]</f>
        <v>62.999999999999993</v>
      </c>
    </row>
    <row r="2519" spans="1:8">
      <c r="A2519" t="s">
        <v>3299</v>
      </c>
      <c r="B2519" t="s">
        <v>1447</v>
      </c>
      <c r="C2519" t="s">
        <v>1448</v>
      </c>
      <c r="D2519" t="s">
        <v>115</v>
      </c>
      <c r="E2519" t="s">
        <v>102</v>
      </c>
      <c r="F2519" s="2">
        <v>9.4500000000000001E-2</v>
      </c>
      <c r="G2519">
        <v>1388</v>
      </c>
      <c r="H2519" s="2">
        <f>Tabla_Items_Inactivos[[#This Row],[EXISTENCIA]]*Tabla_Items_Inactivos[[#This Row],[COSTO]]</f>
        <v>131.166</v>
      </c>
    </row>
    <row r="2520" spans="1:8">
      <c r="A2520" t="s">
        <v>3299</v>
      </c>
      <c r="B2520" t="s">
        <v>1449</v>
      </c>
      <c r="C2520" t="s">
        <v>1450</v>
      </c>
      <c r="D2520" t="s">
        <v>115</v>
      </c>
      <c r="E2520" t="s">
        <v>102</v>
      </c>
      <c r="F2520" s="2">
        <v>0.20300000000000001</v>
      </c>
      <c r="G2520">
        <v>1</v>
      </c>
      <c r="H2520" s="2">
        <f>Tabla_Items_Inactivos[[#This Row],[EXISTENCIA]]*Tabla_Items_Inactivos[[#This Row],[COSTO]]</f>
        <v>0.20300000000000001</v>
      </c>
    </row>
    <row r="2521" spans="1:8">
      <c r="A2521" t="s">
        <v>3299</v>
      </c>
      <c r="B2521" t="s">
        <v>1451</v>
      </c>
      <c r="C2521" t="s">
        <v>1452</v>
      </c>
      <c r="D2521" t="s">
        <v>115</v>
      </c>
      <c r="E2521" t="s">
        <v>102</v>
      </c>
      <c r="F2521" s="2">
        <v>0.154</v>
      </c>
      <c r="G2521">
        <v>738</v>
      </c>
      <c r="H2521" s="2">
        <f>Tabla_Items_Inactivos[[#This Row],[EXISTENCIA]]*Tabla_Items_Inactivos[[#This Row],[COSTO]]</f>
        <v>113.652</v>
      </c>
    </row>
    <row r="2522" spans="1:8">
      <c r="A2522" t="s">
        <v>3299</v>
      </c>
      <c r="B2522" t="s">
        <v>1453</v>
      </c>
      <c r="C2522" t="s">
        <v>1454</v>
      </c>
      <c r="D2522" t="s">
        <v>115</v>
      </c>
      <c r="E2522" t="s">
        <v>102</v>
      </c>
      <c r="F2522" s="2">
        <v>0.1938</v>
      </c>
      <c r="G2522">
        <v>671</v>
      </c>
      <c r="H2522" s="2">
        <f>Tabla_Items_Inactivos[[#This Row],[EXISTENCIA]]*Tabla_Items_Inactivos[[#This Row],[COSTO]]</f>
        <v>130.03980000000001</v>
      </c>
    </row>
    <row r="2523" spans="1:8">
      <c r="A2523" t="s">
        <v>3299</v>
      </c>
      <c r="B2523" t="s">
        <v>1455</v>
      </c>
      <c r="C2523" t="s">
        <v>1456</v>
      </c>
      <c r="D2523" t="s">
        <v>115</v>
      </c>
      <c r="E2523" t="s">
        <v>102</v>
      </c>
      <c r="F2523" s="2">
        <v>6.0900000000000003E-2</v>
      </c>
      <c r="G2523">
        <v>4407</v>
      </c>
      <c r="H2523" s="2">
        <f>Tabla_Items_Inactivos[[#This Row],[EXISTENCIA]]*Tabla_Items_Inactivos[[#This Row],[COSTO]]</f>
        <v>268.38630000000001</v>
      </c>
    </row>
    <row r="2524" spans="1:8">
      <c r="A2524" t="s">
        <v>3299</v>
      </c>
      <c r="B2524" t="s">
        <v>1457</v>
      </c>
      <c r="C2524" t="s">
        <v>1458</v>
      </c>
      <c r="D2524" t="s">
        <v>115</v>
      </c>
      <c r="E2524" t="s">
        <v>102</v>
      </c>
      <c r="F2524" s="2">
        <v>0.154</v>
      </c>
      <c r="G2524">
        <v>638</v>
      </c>
      <c r="H2524" s="2">
        <f>Tabla_Items_Inactivos[[#This Row],[EXISTENCIA]]*Tabla_Items_Inactivos[[#This Row],[COSTO]]</f>
        <v>98.251999999999995</v>
      </c>
    </row>
    <row r="2525" spans="1:8">
      <c r="A2525" t="s">
        <v>3299</v>
      </c>
      <c r="B2525" t="s">
        <v>1459</v>
      </c>
      <c r="C2525" t="s">
        <v>1460</v>
      </c>
      <c r="D2525" t="s">
        <v>101</v>
      </c>
      <c r="E2525" t="s">
        <v>626</v>
      </c>
      <c r="F2525" s="2">
        <v>4.7309999999999999</v>
      </c>
      <c r="G2525">
        <v>1760</v>
      </c>
      <c r="H2525" s="2">
        <f>Tabla_Items_Inactivos[[#This Row],[EXISTENCIA]]*Tabla_Items_Inactivos[[#This Row],[COSTO]]</f>
        <v>8326.56</v>
      </c>
    </row>
    <row r="2526" spans="1:8">
      <c r="A2526" t="s">
        <v>3299</v>
      </c>
      <c r="B2526" t="s">
        <v>1461</v>
      </c>
      <c r="C2526" t="s">
        <v>1462</v>
      </c>
      <c r="D2526" t="s">
        <v>115</v>
      </c>
      <c r="E2526" t="s">
        <v>102</v>
      </c>
      <c r="F2526" s="2">
        <v>0.16270000000000001</v>
      </c>
      <c r="G2526">
        <v>820</v>
      </c>
      <c r="H2526" s="2">
        <f>Tabla_Items_Inactivos[[#This Row],[EXISTENCIA]]*Tabla_Items_Inactivos[[#This Row],[COSTO]]</f>
        <v>133.41400000000002</v>
      </c>
    </row>
    <row r="2527" spans="1:8">
      <c r="A2527" t="s">
        <v>3299</v>
      </c>
      <c r="B2527" t="s">
        <v>1463</v>
      </c>
      <c r="C2527" t="s">
        <v>1464</v>
      </c>
      <c r="D2527" t="s">
        <v>115</v>
      </c>
      <c r="E2527" t="s">
        <v>102</v>
      </c>
      <c r="F2527" s="2">
        <v>9.5600000000000004E-2</v>
      </c>
      <c r="G2527">
        <v>2165</v>
      </c>
      <c r="H2527" s="2">
        <f>Tabla_Items_Inactivos[[#This Row],[EXISTENCIA]]*Tabla_Items_Inactivos[[#This Row],[COSTO]]</f>
        <v>206.97400000000002</v>
      </c>
    </row>
    <row r="2528" spans="1:8">
      <c r="A2528" t="s">
        <v>3299</v>
      </c>
      <c r="B2528" t="s">
        <v>1465</v>
      </c>
      <c r="C2528" t="s">
        <v>1466</v>
      </c>
      <c r="D2528" t="s">
        <v>115</v>
      </c>
      <c r="E2528" t="s">
        <v>102</v>
      </c>
      <c r="F2528" s="2">
        <v>8.6499999999999994E-2</v>
      </c>
      <c r="G2528">
        <v>1979</v>
      </c>
      <c r="H2528" s="2">
        <f>Tabla_Items_Inactivos[[#This Row],[EXISTENCIA]]*Tabla_Items_Inactivos[[#This Row],[COSTO]]</f>
        <v>171.18349999999998</v>
      </c>
    </row>
    <row r="2529" spans="1:8">
      <c r="A2529" t="s">
        <v>3299</v>
      </c>
      <c r="B2529" t="s">
        <v>1467</v>
      </c>
      <c r="C2529" t="s">
        <v>1468</v>
      </c>
      <c r="D2529" t="s">
        <v>115</v>
      </c>
      <c r="E2529" t="s">
        <v>102</v>
      </c>
      <c r="F2529" s="2">
        <v>0.12889999999999999</v>
      </c>
      <c r="G2529">
        <v>443</v>
      </c>
      <c r="H2529" s="2">
        <f>Tabla_Items_Inactivos[[#This Row],[EXISTENCIA]]*Tabla_Items_Inactivos[[#This Row],[COSTO]]</f>
        <v>57.102699999999992</v>
      </c>
    </row>
    <row r="2530" spans="1:8">
      <c r="A2530" t="s">
        <v>3299</v>
      </c>
      <c r="B2530" t="s">
        <v>1469</v>
      </c>
      <c r="C2530" t="s">
        <v>1470</v>
      </c>
      <c r="D2530" t="s">
        <v>115</v>
      </c>
      <c r="E2530" t="s">
        <v>102</v>
      </c>
      <c r="F2530" s="2">
        <v>0.1125</v>
      </c>
      <c r="G2530">
        <v>620</v>
      </c>
      <c r="H2530" s="2">
        <f>Tabla_Items_Inactivos[[#This Row],[EXISTENCIA]]*Tabla_Items_Inactivos[[#This Row],[COSTO]]</f>
        <v>69.75</v>
      </c>
    </row>
    <row r="2531" spans="1:8">
      <c r="A2531" t="s">
        <v>3299</v>
      </c>
      <c r="B2531" t="s">
        <v>1471</v>
      </c>
      <c r="C2531" t="s">
        <v>1472</v>
      </c>
      <c r="D2531" t="s">
        <v>115</v>
      </c>
      <c r="E2531" t="s">
        <v>102</v>
      </c>
      <c r="F2531" s="2">
        <v>9.7900000000000001E-2</v>
      </c>
      <c r="G2531">
        <v>1150</v>
      </c>
      <c r="H2531" s="2">
        <f>Tabla_Items_Inactivos[[#This Row],[EXISTENCIA]]*Tabla_Items_Inactivos[[#This Row],[COSTO]]</f>
        <v>112.58500000000001</v>
      </c>
    </row>
    <row r="2532" spans="1:8">
      <c r="A2532" t="s">
        <v>3299</v>
      </c>
      <c r="B2532" t="s">
        <v>1473</v>
      </c>
      <c r="C2532" t="s">
        <v>1474</v>
      </c>
      <c r="D2532" t="s">
        <v>115</v>
      </c>
      <c r="E2532" t="s">
        <v>102</v>
      </c>
      <c r="F2532" s="2">
        <v>0.10929999999999999</v>
      </c>
      <c r="G2532">
        <v>1654</v>
      </c>
      <c r="H2532" s="2">
        <f>Tabla_Items_Inactivos[[#This Row],[EXISTENCIA]]*Tabla_Items_Inactivos[[#This Row],[COSTO]]</f>
        <v>180.78219999999999</v>
      </c>
    </row>
    <row r="2533" spans="1:8">
      <c r="A2533" t="s">
        <v>3299</v>
      </c>
      <c r="B2533" t="s">
        <v>1475</v>
      </c>
      <c r="C2533" t="s">
        <v>1476</v>
      </c>
      <c r="D2533" t="s">
        <v>115</v>
      </c>
      <c r="E2533" t="s">
        <v>102</v>
      </c>
      <c r="F2533" s="2">
        <v>5.28E-2</v>
      </c>
      <c r="G2533">
        <v>1339</v>
      </c>
      <c r="H2533" s="2">
        <f>Tabla_Items_Inactivos[[#This Row],[EXISTENCIA]]*Tabla_Items_Inactivos[[#This Row],[COSTO]]</f>
        <v>70.699200000000005</v>
      </c>
    </row>
    <row r="2534" spans="1:8">
      <c r="A2534" t="s">
        <v>3299</v>
      </c>
      <c r="B2534" t="s">
        <v>5229</v>
      </c>
      <c r="C2534" t="s">
        <v>5230</v>
      </c>
      <c r="D2534" t="s">
        <v>101</v>
      </c>
      <c r="E2534" t="s">
        <v>581</v>
      </c>
      <c r="F2534" s="2">
        <v>49</v>
      </c>
      <c r="G2534">
        <v>20</v>
      </c>
      <c r="H2534" s="2">
        <f>Tabla_Items_Inactivos[[#This Row],[EXISTENCIA]]*Tabla_Items_Inactivos[[#This Row],[COSTO]]</f>
        <v>980</v>
      </c>
    </row>
    <row r="2535" spans="1:8">
      <c r="A2535" t="s">
        <v>3299</v>
      </c>
      <c r="B2535" t="s">
        <v>1477</v>
      </c>
      <c r="C2535" t="s">
        <v>1478</v>
      </c>
      <c r="D2535" t="s">
        <v>115</v>
      </c>
      <c r="E2535" t="s">
        <v>102</v>
      </c>
      <c r="F2535" s="2">
        <v>5.28E-2</v>
      </c>
      <c r="G2535">
        <v>1339</v>
      </c>
      <c r="H2535" s="2">
        <f>Tabla_Items_Inactivos[[#This Row],[EXISTENCIA]]*Tabla_Items_Inactivos[[#This Row],[COSTO]]</f>
        <v>70.699200000000005</v>
      </c>
    </row>
    <row r="2536" spans="1:8">
      <c r="A2536" t="s">
        <v>3299</v>
      </c>
      <c r="B2536" t="s">
        <v>1479</v>
      </c>
      <c r="C2536" t="s">
        <v>1480</v>
      </c>
      <c r="D2536" t="s">
        <v>101</v>
      </c>
      <c r="E2536" t="s">
        <v>619</v>
      </c>
      <c r="F2536" s="2">
        <v>2.4388999999999998</v>
      </c>
      <c r="G2536">
        <v>1334</v>
      </c>
      <c r="H2536" s="2">
        <f>Tabla_Items_Inactivos[[#This Row],[EXISTENCIA]]*Tabla_Items_Inactivos[[#This Row],[COSTO]]</f>
        <v>3253.4925999999996</v>
      </c>
    </row>
    <row r="2537" spans="1:8">
      <c r="A2537" t="s">
        <v>3299</v>
      </c>
      <c r="B2537" t="s">
        <v>5231</v>
      </c>
      <c r="C2537" t="s">
        <v>5232</v>
      </c>
      <c r="D2537" t="s">
        <v>115</v>
      </c>
      <c r="E2537" t="s">
        <v>102</v>
      </c>
      <c r="F2537" s="2">
        <v>0.19470000000000001</v>
      </c>
      <c r="G2537">
        <v>441</v>
      </c>
      <c r="H2537" s="2">
        <f>Tabla_Items_Inactivos[[#This Row],[EXISTENCIA]]*Tabla_Items_Inactivos[[#This Row],[COSTO]]</f>
        <v>85.862700000000004</v>
      </c>
    </row>
    <row r="2538" spans="1:8">
      <c r="A2538" t="s">
        <v>3299</v>
      </c>
      <c r="B2538" t="s">
        <v>1481</v>
      </c>
      <c r="C2538" t="s">
        <v>1482</v>
      </c>
      <c r="D2538" t="s">
        <v>115</v>
      </c>
      <c r="E2538" t="s">
        <v>102</v>
      </c>
      <c r="F2538" s="2">
        <v>0.16</v>
      </c>
      <c r="G2538">
        <v>496</v>
      </c>
      <c r="H2538" s="2">
        <f>Tabla_Items_Inactivos[[#This Row],[EXISTENCIA]]*Tabla_Items_Inactivos[[#This Row],[COSTO]]</f>
        <v>79.36</v>
      </c>
    </row>
    <row r="2539" spans="1:8">
      <c r="A2539" t="s">
        <v>3299</v>
      </c>
      <c r="B2539" t="s">
        <v>1483</v>
      </c>
      <c r="C2539" t="s">
        <v>1484</v>
      </c>
      <c r="D2539" t="s">
        <v>115</v>
      </c>
      <c r="E2539" t="s">
        <v>102</v>
      </c>
      <c r="F2539" s="2">
        <v>0.12</v>
      </c>
      <c r="G2539">
        <v>529</v>
      </c>
      <c r="H2539" s="2">
        <f>Tabla_Items_Inactivos[[#This Row],[EXISTENCIA]]*Tabla_Items_Inactivos[[#This Row],[COSTO]]</f>
        <v>63.48</v>
      </c>
    </row>
    <row r="2540" spans="1:8">
      <c r="A2540" t="s">
        <v>3299</v>
      </c>
      <c r="B2540" t="s">
        <v>1485</v>
      </c>
      <c r="C2540" t="s">
        <v>1486</v>
      </c>
      <c r="D2540" t="s">
        <v>115</v>
      </c>
      <c r="E2540" t="s">
        <v>102</v>
      </c>
      <c r="F2540" s="2">
        <v>0.158</v>
      </c>
      <c r="G2540">
        <v>562</v>
      </c>
      <c r="H2540" s="2">
        <f>Tabla_Items_Inactivos[[#This Row],[EXISTENCIA]]*Tabla_Items_Inactivos[[#This Row],[COSTO]]</f>
        <v>88.796000000000006</v>
      </c>
    </row>
    <row r="2541" spans="1:8">
      <c r="A2541" t="s">
        <v>3299</v>
      </c>
      <c r="B2541" t="s">
        <v>1487</v>
      </c>
      <c r="C2541" t="s">
        <v>1488</v>
      </c>
      <c r="D2541" t="s">
        <v>115</v>
      </c>
      <c r="E2541" t="s">
        <v>102</v>
      </c>
      <c r="F2541" s="2">
        <v>0.11899999999999999</v>
      </c>
      <c r="G2541">
        <v>1076</v>
      </c>
      <c r="H2541" s="2">
        <f>Tabla_Items_Inactivos[[#This Row],[EXISTENCIA]]*Tabla_Items_Inactivos[[#This Row],[COSTO]]</f>
        <v>128.04399999999998</v>
      </c>
    </row>
    <row r="2542" spans="1:8">
      <c r="A2542" t="s">
        <v>3299</v>
      </c>
      <c r="B2542" t="s">
        <v>1489</v>
      </c>
      <c r="C2542" t="s">
        <v>1490</v>
      </c>
      <c r="D2542" t="s">
        <v>115</v>
      </c>
      <c r="E2542" t="s">
        <v>102</v>
      </c>
      <c r="F2542" s="2">
        <v>0.112</v>
      </c>
      <c r="G2542">
        <v>2060</v>
      </c>
      <c r="H2542" s="2">
        <f>Tabla_Items_Inactivos[[#This Row],[EXISTENCIA]]*Tabla_Items_Inactivos[[#This Row],[COSTO]]</f>
        <v>230.72</v>
      </c>
    </row>
    <row r="2543" spans="1:8">
      <c r="A2543" t="s">
        <v>3299</v>
      </c>
      <c r="B2543" t="s">
        <v>5233</v>
      </c>
      <c r="C2543" t="s">
        <v>5234</v>
      </c>
      <c r="D2543" t="s">
        <v>115</v>
      </c>
      <c r="E2543" t="s">
        <v>102</v>
      </c>
      <c r="F2543" s="2">
        <v>2.6599999999999999E-2</v>
      </c>
      <c r="G2543">
        <v>505</v>
      </c>
      <c r="H2543" s="2">
        <f>Tabla_Items_Inactivos[[#This Row],[EXISTENCIA]]*Tabla_Items_Inactivos[[#This Row],[COSTO]]</f>
        <v>13.433</v>
      </c>
    </row>
    <row r="2544" spans="1:8">
      <c r="A2544" t="s">
        <v>3299</v>
      </c>
      <c r="B2544" t="s">
        <v>5235</v>
      </c>
      <c r="C2544" t="s">
        <v>5236</v>
      </c>
      <c r="D2544" t="s">
        <v>101</v>
      </c>
      <c r="E2544" t="s">
        <v>102</v>
      </c>
      <c r="F2544" s="2">
        <v>0.153</v>
      </c>
      <c r="G2544">
        <v>5620</v>
      </c>
      <c r="H2544" s="2">
        <f>Tabla_Items_Inactivos[[#This Row],[EXISTENCIA]]*Tabla_Items_Inactivos[[#This Row],[COSTO]]</f>
        <v>859.86</v>
      </c>
    </row>
    <row r="2545" spans="1:8">
      <c r="A2545" t="s">
        <v>3299</v>
      </c>
      <c r="B2545" t="s">
        <v>5237</v>
      </c>
      <c r="C2545" t="s">
        <v>5238</v>
      </c>
      <c r="D2545" t="s">
        <v>101</v>
      </c>
      <c r="E2545" t="s">
        <v>102</v>
      </c>
      <c r="F2545" s="2">
        <v>8.5300000000000001E-2</v>
      </c>
      <c r="G2545">
        <v>2418</v>
      </c>
      <c r="H2545" s="2">
        <f>Tabla_Items_Inactivos[[#This Row],[EXISTENCIA]]*Tabla_Items_Inactivos[[#This Row],[COSTO]]</f>
        <v>206.25540000000001</v>
      </c>
    </row>
    <row r="2546" spans="1:8">
      <c r="A2546" t="s">
        <v>3299</v>
      </c>
      <c r="B2546" t="s">
        <v>1491</v>
      </c>
      <c r="C2546" t="s">
        <v>1492</v>
      </c>
      <c r="D2546" t="s">
        <v>115</v>
      </c>
      <c r="E2546" t="s">
        <v>102</v>
      </c>
      <c r="F2546" s="2">
        <v>0.14360000000000001</v>
      </c>
      <c r="G2546">
        <v>2300</v>
      </c>
      <c r="H2546" s="2">
        <f>Tabla_Items_Inactivos[[#This Row],[EXISTENCIA]]*Tabla_Items_Inactivos[[#This Row],[COSTO]]</f>
        <v>330.28000000000003</v>
      </c>
    </row>
    <row r="2547" spans="1:8">
      <c r="A2547" t="s">
        <v>3299</v>
      </c>
      <c r="B2547" t="s">
        <v>1493</v>
      </c>
      <c r="C2547" t="s">
        <v>1494</v>
      </c>
      <c r="D2547" t="s">
        <v>115</v>
      </c>
      <c r="E2547" t="s">
        <v>102</v>
      </c>
      <c r="F2547" s="2">
        <v>0.152</v>
      </c>
      <c r="G2547">
        <v>48</v>
      </c>
      <c r="H2547" s="2">
        <f>Tabla_Items_Inactivos[[#This Row],[EXISTENCIA]]*Tabla_Items_Inactivos[[#This Row],[COSTO]]</f>
        <v>7.2959999999999994</v>
      </c>
    </row>
    <row r="2548" spans="1:8">
      <c r="A2548" t="s">
        <v>3299</v>
      </c>
      <c r="B2548" t="s">
        <v>1495</v>
      </c>
      <c r="C2548" t="s">
        <v>1496</v>
      </c>
      <c r="D2548" t="s">
        <v>115</v>
      </c>
      <c r="E2548" t="s">
        <v>102</v>
      </c>
      <c r="F2548" s="2">
        <v>0.1016</v>
      </c>
      <c r="G2548">
        <v>2838</v>
      </c>
      <c r="H2548" s="2">
        <f>Tabla_Items_Inactivos[[#This Row],[EXISTENCIA]]*Tabla_Items_Inactivos[[#This Row],[COSTO]]</f>
        <v>288.3408</v>
      </c>
    </row>
    <row r="2549" spans="1:8">
      <c r="A2549" t="s">
        <v>3299</v>
      </c>
      <c r="B2549" t="s">
        <v>1497</v>
      </c>
      <c r="C2549" t="s">
        <v>1498</v>
      </c>
      <c r="D2549" t="s">
        <v>115</v>
      </c>
      <c r="E2549" t="s">
        <v>102</v>
      </c>
      <c r="F2549" s="2">
        <v>7.7399999999999997E-2</v>
      </c>
      <c r="G2549">
        <v>4200</v>
      </c>
      <c r="H2549" s="2">
        <f>Tabla_Items_Inactivos[[#This Row],[EXISTENCIA]]*Tabla_Items_Inactivos[[#This Row],[COSTO]]</f>
        <v>325.08</v>
      </c>
    </row>
    <row r="2550" spans="1:8">
      <c r="A2550" t="s">
        <v>3299</v>
      </c>
      <c r="B2550" t="s">
        <v>1499</v>
      </c>
      <c r="C2550" t="s">
        <v>1500</v>
      </c>
      <c r="D2550" t="s">
        <v>115</v>
      </c>
      <c r="E2550" t="s">
        <v>102</v>
      </c>
      <c r="F2550" s="2">
        <v>5.5E-2</v>
      </c>
      <c r="G2550">
        <v>3370</v>
      </c>
      <c r="H2550" s="2">
        <f>Tabla_Items_Inactivos[[#This Row],[EXISTENCIA]]*Tabla_Items_Inactivos[[#This Row],[COSTO]]</f>
        <v>185.35</v>
      </c>
    </row>
    <row r="2551" spans="1:8">
      <c r="A2551" t="s">
        <v>3299</v>
      </c>
      <c r="B2551" t="s">
        <v>1501</v>
      </c>
      <c r="C2551" t="s">
        <v>1502</v>
      </c>
      <c r="D2551" t="s">
        <v>115</v>
      </c>
      <c r="E2551" t="s">
        <v>102</v>
      </c>
      <c r="F2551" s="2">
        <v>0.15040000000000001</v>
      </c>
      <c r="G2551">
        <v>2208</v>
      </c>
      <c r="H2551" s="2">
        <f>Tabla_Items_Inactivos[[#This Row],[EXISTENCIA]]*Tabla_Items_Inactivos[[#This Row],[COSTO]]</f>
        <v>332.08320000000003</v>
      </c>
    </row>
    <row r="2552" spans="1:8">
      <c r="A2552" t="s">
        <v>3299</v>
      </c>
      <c r="B2552" t="s">
        <v>1503</v>
      </c>
      <c r="C2552" t="s">
        <v>1504</v>
      </c>
      <c r="D2552" t="s">
        <v>115</v>
      </c>
      <c r="E2552" t="s">
        <v>102</v>
      </c>
      <c r="F2552" s="2">
        <v>9.1300000000000006E-2</v>
      </c>
      <c r="G2552">
        <v>1660</v>
      </c>
      <c r="H2552" s="2">
        <f>Tabla_Items_Inactivos[[#This Row],[EXISTENCIA]]*Tabla_Items_Inactivos[[#This Row],[COSTO]]</f>
        <v>151.55800000000002</v>
      </c>
    </row>
    <row r="2553" spans="1:8">
      <c r="A2553" t="s">
        <v>3299</v>
      </c>
      <c r="B2553" t="s">
        <v>1505</v>
      </c>
      <c r="C2553" t="s">
        <v>1506</v>
      </c>
      <c r="D2553" t="s">
        <v>101</v>
      </c>
      <c r="E2553" t="s">
        <v>102</v>
      </c>
      <c r="F2553" s="2">
        <v>0.3997</v>
      </c>
      <c r="G2553">
        <v>2883</v>
      </c>
      <c r="H2553" s="2">
        <f>Tabla_Items_Inactivos[[#This Row],[EXISTENCIA]]*Tabla_Items_Inactivos[[#This Row],[COSTO]]</f>
        <v>1152.3351</v>
      </c>
    </row>
    <row r="2554" spans="1:8">
      <c r="A2554" t="s">
        <v>3299</v>
      </c>
      <c r="B2554" t="s">
        <v>1507</v>
      </c>
      <c r="C2554" t="s">
        <v>1508</v>
      </c>
      <c r="D2554" t="s">
        <v>101</v>
      </c>
      <c r="E2554" t="s">
        <v>102</v>
      </c>
      <c r="F2554" s="2">
        <v>0.30370000000000003</v>
      </c>
      <c r="G2554">
        <v>1997</v>
      </c>
      <c r="H2554" s="2">
        <f>Tabla_Items_Inactivos[[#This Row],[EXISTENCIA]]*Tabla_Items_Inactivos[[#This Row],[COSTO]]</f>
        <v>606.48890000000006</v>
      </c>
    </row>
    <row r="2555" spans="1:8">
      <c r="A2555" t="s">
        <v>3299</v>
      </c>
      <c r="B2555" t="s">
        <v>1509</v>
      </c>
      <c r="C2555" t="s">
        <v>1510</v>
      </c>
      <c r="D2555" t="s">
        <v>101</v>
      </c>
      <c r="E2555" t="s">
        <v>102</v>
      </c>
      <c r="F2555" s="2">
        <v>0.28139999999999998</v>
      </c>
      <c r="G2555">
        <v>11596</v>
      </c>
      <c r="H2555" s="2">
        <f>Tabla_Items_Inactivos[[#This Row],[EXISTENCIA]]*Tabla_Items_Inactivos[[#This Row],[COSTO]]</f>
        <v>3263.1143999999999</v>
      </c>
    </row>
    <row r="2556" spans="1:8">
      <c r="A2556" t="s">
        <v>3299</v>
      </c>
      <c r="B2556" t="s">
        <v>1511</v>
      </c>
      <c r="C2556" t="s">
        <v>1512</v>
      </c>
      <c r="D2556" t="s">
        <v>101</v>
      </c>
      <c r="E2556" t="s">
        <v>102</v>
      </c>
      <c r="F2556" s="2">
        <v>1.143</v>
      </c>
      <c r="G2556">
        <v>1</v>
      </c>
      <c r="H2556" s="2">
        <f>Tabla_Items_Inactivos[[#This Row],[EXISTENCIA]]*Tabla_Items_Inactivos[[#This Row],[COSTO]]</f>
        <v>1.143</v>
      </c>
    </row>
    <row r="2557" spans="1:8">
      <c r="A2557" t="s">
        <v>3299</v>
      </c>
      <c r="B2557" t="s">
        <v>1513</v>
      </c>
      <c r="C2557" t="s">
        <v>1514</v>
      </c>
      <c r="D2557" t="s">
        <v>101</v>
      </c>
      <c r="E2557" t="s">
        <v>102</v>
      </c>
      <c r="F2557" s="2">
        <v>0.313</v>
      </c>
      <c r="G2557">
        <v>8</v>
      </c>
      <c r="H2557" s="2">
        <f>Tabla_Items_Inactivos[[#This Row],[EXISTENCIA]]*Tabla_Items_Inactivos[[#This Row],[COSTO]]</f>
        <v>2.504</v>
      </c>
    </row>
    <row r="2558" spans="1:8">
      <c r="A2558" t="s">
        <v>3299</v>
      </c>
      <c r="B2558" t="s">
        <v>1515</v>
      </c>
      <c r="C2558" t="s">
        <v>1516</v>
      </c>
      <c r="D2558" t="s">
        <v>101</v>
      </c>
      <c r="E2558" t="s">
        <v>102</v>
      </c>
      <c r="F2558" s="2">
        <v>0.26900000000000002</v>
      </c>
      <c r="G2558">
        <v>1</v>
      </c>
      <c r="H2558" s="2">
        <f>Tabla_Items_Inactivos[[#This Row],[EXISTENCIA]]*Tabla_Items_Inactivos[[#This Row],[COSTO]]</f>
        <v>0.26900000000000002</v>
      </c>
    </row>
    <row r="2559" spans="1:8">
      <c r="A2559" t="s">
        <v>3299</v>
      </c>
      <c r="B2559" t="s">
        <v>1517</v>
      </c>
      <c r="C2559" t="s">
        <v>1518</v>
      </c>
      <c r="D2559" t="s">
        <v>101</v>
      </c>
      <c r="E2559" t="s">
        <v>102</v>
      </c>
      <c r="F2559" s="2">
        <v>0.1512</v>
      </c>
      <c r="G2559">
        <v>12307</v>
      </c>
      <c r="H2559" s="2">
        <f>Tabla_Items_Inactivos[[#This Row],[EXISTENCIA]]*Tabla_Items_Inactivos[[#This Row],[COSTO]]</f>
        <v>1860.8184000000001</v>
      </c>
    </row>
    <row r="2560" spans="1:8">
      <c r="A2560" t="s">
        <v>3299</v>
      </c>
      <c r="B2560" t="s">
        <v>1519</v>
      </c>
      <c r="C2560" t="s">
        <v>1520</v>
      </c>
      <c r="D2560" t="s">
        <v>101</v>
      </c>
      <c r="E2560" t="s">
        <v>102</v>
      </c>
      <c r="F2560" s="2">
        <v>7.9000000000000001E-2</v>
      </c>
      <c r="G2560">
        <v>2173</v>
      </c>
      <c r="H2560" s="2">
        <f>Tabla_Items_Inactivos[[#This Row],[EXISTENCIA]]*Tabla_Items_Inactivos[[#This Row],[COSTO]]</f>
        <v>171.667</v>
      </c>
    </row>
    <row r="2561" spans="1:8">
      <c r="A2561" t="s">
        <v>3299</v>
      </c>
      <c r="B2561" t="s">
        <v>1521</v>
      </c>
      <c r="C2561" t="s">
        <v>1522</v>
      </c>
      <c r="D2561" t="s">
        <v>115</v>
      </c>
      <c r="E2561" t="s">
        <v>102</v>
      </c>
      <c r="F2561" s="2">
        <v>0.18</v>
      </c>
      <c r="G2561">
        <v>7230</v>
      </c>
      <c r="H2561" s="2">
        <f>Tabla_Items_Inactivos[[#This Row],[EXISTENCIA]]*Tabla_Items_Inactivos[[#This Row],[COSTO]]</f>
        <v>1301.3999999999999</v>
      </c>
    </row>
    <row r="2562" spans="1:8">
      <c r="A2562" t="s">
        <v>3299</v>
      </c>
      <c r="B2562" t="s">
        <v>1523</v>
      </c>
      <c r="C2562" t="s">
        <v>1524</v>
      </c>
      <c r="D2562" t="s">
        <v>115</v>
      </c>
      <c r="E2562" t="s">
        <v>102</v>
      </c>
      <c r="F2562" s="2">
        <v>0.156</v>
      </c>
      <c r="G2562">
        <v>8320</v>
      </c>
      <c r="H2562" s="2">
        <f>Tabla_Items_Inactivos[[#This Row],[EXISTENCIA]]*Tabla_Items_Inactivos[[#This Row],[COSTO]]</f>
        <v>1297.92</v>
      </c>
    </row>
    <row r="2563" spans="1:8">
      <c r="A2563" t="s">
        <v>3299</v>
      </c>
      <c r="B2563" t="s">
        <v>1525</v>
      </c>
      <c r="C2563" t="s">
        <v>1526</v>
      </c>
      <c r="D2563" t="s">
        <v>115</v>
      </c>
      <c r="E2563" t="s">
        <v>102</v>
      </c>
      <c r="F2563" s="2">
        <v>0.34200000000000003</v>
      </c>
      <c r="G2563">
        <v>465</v>
      </c>
      <c r="H2563" s="2">
        <f>Tabla_Items_Inactivos[[#This Row],[EXISTENCIA]]*Tabla_Items_Inactivos[[#This Row],[COSTO]]</f>
        <v>159.03</v>
      </c>
    </row>
    <row r="2564" spans="1:8">
      <c r="A2564" t="s">
        <v>3299</v>
      </c>
      <c r="B2564" t="s">
        <v>1527</v>
      </c>
      <c r="C2564" t="s">
        <v>1528</v>
      </c>
      <c r="D2564" t="s">
        <v>115</v>
      </c>
      <c r="E2564" t="s">
        <v>102</v>
      </c>
      <c r="F2564" s="2">
        <v>0.08</v>
      </c>
      <c r="G2564">
        <v>14008</v>
      </c>
      <c r="H2564" s="2">
        <f>Tabla_Items_Inactivos[[#This Row],[EXISTENCIA]]*Tabla_Items_Inactivos[[#This Row],[COSTO]]</f>
        <v>1120.6400000000001</v>
      </c>
    </row>
    <row r="2565" spans="1:8">
      <c r="A2565" t="s">
        <v>3299</v>
      </c>
      <c r="B2565" t="s">
        <v>1529</v>
      </c>
      <c r="C2565" t="s">
        <v>1530</v>
      </c>
      <c r="D2565" t="s">
        <v>115</v>
      </c>
      <c r="E2565" t="s">
        <v>102</v>
      </c>
      <c r="F2565" s="2">
        <v>0.114</v>
      </c>
      <c r="G2565">
        <v>500</v>
      </c>
      <c r="H2565" s="2">
        <f>Tabla_Items_Inactivos[[#This Row],[EXISTENCIA]]*Tabla_Items_Inactivos[[#This Row],[COSTO]]</f>
        <v>57</v>
      </c>
    </row>
    <row r="2566" spans="1:8">
      <c r="A2566" t="s">
        <v>3299</v>
      </c>
      <c r="B2566" t="s">
        <v>1531</v>
      </c>
      <c r="C2566" t="s">
        <v>1532</v>
      </c>
      <c r="D2566" t="s">
        <v>115</v>
      </c>
      <c r="E2566" t="s">
        <v>102</v>
      </c>
      <c r="F2566" s="2">
        <v>0.115</v>
      </c>
      <c r="G2566">
        <v>613</v>
      </c>
      <c r="H2566" s="2">
        <f>Tabla_Items_Inactivos[[#This Row],[EXISTENCIA]]*Tabla_Items_Inactivos[[#This Row],[COSTO]]</f>
        <v>70.495000000000005</v>
      </c>
    </row>
    <row r="2567" spans="1:8">
      <c r="A2567" t="s">
        <v>3299</v>
      </c>
      <c r="B2567" t="s">
        <v>1533</v>
      </c>
      <c r="C2567" t="s">
        <v>5239</v>
      </c>
      <c r="D2567" t="s">
        <v>115</v>
      </c>
      <c r="E2567" t="s">
        <v>102</v>
      </c>
      <c r="F2567" s="2">
        <v>6.0999999999999999E-2</v>
      </c>
      <c r="G2567">
        <v>2238</v>
      </c>
      <c r="H2567" s="2">
        <f>Tabla_Items_Inactivos[[#This Row],[EXISTENCIA]]*Tabla_Items_Inactivos[[#This Row],[COSTO]]</f>
        <v>136.518</v>
      </c>
    </row>
    <row r="2568" spans="1:8">
      <c r="A2568" t="s">
        <v>3299</v>
      </c>
      <c r="B2568" t="s">
        <v>1534</v>
      </c>
      <c r="C2568" t="s">
        <v>1535</v>
      </c>
      <c r="D2568" t="s">
        <v>115</v>
      </c>
      <c r="E2568" t="s">
        <v>102</v>
      </c>
      <c r="F2568" s="2">
        <v>0.23599999999999999</v>
      </c>
      <c r="G2568">
        <v>380</v>
      </c>
      <c r="H2568" s="2">
        <f>Tabla_Items_Inactivos[[#This Row],[EXISTENCIA]]*Tabla_Items_Inactivos[[#This Row],[COSTO]]</f>
        <v>89.679999999999993</v>
      </c>
    </row>
    <row r="2569" spans="1:8">
      <c r="A2569" t="s">
        <v>3299</v>
      </c>
      <c r="B2569" t="s">
        <v>1536</v>
      </c>
      <c r="C2569" t="s">
        <v>1537</v>
      </c>
      <c r="D2569" t="s">
        <v>115</v>
      </c>
      <c r="E2569" t="s">
        <v>102</v>
      </c>
      <c r="F2569" s="2">
        <v>0.1552</v>
      </c>
      <c r="G2569">
        <v>1165</v>
      </c>
      <c r="H2569" s="2">
        <f>Tabla_Items_Inactivos[[#This Row],[EXISTENCIA]]*Tabla_Items_Inactivos[[#This Row],[COSTO]]</f>
        <v>180.80799999999999</v>
      </c>
    </row>
    <row r="2570" spans="1:8">
      <c r="A2570" t="s">
        <v>3299</v>
      </c>
      <c r="B2570" t="s">
        <v>1538</v>
      </c>
      <c r="C2570" t="s">
        <v>1539</v>
      </c>
      <c r="D2570" t="s">
        <v>115</v>
      </c>
      <c r="E2570" t="s">
        <v>102</v>
      </c>
      <c r="F2570" s="2">
        <v>0.11700000000000001</v>
      </c>
      <c r="G2570">
        <v>11125</v>
      </c>
      <c r="H2570" s="2">
        <f>Tabla_Items_Inactivos[[#This Row],[EXISTENCIA]]*Tabla_Items_Inactivos[[#This Row],[COSTO]]</f>
        <v>1301.625</v>
      </c>
    </row>
    <row r="2571" spans="1:8">
      <c r="A2571" t="s">
        <v>3299</v>
      </c>
      <c r="B2571" t="s">
        <v>5240</v>
      </c>
      <c r="C2571" t="s">
        <v>5241</v>
      </c>
      <c r="D2571" t="s">
        <v>101</v>
      </c>
      <c r="E2571" t="s">
        <v>102</v>
      </c>
      <c r="F2571" s="2">
        <v>0.64219999999999999</v>
      </c>
      <c r="G2571">
        <v>3327</v>
      </c>
      <c r="H2571" s="2">
        <f>Tabla_Items_Inactivos[[#This Row],[EXISTENCIA]]*Tabla_Items_Inactivos[[#This Row],[COSTO]]</f>
        <v>2136.5994000000001</v>
      </c>
    </row>
    <row r="2572" spans="1:8">
      <c r="A2572" t="s">
        <v>3299</v>
      </c>
      <c r="B2572" t="s">
        <v>1540</v>
      </c>
      <c r="C2572" t="s">
        <v>1541</v>
      </c>
      <c r="D2572" t="s">
        <v>115</v>
      </c>
      <c r="E2572" t="s">
        <v>102</v>
      </c>
      <c r="F2572" s="2">
        <v>0.14480000000000001</v>
      </c>
      <c r="G2572">
        <v>1104</v>
      </c>
      <c r="H2572" s="2">
        <f>Tabla_Items_Inactivos[[#This Row],[EXISTENCIA]]*Tabla_Items_Inactivos[[#This Row],[COSTO]]</f>
        <v>159.85920000000002</v>
      </c>
    </row>
    <row r="2573" spans="1:8">
      <c r="A2573" t="s">
        <v>3299</v>
      </c>
      <c r="B2573" t="s">
        <v>1542</v>
      </c>
      <c r="C2573" t="s">
        <v>1543</v>
      </c>
      <c r="D2573" t="s">
        <v>115</v>
      </c>
      <c r="E2573" t="s">
        <v>102</v>
      </c>
      <c r="F2573" s="2">
        <v>0.111</v>
      </c>
      <c r="G2573">
        <v>568</v>
      </c>
      <c r="H2573" s="2">
        <f>Tabla_Items_Inactivos[[#This Row],[EXISTENCIA]]*Tabla_Items_Inactivos[[#This Row],[COSTO]]</f>
        <v>63.048000000000002</v>
      </c>
    </row>
    <row r="2574" spans="1:8">
      <c r="A2574" t="s">
        <v>3299</v>
      </c>
      <c r="B2574" t="s">
        <v>1544</v>
      </c>
      <c r="C2574" t="s">
        <v>1545</v>
      </c>
      <c r="D2574" t="s">
        <v>115</v>
      </c>
      <c r="E2574" t="s">
        <v>102</v>
      </c>
      <c r="F2574" s="2">
        <v>4.5100000000000001E-2</v>
      </c>
      <c r="G2574">
        <v>1771</v>
      </c>
      <c r="H2574" s="2">
        <f>Tabla_Items_Inactivos[[#This Row],[EXISTENCIA]]*Tabla_Items_Inactivos[[#This Row],[COSTO]]</f>
        <v>79.872100000000003</v>
      </c>
    </row>
    <row r="2575" spans="1:8">
      <c r="A2575" t="s">
        <v>3300</v>
      </c>
      <c r="B2575" t="s">
        <v>5242</v>
      </c>
      <c r="C2575" t="s">
        <v>5243</v>
      </c>
      <c r="D2575" t="s">
        <v>101</v>
      </c>
      <c r="E2575" t="s">
        <v>619</v>
      </c>
      <c r="F2575" s="2">
        <v>1.1599999999999999</v>
      </c>
      <c r="G2575">
        <v>2934</v>
      </c>
      <c r="H2575" s="2">
        <f>Tabla_Items_Inactivos[[#This Row],[EXISTENCIA]]*Tabla_Items_Inactivos[[#This Row],[COSTO]]</f>
        <v>3403.4399999999996</v>
      </c>
    </row>
    <row r="2576" spans="1:8">
      <c r="A2576" t="s">
        <v>3299</v>
      </c>
      <c r="B2576" t="s">
        <v>5242</v>
      </c>
      <c r="C2576" t="s">
        <v>5243</v>
      </c>
      <c r="D2576" t="s">
        <v>101</v>
      </c>
      <c r="E2576" t="s">
        <v>619</v>
      </c>
      <c r="F2576" s="2">
        <v>1.1599999999999999</v>
      </c>
      <c r="G2576">
        <v>2934</v>
      </c>
      <c r="H2576" s="2">
        <f>Tabla_Items_Inactivos[[#This Row],[EXISTENCIA]]*Tabla_Items_Inactivos[[#This Row],[COSTO]]</f>
        <v>3403.4399999999996</v>
      </c>
    </row>
    <row r="2577" spans="1:8">
      <c r="A2577" t="s">
        <v>3299</v>
      </c>
      <c r="B2577" t="s">
        <v>1546</v>
      </c>
      <c r="C2577" t="s">
        <v>1547</v>
      </c>
      <c r="D2577" t="s">
        <v>101</v>
      </c>
      <c r="E2577" t="s">
        <v>626</v>
      </c>
      <c r="F2577" s="2">
        <v>2400</v>
      </c>
      <c r="G2577">
        <v>0.4541</v>
      </c>
      <c r="H2577" s="2">
        <f>Tabla_Items_Inactivos[[#This Row],[EXISTENCIA]]*Tabla_Items_Inactivos[[#This Row],[COSTO]]</f>
        <v>1089.8399999999999</v>
      </c>
    </row>
    <row r="2578" spans="1:8">
      <c r="A2578" t="s">
        <v>3299</v>
      </c>
      <c r="B2578" t="s">
        <v>1548</v>
      </c>
      <c r="C2578" t="s">
        <v>1549</v>
      </c>
      <c r="D2578" t="s">
        <v>115</v>
      </c>
      <c r="E2578" t="s">
        <v>102</v>
      </c>
      <c r="F2578" s="2">
        <v>9.5000000000000001E-2</v>
      </c>
      <c r="G2578">
        <v>2687</v>
      </c>
      <c r="H2578" s="2">
        <f>Tabla_Items_Inactivos[[#This Row],[EXISTENCIA]]*Tabla_Items_Inactivos[[#This Row],[COSTO]]</f>
        <v>255.26500000000001</v>
      </c>
    </row>
    <row r="2579" spans="1:8">
      <c r="A2579" t="s">
        <v>3299</v>
      </c>
      <c r="B2579" t="s">
        <v>1550</v>
      </c>
      <c r="C2579" t="s">
        <v>1551</v>
      </c>
      <c r="D2579" t="s">
        <v>115</v>
      </c>
      <c r="E2579" t="s">
        <v>102</v>
      </c>
      <c r="F2579" s="2">
        <v>4.7300000000000002E-2</v>
      </c>
      <c r="G2579">
        <v>2873</v>
      </c>
      <c r="H2579" s="2">
        <f>Tabla_Items_Inactivos[[#This Row],[EXISTENCIA]]*Tabla_Items_Inactivos[[#This Row],[COSTO]]</f>
        <v>135.8929</v>
      </c>
    </row>
    <row r="2580" spans="1:8">
      <c r="A2580" t="s">
        <v>3299</v>
      </c>
      <c r="B2580" t="s">
        <v>1552</v>
      </c>
      <c r="C2580" t="s">
        <v>1553</v>
      </c>
      <c r="D2580" t="s">
        <v>115</v>
      </c>
      <c r="E2580" t="s">
        <v>102</v>
      </c>
      <c r="F2580" s="2">
        <v>4.7300000000000002E-2</v>
      </c>
      <c r="G2580">
        <v>2882</v>
      </c>
      <c r="H2580" s="2">
        <f>Tabla_Items_Inactivos[[#This Row],[EXISTENCIA]]*Tabla_Items_Inactivos[[#This Row],[COSTO]]</f>
        <v>136.3186</v>
      </c>
    </row>
    <row r="2581" spans="1:8">
      <c r="A2581" t="s">
        <v>3299</v>
      </c>
      <c r="B2581" t="s">
        <v>1554</v>
      </c>
      <c r="C2581" t="s">
        <v>1555</v>
      </c>
      <c r="D2581" t="s">
        <v>115</v>
      </c>
      <c r="E2581" t="s">
        <v>102</v>
      </c>
      <c r="F2581" s="2">
        <v>0.1065</v>
      </c>
      <c r="G2581">
        <v>442</v>
      </c>
      <c r="H2581" s="2">
        <f>Tabla_Items_Inactivos[[#This Row],[EXISTENCIA]]*Tabla_Items_Inactivos[[#This Row],[COSTO]]</f>
        <v>47.073</v>
      </c>
    </row>
    <row r="2582" spans="1:8">
      <c r="A2582" t="s">
        <v>3299</v>
      </c>
      <c r="B2582" t="s">
        <v>1556</v>
      </c>
      <c r="C2582" t="s">
        <v>1557</v>
      </c>
      <c r="D2582" t="s">
        <v>115</v>
      </c>
      <c r="E2582" t="s">
        <v>102</v>
      </c>
      <c r="F2582" s="2">
        <v>9.2700000000000005E-2</v>
      </c>
      <c r="G2582">
        <v>1392</v>
      </c>
      <c r="H2582" s="2">
        <f>Tabla_Items_Inactivos[[#This Row],[EXISTENCIA]]*Tabla_Items_Inactivos[[#This Row],[COSTO]]</f>
        <v>129.0384</v>
      </c>
    </row>
    <row r="2583" spans="1:8">
      <c r="A2583" t="s">
        <v>3299</v>
      </c>
      <c r="B2583" t="s">
        <v>1558</v>
      </c>
      <c r="C2583" t="s">
        <v>1559</v>
      </c>
      <c r="D2583" t="s">
        <v>101</v>
      </c>
      <c r="E2583" t="s">
        <v>581</v>
      </c>
      <c r="F2583" s="2">
        <v>1.86</v>
      </c>
      <c r="G2583">
        <v>300</v>
      </c>
      <c r="H2583" s="2">
        <f>Tabla_Items_Inactivos[[#This Row],[EXISTENCIA]]*Tabla_Items_Inactivos[[#This Row],[COSTO]]</f>
        <v>558</v>
      </c>
    </row>
    <row r="2584" spans="1:8">
      <c r="A2584" t="s">
        <v>3299</v>
      </c>
      <c r="B2584" t="s">
        <v>1560</v>
      </c>
      <c r="C2584" t="s">
        <v>5244</v>
      </c>
      <c r="D2584" t="s">
        <v>101</v>
      </c>
      <c r="E2584" t="s">
        <v>581</v>
      </c>
      <c r="F2584" s="2">
        <v>2.6002999999999998</v>
      </c>
      <c r="G2584">
        <v>915.1</v>
      </c>
      <c r="H2584" s="2">
        <f>Tabla_Items_Inactivos[[#This Row],[EXISTENCIA]]*Tabla_Items_Inactivos[[#This Row],[COSTO]]</f>
        <v>2379.5345299999999</v>
      </c>
    </row>
    <row r="2585" spans="1:8">
      <c r="A2585" t="s">
        <v>3299</v>
      </c>
      <c r="B2585" t="s">
        <v>1561</v>
      </c>
      <c r="C2585" t="s">
        <v>1562</v>
      </c>
      <c r="D2585" t="s">
        <v>115</v>
      </c>
      <c r="E2585" t="s">
        <v>102</v>
      </c>
      <c r="F2585" s="2">
        <v>0.13900000000000001</v>
      </c>
      <c r="G2585">
        <v>545</v>
      </c>
      <c r="H2585" s="2">
        <f>Tabla_Items_Inactivos[[#This Row],[EXISTENCIA]]*Tabla_Items_Inactivos[[#This Row],[COSTO]]</f>
        <v>75.75500000000001</v>
      </c>
    </row>
    <row r="2586" spans="1:8">
      <c r="A2586" t="s">
        <v>3300</v>
      </c>
      <c r="B2586" t="s">
        <v>1563</v>
      </c>
      <c r="C2586" t="s">
        <v>1564</v>
      </c>
      <c r="D2586" t="s">
        <v>101</v>
      </c>
      <c r="E2586" t="s">
        <v>626</v>
      </c>
      <c r="F2586" s="2">
        <v>143.904</v>
      </c>
      <c r="G2586">
        <v>7.0004999999999997</v>
      </c>
      <c r="H2586" s="2">
        <f>Tabla_Items_Inactivos[[#This Row],[EXISTENCIA]]*Tabla_Items_Inactivos[[#This Row],[COSTO]]</f>
        <v>1007.399952</v>
      </c>
    </row>
    <row r="2587" spans="1:8">
      <c r="A2587" t="s">
        <v>3299</v>
      </c>
      <c r="B2587" t="s">
        <v>1563</v>
      </c>
      <c r="C2587" t="s">
        <v>1564</v>
      </c>
      <c r="D2587" t="s">
        <v>101</v>
      </c>
      <c r="E2587" t="s">
        <v>626</v>
      </c>
      <c r="F2587" s="2">
        <v>143.904</v>
      </c>
      <c r="G2587">
        <v>7.0004999999999997</v>
      </c>
      <c r="H2587" s="2">
        <f>Tabla_Items_Inactivos[[#This Row],[EXISTENCIA]]*Tabla_Items_Inactivos[[#This Row],[COSTO]]</f>
        <v>1007.399952</v>
      </c>
    </row>
    <row r="2588" spans="1:8">
      <c r="A2588" t="s">
        <v>3299</v>
      </c>
      <c r="B2588" t="s">
        <v>1565</v>
      </c>
      <c r="C2588" t="s">
        <v>1566</v>
      </c>
      <c r="D2588" t="s">
        <v>115</v>
      </c>
      <c r="E2588" t="s">
        <v>102</v>
      </c>
      <c r="F2588" s="2">
        <v>6.2399999999999997E-2</v>
      </c>
      <c r="G2588">
        <v>1296</v>
      </c>
      <c r="H2588" s="2">
        <f>Tabla_Items_Inactivos[[#This Row],[EXISTENCIA]]*Tabla_Items_Inactivos[[#This Row],[COSTO]]</f>
        <v>80.870399999999989</v>
      </c>
    </row>
    <row r="2589" spans="1:8">
      <c r="A2589" t="s">
        <v>3299</v>
      </c>
      <c r="B2589" t="s">
        <v>1567</v>
      </c>
      <c r="C2589" t="s">
        <v>1568</v>
      </c>
      <c r="D2589" t="s">
        <v>115</v>
      </c>
      <c r="E2589" t="s">
        <v>102</v>
      </c>
      <c r="F2589" s="2">
        <v>7.3300000000000004E-2</v>
      </c>
      <c r="G2589">
        <v>2373</v>
      </c>
      <c r="H2589" s="2">
        <f>Tabla_Items_Inactivos[[#This Row],[EXISTENCIA]]*Tabla_Items_Inactivos[[#This Row],[COSTO]]</f>
        <v>173.9409</v>
      </c>
    </row>
    <row r="2590" spans="1:8">
      <c r="A2590" t="s">
        <v>3299</v>
      </c>
      <c r="B2590" t="s">
        <v>1569</v>
      </c>
      <c r="C2590" t="s">
        <v>1570</v>
      </c>
      <c r="D2590" t="s">
        <v>115</v>
      </c>
      <c r="E2590" t="s">
        <v>102</v>
      </c>
      <c r="F2590" s="2">
        <v>0.17699999999999999</v>
      </c>
      <c r="G2590">
        <v>380</v>
      </c>
      <c r="H2590" s="2">
        <f>Tabla_Items_Inactivos[[#This Row],[EXISTENCIA]]*Tabla_Items_Inactivos[[#This Row],[COSTO]]</f>
        <v>67.259999999999991</v>
      </c>
    </row>
    <row r="2591" spans="1:8">
      <c r="A2591" t="s">
        <v>3299</v>
      </c>
      <c r="B2591" t="s">
        <v>1571</v>
      </c>
      <c r="C2591" t="s">
        <v>1572</v>
      </c>
      <c r="D2591" t="s">
        <v>115</v>
      </c>
      <c r="E2591" t="s">
        <v>102</v>
      </c>
      <c r="F2591" s="2">
        <v>8.4000000000000005E-2</v>
      </c>
      <c r="G2591">
        <v>436</v>
      </c>
      <c r="H2591" s="2">
        <f>Tabla_Items_Inactivos[[#This Row],[EXISTENCIA]]*Tabla_Items_Inactivos[[#This Row],[COSTO]]</f>
        <v>36.624000000000002</v>
      </c>
    </row>
    <row r="2592" spans="1:8">
      <c r="A2592" t="s">
        <v>3299</v>
      </c>
      <c r="B2592" t="s">
        <v>1573</v>
      </c>
      <c r="C2592" t="s">
        <v>1574</v>
      </c>
      <c r="D2592" t="s">
        <v>101</v>
      </c>
      <c r="E2592" t="s">
        <v>102</v>
      </c>
      <c r="F2592" s="2">
        <v>0.12</v>
      </c>
      <c r="G2592">
        <v>865</v>
      </c>
      <c r="H2592" s="2">
        <f>Tabla_Items_Inactivos[[#This Row],[EXISTENCIA]]*Tabla_Items_Inactivos[[#This Row],[COSTO]]</f>
        <v>103.8</v>
      </c>
    </row>
    <row r="2593" spans="1:8">
      <c r="A2593" t="s">
        <v>3299</v>
      </c>
      <c r="B2593" t="s">
        <v>1575</v>
      </c>
      <c r="C2593" t="s">
        <v>1576</v>
      </c>
      <c r="D2593" t="s">
        <v>115</v>
      </c>
      <c r="E2593" t="s">
        <v>102</v>
      </c>
      <c r="F2593" s="2">
        <v>9.98E-2</v>
      </c>
      <c r="G2593">
        <v>1442</v>
      </c>
      <c r="H2593" s="2">
        <f>Tabla_Items_Inactivos[[#This Row],[EXISTENCIA]]*Tabla_Items_Inactivos[[#This Row],[COSTO]]</f>
        <v>143.91159999999999</v>
      </c>
    </row>
    <row r="2594" spans="1:8">
      <c r="A2594" t="s">
        <v>3299</v>
      </c>
      <c r="B2594" t="s">
        <v>1577</v>
      </c>
      <c r="C2594" t="s">
        <v>1578</v>
      </c>
      <c r="D2594" t="s">
        <v>115</v>
      </c>
      <c r="E2594" t="s">
        <v>102</v>
      </c>
      <c r="F2594" s="2">
        <v>1.238</v>
      </c>
      <c r="G2594">
        <v>230</v>
      </c>
      <c r="H2594" s="2">
        <f>Tabla_Items_Inactivos[[#This Row],[EXISTENCIA]]*Tabla_Items_Inactivos[[#This Row],[COSTO]]</f>
        <v>284.74</v>
      </c>
    </row>
    <row r="2595" spans="1:8">
      <c r="A2595" t="s">
        <v>3299</v>
      </c>
      <c r="B2595" t="s">
        <v>1579</v>
      </c>
      <c r="C2595" t="s">
        <v>1580</v>
      </c>
      <c r="D2595" t="s">
        <v>115</v>
      </c>
      <c r="E2595" t="s">
        <v>102</v>
      </c>
      <c r="F2595" s="2">
        <v>0.11799999999999999</v>
      </c>
      <c r="G2595">
        <v>874</v>
      </c>
      <c r="H2595" s="2">
        <f>Tabla_Items_Inactivos[[#This Row],[EXISTENCIA]]*Tabla_Items_Inactivos[[#This Row],[COSTO]]</f>
        <v>103.13199999999999</v>
      </c>
    </row>
    <row r="2596" spans="1:8">
      <c r="A2596" t="s">
        <v>3299</v>
      </c>
      <c r="B2596" t="s">
        <v>1581</v>
      </c>
      <c r="C2596" t="s">
        <v>1582</v>
      </c>
      <c r="D2596" t="s">
        <v>115</v>
      </c>
      <c r="E2596" t="s">
        <v>102</v>
      </c>
      <c r="F2596" s="2">
        <v>0.16400000000000001</v>
      </c>
      <c r="G2596">
        <v>417</v>
      </c>
      <c r="H2596" s="2">
        <f>Tabla_Items_Inactivos[[#This Row],[EXISTENCIA]]*Tabla_Items_Inactivos[[#This Row],[COSTO]]</f>
        <v>68.388000000000005</v>
      </c>
    </row>
    <row r="2597" spans="1:8">
      <c r="A2597" t="s">
        <v>3299</v>
      </c>
      <c r="B2597" t="s">
        <v>1583</v>
      </c>
      <c r="C2597" t="s">
        <v>1584</v>
      </c>
      <c r="D2597" t="s">
        <v>115</v>
      </c>
      <c r="E2597" t="s">
        <v>102</v>
      </c>
      <c r="F2597" s="2">
        <v>0.10199999999999999</v>
      </c>
      <c r="G2597">
        <v>594</v>
      </c>
      <c r="H2597" s="2">
        <f>Tabla_Items_Inactivos[[#This Row],[EXISTENCIA]]*Tabla_Items_Inactivos[[#This Row],[COSTO]]</f>
        <v>60.587999999999994</v>
      </c>
    </row>
    <row r="2598" spans="1:8">
      <c r="A2598" t="s">
        <v>3299</v>
      </c>
      <c r="B2598" t="s">
        <v>1585</v>
      </c>
      <c r="C2598" t="s">
        <v>1586</v>
      </c>
      <c r="D2598" t="s">
        <v>115</v>
      </c>
      <c r="E2598" t="s">
        <v>102</v>
      </c>
      <c r="F2598" s="2">
        <v>7.7600000000000002E-2</v>
      </c>
      <c r="G2598">
        <v>979</v>
      </c>
      <c r="H2598" s="2">
        <f>Tabla_Items_Inactivos[[#This Row],[EXISTENCIA]]*Tabla_Items_Inactivos[[#This Row],[COSTO]]</f>
        <v>75.970399999999998</v>
      </c>
    </row>
    <row r="2599" spans="1:8">
      <c r="A2599" t="s">
        <v>3299</v>
      </c>
      <c r="B2599" t="s">
        <v>1587</v>
      </c>
      <c r="C2599" t="s">
        <v>1588</v>
      </c>
      <c r="D2599" t="s">
        <v>115</v>
      </c>
      <c r="E2599" t="s">
        <v>102</v>
      </c>
      <c r="F2599" s="2">
        <v>7.7600000000000002E-2</v>
      </c>
      <c r="G2599">
        <v>978</v>
      </c>
      <c r="H2599" s="2">
        <f>Tabla_Items_Inactivos[[#This Row],[EXISTENCIA]]*Tabla_Items_Inactivos[[#This Row],[COSTO]]</f>
        <v>75.892800000000008</v>
      </c>
    </row>
    <row r="2600" spans="1:8">
      <c r="A2600" t="s">
        <v>3299</v>
      </c>
      <c r="B2600" t="s">
        <v>5245</v>
      </c>
      <c r="C2600" t="s">
        <v>5246</v>
      </c>
      <c r="D2600" t="s">
        <v>101</v>
      </c>
      <c r="E2600" t="s">
        <v>581</v>
      </c>
      <c r="F2600" s="2">
        <v>1.0900000000000001</v>
      </c>
      <c r="G2600">
        <v>200</v>
      </c>
      <c r="H2600" s="2">
        <f>Tabla_Items_Inactivos[[#This Row],[EXISTENCIA]]*Tabla_Items_Inactivos[[#This Row],[COSTO]]</f>
        <v>218.00000000000003</v>
      </c>
    </row>
    <row r="2601" spans="1:8">
      <c r="A2601" t="s">
        <v>3299</v>
      </c>
      <c r="B2601" t="s">
        <v>5247</v>
      </c>
      <c r="C2601" t="s">
        <v>5248</v>
      </c>
      <c r="D2601" t="s">
        <v>580</v>
      </c>
      <c r="E2601" t="s">
        <v>734</v>
      </c>
      <c r="F2601" s="2">
        <v>0.10979999999999999</v>
      </c>
      <c r="G2601">
        <v>702</v>
      </c>
      <c r="H2601" s="2">
        <f>Tabla_Items_Inactivos[[#This Row],[EXISTENCIA]]*Tabla_Items_Inactivos[[#This Row],[COSTO]]</f>
        <v>77.079599999999999</v>
      </c>
    </row>
    <row r="2602" spans="1:8">
      <c r="A2602" t="s">
        <v>3299</v>
      </c>
      <c r="B2602" t="s">
        <v>5249</v>
      </c>
      <c r="C2602" t="s">
        <v>5250</v>
      </c>
      <c r="D2602" t="s">
        <v>31</v>
      </c>
      <c r="E2602" t="s">
        <v>31</v>
      </c>
      <c r="F2602" s="2">
        <v>7.1300000000000002E-2</v>
      </c>
      <c r="G2602">
        <v>1574</v>
      </c>
      <c r="H2602" s="2">
        <f>Tabla_Items_Inactivos[[#This Row],[EXISTENCIA]]*Tabla_Items_Inactivos[[#This Row],[COSTO]]</f>
        <v>112.22620000000001</v>
      </c>
    </row>
    <row r="2603" spans="1:8">
      <c r="A2603" t="s">
        <v>3299</v>
      </c>
      <c r="B2603" t="s">
        <v>1589</v>
      </c>
      <c r="C2603" t="s">
        <v>1590</v>
      </c>
      <c r="D2603" t="s">
        <v>115</v>
      </c>
      <c r="E2603" t="s">
        <v>102</v>
      </c>
      <c r="F2603" s="2">
        <v>0.252</v>
      </c>
      <c r="G2603">
        <v>441</v>
      </c>
      <c r="H2603" s="2">
        <f>Tabla_Items_Inactivos[[#This Row],[EXISTENCIA]]*Tabla_Items_Inactivos[[#This Row],[COSTO]]</f>
        <v>111.13200000000001</v>
      </c>
    </row>
    <row r="2604" spans="1:8">
      <c r="A2604" t="s">
        <v>3299</v>
      </c>
      <c r="B2604" t="s">
        <v>1591</v>
      </c>
      <c r="C2604" t="s">
        <v>1592</v>
      </c>
      <c r="D2604" t="s">
        <v>115</v>
      </c>
      <c r="E2604" t="s">
        <v>102</v>
      </c>
      <c r="F2604" s="2">
        <v>0.14130000000000001</v>
      </c>
      <c r="G2604">
        <v>764</v>
      </c>
      <c r="H2604" s="2">
        <f>Tabla_Items_Inactivos[[#This Row],[EXISTENCIA]]*Tabla_Items_Inactivos[[#This Row],[COSTO]]</f>
        <v>107.95320000000001</v>
      </c>
    </row>
    <row r="2605" spans="1:8">
      <c r="A2605" t="s">
        <v>3299</v>
      </c>
      <c r="B2605" t="s">
        <v>1593</v>
      </c>
      <c r="C2605" t="s">
        <v>5251</v>
      </c>
      <c r="D2605" t="s">
        <v>115</v>
      </c>
      <c r="E2605" t="s">
        <v>102</v>
      </c>
      <c r="F2605" s="2">
        <v>9.0999999999999998E-2</v>
      </c>
      <c r="G2605">
        <v>699</v>
      </c>
      <c r="H2605" s="2">
        <f>Tabla_Items_Inactivos[[#This Row],[EXISTENCIA]]*Tabla_Items_Inactivos[[#This Row],[COSTO]]</f>
        <v>63.609000000000002</v>
      </c>
    </row>
    <row r="2606" spans="1:8">
      <c r="A2606" t="s">
        <v>3299</v>
      </c>
      <c r="B2606" t="s">
        <v>1594</v>
      </c>
      <c r="C2606" t="s">
        <v>1595</v>
      </c>
      <c r="D2606" t="s">
        <v>115</v>
      </c>
      <c r="E2606" t="s">
        <v>102</v>
      </c>
      <c r="F2606" s="2">
        <v>6.9000000000000006E-2</v>
      </c>
      <c r="G2606">
        <v>1046</v>
      </c>
      <c r="H2606" s="2">
        <f>Tabla_Items_Inactivos[[#This Row],[EXISTENCIA]]*Tabla_Items_Inactivos[[#This Row],[COSTO]]</f>
        <v>72.174000000000007</v>
      </c>
    </row>
    <row r="2607" spans="1:8">
      <c r="A2607" t="s">
        <v>3300</v>
      </c>
      <c r="B2607" t="s">
        <v>1596</v>
      </c>
      <c r="C2607" t="s">
        <v>1597</v>
      </c>
      <c r="D2607" t="s">
        <v>5252</v>
      </c>
      <c r="E2607" t="s">
        <v>5215</v>
      </c>
      <c r="F2607" s="2">
        <v>0.96960000000000002</v>
      </c>
      <c r="G2607">
        <v>52</v>
      </c>
      <c r="H2607" s="2">
        <f>Tabla_Items_Inactivos[[#This Row],[EXISTENCIA]]*Tabla_Items_Inactivos[[#This Row],[COSTO]]</f>
        <v>50.419200000000004</v>
      </c>
    </row>
    <row r="2608" spans="1:8">
      <c r="A2608" t="s">
        <v>3299</v>
      </c>
      <c r="B2608" t="s">
        <v>1596</v>
      </c>
      <c r="C2608" t="s">
        <v>1597</v>
      </c>
      <c r="D2608" t="s">
        <v>5252</v>
      </c>
      <c r="E2608" t="s">
        <v>5215</v>
      </c>
      <c r="F2608" s="2">
        <v>0.96960000000000002</v>
      </c>
      <c r="G2608">
        <v>52</v>
      </c>
      <c r="H2608" s="2">
        <f>Tabla_Items_Inactivos[[#This Row],[EXISTENCIA]]*Tabla_Items_Inactivos[[#This Row],[COSTO]]</f>
        <v>50.419200000000004</v>
      </c>
    </row>
    <row r="2609" spans="1:8">
      <c r="A2609" t="s">
        <v>3299</v>
      </c>
      <c r="B2609" t="s">
        <v>1598</v>
      </c>
      <c r="C2609" t="s">
        <v>1599</v>
      </c>
      <c r="D2609" t="s">
        <v>115</v>
      </c>
      <c r="E2609" t="s">
        <v>102</v>
      </c>
      <c r="F2609" s="2">
        <v>0.13700000000000001</v>
      </c>
      <c r="G2609">
        <v>11607</v>
      </c>
      <c r="H2609" s="2">
        <f>Tabla_Items_Inactivos[[#This Row],[EXISTENCIA]]*Tabla_Items_Inactivos[[#This Row],[COSTO]]</f>
        <v>1590.1590000000001</v>
      </c>
    </row>
    <row r="2610" spans="1:8">
      <c r="A2610" t="s">
        <v>3299</v>
      </c>
      <c r="B2610" t="s">
        <v>1600</v>
      </c>
      <c r="C2610" t="s">
        <v>1601</v>
      </c>
      <c r="D2610" t="s">
        <v>101</v>
      </c>
      <c r="E2610" t="s">
        <v>626</v>
      </c>
      <c r="F2610" s="2">
        <v>147.39169999999999</v>
      </c>
      <c r="G2610">
        <v>1.1200000000000001</v>
      </c>
      <c r="H2610" s="2">
        <f>Tabla_Items_Inactivos[[#This Row],[EXISTENCIA]]*Tabla_Items_Inactivos[[#This Row],[COSTO]]</f>
        <v>165.07870399999999</v>
      </c>
    </row>
    <row r="2611" spans="1:8">
      <c r="A2611" t="s">
        <v>3299</v>
      </c>
      <c r="B2611" t="s">
        <v>1602</v>
      </c>
      <c r="C2611" t="s">
        <v>1603</v>
      </c>
      <c r="D2611" t="s">
        <v>115</v>
      </c>
      <c r="E2611" t="s">
        <v>102</v>
      </c>
      <c r="F2611" s="2">
        <v>0.19700000000000001</v>
      </c>
      <c r="G2611">
        <v>11012</v>
      </c>
      <c r="H2611" s="2">
        <f>Tabla_Items_Inactivos[[#This Row],[EXISTENCIA]]*Tabla_Items_Inactivos[[#This Row],[COSTO]]</f>
        <v>2169.364</v>
      </c>
    </row>
    <row r="2612" spans="1:8">
      <c r="A2612" t="s">
        <v>3299</v>
      </c>
      <c r="B2612" t="s">
        <v>1604</v>
      </c>
      <c r="C2612" t="s">
        <v>1605</v>
      </c>
      <c r="D2612" t="s">
        <v>115</v>
      </c>
      <c r="E2612" t="s">
        <v>102</v>
      </c>
      <c r="F2612" s="2">
        <v>0.187</v>
      </c>
      <c r="G2612">
        <v>11343</v>
      </c>
      <c r="H2612" s="2">
        <f>Tabla_Items_Inactivos[[#This Row],[EXISTENCIA]]*Tabla_Items_Inactivos[[#This Row],[COSTO]]</f>
        <v>2121.1410000000001</v>
      </c>
    </row>
    <row r="2613" spans="1:8">
      <c r="A2613" t="s">
        <v>3299</v>
      </c>
      <c r="B2613" t="s">
        <v>1606</v>
      </c>
      <c r="C2613" t="s">
        <v>1607</v>
      </c>
      <c r="D2613" t="s">
        <v>115</v>
      </c>
      <c r="E2613" t="s">
        <v>102</v>
      </c>
      <c r="F2613" s="2">
        <v>0.14499999999999999</v>
      </c>
      <c r="G2613">
        <v>722</v>
      </c>
      <c r="H2613" s="2">
        <f>Tabla_Items_Inactivos[[#This Row],[EXISTENCIA]]*Tabla_Items_Inactivos[[#This Row],[COSTO]]</f>
        <v>104.69</v>
      </c>
    </row>
    <row r="2614" spans="1:8">
      <c r="A2614" t="s">
        <v>3299</v>
      </c>
      <c r="B2614" t="s">
        <v>1608</v>
      </c>
      <c r="C2614" t="s">
        <v>1609</v>
      </c>
      <c r="D2614" t="s">
        <v>115</v>
      </c>
      <c r="E2614" t="s">
        <v>102</v>
      </c>
      <c r="F2614" s="2">
        <v>0.14000000000000001</v>
      </c>
      <c r="G2614">
        <v>392</v>
      </c>
      <c r="H2614" s="2">
        <f>Tabla_Items_Inactivos[[#This Row],[EXISTENCIA]]*Tabla_Items_Inactivos[[#This Row],[COSTO]]</f>
        <v>54.88</v>
      </c>
    </row>
    <row r="2615" spans="1:8">
      <c r="A2615" t="s">
        <v>3299</v>
      </c>
      <c r="B2615" t="s">
        <v>1610</v>
      </c>
      <c r="C2615" t="s">
        <v>1611</v>
      </c>
      <c r="D2615" t="s">
        <v>115</v>
      </c>
      <c r="E2615" t="s">
        <v>102</v>
      </c>
      <c r="F2615" s="2">
        <v>0.30299999999999999</v>
      </c>
      <c r="G2615">
        <v>506</v>
      </c>
      <c r="H2615" s="2">
        <f>Tabla_Items_Inactivos[[#This Row],[EXISTENCIA]]*Tabla_Items_Inactivos[[#This Row],[COSTO]]</f>
        <v>153.31799999999998</v>
      </c>
    </row>
    <row r="2616" spans="1:8">
      <c r="A2616" t="s">
        <v>3299</v>
      </c>
      <c r="B2616" t="s">
        <v>1612</v>
      </c>
      <c r="C2616" t="s">
        <v>1613</v>
      </c>
      <c r="D2616" t="s">
        <v>115</v>
      </c>
      <c r="E2616" t="s">
        <v>102</v>
      </c>
      <c r="F2616" s="2">
        <v>0.14000000000000001</v>
      </c>
      <c r="G2616">
        <v>288</v>
      </c>
      <c r="H2616" s="2">
        <f>Tabla_Items_Inactivos[[#This Row],[EXISTENCIA]]*Tabla_Items_Inactivos[[#This Row],[COSTO]]</f>
        <v>40.320000000000007</v>
      </c>
    </row>
    <row r="2617" spans="1:8">
      <c r="A2617" t="s">
        <v>3300</v>
      </c>
      <c r="B2617" t="s">
        <v>1614</v>
      </c>
      <c r="C2617" t="s">
        <v>5253</v>
      </c>
      <c r="D2617" t="s">
        <v>101</v>
      </c>
      <c r="E2617" t="s">
        <v>711</v>
      </c>
      <c r="F2617" s="2">
        <v>1.7966</v>
      </c>
      <c r="G2617">
        <v>1283</v>
      </c>
      <c r="H2617" s="2">
        <f>Tabla_Items_Inactivos[[#This Row],[EXISTENCIA]]*Tabla_Items_Inactivos[[#This Row],[COSTO]]</f>
        <v>2305.0378000000001</v>
      </c>
    </row>
    <row r="2618" spans="1:8">
      <c r="A2618" t="s">
        <v>3299</v>
      </c>
      <c r="B2618" t="s">
        <v>1614</v>
      </c>
      <c r="C2618" t="s">
        <v>5253</v>
      </c>
      <c r="D2618" t="s">
        <v>101</v>
      </c>
      <c r="E2618" t="s">
        <v>711</v>
      </c>
      <c r="F2618" s="2">
        <v>1.7966</v>
      </c>
      <c r="G2618">
        <v>1283</v>
      </c>
      <c r="H2618" s="2">
        <f>Tabla_Items_Inactivos[[#This Row],[EXISTENCIA]]*Tabla_Items_Inactivos[[#This Row],[COSTO]]</f>
        <v>2305.0378000000001</v>
      </c>
    </row>
    <row r="2619" spans="1:8">
      <c r="A2619" t="s">
        <v>3299</v>
      </c>
      <c r="B2619" t="s">
        <v>1615</v>
      </c>
      <c r="C2619" t="s">
        <v>1616</v>
      </c>
      <c r="D2619" t="s">
        <v>115</v>
      </c>
      <c r="E2619" t="s">
        <v>102</v>
      </c>
      <c r="F2619" s="2">
        <v>0.1</v>
      </c>
      <c r="G2619">
        <v>258</v>
      </c>
      <c r="H2619" s="2">
        <f>Tabla_Items_Inactivos[[#This Row],[EXISTENCIA]]*Tabla_Items_Inactivos[[#This Row],[COSTO]]</f>
        <v>25.8</v>
      </c>
    </row>
    <row r="2620" spans="1:8">
      <c r="A2620" t="s">
        <v>3299</v>
      </c>
      <c r="B2620" t="s">
        <v>1617</v>
      </c>
      <c r="C2620" t="s">
        <v>1618</v>
      </c>
      <c r="D2620" t="s">
        <v>115</v>
      </c>
      <c r="E2620" t="s">
        <v>102</v>
      </c>
      <c r="F2620" s="2">
        <v>9.9000000000000005E-2</v>
      </c>
      <c r="G2620">
        <v>288</v>
      </c>
      <c r="H2620" s="2">
        <f>Tabla_Items_Inactivos[[#This Row],[EXISTENCIA]]*Tabla_Items_Inactivos[[#This Row],[COSTO]]</f>
        <v>28.512</v>
      </c>
    </row>
    <row r="2621" spans="1:8">
      <c r="A2621" t="s">
        <v>3299</v>
      </c>
      <c r="B2621" t="s">
        <v>1619</v>
      </c>
      <c r="C2621" t="s">
        <v>1620</v>
      </c>
      <c r="D2621" t="s">
        <v>115</v>
      </c>
      <c r="E2621" t="s">
        <v>102</v>
      </c>
      <c r="F2621" s="2">
        <v>0.215</v>
      </c>
      <c r="G2621">
        <v>831</v>
      </c>
      <c r="H2621" s="2">
        <f>Tabla_Items_Inactivos[[#This Row],[EXISTENCIA]]*Tabla_Items_Inactivos[[#This Row],[COSTO]]</f>
        <v>178.66499999999999</v>
      </c>
    </row>
    <row r="2622" spans="1:8">
      <c r="A2622" t="s">
        <v>3299</v>
      </c>
      <c r="B2622" t="s">
        <v>5254</v>
      </c>
      <c r="C2622" t="s">
        <v>5255</v>
      </c>
      <c r="D2622" t="s">
        <v>115</v>
      </c>
      <c r="E2622" t="s">
        <v>102</v>
      </c>
      <c r="F2622" s="2">
        <v>9.5200000000000007E-2</v>
      </c>
      <c r="G2622">
        <v>2242</v>
      </c>
      <c r="H2622" s="2">
        <f>Tabla_Items_Inactivos[[#This Row],[EXISTENCIA]]*Tabla_Items_Inactivos[[#This Row],[COSTO]]</f>
        <v>213.4384</v>
      </c>
    </row>
    <row r="2623" spans="1:8">
      <c r="A2623" t="s">
        <v>3299</v>
      </c>
      <c r="B2623" t="s">
        <v>5256</v>
      </c>
      <c r="C2623" t="s">
        <v>5257</v>
      </c>
      <c r="D2623" t="s">
        <v>115</v>
      </c>
      <c r="E2623" t="s">
        <v>102</v>
      </c>
      <c r="F2623" s="2">
        <v>9.5500000000000002E-2</v>
      </c>
      <c r="G2623">
        <v>2231</v>
      </c>
      <c r="H2623" s="2">
        <f>Tabla_Items_Inactivos[[#This Row],[EXISTENCIA]]*Tabla_Items_Inactivos[[#This Row],[COSTO]]</f>
        <v>213.06049999999999</v>
      </c>
    </row>
    <row r="2624" spans="1:8">
      <c r="A2624" t="s">
        <v>3299</v>
      </c>
      <c r="B2624" t="s">
        <v>1621</v>
      </c>
      <c r="C2624" t="s">
        <v>1622</v>
      </c>
      <c r="D2624" t="s">
        <v>115</v>
      </c>
      <c r="E2624" t="s">
        <v>102</v>
      </c>
      <c r="F2624" s="2">
        <v>9.69E-2</v>
      </c>
      <c r="G2624">
        <v>723</v>
      </c>
      <c r="H2624" s="2">
        <f>Tabla_Items_Inactivos[[#This Row],[EXISTENCIA]]*Tabla_Items_Inactivos[[#This Row],[COSTO]]</f>
        <v>70.058700000000002</v>
      </c>
    </row>
    <row r="2625" spans="1:8">
      <c r="A2625" t="s">
        <v>3299</v>
      </c>
      <c r="B2625" t="s">
        <v>1623</v>
      </c>
      <c r="C2625" t="s">
        <v>1624</v>
      </c>
      <c r="D2625" t="s">
        <v>115</v>
      </c>
      <c r="E2625" t="s">
        <v>102</v>
      </c>
      <c r="F2625" s="2">
        <v>0.19600000000000001</v>
      </c>
      <c r="G2625">
        <v>907</v>
      </c>
      <c r="H2625" s="2">
        <f>Tabla_Items_Inactivos[[#This Row],[EXISTENCIA]]*Tabla_Items_Inactivos[[#This Row],[COSTO]]</f>
        <v>177.77200000000002</v>
      </c>
    </row>
    <row r="2626" spans="1:8">
      <c r="A2626" t="s">
        <v>3299</v>
      </c>
      <c r="B2626" t="s">
        <v>1625</v>
      </c>
      <c r="C2626" t="s">
        <v>1626</v>
      </c>
      <c r="D2626" t="s">
        <v>115</v>
      </c>
      <c r="E2626" t="s">
        <v>102</v>
      </c>
      <c r="F2626" s="2">
        <v>0.36</v>
      </c>
      <c r="G2626">
        <v>396</v>
      </c>
      <c r="H2626" s="2">
        <f>Tabla_Items_Inactivos[[#This Row],[EXISTENCIA]]*Tabla_Items_Inactivos[[#This Row],[COSTO]]</f>
        <v>142.56</v>
      </c>
    </row>
    <row r="2627" spans="1:8">
      <c r="A2627" t="s">
        <v>3299</v>
      </c>
      <c r="B2627" t="s">
        <v>1627</v>
      </c>
      <c r="C2627" t="s">
        <v>1628</v>
      </c>
      <c r="D2627" t="s">
        <v>101</v>
      </c>
      <c r="E2627" t="s">
        <v>626</v>
      </c>
      <c r="F2627" s="2">
        <v>217.96199999999999</v>
      </c>
      <c r="G2627">
        <v>79.06</v>
      </c>
      <c r="H2627" s="2">
        <f>Tabla_Items_Inactivos[[#This Row],[EXISTENCIA]]*Tabla_Items_Inactivos[[#This Row],[COSTO]]</f>
        <v>17232.075720000001</v>
      </c>
    </row>
    <row r="2628" spans="1:8">
      <c r="A2628" t="s">
        <v>3300</v>
      </c>
      <c r="B2628" t="s">
        <v>1629</v>
      </c>
      <c r="C2628" t="s">
        <v>1630</v>
      </c>
      <c r="D2628" t="s">
        <v>101</v>
      </c>
      <c r="E2628" t="s">
        <v>619</v>
      </c>
      <c r="F2628" s="2">
        <v>1.2459</v>
      </c>
      <c r="G2628">
        <v>4320</v>
      </c>
      <c r="H2628" s="2">
        <f>Tabla_Items_Inactivos[[#This Row],[EXISTENCIA]]*Tabla_Items_Inactivos[[#This Row],[COSTO]]</f>
        <v>5382.2880000000005</v>
      </c>
    </row>
    <row r="2629" spans="1:8">
      <c r="A2629" t="s">
        <v>3299</v>
      </c>
      <c r="B2629" t="s">
        <v>1629</v>
      </c>
      <c r="C2629" t="s">
        <v>1630</v>
      </c>
      <c r="D2629" t="s">
        <v>101</v>
      </c>
      <c r="E2629" t="s">
        <v>619</v>
      </c>
      <c r="F2629" s="2">
        <v>1.2459</v>
      </c>
      <c r="G2629">
        <v>4320</v>
      </c>
      <c r="H2629" s="2">
        <f>Tabla_Items_Inactivos[[#This Row],[EXISTENCIA]]*Tabla_Items_Inactivos[[#This Row],[COSTO]]</f>
        <v>5382.2880000000005</v>
      </c>
    </row>
    <row r="2630" spans="1:8">
      <c r="A2630" t="s">
        <v>3299</v>
      </c>
      <c r="B2630" t="s">
        <v>1631</v>
      </c>
      <c r="C2630" t="s">
        <v>1632</v>
      </c>
      <c r="D2630" t="s">
        <v>101</v>
      </c>
      <c r="E2630" t="s">
        <v>619</v>
      </c>
      <c r="F2630" s="2">
        <v>0.23680000000000001</v>
      </c>
      <c r="G2630">
        <v>1004</v>
      </c>
      <c r="H2630" s="2">
        <f>Tabla_Items_Inactivos[[#This Row],[EXISTENCIA]]*Tabla_Items_Inactivos[[#This Row],[COSTO]]</f>
        <v>237.74720000000002</v>
      </c>
    </row>
    <row r="2631" spans="1:8">
      <c r="A2631" t="s">
        <v>3300</v>
      </c>
      <c r="B2631" t="s">
        <v>1631</v>
      </c>
      <c r="C2631" t="s">
        <v>1632</v>
      </c>
      <c r="D2631" t="s">
        <v>101</v>
      </c>
      <c r="E2631" t="s">
        <v>619</v>
      </c>
      <c r="F2631" s="2">
        <v>0.23680000000000001</v>
      </c>
      <c r="G2631">
        <v>1004</v>
      </c>
      <c r="H2631" s="2">
        <f>Tabla_Items_Inactivos[[#This Row],[EXISTENCIA]]*Tabla_Items_Inactivos[[#This Row],[COSTO]]</f>
        <v>237.74720000000002</v>
      </c>
    </row>
    <row r="2632" spans="1:8">
      <c r="A2632" t="s">
        <v>3299</v>
      </c>
      <c r="B2632" t="s">
        <v>5258</v>
      </c>
      <c r="C2632" t="s">
        <v>5259</v>
      </c>
      <c r="D2632" t="s">
        <v>101</v>
      </c>
      <c r="E2632" t="s">
        <v>626</v>
      </c>
      <c r="F2632" s="2">
        <v>1.1608000000000001</v>
      </c>
      <c r="G2632">
        <v>763</v>
      </c>
      <c r="H2632" s="2">
        <f>Tabla_Items_Inactivos[[#This Row],[EXISTENCIA]]*Tabla_Items_Inactivos[[#This Row],[COSTO]]</f>
        <v>885.69040000000007</v>
      </c>
    </row>
    <row r="2633" spans="1:8">
      <c r="A2633" t="s">
        <v>3299</v>
      </c>
      <c r="B2633" t="s">
        <v>1633</v>
      </c>
      <c r="C2633" t="s">
        <v>1634</v>
      </c>
      <c r="D2633" t="s">
        <v>101</v>
      </c>
      <c r="E2633" t="s">
        <v>626</v>
      </c>
      <c r="F2633" s="2">
        <v>24</v>
      </c>
      <c r="G2633">
        <v>118</v>
      </c>
      <c r="H2633" s="2">
        <f>Tabla_Items_Inactivos[[#This Row],[EXISTENCIA]]*Tabla_Items_Inactivos[[#This Row],[COSTO]]</f>
        <v>2832</v>
      </c>
    </row>
    <row r="2634" spans="1:8">
      <c r="A2634" t="s">
        <v>3299</v>
      </c>
      <c r="B2634" t="s">
        <v>1635</v>
      </c>
      <c r="C2634" t="s">
        <v>5260</v>
      </c>
      <c r="D2634" t="s">
        <v>115</v>
      </c>
      <c r="E2634" t="s">
        <v>102</v>
      </c>
      <c r="F2634" s="2">
        <v>0.13800000000000001</v>
      </c>
      <c r="G2634">
        <v>901</v>
      </c>
      <c r="H2634" s="2">
        <f>Tabla_Items_Inactivos[[#This Row],[EXISTENCIA]]*Tabla_Items_Inactivos[[#This Row],[COSTO]]</f>
        <v>124.33800000000001</v>
      </c>
    </row>
    <row r="2635" spans="1:8">
      <c r="A2635" t="s">
        <v>3299</v>
      </c>
      <c r="B2635" t="s">
        <v>1636</v>
      </c>
      <c r="C2635" t="s">
        <v>1637</v>
      </c>
      <c r="D2635" t="s">
        <v>115</v>
      </c>
      <c r="E2635" t="s">
        <v>102</v>
      </c>
      <c r="F2635" s="2">
        <v>0.19</v>
      </c>
      <c r="G2635">
        <v>1569</v>
      </c>
      <c r="H2635" s="2">
        <f>Tabla_Items_Inactivos[[#This Row],[EXISTENCIA]]*Tabla_Items_Inactivos[[#This Row],[COSTO]]</f>
        <v>298.11</v>
      </c>
    </row>
    <row r="2636" spans="1:8">
      <c r="A2636" t="s">
        <v>3299</v>
      </c>
      <c r="B2636" t="s">
        <v>1638</v>
      </c>
      <c r="C2636" t="s">
        <v>1639</v>
      </c>
      <c r="D2636" t="s">
        <v>115</v>
      </c>
      <c r="E2636" t="s">
        <v>102</v>
      </c>
      <c r="F2636" s="2">
        <v>7.6999999999999999E-2</v>
      </c>
      <c r="G2636">
        <v>625</v>
      </c>
      <c r="H2636" s="2">
        <f>Tabla_Items_Inactivos[[#This Row],[EXISTENCIA]]*Tabla_Items_Inactivos[[#This Row],[COSTO]]</f>
        <v>48.125</v>
      </c>
    </row>
    <row r="2637" spans="1:8">
      <c r="A2637" t="s">
        <v>3299</v>
      </c>
      <c r="B2637" t="s">
        <v>1640</v>
      </c>
      <c r="C2637" t="s">
        <v>1641</v>
      </c>
      <c r="D2637" t="s">
        <v>115</v>
      </c>
      <c r="E2637" t="s">
        <v>102</v>
      </c>
      <c r="F2637" s="2">
        <v>0.17810000000000001</v>
      </c>
      <c r="G2637">
        <v>1119</v>
      </c>
      <c r="H2637" s="2">
        <f>Tabla_Items_Inactivos[[#This Row],[EXISTENCIA]]*Tabla_Items_Inactivos[[#This Row],[COSTO]]</f>
        <v>199.29390000000001</v>
      </c>
    </row>
    <row r="2638" spans="1:8">
      <c r="A2638" t="s">
        <v>3299</v>
      </c>
      <c r="B2638" t="s">
        <v>1642</v>
      </c>
      <c r="C2638" t="s">
        <v>1643</v>
      </c>
      <c r="D2638" t="s">
        <v>115</v>
      </c>
      <c r="E2638" t="s">
        <v>102</v>
      </c>
      <c r="F2638" s="2">
        <v>9.4899999999999998E-2</v>
      </c>
      <c r="G2638">
        <v>1738</v>
      </c>
      <c r="H2638" s="2">
        <f>Tabla_Items_Inactivos[[#This Row],[EXISTENCIA]]*Tabla_Items_Inactivos[[#This Row],[COSTO]]</f>
        <v>164.93619999999999</v>
      </c>
    </row>
    <row r="2639" spans="1:8">
      <c r="A2639" t="s">
        <v>3299</v>
      </c>
      <c r="B2639" t="s">
        <v>1644</v>
      </c>
      <c r="C2639" t="s">
        <v>1645</v>
      </c>
      <c r="D2639" t="s">
        <v>115</v>
      </c>
      <c r="E2639" t="s">
        <v>102</v>
      </c>
      <c r="F2639" s="2">
        <v>0.13</v>
      </c>
      <c r="G2639">
        <v>252</v>
      </c>
      <c r="H2639" s="2">
        <f>Tabla_Items_Inactivos[[#This Row],[EXISTENCIA]]*Tabla_Items_Inactivos[[#This Row],[COSTO]]</f>
        <v>32.76</v>
      </c>
    </row>
    <row r="2640" spans="1:8">
      <c r="A2640" t="s">
        <v>3299</v>
      </c>
      <c r="B2640" t="s">
        <v>1646</v>
      </c>
      <c r="C2640" t="s">
        <v>1647</v>
      </c>
      <c r="D2640" t="s">
        <v>115</v>
      </c>
      <c r="E2640" t="s">
        <v>102</v>
      </c>
      <c r="F2640" s="2">
        <v>8.0100000000000005E-2</v>
      </c>
      <c r="G2640">
        <v>1204</v>
      </c>
      <c r="H2640" s="2">
        <f>Tabla_Items_Inactivos[[#This Row],[EXISTENCIA]]*Tabla_Items_Inactivos[[#This Row],[COSTO]]</f>
        <v>96.440400000000011</v>
      </c>
    </row>
    <row r="2641" spans="1:8">
      <c r="A2641" t="s">
        <v>3299</v>
      </c>
      <c r="B2641" t="s">
        <v>1648</v>
      </c>
      <c r="C2641" t="s">
        <v>1649</v>
      </c>
      <c r="D2641" t="s">
        <v>115</v>
      </c>
      <c r="E2641" t="s">
        <v>102</v>
      </c>
      <c r="F2641" s="2">
        <v>0.27300000000000002</v>
      </c>
      <c r="G2641">
        <v>394</v>
      </c>
      <c r="H2641" s="2">
        <f>Tabla_Items_Inactivos[[#This Row],[EXISTENCIA]]*Tabla_Items_Inactivos[[#This Row],[COSTO]]</f>
        <v>107.56200000000001</v>
      </c>
    </row>
    <row r="2642" spans="1:8">
      <c r="A2642" t="s">
        <v>3299</v>
      </c>
      <c r="B2642" t="s">
        <v>1650</v>
      </c>
      <c r="C2642" t="s">
        <v>1651</v>
      </c>
      <c r="D2642" t="s">
        <v>115</v>
      </c>
      <c r="E2642" t="s">
        <v>102</v>
      </c>
      <c r="F2642" s="2">
        <v>0.11700000000000001</v>
      </c>
      <c r="G2642">
        <v>2028</v>
      </c>
      <c r="H2642" s="2">
        <f>Tabla_Items_Inactivos[[#This Row],[EXISTENCIA]]*Tabla_Items_Inactivos[[#This Row],[COSTO]]</f>
        <v>237.27600000000001</v>
      </c>
    </row>
    <row r="2643" spans="1:8">
      <c r="A2643" t="s">
        <v>3299</v>
      </c>
      <c r="B2643" t="s">
        <v>1652</v>
      </c>
      <c r="C2643" t="s">
        <v>1653</v>
      </c>
      <c r="D2643" t="s">
        <v>101</v>
      </c>
      <c r="E2643" t="s">
        <v>581</v>
      </c>
      <c r="F2643" s="2">
        <v>65.599999999999994</v>
      </c>
      <c r="G2643">
        <v>6.0250000000000004</v>
      </c>
      <c r="H2643" s="2">
        <f>Tabla_Items_Inactivos[[#This Row],[EXISTENCIA]]*Tabla_Items_Inactivos[[#This Row],[COSTO]]</f>
        <v>395.24</v>
      </c>
    </row>
    <row r="2644" spans="1:8">
      <c r="A2644" t="s">
        <v>3299</v>
      </c>
      <c r="B2644" t="s">
        <v>1654</v>
      </c>
      <c r="C2644" t="s">
        <v>1655</v>
      </c>
      <c r="D2644" t="s">
        <v>101</v>
      </c>
      <c r="E2644" t="s">
        <v>581</v>
      </c>
      <c r="F2644" s="2">
        <v>81.599999999999994</v>
      </c>
      <c r="G2644">
        <v>31</v>
      </c>
      <c r="H2644" s="2">
        <f>Tabla_Items_Inactivos[[#This Row],[EXISTENCIA]]*Tabla_Items_Inactivos[[#This Row],[COSTO]]</f>
        <v>2529.6</v>
      </c>
    </row>
    <row r="2645" spans="1:8">
      <c r="A2645" t="s">
        <v>3299</v>
      </c>
      <c r="B2645" t="s">
        <v>1656</v>
      </c>
      <c r="C2645" t="s">
        <v>1657</v>
      </c>
      <c r="D2645" t="s">
        <v>115</v>
      </c>
      <c r="E2645" t="s">
        <v>102</v>
      </c>
      <c r="F2645" s="2">
        <v>0.224</v>
      </c>
      <c r="G2645">
        <v>873</v>
      </c>
      <c r="H2645" s="2">
        <f>Tabla_Items_Inactivos[[#This Row],[EXISTENCIA]]*Tabla_Items_Inactivos[[#This Row],[COSTO]]</f>
        <v>195.55199999999999</v>
      </c>
    </row>
    <row r="2646" spans="1:8">
      <c r="A2646" t="s">
        <v>3299</v>
      </c>
      <c r="B2646" t="s">
        <v>1658</v>
      </c>
      <c r="C2646" t="s">
        <v>1659</v>
      </c>
      <c r="D2646" t="s">
        <v>101</v>
      </c>
      <c r="E2646" t="s">
        <v>619</v>
      </c>
      <c r="F2646" s="2">
        <v>2376.0922</v>
      </c>
      <c r="G2646">
        <v>1.17E-2</v>
      </c>
      <c r="H2646" s="2">
        <f>Tabla_Items_Inactivos[[#This Row],[EXISTENCIA]]*Tabla_Items_Inactivos[[#This Row],[COSTO]]</f>
        <v>27.800278740000003</v>
      </c>
    </row>
    <row r="2647" spans="1:8">
      <c r="A2647" t="s">
        <v>3300</v>
      </c>
      <c r="B2647" t="s">
        <v>1658</v>
      </c>
      <c r="C2647" t="s">
        <v>1659</v>
      </c>
      <c r="D2647" t="s">
        <v>101</v>
      </c>
      <c r="E2647" t="s">
        <v>619</v>
      </c>
      <c r="F2647" s="2">
        <v>2376.0922</v>
      </c>
      <c r="G2647">
        <v>1.17E-2</v>
      </c>
      <c r="H2647" s="2">
        <f>Tabla_Items_Inactivos[[#This Row],[EXISTENCIA]]*Tabla_Items_Inactivos[[#This Row],[COSTO]]</f>
        <v>27.800278740000003</v>
      </c>
    </row>
    <row r="2648" spans="1:8">
      <c r="A2648" t="s">
        <v>3299</v>
      </c>
      <c r="B2648" t="s">
        <v>1660</v>
      </c>
      <c r="C2648" t="s">
        <v>1661</v>
      </c>
      <c r="D2648" t="s">
        <v>101</v>
      </c>
      <c r="E2648" t="s">
        <v>581</v>
      </c>
      <c r="F2648" s="2">
        <v>123</v>
      </c>
      <c r="G2648">
        <v>2</v>
      </c>
      <c r="H2648" s="2">
        <f>Tabla_Items_Inactivos[[#This Row],[EXISTENCIA]]*Tabla_Items_Inactivos[[#This Row],[COSTO]]</f>
        <v>246</v>
      </c>
    </row>
    <row r="2649" spans="1:8">
      <c r="A2649" t="s">
        <v>3299</v>
      </c>
      <c r="B2649" t="s">
        <v>1662</v>
      </c>
      <c r="C2649" t="s">
        <v>1663</v>
      </c>
      <c r="D2649" t="s">
        <v>618</v>
      </c>
      <c r="E2649" t="s">
        <v>711</v>
      </c>
      <c r="F2649" s="2">
        <v>21.52</v>
      </c>
      <c r="G2649">
        <v>1</v>
      </c>
      <c r="H2649" s="2">
        <f>Tabla_Items_Inactivos[[#This Row],[EXISTENCIA]]*Tabla_Items_Inactivos[[#This Row],[COSTO]]</f>
        <v>21.52</v>
      </c>
    </row>
    <row r="2650" spans="1:8">
      <c r="A2650" t="s">
        <v>3299</v>
      </c>
      <c r="B2650" t="s">
        <v>1664</v>
      </c>
      <c r="C2650" t="s">
        <v>1665</v>
      </c>
      <c r="D2650" t="s">
        <v>115</v>
      </c>
      <c r="E2650" t="s">
        <v>102</v>
      </c>
      <c r="F2650" s="2">
        <v>0.105</v>
      </c>
      <c r="G2650">
        <v>4274</v>
      </c>
      <c r="H2650" s="2">
        <f>Tabla_Items_Inactivos[[#This Row],[EXISTENCIA]]*Tabla_Items_Inactivos[[#This Row],[COSTO]]</f>
        <v>448.77</v>
      </c>
    </row>
    <row r="2651" spans="1:8">
      <c r="A2651" t="s">
        <v>3299</v>
      </c>
      <c r="B2651" t="s">
        <v>1666</v>
      </c>
      <c r="C2651" t="s">
        <v>1667</v>
      </c>
      <c r="D2651" t="s">
        <v>101</v>
      </c>
      <c r="E2651" t="s">
        <v>619</v>
      </c>
      <c r="F2651" s="2">
        <v>248.5301</v>
      </c>
      <c r="G2651">
        <v>0.6</v>
      </c>
      <c r="H2651" s="2">
        <f>Tabla_Items_Inactivos[[#This Row],[EXISTENCIA]]*Tabla_Items_Inactivos[[#This Row],[COSTO]]</f>
        <v>149.11805999999999</v>
      </c>
    </row>
    <row r="2652" spans="1:8">
      <c r="A2652" t="s">
        <v>3299</v>
      </c>
      <c r="B2652" t="s">
        <v>1668</v>
      </c>
      <c r="C2652" t="s">
        <v>1669</v>
      </c>
      <c r="D2652" t="s">
        <v>101</v>
      </c>
      <c r="E2652" t="s">
        <v>626</v>
      </c>
      <c r="F2652" s="2">
        <v>286.15800000000002</v>
      </c>
      <c r="G2652">
        <v>16</v>
      </c>
      <c r="H2652" s="2">
        <f>Tabla_Items_Inactivos[[#This Row],[EXISTENCIA]]*Tabla_Items_Inactivos[[#This Row],[COSTO]]</f>
        <v>4578.5280000000002</v>
      </c>
    </row>
    <row r="2653" spans="1:8">
      <c r="A2653" t="s">
        <v>3300</v>
      </c>
      <c r="B2653" t="s">
        <v>1668</v>
      </c>
      <c r="C2653" t="s">
        <v>1669</v>
      </c>
      <c r="D2653" t="s">
        <v>101</v>
      </c>
      <c r="E2653" t="s">
        <v>626</v>
      </c>
      <c r="F2653" s="2">
        <v>286.15800000000002</v>
      </c>
      <c r="G2653">
        <v>16</v>
      </c>
      <c r="H2653" s="2">
        <f>Tabla_Items_Inactivos[[#This Row],[EXISTENCIA]]*Tabla_Items_Inactivos[[#This Row],[COSTO]]</f>
        <v>4578.5280000000002</v>
      </c>
    </row>
    <row r="2654" spans="1:8">
      <c r="A2654" t="s">
        <v>3299</v>
      </c>
      <c r="B2654" t="s">
        <v>1670</v>
      </c>
      <c r="C2654" t="s">
        <v>1671</v>
      </c>
      <c r="D2654" t="s">
        <v>115</v>
      </c>
      <c r="E2654" t="s">
        <v>102</v>
      </c>
      <c r="F2654" s="2">
        <v>0.13100000000000001</v>
      </c>
      <c r="G2654">
        <v>511</v>
      </c>
      <c r="H2654" s="2">
        <f>Tabla_Items_Inactivos[[#This Row],[EXISTENCIA]]*Tabla_Items_Inactivos[[#This Row],[COSTO]]</f>
        <v>66.941000000000003</v>
      </c>
    </row>
    <row r="2655" spans="1:8">
      <c r="A2655" t="s">
        <v>3299</v>
      </c>
      <c r="B2655" t="s">
        <v>1672</v>
      </c>
      <c r="C2655" t="s">
        <v>1673</v>
      </c>
      <c r="D2655" t="s">
        <v>101</v>
      </c>
      <c r="E2655" t="s">
        <v>711</v>
      </c>
      <c r="F2655" s="2">
        <v>11.4183</v>
      </c>
      <c r="G2655">
        <v>27</v>
      </c>
      <c r="H2655" s="2">
        <f>Tabla_Items_Inactivos[[#This Row],[EXISTENCIA]]*Tabla_Items_Inactivos[[#This Row],[COSTO]]</f>
        <v>308.29410000000001</v>
      </c>
    </row>
    <row r="2656" spans="1:8">
      <c r="A2656" t="s">
        <v>3299</v>
      </c>
      <c r="B2656" t="s">
        <v>1674</v>
      </c>
      <c r="C2656" t="s">
        <v>1675</v>
      </c>
      <c r="D2656" t="s">
        <v>101</v>
      </c>
      <c r="E2656" t="s">
        <v>102</v>
      </c>
      <c r="F2656" s="2">
        <v>0.98199999999999998</v>
      </c>
      <c r="G2656">
        <v>1135</v>
      </c>
      <c r="H2656" s="2">
        <f>Tabla_Items_Inactivos[[#This Row],[EXISTENCIA]]*Tabla_Items_Inactivos[[#This Row],[COSTO]]</f>
        <v>1114.57</v>
      </c>
    </row>
    <row r="2657" spans="1:8">
      <c r="A2657" t="s">
        <v>3299</v>
      </c>
      <c r="B2657" t="s">
        <v>1676</v>
      </c>
      <c r="C2657" t="s">
        <v>1677</v>
      </c>
      <c r="D2657" t="s">
        <v>101</v>
      </c>
      <c r="E2657" t="s">
        <v>581</v>
      </c>
      <c r="F2657" s="2">
        <v>60.31</v>
      </c>
      <c r="G2657">
        <v>3.0000000000000001E-3</v>
      </c>
      <c r="H2657" s="2">
        <f>Tabla_Items_Inactivos[[#This Row],[EXISTENCIA]]*Tabla_Items_Inactivos[[#This Row],[COSTO]]</f>
        <v>0.18093000000000001</v>
      </c>
    </row>
    <row r="2658" spans="1:8">
      <c r="A2658" t="s">
        <v>3299</v>
      </c>
      <c r="B2658" t="s">
        <v>1678</v>
      </c>
      <c r="C2658" t="s">
        <v>1679</v>
      </c>
      <c r="D2658" t="s">
        <v>115</v>
      </c>
      <c r="E2658" t="s">
        <v>102</v>
      </c>
      <c r="F2658" s="2">
        <v>6.4299999999999996E-2</v>
      </c>
      <c r="G2658">
        <v>1259</v>
      </c>
      <c r="H2658" s="2">
        <f>Tabla_Items_Inactivos[[#This Row],[EXISTENCIA]]*Tabla_Items_Inactivos[[#This Row],[COSTO]]</f>
        <v>80.953699999999998</v>
      </c>
    </row>
    <row r="2659" spans="1:8">
      <c r="A2659" t="s">
        <v>3299</v>
      </c>
      <c r="B2659" t="s">
        <v>1680</v>
      </c>
      <c r="C2659" t="s">
        <v>1681</v>
      </c>
      <c r="D2659" t="s">
        <v>115</v>
      </c>
      <c r="E2659" t="s">
        <v>102</v>
      </c>
      <c r="F2659" s="2">
        <v>0.189</v>
      </c>
      <c r="G2659">
        <v>797</v>
      </c>
      <c r="H2659" s="2">
        <f>Tabla_Items_Inactivos[[#This Row],[EXISTENCIA]]*Tabla_Items_Inactivos[[#This Row],[COSTO]]</f>
        <v>150.63300000000001</v>
      </c>
    </row>
    <row r="2660" spans="1:8">
      <c r="A2660" t="s">
        <v>3299</v>
      </c>
      <c r="B2660" t="s">
        <v>1682</v>
      </c>
      <c r="C2660" t="s">
        <v>1683</v>
      </c>
      <c r="D2660" t="s">
        <v>115</v>
      </c>
      <c r="E2660" t="s">
        <v>102</v>
      </c>
      <c r="F2660" s="2">
        <v>0.123</v>
      </c>
      <c r="G2660">
        <v>381</v>
      </c>
      <c r="H2660" s="2">
        <f>Tabla_Items_Inactivos[[#This Row],[EXISTENCIA]]*Tabla_Items_Inactivos[[#This Row],[COSTO]]</f>
        <v>46.863</v>
      </c>
    </row>
    <row r="2661" spans="1:8">
      <c r="A2661" t="s">
        <v>3299</v>
      </c>
      <c r="B2661" t="s">
        <v>5261</v>
      </c>
      <c r="C2661" t="s">
        <v>1684</v>
      </c>
      <c r="D2661" t="s">
        <v>115</v>
      </c>
      <c r="E2661" t="s">
        <v>102</v>
      </c>
      <c r="F2661" s="2">
        <v>0.13700000000000001</v>
      </c>
      <c r="G2661">
        <v>744</v>
      </c>
      <c r="H2661" s="2">
        <f>Tabla_Items_Inactivos[[#This Row],[EXISTENCIA]]*Tabla_Items_Inactivos[[#This Row],[COSTO]]</f>
        <v>101.92800000000001</v>
      </c>
    </row>
    <row r="2662" spans="1:8">
      <c r="A2662" t="s">
        <v>3299</v>
      </c>
      <c r="B2662" t="s">
        <v>1685</v>
      </c>
      <c r="C2662" t="s">
        <v>1686</v>
      </c>
      <c r="D2662" t="s">
        <v>115</v>
      </c>
      <c r="E2662" t="s">
        <v>102</v>
      </c>
      <c r="F2662" s="2">
        <v>0.1009</v>
      </c>
      <c r="G2662">
        <v>251</v>
      </c>
      <c r="H2662" s="2">
        <f>Tabla_Items_Inactivos[[#This Row],[EXISTENCIA]]*Tabla_Items_Inactivos[[#This Row],[COSTO]]</f>
        <v>25.325900000000001</v>
      </c>
    </row>
    <row r="2663" spans="1:8">
      <c r="A2663" t="s">
        <v>3299</v>
      </c>
      <c r="B2663" t="s">
        <v>1687</v>
      </c>
      <c r="C2663" t="s">
        <v>1688</v>
      </c>
      <c r="D2663" t="s">
        <v>115</v>
      </c>
      <c r="E2663" t="s">
        <v>102</v>
      </c>
      <c r="F2663" s="2">
        <v>0.10299999999999999</v>
      </c>
      <c r="G2663">
        <v>627</v>
      </c>
      <c r="H2663" s="2">
        <f>Tabla_Items_Inactivos[[#This Row],[EXISTENCIA]]*Tabla_Items_Inactivos[[#This Row],[COSTO]]</f>
        <v>64.581000000000003</v>
      </c>
    </row>
    <row r="2664" spans="1:8">
      <c r="A2664" t="s">
        <v>3299</v>
      </c>
      <c r="B2664" t="s">
        <v>1689</v>
      </c>
      <c r="C2664" t="s">
        <v>1690</v>
      </c>
      <c r="D2664" t="s">
        <v>115</v>
      </c>
      <c r="E2664" t="s">
        <v>102</v>
      </c>
      <c r="F2664" s="2">
        <v>8.8300000000000003E-2</v>
      </c>
      <c r="G2664">
        <v>1093</v>
      </c>
      <c r="H2664" s="2">
        <f>Tabla_Items_Inactivos[[#This Row],[EXISTENCIA]]*Tabla_Items_Inactivos[[#This Row],[COSTO]]</f>
        <v>96.511899999999997</v>
      </c>
    </row>
    <row r="2665" spans="1:8">
      <c r="A2665" t="s">
        <v>3299</v>
      </c>
      <c r="B2665" t="s">
        <v>1691</v>
      </c>
      <c r="C2665" t="s">
        <v>1692</v>
      </c>
      <c r="D2665" t="s">
        <v>101</v>
      </c>
      <c r="E2665" t="s">
        <v>626</v>
      </c>
      <c r="F2665" s="2">
        <v>2040.29</v>
      </c>
      <c r="G2665">
        <v>0.99</v>
      </c>
      <c r="H2665" s="2">
        <f>Tabla_Items_Inactivos[[#This Row],[EXISTENCIA]]*Tabla_Items_Inactivos[[#This Row],[COSTO]]</f>
        <v>2019.8870999999999</v>
      </c>
    </row>
    <row r="2666" spans="1:8">
      <c r="A2666" t="s">
        <v>3299</v>
      </c>
      <c r="B2666" t="s">
        <v>1693</v>
      </c>
      <c r="C2666" t="s">
        <v>1694</v>
      </c>
      <c r="D2666" t="s">
        <v>115</v>
      </c>
      <c r="E2666" t="s">
        <v>102</v>
      </c>
      <c r="F2666" s="2">
        <v>0.10199999999999999</v>
      </c>
      <c r="G2666">
        <v>654</v>
      </c>
      <c r="H2666" s="2">
        <f>Tabla_Items_Inactivos[[#This Row],[EXISTENCIA]]*Tabla_Items_Inactivos[[#This Row],[COSTO]]</f>
        <v>66.707999999999998</v>
      </c>
    </row>
    <row r="2667" spans="1:8">
      <c r="A2667" t="s">
        <v>3299</v>
      </c>
      <c r="B2667" t="s">
        <v>1695</v>
      </c>
      <c r="C2667" t="s">
        <v>1696</v>
      </c>
      <c r="D2667" t="s">
        <v>115</v>
      </c>
      <c r="E2667" t="s">
        <v>102</v>
      </c>
      <c r="F2667" s="2">
        <v>0.2387</v>
      </c>
      <c r="G2667">
        <v>344</v>
      </c>
      <c r="H2667" s="2">
        <f>Tabla_Items_Inactivos[[#This Row],[EXISTENCIA]]*Tabla_Items_Inactivos[[#This Row],[COSTO]]</f>
        <v>82.112799999999993</v>
      </c>
    </row>
    <row r="2668" spans="1:8">
      <c r="A2668" t="s">
        <v>3299</v>
      </c>
      <c r="B2668" t="s">
        <v>1697</v>
      </c>
      <c r="C2668" t="s">
        <v>1698</v>
      </c>
      <c r="D2668" t="s">
        <v>115</v>
      </c>
      <c r="E2668" t="s">
        <v>102</v>
      </c>
      <c r="F2668" s="2">
        <v>0.154</v>
      </c>
      <c r="G2668">
        <v>38</v>
      </c>
      <c r="H2668" s="2">
        <f>Tabla_Items_Inactivos[[#This Row],[EXISTENCIA]]*Tabla_Items_Inactivos[[#This Row],[COSTO]]</f>
        <v>5.8520000000000003</v>
      </c>
    </row>
    <row r="2669" spans="1:8">
      <c r="A2669" t="s">
        <v>3299</v>
      </c>
      <c r="B2669" t="s">
        <v>1699</v>
      </c>
      <c r="C2669" t="s">
        <v>1700</v>
      </c>
      <c r="D2669" t="s">
        <v>115</v>
      </c>
      <c r="E2669" t="s">
        <v>102</v>
      </c>
      <c r="F2669" s="2">
        <v>0.254</v>
      </c>
      <c r="G2669">
        <v>604</v>
      </c>
      <c r="H2669" s="2">
        <f>Tabla_Items_Inactivos[[#This Row],[EXISTENCIA]]*Tabla_Items_Inactivos[[#This Row],[COSTO]]</f>
        <v>153.416</v>
      </c>
    </row>
    <row r="2670" spans="1:8">
      <c r="A2670" t="s">
        <v>3299</v>
      </c>
      <c r="B2670" t="s">
        <v>5262</v>
      </c>
      <c r="C2670" t="s">
        <v>5263</v>
      </c>
      <c r="D2670" t="s">
        <v>115</v>
      </c>
      <c r="E2670" t="s">
        <v>102</v>
      </c>
      <c r="F2670" s="2">
        <v>4.8899999999999999E-2</v>
      </c>
      <c r="G2670">
        <v>1650</v>
      </c>
      <c r="H2670" s="2">
        <f>Tabla_Items_Inactivos[[#This Row],[EXISTENCIA]]*Tabla_Items_Inactivos[[#This Row],[COSTO]]</f>
        <v>80.685000000000002</v>
      </c>
    </row>
    <row r="2671" spans="1:8">
      <c r="A2671" t="s">
        <v>3300</v>
      </c>
      <c r="B2671" t="s">
        <v>1701</v>
      </c>
      <c r="C2671" t="s">
        <v>1702</v>
      </c>
      <c r="D2671" t="s">
        <v>5252</v>
      </c>
      <c r="E2671" t="s">
        <v>5215</v>
      </c>
      <c r="F2671" s="2">
        <v>0.54310000000000003</v>
      </c>
      <c r="G2671">
        <v>3413</v>
      </c>
      <c r="H2671" s="2">
        <f>Tabla_Items_Inactivos[[#This Row],[EXISTENCIA]]*Tabla_Items_Inactivos[[#This Row],[COSTO]]</f>
        <v>1853.6003000000001</v>
      </c>
    </row>
    <row r="2672" spans="1:8">
      <c r="A2672" t="s">
        <v>3299</v>
      </c>
      <c r="B2672" t="s">
        <v>1701</v>
      </c>
      <c r="C2672" t="s">
        <v>1702</v>
      </c>
      <c r="D2672" t="s">
        <v>5252</v>
      </c>
      <c r="E2672" t="s">
        <v>5215</v>
      </c>
      <c r="F2672" s="2">
        <v>0.54310000000000003</v>
      </c>
      <c r="G2672">
        <v>3413</v>
      </c>
      <c r="H2672" s="2">
        <f>Tabla_Items_Inactivos[[#This Row],[EXISTENCIA]]*Tabla_Items_Inactivos[[#This Row],[COSTO]]</f>
        <v>1853.6003000000001</v>
      </c>
    </row>
    <row r="2673" spans="1:8">
      <c r="A2673" t="s">
        <v>3299</v>
      </c>
      <c r="B2673" t="s">
        <v>5264</v>
      </c>
      <c r="C2673" t="s">
        <v>5265</v>
      </c>
      <c r="D2673" t="s">
        <v>115</v>
      </c>
      <c r="E2673" t="s">
        <v>102</v>
      </c>
      <c r="F2673" s="2">
        <v>5.74E-2</v>
      </c>
      <c r="G2673">
        <v>1212</v>
      </c>
      <c r="H2673" s="2">
        <f>Tabla_Items_Inactivos[[#This Row],[EXISTENCIA]]*Tabla_Items_Inactivos[[#This Row],[COSTO]]</f>
        <v>69.568799999999996</v>
      </c>
    </row>
    <row r="2674" spans="1:8">
      <c r="A2674" t="s">
        <v>3299</v>
      </c>
      <c r="B2674" t="s">
        <v>1703</v>
      </c>
      <c r="C2674" t="s">
        <v>1704</v>
      </c>
      <c r="D2674" t="s">
        <v>115</v>
      </c>
      <c r="E2674" t="s">
        <v>102</v>
      </c>
      <c r="F2674" s="2">
        <v>0.1198</v>
      </c>
      <c r="G2674">
        <v>1619</v>
      </c>
      <c r="H2674" s="2">
        <f>Tabla_Items_Inactivos[[#This Row],[EXISTENCIA]]*Tabla_Items_Inactivos[[#This Row],[COSTO]]</f>
        <v>193.9562</v>
      </c>
    </row>
    <row r="2675" spans="1:8">
      <c r="A2675" t="s">
        <v>3299</v>
      </c>
      <c r="B2675" t="s">
        <v>5266</v>
      </c>
      <c r="C2675" t="s">
        <v>5267</v>
      </c>
      <c r="D2675" t="s">
        <v>580</v>
      </c>
      <c r="E2675" t="s">
        <v>619</v>
      </c>
      <c r="F2675" s="2">
        <v>2.0204</v>
      </c>
      <c r="G2675">
        <v>257</v>
      </c>
      <c r="H2675" s="2">
        <f>Tabla_Items_Inactivos[[#This Row],[EXISTENCIA]]*Tabla_Items_Inactivos[[#This Row],[COSTO]]</f>
        <v>519.24279999999999</v>
      </c>
    </row>
    <row r="2676" spans="1:8">
      <c r="A2676" t="s">
        <v>3301</v>
      </c>
      <c r="B2676" t="s">
        <v>5266</v>
      </c>
      <c r="C2676" t="s">
        <v>5267</v>
      </c>
      <c r="D2676" t="s">
        <v>580</v>
      </c>
      <c r="E2676" t="s">
        <v>619</v>
      </c>
      <c r="F2676" s="2">
        <v>2.0204</v>
      </c>
      <c r="G2676">
        <v>257</v>
      </c>
      <c r="H2676" s="2">
        <f>Tabla_Items_Inactivos[[#This Row],[EXISTENCIA]]*Tabla_Items_Inactivos[[#This Row],[COSTO]]</f>
        <v>519.24279999999999</v>
      </c>
    </row>
    <row r="2677" spans="1:8">
      <c r="A2677" t="s">
        <v>3299</v>
      </c>
      <c r="B2677" t="s">
        <v>1705</v>
      </c>
      <c r="C2677" t="s">
        <v>1706</v>
      </c>
      <c r="D2677" t="s">
        <v>115</v>
      </c>
      <c r="E2677" t="s">
        <v>102</v>
      </c>
      <c r="F2677" s="2">
        <v>0.17649999999999999</v>
      </c>
      <c r="G2677">
        <v>1101</v>
      </c>
      <c r="H2677" s="2">
        <f>Tabla_Items_Inactivos[[#This Row],[EXISTENCIA]]*Tabla_Items_Inactivos[[#This Row],[COSTO]]</f>
        <v>194.32649999999998</v>
      </c>
    </row>
    <row r="2678" spans="1:8">
      <c r="A2678" t="s">
        <v>3299</v>
      </c>
      <c r="B2678" t="s">
        <v>1707</v>
      </c>
      <c r="C2678" t="s">
        <v>1708</v>
      </c>
      <c r="D2678" t="s">
        <v>115</v>
      </c>
      <c r="E2678" t="s">
        <v>734</v>
      </c>
      <c r="F2678" s="2">
        <v>0.68910000000000005</v>
      </c>
      <c r="G2678">
        <v>857</v>
      </c>
      <c r="H2678" s="2">
        <f>Tabla_Items_Inactivos[[#This Row],[EXISTENCIA]]*Tabla_Items_Inactivos[[#This Row],[COSTO]]</f>
        <v>590.55870000000004</v>
      </c>
    </row>
    <row r="2679" spans="1:8">
      <c r="A2679" t="s">
        <v>3299</v>
      </c>
      <c r="B2679" t="s">
        <v>1709</v>
      </c>
      <c r="C2679" t="s">
        <v>1710</v>
      </c>
      <c r="D2679" t="s">
        <v>101</v>
      </c>
      <c r="E2679" t="s">
        <v>581</v>
      </c>
      <c r="F2679" s="2">
        <v>1.96</v>
      </c>
      <c r="G2679">
        <v>296</v>
      </c>
      <c r="H2679" s="2">
        <f>Tabla_Items_Inactivos[[#This Row],[EXISTENCIA]]*Tabla_Items_Inactivos[[#This Row],[COSTO]]</f>
        <v>580.16</v>
      </c>
    </row>
    <row r="2680" spans="1:8">
      <c r="A2680" t="s">
        <v>3300</v>
      </c>
      <c r="B2680" t="s">
        <v>1711</v>
      </c>
      <c r="C2680" t="s">
        <v>1712</v>
      </c>
      <c r="D2680" t="s">
        <v>5252</v>
      </c>
      <c r="E2680" t="s">
        <v>5215</v>
      </c>
      <c r="F2680" s="2">
        <v>0.71</v>
      </c>
      <c r="G2680">
        <v>8397</v>
      </c>
      <c r="H2680" s="2">
        <f>Tabla_Items_Inactivos[[#This Row],[EXISTENCIA]]*Tabla_Items_Inactivos[[#This Row],[COSTO]]</f>
        <v>5961.87</v>
      </c>
    </row>
    <row r="2681" spans="1:8">
      <c r="A2681" t="s">
        <v>3299</v>
      </c>
      <c r="B2681" t="s">
        <v>1711</v>
      </c>
      <c r="C2681" t="s">
        <v>1712</v>
      </c>
      <c r="D2681" t="s">
        <v>5252</v>
      </c>
      <c r="E2681" t="s">
        <v>5215</v>
      </c>
      <c r="F2681" s="2">
        <v>0.71</v>
      </c>
      <c r="G2681">
        <v>8397</v>
      </c>
      <c r="H2681" s="2">
        <f>Tabla_Items_Inactivos[[#This Row],[EXISTENCIA]]*Tabla_Items_Inactivos[[#This Row],[COSTO]]</f>
        <v>5961.87</v>
      </c>
    </row>
    <row r="2682" spans="1:8">
      <c r="A2682" t="s">
        <v>3300</v>
      </c>
      <c r="B2682" t="s">
        <v>1713</v>
      </c>
      <c r="C2682" t="s">
        <v>1714</v>
      </c>
      <c r="D2682" t="s">
        <v>5252</v>
      </c>
      <c r="E2682" t="s">
        <v>5215</v>
      </c>
      <c r="F2682" s="2">
        <v>0.55000000000000004</v>
      </c>
      <c r="G2682">
        <v>480</v>
      </c>
      <c r="H2682" s="2">
        <f>Tabla_Items_Inactivos[[#This Row],[EXISTENCIA]]*Tabla_Items_Inactivos[[#This Row],[COSTO]]</f>
        <v>264</v>
      </c>
    </row>
    <row r="2683" spans="1:8">
      <c r="A2683" t="s">
        <v>3299</v>
      </c>
      <c r="B2683" t="s">
        <v>1713</v>
      </c>
      <c r="C2683" t="s">
        <v>1714</v>
      </c>
      <c r="D2683" t="s">
        <v>5252</v>
      </c>
      <c r="E2683" t="s">
        <v>5215</v>
      </c>
      <c r="F2683" s="2">
        <v>0.55000000000000004</v>
      </c>
      <c r="G2683">
        <v>480</v>
      </c>
      <c r="H2683" s="2">
        <f>Tabla_Items_Inactivos[[#This Row],[EXISTENCIA]]*Tabla_Items_Inactivos[[#This Row],[COSTO]]</f>
        <v>264</v>
      </c>
    </row>
    <row r="2684" spans="1:8">
      <c r="A2684" t="s">
        <v>3299</v>
      </c>
      <c r="B2684" t="s">
        <v>1715</v>
      </c>
      <c r="C2684" t="s">
        <v>1716</v>
      </c>
      <c r="D2684" t="s">
        <v>5252</v>
      </c>
      <c r="E2684" t="s">
        <v>5215</v>
      </c>
      <c r="F2684" s="2">
        <v>0.44</v>
      </c>
      <c r="G2684">
        <v>3</v>
      </c>
      <c r="H2684" s="2">
        <f>Tabla_Items_Inactivos[[#This Row],[EXISTENCIA]]*Tabla_Items_Inactivos[[#This Row],[COSTO]]</f>
        <v>1.32</v>
      </c>
    </row>
    <row r="2685" spans="1:8">
      <c r="A2685" t="s">
        <v>3300</v>
      </c>
      <c r="B2685" t="s">
        <v>1715</v>
      </c>
      <c r="C2685" t="s">
        <v>1716</v>
      </c>
      <c r="D2685" t="s">
        <v>5252</v>
      </c>
      <c r="E2685" t="s">
        <v>5215</v>
      </c>
      <c r="F2685" s="2">
        <v>0.44</v>
      </c>
      <c r="G2685">
        <v>3</v>
      </c>
      <c r="H2685" s="2">
        <f>Tabla_Items_Inactivos[[#This Row],[EXISTENCIA]]*Tabla_Items_Inactivos[[#This Row],[COSTO]]</f>
        <v>1.32</v>
      </c>
    </row>
    <row r="2686" spans="1:8">
      <c r="A2686" t="s">
        <v>3299</v>
      </c>
      <c r="B2686" t="s">
        <v>1717</v>
      </c>
      <c r="C2686" t="s">
        <v>1718</v>
      </c>
      <c r="D2686" t="s">
        <v>5252</v>
      </c>
      <c r="E2686" t="s">
        <v>5215</v>
      </c>
      <c r="F2686" s="2">
        <v>0.36</v>
      </c>
      <c r="G2686">
        <v>1947</v>
      </c>
      <c r="H2686" s="2">
        <f>Tabla_Items_Inactivos[[#This Row],[EXISTENCIA]]*Tabla_Items_Inactivos[[#This Row],[COSTO]]</f>
        <v>700.92</v>
      </c>
    </row>
    <row r="2687" spans="1:8">
      <c r="A2687" t="s">
        <v>3300</v>
      </c>
      <c r="B2687" t="s">
        <v>1717</v>
      </c>
      <c r="C2687" t="s">
        <v>1718</v>
      </c>
      <c r="D2687" t="s">
        <v>5252</v>
      </c>
      <c r="E2687" t="s">
        <v>5215</v>
      </c>
      <c r="F2687" s="2">
        <v>0.36</v>
      </c>
      <c r="G2687">
        <v>1947</v>
      </c>
      <c r="H2687" s="2">
        <f>Tabla_Items_Inactivos[[#This Row],[EXISTENCIA]]*Tabla_Items_Inactivos[[#This Row],[COSTO]]</f>
        <v>700.92</v>
      </c>
    </row>
    <row r="2688" spans="1:8">
      <c r="A2688" t="s">
        <v>3299</v>
      </c>
      <c r="B2688" t="s">
        <v>1719</v>
      </c>
      <c r="C2688" t="s">
        <v>1720</v>
      </c>
      <c r="D2688" t="s">
        <v>115</v>
      </c>
      <c r="E2688" t="s">
        <v>102</v>
      </c>
      <c r="F2688" s="2">
        <v>0.09</v>
      </c>
      <c r="G2688">
        <v>168</v>
      </c>
      <c r="H2688" s="2">
        <f>Tabla_Items_Inactivos[[#This Row],[EXISTENCIA]]*Tabla_Items_Inactivos[[#This Row],[COSTO]]</f>
        <v>15.12</v>
      </c>
    </row>
    <row r="2689" spans="1:8">
      <c r="A2689" t="s">
        <v>3299</v>
      </c>
      <c r="B2689" t="s">
        <v>1721</v>
      </c>
      <c r="C2689" t="s">
        <v>1722</v>
      </c>
      <c r="D2689" t="s">
        <v>115</v>
      </c>
      <c r="E2689" t="s">
        <v>102</v>
      </c>
      <c r="F2689" s="2">
        <v>5.8599999999999999E-2</v>
      </c>
      <c r="G2689">
        <v>2171</v>
      </c>
      <c r="H2689" s="2">
        <f>Tabla_Items_Inactivos[[#This Row],[EXISTENCIA]]*Tabla_Items_Inactivos[[#This Row],[COSTO]]</f>
        <v>127.2206</v>
      </c>
    </row>
    <row r="2690" spans="1:8">
      <c r="A2690" t="s">
        <v>3299</v>
      </c>
      <c r="B2690" t="s">
        <v>1723</v>
      </c>
      <c r="C2690" t="s">
        <v>1724</v>
      </c>
      <c r="D2690" t="s">
        <v>115</v>
      </c>
      <c r="E2690" t="s">
        <v>102</v>
      </c>
      <c r="F2690" s="2">
        <v>0.1</v>
      </c>
      <c r="G2690">
        <v>92</v>
      </c>
      <c r="H2690" s="2">
        <f>Tabla_Items_Inactivos[[#This Row],[EXISTENCIA]]*Tabla_Items_Inactivos[[#This Row],[COSTO]]</f>
        <v>9.2000000000000011</v>
      </c>
    </row>
    <row r="2691" spans="1:8">
      <c r="A2691" t="s">
        <v>3299</v>
      </c>
      <c r="B2691" t="s">
        <v>1725</v>
      </c>
      <c r="C2691" t="s">
        <v>1726</v>
      </c>
      <c r="D2691" t="s">
        <v>115</v>
      </c>
      <c r="E2691" t="s">
        <v>102</v>
      </c>
      <c r="F2691" s="2">
        <v>0.1</v>
      </c>
      <c r="G2691">
        <v>561</v>
      </c>
      <c r="H2691" s="2">
        <f>Tabla_Items_Inactivos[[#This Row],[EXISTENCIA]]*Tabla_Items_Inactivos[[#This Row],[COSTO]]</f>
        <v>56.1</v>
      </c>
    </row>
    <row r="2692" spans="1:8">
      <c r="A2692" t="s">
        <v>3299</v>
      </c>
      <c r="B2692" t="s">
        <v>1727</v>
      </c>
      <c r="C2692" t="s">
        <v>1728</v>
      </c>
      <c r="D2692" t="s">
        <v>115</v>
      </c>
      <c r="E2692" t="s">
        <v>102</v>
      </c>
      <c r="F2692" s="2">
        <v>0.24</v>
      </c>
      <c r="G2692">
        <v>1027</v>
      </c>
      <c r="H2692" s="2">
        <f>Tabla_Items_Inactivos[[#This Row],[EXISTENCIA]]*Tabla_Items_Inactivos[[#This Row],[COSTO]]</f>
        <v>246.48</v>
      </c>
    </row>
    <row r="2693" spans="1:8">
      <c r="A2693" t="s">
        <v>3300</v>
      </c>
      <c r="B2693" t="s">
        <v>1729</v>
      </c>
      <c r="C2693" t="s">
        <v>1730</v>
      </c>
      <c r="D2693" t="s">
        <v>101</v>
      </c>
      <c r="E2693" t="s">
        <v>626</v>
      </c>
      <c r="F2693" s="2">
        <v>209.43520000000001</v>
      </c>
      <c r="G2693">
        <v>3</v>
      </c>
      <c r="H2693" s="2">
        <f>Tabla_Items_Inactivos[[#This Row],[EXISTENCIA]]*Tabla_Items_Inactivos[[#This Row],[COSTO]]</f>
        <v>628.30560000000003</v>
      </c>
    </row>
    <row r="2694" spans="1:8">
      <c r="A2694" t="s">
        <v>3299</v>
      </c>
      <c r="B2694" t="s">
        <v>1729</v>
      </c>
      <c r="C2694" t="s">
        <v>1730</v>
      </c>
      <c r="D2694" t="s">
        <v>101</v>
      </c>
      <c r="E2694" t="s">
        <v>626</v>
      </c>
      <c r="F2694" s="2">
        <v>209.43520000000001</v>
      </c>
      <c r="G2694">
        <v>3</v>
      </c>
      <c r="H2694" s="2">
        <f>Tabla_Items_Inactivos[[#This Row],[EXISTENCIA]]*Tabla_Items_Inactivos[[#This Row],[COSTO]]</f>
        <v>628.30560000000003</v>
      </c>
    </row>
    <row r="2695" spans="1:8">
      <c r="A2695" t="s">
        <v>3299</v>
      </c>
      <c r="B2695" t="s">
        <v>1731</v>
      </c>
      <c r="C2695" t="s">
        <v>1732</v>
      </c>
      <c r="D2695" t="s">
        <v>115</v>
      </c>
      <c r="E2695" t="s">
        <v>102</v>
      </c>
      <c r="F2695" s="2">
        <v>0.14149999999999999</v>
      </c>
      <c r="G2695">
        <v>579</v>
      </c>
      <c r="H2695" s="2">
        <f>Tabla_Items_Inactivos[[#This Row],[EXISTENCIA]]*Tabla_Items_Inactivos[[#This Row],[COSTO]]</f>
        <v>81.928499999999985</v>
      </c>
    </row>
    <row r="2696" spans="1:8">
      <c r="A2696" t="s">
        <v>3299</v>
      </c>
      <c r="B2696" t="s">
        <v>5268</v>
      </c>
      <c r="C2696" t="s">
        <v>5269</v>
      </c>
      <c r="D2696" t="s">
        <v>101</v>
      </c>
      <c r="E2696" t="s">
        <v>102</v>
      </c>
      <c r="F2696" s="2">
        <v>0.78920000000000001</v>
      </c>
      <c r="G2696">
        <v>852</v>
      </c>
      <c r="H2696" s="2">
        <f>Tabla_Items_Inactivos[[#This Row],[EXISTENCIA]]*Tabla_Items_Inactivos[[#This Row],[COSTO]]</f>
        <v>672.39840000000004</v>
      </c>
    </row>
    <row r="2697" spans="1:8">
      <c r="A2697" t="s">
        <v>3300</v>
      </c>
      <c r="B2697" t="s">
        <v>1733</v>
      </c>
      <c r="C2697" t="s">
        <v>1734</v>
      </c>
      <c r="D2697" t="s">
        <v>85</v>
      </c>
      <c r="E2697" t="s">
        <v>86</v>
      </c>
      <c r="F2697" s="2">
        <v>68</v>
      </c>
      <c r="G2697">
        <v>1</v>
      </c>
      <c r="H2697" s="2">
        <f>Tabla_Items_Inactivos[[#This Row],[EXISTENCIA]]*Tabla_Items_Inactivos[[#This Row],[COSTO]]</f>
        <v>68</v>
      </c>
    </row>
    <row r="2698" spans="1:8">
      <c r="A2698" t="s">
        <v>3300</v>
      </c>
      <c r="B2698" t="s">
        <v>1735</v>
      </c>
      <c r="C2698" t="s">
        <v>1736</v>
      </c>
      <c r="D2698" t="s">
        <v>31</v>
      </c>
      <c r="E2698" t="s">
        <v>1931</v>
      </c>
      <c r="F2698" s="2">
        <v>0.55800000000000005</v>
      </c>
      <c r="G2698">
        <v>10</v>
      </c>
      <c r="H2698" s="2">
        <f>Tabla_Items_Inactivos[[#This Row],[EXISTENCIA]]*Tabla_Items_Inactivos[[#This Row],[COSTO]]</f>
        <v>5.58</v>
      </c>
    </row>
    <row r="2699" spans="1:8">
      <c r="A2699" t="s">
        <v>3300</v>
      </c>
      <c r="B2699" t="s">
        <v>1737</v>
      </c>
      <c r="C2699" t="s">
        <v>1738</v>
      </c>
      <c r="D2699" t="s">
        <v>85</v>
      </c>
      <c r="E2699" t="s">
        <v>86</v>
      </c>
      <c r="F2699" s="2">
        <v>1.6</v>
      </c>
      <c r="G2699">
        <v>6</v>
      </c>
      <c r="H2699" s="2">
        <f>Tabla_Items_Inactivos[[#This Row],[EXISTENCIA]]*Tabla_Items_Inactivos[[#This Row],[COSTO]]</f>
        <v>9.6000000000000014</v>
      </c>
    </row>
    <row r="2700" spans="1:8">
      <c r="A2700" t="s">
        <v>3300</v>
      </c>
      <c r="B2700" t="s">
        <v>1739</v>
      </c>
      <c r="C2700" t="s">
        <v>1740</v>
      </c>
      <c r="D2700" t="s">
        <v>85</v>
      </c>
      <c r="E2700" t="s">
        <v>86</v>
      </c>
      <c r="F2700" s="2">
        <v>31.2</v>
      </c>
      <c r="G2700">
        <v>1</v>
      </c>
      <c r="H2700" s="2">
        <f>Tabla_Items_Inactivos[[#This Row],[EXISTENCIA]]*Tabla_Items_Inactivos[[#This Row],[COSTO]]</f>
        <v>31.2</v>
      </c>
    </row>
    <row r="2701" spans="1:8">
      <c r="A2701" t="s">
        <v>3300</v>
      </c>
      <c r="B2701" t="s">
        <v>1741</v>
      </c>
      <c r="C2701" t="s">
        <v>1742</v>
      </c>
      <c r="D2701" t="s">
        <v>85</v>
      </c>
      <c r="E2701" t="s">
        <v>86</v>
      </c>
      <c r="F2701" s="2">
        <v>4.8</v>
      </c>
      <c r="G2701">
        <v>1</v>
      </c>
      <c r="H2701" s="2">
        <f>Tabla_Items_Inactivos[[#This Row],[EXISTENCIA]]*Tabla_Items_Inactivos[[#This Row],[COSTO]]</f>
        <v>4.8</v>
      </c>
    </row>
    <row r="2702" spans="1:8">
      <c r="A2702" t="s">
        <v>3300</v>
      </c>
      <c r="B2702" t="s">
        <v>1743</v>
      </c>
      <c r="C2702" t="s">
        <v>1744</v>
      </c>
      <c r="D2702" t="s">
        <v>85</v>
      </c>
      <c r="E2702" t="s">
        <v>86</v>
      </c>
      <c r="F2702" s="2">
        <v>8.8000000000000007</v>
      </c>
      <c r="G2702">
        <v>1</v>
      </c>
      <c r="H2702" s="2">
        <f>Tabla_Items_Inactivos[[#This Row],[EXISTENCIA]]*Tabla_Items_Inactivos[[#This Row],[COSTO]]</f>
        <v>8.8000000000000007</v>
      </c>
    </row>
    <row r="2703" spans="1:8">
      <c r="A2703" t="s">
        <v>3300</v>
      </c>
      <c r="B2703" t="s">
        <v>1745</v>
      </c>
      <c r="C2703" t="s">
        <v>1746</v>
      </c>
      <c r="D2703" t="s">
        <v>85</v>
      </c>
      <c r="E2703" t="s">
        <v>86</v>
      </c>
      <c r="F2703" s="2">
        <v>25.6</v>
      </c>
      <c r="G2703">
        <v>1</v>
      </c>
      <c r="H2703" s="2">
        <f>Tabla_Items_Inactivos[[#This Row],[EXISTENCIA]]*Tabla_Items_Inactivos[[#This Row],[COSTO]]</f>
        <v>25.6</v>
      </c>
    </row>
    <row r="2704" spans="1:8">
      <c r="A2704" t="s">
        <v>3300</v>
      </c>
      <c r="B2704" t="s">
        <v>1747</v>
      </c>
      <c r="C2704" t="s">
        <v>1748</v>
      </c>
      <c r="D2704" t="s">
        <v>31</v>
      </c>
      <c r="E2704" t="s">
        <v>1931</v>
      </c>
      <c r="F2704" s="2">
        <v>5.6</v>
      </c>
      <c r="G2704">
        <v>1</v>
      </c>
      <c r="H2704" s="2">
        <f>Tabla_Items_Inactivos[[#This Row],[EXISTENCIA]]*Tabla_Items_Inactivos[[#This Row],[COSTO]]</f>
        <v>5.6</v>
      </c>
    </row>
    <row r="2705" spans="1:8">
      <c r="A2705" t="s">
        <v>3300</v>
      </c>
      <c r="B2705" t="s">
        <v>1749</v>
      </c>
      <c r="C2705" t="s">
        <v>1750</v>
      </c>
      <c r="D2705" t="s">
        <v>31</v>
      </c>
      <c r="E2705" t="s">
        <v>1931</v>
      </c>
      <c r="F2705" s="2">
        <v>15.2</v>
      </c>
      <c r="G2705">
        <v>1</v>
      </c>
      <c r="H2705" s="2">
        <f>Tabla_Items_Inactivos[[#This Row],[EXISTENCIA]]*Tabla_Items_Inactivos[[#This Row],[COSTO]]</f>
        <v>15.2</v>
      </c>
    </row>
    <row r="2706" spans="1:8">
      <c r="A2706" t="s">
        <v>3300</v>
      </c>
      <c r="B2706" t="s">
        <v>1751</v>
      </c>
      <c r="C2706" t="s">
        <v>1752</v>
      </c>
      <c r="D2706" t="s">
        <v>85</v>
      </c>
      <c r="E2706" t="s">
        <v>86</v>
      </c>
      <c r="F2706" s="2">
        <v>4.8</v>
      </c>
      <c r="G2706">
        <v>2</v>
      </c>
      <c r="H2706" s="2">
        <f>Tabla_Items_Inactivos[[#This Row],[EXISTENCIA]]*Tabla_Items_Inactivos[[#This Row],[COSTO]]</f>
        <v>9.6</v>
      </c>
    </row>
    <row r="2707" spans="1:8">
      <c r="A2707" t="s">
        <v>3300</v>
      </c>
      <c r="B2707" t="s">
        <v>1753</v>
      </c>
      <c r="C2707" t="s">
        <v>1754</v>
      </c>
      <c r="D2707" t="s">
        <v>98</v>
      </c>
      <c r="E2707" t="s">
        <v>86</v>
      </c>
      <c r="F2707" s="2">
        <v>76.8</v>
      </c>
      <c r="G2707">
        <v>1</v>
      </c>
      <c r="H2707" s="2">
        <f>Tabla_Items_Inactivos[[#This Row],[EXISTENCIA]]*Tabla_Items_Inactivos[[#This Row],[COSTO]]</f>
        <v>76.8</v>
      </c>
    </row>
    <row r="2708" spans="1:8">
      <c r="A2708" t="s">
        <v>3300</v>
      </c>
      <c r="B2708" t="s">
        <v>1755</v>
      </c>
      <c r="C2708" t="s">
        <v>1756</v>
      </c>
      <c r="D2708" t="s">
        <v>85</v>
      </c>
      <c r="E2708" t="s">
        <v>86</v>
      </c>
      <c r="F2708" s="2">
        <v>1.2</v>
      </c>
      <c r="G2708">
        <v>1</v>
      </c>
      <c r="H2708" s="2">
        <f>Tabla_Items_Inactivos[[#This Row],[EXISTENCIA]]*Tabla_Items_Inactivos[[#This Row],[COSTO]]</f>
        <v>1.2</v>
      </c>
    </row>
    <row r="2709" spans="1:8">
      <c r="A2709" t="s">
        <v>3300</v>
      </c>
      <c r="B2709" t="s">
        <v>1757</v>
      </c>
      <c r="C2709" t="s">
        <v>1758</v>
      </c>
      <c r="D2709" t="s">
        <v>31</v>
      </c>
      <c r="E2709" t="s">
        <v>1931</v>
      </c>
      <c r="F2709" s="2">
        <v>18.34</v>
      </c>
      <c r="G2709">
        <v>1</v>
      </c>
      <c r="H2709" s="2">
        <f>Tabla_Items_Inactivos[[#This Row],[EXISTENCIA]]*Tabla_Items_Inactivos[[#This Row],[COSTO]]</f>
        <v>18.34</v>
      </c>
    </row>
    <row r="2710" spans="1:8">
      <c r="A2710" t="s">
        <v>3300</v>
      </c>
      <c r="B2710" t="s">
        <v>1759</v>
      </c>
      <c r="C2710" t="s">
        <v>1760</v>
      </c>
      <c r="D2710" t="s">
        <v>31</v>
      </c>
      <c r="E2710" t="s">
        <v>1931</v>
      </c>
      <c r="F2710" s="2">
        <v>4.4000000000000004</v>
      </c>
      <c r="G2710">
        <v>2</v>
      </c>
      <c r="H2710" s="2">
        <f>Tabla_Items_Inactivos[[#This Row],[EXISTENCIA]]*Tabla_Items_Inactivos[[#This Row],[COSTO]]</f>
        <v>8.8000000000000007</v>
      </c>
    </row>
    <row r="2711" spans="1:8">
      <c r="A2711" t="s">
        <v>3300</v>
      </c>
      <c r="B2711" t="s">
        <v>1761</v>
      </c>
      <c r="C2711" t="s">
        <v>1762</v>
      </c>
      <c r="D2711" t="s">
        <v>31</v>
      </c>
      <c r="E2711" t="s">
        <v>1931</v>
      </c>
      <c r="F2711" s="2">
        <v>3.95</v>
      </c>
      <c r="G2711">
        <v>1</v>
      </c>
      <c r="H2711" s="2">
        <f>Tabla_Items_Inactivos[[#This Row],[EXISTENCIA]]*Tabla_Items_Inactivos[[#This Row],[COSTO]]</f>
        <v>3.95</v>
      </c>
    </row>
    <row r="2712" spans="1:8">
      <c r="A2712" t="s">
        <v>3300</v>
      </c>
      <c r="B2712" t="s">
        <v>1763</v>
      </c>
      <c r="C2712" t="s">
        <v>1764</v>
      </c>
      <c r="D2712" t="s">
        <v>85</v>
      </c>
      <c r="E2712" t="s">
        <v>86</v>
      </c>
      <c r="F2712" s="2">
        <v>47.94</v>
      </c>
      <c r="G2712">
        <v>1</v>
      </c>
      <c r="H2712" s="2">
        <f>Tabla_Items_Inactivos[[#This Row],[EXISTENCIA]]*Tabla_Items_Inactivos[[#This Row],[COSTO]]</f>
        <v>47.94</v>
      </c>
    </row>
    <row r="2713" spans="1:8">
      <c r="A2713" t="s">
        <v>3300</v>
      </c>
      <c r="B2713" t="s">
        <v>1765</v>
      </c>
      <c r="C2713" t="s">
        <v>1766</v>
      </c>
      <c r="D2713" t="s">
        <v>31</v>
      </c>
      <c r="E2713" t="s">
        <v>1931</v>
      </c>
      <c r="F2713" s="2">
        <v>234</v>
      </c>
      <c r="G2713">
        <v>4</v>
      </c>
      <c r="H2713" s="2">
        <f>Tabla_Items_Inactivos[[#This Row],[EXISTENCIA]]*Tabla_Items_Inactivos[[#This Row],[COSTO]]</f>
        <v>936</v>
      </c>
    </row>
    <row r="2714" spans="1:8">
      <c r="A2714" t="s">
        <v>3300</v>
      </c>
      <c r="B2714" t="s">
        <v>1767</v>
      </c>
      <c r="C2714" t="s">
        <v>1768</v>
      </c>
      <c r="D2714" t="s">
        <v>31</v>
      </c>
      <c r="E2714" t="s">
        <v>1931</v>
      </c>
      <c r="F2714" s="2">
        <v>53.76</v>
      </c>
      <c r="G2714">
        <v>1</v>
      </c>
      <c r="H2714" s="2">
        <f>Tabla_Items_Inactivos[[#This Row],[EXISTENCIA]]*Tabla_Items_Inactivos[[#This Row],[COSTO]]</f>
        <v>53.76</v>
      </c>
    </row>
    <row r="2715" spans="1:8">
      <c r="A2715" t="s">
        <v>3300</v>
      </c>
      <c r="B2715" t="s">
        <v>1769</v>
      </c>
      <c r="C2715" t="s">
        <v>1770</v>
      </c>
      <c r="D2715" t="s">
        <v>31</v>
      </c>
      <c r="E2715" t="s">
        <v>1931</v>
      </c>
      <c r="F2715" s="2">
        <v>43.5</v>
      </c>
      <c r="G2715">
        <v>1</v>
      </c>
      <c r="H2715" s="2">
        <f>Tabla_Items_Inactivos[[#This Row],[EXISTENCIA]]*Tabla_Items_Inactivos[[#This Row],[COSTO]]</f>
        <v>43.5</v>
      </c>
    </row>
    <row r="2716" spans="1:8">
      <c r="A2716" t="s">
        <v>3299</v>
      </c>
      <c r="B2716" t="s">
        <v>1771</v>
      </c>
      <c r="C2716" t="s">
        <v>1772</v>
      </c>
      <c r="D2716" t="s">
        <v>101</v>
      </c>
      <c r="E2716" t="s">
        <v>581</v>
      </c>
      <c r="F2716" s="2">
        <v>2.5632000000000001</v>
      </c>
      <c r="G2716">
        <v>8</v>
      </c>
      <c r="H2716" s="2">
        <f>Tabla_Items_Inactivos[[#This Row],[EXISTENCIA]]*Tabla_Items_Inactivos[[#This Row],[COSTO]]</f>
        <v>20.505600000000001</v>
      </c>
    </row>
    <row r="2717" spans="1:8">
      <c r="A2717" t="s">
        <v>3300</v>
      </c>
      <c r="B2717" t="s">
        <v>1773</v>
      </c>
      <c r="C2717" t="s">
        <v>1774</v>
      </c>
      <c r="D2717" t="s">
        <v>31</v>
      </c>
      <c r="E2717" t="s">
        <v>1931</v>
      </c>
      <c r="F2717" s="2">
        <v>0.05</v>
      </c>
      <c r="G2717">
        <v>6</v>
      </c>
      <c r="H2717" s="2">
        <f>Tabla_Items_Inactivos[[#This Row],[EXISTENCIA]]*Tabla_Items_Inactivos[[#This Row],[COSTO]]</f>
        <v>0.30000000000000004</v>
      </c>
    </row>
    <row r="2718" spans="1:8">
      <c r="A2718" t="s">
        <v>3300</v>
      </c>
      <c r="B2718" t="s">
        <v>3202</v>
      </c>
      <c r="C2718" t="s">
        <v>3203</v>
      </c>
      <c r="D2718" t="s">
        <v>263</v>
      </c>
      <c r="E2718" t="s">
        <v>86</v>
      </c>
      <c r="F2718" s="2">
        <v>0.50449999999999995</v>
      </c>
      <c r="G2718">
        <v>3418</v>
      </c>
      <c r="H2718" s="2">
        <f>Tabla_Items_Inactivos[[#This Row],[EXISTENCIA]]*Tabla_Items_Inactivos[[#This Row],[COSTO]]</f>
        <v>1724.3809999999999</v>
      </c>
    </row>
    <row r="2719" spans="1:8">
      <c r="A2719" t="s">
        <v>3301</v>
      </c>
      <c r="B2719" t="s">
        <v>3202</v>
      </c>
      <c r="C2719" t="s">
        <v>3203</v>
      </c>
      <c r="D2719" t="s">
        <v>263</v>
      </c>
      <c r="E2719" t="s">
        <v>86</v>
      </c>
      <c r="F2719" s="2">
        <v>0.50449999999999995</v>
      </c>
      <c r="G2719">
        <v>3418</v>
      </c>
      <c r="H2719" s="2">
        <f>Tabla_Items_Inactivos[[#This Row],[EXISTENCIA]]*Tabla_Items_Inactivos[[#This Row],[COSTO]]</f>
        <v>1724.3809999999999</v>
      </c>
    </row>
    <row r="2720" spans="1:8">
      <c r="A2720" t="s">
        <v>3300</v>
      </c>
      <c r="B2720" t="s">
        <v>3204</v>
      </c>
      <c r="C2720" t="s">
        <v>3205</v>
      </c>
      <c r="D2720" t="s">
        <v>85</v>
      </c>
      <c r="E2720" t="s">
        <v>86</v>
      </c>
      <c r="F2720" s="2">
        <v>53.403799999999997</v>
      </c>
      <c r="G2720">
        <v>22</v>
      </c>
      <c r="H2720" s="2">
        <f>Tabla_Items_Inactivos[[#This Row],[EXISTENCIA]]*Tabla_Items_Inactivos[[#This Row],[COSTO]]</f>
        <v>1174.8835999999999</v>
      </c>
    </row>
    <row r="2721" spans="1:8">
      <c r="A2721" t="s">
        <v>3301</v>
      </c>
      <c r="B2721" t="s">
        <v>3204</v>
      </c>
      <c r="C2721" t="s">
        <v>3205</v>
      </c>
      <c r="D2721" t="s">
        <v>85</v>
      </c>
      <c r="E2721" t="s">
        <v>86</v>
      </c>
      <c r="F2721" s="2">
        <v>53.403799999999997</v>
      </c>
      <c r="G2721">
        <v>22</v>
      </c>
      <c r="H2721" s="2">
        <f>Tabla_Items_Inactivos[[#This Row],[EXISTENCIA]]*Tabla_Items_Inactivos[[#This Row],[COSTO]]</f>
        <v>1174.8835999999999</v>
      </c>
    </row>
    <row r="2722" spans="1:8">
      <c r="A2722" t="s">
        <v>3300</v>
      </c>
      <c r="B2722" t="s">
        <v>5270</v>
      </c>
      <c r="C2722" t="s">
        <v>5271</v>
      </c>
      <c r="D2722" t="s">
        <v>263</v>
      </c>
      <c r="E2722" t="s">
        <v>86</v>
      </c>
      <c r="F2722" s="2">
        <v>0.53180000000000005</v>
      </c>
      <c r="G2722">
        <v>302</v>
      </c>
      <c r="H2722" s="2">
        <f>Tabla_Items_Inactivos[[#This Row],[EXISTENCIA]]*Tabla_Items_Inactivos[[#This Row],[COSTO]]</f>
        <v>160.60360000000003</v>
      </c>
    </row>
    <row r="2723" spans="1:8">
      <c r="A2723" t="s">
        <v>3301</v>
      </c>
      <c r="B2723" t="s">
        <v>5270</v>
      </c>
      <c r="C2723" t="s">
        <v>5271</v>
      </c>
      <c r="D2723" t="s">
        <v>263</v>
      </c>
      <c r="E2723" t="s">
        <v>86</v>
      </c>
      <c r="F2723" s="2">
        <v>0.53180000000000005</v>
      </c>
      <c r="G2723">
        <v>302</v>
      </c>
      <c r="H2723" s="2">
        <f>Tabla_Items_Inactivos[[#This Row],[EXISTENCIA]]*Tabla_Items_Inactivos[[#This Row],[COSTO]]</f>
        <v>160.60360000000003</v>
      </c>
    </row>
    <row r="2724" spans="1:8">
      <c r="A2724" t="s">
        <v>3301</v>
      </c>
      <c r="B2724" t="s">
        <v>3206</v>
      </c>
      <c r="C2724" t="s">
        <v>3207</v>
      </c>
      <c r="D2724" t="s">
        <v>31</v>
      </c>
      <c r="E2724" t="s">
        <v>1931</v>
      </c>
      <c r="F2724" s="2">
        <v>3.8740000000000001</v>
      </c>
      <c r="G2724">
        <v>18</v>
      </c>
      <c r="H2724" s="2">
        <f>Tabla_Items_Inactivos[[#This Row],[EXISTENCIA]]*Tabla_Items_Inactivos[[#This Row],[COSTO]]</f>
        <v>69.731999999999999</v>
      </c>
    </row>
    <row r="2725" spans="1:8">
      <c r="A2725" t="s">
        <v>3300</v>
      </c>
      <c r="B2725" t="s">
        <v>3206</v>
      </c>
      <c r="C2725" t="s">
        <v>3207</v>
      </c>
      <c r="D2725" t="s">
        <v>31</v>
      </c>
      <c r="E2725" t="s">
        <v>1931</v>
      </c>
      <c r="F2725" s="2">
        <v>3.8740000000000001</v>
      </c>
      <c r="G2725">
        <v>18</v>
      </c>
      <c r="H2725" s="2">
        <f>Tabla_Items_Inactivos[[#This Row],[EXISTENCIA]]*Tabla_Items_Inactivos[[#This Row],[COSTO]]</f>
        <v>69.731999999999999</v>
      </c>
    </row>
    <row r="2726" spans="1:8">
      <c r="A2726" t="s">
        <v>3300</v>
      </c>
      <c r="B2726" t="s">
        <v>1775</v>
      </c>
      <c r="C2726" t="s">
        <v>1776</v>
      </c>
      <c r="D2726" t="s">
        <v>263</v>
      </c>
      <c r="E2726" t="s">
        <v>86</v>
      </c>
      <c r="F2726" s="2">
        <v>36.547400000000003</v>
      </c>
      <c r="G2726">
        <v>2</v>
      </c>
      <c r="H2726" s="2">
        <f>Tabla_Items_Inactivos[[#This Row],[EXISTENCIA]]*Tabla_Items_Inactivos[[#This Row],[COSTO]]</f>
        <v>73.094800000000006</v>
      </c>
    </row>
    <row r="2727" spans="1:8">
      <c r="A2727" t="s">
        <v>3301</v>
      </c>
      <c r="B2727" t="s">
        <v>1775</v>
      </c>
      <c r="C2727" t="s">
        <v>1776</v>
      </c>
      <c r="D2727" t="s">
        <v>263</v>
      </c>
      <c r="E2727" t="s">
        <v>86</v>
      </c>
      <c r="F2727" s="2">
        <v>36.547400000000003</v>
      </c>
      <c r="G2727">
        <v>2</v>
      </c>
      <c r="H2727" s="2">
        <f>Tabla_Items_Inactivos[[#This Row],[EXISTENCIA]]*Tabla_Items_Inactivos[[#This Row],[COSTO]]</f>
        <v>73.094800000000006</v>
      </c>
    </row>
    <row r="2728" spans="1:8">
      <c r="A2728" t="s">
        <v>3300</v>
      </c>
      <c r="B2728" t="s">
        <v>1777</v>
      </c>
      <c r="C2728" t="s">
        <v>1778</v>
      </c>
      <c r="D2728" t="s">
        <v>85</v>
      </c>
      <c r="E2728" t="s">
        <v>86</v>
      </c>
      <c r="F2728" s="2">
        <v>0.5</v>
      </c>
      <c r="G2728">
        <v>48</v>
      </c>
      <c r="H2728" s="2">
        <f>Tabla_Items_Inactivos[[#This Row],[EXISTENCIA]]*Tabla_Items_Inactivos[[#This Row],[COSTO]]</f>
        <v>24</v>
      </c>
    </row>
    <row r="2729" spans="1:8">
      <c r="A2729" t="s">
        <v>3300</v>
      </c>
      <c r="B2729" t="s">
        <v>1779</v>
      </c>
      <c r="C2729" t="s">
        <v>1780</v>
      </c>
      <c r="D2729" t="s">
        <v>4611</v>
      </c>
      <c r="E2729" t="s">
        <v>86</v>
      </c>
      <c r="F2729" s="2">
        <v>41.88</v>
      </c>
      <c r="G2729">
        <v>26</v>
      </c>
      <c r="H2729" s="2">
        <f>Tabla_Items_Inactivos[[#This Row],[EXISTENCIA]]*Tabla_Items_Inactivos[[#This Row],[COSTO]]</f>
        <v>1088.8800000000001</v>
      </c>
    </row>
    <row r="2730" spans="1:8">
      <c r="A2730" t="s">
        <v>3301</v>
      </c>
      <c r="B2730" t="s">
        <v>1781</v>
      </c>
      <c r="C2730" t="s">
        <v>1782</v>
      </c>
      <c r="D2730" t="s">
        <v>3375</v>
      </c>
      <c r="E2730" t="s">
        <v>125</v>
      </c>
      <c r="F2730" s="2">
        <v>343.28269999999998</v>
      </c>
      <c r="G2730">
        <v>1</v>
      </c>
      <c r="H2730" s="2">
        <f>Tabla_Items_Inactivos[[#This Row],[EXISTENCIA]]*Tabla_Items_Inactivos[[#This Row],[COSTO]]</f>
        <v>343.28269999999998</v>
      </c>
    </row>
    <row r="2731" spans="1:8">
      <c r="A2731" t="s">
        <v>3300</v>
      </c>
      <c r="B2731" t="s">
        <v>1781</v>
      </c>
      <c r="C2731" t="s">
        <v>1782</v>
      </c>
      <c r="D2731" t="s">
        <v>3375</v>
      </c>
      <c r="E2731" t="s">
        <v>125</v>
      </c>
      <c r="F2731" s="2">
        <v>343.28269999999998</v>
      </c>
      <c r="G2731">
        <v>1</v>
      </c>
      <c r="H2731" s="2">
        <f>Tabla_Items_Inactivos[[#This Row],[EXISTENCIA]]*Tabla_Items_Inactivos[[#This Row],[COSTO]]</f>
        <v>343.28269999999998</v>
      </c>
    </row>
    <row r="2732" spans="1:8">
      <c r="A2732" t="s">
        <v>3300</v>
      </c>
      <c r="B2732" t="s">
        <v>5272</v>
      </c>
      <c r="C2732" t="s">
        <v>5273</v>
      </c>
      <c r="D2732" t="s">
        <v>85</v>
      </c>
      <c r="E2732" t="s">
        <v>86</v>
      </c>
      <c r="F2732" s="2">
        <v>2.0413000000000001</v>
      </c>
      <c r="G2732">
        <v>2</v>
      </c>
      <c r="H2732" s="2">
        <f>Tabla_Items_Inactivos[[#This Row],[EXISTENCIA]]*Tabla_Items_Inactivos[[#This Row],[COSTO]]</f>
        <v>4.0826000000000002</v>
      </c>
    </row>
    <row r="2733" spans="1:8">
      <c r="A2733" t="s">
        <v>3301</v>
      </c>
      <c r="B2733" t="s">
        <v>5272</v>
      </c>
      <c r="C2733" t="s">
        <v>5273</v>
      </c>
      <c r="D2733" t="s">
        <v>85</v>
      </c>
      <c r="E2733" t="s">
        <v>86</v>
      </c>
      <c r="F2733" s="2">
        <v>2.0413000000000001</v>
      </c>
      <c r="G2733">
        <v>2</v>
      </c>
      <c r="H2733" s="2">
        <f>Tabla_Items_Inactivos[[#This Row],[EXISTENCIA]]*Tabla_Items_Inactivos[[#This Row],[COSTO]]</f>
        <v>4.0826000000000002</v>
      </c>
    </row>
    <row r="2734" spans="1:8">
      <c r="A2734" t="s">
        <v>3300</v>
      </c>
      <c r="B2734" t="s">
        <v>5274</v>
      </c>
      <c r="C2734" t="s">
        <v>5275</v>
      </c>
      <c r="D2734" t="s">
        <v>85</v>
      </c>
      <c r="E2734" t="s">
        <v>86</v>
      </c>
      <c r="F2734" s="2">
        <v>2.0819999999999999</v>
      </c>
      <c r="G2734">
        <v>18</v>
      </c>
      <c r="H2734" s="2">
        <f>Tabla_Items_Inactivos[[#This Row],[EXISTENCIA]]*Tabla_Items_Inactivos[[#This Row],[COSTO]]</f>
        <v>37.475999999999999</v>
      </c>
    </row>
    <row r="2735" spans="1:8">
      <c r="A2735" t="s">
        <v>3300</v>
      </c>
      <c r="B2735" t="s">
        <v>1783</v>
      </c>
      <c r="C2735" t="s">
        <v>1784</v>
      </c>
      <c r="D2735" t="s">
        <v>31</v>
      </c>
      <c r="E2735" t="s">
        <v>1931</v>
      </c>
      <c r="F2735" s="2">
        <v>714.28499999999997</v>
      </c>
      <c r="G2735">
        <v>1</v>
      </c>
      <c r="H2735" s="2">
        <f>Tabla_Items_Inactivos[[#This Row],[EXISTENCIA]]*Tabla_Items_Inactivos[[#This Row],[COSTO]]</f>
        <v>714.28499999999997</v>
      </c>
    </row>
    <row r="2736" spans="1:8">
      <c r="A2736" t="s">
        <v>3300</v>
      </c>
      <c r="B2736" t="s">
        <v>1785</v>
      </c>
      <c r="C2736" t="s">
        <v>1786</v>
      </c>
      <c r="D2736" t="s">
        <v>31</v>
      </c>
      <c r="E2736" t="s">
        <v>125</v>
      </c>
      <c r="F2736" s="2">
        <v>798.38300000000004</v>
      </c>
      <c r="G2736">
        <v>1</v>
      </c>
      <c r="H2736" s="2">
        <f>Tabla_Items_Inactivos[[#This Row],[EXISTENCIA]]*Tabla_Items_Inactivos[[#This Row],[COSTO]]</f>
        <v>798.38300000000004</v>
      </c>
    </row>
    <row r="2737" spans="1:8">
      <c r="A2737" t="s">
        <v>3300</v>
      </c>
      <c r="B2737" t="s">
        <v>1787</v>
      </c>
      <c r="C2737" t="s">
        <v>1788</v>
      </c>
      <c r="D2737" t="s">
        <v>31</v>
      </c>
      <c r="E2737" t="s">
        <v>1931</v>
      </c>
      <c r="F2737" s="2">
        <v>9</v>
      </c>
      <c r="G2737">
        <v>1</v>
      </c>
      <c r="H2737" s="2">
        <f>Tabla_Items_Inactivos[[#This Row],[EXISTENCIA]]*Tabla_Items_Inactivos[[#This Row],[COSTO]]</f>
        <v>9</v>
      </c>
    </row>
    <row r="2738" spans="1:8">
      <c r="A2738" t="s">
        <v>3300</v>
      </c>
      <c r="B2738" t="s">
        <v>1789</v>
      </c>
      <c r="C2738" t="s">
        <v>1790</v>
      </c>
      <c r="D2738" t="s">
        <v>31</v>
      </c>
      <c r="E2738" t="s">
        <v>1931</v>
      </c>
      <c r="F2738" s="2">
        <v>8.0749999999999993</v>
      </c>
      <c r="G2738">
        <v>3</v>
      </c>
      <c r="H2738" s="2">
        <f>Tabla_Items_Inactivos[[#This Row],[EXISTENCIA]]*Tabla_Items_Inactivos[[#This Row],[COSTO]]</f>
        <v>24.224999999999998</v>
      </c>
    </row>
    <row r="2739" spans="1:8">
      <c r="A2739" t="s">
        <v>3300</v>
      </c>
      <c r="B2739" t="s">
        <v>1791</v>
      </c>
      <c r="C2739" t="s">
        <v>1792</v>
      </c>
      <c r="D2739" t="s">
        <v>31</v>
      </c>
      <c r="E2739" t="s">
        <v>1931</v>
      </c>
      <c r="F2739" s="2">
        <v>15</v>
      </c>
      <c r="G2739">
        <v>2</v>
      </c>
      <c r="H2739" s="2">
        <f>Tabla_Items_Inactivos[[#This Row],[EXISTENCIA]]*Tabla_Items_Inactivos[[#This Row],[COSTO]]</f>
        <v>30</v>
      </c>
    </row>
    <row r="2740" spans="1:8">
      <c r="A2740" t="s">
        <v>3300</v>
      </c>
      <c r="B2740" t="s">
        <v>1793</v>
      </c>
      <c r="C2740" t="s">
        <v>1794</v>
      </c>
      <c r="D2740" t="s">
        <v>31</v>
      </c>
      <c r="E2740" t="s">
        <v>1931</v>
      </c>
      <c r="F2740" s="2">
        <v>0.5</v>
      </c>
      <c r="G2740">
        <v>1</v>
      </c>
      <c r="H2740" s="2">
        <f>Tabla_Items_Inactivos[[#This Row],[EXISTENCIA]]*Tabla_Items_Inactivos[[#This Row],[COSTO]]</f>
        <v>0.5</v>
      </c>
    </row>
    <row r="2741" spans="1:8">
      <c r="A2741" t="s">
        <v>3300</v>
      </c>
      <c r="B2741" t="s">
        <v>1795</v>
      </c>
      <c r="C2741" t="s">
        <v>1796</v>
      </c>
      <c r="D2741" t="s">
        <v>31</v>
      </c>
      <c r="E2741" t="s">
        <v>1931</v>
      </c>
      <c r="F2741" s="2">
        <v>100</v>
      </c>
      <c r="G2741">
        <v>1</v>
      </c>
      <c r="H2741" s="2">
        <f>Tabla_Items_Inactivos[[#This Row],[EXISTENCIA]]*Tabla_Items_Inactivos[[#This Row],[COSTO]]</f>
        <v>100</v>
      </c>
    </row>
    <row r="2742" spans="1:8">
      <c r="A2742" t="s">
        <v>3300</v>
      </c>
      <c r="B2742" t="s">
        <v>1797</v>
      </c>
      <c r="C2742" t="s">
        <v>1798</v>
      </c>
      <c r="D2742" t="s">
        <v>31</v>
      </c>
      <c r="E2742" t="s">
        <v>1931</v>
      </c>
      <c r="F2742" s="2">
        <v>40</v>
      </c>
      <c r="G2742">
        <v>1</v>
      </c>
      <c r="H2742" s="2">
        <f>Tabla_Items_Inactivos[[#This Row],[EXISTENCIA]]*Tabla_Items_Inactivos[[#This Row],[COSTO]]</f>
        <v>40</v>
      </c>
    </row>
    <row r="2743" spans="1:8">
      <c r="A2743" t="s">
        <v>3300</v>
      </c>
      <c r="B2743" t="s">
        <v>1799</v>
      </c>
      <c r="C2743" t="s">
        <v>1800</v>
      </c>
      <c r="D2743" t="s">
        <v>31</v>
      </c>
      <c r="E2743" t="s">
        <v>1931</v>
      </c>
      <c r="F2743" s="2">
        <v>6</v>
      </c>
      <c r="G2743">
        <v>1</v>
      </c>
      <c r="H2743" s="2">
        <f>Tabla_Items_Inactivos[[#This Row],[EXISTENCIA]]*Tabla_Items_Inactivos[[#This Row],[COSTO]]</f>
        <v>6</v>
      </c>
    </row>
    <row r="2744" spans="1:8">
      <c r="A2744" t="s">
        <v>3300</v>
      </c>
      <c r="B2744" t="s">
        <v>1801</v>
      </c>
      <c r="C2744" t="s">
        <v>1802</v>
      </c>
      <c r="D2744" t="s">
        <v>31</v>
      </c>
      <c r="E2744" t="s">
        <v>1931</v>
      </c>
      <c r="F2744" s="2">
        <v>3.5</v>
      </c>
      <c r="G2744">
        <v>1</v>
      </c>
      <c r="H2744" s="2">
        <f>Tabla_Items_Inactivos[[#This Row],[EXISTENCIA]]*Tabla_Items_Inactivos[[#This Row],[COSTO]]</f>
        <v>3.5</v>
      </c>
    </row>
    <row r="2745" spans="1:8">
      <c r="A2745" t="s">
        <v>3300</v>
      </c>
      <c r="B2745" t="s">
        <v>1803</v>
      </c>
      <c r="C2745" t="s">
        <v>1804</v>
      </c>
      <c r="D2745" t="s">
        <v>31</v>
      </c>
      <c r="E2745" t="s">
        <v>1931</v>
      </c>
      <c r="F2745" s="2">
        <v>0</v>
      </c>
      <c r="G2745">
        <v>1</v>
      </c>
      <c r="H2745" s="2">
        <f>Tabla_Items_Inactivos[[#This Row],[EXISTENCIA]]*Tabla_Items_Inactivos[[#This Row],[COSTO]]</f>
        <v>0</v>
      </c>
    </row>
    <row r="2746" spans="1:8">
      <c r="A2746" t="s">
        <v>3300</v>
      </c>
      <c r="B2746" t="s">
        <v>1805</v>
      </c>
      <c r="C2746" t="s">
        <v>1806</v>
      </c>
      <c r="D2746" t="s">
        <v>31</v>
      </c>
      <c r="E2746" t="s">
        <v>1931</v>
      </c>
      <c r="F2746" s="2">
        <v>3.7440000000000002</v>
      </c>
      <c r="G2746">
        <v>4</v>
      </c>
      <c r="H2746" s="2">
        <f>Tabla_Items_Inactivos[[#This Row],[EXISTENCIA]]*Tabla_Items_Inactivos[[#This Row],[COSTO]]</f>
        <v>14.976000000000001</v>
      </c>
    </row>
    <row r="2747" spans="1:8">
      <c r="A2747" t="s">
        <v>3300</v>
      </c>
      <c r="B2747" t="s">
        <v>1807</v>
      </c>
      <c r="C2747" t="s">
        <v>1808</v>
      </c>
      <c r="D2747" t="s">
        <v>31</v>
      </c>
      <c r="E2747" t="s">
        <v>1931</v>
      </c>
      <c r="F2747" s="2">
        <v>2.99</v>
      </c>
      <c r="G2747">
        <v>3</v>
      </c>
      <c r="H2747" s="2">
        <f>Tabla_Items_Inactivos[[#This Row],[EXISTENCIA]]*Tabla_Items_Inactivos[[#This Row],[COSTO]]</f>
        <v>8.9700000000000006</v>
      </c>
    </row>
    <row r="2748" spans="1:8">
      <c r="A2748" t="s">
        <v>3300</v>
      </c>
      <c r="B2748" t="s">
        <v>1809</v>
      </c>
      <c r="C2748" t="s">
        <v>1810</v>
      </c>
      <c r="D2748" t="s">
        <v>31</v>
      </c>
      <c r="E2748" t="s">
        <v>1931</v>
      </c>
      <c r="F2748" s="2">
        <v>135.44999999999999</v>
      </c>
      <c r="G2748">
        <v>1</v>
      </c>
      <c r="H2748" s="2">
        <f>Tabla_Items_Inactivos[[#This Row],[EXISTENCIA]]*Tabla_Items_Inactivos[[#This Row],[COSTO]]</f>
        <v>135.44999999999999</v>
      </c>
    </row>
    <row r="2749" spans="1:8">
      <c r="A2749" t="s">
        <v>3300</v>
      </c>
      <c r="B2749" t="s">
        <v>1811</v>
      </c>
      <c r="C2749" t="s">
        <v>1812</v>
      </c>
      <c r="D2749" t="s">
        <v>31</v>
      </c>
      <c r="E2749" t="s">
        <v>1931</v>
      </c>
      <c r="F2749" s="2">
        <v>400</v>
      </c>
      <c r="G2749">
        <v>1</v>
      </c>
      <c r="H2749" s="2">
        <f>Tabla_Items_Inactivos[[#This Row],[EXISTENCIA]]*Tabla_Items_Inactivos[[#This Row],[COSTO]]</f>
        <v>400</v>
      </c>
    </row>
    <row r="2750" spans="1:8">
      <c r="A2750" t="s">
        <v>3300</v>
      </c>
      <c r="B2750" t="s">
        <v>1813</v>
      </c>
      <c r="C2750" t="s">
        <v>1814</v>
      </c>
      <c r="D2750" t="s">
        <v>2574</v>
      </c>
      <c r="E2750" t="s">
        <v>125</v>
      </c>
      <c r="F2750" s="2">
        <v>408.07889999999998</v>
      </c>
      <c r="G2750">
        <v>1</v>
      </c>
      <c r="H2750" s="2">
        <f>Tabla_Items_Inactivos[[#This Row],[EXISTENCIA]]*Tabla_Items_Inactivos[[#This Row],[COSTO]]</f>
        <v>408.07889999999998</v>
      </c>
    </row>
    <row r="2751" spans="1:8">
      <c r="A2751" t="s">
        <v>3301</v>
      </c>
      <c r="B2751" t="s">
        <v>1813</v>
      </c>
      <c r="C2751" t="s">
        <v>1814</v>
      </c>
      <c r="D2751" t="s">
        <v>2574</v>
      </c>
      <c r="E2751" t="s">
        <v>125</v>
      </c>
      <c r="F2751" s="2">
        <v>408.07889999999998</v>
      </c>
      <c r="G2751">
        <v>1</v>
      </c>
      <c r="H2751" s="2">
        <f>Tabla_Items_Inactivos[[#This Row],[EXISTENCIA]]*Tabla_Items_Inactivos[[#This Row],[COSTO]]</f>
        <v>408.07889999999998</v>
      </c>
    </row>
    <row r="2752" spans="1:8">
      <c r="A2752" t="s">
        <v>3300</v>
      </c>
      <c r="B2752" t="s">
        <v>1815</v>
      </c>
      <c r="C2752" t="s">
        <v>1816</v>
      </c>
      <c r="D2752" t="s">
        <v>31</v>
      </c>
      <c r="E2752" t="s">
        <v>1931</v>
      </c>
      <c r="F2752" s="2">
        <v>0</v>
      </c>
      <c r="G2752">
        <v>1</v>
      </c>
      <c r="H2752" s="2">
        <f>Tabla_Items_Inactivos[[#This Row],[EXISTENCIA]]*Tabla_Items_Inactivos[[#This Row],[COSTO]]</f>
        <v>0</v>
      </c>
    </row>
    <row r="2753" spans="1:8">
      <c r="A2753" t="s">
        <v>3300</v>
      </c>
      <c r="B2753" t="s">
        <v>1817</v>
      </c>
      <c r="C2753" t="s">
        <v>1818</v>
      </c>
      <c r="D2753" t="s">
        <v>124</v>
      </c>
      <c r="E2753" t="s">
        <v>125</v>
      </c>
      <c r="F2753" s="2">
        <v>843.47370000000001</v>
      </c>
      <c r="G2753">
        <v>1</v>
      </c>
      <c r="H2753" s="2">
        <f>Tabla_Items_Inactivos[[#This Row],[EXISTENCIA]]*Tabla_Items_Inactivos[[#This Row],[COSTO]]</f>
        <v>843.47370000000001</v>
      </c>
    </row>
    <row r="2754" spans="1:8">
      <c r="A2754" t="s">
        <v>3301</v>
      </c>
      <c r="B2754" t="s">
        <v>1817</v>
      </c>
      <c r="C2754" t="s">
        <v>1818</v>
      </c>
      <c r="D2754" t="s">
        <v>124</v>
      </c>
      <c r="E2754" t="s">
        <v>125</v>
      </c>
      <c r="F2754" s="2">
        <v>843.47370000000001</v>
      </c>
      <c r="G2754">
        <v>1</v>
      </c>
      <c r="H2754" s="2">
        <f>Tabla_Items_Inactivos[[#This Row],[EXISTENCIA]]*Tabla_Items_Inactivos[[#This Row],[COSTO]]</f>
        <v>843.47370000000001</v>
      </c>
    </row>
    <row r="2755" spans="1:8">
      <c r="A2755" t="s">
        <v>3300</v>
      </c>
      <c r="B2755" t="s">
        <v>1819</v>
      </c>
      <c r="C2755" t="s">
        <v>1820</v>
      </c>
      <c r="D2755" t="s">
        <v>1821</v>
      </c>
      <c r="E2755" t="s">
        <v>125</v>
      </c>
      <c r="F2755" s="2">
        <v>780.58720000000005</v>
      </c>
      <c r="G2755">
        <v>4</v>
      </c>
      <c r="H2755" s="2">
        <f>Tabla_Items_Inactivos[[#This Row],[EXISTENCIA]]*Tabla_Items_Inactivos[[#This Row],[COSTO]]</f>
        <v>3122.3488000000002</v>
      </c>
    </row>
    <row r="2756" spans="1:8">
      <c r="A2756" t="s">
        <v>3301</v>
      </c>
      <c r="B2756" t="s">
        <v>1819</v>
      </c>
      <c r="C2756" t="s">
        <v>1820</v>
      </c>
      <c r="D2756" t="s">
        <v>1821</v>
      </c>
      <c r="E2756" t="s">
        <v>125</v>
      </c>
      <c r="F2756" s="2">
        <v>780.58720000000005</v>
      </c>
      <c r="G2756">
        <v>4</v>
      </c>
      <c r="H2756" s="2">
        <f>Tabla_Items_Inactivos[[#This Row],[EXISTENCIA]]*Tabla_Items_Inactivos[[#This Row],[COSTO]]</f>
        <v>3122.3488000000002</v>
      </c>
    </row>
    <row r="2757" spans="1:8">
      <c r="A2757" t="s">
        <v>3300</v>
      </c>
      <c r="B2757" t="s">
        <v>5276</v>
      </c>
      <c r="C2757" t="s">
        <v>5277</v>
      </c>
      <c r="D2757" t="s">
        <v>3411</v>
      </c>
      <c r="E2757" t="s">
        <v>125</v>
      </c>
      <c r="F2757" s="2">
        <v>25.631599999999999</v>
      </c>
      <c r="G2757">
        <v>2</v>
      </c>
      <c r="H2757" s="2">
        <f>Tabla_Items_Inactivos[[#This Row],[EXISTENCIA]]*Tabla_Items_Inactivos[[#This Row],[COSTO]]</f>
        <v>51.263199999999998</v>
      </c>
    </row>
    <row r="2758" spans="1:8">
      <c r="A2758" t="s">
        <v>3301</v>
      </c>
      <c r="B2758" t="s">
        <v>5276</v>
      </c>
      <c r="C2758" t="s">
        <v>5277</v>
      </c>
      <c r="D2758" t="s">
        <v>3411</v>
      </c>
      <c r="E2758" t="s">
        <v>125</v>
      </c>
      <c r="F2758" s="2">
        <v>25.631599999999999</v>
      </c>
      <c r="G2758">
        <v>2</v>
      </c>
      <c r="H2758" s="2">
        <f>Tabla_Items_Inactivos[[#This Row],[EXISTENCIA]]*Tabla_Items_Inactivos[[#This Row],[COSTO]]</f>
        <v>51.263199999999998</v>
      </c>
    </row>
    <row r="2759" spans="1:8">
      <c r="A2759" t="s">
        <v>3300</v>
      </c>
      <c r="B2759" t="s">
        <v>3208</v>
      </c>
      <c r="C2759" t="s">
        <v>3209</v>
      </c>
      <c r="D2759" t="s">
        <v>1821</v>
      </c>
      <c r="E2759" t="s">
        <v>125</v>
      </c>
      <c r="F2759" s="2">
        <v>428.02839999999998</v>
      </c>
      <c r="G2759">
        <v>5</v>
      </c>
      <c r="H2759" s="2">
        <f>Tabla_Items_Inactivos[[#This Row],[EXISTENCIA]]*Tabla_Items_Inactivos[[#This Row],[COSTO]]</f>
        <v>2140.1419999999998</v>
      </c>
    </row>
    <row r="2760" spans="1:8">
      <c r="A2760" t="s">
        <v>3301</v>
      </c>
      <c r="B2760" t="s">
        <v>3208</v>
      </c>
      <c r="C2760" t="s">
        <v>3209</v>
      </c>
      <c r="D2760" t="s">
        <v>1821</v>
      </c>
      <c r="E2760" t="s">
        <v>125</v>
      </c>
      <c r="F2760" s="2">
        <v>428.02839999999998</v>
      </c>
      <c r="G2760">
        <v>5</v>
      </c>
      <c r="H2760" s="2">
        <f>Tabla_Items_Inactivos[[#This Row],[EXISTENCIA]]*Tabla_Items_Inactivos[[#This Row],[COSTO]]</f>
        <v>2140.1419999999998</v>
      </c>
    </row>
    <row r="2761" spans="1:8">
      <c r="A2761" t="s">
        <v>3300</v>
      </c>
      <c r="B2761" t="s">
        <v>5278</v>
      </c>
      <c r="C2761" t="s">
        <v>1822</v>
      </c>
      <c r="D2761" t="s">
        <v>1821</v>
      </c>
      <c r="E2761" t="s">
        <v>125</v>
      </c>
      <c r="F2761" s="2">
        <v>230.34809999999999</v>
      </c>
      <c r="G2761">
        <v>6</v>
      </c>
      <c r="H2761" s="2">
        <f>Tabla_Items_Inactivos[[#This Row],[EXISTENCIA]]*Tabla_Items_Inactivos[[#This Row],[COSTO]]</f>
        <v>1382.0886</v>
      </c>
    </row>
    <row r="2762" spans="1:8">
      <c r="A2762" t="s">
        <v>3301</v>
      </c>
      <c r="B2762" t="s">
        <v>5278</v>
      </c>
      <c r="C2762" t="s">
        <v>1822</v>
      </c>
      <c r="D2762" t="s">
        <v>1821</v>
      </c>
      <c r="E2762" t="s">
        <v>125</v>
      </c>
      <c r="F2762" s="2">
        <v>230.34809999999999</v>
      </c>
      <c r="G2762">
        <v>6</v>
      </c>
      <c r="H2762" s="2">
        <f>Tabla_Items_Inactivos[[#This Row],[EXISTENCIA]]*Tabla_Items_Inactivos[[#This Row],[COSTO]]</f>
        <v>1382.0886</v>
      </c>
    </row>
    <row r="2763" spans="1:8">
      <c r="A2763" t="s">
        <v>3299</v>
      </c>
      <c r="B2763" t="s">
        <v>5278</v>
      </c>
      <c r="C2763" t="s">
        <v>1822</v>
      </c>
      <c r="D2763" t="s">
        <v>1821</v>
      </c>
      <c r="E2763" t="s">
        <v>125</v>
      </c>
      <c r="F2763" s="2">
        <v>230.34809999999999</v>
      </c>
      <c r="G2763">
        <v>6</v>
      </c>
      <c r="H2763" s="2">
        <f>Tabla_Items_Inactivos[[#This Row],[EXISTENCIA]]*Tabla_Items_Inactivos[[#This Row],[COSTO]]</f>
        <v>1382.0886</v>
      </c>
    </row>
    <row r="2764" spans="1:8">
      <c r="A2764" t="s">
        <v>3300</v>
      </c>
      <c r="B2764" t="s">
        <v>1823</v>
      </c>
      <c r="C2764" t="s">
        <v>1824</v>
      </c>
      <c r="D2764" t="s">
        <v>994</v>
      </c>
      <c r="E2764" t="s">
        <v>125</v>
      </c>
      <c r="F2764" s="2">
        <v>1033.4955</v>
      </c>
      <c r="G2764">
        <v>3</v>
      </c>
      <c r="H2764" s="2">
        <f>Tabla_Items_Inactivos[[#This Row],[EXISTENCIA]]*Tabla_Items_Inactivos[[#This Row],[COSTO]]</f>
        <v>3100.4865</v>
      </c>
    </row>
    <row r="2765" spans="1:8">
      <c r="A2765" t="s">
        <v>3301</v>
      </c>
      <c r="B2765" t="s">
        <v>1823</v>
      </c>
      <c r="C2765" t="s">
        <v>1824</v>
      </c>
      <c r="D2765" t="s">
        <v>994</v>
      </c>
      <c r="E2765" t="s">
        <v>125</v>
      </c>
      <c r="F2765" s="2">
        <v>1033.4955</v>
      </c>
      <c r="G2765">
        <v>3</v>
      </c>
      <c r="H2765" s="2">
        <f>Tabla_Items_Inactivos[[#This Row],[EXISTENCIA]]*Tabla_Items_Inactivos[[#This Row],[COSTO]]</f>
        <v>3100.4865</v>
      </c>
    </row>
    <row r="2766" spans="1:8">
      <c r="A2766" t="s">
        <v>3300</v>
      </c>
      <c r="B2766" t="s">
        <v>1825</v>
      </c>
      <c r="C2766" t="s">
        <v>1826</v>
      </c>
      <c r="D2766" t="s">
        <v>31</v>
      </c>
      <c r="E2766" t="s">
        <v>1931</v>
      </c>
      <c r="F2766" s="2">
        <v>100</v>
      </c>
      <c r="G2766">
        <v>1</v>
      </c>
      <c r="H2766" s="2">
        <f>Tabla_Items_Inactivos[[#This Row],[EXISTENCIA]]*Tabla_Items_Inactivos[[#This Row],[COSTO]]</f>
        <v>100</v>
      </c>
    </row>
    <row r="2767" spans="1:8">
      <c r="A2767" t="s">
        <v>3300</v>
      </c>
      <c r="B2767" t="s">
        <v>1827</v>
      </c>
      <c r="C2767" t="s">
        <v>1828</v>
      </c>
      <c r="D2767" t="s">
        <v>31</v>
      </c>
      <c r="E2767" t="s">
        <v>1931</v>
      </c>
      <c r="F2767" s="2">
        <v>60</v>
      </c>
      <c r="G2767">
        <v>2</v>
      </c>
      <c r="H2767" s="2">
        <f>Tabla_Items_Inactivos[[#This Row],[EXISTENCIA]]*Tabla_Items_Inactivos[[#This Row],[COSTO]]</f>
        <v>120</v>
      </c>
    </row>
    <row r="2768" spans="1:8">
      <c r="A2768" t="s">
        <v>3300</v>
      </c>
      <c r="B2768" t="s">
        <v>1829</v>
      </c>
      <c r="C2768" t="s">
        <v>1830</v>
      </c>
      <c r="D2768" t="s">
        <v>31</v>
      </c>
      <c r="E2768" t="s">
        <v>1931</v>
      </c>
      <c r="F2768" s="2">
        <v>50</v>
      </c>
      <c r="G2768">
        <v>1</v>
      </c>
      <c r="H2768" s="2">
        <f>Tabla_Items_Inactivos[[#This Row],[EXISTENCIA]]*Tabla_Items_Inactivos[[#This Row],[COSTO]]</f>
        <v>50</v>
      </c>
    </row>
    <row r="2769" spans="1:8">
      <c r="A2769" t="s">
        <v>3300</v>
      </c>
      <c r="B2769" t="s">
        <v>1831</v>
      </c>
      <c r="C2769" t="s">
        <v>1832</v>
      </c>
      <c r="D2769" t="s">
        <v>31</v>
      </c>
      <c r="E2769" t="s">
        <v>1931</v>
      </c>
      <c r="F2769" s="2">
        <v>100</v>
      </c>
      <c r="G2769">
        <v>1</v>
      </c>
      <c r="H2769" s="2">
        <f>Tabla_Items_Inactivos[[#This Row],[EXISTENCIA]]*Tabla_Items_Inactivos[[#This Row],[COSTO]]</f>
        <v>100</v>
      </c>
    </row>
    <row r="2770" spans="1:8">
      <c r="A2770" t="s">
        <v>3300</v>
      </c>
      <c r="B2770" t="s">
        <v>1833</v>
      </c>
      <c r="C2770" t="s">
        <v>1834</v>
      </c>
      <c r="D2770" t="s">
        <v>31</v>
      </c>
      <c r="E2770" t="s">
        <v>125</v>
      </c>
      <c r="F2770" s="2">
        <v>0</v>
      </c>
      <c r="G2770">
        <v>11</v>
      </c>
      <c r="H2770" s="2">
        <f>Tabla_Items_Inactivos[[#This Row],[EXISTENCIA]]*Tabla_Items_Inactivos[[#This Row],[COSTO]]</f>
        <v>0</v>
      </c>
    </row>
    <row r="2771" spans="1:8">
      <c r="A2771" t="s">
        <v>3301</v>
      </c>
      <c r="B2771" t="s">
        <v>1835</v>
      </c>
      <c r="C2771" t="s">
        <v>1836</v>
      </c>
      <c r="D2771" t="s">
        <v>2574</v>
      </c>
      <c r="E2771" t="s">
        <v>125</v>
      </c>
      <c r="F2771" s="2">
        <v>9.2104999999999997</v>
      </c>
      <c r="G2771">
        <v>3</v>
      </c>
      <c r="H2771" s="2">
        <f>Tabla_Items_Inactivos[[#This Row],[EXISTENCIA]]*Tabla_Items_Inactivos[[#This Row],[COSTO]]</f>
        <v>27.631499999999999</v>
      </c>
    </row>
    <row r="2772" spans="1:8">
      <c r="A2772" t="s">
        <v>3300</v>
      </c>
      <c r="B2772" t="s">
        <v>1835</v>
      </c>
      <c r="C2772" t="s">
        <v>1836</v>
      </c>
      <c r="D2772" t="s">
        <v>2574</v>
      </c>
      <c r="E2772" t="s">
        <v>125</v>
      </c>
      <c r="F2772" s="2">
        <v>9.2104999999999997</v>
      </c>
      <c r="G2772">
        <v>3</v>
      </c>
      <c r="H2772" s="2">
        <f>Tabla_Items_Inactivos[[#This Row],[EXISTENCIA]]*Tabla_Items_Inactivos[[#This Row],[COSTO]]</f>
        <v>27.631499999999999</v>
      </c>
    </row>
    <row r="2773" spans="1:8">
      <c r="A2773" t="s">
        <v>3301</v>
      </c>
      <c r="B2773" t="s">
        <v>3210</v>
      </c>
      <c r="C2773" t="s">
        <v>3211</v>
      </c>
      <c r="D2773" t="s">
        <v>228</v>
      </c>
      <c r="E2773" t="s">
        <v>86</v>
      </c>
      <c r="F2773" s="2">
        <v>30.518000000000001</v>
      </c>
      <c r="G2773">
        <v>16</v>
      </c>
      <c r="H2773" s="2">
        <f>Tabla_Items_Inactivos[[#This Row],[EXISTENCIA]]*Tabla_Items_Inactivos[[#This Row],[COSTO]]</f>
        <v>488.28800000000001</v>
      </c>
    </row>
    <row r="2774" spans="1:8">
      <c r="A2774" t="s">
        <v>3299</v>
      </c>
      <c r="B2774" t="s">
        <v>3210</v>
      </c>
      <c r="C2774" t="s">
        <v>3211</v>
      </c>
      <c r="D2774" t="s">
        <v>228</v>
      </c>
      <c r="E2774" t="s">
        <v>86</v>
      </c>
      <c r="F2774" s="2">
        <v>30.518000000000001</v>
      </c>
      <c r="G2774">
        <v>16</v>
      </c>
      <c r="H2774" s="2">
        <f>Tabla_Items_Inactivos[[#This Row],[EXISTENCIA]]*Tabla_Items_Inactivos[[#This Row],[COSTO]]</f>
        <v>488.28800000000001</v>
      </c>
    </row>
    <row r="2775" spans="1:8">
      <c r="A2775" t="s">
        <v>3300</v>
      </c>
      <c r="B2775" t="s">
        <v>3210</v>
      </c>
      <c r="C2775" t="s">
        <v>3211</v>
      </c>
      <c r="D2775" t="s">
        <v>228</v>
      </c>
      <c r="E2775" t="s">
        <v>86</v>
      </c>
      <c r="F2775" s="2">
        <v>30.518000000000001</v>
      </c>
      <c r="G2775">
        <v>16</v>
      </c>
      <c r="H2775" s="2">
        <f>Tabla_Items_Inactivos[[#This Row],[EXISTENCIA]]*Tabla_Items_Inactivos[[#This Row],[COSTO]]</f>
        <v>488.28800000000001</v>
      </c>
    </row>
    <row r="2776" spans="1:8">
      <c r="A2776" t="s">
        <v>3300</v>
      </c>
      <c r="B2776" t="s">
        <v>1837</v>
      </c>
      <c r="C2776" t="s">
        <v>1838</v>
      </c>
      <c r="D2776" t="s">
        <v>31</v>
      </c>
      <c r="E2776" t="s">
        <v>1931</v>
      </c>
      <c r="F2776" s="2">
        <v>1.4359999999999999</v>
      </c>
      <c r="G2776">
        <v>260</v>
      </c>
      <c r="H2776" s="2">
        <f>Tabla_Items_Inactivos[[#This Row],[EXISTENCIA]]*Tabla_Items_Inactivos[[#This Row],[COSTO]]</f>
        <v>373.36</v>
      </c>
    </row>
    <row r="2777" spans="1:8">
      <c r="A2777" t="s">
        <v>3300</v>
      </c>
      <c r="B2777" t="s">
        <v>1839</v>
      </c>
      <c r="C2777" t="s">
        <v>1840</v>
      </c>
      <c r="D2777" t="s">
        <v>31</v>
      </c>
      <c r="E2777" t="s">
        <v>1931</v>
      </c>
      <c r="F2777" s="2">
        <v>3.976</v>
      </c>
      <c r="G2777">
        <v>130</v>
      </c>
      <c r="H2777" s="2">
        <f>Tabla_Items_Inactivos[[#This Row],[EXISTENCIA]]*Tabla_Items_Inactivos[[#This Row],[COSTO]]</f>
        <v>516.88</v>
      </c>
    </row>
    <row r="2778" spans="1:8">
      <c r="A2778" t="s">
        <v>3300</v>
      </c>
      <c r="B2778" t="s">
        <v>1841</v>
      </c>
      <c r="C2778" t="s">
        <v>1842</v>
      </c>
      <c r="D2778" t="s">
        <v>31</v>
      </c>
      <c r="E2778" t="s">
        <v>1931</v>
      </c>
      <c r="F2778" s="2">
        <v>4.2859999999999996</v>
      </c>
      <c r="G2778">
        <v>30</v>
      </c>
      <c r="H2778" s="2">
        <f>Tabla_Items_Inactivos[[#This Row],[EXISTENCIA]]*Tabla_Items_Inactivos[[#This Row],[COSTO]]</f>
        <v>128.57999999999998</v>
      </c>
    </row>
    <row r="2779" spans="1:8">
      <c r="A2779" t="s">
        <v>3300</v>
      </c>
      <c r="B2779" t="s">
        <v>1843</v>
      </c>
      <c r="C2779" t="s">
        <v>1844</v>
      </c>
      <c r="D2779" t="s">
        <v>31</v>
      </c>
      <c r="E2779" t="s">
        <v>1931</v>
      </c>
      <c r="F2779" s="2">
        <v>0</v>
      </c>
      <c r="G2779">
        <v>3</v>
      </c>
      <c r="H2779" s="2">
        <f>Tabla_Items_Inactivos[[#This Row],[EXISTENCIA]]*Tabla_Items_Inactivos[[#This Row],[COSTO]]</f>
        <v>0</v>
      </c>
    </row>
    <row r="2780" spans="1:8">
      <c r="A2780" t="s">
        <v>3300</v>
      </c>
      <c r="B2780" t="s">
        <v>1845</v>
      </c>
      <c r="C2780" t="s">
        <v>1846</v>
      </c>
      <c r="D2780" t="s">
        <v>5279</v>
      </c>
      <c r="E2780" t="s">
        <v>125</v>
      </c>
      <c r="F2780" s="2">
        <v>40</v>
      </c>
      <c r="G2780">
        <v>7</v>
      </c>
      <c r="H2780" s="2">
        <f>Tabla_Items_Inactivos[[#This Row],[EXISTENCIA]]*Tabla_Items_Inactivos[[#This Row],[COSTO]]</f>
        <v>280</v>
      </c>
    </row>
    <row r="2781" spans="1:8">
      <c r="A2781" t="s">
        <v>3300</v>
      </c>
      <c r="B2781" t="s">
        <v>1848</v>
      </c>
      <c r="C2781" t="s">
        <v>1849</v>
      </c>
      <c r="D2781" t="s">
        <v>31</v>
      </c>
      <c r="E2781" t="s">
        <v>1931</v>
      </c>
      <c r="F2781" s="2">
        <v>50</v>
      </c>
      <c r="G2781">
        <v>1</v>
      </c>
      <c r="H2781" s="2">
        <f>Tabla_Items_Inactivos[[#This Row],[EXISTENCIA]]*Tabla_Items_Inactivos[[#This Row],[COSTO]]</f>
        <v>50</v>
      </c>
    </row>
    <row r="2782" spans="1:8">
      <c r="A2782" t="s">
        <v>3301</v>
      </c>
      <c r="B2782" t="s">
        <v>5280</v>
      </c>
      <c r="C2782" t="s">
        <v>5281</v>
      </c>
      <c r="D2782" t="s">
        <v>3411</v>
      </c>
      <c r="E2782" t="s">
        <v>125</v>
      </c>
      <c r="F2782" s="2">
        <v>25.263200000000001</v>
      </c>
      <c r="G2782">
        <v>2</v>
      </c>
      <c r="H2782" s="2">
        <f>Tabla_Items_Inactivos[[#This Row],[EXISTENCIA]]*Tabla_Items_Inactivos[[#This Row],[COSTO]]</f>
        <v>50.526400000000002</v>
      </c>
    </row>
    <row r="2783" spans="1:8">
      <c r="A2783" t="s">
        <v>3300</v>
      </c>
      <c r="B2783" t="s">
        <v>5280</v>
      </c>
      <c r="C2783" t="s">
        <v>5281</v>
      </c>
      <c r="D2783" t="s">
        <v>3411</v>
      </c>
      <c r="E2783" t="s">
        <v>125</v>
      </c>
      <c r="F2783" s="2">
        <v>25.263200000000001</v>
      </c>
      <c r="G2783">
        <v>2</v>
      </c>
      <c r="H2783" s="2">
        <f>Tabla_Items_Inactivos[[#This Row],[EXISTENCIA]]*Tabla_Items_Inactivos[[#This Row],[COSTO]]</f>
        <v>50.526400000000002</v>
      </c>
    </row>
    <row r="2784" spans="1:8">
      <c r="A2784" t="s">
        <v>3300</v>
      </c>
      <c r="B2784" t="s">
        <v>1850</v>
      </c>
      <c r="C2784" t="s">
        <v>1851</v>
      </c>
      <c r="D2784" t="s">
        <v>1852</v>
      </c>
      <c r="E2784" t="s">
        <v>125</v>
      </c>
      <c r="F2784" s="2">
        <v>453.54109999999997</v>
      </c>
      <c r="G2784">
        <v>1</v>
      </c>
      <c r="H2784" s="2">
        <f>Tabla_Items_Inactivos[[#This Row],[EXISTENCIA]]*Tabla_Items_Inactivos[[#This Row],[COSTO]]</f>
        <v>453.54109999999997</v>
      </c>
    </row>
    <row r="2785" spans="1:8">
      <c r="A2785" t="s">
        <v>3301</v>
      </c>
      <c r="B2785" t="s">
        <v>1850</v>
      </c>
      <c r="C2785" t="s">
        <v>1851</v>
      </c>
      <c r="D2785" t="s">
        <v>1852</v>
      </c>
      <c r="E2785" t="s">
        <v>125</v>
      </c>
      <c r="F2785" s="2">
        <v>453.54109999999997</v>
      </c>
      <c r="G2785">
        <v>1</v>
      </c>
      <c r="H2785" s="2">
        <f>Tabla_Items_Inactivos[[#This Row],[EXISTENCIA]]*Tabla_Items_Inactivos[[#This Row],[COSTO]]</f>
        <v>453.54109999999997</v>
      </c>
    </row>
    <row r="2786" spans="1:8">
      <c r="A2786" t="s">
        <v>3300</v>
      </c>
      <c r="B2786" t="s">
        <v>5282</v>
      </c>
      <c r="C2786" t="s">
        <v>5283</v>
      </c>
      <c r="D2786" t="s">
        <v>1972</v>
      </c>
      <c r="E2786" t="s">
        <v>125</v>
      </c>
      <c r="F2786" s="2">
        <v>14.523400000000001</v>
      </c>
      <c r="G2786">
        <v>9</v>
      </c>
      <c r="H2786" s="2">
        <f>Tabla_Items_Inactivos[[#This Row],[EXISTENCIA]]*Tabla_Items_Inactivos[[#This Row],[COSTO]]</f>
        <v>130.7106</v>
      </c>
    </row>
    <row r="2787" spans="1:8">
      <c r="A2787" t="s">
        <v>3301</v>
      </c>
      <c r="B2787" t="s">
        <v>5282</v>
      </c>
      <c r="C2787" t="s">
        <v>5283</v>
      </c>
      <c r="D2787" t="s">
        <v>1972</v>
      </c>
      <c r="E2787" t="s">
        <v>125</v>
      </c>
      <c r="F2787" s="2">
        <v>14.523400000000001</v>
      </c>
      <c r="G2787">
        <v>9</v>
      </c>
      <c r="H2787" s="2">
        <f>Tabla_Items_Inactivos[[#This Row],[EXISTENCIA]]*Tabla_Items_Inactivos[[#This Row],[COSTO]]</f>
        <v>130.7106</v>
      </c>
    </row>
    <row r="2788" spans="1:8">
      <c r="A2788" t="s">
        <v>3300</v>
      </c>
      <c r="B2788" t="s">
        <v>1853</v>
      </c>
      <c r="C2788" t="s">
        <v>1854</v>
      </c>
      <c r="D2788" t="s">
        <v>31</v>
      </c>
      <c r="E2788" t="s">
        <v>1931</v>
      </c>
      <c r="F2788" s="2">
        <v>95.004999999999995</v>
      </c>
      <c r="G2788">
        <v>2</v>
      </c>
      <c r="H2788" s="2">
        <f>Tabla_Items_Inactivos[[#This Row],[EXISTENCIA]]*Tabla_Items_Inactivos[[#This Row],[COSTO]]</f>
        <v>190.01</v>
      </c>
    </row>
    <row r="2789" spans="1:8">
      <c r="A2789" t="s">
        <v>3300</v>
      </c>
      <c r="B2789" t="s">
        <v>1855</v>
      </c>
      <c r="C2789" t="s">
        <v>1856</v>
      </c>
      <c r="D2789" t="s">
        <v>31</v>
      </c>
      <c r="E2789" t="s">
        <v>1931</v>
      </c>
      <c r="F2789" s="2">
        <v>93.984700000000004</v>
      </c>
      <c r="G2789">
        <v>2</v>
      </c>
      <c r="H2789" s="2">
        <f>Tabla_Items_Inactivos[[#This Row],[EXISTENCIA]]*Tabla_Items_Inactivos[[#This Row],[COSTO]]</f>
        <v>187.96940000000001</v>
      </c>
    </row>
    <row r="2790" spans="1:8">
      <c r="A2790" t="s">
        <v>3301</v>
      </c>
      <c r="B2790" t="s">
        <v>1855</v>
      </c>
      <c r="C2790" t="s">
        <v>1856</v>
      </c>
      <c r="D2790" t="s">
        <v>31</v>
      </c>
      <c r="E2790" t="s">
        <v>1931</v>
      </c>
      <c r="F2790" s="2">
        <v>93.984700000000004</v>
      </c>
      <c r="G2790">
        <v>2</v>
      </c>
      <c r="H2790" s="2">
        <f>Tabla_Items_Inactivos[[#This Row],[EXISTENCIA]]*Tabla_Items_Inactivos[[#This Row],[COSTO]]</f>
        <v>187.96940000000001</v>
      </c>
    </row>
    <row r="2791" spans="1:8">
      <c r="A2791" t="s">
        <v>3300</v>
      </c>
      <c r="B2791" t="s">
        <v>1857</v>
      </c>
      <c r="C2791" t="s">
        <v>1858</v>
      </c>
      <c r="D2791" t="s">
        <v>31</v>
      </c>
      <c r="E2791" t="s">
        <v>1931</v>
      </c>
      <c r="F2791" s="2">
        <v>362.03</v>
      </c>
      <c r="G2791">
        <v>1</v>
      </c>
      <c r="H2791" s="2">
        <f>Tabla_Items_Inactivos[[#This Row],[EXISTENCIA]]*Tabla_Items_Inactivos[[#This Row],[COSTO]]</f>
        <v>362.03</v>
      </c>
    </row>
    <row r="2792" spans="1:8">
      <c r="A2792" t="s">
        <v>3300</v>
      </c>
      <c r="B2792" t="s">
        <v>1859</v>
      </c>
      <c r="C2792" t="s">
        <v>1860</v>
      </c>
      <c r="D2792" t="s">
        <v>31</v>
      </c>
      <c r="E2792" t="s">
        <v>1931</v>
      </c>
      <c r="F2792" s="2">
        <v>5.5</v>
      </c>
      <c r="G2792">
        <v>1</v>
      </c>
      <c r="H2792" s="2">
        <f>Tabla_Items_Inactivos[[#This Row],[EXISTENCIA]]*Tabla_Items_Inactivos[[#This Row],[COSTO]]</f>
        <v>5.5</v>
      </c>
    </row>
    <row r="2793" spans="1:8">
      <c r="A2793" t="s">
        <v>3300</v>
      </c>
      <c r="B2793" t="s">
        <v>5284</v>
      </c>
      <c r="C2793" t="s">
        <v>5285</v>
      </c>
      <c r="D2793" t="s">
        <v>3411</v>
      </c>
      <c r="E2793" t="s">
        <v>125</v>
      </c>
      <c r="F2793" s="2">
        <v>38.232599999999998</v>
      </c>
      <c r="G2793">
        <v>2</v>
      </c>
      <c r="H2793" s="2">
        <f>Tabla_Items_Inactivos[[#This Row],[EXISTENCIA]]*Tabla_Items_Inactivos[[#This Row],[COSTO]]</f>
        <v>76.465199999999996</v>
      </c>
    </row>
    <row r="2794" spans="1:8">
      <c r="A2794" t="s">
        <v>3301</v>
      </c>
      <c r="B2794" t="s">
        <v>5284</v>
      </c>
      <c r="C2794" t="s">
        <v>5285</v>
      </c>
      <c r="D2794" t="s">
        <v>3411</v>
      </c>
      <c r="E2794" t="s">
        <v>125</v>
      </c>
      <c r="F2794" s="2">
        <v>38.232599999999998</v>
      </c>
      <c r="G2794">
        <v>2</v>
      </c>
      <c r="H2794" s="2">
        <f>Tabla_Items_Inactivos[[#This Row],[EXISTENCIA]]*Tabla_Items_Inactivos[[#This Row],[COSTO]]</f>
        <v>76.465199999999996</v>
      </c>
    </row>
    <row r="2795" spans="1:8">
      <c r="A2795" t="s">
        <v>3301</v>
      </c>
      <c r="B2795" t="s">
        <v>5286</v>
      </c>
      <c r="C2795" t="s">
        <v>5287</v>
      </c>
      <c r="D2795" t="s">
        <v>3411</v>
      </c>
      <c r="E2795" t="s">
        <v>125</v>
      </c>
      <c r="F2795" s="2">
        <v>19.6492</v>
      </c>
      <c r="G2795">
        <v>5</v>
      </c>
      <c r="H2795" s="2">
        <f>Tabla_Items_Inactivos[[#This Row],[EXISTENCIA]]*Tabla_Items_Inactivos[[#This Row],[COSTO]]</f>
        <v>98.246000000000009</v>
      </c>
    </row>
    <row r="2796" spans="1:8">
      <c r="A2796" t="s">
        <v>3300</v>
      </c>
      <c r="B2796" t="s">
        <v>5286</v>
      </c>
      <c r="C2796" t="s">
        <v>5287</v>
      </c>
      <c r="D2796" t="s">
        <v>3411</v>
      </c>
      <c r="E2796" t="s">
        <v>125</v>
      </c>
      <c r="F2796" s="2">
        <v>19.6492</v>
      </c>
      <c r="G2796">
        <v>5</v>
      </c>
      <c r="H2796" s="2">
        <f>Tabla_Items_Inactivos[[#This Row],[EXISTENCIA]]*Tabla_Items_Inactivos[[#This Row],[COSTO]]</f>
        <v>98.246000000000009</v>
      </c>
    </row>
    <row r="2797" spans="1:8">
      <c r="A2797" t="s">
        <v>3300</v>
      </c>
      <c r="B2797" t="s">
        <v>1861</v>
      </c>
      <c r="C2797" t="s">
        <v>1862</v>
      </c>
      <c r="D2797" t="s">
        <v>31</v>
      </c>
      <c r="E2797" t="s">
        <v>125</v>
      </c>
      <c r="F2797" s="2">
        <v>40</v>
      </c>
      <c r="G2797">
        <v>1</v>
      </c>
      <c r="H2797" s="2">
        <f>Tabla_Items_Inactivos[[#This Row],[EXISTENCIA]]*Tabla_Items_Inactivos[[#This Row],[COSTO]]</f>
        <v>40</v>
      </c>
    </row>
    <row r="2798" spans="1:8">
      <c r="A2798" t="s">
        <v>3300</v>
      </c>
      <c r="B2798" t="s">
        <v>3212</v>
      </c>
      <c r="C2798" t="s">
        <v>3213</v>
      </c>
      <c r="D2798" t="s">
        <v>208</v>
      </c>
      <c r="E2798" t="s">
        <v>125</v>
      </c>
      <c r="F2798" s="2">
        <v>14.6089</v>
      </c>
      <c r="G2798">
        <v>7</v>
      </c>
      <c r="H2798" s="2">
        <f>Tabla_Items_Inactivos[[#This Row],[EXISTENCIA]]*Tabla_Items_Inactivos[[#This Row],[COSTO]]</f>
        <v>102.2623</v>
      </c>
    </row>
    <row r="2799" spans="1:8">
      <c r="A2799" t="s">
        <v>3301</v>
      </c>
      <c r="B2799" t="s">
        <v>3212</v>
      </c>
      <c r="C2799" t="s">
        <v>3213</v>
      </c>
      <c r="D2799" t="s">
        <v>208</v>
      </c>
      <c r="E2799" t="s">
        <v>125</v>
      </c>
      <c r="F2799" s="2">
        <v>14.6089</v>
      </c>
      <c r="G2799">
        <v>7</v>
      </c>
      <c r="H2799" s="2">
        <f>Tabla_Items_Inactivos[[#This Row],[EXISTENCIA]]*Tabla_Items_Inactivos[[#This Row],[COSTO]]</f>
        <v>102.2623</v>
      </c>
    </row>
    <row r="2800" spans="1:8">
      <c r="A2800" t="s">
        <v>3300</v>
      </c>
      <c r="B2800" t="s">
        <v>1863</v>
      </c>
      <c r="C2800" t="s">
        <v>1864</v>
      </c>
      <c r="D2800" t="s">
        <v>1865</v>
      </c>
      <c r="E2800" t="s">
        <v>125</v>
      </c>
      <c r="F2800" s="2">
        <v>24.657900000000001</v>
      </c>
      <c r="G2800">
        <v>6</v>
      </c>
      <c r="H2800" s="2">
        <f>Tabla_Items_Inactivos[[#This Row],[EXISTENCIA]]*Tabla_Items_Inactivos[[#This Row],[COSTO]]</f>
        <v>147.94740000000002</v>
      </c>
    </row>
    <row r="2801" spans="1:8">
      <c r="A2801" t="s">
        <v>3301</v>
      </c>
      <c r="B2801" t="s">
        <v>1863</v>
      </c>
      <c r="C2801" t="s">
        <v>1864</v>
      </c>
      <c r="D2801" t="s">
        <v>1865</v>
      </c>
      <c r="E2801" t="s">
        <v>125</v>
      </c>
      <c r="F2801" s="2">
        <v>24.657900000000001</v>
      </c>
      <c r="G2801">
        <v>6</v>
      </c>
      <c r="H2801" s="2">
        <f>Tabla_Items_Inactivos[[#This Row],[EXISTENCIA]]*Tabla_Items_Inactivos[[#This Row],[COSTO]]</f>
        <v>147.94740000000002</v>
      </c>
    </row>
    <row r="2802" spans="1:8">
      <c r="A2802" t="s">
        <v>3300</v>
      </c>
      <c r="B2802" t="s">
        <v>1866</v>
      </c>
      <c r="C2802" t="s">
        <v>1867</v>
      </c>
      <c r="D2802" t="s">
        <v>3411</v>
      </c>
      <c r="E2802" t="s">
        <v>125</v>
      </c>
      <c r="F2802" s="2">
        <v>32.815800000000003</v>
      </c>
      <c r="G2802">
        <v>3</v>
      </c>
      <c r="H2802" s="2">
        <f>Tabla_Items_Inactivos[[#This Row],[EXISTENCIA]]*Tabla_Items_Inactivos[[#This Row],[COSTO]]</f>
        <v>98.447400000000016</v>
      </c>
    </row>
    <row r="2803" spans="1:8">
      <c r="A2803" t="s">
        <v>3301</v>
      </c>
      <c r="B2803" t="s">
        <v>1866</v>
      </c>
      <c r="C2803" t="s">
        <v>1867</v>
      </c>
      <c r="D2803" t="s">
        <v>3411</v>
      </c>
      <c r="E2803" t="s">
        <v>125</v>
      </c>
      <c r="F2803" s="2">
        <v>32.815800000000003</v>
      </c>
      <c r="G2803">
        <v>3</v>
      </c>
      <c r="H2803" s="2">
        <f>Tabla_Items_Inactivos[[#This Row],[EXISTENCIA]]*Tabla_Items_Inactivos[[#This Row],[COSTO]]</f>
        <v>98.447400000000016</v>
      </c>
    </row>
    <row r="2804" spans="1:8">
      <c r="A2804" t="s">
        <v>3301</v>
      </c>
      <c r="B2804" t="s">
        <v>1868</v>
      </c>
      <c r="C2804" t="s">
        <v>1869</v>
      </c>
      <c r="D2804" t="s">
        <v>3375</v>
      </c>
      <c r="E2804" t="s">
        <v>125</v>
      </c>
      <c r="F2804" s="2">
        <v>70.490499999999997</v>
      </c>
      <c r="G2804">
        <v>1</v>
      </c>
      <c r="H2804" s="2">
        <f>Tabla_Items_Inactivos[[#This Row],[EXISTENCIA]]*Tabla_Items_Inactivos[[#This Row],[COSTO]]</f>
        <v>70.490499999999997</v>
      </c>
    </row>
    <row r="2805" spans="1:8">
      <c r="A2805" t="s">
        <v>3300</v>
      </c>
      <c r="B2805" t="s">
        <v>1868</v>
      </c>
      <c r="C2805" t="s">
        <v>1869</v>
      </c>
      <c r="D2805" t="s">
        <v>3375</v>
      </c>
      <c r="E2805" t="s">
        <v>125</v>
      </c>
      <c r="F2805" s="2">
        <v>70.490499999999997</v>
      </c>
      <c r="G2805">
        <v>1</v>
      </c>
      <c r="H2805" s="2">
        <f>Tabla_Items_Inactivos[[#This Row],[EXISTENCIA]]*Tabla_Items_Inactivos[[#This Row],[COSTO]]</f>
        <v>70.490499999999997</v>
      </c>
    </row>
    <row r="2806" spans="1:8">
      <c r="A2806" t="s">
        <v>3300</v>
      </c>
      <c r="B2806" t="s">
        <v>5288</v>
      </c>
      <c r="C2806" t="s">
        <v>5289</v>
      </c>
      <c r="D2806" t="s">
        <v>3375</v>
      </c>
      <c r="E2806" t="s">
        <v>125</v>
      </c>
      <c r="F2806" s="2">
        <v>215.81049999999999</v>
      </c>
      <c r="G2806">
        <v>1</v>
      </c>
      <c r="H2806" s="2">
        <f>Tabla_Items_Inactivos[[#This Row],[EXISTENCIA]]*Tabla_Items_Inactivos[[#This Row],[COSTO]]</f>
        <v>215.81049999999999</v>
      </c>
    </row>
    <row r="2807" spans="1:8">
      <c r="A2807" t="s">
        <v>3301</v>
      </c>
      <c r="B2807" t="s">
        <v>5288</v>
      </c>
      <c r="C2807" t="s">
        <v>5289</v>
      </c>
      <c r="D2807" t="s">
        <v>3375</v>
      </c>
      <c r="E2807" t="s">
        <v>125</v>
      </c>
      <c r="F2807" s="2">
        <v>215.81049999999999</v>
      </c>
      <c r="G2807">
        <v>1</v>
      </c>
      <c r="H2807" s="2">
        <f>Tabla_Items_Inactivos[[#This Row],[EXISTENCIA]]*Tabla_Items_Inactivos[[#This Row],[COSTO]]</f>
        <v>215.81049999999999</v>
      </c>
    </row>
    <row r="2808" spans="1:8">
      <c r="A2808" t="s">
        <v>3300</v>
      </c>
      <c r="B2808" t="s">
        <v>5290</v>
      </c>
      <c r="C2808" t="s">
        <v>5291</v>
      </c>
      <c r="D2808" t="s">
        <v>31</v>
      </c>
      <c r="E2808" t="s">
        <v>1931</v>
      </c>
      <c r="F2808" s="2">
        <v>0.13400000000000001</v>
      </c>
      <c r="G2808">
        <v>3</v>
      </c>
      <c r="H2808" s="2">
        <f>Tabla_Items_Inactivos[[#This Row],[EXISTENCIA]]*Tabla_Items_Inactivos[[#This Row],[COSTO]]</f>
        <v>0.40200000000000002</v>
      </c>
    </row>
    <row r="2809" spans="1:8">
      <c r="A2809" t="s">
        <v>3300</v>
      </c>
      <c r="B2809" t="s">
        <v>1870</v>
      </c>
      <c r="C2809" t="s">
        <v>1871</v>
      </c>
      <c r="D2809" t="s">
        <v>31</v>
      </c>
      <c r="E2809" t="s">
        <v>1931</v>
      </c>
      <c r="F2809" s="2">
        <v>2</v>
      </c>
      <c r="G2809">
        <v>1</v>
      </c>
      <c r="H2809" s="2">
        <f>Tabla_Items_Inactivos[[#This Row],[EXISTENCIA]]*Tabla_Items_Inactivos[[#This Row],[COSTO]]</f>
        <v>2</v>
      </c>
    </row>
    <row r="2810" spans="1:8">
      <c r="A2810" t="s">
        <v>3300</v>
      </c>
      <c r="B2810" t="s">
        <v>1872</v>
      </c>
      <c r="C2810" t="s">
        <v>1873</v>
      </c>
      <c r="D2810" t="s">
        <v>3411</v>
      </c>
      <c r="E2810" t="s">
        <v>125</v>
      </c>
      <c r="F2810" s="2">
        <v>25.263200000000001</v>
      </c>
      <c r="G2810">
        <v>9</v>
      </c>
      <c r="H2810" s="2">
        <f>Tabla_Items_Inactivos[[#This Row],[EXISTENCIA]]*Tabla_Items_Inactivos[[#This Row],[COSTO]]</f>
        <v>227.36880000000002</v>
      </c>
    </row>
    <row r="2811" spans="1:8">
      <c r="A2811" t="s">
        <v>3301</v>
      </c>
      <c r="B2811" t="s">
        <v>1872</v>
      </c>
      <c r="C2811" t="s">
        <v>1873</v>
      </c>
      <c r="D2811" t="s">
        <v>3411</v>
      </c>
      <c r="E2811" t="s">
        <v>125</v>
      </c>
      <c r="F2811" s="2">
        <v>25.263200000000001</v>
      </c>
      <c r="G2811">
        <v>9</v>
      </c>
      <c r="H2811" s="2">
        <f>Tabla_Items_Inactivos[[#This Row],[EXISTENCIA]]*Tabla_Items_Inactivos[[#This Row],[COSTO]]</f>
        <v>227.36880000000002</v>
      </c>
    </row>
    <row r="2812" spans="1:8">
      <c r="A2812" t="s">
        <v>3301</v>
      </c>
      <c r="B2812" t="s">
        <v>1875</v>
      </c>
      <c r="C2812" t="s">
        <v>1876</v>
      </c>
      <c r="D2812" t="s">
        <v>3411</v>
      </c>
      <c r="E2812" t="s">
        <v>125</v>
      </c>
      <c r="F2812" s="2">
        <v>17.777799999999999</v>
      </c>
      <c r="G2812">
        <v>10</v>
      </c>
      <c r="H2812" s="2">
        <f>Tabla_Items_Inactivos[[#This Row],[EXISTENCIA]]*Tabla_Items_Inactivos[[#This Row],[COSTO]]</f>
        <v>177.77799999999999</v>
      </c>
    </row>
    <row r="2813" spans="1:8">
      <c r="A2813" t="s">
        <v>3299</v>
      </c>
      <c r="B2813" t="s">
        <v>1875</v>
      </c>
      <c r="C2813" t="s">
        <v>1876</v>
      </c>
      <c r="D2813" t="s">
        <v>3411</v>
      </c>
      <c r="E2813" t="s">
        <v>125</v>
      </c>
      <c r="F2813" s="2">
        <v>17.777799999999999</v>
      </c>
      <c r="G2813">
        <v>10</v>
      </c>
      <c r="H2813" s="2">
        <f>Tabla_Items_Inactivos[[#This Row],[EXISTENCIA]]*Tabla_Items_Inactivos[[#This Row],[COSTO]]</f>
        <v>177.77799999999999</v>
      </c>
    </row>
    <row r="2814" spans="1:8">
      <c r="A2814" t="s">
        <v>3300</v>
      </c>
      <c r="B2814" t="s">
        <v>1875</v>
      </c>
      <c r="C2814" t="s">
        <v>1876</v>
      </c>
      <c r="D2814" t="s">
        <v>3411</v>
      </c>
      <c r="E2814" t="s">
        <v>125</v>
      </c>
      <c r="F2814" s="2">
        <v>17.777799999999999</v>
      </c>
      <c r="G2814">
        <v>10</v>
      </c>
      <c r="H2814" s="2">
        <f>Tabla_Items_Inactivos[[#This Row],[EXISTENCIA]]*Tabla_Items_Inactivos[[#This Row],[COSTO]]</f>
        <v>177.77799999999999</v>
      </c>
    </row>
    <row r="2815" spans="1:8">
      <c r="A2815" t="s">
        <v>3300</v>
      </c>
      <c r="B2815" t="s">
        <v>1877</v>
      </c>
      <c r="C2815" t="s">
        <v>1878</v>
      </c>
      <c r="D2815" t="s">
        <v>3411</v>
      </c>
      <c r="E2815" t="s">
        <v>125</v>
      </c>
      <c r="F2815" s="2">
        <v>19.017499999999998</v>
      </c>
      <c r="G2815">
        <v>10</v>
      </c>
      <c r="H2815" s="2">
        <f>Tabla_Items_Inactivos[[#This Row],[EXISTENCIA]]*Tabla_Items_Inactivos[[#This Row],[COSTO]]</f>
        <v>190.17499999999998</v>
      </c>
    </row>
    <row r="2816" spans="1:8">
      <c r="A2816" t="s">
        <v>3301</v>
      </c>
      <c r="B2816" t="s">
        <v>1877</v>
      </c>
      <c r="C2816" t="s">
        <v>1878</v>
      </c>
      <c r="D2816" t="s">
        <v>3411</v>
      </c>
      <c r="E2816" t="s">
        <v>125</v>
      </c>
      <c r="F2816" s="2">
        <v>19.017499999999998</v>
      </c>
      <c r="G2816">
        <v>10</v>
      </c>
      <c r="H2816" s="2">
        <f>Tabla_Items_Inactivos[[#This Row],[EXISTENCIA]]*Tabla_Items_Inactivos[[#This Row],[COSTO]]</f>
        <v>190.17499999999998</v>
      </c>
    </row>
    <row r="2817" spans="1:8">
      <c r="A2817" t="s">
        <v>3300</v>
      </c>
      <c r="B2817" t="s">
        <v>1879</v>
      </c>
      <c r="C2817" t="s">
        <v>1880</v>
      </c>
      <c r="D2817" t="s">
        <v>31</v>
      </c>
      <c r="E2817" t="s">
        <v>1931</v>
      </c>
      <c r="F2817" s="2">
        <v>0.89300000000000002</v>
      </c>
      <c r="G2817">
        <v>6</v>
      </c>
      <c r="H2817" s="2">
        <f>Tabla_Items_Inactivos[[#This Row],[EXISTENCIA]]*Tabla_Items_Inactivos[[#This Row],[COSTO]]</f>
        <v>5.3580000000000005</v>
      </c>
    </row>
    <row r="2818" spans="1:8">
      <c r="A2818" t="s">
        <v>3301</v>
      </c>
      <c r="B2818" t="s">
        <v>5292</v>
      </c>
      <c r="C2818" t="s">
        <v>5293</v>
      </c>
      <c r="D2818" t="s">
        <v>85</v>
      </c>
      <c r="E2818" t="s">
        <v>86</v>
      </c>
      <c r="F2818" s="2">
        <v>1.4516</v>
      </c>
      <c r="G2818">
        <v>32</v>
      </c>
      <c r="H2818" s="2">
        <f>Tabla_Items_Inactivos[[#This Row],[EXISTENCIA]]*Tabla_Items_Inactivos[[#This Row],[COSTO]]</f>
        <v>46.4512</v>
      </c>
    </row>
    <row r="2819" spans="1:8">
      <c r="A2819" t="s">
        <v>3300</v>
      </c>
      <c r="B2819" t="s">
        <v>5292</v>
      </c>
      <c r="C2819" t="s">
        <v>5293</v>
      </c>
      <c r="D2819" t="s">
        <v>85</v>
      </c>
      <c r="E2819" t="s">
        <v>86</v>
      </c>
      <c r="F2819" s="2">
        <v>1.4516</v>
      </c>
      <c r="G2819">
        <v>32</v>
      </c>
      <c r="H2819" s="2">
        <f>Tabla_Items_Inactivos[[#This Row],[EXISTENCIA]]*Tabla_Items_Inactivos[[#This Row],[COSTO]]</f>
        <v>46.4512</v>
      </c>
    </row>
    <row r="2820" spans="1:8">
      <c r="A2820" t="s">
        <v>3300</v>
      </c>
      <c r="B2820" t="s">
        <v>1881</v>
      </c>
      <c r="C2820" t="s">
        <v>1882</v>
      </c>
      <c r="D2820" t="s">
        <v>219</v>
      </c>
      <c r="E2820" t="s">
        <v>86</v>
      </c>
      <c r="F2820" s="2">
        <v>1.43</v>
      </c>
      <c r="G2820">
        <v>15</v>
      </c>
      <c r="H2820" s="2">
        <f>Tabla_Items_Inactivos[[#This Row],[EXISTENCIA]]*Tabla_Items_Inactivos[[#This Row],[COSTO]]</f>
        <v>21.45</v>
      </c>
    </row>
    <row r="2821" spans="1:8">
      <c r="A2821" t="s">
        <v>3300</v>
      </c>
      <c r="B2821" t="s">
        <v>1883</v>
      </c>
      <c r="C2821" t="s">
        <v>1884</v>
      </c>
      <c r="D2821" t="s">
        <v>31</v>
      </c>
      <c r="E2821" t="s">
        <v>1931</v>
      </c>
      <c r="F2821" s="2">
        <v>132.52000000000001</v>
      </c>
      <c r="G2821">
        <v>1</v>
      </c>
      <c r="H2821" s="2">
        <f>Tabla_Items_Inactivos[[#This Row],[EXISTENCIA]]*Tabla_Items_Inactivos[[#This Row],[COSTO]]</f>
        <v>132.52000000000001</v>
      </c>
    </row>
    <row r="2822" spans="1:8">
      <c r="A2822" t="s">
        <v>3300</v>
      </c>
      <c r="B2822" t="s">
        <v>1885</v>
      </c>
      <c r="C2822" t="s">
        <v>1886</v>
      </c>
      <c r="D2822" t="s">
        <v>31</v>
      </c>
      <c r="E2822" t="s">
        <v>1931</v>
      </c>
      <c r="F2822" s="2">
        <v>6.48</v>
      </c>
      <c r="G2822">
        <v>1</v>
      </c>
      <c r="H2822" s="2">
        <f>Tabla_Items_Inactivos[[#This Row],[EXISTENCIA]]*Tabla_Items_Inactivos[[#This Row],[COSTO]]</f>
        <v>6.48</v>
      </c>
    </row>
    <row r="2823" spans="1:8">
      <c r="A2823" t="s">
        <v>3300</v>
      </c>
      <c r="B2823" t="s">
        <v>5294</v>
      </c>
      <c r="C2823" t="s">
        <v>5295</v>
      </c>
      <c r="D2823" t="s">
        <v>3411</v>
      </c>
      <c r="E2823" t="s">
        <v>125</v>
      </c>
      <c r="F2823" s="2">
        <v>22.222200000000001</v>
      </c>
      <c r="G2823">
        <v>2</v>
      </c>
      <c r="H2823" s="2">
        <f>Tabla_Items_Inactivos[[#This Row],[EXISTENCIA]]*Tabla_Items_Inactivos[[#This Row],[COSTO]]</f>
        <v>44.444400000000002</v>
      </c>
    </row>
    <row r="2824" spans="1:8">
      <c r="A2824" t="s">
        <v>3300</v>
      </c>
      <c r="B2824" t="s">
        <v>1887</v>
      </c>
      <c r="C2824" t="s">
        <v>1888</v>
      </c>
      <c r="D2824" t="s">
        <v>31</v>
      </c>
      <c r="E2824" t="s">
        <v>1931</v>
      </c>
      <c r="F2824" s="2">
        <v>16.829999999999998</v>
      </c>
      <c r="G2824">
        <v>1</v>
      </c>
      <c r="H2824" s="2">
        <f>Tabla_Items_Inactivos[[#This Row],[EXISTENCIA]]*Tabla_Items_Inactivos[[#This Row],[COSTO]]</f>
        <v>16.829999999999998</v>
      </c>
    </row>
    <row r="2825" spans="1:8">
      <c r="A2825" t="s">
        <v>3300</v>
      </c>
      <c r="B2825" t="s">
        <v>1889</v>
      </c>
      <c r="C2825" t="s">
        <v>1890</v>
      </c>
      <c r="D2825" t="s">
        <v>31</v>
      </c>
      <c r="E2825" t="s">
        <v>1931</v>
      </c>
      <c r="F2825" s="2">
        <v>76.150000000000006</v>
      </c>
      <c r="G2825">
        <v>1</v>
      </c>
      <c r="H2825" s="2">
        <f>Tabla_Items_Inactivos[[#This Row],[EXISTENCIA]]*Tabla_Items_Inactivos[[#This Row],[COSTO]]</f>
        <v>76.150000000000006</v>
      </c>
    </row>
    <row r="2826" spans="1:8">
      <c r="A2826" t="s">
        <v>3300</v>
      </c>
      <c r="B2826" t="s">
        <v>1891</v>
      </c>
      <c r="C2826" t="s">
        <v>1892</v>
      </c>
      <c r="D2826" t="s">
        <v>228</v>
      </c>
      <c r="E2826" t="s">
        <v>86</v>
      </c>
      <c r="F2826" s="2">
        <v>5.53</v>
      </c>
      <c r="G2826">
        <v>1</v>
      </c>
      <c r="H2826" s="2">
        <f>Tabla_Items_Inactivos[[#This Row],[EXISTENCIA]]*Tabla_Items_Inactivos[[#This Row],[COSTO]]</f>
        <v>5.53</v>
      </c>
    </row>
    <row r="2827" spans="1:8">
      <c r="A2827" t="s">
        <v>3301</v>
      </c>
      <c r="B2827" t="s">
        <v>1893</v>
      </c>
      <c r="C2827" t="s">
        <v>1894</v>
      </c>
      <c r="D2827" t="s">
        <v>580</v>
      </c>
      <c r="E2827" t="s">
        <v>581</v>
      </c>
      <c r="F2827" s="2">
        <v>4.1188000000000002</v>
      </c>
      <c r="G2827">
        <v>205</v>
      </c>
      <c r="H2827" s="2">
        <f>Tabla_Items_Inactivos[[#This Row],[EXISTENCIA]]*Tabla_Items_Inactivos[[#This Row],[COSTO]]</f>
        <v>844.35400000000004</v>
      </c>
    </row>
    <row r="2828" spans="1:8">
      <c r="A2828" t="s">
        <v>3299</v>
      </c>
      <c r="B2828" t="s">
        <v>1893</v>
      </c>
      <c r="C2828" t="s">
        <v>1894</v>
      </c>
      <c r="D2828" t="s">
        <v>580</v>
      </c>
      <c r="E2828" t="s">
        <v>581</v>
      </c>
      <c r="F2828" s="2">
        <v>4.1188000000000002</v>
      </c>
      <c r="G2828">
        <v>205</v>
      </c>
      <c r="H2828" s="2">
        <f>Tabla_Items_Inactivos[[#This Row],[EXISTENCIA]]*Tabla_Items_Inactivos[[#This Row],[COSTO]]</f>
        <v>844.35400000000004</v>
      </c>
    </row>
    <row r="2829" spans="1:8">
      <c r="A2829" t="s">
        <v>3301</v>
      </c>
      <c r="B2829" t="s">
        <v>3214</v>
      </c>
      <c r="C2829" t="s">
        <v>3215</v>
      </c>
      <c r="D2829" t="s">
        <v>228</v>
      </c>
      <c r="E2829" t="s">
        <v>86</v>
      </c>
      <c r="F2829" s="2">
        <v>3.0640999999999998</v>
      </c>
      <c r="G2829">
        <v>109</v>
      </c>
      <c r="H2829" s="2">
        <f>Tabla_Items_Inactivos[[#This Row],[EXISTENCIA]]*Tabla_Items_Inactivos[[#This Row],[COSTO]]</f>
        <v>333.98689999999999</v>
      </c>
    </row>
    <row r="2830" spans="1:8">
      <c r="A2830" t="s">
        <v>3300</v>
      </c>
      <c r="B2830" t="s">
        <v>3214</v>
      </c>
      <c r="C2830" t="s">
        <v>3215</v>
      </c>
      <c r="D2830" t="s">
        <v>228</v>
      </c>
      <c r="E2830" t="s">
        <v>86</v>
      </c>
      <c r="F2830" s="2">
        <v>3.0640999999999998</v>
      </c>
      <c r="G2830">
        <v>109</v>
      </c>
      <c r="H2830" s="2">
        <f>Tabla_Items_Inactivos[[#This Row],[EXISTENCIA]]*Tabla_Items_Inactivos[[#This Row],[COSTO]]</f>
        <v>333.98689999999999</v>
      </c>
    </row>
    <row r="2831" spans="1:8">
      <c r="A2831" t="s">
        <v>3301</v>
      </c>
      <c r="B2831" t="s">
        <v>3216</v>
      </c>
      <c r="C2831" t="s">
        <v>3217</v>
      </c>
      <c r="D2831" t="s">
        <v>3375</v>
      </c>
      <c r="E2831" t="s">
        <v>125</v>
      </c>
      <c r="F2831" s="2">
        <v>675.47320000000002</v>
      </c>
      <c r="G2831">
        <v>2</v>
      </c>
      <c r="H2831" s="2">
        <f>Tabla_Items_Inactivos[[#This Row],[EXISTENCIA]]*Tabla_Items_Inactivos[[#This Row],[COSTO]]</f>
        <v>1350.9464</v>
      </c>
    </row>
    <row r="2832" spans="1:8">
      <c r="A2832" t="s">
        <v>3300</v>
      </c>
      <c r="B2832" t="s">
        <v>3216</v>
      </c>
      <c r="C2832" t="s">
        <v>3217</v>
      </c>
      <c r="D2832" t="s">
        <v>3375</v>
      </c>
      <c r="E2832" t="s">
        <v>125</v>
      </c>
      <c r="F2832" s="2">
        <v>675.47320000000002</v>
      </c>
      <c r="G2832">
        <v>2</v>
      </c>
      <c r="H2832" s="2">
        <f>Tabla_Items_Inactivos[[#This Row],[EXISTENCIA]]*Tabla_Items_Inactivos[[#This Row],[COSTO]]</f>
        <v>1350.9464</v>
      </c>
    </row>
    <row r="2833" spans="1:8">
      <c r="A2833" t="s">
        <v>3300</v>
      </c>
      <c r="B2833" t="s">
        <v>1895</v>
      </c>
      <c r="C2833" t="s">
        <v>1896</v>
      </c>
      <c r="D2833" t="s">
        <v>124</v>
      </c>
      <c r="E2833" t="s">
        <v>125</v>
      </c>
      <c r="F2833" s="2">
        <v>16.688800000000001</v>
      </c>
      <c r="G2833">
        <v>1</v>
      </c>
      <c r="H2833" s="2">
        <f>Tabla_Items_Inactivos[[#This Row],[EXISTENCIA]]*Tabla_Items_Inactivos[[#This Row],[COSTO]]</f>
        <v>16.688800000000001</v>
      </c>
    </row>
    <row r="2834" spans="1:8">
      <c r="A2834" t="s">
        <v>3301</v>
      </c>
      <c r="B2834" t="s">
        <v>1895</v>
      </c>
      <c r="C2834" t="s">
        <v>1896</v>
      </c>
      <c r="D2834" t="s">
        <v>124</v>
      </c>
      <c r="E2834" t="s">
        <v>125</v>
      </c>
      <c r="F2834" s="2">
        <v>16.688800000000001</v>
      </c>
      <c r="G2834">
        <v>1</v>
      </c>
      <c r="H2834" s="2">
        <f>Tabla_Items_Inactivos[[#This Row],[EXISTENCIA]]*Tabla_Items_Inactivos[[#This Row],[COSTO]]</f>
        <v>16.688800000000001</v>
      </c>
    </row>
    <row r="2835" spans="1:8">
      <c r="A2835" t="s">
        <v>3300</v>
      </c>
      <c r="B2835" t="s">
        <v>1897</v>
      </c>
      <c r="C2835" t="s">
        <v>1898</v>
      </c>
      <c r="D2835" t="s">
        <v>1821</v>
      </c>
      <c r="E2835" t="s">
        <v>125</v>
      </c>
      <c r="F2835" s="2">
        <v>20.2667</v>
      </c>
      <c r="G2835">
        <v>1</v>
      </c>
      <c r="H2835" s="2">
        <f>Tabla_Items_Inactivos[[#This Row],[EXISTENCIA]]*Tabla_Items_Inactivos[[#This Row],[COSTO]]</f>
        <v>20.2667</v>
      </c>
    </row>
    <row r="2836" spans="1:8">
      <c r="A2836" t="s">
        <v>3301</v>
      </c>
      <c r="B2836" t="s">
        <v>1897</v>
      </c>
      <c r="C2836" t="s">
        <v>1898</v>
      </c>
      <c r="D2836" t="s">
        <v>1821</v>
      </c>
      <c r="E2836" t="s">
        <v>125</v>
      </c>
      <c r="F2836" s="2">
        <v>20.2667</v>
      </c>
      <c r="G2836">
        <v>1</v>
      </c>
      <c r="H2836" s="2">
        <f>Tabla_Items_Inactivos[[#This Row],[EXISTENCIA]]*Tabla_Items_Inactivos[[#This Row],[COSTO]]</f>
        <v>20.2667</v>
      </c>
    </row>
    <row r="2837" spans="1:8">
      <c r="A2837" t="s">
        <v>3300</v>
      </c>
      <c r="B2837" t="s">
        <v>1899</v>
      </c>
      <c r="C2837" t="s">
        <v>1900</v>
      </c>
      <c r="D2837" t="s">
        <v>1821</v>
      </c>
      <c r="E2837" t="s">
        <v>125</v>
      </c>
      <c r="F2837" s="2">
        <v>13.303599999999999</v>
      </c>
      <c r="G2837">
        <v>1</v>
      </c>
      <c r="H2837" s="2">
        <f>Tabla_Items_Inactivos[[#This Row],[EXISTENCIA]]*Tabla_Items_Inactivos[[#This Row],[COSTO]]</f>
        <v>13.303599999999999</v>
      </c>
    </row>
    <row r="2838" spans="1:8">
      <c r="A2838" t="s">
        <v>3301</v>
      </c>
      <c r="B2838" t="s">
        <v>1899</v>
      </c>
      <c r="C2838" t="s">
        <v>1900</v>
      </c>
      <c r="D2838" t="s">
        <v>1821</v>
      </c>
      <c r="E2838" t="s">
        <v>125</v>
      </c>
      <c r="F2838" s="2">
        <v>13.303599999999999</v>
      </c>
      <c r="G2838">
        <v>1</v>
      </c>
      <c r="H2838" s="2">
        <f>Tabla_Items_Inactivos[[#This Row],[EXISTENCIA]]*Tabla_Items_Inactivos[[#This Row],[COSTO]]</f>
        <v>13.303599999999999</v>
      </c>
    </row>
    <row r="2839" spans="1:8">
      <c r="A2839" t="s">
        <v>3300</v>
      </c>
      <c r="B2839" t="s">
        <v>1901</v>
      </c>
      <c r="C2839" t="s">
        <v>1902</v>
      </c>
      <c r="D2839" t="s">
        <v>219</v>
      </c>
      <c r="E2839" t="s">
        <v>86</v>
      </c>
      <c r="F2839" s="2">
        <v>0.33400000000000002</v>
      </c>
      <c r="G2839">
        <v>4006</v>
      </c>
      <c r="H2839" s="2">
        <f>Tabla_Items_Inactivos[[#This Row],[EXISTENCIA]]*Tabla_Items_Inactivos[[#This Row],[COSTO]]</f>
        <v>1338.0040000000001</v>
      </c>
    </row>
    <row r="2840" spans="1:8">
      <c r="A2840" t="s">
        <v>3301</v>
      </c>
      <c r="B2840" t="s">
        <v>1901</v>
      </c>
      <c r="C2840" t="s">
        <v>1902</v>
      </c>
      <c r="D2840" t="s">
        <v>219</v>
      </c>
      <c r="E2840" t="s">
        <v>86</v>
      </c>
      <c r="F2840" s="2">
        <v>0.33400000000000002</v>
      </c>
      <c r="G2840">
        <v>4006</v>
      </c>
      <c r="H2840" s="2">
        <f>Tabla_Items_Inactivos[[#This Row],[EXISTENCIA]]*Tabla_Items_Inactivos[[#This Row],[COSTO]]</f>
        <v>1338.0040000000001</v>
      </c>
    </row>
    <row r="2841" spans="1:8">
      <c r="A2841" t="s">
        <v>3300</v>
      </c>
      <c r="B2841" t="s">
        <v>1903</v>
      </c>
      <c r="C2841" t="s">
        <v>1904</v>
      </c>
      <c r="D2841" t="s">
        <v>31</v>
      </c>
      <c r="E2841" t="s">
        <v>1931</v>
      </c>
      <c r="F2841" s="2">
        <v>45.67</v>
      </c>
      <c r="G2841">
        <v>1</v>
      </c>
      <c r="H2841" s="2">
        <f>Tabla_Items_Inactivos[[#This Row],[EXISTENCIA]]*Tabla_Items_Inactivos[[#This Row],[COSTO]]</f>
        <v>45.67</v>
      </c>
    </row>
    <row r="2842" spans="1:8">
      <c r="A2842" t="s">
        <v>3300</v>
      </c>
      <c r="B2842" t="s">
        <v>1905</v>
      </c>
      <c r="C2842" t="s">
        <v>1906</v>
      </c>
      <c r="D2842" t="s">
        <v>31</v>
      </c>
      <c r="E2842" t="s">
        <v>1931</v>
      </c>
      <c r="F2842" s="2">
        <v>19.63</v>
      </c>
      <c r="G2842">
        <v>1</v>
      </c>
      <c r="H2842" s="2">
        <f>Tabla_Items_Inactivos[[#This Row],[EXISTENCIA]]*Tabla_Items_Inactivos[[#This Row],[COSTO]]</f>
        <v>19.63</v>
      </c>
    </row>
    <row r="2843" spans="1:8">
      <c r="A2843" t="s">
        <v>3300</v>
      </c>
      <c r="B2843" t="s">
        <v>1907</v>
      </c>
      <c r="C2843" t="s">
        <v>1908</v>
      </c>
      <c r="D2843" t="s">
        <v>31</v>
      </c>
      <c r="E2843" t="s">
        <v>1931</v>
      </c>
      <c r="F2843" s="2">
        <v>147.773</v>
      </c>
      <c r="G2843">
        <v>1</v>
      </c>
      <c r="H2843" s="2">
        <f>Tabla_Items_Inactivos[[#This Row],[EXISTENCIA]]*Tabla_Items_Inactivos[[#This Row],[COSTO]]</f>
        <v>147.773</v>
      </c>
    </row>
    <row r="2844" spans="1:8">
      <c r="A2844" t="s">
        <v>3300</v>
      </c>
      <c r="B2844" t="s">
        <v>1909</v>
      </c>
      <c r="C2844" t="s">
        <v>1910</v>
      </c>
      <c r="D2844" t="s">
        <v>31</v>
      </c>
      <c r="E2844" t="s">
        <v>1931</v>
      </c>
      <c r="F2844" s="2">
        <v>19.63</v>
      </c>
      <c r="G2844">
        <v>1</v>
      </c>
      <c r="H2844" s="2">
        <f>Tabla_Items_Inactivos[[#This Row],[EXISTENCIA]]*Tabla_Items_Inactivos[[#This Row],[COSTO]]</f>
        <v>19.63</v>
      </c>
    </row>
    <row r="2845" spans="1:8">
      <c r="A2845" t="s">
        <v>3300</v>
      </c>
      <c r="B2845" t="s">
        <v>1911</v>
      </c>
      <c r="C2845" t="s">
        <v>1912</v>
      </c>
      <c r="D2845" t="s">
        <v>31</v>
      </c>
      <c r="E2845" t="s">
        <v>1931</v>
      </c>
      <c r="F2845" s="2">
        <v>40</v>
      </c>
      <c r="G2845">
        <v>1</v>
      </c>
      <c r="H2845" s="2">
        <f>Tabla_Items_Inactivos[[#This Row],[EXISTENCIA]]*Tabla_Items_Inactivos[[#This Row],[COSTO]]</f>
        <v>40</v>
      </c>
    </row>
    <row r="2846" spans="1:8">
      <c r="A2846" t="s">
        <v>3300</v>
      </c>
      <c r="B2846" t="s">
        <v>5296</v>
      </c>
      <c r="C2846" t="s">
        <v>5297</v>
      </c>
      <c r="D2846" t="s">
        <v>228</v>
      </c>
      <c r="E2846" t="s">
        <v>86</v>
      </c>
      <c r="F2846" s="2">
        <v>6.0926</v>
      </c>
      <c r="G2846">
        <v>2</v>
      </c>
      <c r="H2846" s="2">
        <f>Tabla_Items_Inactivos[[#This Row],[EXISTENCIA]]*Tabla_Items_Inactivos[[#This Row],[COSTO]]</f>
        <v>12.1852</v>
      </c>
    </row>
    <row r="2847" spans="1:8">
      <c r="A2847" t="s">
        <v>3301</v>
      </c>
      <c r="B2847" t="s">
        <v>5296</v>
      </c>
      <c r="C2847" t="s">
        <v>5297</v>
      </c>
      <c r="D2847" t="s">
        <v>228</v>
      </c>
      <c r="E2847" t="s">
        <v>86</v>
      </c>
      <c r="F2847" s="2">
        <v>6.0926</v>
      </c>
      <c r="G2847">
        <v>2</v>
      </c>
      <c r="H2847" s="2">
        <f>Tabla_Items_Inactivos[[#This Row],[EXISTENCIA]]*Tabla_Items_Inactivos[[#This Row],[COSTO]]</f>
        <v>12.1852</v>
      </c>
    </row>
    <row r="2848" spans="1:8">
      <c r="A2848" t="s">
        <v>3300</v>
      </c>
      <c r="B2848" t="s">
        <v>1913</v>
      </c>
      <c r="C2848" t="s">
        <v>1914</v>
      </c>
      <c r="D2848" t="s">
        <v>31</v>
      </c>
      <c r="E2848" t="s">
        <v>1931</v>
      </c>
      <c r="F2848" s="2">
        <v>39.462000000000003</v>
      </c>
      <c r="G2848">
        <v>2</v>
      </c>
      <c r="H2848" s="2">
        <f>Tabla_Items_Inactivos[[#This Row],[EXISTENCIA]]*Tabla_Items_Inactivos[[#This Row],[COSTO]]</f>
        <v>78.924000000000007</v>
      </c>
    </row>
    <row r="2849" spans="1:8">
      <c r="A2849" t="s">
        <v>3299</v>
      </c>
      <c r="B2849" t="s">
        <v>1915</v>
      </c>
      <c r="C2849" t="s">
        <v>1916</v>
      </c>
      <c r="D2849" t="s">
        <v>3411</v>
      </c>
      <c r="E2849" t="s">
        <v>125</v>
      </c>
      <c r="F2849" s="2">
        <v>16.507999999999999</v>
      </c>
      <c r="G2849">
        <v>34</v>
      </c>
      <c r="H2849" s="2">
        <f>Tabla_Items_Inactivos[[#This Row],[EXISTENCIA]]*Tabla_Items_Inactivos[[#This Row],[COSTO]]</f>
        <v>561.27199999999993</v>
      </c>
    </row>
    <row r="2850" spans="1:8">
      <c r="A2850" t="s">
        <v>3300</v>
      </c>
      <c r="B2850" t="s">
        <v>1915</v>
      </c>
      <c r="C2850" t="s">
        <v>1916</v>
      </c>
      <c r="D2850" t="s">
        <v>3411</v>
      </c>
      <c r="E2850" t="s">
        <v>125</v>
      </c>
      <c r="F2850" s="2">
        <v>16.507999999999999</v>
      </c>
      <c r="G2850">
        <v>34</v>
      </c>
      <c r="H2850" s="2">
        <f>Tabla_Items_Inactivos[[#This Row],[EXISTENCIA]]*Tabla_Items_Inactivos[[#This Row],[COSTO]]</f>
        <v>561.27199999999993</v>
      </c>
    </row>
    <row r="2851" spans="1:8">
      <c r="A2851" t="s">
        <v>3301</v>
      </c>
      <c r="B2851" t="s">
        <v>1915</v>
      </c>
      <c r="C2851" t="s">
        <v>1916</v>
      </c>
      <c r="D2851" t="s">
        <v>3411</v>
      </c>
      <c r="E2851" t="s">
        <v>125</v>
      </c>
      <c r="F2851" s="2">
        <v>16.507999999999999</v>
      </c>
      <c r="G2851">
        <v>34</v>
      </c>
      <c r="H2851" s="2">
        <f>Tabla_Items_Inactivos[[#This Row],[EXISTENCIA]]*Tabla_Items_Inactivos[[#This Row],[COSTO]]</f>
        <v>561.27199999999993</v>
      </c>
    </row>
    <row r="2852" spans="1:8">
      <c r="A2852" t="s">
        <v>3300</v>
      </c>
      <c r="B2852" t="s">
        <v>1917</v>
      </c>
      <c r="C2852" t="s">
        <v>5298</v>
      </c>
      <c r="D2852" t="s">
        <v>31</v>
      </c>
      <c r="E2852" t="s">
        <v>1931</v>
      </c>
      <c r="F2852" s="2">
        <v>6.6618000000000004</v>
      </c>
      <c r="G2852">
        <v>2</v>
      </c>
      <c r="H2852" s="2">
        <f>Tabla_Items_Inactivos[[#This Row],[EXISTENCIA]]*Tabla_Items_Inactivos[[#This Row],[COSTO]]</f>
        <v>13.323600000000001</v>
      </c>
    </row>
    <row r="2853" spans="1:8">
      <c r="A2853" t="s">
        <v>3301</v>
      </c>
      <c r="B2853" t="s">
        <v>1917</v>
      </c>
      <c r="C2853" t="s">
        <v>5298</v>
      </c>
      <c r="D2853" t="s">
        <v>31</v>
      </c>
      <c r="E2853" t="s">
        <v>1931</v>
      </c>
      <c r="F2853" s="2">
        <v>6.6618000000000004</v>
      </c>
      <c r="G2853">
        <v>2</v>
      </c>
      <c r="H2853" s="2">
        <f>Tabla_Items_Inactivos[[#This Row],[EXISTENCIA]]*Tabla_Items_Inactivos[[#This Row],[COSTO]]</f>
        <v>13.323600000000001</v>
      </c>
    </row>
    <row r="2854" spans="1:8">
      <c r="A2854" t="s">
        <v>3300</v>
      </c>
      <c r="B2854" t="s">
        <v>1918</v>
      </c>
      <c r="C2854" t="s">
        <v>1919</v>
      </c>
      <c r="D2854" t="s">
        <v>31</v>
      </c>
      <c r="E2854" t="s">
        <v>1931</v>
      </c>
      <c r="F2854" s="2">
        <v>10.68</v>
      </c>
      <c r="G2854">
        <v>1</v>
      </c>
      <c r="H2854" s="2">
        <f>Tabla_Items_Inactivos[[#This Row],[EXISTENCIA]]*Tabla_Items_Inactivos[[#This Row],[COSTO]]</f>
        <v>10.68</v>
      </c>
    </row>
    <row r="2855" spans="1:8">
      <c r="A2855" t="s">
        <v>3300</v>
      </c>
      <c r="B2855" t="s">
        <v>1920</v>
      </c>
      <c r="C2855" t="s">
        <v>1921</v>
      </c>
      <c r="D2855" t="s">
        <v>31</v>
      </c>
      <c r="E2855" t="s">
        <v>1931</v>
      </c>
      <c r="F2855" s="2">
        <v>1.84</v>
      </c>
      <c r="G2855">
        <v>1</v>
      </c>
      <c r="H2855" s="2">
        <f>Tabla_Items_Inactivos[[#This Row],[EXISTENCIA]]*Tabla_Items_Inactivos[[#This Row],[COSTO]]</f>
        <v>1.84</v>
      </c>
    </row>
    <row r="2856" spans="1:8">
      <c r="A2856" t="s">
        <v>3300</v>
      </c>
      <c r="B2856" t="s">
        <v>1922</v>
      </c>
      <c r="C2856" t="s">
        <v>1923</v>
      </c>
      <c r="D2856" t="s">
        <v>31</v>
      </c>
      <c r="E2856" t="s">
        <v>1931</v>
      </c>
      <c r="F2856" s="2">
        <v>18.850000000000001</v>
      </c>
      <c r="G2856">
        <v>1</v>
      </c>
      <c r="H2856" s="2">
        <f>Tabla_Items_Inactivos[[#This Row],[EXISTENCIA]]*Tabla_Items_Inactivos[[#This Row],[COSTO]]</f>
        <v>18.850000000000001</v>
      </c>
    </row>
    <row r="2857" spans="1:8">
      <c r="A2857" t="s">
        <v>3300</v>
      </c>
      <c r="B2857" t="s">
        <v>1924</v>
      </c>
      <c r="C2857" t="s">
        <v>1925</v>
      </c>
      <c r="D2857" t="s">
        <v>31</v>
      </c>
      <c r="E2857" t="s">
        <v>1931</v>
      </c>
      <c r="F2857" s="2">
        <v>2.5499999999999998</v>
      </c>
      <c r="G2857">
        <v>565</v>
      </c>
      <c r="H2857" s="2">
        <f>Tabla_Items_Inactivos[[#This Row],[EXISTENCIA]]*Tabla_Items_Inactivos[[#This Row],[COSTO]]</f>
        <v>1440.75</v>
      </c>
    </row>
    <row r="2858" spans="1:8">
      <c r="A2858" t="s">
        <v>3300</v>
      </c>
      <c r="B2858" t="s">
        <v>1926</v>
      </c>
      <c r="C2858" t="s">
        <v>1927</v>
      </c>
      <c r="D2858" t="s">
        <v>31</v>
      </c>
      <c r="E2858" t="s">
        <v>1931</v>
      </c>
      <c r="F2858" s="2">
        <v>336.61</v>
      </c>
      <c r="G2858">
        <v>1</v>
      </c>
      <c r="H2858" s="2">
        <f>Tabla_Items_Inactivos[[#This Row],[EXISTENCIA]]*Tabla_Items_Inactivos[[#This Row],[COSTO]]</f>
        <v>336.61</v>
      </c>
    </row>
    <row r="2859" spans="1:8">
      <c r="A2859" t="s">
        <v>3300</v>
      </c>
      <c r="B2859" t="s">
        <v>1928</v>
      </c>
      <c r="C2859" t="s">
        <v>1929</v>
      </c>
      <c r="D2859" t="s">
        <v>1930</v>
      </c>
      <c r="E2859" t="s">
        <v>1931</v>
      </c>
      <c r="F2859" s="2">
        <v>3.4180000000000001</v>
      </c>
      <c r="G2859">
        <v>1</v>
      </c>
      <c r="H2859" s="2">
        <f>Tabla_Items_Inactivos[[#This Row],[EXISTENCIA]]*Tabla_Items_Inactivos[[#This Row],[COSTO]]</f>
        <v>3.4180000000000001</v>
      </c>
    </row>
    <row r="2860" spans="1:8">
      <c r="A2860" t="s">
        <v>3300</v>
      </c>
      <c r="B2860" t="s">
        <v>1932</v>
      </c>
      <c r="C2860" t="s">
        <v>1933</v>
      </c>
      <c r="D2860" t="s">
        <v>31</v>
      </c>
      <c r="E2860" t="s">
        <v>1931</v>
      </c>
      <c r="F2860" s="2">
        <v>9</v>
      </c>
      <c r="G2860">
        <v>1</v>
      </c>
      <c r="H2860" s="2">
        <f>Tabla_Items_Inactivos[[#This Row],[EXISTENCIA]]*Tabla_Items_Inactivos[[#This Row],[COSTO]]</f>
        <v>9</v>
      </c>
    </row>
    <row r="2861" spans="1:8">
      <c r="A2861" t="s">
        <v>3300</v>
      </c>
      <c r="B2861" t="s">
        <v>1934</v>
      </c>
      <c r="C2861" t="s">
        <v>1935</v>
      </c>
      <c r="D2861" t="s">
        <v>31</v>
      </c>
      <c r="E2861" t="s">
        <v>125</v>
      </c>
      <c r="F2861" s="2">
        <v>4</v>
      </c>
      <c r="G2861">
        <v>1</v>
      </c>
      <c r="H2861" s="2">
        <f>Tabla_Items_Inactivos[[#This Row],[EXISTENCIA]]*Tabla_Items_Inactivos[[#This Row],[COSTO]]</f>
        <v>4</v>
      </c>
    </row>
    <row r="2862" spans="1:8">
      <c r="A2862" t="s">
        <v>3300</v>
      </c>
      <c r="B2862" t="s">
        <v>1936</v>
      </c>
      <c r="C2862" t="s">
        <v>1937</v>
      </c>
      <c r="D2862" t="s">
        <v>31</v>
      </c>
      <c r="E2862" t="s">
        <v>125</v>
      </c>
      <c r="F2862" s="2">
        <v>4</v>
      </c>
      <c r="G2862">
        <v>1</v>
      </c>
      <c r="H2862" s="2">
        <f>Tabla_Items_Inactivos[[#This Row],[EXISTENCIA]]*Tabla_Items_Inactivos[[#This Row],[COSTO]]</f>
        <v>4</v>
      </c>
    </row>
    <row r="2863" spans="1:8">
      <c r="A2863" t="s">
        <v>3300</v>
      </c>
      <c r="B2863" t="s">
        <v>1938</v>
      </c>
      <c r="C2863" t="s">
        <v>1939</v>
      </c>
      <c r="D2863" t="s">
        <v>31</v>
      </c>
      <c r="E2863" t="s">
        <v>125</v>
      </c>
      <c r="F2863" s="2">
        <v>4</v>
      </c>
      <c r="G2863">
        <v>1</v>
      </c>
      <c r="H2863" s="2">
        <f>Tabla_Items_Inactivos[[#This Row],[EXISTENCIA]]*Tabla_Items_Inactivos[[#This Row],[COSTO]]</f>
        <v>4</v>
      </c>
    </row>
    <row r="2864" spans="1:8">
      <c r="A2864" t="s">
        <v>3300</v>
      </c>
      <c r="B2864" t="s">
        <v>1940</v>
      </c>
      <c r="C2864" t="s">
        <v>1941</v>
      </c>
      <c r="D2864" t="s">
        <v>31</v>
      </c>
      <c r="E2864" t="s">
        <v>125</v>
      </c>
      <c r="F2864" s="2">
        <v>4</v>
      </c>
      <c r="G2864">
        <v>1</v>
      </c>
      <c r="H2864" s="2">
        <f>Tabla_Items_Inactivos[[#This Row],[EXISTENCIA]]*Tabla_Items_Inactivos[[#This Row],[COSTO]]</f>
        <v>4</v>
      </c>
    </row>
    <row r="2865" spans="1:8">
      <c r="A2865" t="s">
        <v>3299</v>
      </c>
      <c r="B2865" t="s">
        <v>5299</v>
      </c>
      <c r="C2865" t="s">
        <v>5300</v>
      </c>
      <c r="D2865" t="s">
        <v>5081</v>
      </c>
      <c r="E2865" t="s">
        <v>125</v>
      </c>
      <c r="F2865" s="2">
        <v>0.95050000000000001</v>
      </c>
      <c r="G2865">
        <v>12</v>
      </c>
      <c r="H2865" s="2">
        <f>Tabla_Items_Inactivos[[#This Row],[EXISTENCIA]]*Tabla_Items_Inactivos[[#This Row],[COSTO]]</f>
        <v>11.406000000000001</v>
      </c>
    </row>
    <row r="2866" spans="1:8">
      <c r="A2866" t="s">
        <v>3300</v>
      </c>
      <c r="B2866" t="s">
        <v>5299</v>
      </c>
      <c r="C2866" t="s">
        <v>5300</v>
      </c>
      <c r="D2866" t="s">
        <v>5081</v>
      </c>
      <c r="E2866" t="s">
        <v>125</v>
      </c>
      <c r="F2866" s="2">
        <v>0.95050000000000001</v>
      </c>
      <c r="G2866">
        <v>12</v>
      </c>
      <c r="H2866" s="2">
        <f>Tabla_Items_Inactivos[[#This Row],[EXISTENCIA]]*Tabla_Items_Inactivos[[#This Row],[COSTO]]</f>
        <v>11.406000000000001</v>
      </c>
    </row>
    <row r="2867" spans="1:8">
      <c r="A2867" t="s">
        <v>3301</v>
      </c>
      <c r="B2867" t="s">
        <v>5299</v>
      </c>
      <c r="C2867" t="s">
        <v>5300</v>
      </c>
      <c r="D2867" t="s">
        <v>5081</v>
      </c>
      <c r="E2867" t="s">
        <v>125</v>
      </c>
      <c r="F2867" s="2">
        <v>0.95050000000000001</v>
      </c>
      <c r="G2867">
        <v>12</v>
      </c>
      <c r="H2867" s="2">
        <f>Tabla_Items_Inactivos[[#This Row],[EXISTENCIA]]*Tabla_Items_Inactivos[[#This Row],[COSTO]]</f>
        <v>11.406000000000001</v>
      </c>
    </row>
    <row r="2868" spans="1:8">
      <c r="A2868" t="s">
        <v>3300</v>
      </c>
      <c r="B2868" t="s">
        <v>1942</v>
      </c>
      <c r="C2868" t="s">
        <v>1943</v>
      </c>
      <c r="D2868" t="s">
        <v>31</v>
      </c>
      <c r="E2868" t="s">
        <v>125</v>
      </c>
      <c r="F2868" s="2">
        <v>4</v>
      </c>
      <c r="G2868">
        <v>1</v>
      </c>
      <c r="H2868" s="2">
        <f>Tabla_Items_Inactivos[[#This Row],[EXISTENCIA]]*Tabla_Items_Inactivos[[#This Row],[COSTO]]</f>
        <v>4</v>
      </c>
    </row>
    <row r="2869" spans="1:8">
      <c r="A2869" t="s">
        <v>3300</v>
      </c>
      <c r="B2869" t="s">
        <v>1944</v>
      </c>
      <c r="C2869" t="s">
        <v>1945</v>
      </c>
      <c r="D2869" t="s">
        <v>31</v>
      </c>
      <c r="E2869" t="s">
        <v>125</v>
      </c>
      <c r="F2869" s="2">
        <v>4</v>
      </c>
      <c r="G2869">
        <v>1</v>
      </c>
      <c r="H2869" s="2">
        <f>Tabla_Items_Inactivos[[#This Row],[EXISTENCIA]]*Tabla_Items_Inactivos[[#This Row],[COSTO]]</f>
        <v>4</v>
      </c>
    </row>
    <row r="2870" spans="1:8">
      <c r="A2870" t="s">
        <v>3300</v>
      </c>
      <c r="B2870" t="s">
        <v>1946</v>
      </c>
      <c r="C2870" t="s">
        <v>1947</v>
      </c>
      <c r="D2870" t="s">
        <v>31</v>
      </c>
      <c r="E2870" t="s">
        <v>125</v>
      </c>
      <c r="F2870" s="2">
        <v>4</v>
      </c>
      <c r="G2870">
        <v>1</v>
      </c>
      <c r="H2870" s="2">
        <f>Tabla_Items_Inactivos[[#This Row],[EXISTENCIA]]*Tabla_Items_Inactivos[[#This Row],[COSTO]]</f>
        <v>4</v>
      </c>
    </row>
    <row r="2871" spans="1:8">
      <c r="A2871" t="s">
        <v>3300</v>
      </c>
      <c r="B2871" t="s">
        <v>1948</v>
      </c>
      <c r="C2871" t="s">
        <v>1949</v>
      </c>
      <c r="D2871" t="s">
        <v>31</v>
      </c>
      <c r="E2871" t="s">
        <v>1931</v>
      </c>
      <c r="F2871" s="2">
        <v>0</v>
      </c>
      <c r="G2871">
        <v>1</v>
      </c>
      <c r="H2871" s="2">
        <f>Tabla_Items_Inactivos[[#This Row],[EXISTENCIA]]*Tabla_Items_Inactivos[[#This Row],[COSTO]]</f>
        <v>0</v>
      </c>
    </row>
    <row r="2872" spans="1:8">
      <c r="A2872" t="s">
        <v>3300</v>
      </c>
      <c r="B2872" t="s">
        <v>5301</v>
      </c>
      <c r="C2872" t="s">
        <v>5302</v>
      </c>
      <c r="D2872" t="s">
        <v>5081</v>
      </c>
      <c r="E2872" t="s">
        <v>125</v>
      </c>
      <c r="F2872" s="2">
        <v>1.8385</v>
      </c>
      <c r="G2872">
        <v>17</v>
      </c>
      <c r="H2872" s="2">
        <f>Tabla_Items_Inactivos[[#This Row],[EXISTENCIA]]*Tabla_Items_Inactivos[[#This Row],[COSTO]]</f>
        <v>31.2545</v>
      </c>
    </row>
    <row r="2873" spans="1:8">
      <c r="A2873" t="s">
        <v>3301</v>
      </c>
      <c r="B2873" t="s">
        <v>5301</v>
      </c>
      <c r="C2873" t="s">
        <v>5302</v>
      </c>
      <c r="D2873" t="s">
        <v>5081</v>
      </c>
      <c r="E2873" t="s">
        <v>125</v>
      </c>
      <c r="F2873" s="2">
        <v>1.8385</v>
      </c>
      <c r="G2873">
        <v>17</v>
      </c>
      <c r="H2873" s="2">
        <f>Tabla_Items_Inactivos[[#This Row],[EXISTENCIA]]*Tabla_Items_Inactivos[[#This Row],[COSTO]]</f>
        <v>31.2545</v>
      </c>
    </row>
    <row r="2874" spans="1:8">
      <c r="A2874" t="s">
        <v>3300</v>
      </c>
      <c r="B2874" t="s">
        <v>1950</v>
      </c>
      <c r="C2874" t="s">
        <v>1951</v>
      </c>
      <c r="D2874" t="s">
        <v>31</v>
      </c>
      <c r="E2874" t="s">
        <v>125</v>
      </c>
      <c r="F2874" s="2">
        <v>7</v>
      </c>
      <c r="G2874">
        <v>1</v>
      </c>
      <c r="H2874" s="2">
        <f>Tabla_Items_Inactivos[[#This Row],[EXISTENCIA]]*Tabla_Items_Inactivos[[#This Row],[COSTO]]</f>
        <v>7</v>
      </c>
    </row>
    <row r="2875" spans="1:8">
      <c r="A2875" t="s">
        <v>3300</v>
      </c>
      <c r="B2875" t="s">
        <v>1952</v>
      </c>
      <c r="C2875" t="s">
        <v>1953</v>
      </c>
      <c r="D2875" t="s">
        <v>31</v>
      </c>
      <c r="E2875" t="s">
        <v>125</v>
      </c>
      <c r="F2875" s="2">
        <v>8</v>
      </c>
      <c r="G2875">
        <v>3</v>
      </c>
      <c r="H2875" s="2">
        <f>Tabla_Items_Inactivos[[#This Row],[EXISTENCIA]]*Tabla_Items_Inactivos[[#This Row],[COSTO]]</f>
        <v>24</v>
      </c>
    </row>
    <row r="2876" spans="1:8">
      <c r="A2876" t="s">
        <v>3300</v>
      </c>
      <c r="B2876" t="s">
        <v>1954</v>
      </c>
      <c r="C2876" t="s">
        <v>1955</v>
      </c>
      <c r="D2876" t="s">
        <v>31</v>
      </c>
      <c r="E2876" t="s">
        <v>125</v>
      </c>
      <c r="F2876" s="2">
        <v>8</v>
      </c>
      <c r="G2876">
        <v>1</v>
      </c>
      <c r="H2876" s="2">
        <f>Tabla_Items_Inactivos[[#This Row],[EXISTENCIA]]*Tabla_Items_Inactivos[[#This Row],[COSTO]]</f>
        <v>8</v>
      </c>
    </row>
    <row r="2877" spans="1:8">
      <c r="A2877" t="s">
        <v>3300</v>
      </c>
      <c r="B2877" t="s">
        <v>1956</v>
      </c>
      <c r="C2877" t="s">
        <v>1957</v>
      </c>
      <c r="D2877" t="s">
        <v>31</v>
      </c>
      <c r="E2877" t="s">
        <v>125</v>
      </c>
      <c r="F2877" s="2">
        <v>8</v>
      </c>
      <c r="G2877">
        <v>1</v>
      </c>
      <c r="H2877" s="2">
        <f>Tabla_Items_Inactivos[[#This Row],[EXISTENCIA]]*Tabla_Items_Inactivos[[#This Row],[COSTO]]</f>
        <v>8</v>
      </c>
    </row>
    <row r="2878" spans="1:8">
      <c r="A2878" t="s">
        <v>3300</v>
      </c>
      <c r="B2878" t="s">
        <v>1958</v>
      </c>
      <c r="C2878" t="s">
        <v>1959</v>
      </c>
      <c r="D2878" t="s">
        <v>5081</v>
      </c>
      <c r="E2878" t="s">
        <v>125</v>
      </c>
      <c r="F2878" s="2">
        <v>2.9963000000000002</v>
      </c>
      <c r="G2878">
        <v>29</v>
      </c>
      <c r="H2878" s="2">
        <f>Tabla_Items_Inactivos[[#This Row],[EXISTENCIA]]*Tabla_Items_Inactivos[[#This Row],[COSTO]]</f>
        <v>86.892700000000005</v>
      </c>
    </row>
    <row r="2879" spans="1:8">
      <c r="A2879" t="s">
        <v>3301</v>
      </c>
      <c r="B2879" t="s">
        <v>1958</v>
      </c>
      <c r="C2879" t="s">
        <v>1959</v>
      </c>
      <c r="D2879" t="s">
        <v>5081</v>
      </c>
      <c r="E2879" t="s">
        <v>125</v>
      </c>
      <c r="F2879" s="2">
        <v>2.9963000000000002</v>
      </c>
      <c r="G2879">
        <v>29</v>
      </c>
      <c r="H2879" s="2">
        <f>Tabla_Items_Inactivos[[#This Row],[EXISTENCIA]]*Tabla_Items_Inactivos[[#This Row],[COSTO]]</f>
        <v>86.892700000000005</v>
      </c>
    </row>
    <row r="2880" spans="1:8">
      <c r="A2880" t="s">
        <v>3300</v>
      </c>
      <c r="B2880" t="s">
        <v>1960</v>
      </c>
      <c r="C2880" t="s">
        <v>1961</v>
      </c>
      <c r="D2880" t="s">
        <v>31</v>
      </c>
      <c r="E2880" t="s">
        <v>125</v>
      </c>
      <c r="F2880" s="2">
        <v>8</v>
      </c>
      <c r="G2880">
        <v>1</v>
      </c>
      <c r="H2880" s="2">
        <f>Tabla_Items_Inactivos[[#This Row],[EXISTENCIA]]*Tabla_Items_Inactivos[[#This Row],[COSTO]]</f>
        <v>8</v>
      </c>
    </row>
    <row r="2881" spans="1:8">
      <c r="A2881" t="s">
        <v>3300</v>
      </c>
      <c r="B2881" t="s">
        <v>1962</v>
      </c>
      <c r="C2881" t="s">
        <v>1963</v>
      </c>
      <c r="D2881" t="s">
        <v>31</v>
      </c>
      <c r="E2881" t="s">
        <v>125</v>
      </c>
      <c r="F2881" s="2">
        <v>10</v>
      </c>
      <c r="G2881">
        <v>4</v>
      </c>
      <c r="H2881" s="2">
        <f>Tabla_Items_Inactivos[[#This Row],[EXISTENCIA]]*Tabla_Items_Inactivos[[#This Row],[COSTO]]</f>
        <v>40</v>
      </c>
    </row>
    <row r="2882" spans="1:8">
      <c r="A2882" t="s">
        <v>3300</v>
      </c>
      <c r="B2882" t="s">
        <v>3218</v>
      </c>
      <c r="C2882" t="s">
        <v>3219</v>
      </c>
      <c r="D2882" t="s">
        <v>5081</v>
      </c>
      <c r="E2882" t="s">
        <v>125</v>
      </c>
      <c r="F2882" s="2">
        <v>3.3632</v>
      </c>
      <c r="G2882">
        <v>7</v>
      </c>
      <c r="H2882" s="2">
        <f>Tabla_Items_Inactivos[[#This Row],[EXISTENCIA]]*Tabla_Items_Inactivos[[#This Row],[COSTO]]</f>
        <v>23.542400000000001</v>
      </c>
    </row>
    <row r="2883" spans="1:8">
      <c r="A2883" t="s">
        <v>3301</v>
      </c>
      <c r="B2883" t="s">
        <v>3218</v>
      </c>
      <c r="C2883" t="s">
        <v>3219</v>
      </c>
      <c r="D2883" t="s">
        <v>5081</v>
      </c>
      <c r="E2883" t="s">
        <v>125</v>
      </c>
      <c r="F2883" s="2">
        <v>3.3632</v>
      </c>
      <c r="G2883">
        <v>7</v>
      </c>
      <c r="H2883" s="2">
        <f>Tabla_Items_Inactivos[[#This Row],[EXISTENCIA]]*Tabla_Items_Inactivos[[#This Row],[COSTO]]</f>
        <v>23.542400000000001</v>
      </c>
    </row>
    <row r="2884" spans="1:8">
      <c r="A2884" t="s">
        <v>3300</v>
      </c>
      <c r="B2884" t="s">
        <v>5303</v>
      </c>
      <c r="C2884" t="s">
        <v>5304</v>
      </c>
      <c r="D2884" t="s">
        <v>5081</v>
      </c>
      <c r="E2884" t="s">
        <v>125</v>
      </c>
      <c r="F2884" s="2">
        <v>3.3963999999999999</v>
      </c>
      <c r="G2884">
        <v>26</v>
      </c>
      <c r="H2884" s="2">
        <f>Tabla_Items_Inactivos[[#This Row],[EXISTENCIA]]*Tabla_Items_Inactivos[[#This Row],[COSTO]]</f>
        <v>88.306399999999996</v>
      </c>
    </row>
    <row r="2885" spans="1:8">
      <c r="A2885" t="s">
        <v>3301</v>
      </c>
      <c r="B2885" t="s">
        <v>5303</v>
      </c>
      <c r="C2885" t="s">
        <v>5304</v>
      </c>
      <c r="D2885" t="s">
        <v>5081</v>
      </c>
      <c r="E2885" t="s">
        <v>125</v>
      </c>
      <c r="F2885" s="2">
        <v>3.3963999999999999</v>
      </c>
      <c r="G2885">
        <v>26</v>
      </c>
      <c r="H2885" s="2">
        <f>Tabla_Items_Inactivos[[#This Row],[EXISTENCIA]]*Tabla_Items_Inactivos[[#This Row],[COSTO]]</f>
        <v>88.306399999999996</v>
      </c>
    </row>
    <row r="2886" spans="1:8">
      <c r="A2886" t="s">
        <v>3299</v>
      </c>
      <c r="B2886" t="s">
        <v>5303</v>
      </c>
      <c r="C2886" t="s">
        <v>5304</v>
      </c>
      <c r="D2886" t="s">
        <v>5081</v>
      </c>
      <c r="E2886" t="s">
        <v>125</v>
      </c>
      <c r="F2886" s="2">
        <v>3.3963999999999999</v>
      </c>
      <c r="G2886">
        <v>26</v>
      </c>
      <c r="H2886" s="2">
        <f>Tabla_Items_Inactivos[[#This Row],[EXISTENCIA]]*Tabla_Items_Inactivos[[#This Row],[COSTO]]</f>
        <v>88.306399999999996</v>
      </c>
    </row>
    <row r="2887" spans="1:8">
      <c r="A2887" t="s">
        <v>3300</v>
      </c>
      <c r="B2887" t="s">
        <v>1964</v>
      </c>
      <c r="C2887" t="s">
        <v>1965</v>
      </c>
      <c r="D2887" t="s">
        <v>5081</v>
      </c>
      <c r="E2887" t="s">
        <v>125</v>
      </c>
      <c r="F2887" s="2">
        <v>8.3683999999999994</v>
      </c>
      <c r="G2887">
        <v>1</v>
      </c>
      <c r="H2887" s="2">
        <f>Tabla_Items_Inactivos[[#This Row],[EXISTENCIA]]*Tabla_Items_Inactivos[[#This Row],[COSTO]]</f>
        <v>8.3683999999999994</v>
      </c>
    </row>
    <row r="2888" spans="1:8">
      <c r="A2888" t="s">
        <v>3301</v>
      </c>
      <c r="B2888" t="s">
        <v>1964</v>
      </c>
      <c r="C2888" t="s">
        <v>1965</v>
      </c>
      <c r="D2888" t="s">
        <v>5081</v>
      </c>
      <c r="E2888" t="s">
        <v>125</v>
      </c>
      <c r="F2888" s="2">
        <v>8.3683999999999994</v>
      </c>
      <c r="G2888">
        <v>1</v>
      </c>
      <c r="H2888" s="2">
        <f>Tabla_Items_Inactivos[[#This Row],[EXISTENCIA]]*Tabla_Items_Inactivos[[#This Row],[COSTO]]</f>
        <v>8.3683999999999994</v>
      </c>
    </row>
    <row r="2889" spans="1:8">
      <c r="A2889" t="s">
        <v>3300</v>
      </c>
      <c r="B2889" t="s">
        <v>1966</v>
      </c>
      <c r="C2889" t="s">
        <v>1967</v>
      </c>
      <c r="D2889" t="s">
        <v>31</v>
      </c>
      <c r="E2889" t="s">
        <v>1931</v>
      </c>
      <c r="F2889" s="2">
        <v>93.81</v>
      </c>
      <c r="G2889">
        <v>1</v>
      </c>
      <c r="H2889" s="2">
        <f>Tabla_Items_Inactivos[[#This Row],[EXISTENCIA]]*Tabla_Items_Inactivos[[#This Row],[COSTO]]</f>
        <v>93.81</v>
      </c>
    </row>
    <row r="2890" spans="1:8">
      <c r="A2890" t="s">
        <v>3300</v>
      </c>
      <c r="B2890" t="s">
        <v>1968</v>
      </c>
      <c r="C2890" t="s">
        <v>1969</v>
      </c>
      <c r="D2890" t="s">
        <v>31</v>
      </c>
      <c r="E2890" t="s">
        <v>1931</v>
      </c>
      <c r="F2890" s="2">
        <v>4.9400000000000004</v>
      </c>
      <c r="G2890">
        <v>2</v>
      </c>
      <c r="H2890" s="2">
        <f>Tabla_Items_Inactivos[[#This Row],[EXISTENCIA]]*Tabla_Items_Inactivos[[#This Row],[COSTO]]</f>
        <v>9.8800000000000008</v>
      </c>
    </row>
    <row r="2891" spans="1:8">
      <c r="A2891" t="s">
        <v>3300</v>
      </c>
      <c r="B2891" t="s">
        <v>5305</v>
      </c>
      <c r="C2891" t="s">
        <v>5306</v>
      </c>
      <c r="D2891" t="s">
        <v>115</v>
      </c>
      <c r="E2891" t="s">
        <v>1931</v>
      </c>
      <c r="F2891" s="2">
        <v>30</v>
      </c>
      <c r="G2891">
        <v>1</v>
      </c>
      <c r="H2891" s="2">
        <f>Tabla_Items_Inactivos[[#This Row],[EXISTENCIA]]*Tabla_Items_Inactivos[[#This Row],[COSTO]]</f>
        <v>30</v>
      </c>
    </row>
    <row r="2892" spans="1:8">
      <c r="A2892" t="s">
        <v>3300</v>
      </c>
      <c r="B2892" t="s">
        <v>5307</v>
      </c>
      <c r="C2892" t="s">
        <v>5308</v>
      </c>
      <c r="D2892" t="s">
        <v>3375</v>
      </c>
      <c r="E2892" t="s">
        <v>125</v>
      </c>
      <c r="F2892" s="2">
        <v>270.89</v>
      </c>
      <c r="G2892">
        <v>1</v>
      </c>
      <c r="H2892" s="2">
        <f>Tabla_Items_Inactivos[[#This Row],[EXISTENCIA]]*Tabla_Items_Inactivos[[#This Row],[COSTO]]</f>
        <v>270.89</v>
      </c>
    </row>
    <row r="2893" spans="1:8">
      <c r="A2893" t="s">
        <v>3300</v>
      </c>
      <c r="B2893" t="s">
        <v>1970</v>
      </c>
      <c r="C2893" t="s">
        <v>1971</v>
      </c>
      <c r="D2893" t="s">
        <v>1972</v>
      </c>
      <c r="E2893" t="s">
        <v>125</v>
      </c>
      <c r="F2893" s="2">
        <v>74.275000000000006</v>
      </c>
      <c r="G2893">
        <v>8</v>
      </c>
      <c r="H2893" s="2">
        <f>Tabla_Items_Inactivos[[#This Row],[EXISTENCIA]]*Tabla_Items_Inactivos[[#This Row],[COSTO]]</f>
        <v>594.20000000000005</v>
      </c>
    </row>
    <row r="2894" spans="1:8">
      <c r="A2894" t="s">
        <v>3300</v>
      </c>
      <c r="B2894" t="s">
        <v>1973</v>
      </c>
      <c r="C2894" t="s">
        <v>1974</v>
      </c>
      <c r="D2894" t="s">
        <v>228</v>
      </c>
      <c r="E2894" t="s">
        <v>86</v>
      </c>
      <c r="F2894" s="2">
        <v>2.5</v>
      </c>
      <c r="G2894">
        <v>5</v>
      </c>
      <c r="H2894" s="2">
        <f>Tabla_Items_Inactivos[[#This Row],[EXISTENCIA]]*Tabla_Items_Inactivos[[#This Row],[COSTO]]</f>
        <v>12.5</v>
      </c>
    </row>
    <row r="2895" spans="1:8">
      <c r="A2895" t="s">
        <v>3300</v>
      </c>
      <c r="B2895" t="s">
        <v>1975</v>
      </c>
      <c r="C2895" t="s">
        <v>1976</v>
      </c>
      <c r="D2895" t="s">
        <v>1821</v>
      </c>
      <c r="E2895" t="s">
        <v>125</v>
      </c>
      <c r="F2895" s="2">
        <v>465.47370000000001</v>
      </c>
      <c r="G2895">
        <v>2</v>
      </c>
      <c r="H2895" s="2">
        <f>Tabla_Items_Inactivos[[#This Row],[EXISTENCIA]]*Tabla_Items_Inactivos[[#This Row],[COSTO]]</f>
        <v>930.94740000000002</v>
      </c>
    </row>
    <row r="2896" spans="1:8">
      <c r="A2896" t="s">
        <v>3301</v>
      </c>
      <c r="B2896" t="s">
        <v>1975</v>
      </c>
      <c r="C2896" t="s">
        <v>1976</v>
      </c>
      <c r="D2896" t="s">
        <v>1821</v>
      </c>
      <c r="E2896" t="s">
        <v>125</v>
      </c>
      <c r="F2896" s="2">
        <v>465.47370000000001</v>
      </c>
      <c r="G2896">
        <v>2</v>
      </c>
      <c r="H2896" s="2">
        <f>Tabla_Items_Inactivos[[#This Row],[EXISTENCIA]]*Tabla_Items_Inactivos[[#This Row],[COSTO]]</f>
        <v>930.94740000000002</v>
      </c>
    </row>
    <row r="2897" spans="1:8">
      <c r="A2897" t="s">
        <v>3299</v>
      </c>
      <c r="B2897" t="s">
        <v>1977</v>
      </c>
      <c r="C2897" t="s">
        <v>1978</v>
      </c>
      <c r="D2897" t="s">
        <v>101</v>
      </c>
      <c r="E2897" t="s">
        <v>102</v>
      </c>
      <c r="F2897" s="2">
        <v>1.1499999999999999</v>
      </c>
      <c r="G2897">
        <v>800</v>
      </c>
      <c r="H2897" s="2">
        <f>Tabla_Items_Inactivos[[#This Row],[EXISTENCIA]]*Tabla_Items_Inactivos[[#This Row],[COSTO]]</f>
        <v>919.99999999999989</v>
      </c>
    </row>
    <row r="2898" spans="1:8">
      <c r="A2898" t="s">
        <v>3299</v>
      </c>
      <c r="B2898" t="s">
        <v>1979</v>
      </c>
      <c r="C2898" t="s">
        <v>1980</v>
      </c>
      <c r="D2898" t="s">
        <v>101</v>
      </c>
      <c r="E2898" t="s">
        <v>102</v>
      </c>
      <c r="F2898" s="2">
        <v>0.9375</v>
      </c>
      <c r="G2898">
        <v>1469</v>
      </c>
      <c r="H2898" s="2">
        <f>Tabla_Items_Inactivos[[#This Row],[EXISTENCIA]]*Tabla_Items_Inactivos[[#This Row],[COSTO]]</f>
        <v>1377.1875</v>
      </c>
    </row>
    <row r="2899" spans="1:8">
      <c r="A2899" t="s">
        <v>3299</v>
      </c>
      <c r="B2899" t="s">
        <v>1981</v>
      </c>
      <c r="C2899" t="s">
        <v>1982</v>
      </c>
      <c r="D2899" t="s">
        <v>101</v>
      </c>
      <c r="E2899" t="s">
        <v>102</v>
      </c>
      <c r="F2899" s="2">
        <v>0.83930000000000005</v>
      </c>
      <c r="G2899">
        <v>3354</v>
      </c>
      <c r="H2899" s="2">
        <f>Tabla_Items_Inactivos[[#This Row],[EXISTENCIA]]*Tabla_Items_Inactivos[[#This Row],[COSTO]]</f>
        <v>2815.0122000000001</v>
      </c>
    </row>
    <row r="2900" spans="1:8">
      <c r="A2900" t="s">
        <v>3299</v>
      </c>
      <c r="B2900" t="s">
        <v>1983</v>
      </c>
      <c r="C2900" t="s">
        <v>1984</v>
      </c>
      <c r="D2900" t="s">
        <v>101</v>
      </c>
      <c r="E2900" t="s">
        <v>102</v>
      </c>
      <c r="F2900" s="2">
        <v>0.92020000000000002</v>
      </c>
      <c r="G2900">
        <v>2459</v>
      </c>
      <c r="H2900" s="2">
        <f>Tabla_Items_Inactivos[[#This Row],[EXISTENCIA]]*Tabla_Items_Inactivos[[#This Row],[COSTO]]</f>
        <v>2262.7718</v>
      </c>
    </row>
    <row r="2901" spans="1:8">
      <c r="A2901" t="s">
        <v>3299</v>
      </c>
      <c r="B2901" t="s">
        <v>1985</v>
      </c>
      <c r="C2901" t="s">
        <v>1986</v>
      </c>
      <c r="D2901" t="s">
        <v>101</v>
      </c>
      <c r="E2901" t="s">
        <v>102</v>
      </c>
      <c r="F2901" s="2">
        <v>0.73899999999999999</v>
      </c>
      <c r="G2901">
        <v>406</v>
      </c>
      <c r="H2901" s="2">
        <f>Tabla_Items_Inactivos[[#This Row],[EXISTENCIA]]*Tabla_Items_Inactivos[[#This Row],[COSTO]]</f>
        <v>300.03399999999999</v>
      </c>
    </row>
    <row r="2902" spans="1:8">
      <c r="A2902" t="s">
        <v>3299</v>
      </c>
      <c r="B2902" t="s">
        <v>1987</v>
      </c>
      <c r="C2902" t="s">
        <v>1988</v>
      </c>
      <c r="D2902" t="s">
        <v>101</v>
      </c>
      <c r="E2902" t="s">
        <v>102</v>
      </c>
      <c r="F2902" s="2">
        <v>0.65700000000000003</v>
      </c>
      <c r="G2902">
        <v>788</v>
      </c>
      <c r="H2902" s="2">
        <f>Tabla_Items_Inactivos[[#This Row],[EXISTENCIA]]*Tabla_Items_Inactivos[[#This Row],[COSTO]]</f>
        <v>517.71600000000001</v>
      </c>
    </row>
    <row r="2903" spans="1:8">
      <c r="A2903" t="s">
        <v>3299</v>
      </c>
      <c r="B2903" t="s">
        <v>5309</v>
      </c>
      <c r="C2903" t="s">
        <v>5310</v>
      </c>
      <c r="D2903" t="s">
        <v>101</v>
      </c>
      <c r="E2903" t="s">
        <v>102</v>
      </c>
      <c r="F2903" s="2">
        <v>0.64080000000000004</v>
      </c>
      <c r="G2903">
        <v>1541</v>
      </c>
      <c r="H2903" s="2">
        <f>Tabla_Items_Inactivos[[#This Row],[EXISTENCIA]]*Tabla_Items_Inactivos[[#This Row],[COSTO]]</f>
        <v>987.47280000000001</v>
      </c>
    </row>
    <row r="2904" spans="1:8">
      <c r="A2904" t="s">
        <v>3299</v>
      </c>
      <c r="B2904" t="s">
        <v>5311</v>
      </c>
      <c r="C2904" t="s">
        <v>5312</v>
      </c>
      <c r="D2904" t="s">
        <v>101</v>
      </c>
      <c r="E2904" t="s">
        <v>102</v>
      </c>
      <c r="F2904" s="2">
        <v>0.97</v>
      </c>
      <c r="G2904">
        <v>394</v>
      </c>
      <c r="H2904" s="2">
        <f>Tabla_Items_Inactivos[[#This Row],[EXISTENCIA]]*Tabla_Items_Inactivos[[#This Row],[COSTO]]</f>
        <v>382.18</v>
      </c>
    </row>
    <row r="2905" spans="1:8">
      <c r="A2905" t="s">
        <v>3299</v>
      </c>
      <c r="B2905" t="s">
        <v>1989</v>
      </c>
      <c r="C2905" t="s">
        <v>1990</v>
      </c>
      <c r="D2905" t="s">
        <v>101</v>
      </c>
      <c r="E2905" t="s">
        <v>102</v>
      </c>
      <c r="F2905" s="2">
        <v>0.86</v>
      </c>
      <c r="G2905">
        <v>379</v>
      </c>
      <c r="H2905" s="2">
        <f>Tabla_Items_Inactivos[[#This Row],[EXISTENCIA]]*Tabla_Items_Inactivos[[#This Row],[COSTO]]</f>
        <v>325.94</v>
      </c>
    </row>
    <row r="2906" spans="1:8">
      <c r="A2906" t="s">
        <v>3299</v>
      </c>
      <c r="B2906" t="s">
        <v>1991</v>
      </c>
      <c r="C2906" t="s">
        <v>1992</v>
      </c>
      <c r="D2906" t="s">
        <v>101</v>
      </c>
      <c r="E2906" t="s">
        <v>102</v>
      </c>
      <c r="F2906" s="2">
        <v>0.86</v>
      </c>
      <c r="G2906">
        <v>940</v>
      </c>
      <c r="H2906" s="2">
        <f>Tabla_Items_Inactivos[[#This Row],[EXISTENCIA]]*Tabla_Items_Inactivos[[#This Row],[COSTO]]</f>
        <v>808.4</v>
      </c>
    </row>
    <row r="2907" spans="1:8">
      <c r="A2907" t="s">
        <v>3299</v>
      </c>
      <c r="B2907" t="s">
        <v>1993</v>
      </c>
      <c r="C2907" t="s">
        <v>1994</v>
      </c>
      <c r="D2907" t="s">
        <v>101</v>
      </c>
      <c r="E2907" t="s">
        <v>102</v>
      </c>
      <c r="F2907" s="2">
        <v>0.66400000000000003</v>
      </c>
      <c r="G2907">
        <v>1028</v>
      </c>
      <c r="H2907" s="2">
        <f>Tabla_Items_Inactivos[[#This Row],[EXISTENCIA]]*Tabla_Items_Inactivos[[#This Row],[COSTO]]</f>
        <v>682.59199999999998</v>
      </c>
    </row>
    <row r="2908" spans="1:8">
      <c r="A2908" t="s">
        <v>3299</v>
      </c>
      <c r="B2908" t="s">
        <v>1995</v>
      </c>
      <c r="C2908" t="s">
        <v>1996</v>
      </c>
      <c r="D2908" t="s">
        <v>101</v>
      </c>
      <c r="E2908" t="s">
        <v>102</v>
      </c>
      <c r="F2908" s="2">
        <v>0.50180000000000002</v>
      </c>
      <c r="G2908">
        <v>2896</v>
      </c>
      <c r="H2908" s="2">
        <f>Tabla_Items_Inactivos[[#This Row],[EXISTENCIA]]*Tabla_Items_Inactivos[[#This Row],[COSTO]]</f>
        <v>1453.2128</v>
      </c>
    </row>
    <row r="2909" spans="1:8">
      <c r="A2909" t="s">
        <v>3299</v>
      </c>
      <c r="B2909" t="s">
        <v>1997</v>
      </c>
      <c r="C2909" t="s">
        <v>5313</v>
      </c>
      <c r="D2909" t="s">
        <v>101</v>
      </c>
      <c r="E2909" t="s">
        <v>102</v>
      </c>
      <c r="F2909" s="2">
        <v>0.745</v>
      </c>
      <c r="G2909">
        <v>2128</v>
      </c>
      <c r="H2909" s="2">
        <f>Tabla_Items_Inactivos[[#This Row],[EXISTENCIA]]*Tabla_Items_Inactivos[[#This Row],[COSTO]]</f>
        <v>1585.36</v>
      </c>
    </row>
    <row r="2910" spans="1:8">
      <c r="A2910" t="s">
        <v>3299</v>
      </c>
      <c r="B2910" t="s">
        <v>5314</v>
      </c>
      <c r="C2910" t="s">
        <v>5315</v>
      </c>
      <c r="D2910" t="s">
        <v>101</v>
      </c>
      <c r="E2910" t="s">
        <v>102</v>
      </c>
      <c r="F2910" s="2">
        <v>0.37159999999999999</v>
      </c>
      <c r="G2910">
        <v>5709</v>
      </c>
      <c r="H2910" s="2">
        <f>Tabla_Items_Inactivos[[#This Row],[EXISTENCIA]]*Tabla_Items_Inactivos[[#This Row],[COSTO]]</f>
        <v>2121.4643999999998</v>
      </c>
    </row>
    <row r="2911" spans="1:8">
      <c r="A2911" t="s">
        <v>3299</v>
      </c>
      <c r="B2911" t="s">
        <v>1998</v>
      </c>
      <c r="C2911" t="s">
        <v>1999</v>
      </c>
      <c r="D2911" t="s">
        <v>101</v>
      </c>
      <c r="E2911" t="s">
        <v>102</v>
      </c>
      <c r="F2911" s="2">
        <v>0.879</v>
      </c>
      <c r="G2911">
        <v>2092</v>
      </c>
      <c r="H2911" s="2">
        <f>Tabla_Items_Inactivos[[#This Row],[EXISTENCIA]]*Tabla_Items_Inactivos[[#This Row],[COSTO]]</f>
        <v>1838.8679999999999</v>
      </c>
    </row>
    <row r="2912" spans="1:8">
      <c r="A2912" t="s">
        <v>3300</v>
      </c>
      <c r="B2912" t="s">
        <v>5316</v>
      </c>
      <c r="C2912" t="s">
        <v>5317</v>
      </c>
      <c r="D2912" t="s">
        <v>85</v>
      </c>
      <c r="E2912" t="s">
        <v>86</v>
      </c>
      <c r="F2912" s="2">
        <v>0.27</v>
      </c>
      <c r="G2912">
        <v>1</v>
      </c>
      <c r="H2912" s="2">
        <f>Tabla_Items_Inactivos[[#This Row],[EXISTENCIA]]*Tabla_Items_Inactivos[[#This Row],[COSTO]]</f>
        <v>0.27</v>
      </c>
    </row>
    <row r="2913" spans="1:8">
      <c r="A2913" t="s">
        <v>3301</v>
      </c>
      <c r="B2913" t="s">
        <v>5318</v>
      </c>
      <c r="C2913" t="s">
        <v>5319</v>
      </c>
      <c r="D2913" t="s">
        <v>5320</v>
      </c>
      <c r="E2913" t="s">
        <v>5070</v>
      </c>
      <c r="F2913" s="2">
        <v>0</v>
      </c>
      <c r="G2913">
        <v>1</v>
      </c>
      <c r="H2913" s="2">
        <f>Tabla_Items_Inactivos[[#This Row],[EXISTENCIA]]*Tabla_Items_Inactivos[[#This Row],[COSTO]]</f>
        <v>0</v>
      </c>
    </row>
    <row r="2914" spans="1:8">
      <c r="A2914" t="s">
        <v>3301</v>
      </c>
      <c r="B2914" t="s">
        <v>5321</v>
      </c>
      <c r="C2914" t="s">
        <v>5322</v>
      </c>
      <c r="D2914" t="s">
        <v>3304</v>
      </c>
      <c r="E2914" t="s">
        <v>1931</v>
      </c>
      <c r="F2914" s="2">
        <v>33.08</v>
      </c>
      <c r="G2914">
        <v>3</v>
      </c>
      <c r="H2914" s="2">
        <f>Tabla_Items_Inactivos[[#This Row],[EXISTENCIA]]*Tabla_Items_Inactivos[[#This Row],[COSTO]]</f>
        <v>99.24</v>
      </c>
    </row>
    <row r="2915" spans="1:8">
      <c r="A2915" t="s">
        <v>3301</v>
      </c>
      <c r="B2915" t="s">
        <v>5323</v>
      </c>
      <c r="C2915" t="s">
        <v>5324</v>
      </c>
      <c r="D2915" t="s">
        <v>3304</v>
      </c>
      <c r="E2915" t="s">
        <v>1931</v>
      </c>
      <c r="F2915" s="2">
        <v>85.71</v>
      </c>
      <c r="G2915">
        <v>3</v>
      </c>
      <c r="H2915" s="2">
        <f>Tabla_Items_Inactivos[[#This Row],[EXISTENCIA]]*Tabla_Items_Inactivos[[#This Row],[COSTO]]</f>
        <v>257.13</v>
      </c>
    </row>
    <row r="2916" spans="1:8">
      <c r="A2916" t="s">
        <v>3300</v>
      </c>
      <c r="B2916" t="s">
        <v>5325</v>
      </c>
      <c r="C2916" t="s">
        <v>5326</v>
      </c>
      <c r="D2916" t="s">
        <v>3375</v>
      </c>
      <c r="E2916" t="s">
        <v>125</v>
      </c>
      <c r="F2916" s="2">
        <v>130.2937</v>
      </c>
      <c r="G2916">
        <v>2</v>
      </c>
      <c r="H2916" s="2">
        <f>Tabla_Items_Inactivos[[#This Row],[EXISTENCIA]]*Tabla_Items_Inactivos[[#This Row],[COSTO]]</f>
        <v>260.5874</v>
      </c>
    </row>
    <row r="2917" spans="1:8">
      <c r="A2917" t="s">
        <v>3301</v>
      </c>
      <c r="B2917" t="s">
        <v>5325</v>
      </c>
      <c r="C2917" t="s">
        <v>5326</v>
      </c>
      <c r="D2917" t="s">
        <v>3375</v>
      </c>
      <c r="E2917" t="s">
        <v>125</v>
      </c>
      <c r="F2917" s="2">
        <v>130.2937</v>
      </c>
      <c r="G2917">
        <v>2</v>
      </c>
      <c r="H2917" s="2">
        <f>Tabla_Items_Inactivos[[#This Row],[EXISTENCIA]]*Tabla_Items_Inactivos[[#This Row],[COSTO]]</f>
        <v>260.5874</v>
      </c>
    </row>
    <row r="2918" spans="1:8">
      <c r="A2918" t="s">
        <v>3301</v>
      </c>
      <c r="B2918" t="s">
        <v>5327</v>
      </c>
      <c r="C2918" t="s">
        <v>5328</v>
      </c>
      <c r="D2918" t="s">
        <v>3375</v>
      </c>
      <c r="E2918" t="s">
        <v>125</v>
      </c>
      <c r="F2918" s="2">
        <v>507.57549999999998</v>
      </c>
      <c r="G2918">
        <v>2</v>
      </c>
      <c r="H2918" s="2">
        <f>Tabla_Items_Inactivos[[#This Row],[EXISTENCIA]]*Tabla_Items_Inactivos[[#This Row],[COSTO]]</f>
        <v>1015.151</v>
      </c>
    </row>
    <row r="2919" spans="1:8">
      <c r="A2919" t="s">
        <v>3300</v>
      </c>
      <c r="B2919" t="s">
        <v>5327</v>
      </c>
      <c r="C2919" t="s">
        <v>5328</v>
      </c>
      <c r="D2919" t="s">
        <v>3375</v>
      </c>
      <c r="E2919" t="s">
        <v>125</v>
      </c>
      <c r="F2919" s="2">
        <v>507.57549999999998</v>
      </c>
      <c r="G2919">
        <v>2</v>
      </c>
      <c r="H2919" s="2">
        <f>Tabla_Items_Inactivos[[#This Row],[EXISTENCIA]]*Tabla_Items_Inactivos[[#This Row],[COSTO]]</f>
        <v>1015.151</v>
      </c>
    </row>
    <row r="2920" spans="1:8">
      <c r="A2920" t="s">
        <v>3299</v>
      </c>
      <c r="B2920" t="s">
        <v>2000</v>
      </c>
      <c r="C2920" t="s">
        <v>2001</v>
      </c>
      <c r="D2920" t="s">
        <v>580</v>
      </c>
      <c r="E2920" t="s">
        <v>581</v>
      </c>
      <c r="F2920" s="2">
        <v>38.896999999999998</v>
      </c>
      <c r="G2920">
        <v>20</v>
      </c>
      <c r="H2920" s="2">
        <f>Tabla_Items_Inactivos[[#This Row],[EXISTENCIA]]*Tabla_Items_Inactivos[[#This Row],[COSTO]]</f>
        <v>777.93999999999994</v>
      </c>
    </row>
    <row r="2921" spans="1:8">
      <c r="A2921" t="s">
        <v>3299</v>
      </c>
      <c r="B2921" t="s">
        <v>2002</v>
      </c>
      <c r="C2921" t="s">
        <v>2003</v>
      </c>
      <c r="D2921" t="s">
        <v>101</v>
      </c>
      <c r="E2921" t="s">
        <v>581</v>
      </c>
      <c r="F2921" s="2">
        <v>4.7009999999999996</v>
      </c>
      <c r="G2921">
        <v>1</v>
      </c>
      <c r="H2921" s="2">
        <f>Tabla_Items_Inactivos[[#This Row],[EXISTENCIA]]*Tabla_Items_Inactivos[[#This Row],[COSTO]]</f>
        <v>4.7009999999999996</v>
      </c>
    </row>
    <row r="2922" spans="1:8">
      <c r="A2922" t="s">
        <v>3299</v>
      </c>
      <c r="B2922" t="s">
        <v>2004</v>
      </c>
      <c r="C2922" t="s">
        <v>2005</v>
      </c>
      <c r="D2922" t="s">
        <v>101</v>
      </c>
      <c r="E2922" t="s">
        <v>581</v>
      </c>
      <c r="F2922" s="2">
        <v>23.504000000000001</v>
      </c>
      <c r="G2922">
        <v>7</v>
      </c>
      <c r="H2922" s="2">
        <f>Tabla_Items_Inactivos[[#This Row],[EXISTENCIA]]*Tabla_Items_Inactivos[[#This Row],[COSTO]]</f>
        <v>164.52800000000002</v>
      </c>
    </row>
    <row r="2923" spans="1:8">
      <c r="A2923" t="s">
        <v>3301</v>
      </c>
      <c r="B2923" t="s">
        <v>2006</v>
      </c>
      <c r="C2923" t="s">
        <v>2007</v>
      </c>
      <c r="D2923" t="s">
        <v>580</v>
      </c>
      <c r="E2923" t="s">
        <v>619</v>
      </c>
      <c r="F2923" s="2">
        <v>2.8961000000000001</v>
      </c>
      <c r="G2923">
        <v>182</v>
      </c>
      <c r="H2923" s="2">
        <f>Tabla_Items_Inactivos[[#This Row],[EXISTENCIA]]*Tabla_Items_Inactivos[[#This Row],[COSTO]]</f>
        <v>527.09019999999998</v>
      </c>
    </row>
    <row r="2924" spans="1:8">
      <c r="A2924" t="s">
        <v>3299</v>
      </c>
      <c r="B2924" t="s">
        <v>2006</v>
      </c>
      <c r="C2924" t="s">
        <v>2007</v>
      </c>
      <c r="D2924" t="s">
        <v>580</v>
      </c>
      <c r="E2924" t="s">
        <v>619</v>
      </c>
      <c r="F2924" s="2">
        <v>2.8961000000000001</v>
      </c>
      <c r="G2924">
        <v>182</v>
      </c>
      <c r="H2924" s="2">
        <f>Tabla_Items_Inactivos[[#This Row],[EXISTENCIA]]*Tabla_Items_Inactivos[[#This Row],[COSTO]]</f>
        <v>527.09019999999998</v>
      </c>
    </row>
    <row r="2925" spans="1:8">
      <c r="A2925" t="s">
        <v>3301</v>
      </c>
      <c r="B2925" t="s">
        <v>2008</v>
      </c>
      <c r="C2925" t="s">
        <v>2009</v>
      </c>
      <c r="D2925" t="s">
        <v>580</v>
      </c>
      <c r="E2925" t="s">
        <v>619</v>
      </c>
      <c r="F2925" s="2">
        <v>4.1332000000000004</v>
      </c>
      <c r="G2925">
        <v>67</v>
      </c>
      <c r="H2925" s="2">
        <f>Tabla_Items_Inactivos[[#This Row],[EXISTENCIA]]*Tabla_Items_Inactivos[[#This Row],[COSTO]]</f>
        <v>276.92440000000005</v>
      </c>
    </row>
    <row r="2926" spans="1:8">
      <c r="A2926" t="s">
        <v>3299</v>
      </c>
      <c r="B2926" t="s">
        <v>2008</v>
      </c>
      <c r="C2926" t="s">
        <v>2009</v>
      </c>
      <c r="D2926" t="s">
        <v>580</v>
      </c>
      <c r="E2926" t="s">
        <v>619</v>
      </c>
      <c r="F2926" s="2">
        <v>4.1332000000000004</v>
      </c>
      <c r="G2926">
        <v>67</v>
      </c>
      <c r="H2926" s="2">
        <f>Tabla_Items_Inactivos[[#This Row],[EXISTENCIA]]*Tabla_Items_Inactivos[[#This Row],[COSTO]]</f>
        <v>276.92440000000005</v>
      </c>
    </row>
    <row r="2927" spans="1:8">
      <c r="A2927" t="s">
        <v>3301</v>
      </c>
      <c r="B2927" t="s">
        <v>2010</v>
      </c>
      <c r="C2927" t="s">
        <v>5329</v>
      </c>
      <c r="D2927" t="s">
        <v>618</v>
      </c>
      <c r="E2927" t="s">
        <v>626</v>
      </c>
      <c r="F2927" s="2">
        <v>7.7084000000000001</v>
      </c>
      <c r="G2927">
        <v>97</v>
      </c>
      <c r="H2927" s="2">
        <f>Tabla_Items_Inactivos[[#This Row],[EXISTENCIA]]*Tabla_Items_Inactivos[[#This Row],[COSTO]]</f>
        <v>747.71479999999997</v>
      </c>
    </row>
    <row r="2928" spans="1:8">
      <c r="A2928" t="s">
        <v>3299</v>
      </c>
      <c r="B2928" t="s">
        <v>2010</v>
      </c>
      <c r="C2928" t="s">
        <v>5329</v>
      </c>
      <c r="D2928" t="s">
        <v>618</v>
      </c>
      <c r="E2928" t="s">
        <v>626</v>
      </c>
      <c r="F2928" s="2">
        <v>7.7084000000000001</v>
      </c>
      <c r="G2928">
        <v>97</v>
      </c>
      <c r="H2928" s="2">
        <f>Tabla_Items_Inactivos[[#This Row],[EXISTENCIA]]*Tabla_Items_Inactivos[[#This Row],[COSTO]]</f>
        <v>747.71479999999997</v>
      </c>
    </row>
    <row r="2929" spans="1:8">
      <c r="A2929" t="s">
        <v>3301</v>
      </c>
      <c r="B2929" t="s">
        <v>2011</v>
      </c>
      <c r="C2929" t="s">
        <v>2012</v>
      </c>
      <c r="D2929" t="s">
        <v>618</v>
      </c>
      <c r="E2929" t="s">
        <v>626</v>
      </c>
      <c r="F2929" s="2">
        <v>3.9529000000000001</v>
      </c>
      <c r="G2929">
        <v>402</v>
      </c>
      <c r="H2929" s="2">
        <f>Tabla_Items_Inactivos[[#This Row],[EXISTENCIA]]*Tabla_Items_Inactivos[[#This Row],[COSTO]]</f>
        <v>1589.0658000000001</v>
      </c>
    </row>
    <row r="2930" spans="1:8">
      <c r="A2930" t="s">
        <v>3299</v>
      </c>
      <c r="B2930" t="s">
        <v>2011</v>
      </c>
      <c r="C2930" t="s">
        <v>2012</v>
      </c>
      <c r="D2930" t="s">
        <v>618</v>
      </c>
      <c r="E2930" t="s">
        <v>626</v>
      </c>
      <c r="F2930" s="2">
        <v>3.9529000000000001</v>
      </c>
      <c r="G2930">
        <v>402</v>
      </c>
      <c r="H2930" s="2">
        <f>Tabla_Items_Inactivos[[#This Row],[EXISTENCIA]]*Tabla_Items_Inactivos[[#This Row],[COSTO]]</f>
        <v>1589.0658000000001</v>
      </c>
    </row>
    <row r="2931" spans="1:8">
      <c r="A2931" t="s">
        <v>3301</v>
      </c>
      <c r="B2931" t="s">
        <v>2013</v>
      </c>
      <c r="C2931" t="s">
        <v>2014</v>
      </c>
      <c r="D2931" t="s">
        <v>580</v>
      </c>
      <c r="E2931" t="s">
        <v>619</v>
      </c>
      <c r="F2931" s="2">
        <v>3.5794000000000001</v>
      </c>
      <c r="G2931">
        <v>299</v>
      </c>
      <c r="H2931" s="2">
        <f>Tabla_Items_Inactivos[[#This Row],[EXISTENCIA]]*Tabla_Items_Inactivos[[#This Row],[COSTO]]</f>
        <v>1070.2406000000001</v>
      </c>
    </row>
    <row r="2932" spans="1:8">
      <c r="A2932" t="s">
        <v>3299</v>
      </c>
      <c r="B2932" t="s">
        <v>2013</v>
      </c>
      <c r="C2932" t="s">
        <v>2014</v>
      </c>
      <c r="D2932" t="s">
        <v>580</v>
      </c>
      <c r="E2932" t="s">
        <v>619</v>
      </c>
      <c r="F2932" s="2">
        <v>3.5794000000000001</v>
      </c>
      <c r="G2932">
        <v>299</v>
      </c>
      <c r="H2932" s="2">
        <f>Tabla_Items_Inactivos[[#This Row],[EXISTENCIA]]*Tabla_Items_Inactivos[[#This Row],[COSTO]]</f>
        <v>1070.2406000000001</v>
      </c>
    </row>
    <row r="2933" spans="1:8">
      <c r="A2933" t="s">
        <v>3301</v>
      </c>
      <c r="B2933" t="s">
        <v>2015</v>
      </c>
      <c r="C2933" t="s">
        <v>2016</v>
      </c>
      <c r="D2933" t="s">
        <v>618</v>
      </c>
      <c r="E2933" t="s">
        <v>626</v>
      </c>
      <c r="F2933" s="2">
        <v>3.9066000000000001</v>
      </c>
      <c r="G2933">
        <v>313</v>
      </c>
      <c r="H2933" s="2">
        <f>Tabla_Items_Inactivos[[#This Row],[EXISTENCIA]]*Tabla_Items_Inactivos[[#This Row],[COSTO]]</f>
        <v>1222.7658000000001</v>
      </c>
    </row>
    <row r="2934" spans="1:8">
      <c r="A2934" t="s">
        <v>3299</v>
      </c>
      <c r="B2934" t="s">
        <v>2015</v>
      </c>
      <c r="C2934" t="s">
        <v>2016</v>
      </c>
      <c r="D2934" t="s">
        <v>618</v>
      </c>
      <c r="E2934" t="s">
        <v>626</v>
      </c>
      <c r="F2934" s="2">
        <v>3.9066000000000001</v>
      </c>
      <c r="G2934">
        <v>313</v>
      </c>
      <c r="H2934" s="2">
        <f>Tabla_Items_Inactivos[[#This Row],[EXISTENCIA]]*Tabla_Items_Inactivos[[#This Row],[COSTO]]</f>
        <v>1222.7658000000001</v>
      </c>
    </row>
    <row r="2935" spans="1:8">
      <c r="A2935" t="s">
        <v>3299</v>
      </c>
      <c r="B2935" t="s">
        <v>2017</v>
      </c>
      <c r="C2935" t="s">
        <v>2018</v>
      </c>
      <c r="D2935" t="s">
        <v>618</v>
      </c>
      <c r="E2935" t="s">
        <v>626</v>
      </c>
      <c r="F2935" s="2">
        <v>6.0670999999999999</v>
      </c>
      <c r="G2935">
        <v>387</v>
      </c>
      <c r="H2935" s="2">
        <f>Tabla_Items_Inactivos[[#This Row],[EXISTENCIA]]*Tabla_Items_Inactivos[[#This Row],[COSTO]]</f>
        <v>2347.9677000000001</v>
      </c>
    </row>
    <row r="2936" spans="1:8">
      <c r="A2936" t="s">
        <v>3299</v>
      </c>
      <c r="B2936" t="s">
        <v>2019</v>
      </c>
      <c r="C2936" t="s">
        <v>2020</v>
      </c>
      <c r="D2936" t="s">
        <v>580</v>
      </c>
      <c r="E2936" t="s">
        <v>619</v>
      </c>
      <c r="F2936" s="2">
        <v>6.1135000000000002</v>
      </c>
      <c r="G2936">
        <v>55</v>
      </c>
      <c r="H2936" s="2">
        <f>Tabla_Items_Inactivos[[#This Row],[EXISTENCIA]]*Tabla_Items_Inactivos[[#This Row],[COSTO]]</f>
        <v>336.24250000000001</v>
      </c>
    </row>
    <row r="2937" spans="1:8">
      <c r="A2937" t="s">
        <v>3301</v>
      </c>
      <c r="B2937" t="s">
        <v>2021</v>
      </c>
      <c r="C2937" t="s">
        <v>2022</v>
      </c>
      <c r="D2937" t="s">
        <v>580</v>
      </c>
      <c r="E2937" t="s">
        <v>619</v>
      </c>
      <c r="F2937" s="2">
        <v>2.4794999999999998</v>
      </c>
      <c r="G2937">
        <v>1276</v>
      </c>
      <c r="H2937" s="2">
        <f>Tabla_Items_Inactivos[[#This Row],[EXISTENCIA]]*Tabla_Items_Inactivos[[#This Row],[COSTO]]</f>
        <v>3163.8419999999996</v>
      </c>
    </row>
    <row r="2938" spans="1:8">
      <c r="A2938" t="s">
        <v>3299</v>
      </c>
      <c r="B2938" t="s">
        <v>2021</v>
      </c>
      <c r="C2938" t="s">
        <v>2022</v>
      </c>
      <c r="D2938" t="s">
        <v>580</v>
      </c>
      <c r="E2938" t="s">
        <v>619</v>
      </c>
      <c r="F2938" s="2">
        <v>2.4794999999999998</v>
      </c>
      <c r="G2938">
        <v>1276</v>
      </c>
      <c r="H2938" s="2">
        <f>Tabla_Items_Inactivos[[#This Row],[EXISTENCIA]]*Tabla_Items_Inactivos[[#This Row],[COSTO]]</f>
        <v>3163.8419999999996</v>
      </c>
    </row>
    <row r="2939" spans="1:8">
      <c r="A2939" t="s">
        <v>3301</v>
      </c>
      <c r="B2939" t="s">
        <v>2023</v>
      </c>
      <c r="C2939" t="s">
        <v>2024</v>
      </c>
      <c r="D2939" t="s">
        <v>580</v>
      </c>
      <c r="E2939" t="s">
        <v>619</v>
      </c>
      <c r="F2939" s="2">
        <v>10.9139</v>
      </c>
      <c r="G2939">
        <v>290</v>
      </c>
      <c r="H2939" s="2">
        <f>Tabla_Items_Inactivos[[#This Row],[EXISTENCIA]]*Tabla_Items_Inactivos[[#This Row],[COSTO]]</f>
        <v>3165.0309999999999</v>
      </c>
    </row>
    <row r="2940" spans="1:8">
      <c r="A2940" t="s">
        <v>3299</v>
      </c>
      <c r="B2940" t="s">
        <v>2023</v>
      </c>
      <c r="C2940" t="s">
        <v>2024</v>
      </c>
      <c r="D2940" t="s">
        <v>580</v>
      </c>
      <c r="E2940" t="s">
        <v>619</v>
      </c>
      <c r="F2940" s="2">
        <v>10.9139</v>
      </c>
      <c r="G2940">
        <v>290</v>
      </c>
      <c r="H2940" s="2">
        <f>Tabla_Items_Inactivos[[#This Row],[EXISTENCIA]]*Tabla_Items_Inactivos[[#This Row],[COSTO]]</f>
        <v>3165.0309999999999</v>
      </c>
    </row>
    <row r="2941" spans="1:8">
      <c r="A2941" t="s">
        <v>3299</v>
      </c>
      <c r="B2941" t="s">
        <v>2025</v>
      </c>
      <c r="C2941" t="s">
        <v>2026</v>
      </c>
      <c r="D2941" t="s">
        <v>580</v>
      </c>
      <c r="E2941" t="s">
        <v>619</v>
      </c>
      <c r="F2941" s="2">
        <v>1.3338000000000001</v>
      </c>
      <c r="G2941">
        <v>769</v>
      </c>
      <c r="H2941" s="2">
        <f>Tabla_Items_Inactivos[[#This Row],[EXISTENCIA]]*Tabla_Items_Inactivos[[#This Row],[COSTO]]</f>
        <v>1025.6922000000002</v>
      </c>
    </row>
    <row r="2942" spans="1:8">
      <c r="A2942" t="s">
        <v>3301</v>
      </c>
      <c r="B2942" t="s">
        <v>2025</v>
      </c>
      <c r="C2942" t="s">
        <v>2026</v>
      </c>
      <c r="D2942" t="s">
        <v>580</v>
      </c>
      <c r="E2942" t="s">
        <v>619</v>
      </c>
      <c r="F2942" s="2">
        <v>1.3338000000000001</v>
      </c>
      <c r="G2942">
        <v>769</v>
      </c>
      <c r="H2942" s="2">
        <f>Tabla_Items_Inactivos[[#This Row],[EXISTENCIA]]*Tabla_Items_Inactivos[[#This Row],[COSTO]]</f>
        <v>1025.6922000000002</v>
      </c>
    </row>
    <row r="2943" spans="1:8">
      <c r="A2943" t="s">
        <v>3299</v>
      </c>
      <c r="B2943" t="s">
        <v>2027</v>
      </c>
      <c r="C2943" t="s">
        <v>2028</v>
      </c>
      <c r="D2943" t="s">
        <v>580</v>
      </c>
      <c r="E2943" t="s">
        <v>619</v>
      </c>
      <c r="F2943" s="2">
        <v>5.9234999999999998</v>
      </c>
      <c r="G2943">
        <v>486</v>
      </c>
      <c r="H2943" s="2">
        <f>Tabla_Items_Inactivos[[#This Row],[EXISTENCIA]]*Tabla_Items_Inactivos[[#This Row],[COSTO]]</f>
        <v>2878.8209999999999</v>
      </c>
    </row>
    <row r="2944" spans="1:8">
      <c r="A2944" t="s">
        <v>3301</v>
      </c>
      <c r="B2944" t="s">
        <v>2027</v>
      </c>
      <c r="C2944" t="s">
        <v>2028</v>
      </c>
      <c r="D2944" t="s">
        <v>580</v>
      </c>
      <c r="E2944" t="s">
        <v>619</v>
      </c>
      <c r="F2944" s="2">
        <v>5.9234999999999998</v>
      </c>
      <c r="G2944">
        <v>486</v>
      </c>
      <c r="H2944" s="2">
        <f>Tabla_Items_Inactivos[[#This Row],[EXISTENCIA]]*Tabla_Items_Inactivos[[#This Row],[COSTO]]</f>
        <v>2878.8209999999999</v>
      </c>
    </row>
    <row r="2945" spans="1:8">
      <c r="A2945" t="s">
        <v>3301</v>
      </c>
      <c r="B2945" t="s">
        <v>2029</v>
      </c>
      <c r="C2945" t="s">
        <v>2030</v>
      </c>
      <c r="D2945" t="s">
        <v>580</v>
      </c>
      <c r="E2945" t="s">
        <v>619</v>
      </c>
      <c r="F2945" s="2">
        <v>2.8092000000000001</v>
      </c>
      <c r="G2945">
        <v>303</v>
      </c>
      <c r="H2945" s="2">
        <f>Tabla_Items_Inactivos[[#This Row],[EXISTENCIA]]*Tabla_Items_Inactivos[[#This Row],[COSTO]]</f>
        <v>851.18760000000009</v>
      </c>
    </row>
    <row r="2946" spans="1:8">
      <c r="A2946" t="s">
        <v>3299</v>
      </c>
      <c r="B2946" t="s">
        <v>2029</v>
      </c>
      <c r="C2946" t="s">
        <v>2030</v>
      </c>
      <c r="D2946" t="s">
        <v>580</v>
      </c>
      <c r="E2946" t="s">
        <v>619</v>
      </c>
      <c r="F2946" s="2">
        <v>2.8092000000000001</v>
      </c>
      <c r="G2946">
        <v>303</v>
      </c>
      <c r="H2946" s="2">
        <f>Tabla_Items_Inactivos[[#This Row],[EXISTENCIA]]*Tabla_Items_Inactivos[[#This Row],[COSTO]]</f>
        <v>851.18760000000009</v>
      </c>
    </row>
    <row r="2947" spans="1:8">
      <c r="A2947" t="s">
        <v>3299</v>
      </c>
      <c r="B2947" t="s">
        <v>2031</v>
      </c>
      <c r="C2947" t="s">
        <v>2032</v>
      </c>
      <c r="D2947" t="s">
        <v>580</v>
      </c>
      <c r="E2947" t="s">
        <v>619</v>
      </c>
      <c r="F2947" s="2">
        <v>1.573</v>
      </c>
      <c r="G2947">
        <v>1323</v>
      </c>
      <c r="H2947" s="2">
        <f>Tabla_Items_Inactivos[[#This Row],[EXISTENCIA]]*Tabla_Items_Inactivos[[#This Row],[COSTO]]</f>
        <v>2081.0789999999997</v>
      </c>
    </row>
    <row r="2948" spans="1:8">
      <c r="A2948" t="s">
        <v>3301</v>
      </c>
      <c r="B2948" t="s">
        <v>2031</v>
      </c>
      <c r="C2948" t="s">
        <v>2032</v>
      </c>
      <c r="D2948" t="s">
        <v>580</v>
      </c>
      <c r="E2948" t="s">
        <v>619</v>
      </c>
      <c r="F2948" s="2">
        <v>1.573</v>
      </c>
      <c r="G2948">
        <v>1323</v>
      </c>
      <c r="H2948" s="2">
        <f>Tabla_Items_Inactivos[[#This Row],[EXISTENCIA]]*Tabla_Items_Inactivos[[#This Row],[COSTO]]</f>
        <v>2081.0789999999997</v>
      </c>
    </row>
    <row r="2949" spans="1:8">
      <c r="A2949" t="s">
        <v>3301</v>
      </c>
      <c r="B2949" t="s">
        <v>2033</v>
      </c>
      <c r="C2949" t="s">
        <v>2034</v>
      </c>
      <c r="D2949" t="s">
        <v>580</v>
      </c>
      <c r="E2949" t="s">
        <v>619</v>
      </c>
      <c r="F2949" s="2">
        <v>0.87170000000000003</v>
      </c>
      <c r="G2949">
        <v>243</v>
      </c>
      <c r="H2949" s="2">
        <f>Tabla_Items_Inactivos[[#This Row],[EXISTENCIA]]*Tabla_Items_Inactivos[[#This Row],[COSTO]]</f>
        <v>211.82310000000001</v>
      </c>
    </row>
    <row r="2950" spans="1:8">
      <c r="A2950" t="s">
        <v>3299</v>
      </c>
      <c r="B2950" t="s">
        <v>2033</v>
      </c>
      <c r="C2950" t="s">
        <v>2034</v>
      </c>
      <c r="D2950" t="s">
        <v>580</v>
      </c>
      <c r="E2950" t="s">
        <v>619</v>
      </c>
      <c r="F2950" s="2">
        <v>0.87170000000000003</v>
      </c>
      <c r="G2950">
        <v>243</v>
      </c>
      <c r="H2950" s="2">
        <f>Tabla_Items_Inactivos[[#This Row],[EXISTENCIA]]*Tabla_Items_Inactivos[[#This Row],[COSTO]]</f>
        <v>211.82310000000001</v>
      </c>
    </row>
    <row r="2951" spans="1:8">
      <c r="A2951" t="s">
        <v>3301</v>
      </c>
      <c r="B2951" t="s">
        <v>2035</v>
      </c>
      <c r="C2951" t="s">
        <v>2036</v>
      </c>
      <c r="D2951" t="s">
        <v>618</v>
      </c>
      <c r="E2951" t="s">
        <v>626</v>
      </c>
      <c r="F2951" s="2">
        <v>1.7827999999999999</v>
      </c>
      <c r="G2951">
        <v>1103</v>
      </c>
      <c r="H2951" s="2">
        <f>Tabla_Items_Inactivos[[#This Row],[EXISTENCIA]]*Tabla_Items_Inactivos[[#This Row],[COSTO]]</f>
        <v>1966.4284</v>
      </c>
    </row>
    <row r="2952" spans="1:8">
      <c r="A2952" t="s">
        <v>3299</v>
      </c>
      <c r="B2952" t="s">
        <v>2035</v>
      </c>
      <c r="C2952" t="s">
        <v>2036</v>
      </c>
      <c r="D2952" t="s">
        <v>618</v>
      </c>
      <c r="E2952" t="s">
        <v>626</v>
      </c>
      <c r="F2952" s="2">
        <v>1.7827999999999999</v>
      </c>
      <c r="G2952">
        <v>1103</v>
      </c>
      <c r="H2952" s="2">
        <f>Tabla_Items_Inactivos[[#This Row],[EXISTENCIA]]*Tabla_Items_Inactivos[[#This Row],[COSTO]]</f>
        <v>1966.4284</v>
      </c>
    </row>
    <row r="2953" spans="1:8">
      <c r="A2953" t="s">
        <v>3299</v>
      </c>
      <c r="B2953" t="s">
        <v>2037</v>
      </c>
      <c r="C2953" t="s">
        <v>2038</v>
      </c>
      <c r="D2953" t="s">
        <v>618</v>
      </c>
      <c r="E2953" t="s">
        <v>626</v>
      </c>
      <c r="F2953" s="2">
        <v>13.443199999999999</v>
      </c>
      <c r="G2953">
        <v>94</v>
      </c>
      <c r="H2953" s="2">
        <f>Tabla_Items_Inactivos[[#This Row],[EXISTENCIA]]*Tabla_Items_Inactivos[[#This Row],[COSTO]]</f>
        <v>1263.6607999999999</v>
      </c>
    </row>
    <row r="2954" spans="1:8">
      <c r="A2954" t="s">
        <v>3299</v>
      </c>
      <c r="B2954" t="s">
        <v>2039</v>
      </c>
      <c r="C2954" t="s">
        <v>2040</v>
      </c>
      <c r="D2954" t="s">
        <v>580</v>
      </c>
      <c r="E2954" t="s">
        <v>619</v>
      </c>
      <c r="F2954" s="2">
        <v>2.9874000000000001</v>
      </c>
      <c r="G2954">
        <v>735</v>
      </c>
      <c r="H2954" s="2">
        <f>Tabla_Items_Inactivos[[#This Row],[EXISTENCIA]]*Tabla_Items_Inactivos[[#This Row],[COSTO]]</f>
        <v>2195.739</v>
      </c>
    </row>
    <row r="2955" spans="1:8">
      <c r="A2955" t="s">
        <v>3301</v>
      </c>
      <c r="B2955" t="s">
        <v>2039</v>
      </c>
      <c r="C2955" t="s">
        <v>2040</v>
      </c>
      <c r="D2955" t="s">
        <v>580</v>
      </c>
      <c r="E2955" t="s">
        <v>619</v>
      </c>
      <c r="F2955" s="2">
        <v>2.9874000000000001</v>
      </c>
      <c r="G2955">
        <v>735</v>
      </c>
      <c r="H2955" s="2">
        <f>Tabla_Items_Inactivos[[#This Row],[EXISTENCIA]]*Tabla_Items_Inactivos[[#This Row],[COSTO]]</f>
        <v>2195.739</v>
      </c>
    </row>
    <row r="2956" spans="1:8">
      <c r="A2956" t="s">
        <v>3301</v>
      </c>
      <c r="B2956" t="s">
        <v>2041</v>
      </c>
      <c r="C2956" t="s">
        <v>2042</v>
      </c>
      <c r="D2956" t="s">
        <v>580</v>
      </c>
      <c r="E2956" t="s">
        <v>619</v>
      </c>
      <c r="F2956" s="2">
        <v>1.2919</v>
      </c>
      <c r="G2956">
        <v>608</v>
      </c>
      <c r="H2956" s="2">
        <f>Tabla_Items_Inactivos[[#This Row],[EXISTENCIA]]*Tabla_Items_Inactivos[[#This Row],[COSTO]]</f>
        <v>785.47520000000009</v>
      </c>
    </row>
    <row r="2957" spans="1:8">
      <c r="A2957" t="s">
        <v>3299</v>
      </c>
      <c r="B2957" t="s">
        <v>2041</v>
      </c>
      <c r="C2957" t="s">
        <v>2042</v>
      </c>
      <c r="D2957" t="s">
        <v>580</v>
      </c>
      <c r="E2957" t="s">
        <v>619</v>
      </c>
      <c r="F2957" s="2">
        <v>1.2919</v>
      </c>
      <c r="G2957">
        <v>608</v>
      </c>
      <c r="H2957" s="2">
        <f>Tabla_Items_Inactivos[[#This Row],[EXISTENCIA]]*Tabla_Items_Inactivos[[#This Row],[COSTO]]</f>
        <v>785.47520000000009</v>
      </c>
    </row>
    <row r="2958" spans="1:8">
      <c r="A2958" t="s">
        <v>3301</v>
      </c>
      <c r="B2958" t="s">
        <v>2043</v>
      </c>
      <c r="C2958" t="s">
        <v>2044</v>
      </c>
      <c r="D2958" t="s">
        <v>580</v>
      </c>
      <c r="E2958" t="s">
        <v>619</v>
      </c>
      <c r="F2958" s="2">
        <v>3.5701999999999998</v>
      </c>
      <c r="G2958">
        <v>337</v>
      </c>
      <c r="H2958" s="2">
        <f>Tabla_Items_Inactivos[[#This Row],[EXISTENCIA]]*Tabla_Items_Inactivos[[#This Row],[COSTO]]</f>
        <v>1203.1574000000001</v>
      </c>
    </row>
    <row r="2959" spans="1:8">
      <c r="A2959" t="s">
        <v>3299</v>
      </c>
      <c r="B2959" t="s">
        <v>2043</v>
      </c>
      <c r="C2959" t="s">
        <v>2044</v>
      </c>
      <c r="D2959" t="s">
        <v>580</v>
      </c>
      <c r="E2959" t="s">
        <v>619</v>
      </c>
      <c r="F2959" s="2">
        <v>3.5701999999999998</v>
      </c>
      <c r="G2959">
        <v>337</v>
      </c>
      <c r="H2959" s="2">
        <f>Tabla_Items_Inactivos[[#This Row],[EXISTENCIA]]*Tabla_Items_Inactivos[[#This Row],[COSTO]]</f>
        <v>1203.1574000000001</v>
      </c>
    </row>
    <row r="2960" spans="1:8">
      <c r="A2960" t="s">
        <v>3299</v>
      </c>
      <c r="B2960" t="s">
        <v>2045</v>
      </c>
      <c r="C2960" t="s">
        <v>2046</v>
      </c>
      <c r="D2960" t="s">
        <v>618</v>
      </c>
      <c r="E2960" t="s">
        <v>626</v>
      </c>
      <c r="F2960" s="2">
        <v>5.1585999999999999</v>
      </c>
      <c r="G2960">
        <v>511</v>
      </c>
      <c r="H2960" s="2">
        <f>Tabla_Items_Inactivos[[#This Row],[EXISTENCIA]]*Tabla_Items_Inactivos[[#This Row],[COSTO]]</f>
        <v>2636.0445999999997</v>
      </c>
    </row>
    <row r="2961" spans="1:8">
      <c r="A2961" t="s">
        <v>3301</v>
      </c>
      <c r="B2961" t="s">
        <v>2045</v>
      </c>
      <c r="C2961" t="s">
        <v>2046</v>
      </c>
      <c r="D2961" t="s">
        <v>618</v>
      </c>
      <c r="E2961" t="s">
        <v>626</v>
      </c>
      <c r="F2961" s="2">
        <v>5.1585999999999999</v>
      </c>
      <c r="G2961">
        <v>511</v>
      </c>
      <c r="H2961" s="2">
        <f>Tabla_Items_Inactivos[[#This Row],[EXISTENCIA]]*Tabla_Items_Inactivos[[#This Row],[COSTO]]</f>
        <v>2636.0445999999997</v>
      </c>
    </row>
    <row r="2962" spans="1:8">
      <c r="A2962" t="s">
        <v>3301</v>
      </c>
      <c r="B2962" t="s">
        <v>2047</v>
      </c>
      <c r="C2962" t="s">
        <v>2048</v>
      </c>
      <c r="D2962" t="s">
        <v>618</v>
      </c>
      <c r="E2962" t="s">
        <v>626</v>
      </c>
      <c r="F2962" s="2">
        <v>2.7452000000000001</v>
      </c>
      <c r="G2962">
        <v>683</v>
      </c>
      <c r="H2962" s="2">
        <f>Tabla_Items_Inactivos[[#This Row],[EXISTENCIA]]*Tabla_Items_Inactivos[[#This Row],[COSTO]]</f>
        <v>1874.9716000000001</v>
      </c>
    </row>
    <row r="2963" spans="1:8">
      <c r="A2963" t="s">
        <v>3299</v>
      </c>
      <c r="B2963" t="s">
        <v>2047</v>
      </c>
      <c r="C2963" t="s">
        <v>2048</v>
      </c>
      <c r="D2963" t="s">
        <v>618</v>
      </c>
      <c r="E2963" t="s">
        <v>626</v>
      </c>
      <c r="F2963" s="2">
        <v>2.7452000000000001</v>
      </c>
      <c r="G2963">
        <v>683</v>
      </c>
      <c r="H2963" s="2">
        <f>Tabla_Items_Inactivos[[#This Row],[EXISTENCIA]]*Tabla_Items_Inactivos[[#This Row],[COSTO]]</f>
        <v>1874.9716000000001</v>
      </c>
    </row>
    <row r="2964" spans="1:8">
      <c r="A2964" t="s">
        <v>3299</v>
      </c>
      <c r="B2964" t="s">
        <v>2049</v>
      </c>
      <c r="C2964" t="s">
        <v>2050</v>
      </c>
      <c r="D2964" t="s">
        <v>580</v>
      </c>
      <c r="E2964" t="s">
        <v>619</v>
      </c>
      <c r="F2964" s="2">
        <v>11.8254</v>
      </c>
      <c r="G2964">
        <v>39</v>
      </c>
      <c r="H2964" s="2">
        <f>Tabla_Items_Inactivos[[#This Row],[EXISTENCIA]]*Tabla_Items_Inactivos[[#This Row],[COSTO]]</f>
        <v>461.19060000000002</v>
      </c>
    </row>
    <row r="2965" spans="1:8">
      <c r="A2965" t="s">
        <v>3299</v>
      </c>
      <c r="B2965" t="s">
        <v>2051</v>
      </c>
      <c r="C2965" t="s">
        <v>2052</v>
      </c>
      <c r="D2965" t="s">
        <v>580</v>
      </c>
      <c r="E2965" t="s">
        <v>619</v>
      </c>
      <c r="F2965" s="2">
        <v>5.0270000000000001</v>
      </c>
      <c r="G2965">
        <v>10</v>
      </c>
      <c r="H2965" s="2">
        <f>Tabla_Items_Inactivos[[#This Row],[EXISTENCIA]]*Tabla_Items_Inactivos[[#This Row],[COSTO]]</f>
        <v>50.27</v>
      </c>
    </row>
    <row r="2966" spans="1:8">
      <c r="A2966" t="s">
        <v>3300</v>
      </c>
      <c r="B2966" t="s">
        <v>5330</v>
      </c>
      <c r="C2966" t="s">
        <v>5331</v>
      </c>
      <c r="D2966" t="s">
        <v>3430</v>
      </c>
      <c r="E2966" t="s">
        <v>1931</v>
      </c>
      <c r="F2966" s="2">
        <v>721.79</v>
      </c>
      <c r="G2966">
        <v>1</v>
      </c>
      <c r="H2966" s="2">
        <f>Tabla_Items_Inactivos[[#This Row],[EXISTENCIA]]*Tabla_Items_Inactivos[[#This Row],[COSTO]]</f>
        <v>721.79</v>
      </c>
    </row>
    <row r="2967" spans="1:8">
      <c r="A2967" t="s">
        <v>3300</v>
      </c>
      <c r="B2967" t="s">
        <v>2053</v>
      </c>
      <c r="C2967" t="s">
        <v>2054</v>
      </c>
      <c r="D2967" t="s">
        <v>141</v>
      </c>
      <c r="E2967" t="s">
        <v>125</v>
      </c>
      <c r="F2967" s="2">
        <v>0.375</v>
      </c>
      <c r="G2967">
        <v>29</v>
      </c>
      <c r="H2967" s="2">
        <f>Tabla_Items_Inactivos[[#This Row],[EXISTENCIA]]*Tabla_Items_Inactivos[[#This Row],[COSTO]]</f>
        <v>10.875</v>
      </c>
    </row>
    <row r="2968" spans="1:8">
      <c r="A2968" t="s">
        <v>3300</v>
      </c>
      <c r="B2968" t="s">
        <v>2055</v>
      </c>
      <c r="C2968" t="s">
        <v>2056</v>
      </c>
      <c r="D2968" t="s">
        <v>85</v>
      </c>
      <c r="E2968" t="s">
        <v>86</v>
      </c>
      <c r="F2968" s="2">
        <v>0.47599999999999998</v>
      </c>
      <c r="G2968">
        <v>26</v>
      </c>
      <c r="H2968" s="2">
        <f>Tabla_Items_Inactivos[[#This Row],[EXISTENCIA]]*Tabla_Items_Inactivos[[#This Row],[COSTO]]</f>
        <v>12.375999999999999</v>
      </c>
    </row>
    <row r="2969" spans="1:8">
      <c r="A2969" t="s">
        <v>3300</v>
      </c>
      <c r="B2969" t="s">
        <v>2057</v>
      </c>
      <c r="C2969" t="s">
        <v>2058</v>
      </c>
      <c r="D2969" t="s">
        <v>85</v>
      </c>
      <c r="E2969" t="s">
        <v>86</v>
      </c>
      <c r="F2969" s="2">
        <v>0.46899999999999997</v>
      </c>
      <c r="G2969">
        <v>39</v>
      </c>
      <c r="H2969" s="2">
        <f>Tabla_Items_Inactivos[[#This Row],[EXISTENCIA]]*Tabla_Items_Inactivos[[#This Row],[COSTO]]</f>
        <v>18.291</v>
      </c>
    </row>
    <row r="2970" spans="1:8">
      <c r="A2970" t="s">
        <v>3300</v>
      </c>
      <c r="B2970" t="s">
        <v>2059</v>
      </c>
      <c r="C2970" t="s">
        <v>2060</v>
      </c>
      <c r="D2970" t="s">
        <v>208</v>
      </c>
      <c r="E2970" t="s">
        <v>125</v>
      </c>
      <c r="F2970" s="2">
        <v>0.78490000000000004</v>
      </c>
      <c r="G2970">
        <v>19</v>
      </c>
      <c r="H2970" s="2">
        <f>Tabla_Items_Inactivos[[#This Row],[EXISTENCIA]]*Tabla_Items_Inactivos[[#This Row],[COSTO]]</f>
        <v>14.9131</v>
      </c>
    </row>
    <row r="2971" spans="1:8">
      <c r="A2971" t="s">
        <v>3301</v>
      </c>
      <c r="B2971" t="s">
        <v>2059</v>
      </c>
      <c r="C2971" t="s">
        <v>2060</v>
      </c>
      <c r="D2971" t="s">
        <v>208</v>
      </c>
      <c r="E2971" t="s">
        <v>125</v>
      </c>
      <c r="F2971" s="2">
        <v>0.78490000000000004</v>
      </c>
      <c r="G2971">
        <v>19</v>
      </c>
      <c r="H2971" s="2">
        <f>Tabla_Items_Inactivos[[#This Row],[EXISTENCIA]]*Tabla_Items_Inactivos[[#This Row],[COSTO]]</f>
        <v>14.9131</v>
      </c>
    </row>
    <row r="2972" spans="1:8">
      <c r="A2972" t="s">
        <v>3300</v>
      </c>
      <c r="B2972" t="s">
        <v>2061</v>
      </c>
      <c r="C2972" t="s">
        <v>2062</v>
      </c>
      <c r="D2972" t="s">
        <v>85</v>
      </c>
      <c r="E2972" t="s">
        <v>86</v>
      </c>
      <c r="F2972" s="2">
        <v>1.0477000000000001</v>
      </c>
      <c r="G2972">
        <v>47</v>
      </c>
      <c r="H2972" s="2">
        <f>Tabla_Items_Inactivos[[#This Row],[EXISTENCIA]]*Tabla_Items_Inactivos[[#This Row],[COSTO]]</f>
        <v>49.241900000000001</v>
      </c>
    </row>
    <row r="2973" spans="1:8">
      <c r="A2973" t="s">
        <v>3301</v>
      </c>
      <c r="B2973" t="s">
        <v>2061</v>
      </c>
      <c r="C2973" t="s">
        <v>2062</v>
      </c>
      <c r="D2973" t="s">
        <v>85</v>
      </c>
      <c r="E2973" t="s">
        <v>86</v>
      </c>
      <c r="F2973" s="2">
        <v>1.0477000000000001</v>
      </c>
      <c r="G2973">
        <v>47</v>
      </c>
      <c r="H2973" s="2">
        <f>Tabla_Items_Inactivos[[#This Row],[EXISTENCIA]]*Tabla_Items_Inactivos[[#This Row],[COSTO]]</f>
        <v>49.241900000000001</v>
      </c>
    </row>
    <row r="2974" spans="1:8">
      <c r="A2974" t="s">
        <v>3301</v>
      </c>
      <c r="B2974" t="s">
        <v>5332</v>
      </c>
      <c r="C2974" t="s">
        <v>5333</v>
      </c>
      <c r="D2974" t="s">
        <v>128</v>
      </c>
      <c r="E2974" t="s">
        <v>125</v>
      </c>
      <c r="F2974" s="2">
        <v>5.8</v>
      </c>
      <c r="G2974">
        <v>4</v>
      </c>
      <c r="H2974" s="2">
        <f>Tabla_Items_Inactivos[[#This Row],[EXISTENCIA]]*Tabla_Items_Inactivos[[#This Row],[COSTO]]</f>
        <v>23.2</v>
      </c>
    </row>
    <row r="2975" spans="1:8">
      <c r="A2975" t="s">
        <v>3301</v>
      </c>
      <c r="B2975" t="s">
        <v>5334</v>
      </c>
      <c r="C2975" t="s">
        <v>5335</v>
      </c>
      <c r="D2975" t="s">
        <v>128</v>
      </c>
      <c r="E2975" t="s">
        <v>125</v>
      </c>
      <c r="F2975" s="2">
        <v>11</v>
      </c>
      <c r="G2975">
        <v>2</v>
      </c>
      <c r="H2975" s="2">
        <f>Tabla_Items_Inactivos[[#This Row],[EXISTENCIA]]*Tabla_Items_Inactivos[[#This Row],[COSTO]]</f>
        <v>22</v>
      </c>
    </row>
    <row r="2976" spans="1:8">
      <c r="A2976" t="s">
        <v>3300</v>
      </c>
      <c r="B2976" t="s">
        <v>2063</v>
      </c>
      <c r="C2976" t="s">
        <v>2064</v>
      </c>
      <c r="D2976" t="s">
        <v>31</v>
      </c>
      <c r="E2976" t="s">
        <v>125</v>
      </c>
      <c r="F2976" s="2">
        <v>10.967000000000001</v>
      </c>
      <c r="G2976">
        <v>1</v>
      </c>
      <c r="H2976" s="2">
        <f>Tabla_Items_Inactivos[[#This Row],[EXISTENCIA]]*Tabla_Items_Inactivos[[#This Row],[COSTO]]</f>
        <v>10.967000000000001</v>
      </c>
    </row>
    <row r="2977" spans="1:8">
      <c r="A2977" t="s">
        <v>3300</v>
      </c>
      <c r="B2977" t="s">
        <v>2065</v>
      </c>
      <c r="C2977" t="s">
        <v>2066</v>
      </c>
      <c r="D2977" t="s">
        <v>85</v>
      </c>
      <c r="E2977" t="s">
        <v>86</v>
      </c>
      <c r="F2977" s="2">
        <v>2.5</v>
      </c>
      <c r="G2977">
        <v>2</v>
      </c>
      <c r="H2977" s="2">
        <f>Tabla_Items_Inactivos[[#This Row],[EXISTENCIA]]*Tabla_Items_Inactivos[[#This Row],[COSTO]]</f>
        <v>5</v>
      </c>
    </row>
    <row r="2978" spans="1:8">
      <c r="A2978" t="s">
        <v>3300</v>
      </c>
      <c r="B2978" t="s">
        <v>2067</v>
      </c>
      <c r="C2978" t="s">
        <v>2068</v>
      </c>
      <c r="D2978" t="s">
        <v>31</v>
      </c>
      <c r="E2978" t="s">
        <v>125</v>
      </c>
      <c r="F2978" s="2">
        <v>23</v>
      </c>
      <c r="G2978">
        <v>2</v>
      </c>
      <c r="H2978" s="2">
        <f>Tabla_Items_Inactivos[[#This Row],[EXISTENCIA]]*Tabla_Items_Inactivos[[#This Row],[COSTO]]</f>
        <v>46</v>
      </c>
    </row>
    <row r="2979" spans="1:8">
      <c r="A2979" t="s">
        <v>3300</v>
      </c>
      <c r="B2979" t="s">
        <v>2069</v>
      </c>
      <c r="C2979" t="s">
        <v>2070</v>
      </c>
      <c r="D2979" t="s">
        <v>5081</v>
      </c>
      <c r="E2979" t="s">
        <v>125</v>
      </c>
      <c r="F2979" s="2">
        <v>7.75</v>
      </c>
      <c r="G2979">
        <v>11</v>
      </c>
      <c r="H2979" s="2">
        <f>Tabla_Items_Inactivos[[#This Row],[EXISTENCIA]]*Tabla_Items_Inactivos[[#This Row],[COSTO]]</f>
        <v>85.25</v>
      </c>
    </row>
    <row r="2980" spans="1:8">
      <c r="A2980" t="s">
        <v>3300</v>
      </c>
      <c r="B2980" t="s">
        <v>2071</v>
      </c>
      <c r="C2980" t="s">
        <v>2072</v>
      </c>
      <c r="D2980" t="s">
        <v>200</v>
      </c>
      <c r="E2980" t="s">
        <v>125</v>
      </c>
      <c r="F2980" s="2">
        <v>9</v>
      </c>
      <c r="G2980">
        <v>6</v>
      </c>
      <c r="H2980" s="2">
        <f>Tabla_Items_Inactivos[[#This Row],[EXISTENCIA]]*Tabla_Items_Inactivos[[#This Row],[COSTO]]</f>
        <v>54</v>
      </c>
    </row>
    <row r="2981" spans="1:8">
      <c r="A2981" t="s">
        <v>3300</v>
      </c>
      <c r="B2981" t="s">
        <v>2073</v>
      </c>
      <c r="C2981" t="s">
        <v>2074</v>
      </c>
      <c r="D2981" t="s">
        <v>5081</v>
      </c>
      <c r="E2981" t="s">
        <v>125</v>
      </c>
      <c r="F2981" s="2">
        <v>2.3632</v>
      </c>
      <c r="G2981">
        <v>2</v>
      </c>
      <c r="H2981" s="2">
        <f>Tabla_Items_Inactivos[[#This Row],[EXISTENCIA]]*Tabla_Items_Inactivos[[#This Row],[COSTO]]</f>
        <v>4.7263999999999999</v>
      </c>
    </row>
    <row r="2982" spans="1:8">
      <c r="A2982" t="s">
        <v>3301</v>
      </c>
      <c r="B2982" t="s">
        <v>2073</v>
      </c>
      <c r="C2982" t="s">
        <v>2074</v>
      </c>
      <c r="D2982" t="s">
        <v>5081</v>
      </c>
      <c r="E2982" t="s">
        <v>125</v>
      </c>
      <c r="F2982" s="2">
        <v>2.3632</v>
      </c>
      <c r="G2982">
        <v>2</v>
      </c>
      <c r="H2982" s="2">
        <f>Tabla_Items_Inactivos[[#This Row],[EXISTENCIA]]*Tabla_Items_Inactivos[[#This Row],[COSTO]]</f>
        <v>4.7263999999999999</v>
      </c>
    </row>
    <row r="2983" spans="1:8">
      <c r="A2983" t="s">
        <v>3300</v>
      </c>
      <c r="B2983" t="s">
        <v>2075</v>
      </c>
      <c r="C2983" t="s">
        <v>2076</v>
      </c>
      <c r="D2983" t="s">
        <v>5081</v>
      </c>
      <c r="E2983" t="s">
        <v>125</v>
      </c>
      <c r="F2983" s="2">
        <v>6.9640000000000004</v>
      </c>
      <c r="G2983">
        <v>9</v>
      </c>
      <c r="H2983" s="2">
        <f>Tabla_Items_Inactivos[[#This Row],[EXISTENCIA]]*Tabla_Items_Inactivos[[#This Row],[COSTO]]</f>
        <v>62.676000000000002</v>
      </c>
    </row>
    <row r="2984" spans="1:8">
      <c r="A2984" t="s">
        <v>3300</v>
      </c>
      <c r="B2984" t="s">
        <v>5336</v>
      </c>
      <c r="C2984" t="s">
        <v>5337</v>
      </c>
      <c r="D2984" t="s">
        <v>5081</v>
      </c>
      <c r="E2984" t="s">
        <v>125</v>
      </c>
      <c r="F2984" s="2">
        <v>3.4236</v>
      </c>
      <c r="G2984">
        <v>26</v>
      </c>
      <c r="H2984" s="2">
        <f>Tabla_Items_Inactivos[[#This Row],[EXISTENCIA]]*Tabla_Items_Inactivos[[#This Row],[COSTO]]</f>
        <v>89.013599999999997</v>
      </c>
    </row>
    <row r="2985" spans="1:8">
      <c r="A2985" t="s">
        <v>3301</v>
      </c>
      <c r="B2985" t="s">
        <v>5336</v>
      </c>
      <c r="C2985" t="s">
        <v>5337</v>
      </c>
      <c r="D2985" t="s">
        <v>5081</v>
      </c>
      <c r="E2985" t="s">
        <v>125</v>
      </c>
      <c r="F2985" s="2">
        <v>3.4236</v>
      </c>
      <c r="G2985">
        <v>26</v>
      </c>
      <c r="H2985" s="2">
        <f>Tabla_Items_Inactivos[[#This Row],[EXISTENCIA]]*Tabla_Items_Inactivos[[#This Row],[COSTO]]</f>
        <v>89.013599999999997</v>
      </c>
    </row>
    <row r="2986" spans="1:8">
      <c r="A2986" t="s">
        <v>3301</v>
      </c>
      <c r="B2986" t="s">
        <v>5338</v>
      </c>
      <c r="C2986" t="s">
        <v>5339</v>
      </c>
      <c r="D2986" t="s">
        <v>618</v>
      </c>
      <c r="E2986" t="s">
        <v>626</v>
      </c>
      <c r="F2986" s="2">
        <v>0</v>
      </c>
      <c r="G2986">
        <v>30</v>
      </c>
      <c r="H2986" s="2">
        <f>Tabla_Items_Inactivos[[#This Row],[EXISTENCIA]]*Tabla_Items_Inactivos[[#This Row],[COSTO]]</f>
        <v>0</v>
      </c>
    </row>
    <row r="2987" spans="1:8">
      <c r="A2987" t="s">
        <v>3300</v>
      </c>
      <c r="B2987" t="s">
        <v>2077</v>
      </c>
      <c r="C2987" t="s">
        <v>2078</v>
      </c>
      <c r="D2987" t="s">
        <v>228</v>
      </c>
      <c r="E2987" t="s">
        <v>86</v>
      </c>
      <c r="F2987" s="2">
        <v>20.57</v>
      </c>
      <c r="G2987">
        <v>1</v>
      </c>
      <c r="H2987" s="2">
        <f>Tabla_Items_Inactivos[[#This Row],[EXISTENCIA]]*Tabla_Items_Inactivos[[#This Row],[COSTO]]</f>
        <v>20.57</v>
      </c>
    </row>
    <row r="2988" spans="1:8">
      <c r="A2988" t="s">
        <v>3300</v>
      </c>
      <c r="B2988" t="s">
        <v>2079</v>
      </c>
      <c r="C2988" t="s">
        <v>2080</v>
      </c>
      <c r="D2988" t="s">
        <v>31</v>
      </c>
      <c r="E2988" t="s">
        <v>1931</v>
      </c>
      <c r="F2988" s="2">
        <v>318</v>
      </c>
      <c r="G2988">
        <v>1</v>
      </c>
      <c r="H2988" s="2">
        <f>Tabla_Items_Inactivos[[#This Row],[EXISTENCIA]]*Tabla_Items_Inactivos[[#This Row],[COSTO]]</f>
        <v>318</v>
      </c>
    </row>
    <row r="2989" spans="1:8">
      <c r="A2989" t="s">
        <v>3300</v>
      </c>
      <c r="B2989" t="s">
        <v>2081</v>
      </c>
      <c r="C2989" t="s">
        <v>2082</v>
      </c>
      <c r="D2989" t="s">
        <v>31</v>
      </c>
      <c r="E2989" t="s">
        <v>1931</v>
      </c>
      <c r="F2989" s="2">
        <v>3.6970000000000001</v>
      </c>
      <c r="G2989">
        <v>1</v>
      </c>
      <c r="H2989" s="2">
        <f>Tabla_Items_Inactivos[[#This Row],[EXISTENCIA]]*Tabla_Items_Inactivos[[#This Row],[COSTO]]</f>
        <v>3.6970000000000001</v>
      </c>
    </row>
    <row r="2990" spans="1:8">
      <c r="A2990" t="s">
        <v>3300</v>
      </c>
      <c r="B2990" t="s">
        <v>2083</v>
      </c>
      <c r="C2990" t="s">
        <v>2084</v>
      </c>
      <c r="D2990" t="s">
        <v>31</v>
      </c>
      <c r="E2990" t="s">
        <v>1931</v>
      </c>
      <c r="F2990" s="2">
        <v>257.92</v>
      </c>
      <c r="G2990">
        <v>2</v>
      </c>
      <c r="H2990" s="2">
        <f>Tabla_Items_Inactivos[[#This Row],[EXISTENCIA]]*Tabla_Items_Inactivos[[#This Row],[COSTO]]</f>
        <v>515.84</v>
      </c>
    </row>
    <row r="2991" spans="1:8">
      <c r="A2991" t="s">
        <v>3300</v>
      </c>
      <c r="B2991" t="s">
        <v>2085</v>
      </c>
      <c r="C2991" t="s">
        <v>2086</v>
      </c>
      <c r="D2991" t="s">
        <v>31</v>
      </c>
      <c r="E2991" t="s">
        <v>1931</v>
      </c>
      <c r="F2991" s="2">
        <v>6.1749999999999998</v>
      </c>
      <c r="G2991">
        <v>4</v>
      </c>
      <c r="H2991" s="2">
        <f>Tabla_Items_Inactivos[[#This Row],[EXISTENCIA]]*Tabla_Items_Inactivos[[#This Row],[COSTO]]</f>
        <v>24.7</v>
      </c>
    </row>
    <row r="2992" spans="1:8">
      <c r="A2992" t="s">
        <v>3300</v>
      </c>
      <c r="B2992" t="s">
        <v>2087</v>
      </c>
      <c r="C2992" t="s">
        <v>2088</v>
      </c>
      <c r="D2992" t="s">
        <v>31</v>
      </c>
      <c r="E2992" t="s">
        <v>1931</v>
      </c>
      <c r="F2992" s="2">
        <v>1.17</v>
      </c>
      <c r="G2992">
        <v>2</v>
      </c>
      <c r="H2992" s="2">
        <f>Tabla_Items_Inactivos[[#This Row],[EXISTENCIA]]*Tabla_Items_Inactivos[[#This Row],[COSTO]]</f>
        <v>2.34</v>
      </c>
    </row>
    <row r="2993" spans="1:8">
      <c r="A2993" t="s">
        <v>3300</v>
      </c>
      <c r="B2993" t="s">
        <v>2089</v>
      </c>
      <c r="C2993" t="s">
        <v>2090</v>
      </c>
      <c r="D2993" t="s">
        <v>31</v>
      </c>
      <c r="E2993" t="s">
        <v>1931</v>
      </c>
      <c r="F2993" s="2">
        <v>8.9380000000000006</v>
      </c>
      <c r="G2993">
        <v>1</v>
      </c>
      <c r="H2993" s="2">
        <f>Tabla_Items_Inactivos[[#This Row],[EXISTENCIA]]*Tabla_Items_Inactivos[[#This Row],[COSTO]]</f>
        <v>8.9380000000000006</v>
      </c>
    </row>
    <row r="2994" spans="1:8">
      <c r="A2994" t="s">
        <v>3300</v>
      </c>
      <c r="B2994" t="s">
        <v>2091</v>
      </c>
      <c r="C2994" t="s">
        <v>2092</v>
      </c>
      <c r="D2994" t="s">
        <v>31</v>
      </c>
      <c r="E2994" t="s">
        <v>1931</v>
      </c>
      <c r="F2994" s="2">
        <v>1.403</v>
      </c>
      <c r="G2994">
        <v>2</v>
      </c>
      <c r="H2994" s="2">
        <f>Tabla_Items_Inactivos[[#This Row],[EXISTENCIA]]*Tabla_Items_Inactivos[[#This Row],[COSTO]]</f>
        <v>2.806</v>
      </c>
    </row>
    <row r="2995" spans="1:8">
      <c r="A2995" t="s">
        <v>3300</v>
      </c>
      <c r="B2995" t="s">
        <v>2093</v>
      </c>
      <c r="C2995" t="s">
        <v>2094</v>
      </c>
      <c r="D2995" t="s">
        <v>2095</v>
      </c>
      <c r="E2995" t="s">
        <v>86</v>
      </c>
      <c r="F2995" s="2">
        <v>137.863</v>
      </c>
      <c r="G2995">
        <v>1</v>
      </c>
      <c r="H2995" s="2">
        <f>Tabla_Items_Inactivos[[#This Row],[EXISTENCIA]]*Tabla_Items_Inactivos[[#This Row],[COSTO]]</f>
        <v>137.863</v>
      </c>
    </row>
    <row r="2996" spans="1:8">
      <c r="A2996" t="s">
        <v>3300</v>
      </c>
      <c r="B2996" t="s">
        <v>2096</v>
      </c>
      <c r="C2996" t="s">
        <v>2097</v>
      </c>
      <c r="D2996" t="s">
        <v>31</v>
      </c>
      <c r="E2996" t="s">
        <v>1931</v>
      </c>
      <c r="F2996" s="2">
        <v>24.68</v>
      </c>
      <c r="G2996">
        <v>2</v>
      </c>
      <c r="H2996" s="2">
        <f>Tabla_Items_Inactivos[[#This Row],[EXISTENCIA]]*Tabla_Items_Inactivos[[#This Row],[COSTO]]</f>
        <v>49.36</v>
      </c>
    </row>
    <row r="2997" spans="1:8">
      <c r="A2997" t="s">
        <v>3300</v>
      </c>
      <c r="B2997" t="s">
        <v>2098</v>
      </c>
      <c r="C2997" t="s">
        <v>2099</v>
      </c>
      <c r="D2997" t="s">
        <v>31</v>
      </c>
      <c r="E2997" t="s">
        <v>1931</v>
      </c>
      <c r="F2997" s="2">
        <v>5.3440000000000003</v>
      </c>
      <c r="G2997">
        <v>2</v>
      </c>
      <c r="H2997" s="2">
        <f>Tabla_Items_Inactivos[[#This Row],[EXISTENCIA]]*Tabla_Items_Inactivos[[#This Row],[COSTO]]</f>
        <v>10.688000000000001</v>
      </c>
    </row>
    <row r="2998" spans="1:8">
      <c r="A2998" t="s">
        <v>3300</v>
      </c>
      <c r="B2998" t="s">
        <v>2100</v>
      </c>
      <c r="C2998" t="s">
        <v>2101</v>
      </c>
      <c r="D2998" t="s">
        <v>31</v>
      </c>
      <c r="E2998" t="s">
        <v>1931</v>
      </c>
      <c r="F2998" s="2">
        <v>0.75</v>
      </c>
      <c r="G2998">
        <v>1</v>
      </c>
      <c r="H2998" s="2">
        <f>Tabla_Items_Inactivos[[#This Row],[EXISTENCIA]]*Tabla_Items_Inactivos[[#This Row],[COSTO]]</f>
        <v>0.75</v>
      </c>
    </row>
    <row r="2999" spans="1:8">
      <c r="A2999" t="s">
        <v>3300</v>
      </c>
      <c r="B2999" t="s">
        <v>2102</v>
      </c>
      <c r="C2999" t="s">
        <v>2103</v>
      </c>
      <c r="D2999" t="s">
        <v>31</v>
      </c>
      <c r="E2999" t="s">
        <v>1931</v>
      </c>
      <c r="F2999" s="2">
        <v>9.74</v>
      </c>
      <c r="G2999">
        <v>2</v>
      </c>
      <c r="H2999" s="2">
        <f>Tabla_Items_Inactivos[[#This Row],[EXISTENCIA]]*Tabla_Items_Inactivos[[#This Row],[COSTO]]</f>
        <v>19.48</v>
      </c>
    </row>
    <row r="3000" spans="1:8">
      <c r="A3000" t="s">
        <v>3300</v>
      </c>
      <c r="B3000" t="s">
        <v>2104</v>
      </c>
      <c r="C3000" t="s">
        <v>2105</v>
      </c>
      <c r="D3000" t="s">
        <v>31</v>
      </c>
      <c r="E3000" t="s">
        <v>1931</v>
      </c>
      <c r="F3000" s="2">
        <v>5.2619999999999996</v>
      </c>
      <c r="G3000">
        <v>1</v>
      </c>
      <c r="H3000" s="2">
        <f>Tabla_Items_Inactivos[[#This Row],[EXISTENCIA]]*Tabla_Items_Inactivos[[#This Row],[COSTO]]</f>
        <v>5.2619999999999996</v>
      </c>
    </row>
    <row r="3001" spans="1:8">
      <c r="A3001" t="s">
        <v>3300</v>
      </c>
      <c r="B3001" t="s">
        <v>2106</v>
      </c>
      <c r="C3001" t="s">
        <v>2107</v>
      </c>
      <c r="D3001" t="s">
        <v>31</v>
      </c>
      <c r="E3001" t="s">
        <v>1931</v>
      </c>
      <c r="F3001" s="2">
        <v>318</v>
      </c>
      <c r="G3001">
        <v>1</v>
      </c>
      <c r="H3001" s="2">
        <f>Tabla_Items_Inactivos[[#This Row],[EXISTENCIA]]*Tabla_Items_Inactivos[[#This Row],[COSTO]]</f>
        <v>318</v>
      </c>
    </row>
    <row r="3002" spans="1:8">
      <c r="A3002" t="s">
        <v>3300</v>
      </c>
      <c r="B3002" t="s">
        <v>2108</v>
      </c>
      <c r="C3002" t="s">
        <v>2109</v>
      </c>
      <c r="D3002" t="s">
        <v>85</v>
      </c>
      <c r="E3002" t="s">
        <v>86</v>
      </c>
      <c r="F3002" s="2">
        <v>0.29399999999999998</v>
      </c>
      <c r="G3002">
        <v>6</v>
      </c>
      <c r="H3002" s="2">
        <f>Tabla_Items_Inactivos[[#This Row],[EXISTENCIA]]*Tabla_Items_Inactivos[[#This Row],[COSTO]]</f>
        <v>1.7639999999999998</v>
      </c>
    </row>
    <row r="3003" spans="1:8">
      <c r="A3003" t="s">
        <v>3300</v>
      </c>
      <c r="B3003" t="s">
        <v>2110</v>
      </c>
      <c r="C3003" t="s">
        <v>2111</v>
      </c>
      <c r="D3003" t="s">
        <v>85</v>
      </c>
      <c r="E3003" t="s">
        <v>86</v>
      </c>
      <c r="F3003" s="2">
        <v>0.56100000000000005</v>
      </c>
      <c r="G3003">
        <v>15</v>
      </c>
      <c r="H3003" s="2">
        <f>Tabla_Items_Inactivos[[#This Row],[EXISTENCIA]]*Tabla_Items_Inactivos[[#This Row],[COSTO]]</f>
        <v>8.4150000000000009</v>
      </c>
    </row>
    <row r="3004" spans="1:8">
      <c r="A3004" t="s">
        <v>3300</v>
      </c>
      <c r="B3004" t="s">
        <v>2112</v>
      </c>
      <c r="C3004" t="s">
        <v>2113</v>
      </c>
      <c r="D3004" t="s">
        <v>3537</v>
      </c>
      <c r="E3004" t="s">
        <v>86</v>
      </c>
      <c r="F3004" s="2">
        <v>39.76</v>
      </c>
      <c r="G3004">
        <v>13</v>
      </c>
      <c r="H3004" s="2">
        <f>Tabla_Items_Inactivos[[#This Row],[EXISTENCIA]]*Tabla_Items_Inactivos[[#This Row],[COSTO]]</f>
        <v>516.88</v>
      </c>
    </row>
    <row r="3005" spans="1:8">
      <c r="A3005" t="s">
        <v>3300</v>
      </c>
      <c r="B3005" t="s">
        <v>5340</v>
      </c>
      <c r="C3005" t="s">
        <v>5341</v>
      </c>
      <c r="D3005" t="s">
        <v>2499</v>
      </c>
      <c r="E3005" t="s">
        <v>1931</v>
      </c>
      <c r="F3005" s="2">
        <v>29.2791</v>
      </c>
      <c r="G3005">
        <v>129</v>
      </c>
      <c r="H3005" s="2">
        <f>Tabla_Items_Inactivos[[#This Row],[EXISTENCIA]]*Tabla_Items_Inactivos[[#This Row],[COSTO]]</f>
        <v>3777.0039000000002</v>
      </c>
    </row>
    <row r="3006" spans="1:8">
      <c r="A3006" t="s">
        <v>3301</v>
      </c>
      <c r="B3006" t="s">
        <v>5340</v>
      </c>
      <c r="C3006" t="s">
        <v>5341</v>
      </c>
      <c r="D3006" t="s">
        <v>2499</v>
      </c>
      <c r="E3006" t="s">
        <v>1931</v>
      </c>
      <c r="F3006" s="2">
        <v>29.2791</v>
      </c>
      <c r="G3006">
        <v>129</v>
      </c>
      <c r="H3006" s="2">
        <f>Tabla_Items_Inactivos[[#This Row],[EXISTENCIA]]*Tabla_Items_Inactivos[[#This Row],[COSTO]]</f>
        <v>3777.0039000000002</v>
      </c>
    </row>
    <row r="3007" spans="1:8">
      <c r="A3007" t="s">
        <v>3300</v>
      </c>
      <c r="B3007" t="s">
        <v>3220</v>
      </c>
      <c r="C3007" t="s">
        <v>3221</v>
      </c>
      <c r="D3007" t="s">
        <v>263</v>
      </c>
      <c r="E3007" t="s">
        <v>86</v>
      </c>
      <c r="F3007" s="2">
        <v>38.991100000000003</v>
      </c>
      <c r="G3007">
        <v>14</v>
      </c>
      <c r="H3007" s="2">
        <f>Tabla_Items_Inactivos[[#This Row],[EXISTENCIA]]*Tabla_Items_Inactivos[[#This Row],[COSTO]]</f>
        <v>545.87540000000001</v>
      </c>
    </row>
    <row r="3008" spans="1:8">
      <c r="A3008" t="s">
        <v>3301</v>
      </c>
      <c r="B3008" t="s">
        <v>3220</v>
      </c>
      <c r="C3008" t="s">
        <v>3221</v>
      </c>
      <c r="D3008" t="s">
        <v>263</v>
      </c>
      <c r="E3008" t="s">
        <v>86</v>
      </c>
      <c r="F3008" s="2">
        <v>38.991100000000003</v>
      </c>
      <c r="G3008">
        <v>14</v>
      </c>
      <c r="H3008" s="2">
        <f>Tabla_Items_Inactivos[[#This Row],[EXISTENCIA]]*Tabla_Items_Inactivos[[#This Row],[COSTO]]</f>
        <v>545.87540000000001</v>
      </c>
    </row>
    <row r="3009" spans="1:8">
      <c r="A3009" t="s">
        <v>3300</v>
      </c>
      <c r="B3009" t="s">
        <v>3222</v>
      </c>
      <c r="C3009" t="s">
        <v>3223</v>
      </c>
      <c r="D3009" t="s">
        <v>263</v>
      </c>
      <c r="E3009" t="s">
        <v>86</v>
      </c>
      <c r="F3009" s="2">
        <v>29.866199999999999</v>
      </c>
      <c r="G3009">
        <v>44</v>
      </c>
      <c r="H3009" s="2">
        <f>Tabla_Items_Inactivos[[#This Row],[EXISTENCIA]]*Tabla_Items_Inactivos[[#This Row],[COSTO]]</f>
        <v>1314.1127999999999</v>
      </c>
    </row>
    <row r="3010" spans="1:8">
      <c r="A3010" t="s">
        <v>3301</v>
      </c>
      <c r="B3010" t="s">
        <v>3222</v>
      </c>
      <c r="C3010" t="s">
        <v>3223</v>
      </c>
      <c r="D3010" t="s">
        <v>263</v>
      </c>
      <c r="E3010" t="s">
        <v>86</v>
      </c>
      <c r="F3010" s="2">
        <v>29.866199999999999</v>
      </c>
      <c r="G3010">
        <v>44</v>
      </c>
      <c r="H3010" s="2">
        <f>Tabla_Items_Inactivos[[#This Row],[EXISTENCIA]]*Tabla_Items_Inactivos[[#This Row],[COSTO]]</f>
        <v>1314.1127999999999</v>
      </c>
    </row>
    <row r="3011" spans="1:8">
      <c r="A3011" t="s">
        <v>3299</v>
      </c>
      <c r="B3011" t="s">
        <v>3222</v>
      </c>
      <c r="C3011" t="s">
        <v>3223</v>
      </c>
      <c r="D3011" t="s">
        <v>263</v>
      </c>
      <c r="E3011" t="s">
        <v>86</v>
      </c>
      <c r="F3011" s="2">
        <v>29.866199999999999</v>
      </c>
      <c r="G3011">
        <v>44</v>
      </c>
      <c r="H3011" s="2">
        <f>Tabla_Items_Inactivos[[#This Row],[EXISTENCIA]]*Tabla_Items_Inactivos[[#This Row],[COSTO]]</f>
        <v>1314.1127999999999</v>
      </c>
    </row>
    <row r="3012" spans="1:8">
      <c r="A3012" t="s">
        <v>3300</v>
      </c>
      <c r="B3012" t="s">
        <v>5342</v>
      </c>
      <c r="C3012" t="s">
        <v>5343</v>
      </c>
      <c r="D3012" t="s">
        <v>85</v>
      </c>
      <c r="E3012" t="s">
        <v>86</v>
      </c>
      <c r="F3012" s="2">
        <v>0.1</v>
      </c>
      <c r="G3012">
        <v>28</v>
      </c>
      <c r="H3012" s="2">
        <f>Tabla_Items_Inactivos[[#This Row],[EXISTENCIA]]*Tabla_Items_Inactivos[[#This Row],[COSTO]]</f>
        <v>2.8000000000000003</v>
      </c>
    </row>
    <row r="3013" spans="1:8">
      <c r="A3013" t="s">
        <v>3300</v>
      </c>
      <c r="B3013" t="s">
        <v>2114</v>
      </c>
      <c r="C3013" t="s">
        <v>2115</v>
      </c>
      <c r="D3013" t="s">
        <v>85</v>
      </c>
      <c r="E3013" t="s">
        <v>86</v>
      </c>
      <c r="F3013" s="2">
        <v>2.0310000000000001</v>
      </c>
      <c r="G3013">
        <v>9</v>
      </c>
      <c r="H3013" s="2">
        <f>Tabla_Items_Inactivos[[#This Row],[EXISTENCIA]]*Tabla_Items_Inactivos[[#This Row],[COSTO]]</f>
        <v>18.279</v>
      </c>
    </row>
    <row r="3014" spans="1:8">
      <c r="A3014" t="s">
        <v>3300</v>
      </c>
      <c r="B3014" t="s">
        <v>2117</v>
      </c>
      <c r="C3014" t="s">
        <v>234</v>
      </c>
      <c r="D3014" t="s">
        <v>85</v>
      </c>
      <c r="E3014" t="s">
        <v>86</v>
      </c>
      <c r="F3014" s="2">
        <v>1.3320000000000001</v>
      </c>
      <c r="G3014">
        <v>6</v>
      </c>
      <c r="H3014" s="2">
        <f>Tabla_Items_Inactivos[[#This Row],[EXISTENCIA]]*Tabla_Items_Inactivos[[#This Row],[COSTO]]</f>
        <v>7.9920000000000009</v>
      </c>
    </row>
    <row r="3015" spans="1:8">
      <c r="A3015" t="s">
        <v>3300</v>
      </c>
      <c r="B3015" t="s">
        <v>2118</v>
      </c>
      <c r="C3015" t="s">
        <v>2119</v>
      </c>
      <c r="D3015" t="s">
        <v>243</v>
      </c>
      <c r="E3015" t="s">
        <v>86</v>
      </c>
      <c r="F3015" s="2">
        <v>15.58</v>
      </c>
      <c r="G3015">
        <v>1</v>
      </c>
      <c r="H3015" s="2">
        <f>Tabla_Items_Inactivos[[#This Row],[EXISTENCIA]]*Tabla_Items_Inactivos[[#This Row],[COSTO]]</f>
        <v>15.58</v>
      </c>
    </row>
    <row r="3016" spans="1:8">
      <c r="A3016" t="s">
        <v>3300</v>
      </c>
      <c r="B3016" t="s">
        <v>2120</v>
      </c>
      <c r="C3016" t="s">
        <v>2121</v>
      </c>
      <c r="D3016" t="s">
        <v>243</v>
      </c>
      <c r="E3016" t="s">
        <v>86</v>
      </c>
      <c r="F3016" s="2">
        <v>23.03</v>
      </c>
      <c r="G3016">
        <v>1</v>
      </c>
      <c r="H3016" s="2">
        <f>Tabla_Items_Inactivos[[#This Row],[EXISTENCIA]]*Tabla_Items_Inactivos[[#This Row],[COSTO]]</f>
        <v>23.03</v>
      </c>
    </row>
    <row r="3017" spans="1:8">
      <c r="A3017" t="s">
        <v>3300</v>
      </c>
      <c r="B3017" t="s">
        <v>2122</v>
      </c>
      <c r="C3017" t="s">
        <v>2123</v>
      </c>
      <c r="D3017" t="s">
        <v>243</v>
      </c>
      <c r="E3017" t="s">
        <v>86</v>
      </c>
      <c r="F3017" s="2">
        <v>39.768999999999998</v>
      </c>
      <c r="G3017">
        <v>2</v>
      </c>
      <c r="H3017" s="2">
        <f>Tabla_Items_Inactivos[[#This Row],[EXISTENCIA]]*Tabla_Items_Inactivos[[#This Row],[COSTO]]</f>
        <v>79.537999999999997</v>
      </c>
    </row>
    <row r="3018" spans="1:8">
      <c r="A3018" t="s">
        <v>3300</v>
      </c>
      <c r="B3018" t="s">
        <v>2124</v>
      </c>
      <c r="C3018" t="s">
        <v>2125</v>
      </c>
      <c r="D3018" t="s">
        <v>243</v>
      </c>
      <c r="E3018" t="s">
        <v>86</v>
      </c>
      <c r="F3018" s="2">
        <v>40.033000000000001</v>
      </c>
      <c r="G3018">
        <v>3</v>
      </c>
      <c r="H3018" s="2">
        <f>Tabla_Items_Inactivos[[#This Row],[EXISTENCIA]]*Tabla_Items_Inactivos[[#This Row],[COSTO]]</f>
        <v>120.099</v>
      </c>
    </row>
    <row r="3019" spans="1:8">
      <c r="A3019" t="s">
        <v>3300</v>
      </c>
      <c r="B3019" t="s">
        <v>2126</v>
      </c>
      <c r="C3019" t="s">
        <v>2127</v>
      </c>
      <c r="D3019" t="s">
        <v>85</v>
      </c>
      <c r="E3019" t="s">
        <v>86</v>
      </c>
      <c r="F3019" s="2">
        <v>1.0165</v>
      </c>
      <c r="G3019">
        <v>6</v>
      </c>
      <c r="H3019" s="2">
        <f>Tabla_Items_Inactivos[[#This Row],[EXISTENCIA]]*Tabla_Items_Inactivos[[#This Row],[COSTO]]</f>
        <v>6.0990000000000002</v>
      </c>
    </row>
    <row r="3020" spans="1:8">
      <c r="A3020" t="s">
        <v>3301</v>
      </c>
      <c r="B3020" t="s">
        <v>2126</v>
      </c>
      <c r="C3020" t="s">
        <v>2127</v>
      </c>
      <c r="D3020" t="s">
        <v>85</v>
      </c>
      <c r="E3020" t="s">
        <v>86</v>
      </c>
      <c r="F3020" s="2">
        <v>1.0165</v>
      </c>
      <c r="G3020">
        <v>6</v>
      </c>
      <c r="H3020" s="2">
        <f>Tabla_Items_Inactivos[[#This Row],[EXISTENCIA]]*Tabla_Items_Inactivos[[#This Row],[COSTO]]</f>
        <v>6.0990000000000002</v>
      </c>
    </row>
    <row r="3021" spans="1:8">
      <c r="A3021" t="s">
        <v>3301</v>
      </c>
      <c r="B3021" t="s">
        <v>2128</v>
      </c>
      <c r="C3021" t="s">
        <v>4283</v>
      </c>
      <c r="D3021" t="s">
        <v>85</v>
      </c>
      <c r="E3021" t="s">
        <v>86</v>
      </c>
      <c r="F3021" s="2">
        <v>3.2212000000000001</v>
      </c>
      <c r="G3021">
        <v>9</v>
      </c>
      <c r="H3021" s="2">
        <f>Tabla_Items_Inactivos[[#This Row],[EXISTENCIA]]*Tabla_Items_Inactivos[[#This Row],[COSTO]]</f>
        <v>28.9908</v>
      </c>
    </row>
    <row r="3022" spans="1:8">
      <c r="A3022" t="s">
        <v>3300</v>
      </c>
      <c r="B3022" t="s">
        <v>2128</v>
      </c>
      <c r="C3022" t="s">
        <v>4283</v>
      </c>
      <c r="D3022" t="s">
        <v>85</v>
      </c>
      <c r="E3022" t="s">
        <v>86</v>
      </c>
      <c r="F3022" s="2">
        <v>3.2212000000000001</v>
      </c>
      <c r="G3022">
        <v>9</v>
      </c>
      <c r="H3022" s="2">
        <f>Tabla_Items_Inactivos[[#This Row],[EXISTENCIA]]*Tabla_Items_Inactivos[[#This Row],[COSTO]]</f>
        <v>28.9908</v>
      </c>
    </row>
    <row r="3023" spans="1:8">
      <c r="A3023" t="s">
        <v>3300</v>
      </c>
      <c r="B3023" t="s">
        <v>2129</v>
      </c>
      <c r="C3023" t="s">
        <v>2130</v>
      </c>
      <c r="D3023" t="s">
        <v>85</v>
      </c>
      <c r="E3023" t="s">
        <v>86</v>
      </c>
      <c r="F3023" s="2">
        <v>0.43190000000000001</v>
      </c>
      <c r="G3023">
        <v>59</v>
      </c>
      <c r="H3023" s="2">
        <f>Tabla_Items_Inactivos[[#This Row],[EXISTENCIA]]*Tabla_Items_Inactivos[[#This Row],[COSTO]]</f>
        <v>25.482099999999999</v>
      </c>
    </row>
    <row r="3024" spans="1:8">
      <c r="A3024" t="s">
        <v>3301</v>
      </c>
      <c r="B3024" t="s">
        <v>2129</v>
      </c>
      <c r="C3024" t="s">
        <v>2130</v>
      </c>
      <c r="D3024" t="s">
        <v>85</v>
      </c>
      <c r="E3024" t="s">
        <v>86</v>
      </c>
      <c r="F3024" s="2">
        <v>0.43190000000000001</v>
      </c>
      <c r="G3024">
        <v>59</v>
      </c>
      <c r="H3024" s="2">
        <f>Tabla_Items_Inactivos[[#This Row],[EXISTENCIA]]*Tabla_Items_Inactivos[[#This Row],[COSTO]]</f>
        <v>25.482099999999999</v>
      </c>
    </row>
    <row r="3025" spans="1:8">
      <c r="A3025" t="s">
        <v>3300</v>
      </c>
      <c r="B3025" t="s">
        <v>2131</v>
      </c>
      <c r="C3025" t="s">
        <v>2132</v>
      </c>
      <c r="D3025" t="s">
        <v>85</v>
      </c>
      <c r="E3025" t="s">
        <v>86</v>
      </c>
      <c r="F3025" s="2">
        <v>0.49</v>
      </c>
      <c r="G3025">
        <v>29</v>
      </c>
      <c r="H3025" s="2">
        <f>Tabla_Items_Inactivos[[#This Row],[EXISTENCIA]]*Tabla_Items_Inactivos[[#This Row],[COSTO]]</f>
        <v>14.209999999999999</v>
      </c>
    </row>
    <row r="3026" spans="1:8">
      <c r="A3026" t="s">
        <v>3301</v>
      </c>
      <c r="B3026" t="s">
        <v>2133</v>
      </c>
      <c r="C3026" t="s">
        <v>2134</v>
      </c>
      <c r="D3026" t="s">
        <v>85</v>
      </c>
      <c r="E3026" t="s">
        <v>86</v>
      </c>
      <c r="F3026" s="2">
        <v>0.95779999999999998</v>
      </c>
      <c r="G3026">
        <v>36</v>
      </c>
      <c r="H3026" s="2">
        <f>Tabla_Items_Inactivos[[#This Row],[EXISTENCIA]]*Tabla_Items_Inactivos[[#This Row],[COSTO]]</f>
        <v>34.480800000000002</v>
      </c>
    </row>
    <row r="3027" spans="1:8">
      <c r="A3027" t="s">
        <v>3300</v>
      </c>
      <c r="B3027" t="s">
        <v>2133</v>
      </c>
      <c r="C3027" t="s">
        <v>2134</v>
      </c>
      <c r="D3027" t="s">
        <v>85</v>
      </c>
      <c r="E3027" t="s">
        <v>86</v>
      </c>
      <c r="F3027" s="2">
        <v>0.95779999999999998</v>
      </c>
      <c r="G3027">
        <v>36</v>
      </c>
      <c r="H3027" s="2">
        <f>Tabla_Items_Inactivos[[#This Row],[EXISTENCIA]]*Tabla_Items_Inactivos[[#This Row],[COSTO]]</f>
        <v>34.480800000000002</v>
      </c>
    </row>
    <row r="3028" spans="1:8">
      <c r="A3028" t="s">
        <v>3300</v>
      </c>
      <c r="B3028" t="s">
        <v>2135</v>
      </c>
      <c r="C3028" t="s">
        <v>2136</v>
      </c>
      <c r="D3028" t="s">
        <v>85</v>
      </c>
      <c r="E3028" t="s">
        <v>86</v>
      </c>
      <c r="F3028" s="2">
        <v>1.29</v>
      </c>
      <c r="G3028">
        <v>10</v>
      </c>
      <c r="H3028" s="2">
        <f>Tabla_Items_Inactivos[[#This Row],[EXISTENCIA]]*Tabla_Items_Inactivos[[#This Row],[COSTO]]</f>
        <v>12.9</v>
      </c>
    </row>
    <row r="3029" spans="1:8">
      <c r="A3029" t="s">
        <v>3301</v>
      </c>
      <c r="B3029" t="s">
        <v>2137</v>
      </c>
      <c r="C3029" t="s">
        <v>2138</v>
      </c>
      <c r="D3029" t="s">
        <v>85</v>
      </c>
      <c r="E3029" t="s">
        <v>86</v>
      </c>
      <c r="F3029" s="2">
        <v>0.65880000000000005</v>
      </c>
      <c r="G3029">
        <v>1</v>
      </c>
      <c r="H3029" s="2">
        <f>Tabla_Items_Inactivos[[#This Row],[EXISTENCIA]]*Tabla_Items_Inactivos[[#This Row],[COSTO]]</f>
        <v>0.65880000000000005</v>
      </c>
    </row>
    <row r="3030" spans="1:8">
      <c r="A3030" t="s">
        <v>3300</v>
      </c>
      <c r="B3030" t="s">
        <v>2137</v>
      </c>
      <c r="C3030" t="s">
        <v>2138</v>
      </c>
      <c r="D3030" t="s">
        <v>85</v>
      </c>
      <c r="E3030" t="s">
        <v>86</v>
      </c>
      <c r="F3030" s="2">
        <v>0.65880000000000005</v>
      </c>
      <c r="G3030">
        <v>1</v>
      </c>
      <c r="H3030" s="2">
        <f>Tabla_Items_Inactivos[[#This Row],[EXISTENCIA]]*Tabla_Items_Inactivos[[#This Row],[COSTO]]</f>
        <v>0.65880000000000005</v>
      </c>
    </row>
    <row r="3031" spans="1:8">
      <c r="A3031" t="s">
        <v>3300</v>
      </c>
      <c r="B3031" t="s">
        <v>2139</v>
      </c>
      <c r="C3031" t="s">
        <v>2140</v>
      </c>
      <c r="D3031" t="s">
        <v>85</v>
      </c>
      <c r="E3031" t="s">
        <v>86</v>
      </c>
      <c r="F3031" s="2">
        <v>0.42530000000000001</v>
      </c>
      <c r="G3031">
        <v>11</v>
      </c>
      <c r="H3031" s="2">
        <f>Tabla_Items_Inactivos[[#This Row],[EXISTENCIA]]*Tabla_Items_Inactivos[[#This Row],[COSTO]]</f>
        <v>4.6783000000000001</v>
      </c>
    </row>
    <row r="3032" spans="1:8">
      <c r="A3032" t="s">
        <v>3301</v>
      </c>
      <c r="B3032" t="s">
        <v>2139</v>
      </c>
      <c r="C3032" t="s">
        <v>2140</v>
      </c>
      <c r="D3032" t="s">
        <v>85</v>
      </c>
      <c r="E3032" t="s">
        <v>86</v>
      </c>
      <c r="F3032" s="2">
        <v>0.42530000000000001</v>
      </c>
      <c r="G3032">
        <v>11</v>
      </c>
      <c r="H3032" s="2">
        <f>Tabla_Items_Inactivos[[#This Row],[EXISTENCIA]]*Tabla_Items_Inactivos[[#This Row],[COSTO]]</f>
        <v>4.6783000000000001</v>
      </c>
    </row>
    <row r="3033" spans="1:8">
      <c r="A3033" t="s">
        <v>3300</v>
      </c>
      <c r="B3033" t="s">
        <v>2141</v>
      </c>
      <c r="C3033" t="s">
        <v>2142</v>
      </c>
      <c r="D3033" t="s">
        <v>85</v>
      </c>
      <c r="E3033" t="s">
        <v>86</v>
      </c>
      <c r="F3033" s="2">
        <v>0.68</v>
      </c>
      <c r="G3033">
        <v>5</v>
      </c>
      <c r="H3033" s="2">
        <f>Tabla_Items_Inactivos[[#This Row],[EXISTENCIA]]*Tabla_Items_Inactivos[[#This Row],[COSTO]]</f>
        <v>3.4000000000000004</v>
      </c>
    </row>
    <row r="3034" spans="1:8">
      <c r="A3034" t="s">
        <v>3300</v>
      </c>
      <c r="B3034" t="s">
        <v>2143</v>
      </c>
      <c r="C3034" t="s">
        <v>2144</v>
      </c>
      <c r="D3034" t="s">
        <v>85</v>
      </c>
      <c r="E3034" t="s">
        <v>86</v>
      </c>
      <c r="F3034" s="2">
        <v>1.1319999999999999</v>
      </c>
      <c r="G3034">
        <v>7</v>
      </c>
      <c r="H3034" s="2">
        <f>Tabla_Items_Inactivos[[#This Row],[EXISTENCIA]]*Tabla_Items_Inactivos[[#This Row],[COSTO]]</f>
        <v>7.9239999999999995</v>
      </c>
    </row>
    <row r="3035" spans="1:8">
      <c r="A3035" t="s">
        <v>3301</v>
      </c>
      <c r="B3035" t="s">
        <v>2143</v>
      </c>
      <c r="C3035" t="s">
        <v>2144</v>
      </c>
      <c r="D3035" t="s">
        <v>85</v>
      </c>
      <c r="E3035" t="s">
        <v>86</v>
      </c>
      <c r="F3035" s="2">
        <v>1.1319999999999999</v>
      </c>
      <c r="G3035">
        <v>7</v>
      </c>
      <c r="H3035" s="2">
        <f>Tabla_Items_Inactivos[[#This Row],[EXISTENCIA]]*Tabla_Items_Inactivos[[#This Row],[COSTO]]</f>
        <v>7.9239999999999995</v>
      </c>
    </row>
    <row r="3036" spans="1:8">
      <c r="A3036" t="s">
        <v>3300</v>
      </c>
      <c r="B3036" t="s">
        <v>2145</v>
      </c>
      <c r="C3036" t="s">
        <v>2146</v>
      </c>
      <c r="D3036" t="s">
        <v>85</v>
      </c>
      <c r="E3036" t="s">
        <v>86</v>
      </c>
      <c r="F3036" s="2">
        <v>0.28499999999999998</v>
      </c>
      <c r="G3036">
        <v>10</v>
      </c>
      <c r="H3036" s="2">
        <f>Tabla_Items_Inactivos[[#This Row],[EXISTENCIA]]*Tabla_Items_Inactivos[[#This Row],[COSTO]]</f>
        <v>2.8499999999999996</v>
      </c>
    </row>
    <row r="3037" spans="1:8">
      <c r="A3037" t="s">
        <v>3300</v>
      </c>
      <c r="B3037" t="s">
        <v>2147</v>
      </c>
      <c r="C3037" t="s">
        <v>2148</v>
      </c>
      <c r="D3037" t="s">
        <v>85</v>
      </c>
      <c r="E3037" t="s">
        <v>86</v>
      </c>
      <c r="F3037" s="2">
        <v>3.1890000000000001</v>
      </c>
      <c r="G3037">
        <v>2</v>
      </c>
      <c r="H3037" s="2">
        <f>Tabla_Items_Inactivos[[#This Row],[EXISTENCIA]]*Tabla_Items_Inactivos[[#This Row],[COSTO]]</f>
        <v>6.3780000000000001</v>
      </c>
    </row>
    <row r="3038" spans="1:8">
      <c r="A3038" t="s">
        <v>3300</v>
      </c>
      <c r="B3038" t="s">
        <v>2149</v>
      </c>
      <c r="C3038" t="s">
        <v>2150</v>
      </c>
      <c r="D3038" t="s">
        <v>85</v>
      </c>
      <c r="E3038" t="s">
        <v>86</v>
      </c>
      <c r="F3038" s="2">
        <v>0.248</v>
      </c>
      <c r="G3038">
        <v>15</v>
      </c>
      <c r="H3038" s="2">
        <f>Tabla_Items_Inactivos[[#This Row],[EXISTENCIA]]*Tabla_Items_Inactivos[[#This Row],[COSTO]]</f>
        <v>3.7199999999999998</v>
      </c>
    </row>
    <row r="3039" spans="1:8">
      <c r="A3039" t="s">
        <v>3300</v>
      </c>
      <c r="B3039" t="s">
        <v>2151</v>
      </c>
      <c r="C3039" t="s">
        <v>2152</v>
      </c>
      <c r="D3039" t="s">
        <v>85</v>
      </c>
      <c r="E3039" t="s">
        <v>86</v>
      </c>
      <c r="F3039" s="2">
        <v>2.8889999999999998</v>
      </c>
      <c r="G3039">
        <v>1</v>
      </c>
      <c r="H3039" s="2">
        <f>Tabla_Items_Inactivos[[#This Row],[EXISTENCIA]]*Tabla_Items_Inactivos[[#This Row],[COSTO]]</f>
        <v>2.8889999999999998</v>
      </c>
    </row>
    <row r="3040" spans="1:8">
      <c r="A3040" t="s">
        <v>3300</v>
      </c>
      <c r="B3040" t="s">
        <v>2153</v>
      </c>
      <c r="C3040" t="s">
        <v>2154</v>
      </c>
      <c r="D3040" t="s">
        <v>85</v>
      </c>
      <c r="E3040" t="s">
        <v>86</v>
      </c>
      <c r="F3040" s="2">
        <v>1.8720000000000001</v>
      </c>
      <c r="G3040">
        <v>5</v>
      </c>
      <c r="H3040" s="2">
        <f>Tabla_Items_Inactivos[[#This Row],[EXISTENCIA]]*Tabla_Items_Inactivos[[#This Row],[COSTO]]</f>
        <v>9.3600000000000012</v>
      </c>
    </row>
    <row r="3041" spans="1:8">
      <c r="A3041" t="s">
        <v>3300</v>
      </c>
      <c r="B3041" t="s">
        <v>5344</v>
      </c>
      <c r="C3041" t="s">
        <v>5345</v>
      </c>
      <c r="D3041" t="s">
        <v>85</v>
      </c>
      <c r="E3041" t="s">
        <v>86</v>
      </c>
      <c r="F3041" s="2">
        <v>17.114799999999999</v>
      </c>
      <c r="G3041">
        <v>13</v>
      </c>
      <c r="H3041" s="2">
        <f>Tabla_Items_Inactivos[[#This Row],[EXISTENCIA]]*Tabla_Items_Inactivos[[#This Row],[COSTO]]</f>
        <v>222.49239999999998</v>
      </c>
    </row>
    <row r="3042" spans="1:8">
      <c r="A3042" t="s">
        <v>3301</v>
      </c>
      <c r="B3042" t="s">
        <v>5344</v>
      </c>
      <c r="C3042" t="s">
        <v>5345</v>
      </c>
      <c r="D3042" t="s">
        <v>85</v>
      </c>
      <c r="E3042" t="s">
        <v>86</v>
      </c>
      <c r="F3042" s="2">
        <v>17.114799999999999</v>
      </c>
      <c r="G3042">
        <v>13</v>
      </c>
      <c r="H3042" s="2">
        <f>Tabla_Items_Inactivos[[#This Row],[EXISTENCIA]]*Tabla_Items_Inactivos[[#This Row],[COSTO]]</f>
        <v>222.49239999999998</v>
      </c>
    </row>
    <row r="3043" spans="1:8">
      <c r="A3043" t="s">
        <v>3300</v>
      </c>
      <c r="B3043" t="s">
        <v>2155</v>
      </c>
      <c r="C3043" t="s">
        <v>2156</v>
      </c>
      <c r="D3043" t="s">
        <v>85</v>
      </c>
      <c r="E3043" t="s">
        <v>86</v>
      </c>
      <c r="F3043" s="2">
        <v>0.68879999999999997</v>
      </c>
      <c r="G3043">
        <v>6</v>
      </c>
      <c r="H3043" s="2">
        <f>Tabla_Items_Inactivos[[#This Row],[EXISTENCIA]]*Tabla_Items_Inactivos[[#This Row],[COSTO]]</f>
        <v>4.1327999999999996</v>
      </c>
    </row>
    <row r="3044" spans="1:8">
      <c r="A3044" t="s">
        <v>3301</v>
      </c>
      <c r="B3044" t="s">
        <v>2155</v>
      </c>
      <c r="C3044" t="s">
        <v>2156</v>
      </c>
      <c r="D3044" t="s">
        <v>85</v>
      </c>
      <c r="E3044" t="s">
        <v>86</v>
      </c>
      <c r="F3044" s="2">
        <v>0.68879999999999997</v>
      </c>
      <c r="G3044">
        <v>6</v>
      </c>
      <c r="H3044" s="2">
        <f>Tabla_Items_Inactivos[[#This Row],[EXISTENCIA]]*Tabla_Items_Inactivos[[#This Row],[COSTO]]</f>
        <v>4.1327999999999996</v>
      </c>
    </row>
    <row r="3045" spans="1:8">
      <c r="A3045" t="s">
        <v>3301</v>
      </c>
      <c r="B3045" t="s">
        <v>2158</v>
      </c>
      <c r="C3045" t="s">
        <v>2159</v>
      </c>
      <c r="D3045" t="s">
        <v>85</v>
      </c>
      <c r="E3045" t="s">
        <v>86</v>
      </c>
      <c r="F3045" s="2">
        <v>1.5736000000000001</v>
      </c>
      <c r="G3045">
        <v>4</v>
      </c>
      <c r="H3045" s="2">
        <f>Tabla_Items_Inactivos[[#This Row],[EXISTENCIA]]*Tabla_Items_Inactivos[[#This Row],[COSTO]]</f>
        <v>6.2944000000000004</v>
      </c>
    </row>
    <row r="3046" spans="1:8">
      <c r="A3046" t="s">
        <v>3300</v>
      </c>
      <c r="B3046" t="s">
        <v>2158</v>
      </c>
      <c r="C3046" t="s">
        <v>2159</v>
      </c>
      <c r="D3046" t="s">
        <v>85</v>
      </c>
      <c r="E3046" t="s">
        <v>86</v>
      </c>
      <c r="F3046" s="2">
        <v>1.5736000000000001</v>
      </c>
      <c r="G3046">
        <v>4</v>
      </c>
      <c r="H3046" s="2">
        <f>Tabla_Items_Inactivos[[#This Row],[EXISTENCIA]]*Tabla_Items_Inactivos[[#This Row],[COSTO]]</f>
        <v>6.2944000000000004</v>
      </c>
    </row>
    <row r="3047" spans="1:8">
      <c r="A3047" t="s">
        <v>3300</v>
      </c>
      <c r="B3047" t="s">
        <v>2160</v>
      </c>
      <c r="C3047" t="s">
        <v>5346</v>
      </c>
      <c r="D3047" t="s">
        <v>85</v>
      </c>
      <c r="E3047" t="s">
        <v>86</v>
      </c>
      <c r="F3047" s="2">
        <v>2.774</v>
      </c>
      <c r="G3047">
        <v>2</v>
      </c>
      <c r="H3047" s="2">
        <f>Tabla_Items_Inactivos[[#This Row],[EXISTENCIA]]*Tabla_Items_Inactivos[[#This Row],[COSTO]]</f>
        <v>5.548</v>
      </c>
    </row>
    <row r="3048" spans="1:8">
      <c r="A3048" t="s">
        <v>3300</v>
      </c>
      <c r="B3048" t="s">
        <v>2161</v>
      </c>
      <c r="C3048" t="s">
        <v>2162</v>
      </c>
      <c r="D3048" t="s">
        <v>85</v>
      </c>
      <c r="E3048" t="s">
        <v>86</v>
      </c>
      <c r="F3048" s="2">
        <v>3.1160000000000001</v>
      </c>
      <c r="G3048">
        <v>9</v>
      </c>
      <c r="H3048" s="2">
        <f>Tabla_Items_Inactivos[[#This Row],[EXISTENCIA]]*Tabla_Items_Inactivos[[#This Row],[COSTO]]</f>
        <v>28.044</v>
      </c>
    </row>
    <row r="3049" spans="1:8">
      <c r="A3049" t="s">
        <v>3300</v>
      </c>
      <c r="B3049" t="s">
        <v>2163</v>
      </c>
      <c r="C3049" t="s">
        <v>2164</v>
      </c>
      <c r="D3049" t="s">
        <v>85</v>
      </c>
      <c r="E3049" t="s">
        <v>86</v>
      </c>
      <c r="F3049" s="2">
        <v>0.503</v>
      </c>
      <c r="G3049">
        <v>1</v>
      </c>
      <c r="H3049" s="2">
        <f>Tabla_Items_Inactivos[[#This Row],[EXISTENCIA]]*Tabla_Items_Inactivos[[#This Row],[COSTO]]</f>
        <v>0.503</v>
      </c>
    </row>
    <row r="3050" spans="1:8">
      <c r="A3050" t="s">
        <v>3301</v>
      </c>
      <c r="B3050" t="s">
        <v>2166</v>
      </c>
      <c r="C3050" t="s">
        <v>2167</v>
      </c>
      <c r="D3050" t="s">
        <v>85</v>
      </c>
      <c r="E3050" t="s">
        <v>86</v>
      </c>
      <c r="F3050" s="2">
        <v>1.3281000000000001</v>
      </c>
      <c r="G3050">
        <v>4</v>
      </c>
      <c r="H3050" s="2">
        <f>Tabla_Items_Inactivos[[#This Row],[EXISTENCIA]]*Tabla_Items_Inactivos[[#This Row],[COSTO]]</f>
        <v>5.3124000000000002</v>
      </c>
    </row>
    <row r="3051" spans="1:8">
      <c r="A3051" t="s">
        <v>3300</v>
      </c>
      <c r="B3051" t="s">
        <v>2166</v>
      </c>
      <c r="C3051" t="s">
        <v>2167</v>
      </c>
      <c r="D3051" t="s">
        <v>85</v>
      </c>
      <c r="E3051" t="s">
        <v>86</v>
      </c>
      <c r="F3051" s="2">
        <v>1.3281000000000001</v>
      </c>
      <c r="G3051">
        <v>4</v>
      </c>
      <c r="H3051" s="2">
        <f>Tabla_Items_Inactivos[[#This Row],[EXISTENCIA]]*Tabla_Items_Inactivos[[#This Row],[COSTO]]</f>
        <v>5.3124000000000002</v>
      </c>
    </row>
    <row r="3052" spans="1:8">
      <c r="A3052" t="s">
        <v>3300</v>
      </c>
      <c r="B3052" t="s">
        <v>2168</v>
      </c>
      <c r="C3052" t="s">
        <v>2169</v>
      </c>
      <c r="D3052" t="s">
        <v>85</v>
      </c>
      <c r="E3052" t="s">
        <v>86</v>
      </c>
      <c r="F3052" s="2">
        <v>1.5209999999999999</v>
      </c>
      <c r="G3052">
        <v>6</v>
      </c>
      <c r="H3052" s="2">
        <f>Tabla_Items_Inactivos[[#This Row],[EXISTENCIA]]*Tabla_Items_Inactivos[[#This Row],[COSTO]]</f>
        <v>9.1259999999999994</v>
      </c>
    </row>
    <row r="3053" spans="1:8">
      <c r="A3053" t="s">
        <v>3300</v>
      </c>
      <c r="B3053" t="s">
        <v>2170</v>
      </c>
      <c r="C3053" t="s">
        <v>2171</v>
      </c>
      <c r="D3053" t="s">
        <v>85</v>
      </c>
      <c r="E3053" t="s">
        <v>86</v>
      </c>
      <c r="F3053" s="2">
        <v>2.3410000000000002</v>
      </c>
      <c r="G3053">
        <v>1</v>
      </c>
      <c r="H3053" s="2">
        <f>Tabla_Items_Inactivos[[#This Row],[EXISTENCIA]]*Tabla_Items_Inactivos[[#This Row],[COSTO]]</f>
        <v>2.3410000000000002</v>
      </c>
    </row>
    <row r="3054" spans="1:8">
      <c r="A3054" t="s">
        <v>3300</v>
      </c>
      <c r="B3054" t="s">
        <v>2172</v>
      </c>
      <c r="C3054" t="s">
        <v>2173</v>
      </c>
      <c r="D3054" t="s">
        <v>85</v>
      </c>
      <c r="E3054" t="s">
        <v>86</v>
      </c>
      <c r="F3054" s="2">
        <v>0.4652</v>
      </c>
      <c r="G3054">
        <v>63</v>
      </c>
      <c r="H3054" s="2">
        <f>Tabla_Items_Inactivos[[#This Row],[EXISTENCIA]]*Tabla_Items_Inactivos[[#This Row],[COSTO]]</f>
        <v>29.307600000000001</v>
      </c>
    </row>
    <row r="3055" spans="1:8">
      <c r="A3055" t="s">
        <v>3301</v>
      </c>
      <c r="B3055" t="s">
        <v>2172</v>
      </c>
      <c r="C3055" t="s">
        <v>2173</v>
      </c>
      <c r="D3055" t="s">
        <v>85</v>
      </c>
      <c r="E3055" t="s">
        <v>86</v>
      </c>
      <c r="F3055" s="2">
        <v>0.4652</v>
      </c>
      <c r="G3055">
        <v>63</v>
      </c>
      <c r="H3055" s="2">
        <f>Tabla_Items_Inactivos[[#This Row],[EXISTENCIA]]*Tabla_Items_Inactivos[[#This Row],[COSTO]]</f>
        <v>29.307600000000001</v>
      </c>
    </row>
    <row r="3056" spans="1:8">
      <c r="A3056" t="s">
        <v>3300</v>
      </c>
      <c r="B3056" t="s">
        <v>2174</v>
      </c>
      <c r="C3056" t="s">
        <v>2175</v>
      </c>
      <c r="D3056" t="s">
        <v>85</v>
      </c>
      <c r="E3056" t="s">
        <v>86</v>
      </c>
      <c r="F3056" s="2">
        <v>0.39329999999999998</v>
      </c>
      <c r="G3056">
        <v>2</v>
      </c>
      <c r="H3056" s="2">
        <f>Tabla_Items_Inactivos[[#This Row],[EXISTENCIA]]*Tabla_Items_Inactivos[[#This Row],[COSTO]]</f>
        <v>0.78659999999999997</v>
      </c>
    </row>
    <row r="3057" spans="1:8">
      <c r="A3057" t="s">
        <v>3301</v>
      </c>
      <c r="B3057" t="s">
        <v>2174</v>
      </c>
      <c r="C3057" t="s">
        <v>2175</v>
      </c>
      <c r="D3057" t="s">
        <v>85</v>
      </c>
      <c r="E3057" t="s">
        <v>86</v>
      </c>
      <c r="F3057" s="2">
        <v>0.39329999999999998</v>
      </c>
      <c r="G3057">
        <v>2</v>
      </c>
      <c r="H3057" s="2">
        <f>Tabla_Items_Inactivos[[#This Row],[EXISTENCIA]]*Tabla_Items_Inactivos[[#This Row],[COSTO]]</f>
        <v>0.78659999999999997</v>
      </c>
    </row>
    <row r="3058" spans="1:8">
      <c r="A3058" t="s">
        <v>3300</v>
      </c>
      <c r="B3058" t="s">
        <v>2176</v>
      </c>
      <c r="C3058" t="s">
        <v>2177</v>
      </c>
      <c r="D3058" t="s">
        <v>85</v>
      </c>
      <c r="E3058" t="s">
        <v>86</v>
      </c>
      <c r="F3058" s="2">
        <v>1.6080000000000001</v>
      </c>
      <c r="G3058">
        <v>5</v>
      </c>
      <c r="H3058" s="2">
        <f>Tabla_Items_Inactivos[[#This Row],[EXISTENCIA]]*Tabla_Items_Inactivos[[#This Row],[COSTO]]</f>
        <v>8.0400000000000009</v>
      </c>
    </row>
    <row r="3059" spans="1:8">
      <c r="A3059" t="s">
        <v>3300</v>
      </c>
      <c r="B3059" t="s">
        <v>2178</v>
      </c>
      <c r="C3059" t="s">
        <v>2179</v>
      </c>
      <c r="D3059" t="s">
        <v>85</v>
      </c>
      <c r="E3059" t="s">
        <v>86</v>
      </c>
      <c r="F3059" s="2">
        <v>7.5030999999999999</v>
      </c>
      <c r="G3059">
        <v>30</v>
      </c>
      <c r="H3059" s="2">
        <f>Tabla_Items_Inactivos[[#This Row],[EXISTENCIA]]*Tabla_Items_Inactivos[[#This Row],[COSTO]]</f>
        <v>225.09299999999999</v>
      </c>
    </row>
    <row r="3060" spans="1:8">
      <c r="A3060" t="s">
        <v>3301</v>
      </c>
      <c r="B3060" t="s">
        <v>2178</v>
      </c>
      <c r="C3060" t="s">
        <v>2179</v>
      </c>
      <c r="D3060" t="s">
        <v>85</v>
      </c>
      <c r="E3060" t="s">
        <v>86</v>
      </c>
      <c r="F3060" s="2">
        <v>7.5030999999999999</v>
      </c>
      <c r="G3060">
        <v>30</v>
      </c>
      <c r="H3060" s="2">
        <f>Tabla_Items_Inactivos[[#This Row],[EXISTENCIA]]*Tabla_Items_Inactivos[[#This Row],[COSTO]]</f>
        <v>225.09299999999999</v>
      </c>
    </row>
    <row r="3061" spans="1:8">
      <c r="A3061" t="s">
        <v>3300</v>
      </c>
      <c r="B3061" t="s">
        <v>2180</v>
      </c>
      <c r="C3061" t="s">
        <v>2181</v>
      </c>
      <c r="D3061" t="s">
        <v>85</v>
      </c>
      <c r="E3061" t="s">
        <v>86</v>
      </c>
      <c r="F3061" s="2">
        <v>0.77700000000000002</v>
      </c>
      <c r="G3061">
        <v>9</v>
      </c>
      <c r="H3061" s="2">
        <f>Tabla_Items_Inactivos[[#This Row],[EXISTENCIA]]*Tabla_Items_Inactivos[[#This Row],[COSTO]]</f>
        <v>6.9930000000000003</v>
      </c>
    </row>
    <row r="3062" spans="1:8">
      <c r="A3062" t="s">
        <v>3300</v>
      </c>
      <c r="B3062" t="s">
        <v>2182</v>
      </c>
      <c r="C3062" t="s">
        <v>2183</v>
      </c>
      <c r="D3062" t="s">
        <v>85</v>
      </c>
      <c r="E3062" t="s">
        <v>86</v>
      </c>
      <c r="F3062" s="2">
        <v>11.4771</v>
      </c>
      <c r="G3062">
        <v>13</v>
      </c>
      <c r="H3062" s="2">
        <f>Tabla_Items_Inactivos[[#This Row],[EXISTENCIA]]*Tabla_Items_Inactivos[[#This Row],[COSTO]]</f>
        <v>149.20230000000001</v>
      </c>
    </row>
    <row r="3063" spans="1:8">
      <c r="A3063" t="s">
        <v>3301</v>
      </c>
      <c r="B3063" t="s">
        <v>2182</v>
      </c>
      <c r="C3063" t="s">
        <v>2183</v>
      </c>
      <c r="D3063" t="s">
        <v>85</v>
      </c>
      <c r="E3063" t="s">
        <v>86</v>
      </c>
      <c r="F3063" s="2">
        <v>11.4771</v>
      </c>
      <c r="G3063">
        <v>13</v>
      </c>
      <c r="H3063" s="2">
        <f>Tabla_Items_Inactivos[[#This Row],[EXISTENCIA]]*Tabla_Items_Inactivos[[#This Row],[COSTO]]</f>
        <v>149.20230000000001</v>
      </c>
    </row>
    <row r="3064" spans="1:8">
      <c r="A3064" t="s">
        <v>3301</v>
      </c>
      <c r="B3064" t="s">
        <v>2184</v>
      </c>
      <c r="C3064" t="s">
        <v>2185</v>
      </c>
      <c r="D3064" t="s">
        <v>85</v>
      </c>
      <c r="E3064" t="s">
        <v>86</v>
      </c>
      <c r="F3064" s="2">
        <v>0.71</v>
      </c>
      <c r="G3064">
        <v>10</v>
      </c>
      <c r="H3064" s="2">
        <f>Tabla_Items_Inactivos[[#This Row],[EXISTENCIA]]*Tabla_Items_Inactivos[[#This Row],[COSTO]]</f>
        <v>7.1</v>
      </c>
    </row>
    <row r="3065" spans="1:8">
      <c r="A3065" t="s">
        <v>3300</v>
      </c>
      <c r="B3065" t="s">
        <v>2184</v>
      </c>
      <c r="C3065" t="s">
        <v>2185</v>
      </c>
      <c r="D3065" t="s">
        <v>85</v>
      </c>
      <c r="E3065" t="s">
        <v>86</v>
      </c>
      <c r="F3065" s="2">
        <v>0.71</v>
      </c>
      <c r="G3065">
        <v>10</v>
      </c>
      <c r="H3065" s="2">
        <f>Tabla_Items_Inactivos[[#This Row],[EXISTENCIA]]*Tabla_Items_Inactivos[[#This Row],[COSTO]]</f>
        <v>7.1</v>
      </c>
    </row>
    <row r="3066" spans="1:8">
      <c r="A3066" t="s">
        <v>3301</v>
      </c>
      <c r="B3066" t="s">
        <v>2186</v>
      </c>
      <c r="C3066" t="s">
        <v>2187</v>
      </c>
      <c r="D3066" t="s">
        <v>85</v>
      </c>
      <c r="E3066" t="s">
        <v>86</v>
      </c>
      <c r="F3066" s="2">
        <v>0.42349999999999999</v>
      </c>
      <c r="G3066">
        <v>15</v>
      </c>
      <c r="H3066" s="2">
        <f>Tabla_Items_Inactivos[[#This Row],[EXISTENCIA]]*Tabla_Items_Inactivos[[#This Row],[COSTO]]</f>
        <v>6.3525</v>
      </c>
    </row>
    <row r="3067" spans="1:8">
      <c r="A3067" t="s">
        <v>3300</v>
      </c>
      <c r="B3067" t="s">
        <v>2186</v>
      </c>
      <c r="C3067" t="s">
        <v>2187</v>
      </c>
      <c r="D3067" t="s">
        <v>85</v>
      </c>
      <c r="E3067" t="s">
        <v>86</v>
      </c>
      <c r="F3067" s="2">
        <v>0.42349999999999999</v>
      </c>
      <c r="G3067">
        <v>15</v>
      </c>
      <c r="H3067" s="2">
        <f>Tabla_Items_Inactivos[[#This Row],[EXISTENCIA]]*Tabla_Items_Inactivos[[#This Row],[COSTO]]</f>
        <v>6.3525</v>
      </c>
    </row>
    <row r="3068" spans="1:8">
      <c r="A3068" t="s">
        <v>3300</v>
      </c>
      <c r="B3068" t="s">
        <v>2190</v>
      </c>
      <c r="C3068" t="s">
        <v>5347</v>
      </c>
      <c r="D3068" t="s">
        <v>85</v>
      </c>
      <c r="E3068" t="s">
        <v>86</v>
      </c>
      <c r="F3068" s="2">
        <v>16.452999999999999</v>
      </c>
      <c r="G3068">
        <v>7</v>
      </c>
      <c r="H3068" s="2">
        <f>Tabla_Items_Inactivos[[#This Row],[EXISTENCIA]]*Tabla_Items_Inactivos[[#This Row],[COSTO]]</f>
        <v>115.17099999999999</v>
      </c>
    </row>
    <row r="3069" spans="1:8">
      <c r="A3069" t="s">
        <v>3300</v>
      </c>
      <c r="B3069" t="s">
        <v>2191</v>
      </c>
      <c r="C3069" t="s">
        <v>2192</v>
      </c>
      <c r="D3069" t="s">
        <v>85</v>
      </c>
      <c r="E3069" t="s">
        <v>86</v>
      </c>
      <c r="F3069" s="2">
        <v>21.486899999999999</v>
      </c>
      <c r="G3069">
        <v>2</v>
      </c>
      <c r="H3069" s="2">
        <f>Tabla_Items_Inactivos[[#This Row],[EXISTENCIA]]*Tabla_Items_Inactivos[[#This Row],[COSTO]]</f>
        <v>42.973799999999997</v>
      </c>
    </row>
    <row r="3070" spans="1:8">
      <c r="A3070" t="s">
        <v>3301</v>
      </c>
      <c r="B3070" t="s">
        <v>2191</v>
      </c>
      <c r="C3070" t="s">
        <v>2192</v>
      </c>
      <c r="D3070" t="s">
        <v>85</v>
      </c>
      <c r="E3070" t="s">
        <v>86</v>
      </c>
      <c r="F3070" s="2">
        <v>21.486899999999999</v>
      </c>
      <c r="G3070">
        <v>2</v>
      </c>
      <c r="H3070" s="2">
        <f>Tabla_Items_Inactivos[[#This Row],[EXISTENCIA]]*Tabla_Items_Inactivos[[#This Row],[COSTO]]</f>
        <v>42.973799999999997</v>
      </c>
    </row>
    <row r="3071" spans="1:8">
      <c r="A3071" t="s">
        <v>3300</v>
      </c>
      <c r="B3071" t="s">
        <v>2193</v>
      </c>
      <c r="C3071" t="s">
        <v>2194</v>
      </c>
      <c r="D3071" t="s">
        <v>98</v>
      </c>
      <c r="E3071" t="s">
        <v>86</v>
      </c>
      <c r="F3071" s="2">
        <v>0.56000000000000005</v>
      </c>
      <c r="G3071">
        <v>1</v>
      </c>
      <c r="H3071" s="2">
        <f>Tabla_Items_Inactivos[[#This Row],[EXISTENCIA]]*Tabla_Items_Inactivos[[#This Row],[COSTO]]</f>
        <v>0.56000000000000005</v>
      </c>
    </row>
    <row r="3072" spans="1:8">
      <c r="A3072" t="s">
        <v>3300</v>
      </c>
      <c r="B3072" t="s">
        <v>2195</v>
      </c>
      <c r="C3072" t="s">
        <v>2196</v>
      </c>
      <c r="D3072" t="s">
        <v>85</v>
      </c>
      <c r="E3072" t="s">
        <v>86</v>
      </c>
      <c r="F3072" s="2">
        <v>0.68710000000000004</v>
      </c>
      <c r="G3072">
        <v>103</v>
      </c>
      <c r="H3072" s="2">
        <f>Tabla_Items_Inactivos[[#This Row],[EXISTENCIA]]*Tabla_Items_Inactivos[[#This Row],[COSTO]]</f>
        <v>70.771300000000011</v>
      </c>
    </row>
    <row r="3073" spans="1:8">
      <c r="A3073" t="s">
        <v>3301</v>
      </c>
      <c r="B3073" t="s">
        <v>2195</v>
      </c>
      <c r="C3073" t="s">
        <v>2196</v>
      </c>
      <c r="D3073" t="s">
        <v>85</v>
      </c>
      <c r="E3073" t="s">
        <v>86</v>
      </c>
      <c r="F3073" s="2">
        <v>0.68710000000000004</v>
      </c>
      <c r="G3073">
        <v>103</v>
      </c>
      <c r="H3073" s="2">
        <f>Tabla_Items_Inactivos[[#This Row],[EXISTENCIA]]*Tabla_Items_Inactivos[[#This Row],[COSTO]]</f>
        <v>70.771300000000011</v>
      </c>
    </row>
    <row r="3074" spans="1:8">
      <c r="A3074" t="s">
        <v>3300</v>
      </c>
      <c r="B3074" t="s">
        <v>5348</v>
      </c>
      <c r="C3074" t="s">
        <v>5349</v>
      </c>
      <c r="D3074" t="s">
        <v>85</v>
      </c>
      <c r="E3074" t="s">
        <v>86</v>
      </c>
      <c r="F3074" s="2">
        <v>3.3660000000000001</v>
      </c>
      <c r="G3074">
        <v>1</v>
      </c>
      <c r="H3074" s="2">
        <f>Tabla_Items_Inactivos[[#This Row],[EXISTENCIA]]*Tabla_Items_Inactivos[[#This Row],[COSTO]]</f>
        <v>3.3660000000000001</v>
      </c>
    </row>
    <row r="3075" spans="1:8">
      <c r="A3075" t="s">
        <v>3300</v>
      </c>
      <c r="B3075" t="s">
        <v>2197</v>
      </c>
      <c r="C3075" t="s">
        <v>2198</v>
      </c>
      <c r="D3075" t="s">
        <v>85</v>
      </c>
      <c r="E3075" t="s">
        <v>86</v>
      </c>
      <c r="F3075" s="2">
        <v>3.3816999999999999</v>
      </c>
      <c r="G3075">
        <v>9</v>
      </c>
      <c r="H3075" s="2">
        <f>Tabla_Items_Inactivos[[#This Row],[EXISTENCIA]]*Tabla_Items_Inactivos[[#This Row],[COSTO]]</f>
        <v>30.435299999999998</v>
      </c>
    </row>
    <row r="3076" spans="1:8">
      <c r="A3076" t="s">
        <v>3301</v>
      </c>
      <c r="B3076" t="s">
        <v>2197</v>
      </c>
      <c r="C3076" t="s">
        <v>2198</v>
      </c>
      <c r="D3076" t="s">
        <v>85</v>
      </c>
      <c r="E3076" t="s">
        <v>86</v>
      </c>
      <c r="F3076" s="2">
        <v>3.3816999999999999</v>
      </c>
      <c r="G3076">
        <v>9</v>
      </c>
      <c r="H3076" s="2">
        <f>Tabla_Items_Inactivos[[#This Row],[EXISTENCIA]]*Tabla_Items_Inactivos[[#This Row],[COSTO]]</f>
        <v>30.435299999999998</v>
      </c>
    </row>
    <row r="3077" spans="1:8">
      <c r="A3077" t="s">
        <v>3301</v>
      </c>
      <c r="B3077" t="s">
        <v>2199</v>
      </c>
      <c r="C3077" t="s">
        <v>2200</v>
      </c>
      <c r="D3077" t="s">
        <v>85</v>
      </c>
      <c r="E3077" t="s">
        <v>86</v>
      </c>
      <c r="F3077" s="2">
        <v>2.9923000000000002</v>
      </c>
      <c r="G3077">
        <v>108</v>
      </c>
      <c r="H3077" s="2">
        <f>Tabla_Items_Inactivos[[#This Row],[EXISTENCIA]]*Tabla_Items_Inactivos[[#This Row],[COSTO]]</f>
        <v>323.16840000000002</v>
      </c>
    </row>
    <row r="3078" spans="1:8">
      <c r="A3078" t="s">
        <v>3300</v>
      </c>
      <c r="B3078" t="s">
        <v>2199</v>
      </c>
      <c r="C3078" t="s">
        <v>2200</v>
      </c>
      <c r="D3078" t="s">
        <v>85</v>
      </c>
      <c r="E3078" t="s">
        <v>86</v>
      </c>
      <c r="F3078" s="2">
        <v>2.9923000000000002</v>
      </c>
      <c r="G3078">
        <v>108</v>
      </c>
      <c r="H3078" s="2">
        <f>Tabla_Items_Inactivos[[#This Row],[EXISTENCIA]]*Tabla_Items_Inactivos[[#This Row],[COSTO]]</f>
        <v>323.16840000000002</v>
      </c>
    </row>
    <row r="3079" spans="1:8">
      <c r="A3079" t="s">
        <v>3300</v>
      </c>
      <c r="B3079" t="s">
        <v>2201</v>
      </c>
      <c r="C3079" t="s">
        <v>2202</v>
      </c>
      <c r="D3079" t="s">
        <v>85</v>
      </c>
      <c r="E3079" t="s">
        <v>86</v>
      </c>
      <c r="F3079" s="2">
        <v>0.35599999999999998</v>
      </c>
      <c r="G3079">
        <v>6</v>
      </c>
      <c r="H3079" s="2">
        <f>Tabla_Items_Inactivos[[#This Row],[EXISTENCIA]]*Tabla_Items_Inactivos[[#This Row],[COSTO]]</f>
        <v>2.1360000000000001</v>
      </c>
    </row>
    <row r="3080" spans="1:8">
      <c r="A3080" t="s">
        <v>3300</v>
      </c>
      <c r="B3080" t="s">
        <v>2203</v>
      </c>
      <c r="C3080" t="s">
        <v>2204</v>
      </c>
      <c r="D3080" t="s">
        <v>85</v>
      </c>
      <c r="E3080" t="s">
        <v>86</v>
      </c>
      <c r="F3080" s="2">
        <v>1.3442000000000001</v>
      </c>
      <c r="G3080">
        <v>10</v>
      </c>
      <c r="H3080" s="2">
        <f>Tabla_Items_Inactivos[[#This Row],[EXISTENCIA]]*Tabla_Items_Inactivos[[#This Row],[COSTO]]</f>
        <v>13.442</v>
      </c>
    </row>
    <row r="3081" spans="1:8">
      <c r="A3081" t="s">
        <v>3301</v>
      </c>
      <c r="B3081" t="s">
        <v>2203</v>
      </c>
      <c r="C3081" t="s">
        <v>2204</v>
      </c>
      <c r="D3081" t="s">
        <v>85</v>
      </c>
      <c r="E3081" t="s">
        <v>86</v>
      </c>
      <c r="F3081" s="2">
        <v>1.3442000000000001</v>
      </c>
      <c r="G3081">
        <v>10</v>
      </c>
      <c r="H3081" s="2">
        <f>Tabla_Items_Inactivos[[#This Row],[EXISTENCIA]]*Tabla_Items_Inactivos[[#This Row],[COSTO]]</f>
        <v>13.442</v>
      </c>
    </row>
    <row r="3082" spans="1:8">
      <c r="A3082" t="s">
        <v>3300</v>
      </c>
      <c r="B3082" t="s">
        <v>2205</v>
      </c>
      <c r="C3082" t="s">
        <v>5350</v>
      </c>
      <c r="D3082" t="s">
        <v>85</v>
      </c>
      <c r="E3082" t="s">
        <v>86</v>
      </c>
      <c r="F3082" s="2">
        <v>3.085</v>
      </c>
      <c r="G3082">
        <v>24</v>
      </c>
      <c r="H3082" s="2">
        <f>Tabla_Items_Inactivos[[#This Row],[EXISTENCIA]]*Tabla_Items_Inactivos[[#This Row],[COSTO]]</f>
        <v>74.039999999999992</v>
      </c>
    </row>
    <row r="3083" spans="1:8">
      <c r="A3083" t="s">
        <v>3300</v>
      </c>
      <c r="B3083" t="s">
        <v>2207</v>
      </c>
      <c r="C3083" t="s">
        <v>2208</v>
      </c>
      <c r="D3083" t="s">
        <v>85</v>
      </c>
      <c r="E3083" t="s">
        <v>86</v>
      </c>
      <c r="F3083" s="2">
        <v>18.4664</v>
      </c>
      <c r="G3083">
        <v>12</v>
      </c>
      <c r="H3083" s="2">
        <f>Tabla_Items_Inactivos[[#This Row],[EXISTENCIA]]*Tabla_Items_Inactivos[[#This Row],[COSTO]]</f>
        <v>221.5968</v>
      </c>
    </row>
    <row r="3084" spans="1:8">
      <c r="A3084" t="s">
        <v>3301</v>
      </c>
      <c r="B3084" t="s">
        <v>2207</v>
      </c>
      <c r="C3084" t="s">
        <v>2208</v>
      </c>
      <c r="D3084" t="s">
        <v>85</v>
      </c>
      <c r="E3084" t="s">
        <v>86</v>
      </c>
      <c r="F3084" s="2">
        <v>18.4664</v>
      </c>
      <c r="G3084">
        <v>12</v>
      </c>
      <c r="H3084" s="2">
        <f>Tabla_Items_Inactivos[[#This Row],[EXISTENCIA]]*Tabla_Items_Inactivos[[#This Row],[COSTO]]</f>
        <v>221.5968</v>
      </c>
    </row>
    <row r="3085" spans="1:8">
      <c r="A3085" t="s">
        <v>3300</v>
      </c>
      <c r="B3085" t="s">
        <v>3229</v>
      </c>
      <c r="C3085" t="s">
        <v>3230</v>
      </c>
      <c r="D3085" t="s">
        <v>85</v>
      </c>
      <c r="E3085" t="s">
        <v>86</v>
      </c>
      <c r="F3085" s="2">
        <v>15.398999999999999</v>
      </c>
      <c r="G3085">
        <v>12</v>
      </c>
      <c r="H3085" s="2">
        <f>Tabla_Items_Inactivos[[#This Row],[EXISTENCIA]]*Tabla_Items_Inactivos[[#This Row],[COSTO]]</f>
        <v>184.78799999999998</v>
      </c>
    </row>
    <row r="3086" spans="1:8">
      <c r="A3086" t="s">
        <v>3300</v>
      </c>
      <c r="B3086" t="s">
        <v>2210</v>
      </c>
      <c r="C3086" t="s">
        <v>2211</v>
      </c>
      <c r="D3086" t="s">
        <v>85</v>
      </c>
      <c r="E3086" t="s">
        <v>86</v>
      </c>
      <c r="F3086" s="2">
        <v>1.1659999999999999</v>
      </c>
      <c r="G3086">
        <v>7</v>
      </c>
      <c r="H3086" s="2">
        <f>Tabla_Items_Inactivos[[#This Row],[EXISTENCIA]]*Tabla_Items_Inactivos[[#This Row],[COSTO]]</f>
        <v>8.161999999999999</v>
      </c>
    </row>
    <row r="3087" spans="1:8">
      <c r="A3087" t="s">
        <v>3300</v>
      </c>
      <c r="B3087" t="s">
        <v>2212</v>
      </c>
      <c r="C3087" t="s">
        <v>2213</v>
      </c>
      <c r="D3087" t="s">
        <v>85</v>
      </c>
      <c r="E3087" t="s">
        <v>86</v>
      </c>
      <c r="F3087" s="2">
        <v>1.3979999999999999</v>
      </c>
      <c r="G3087">
        <v>11</v>
      </c>
      <c r="H3087" s="2">
        <f>Tabla_Items_Inactivos[[#This Row],[EXISTENCIA]]*Tabla_Items_Inactivos[[#This Row],[COSTO]]</f>
        <v>15.377999999999998</v>
      </c>
    </row>
    <row r="3088" spans="1:8">
      <c r="A3088" t="s">
        <v>3300</v>
      </c>
      <c r="B3088" t="s">
        <v>3231</v>
      </c>
      <c r="C3088" t="s">
        <v>3232</v>
      </c>
      <c r="D3088" t="s">
        <v>85</v>
      </c>
      <c r="E3088" t="s">
        <v>86</v>
      </c>
      <c r="F3088" s="2">
        <v>32.721200000000003</v>
      </c>
      <c r="G3088">
        <v>20</v>
      </c>
      <c r="H3088" s="2">
        <f>Tabla_Items_Inactivos[[#This Row],[EXISTENCIA]]*Tabla_Items_Inactivos[[#This Row],[COSTO]]</f>
        <v>654.42400000000009</v>
      </c>
    </row>
    <row r="3089" spans="1:8">
      <c r="A3089" t="s">
        <v>3301</v>
      </c>
      <c r="B3089" t="s">
        <v>3231</v>
      </c>
      <c r="C3089" t="s">
        <v>3232</v>
      </c>
      <c r="D3089" t="s">
        <v>85</v>
      </c>
      <c r="E3089" t="s">
        <v>86</v>
      </c>
      <c r="F3089" s="2">
        <v>32.721200000000003</v>
      </c>
      <c r="G3089">
        <v>20</v>
      </c>
      <c r="H3089" s="2">
        <f>Tabla_Items_Inactivos[[#This Row],[EXISTENCIA]]*Tabla_Items_Inactivos[[#This Row],[COSTO]]</f>
        <v>654.42400000000009</v>
      </c>
    </row>
    <row r="3090" spans="1:8">
      <c r="A3090" t="s">
        <v>3300</v>
      </c>
      <c r="B3090" t="s">
        <v>2214</v>
      </c>
      <c r="C3090" t="s">
        <v>2215</v>
      </c>
      <c r="D3090" t="s">
        <v>85</v>
      </c>
      <c r="E3090" t="s">
        <v>86</v>
      </c>
      <c r="F3090" s="2">
        <v>21.594999999999999</v>
      </c>
      <c r="G3090">
        <v>2</v>
      </c>
      <c r="H3090" s="2">
        <f>Tabla_Items_Inactivos[[#This Row],[EXISTENCIA]]*Tabla_Items_Inactivos[[#This Row],[COSTO]]</f>
        <v>43.19</v>
      </c>
    </row>
    <row r="3091" spans="1:8">
      <c r="A3091" t="s">
        <v>3300</v>
      </c>
      <c r="B3091" t="s">
        <v>2216</v>
      </c>
      <c r="C3091" t="s">
        <v>2217</v>
      </c>
      <c r="D3091" t="s">
        <v>85</v>
      </c>
      <c r="E3091" t="s">
        <v>86</v>
      </c>
      <c r="F3091" s="2">
        <v>5.5138999999999996</v>
      </c>
      <c r="G3091">
        <v>9</v>
      </c>
      <c r="H3091" s="2">
        <f>Tabla_Items_Inactivos[[#This Row],[EXISTENCIA]]*Tabla_Items_Inactivos[[#This Row],[COSTO]]</f>
        <v>49.625099999999996</v>
      </c>
    </row>
    <row r="3092" spans="1:8">
      <c r="A3092" t="s">
        <v>3301</v>
      </c>
      <c r="B3092" t="s">
        <v>2216</v>
      </c>
      <c r="C3092" t="s">
        <v>2217</v>
      </c>
      <c r="D3092" t="s">
        <v>85</v>
      </c>
      <c r="E3092" t="s">
        <v>86</v>
      </c>
      <c r="F3092" s="2">
        <v>5.5138999999999996</v>
      </c>
      <c r="G3092">
        <v>9</v>
      </c>
      <c r="H3092" s="2">
        <f>Tabla_Items_Inactivos[[#This Row],[EXISTENCIA]]*Tabla_Items_Inactivos[[#This Row],[COSTO]]</f>
        <v>49.625099999999996</v>
      </c>
    </row>
    <row r="3093" spans="1:8">
      <c r="A3093" t="s">
        <v>3300</v>
      </c>
      <c r="B3093" t="s">
        <v>2218</v>
      </c>
      <c r="C3093" t="s">
        <v>5351</v>
      </c>
      <c r="D3093" t="s">
        <v>85</v>
      </c>
      <c r="E3093" t="s">
        <v>86</v>
      </c>
      <c r="F3093" s="2">
        <v>0.85819999999999996</v>
      </c>
      <c r="G3093">
        <v>8</v>
      </c>
      <c r="H3093" s="2">
        <f>Tabla_Items_Inactivos[[#This Row],[EXISTENCIA]]*Tabla_Items_Inactivos[[#This Row],[COSTO]]</f>
        <v>6.8655999999999997</v>
      </c>
    </row>
    <row r="3094" spans="1:8">
      <c r="A3094" t="s">
        <v>3301</v>
      </c>
      <c r="B3094" t="s">
        <v>2218</v>
      </c>
      <c r="C3094" t="s">
        <v>5351</v>
      </c>
      <c r="D3094" t="s">
        <v>85</v>
      </c>
      <c r="E3094" t="s">
        <v>86</v>
      </c>
      <c r="F3094" s="2">
        <v>0.85819999999999996</v>
      </c>
      <c r="G3094">
        <v>8</v>
      </c>
      <c r="H3094" s="2">
        <f>Tabla_Items_Inactivos[[#This Row],[EXISTENCIA]]*Tabla_Items_Inactivos[[#This Row],[COSTO]]</f>
        <v>6.8655999999999997</v>
      </c>
    </row>
    <row r="3095" spans="1:8">
      <c r="A3095" t="s">
        <v>3300</v>
      </c>
      <c r="B3095" t="s">
        <v>2219</v>
      </c>
      <c r="C3095" t="s">
        <v>2220</v>
      </c>
      <c r="D3095" t="s">
        <v>85</v>
      </c>
      <c r="E3095" t="s">
        <v>86</v>
      </c>
      <c r="F3095" s="2">
        <v>28.734999999999999</v>
      </c>
      <c r="G3095">
        <v>2</v>
      </c>
      <c r="H3095" s="2">
        <f>Tabla_Items_Inactivos[[#This Row],[EXISTENCIA]]*Tabla_Items_Inactivos[[#This Row],[COSTO]]</f>
        <v>57.47</v>
      </c>
    </row>
    <row r="3096" spans="1:8">
      <c r="A3096" t="s">
        <v>3300</v>
      </c>
      <c r="B3096" t="s">
        <v>2221</v>
      </c>
      <c r="C3096" t="s">
        <v>2222</v>
      </c>
      <c r="D3096" t="s">
        <v>85</v>
      </c>
      <c r="E3096" t="s">
        <v>86</v>
      </c>
      <c r="F3096" s="2">
        <v>8.577</v>
      </c>
      <c r="G3096">
        <v>3</v>
      </c>
      <c r="H3096" s="2">
        <f>Tabla_Items_Inactivos[[#This Row],[EXISTENCIA]]*Tabla_Items_Inactivos[[#This Row],[COSTO]]</f>
        <v>25.731000000000002</v>
      </c>
    </row>
    <row r="3097" spans="1:8">
      <c r="A3097" t="s">
        <v>3300</v>
      </c>
      <c r="B3097" t="s">
        <v>2223</v>
      </c>
      <c r="C3097" t="s">
        <v>2224</v>
      </c>
      <c r="D3097" t="s">
        <v>85</v>
      </c>
      <c r="E3097" t="s">
        <v>86</v>
      </c>
      <c r="F3097" s="2">
        <v>0.36299999999999999</v>
      </c>
      <c r="G3097">
        <v>10</v>
      </c>
      <c r="H3097" s="2">
        <f>Tabla_Items_Inactivos[[#This Row],[EXISTENCIA]]*Tabla_Items_Inactivos[[#This Row],[COSTO]]</f>
        <v>3.63</v>
      </c>
    </row>
    <row r="3098" spans="1:8">
      <c r="A3098" t="s">
        <v>3300</v>
      </c>
      <c r="B3098" t="s">
        <v>2225</v>
      </c>
      <c r="C3098" t="s">
        <v>2226</v>
      </c>
      <c r="D3098" t="s">
        <v>85</v>
      </c>
      <c r="E3098" t="s">
        <v>86</v>
      </c>
      <c r="F3098" s="2">
        <v>0</v>
      </c>
      <c r="G3098">
        <v>1</v>
      </c>
      <c r="H3098" s="2">
        <f>Tabla_Items_Inactivos[[#This Row],[EXISTENCIA]]*Tabla_Items_Inactivos[[#This Row],[COSTO]]</f>
        <v>0</v>
      </c>
    </row>
    <row r="3099" spans="1:8">
      <c r="A3099" t="s">
        <v>3300</v>
      </c>
      <c r="B3099" t="s">
        <v>2227</v>
      </c>
      <c r="C3099" t="s">
        <v>2228</v>
      </c>
      <c r="D3099" t="s">
        <v>85</v>
      </c>
      <c r="E3099" t="s">
        <v>86</v>
      </c>
      <c r="F3099" s="2">
        <v>1.8160000000000001</v>
      </c>
      <c r="G3099">
        <v>4</v>
      </c>
      <c r="H3099" s="2">
        <f>Tabla_Items_Inactivos[[#This Row],[EXISTENCIA]]*Tabla_Items_Inactivos[[#This Row],[COSTO]]</f>
        <v>7.2640000000000002</v>
      </c>
    </row>
    <row r="3100" spans="1:8">
      <c r="A3100" t="s">
        <v>3300</v>
      </c>
      <c r="B3100" t="s">
        <v>2229</v>
      </c>
      <c r="C3100" t="s">
        <v>2230</v>
      </c>
      <c r="D3100" t="s">
        <v>85</v>
      </c>
      <c r="E3100" t="s">
        <v>86</v>
      </c>
      <c r="F3100" s="2">
        <v>0.25600000000000001</v>
      </c>
      <c r="G3100">
        <v>3</v>
      </c>
      <c r="H3100" s="2">
        <f>Tabla_Items_Inactivos[[#This Row],[EXISTENCIA]]*Tabla_Items_Inactivos[[#This Row],[COSTO]]</f>
        <v>0.76800000000000002</v>
      </c>
    </row>
    <row r="3101" spans="1:8">
      <c r="A3101" t="s">
        <v>3300</v>
      </c>
      <c r="B3101" t="s">
        <v>2231</v>
      </c>
      <c r="C3101" t="s">
        <v>3604</v>
      </c>
      <c r="D3101" t="s">
        <v>85</v>
      </c>
      <c r="E3101" t="s">
        <v>86</v>
      </c>
      <c r="F3101" s="2">
        <v>0.443</v>
      </c>
      <c r="G3101">
        <v>27</v>
      </c>
      <c r="H3101" s="2">
        <f>Tabla_Items_Inactivos[[#This Row],[EXISTENCIA]]*Tabla_Items_Inactivos[[#This Row],[COSTO]]</f>
        <v>11.961</v>
      </c>
    </row>
    <row r="3102" spans="1:8">
      <c r="A3102" t="s">
        <v>3300</v>
      </c>
      <c r="B3102" t="s">
        <v>2232</v>
      </c>
      <c r="C3102" t="s">
        <v>5352</v>
      </c>
      <c r="D3102" t="s">
        <v>85</v>
      </c>
      <c r="E3102" t="s">
        <v>86</v>
      </c>
      <c r="F3102" s="2">
        <v>29.396999999999998</v>
      </c>
      <c r="G3102">
        <v>1</v>
      </c>
      <c r="H3102" s="2">
        <f>Tabla_Items_Inactivos[[#This Row],[EXISTENCIA]]*Tabla_Items_Inactivos[[#This Row],[COSTO]]</f>
        <v>29.396999999999998</v>
      </c>
    </row>
    <row r="3103" spans="1:8">
      <c r="A3103" t="s">
        <v>3300</v>
      </c>
      <c r="B3103" t="s">
        <v>2233</v>
      </c>
      <c r="C3103" t="s">
        <v>2234</v>
      </c>
      <c r="D3103" t="s">
        <v>85</v>
      </c>
      <c r="E3103" t="s">
        <v>86</v>
      </c>
      <c r="F3103" s="2">
        <v>0.70950000000000002</v>
      </c>
      <c r="G3103">
        <v>1</v>
      </c>
      <c r="H3103" s="2">
        <f>Tabla_Items_Inactivos[[#This Row],[EXISTENCIA]]*Tabla_Items_Inactivos[[#This Row],[COSTO]]</f>
        <v>0.70950000000000002</v>
      </c>
    </row>
    <row r="3104" spans="1:8">
      <c r="A3104" t="s">
        <v>3301</v>
      </c>
      <c r="B3104" t="s">
        <v>2233</v>
      </c>
      <c r="C3104" t="s">
        <v>2234</v>
      </c>
      <c r="D3104" t="s">
        <v>85</v>
      </c>
      <c r="E3104" t="s">
        <v>86</v>
      </c>
      <c r="F3104" s="2">
        <v>0.70950000000000002</v>
      </c>
      <c r="G3104">
        <v>1</v>
      </c>
      <c r="H3104" s="2">
        <f>Tabla_Items_Inactivos[[#This Row],[EXISTENCIA]]*Tabla_Items_Inactivos[[#This Row],[COSTO]]</f>
        <v>0.70950000000000002</v>
      </c>
    </row>
    <row r="3105" spans="1:8">
      <c r="A3105" t="s">
        <v>3300</v>
      </c>
      <c r="B3105" t="s">
        <v>2235</v>
      </c>
      <c r="C3105" t="s">
        <v>2236</v>
      </c>
      <c r="D3105" t="s">
        <v>85</v>
      </c>
      <c r="E3105" t="s">
        <v>86</v>
      </c>
      <c r="F3105" s="2">
        <v>3.9973999999999998</v>
      </c>
      <c r="G3105">
        <v>8</v>
      </c>
      <c r="H3105" s="2">
        <f>Tabla_Items_Inactivos[[#This Row],[EXISTENCIA]]*Tabla_Items_Inactivos[[#This Row],[COSTO]]</f>
        <v>31.979199999999999</v>
      </c>
    </row>
    <row r="3106" spans="1:8">
      <c r="A3106" t="s">
        <v>3301</v>
      </c>
      <c r="B3106" t="s">
        <v>2235</v>
      </c>
      <c r="C3106" t="s">
        <v>2236</v>
      </c>
      <c r="D3106" t="s">
        <v>85</v>
      </c>
      <c r="E3106" t="s">
        <v>86</v>
      </c>
      <c r="F3106" s="2">
        <v>3.9973999999999998</v>
      </c>
      <c r="G3106">
        <v>8</v>
      </c>
      <c r="H3106" s="2">
        <f>Tabla_Items_Inactivos[[#This Row],[EXISTENCIA]]*Tabla_Items_Inactivos[[#This Row],[COSTO]]</f>
        <v>31.979199999999999</v>
      </c>
    </row>
    <row r="3107" spans="1:8">
      <c r="A3107" t="s">
        <v>3300</v>
      </c>
      <c r="B3107" t="s">
        <v>5353</v>
      </c>
      <c r="C3107" t="s">
        <v>5354</v>
      </c>
      <c r="D3107" t="s">
        <v>85</v>
      </c>
      <c r="E3107" t="s">
        <v>86</v>
      </c>
      <c r="F3107" s="2">
        <v>2.9079999999999999</v>
      </c>
      <c r="G3107">
        <v>4</v>
      </c>
      <c r="H3107" s="2">
        <f>Tabla_Items_Inactivos[[#This Row],[EXISTENCIA]]*Tabla_Items_Inactivos[[#This Row],[COSTO]]</f>
        <v>11.632</v>
      </c>
    </row>
    <row r="3108" spans="1:8">
      <c r="A3108" t="s">
        <v>3300</v>
      </c>
      <c r="B3108" t="s">
        <v>2237</v>
      </c>
      <c r="C3108" t="s">
        <v>2238</v>
      </c>
      <c r="D3108" t="s">
        <v>85</v>
      </c>
      <c r="E3108" t="s">
        <v>86</v>
      </c>
      <c r="F3108" s="2">
        <v>1.19</v>
      </c>
      <c r="G3108">
        <v>1</v>
      </c>
      <c r="H3108" s="2">
        <f>Tabla_Items_Inactivos[[#This Row],[EXISTENCIA]]*Tabla_Items_Inactivos[[#This Row],[COSTO]]</f>
        <v>1.19</v>
      </c>
    </row>
    <row r="3109" spans="1:8">
      <c r="A3109" t="s">
        <v>3300</v>
      </c>
      <c r="B3109" t="s">
        <v>2240</v>
      </c>
      <c r="C3109" t="s">
        <v>2241</v>
      </c>
      <c r="D3109" t="s">
        <v>85</v>
      </c>
      <c r="E3109" t="s">
        <v>86</v>
      </c>
      <c r="F3109" s="2">
        <v>2.0011999999999999</v>
      </c>
      <c r="G3109">
        <v>4</v>
      </c>
      <c r="H3109" s="2">
        <f>Tabla_Items_Inactivos[[#This Row],[EXISTENCIA]]*Tabla_Items_Inactivos[[#This Row],[COSTO]]</f>
        <v>8.0047999999999995</v>
      </c>
    </row>
    <row r="3110" spans="1:8">
      <c r="A3110" t="s">
        <v>3301</v>
      </c>
      <c r="B3110" t="s">
        <v>2240</v>
      </c>
      <c r="C3110" t="s">
        <v>2241</v>
      </c>
      <c r="D3110" t="s">
        <v>85</v>
      </c>
      <c r="E3110" t="s">
        <v>86</v>
      </c>
      <c r="F3110" s="2">
        <v>2.0011999999999999</v>
      </c>
      <c r="G3110">
        <v>4</v>
      </c>
      <c r="H3110" s="2">
        <f>Tabla_Items_Inactivos[[#This Row],[EXISTENCIA]]*Tabla_Items_Inactivos[[#This Row],[COSTO]]</f>
        <v>8.0047999999999995</v>
      </c>
    </row>
    <row r="3111" spans="1:8">
      <c r="A3111" t="s">
        <v>3300</v>
      </c>
      <c r="B3111" t="s">
        <v>2242</v>
      </c>
      <c r="C3111" t="s">
        <v>2243</v>
      </c>
      <c r="D3111" t="s">
        <v>85</v>
      </c>
      <c r="E3111" t="s">
        <v>86</v>
      </c>
      <c r="F3111" s="2">
        <v>19.690000000000001</v>
      </c>
      <c r="G3111">
        <v>2</v>
      </c>
      <c r="H3111" s="2">
        <f>Tabla_Items_Inactivos[[#This Row],[EXISTENCIA]]*Tabla_Items_Inactivos[[#This Row],[COSTO]]</f>
        <v>39.380000000000003</v>
      </c>
    </row>
    <row r="3112" spans="1:8">
      <c r="A3112" t="s">
        <v>3300</v>
      </c>
      <c r="B3112" t="s">
        <v>2244</v>
      </c>
      <c r="C3112" t="s">
        <v>2245</v>
      </c>
      <c r="D3112" t="s">
        <v>223</v>
      </c>
      <c r="E3112" t="s">
        <v>86</v>
      </c>
      <c r="F3112" s="2">
        <v>17.875</v>
      </c>
      <c r="G3112">
        <v>3</v>
      </c>
      <c r="H3112" s="2">
        <f>Tabla_Items_Inactivos[[#This Row],[EXISTENCIA]]*Tabla_Items_Inactivos[[#This Row],[COSTO]]</f>
        <v>53.625</v>
      </c>
    </row>
    <row r="3113" spans="1:8">
      <c r="A3113" t="s">
        <v>3300</v>
      </c>
      <c r="B3113" t="s">
        <v>5355</v>
      </c>
      <c r="C3113" t="s">
        <v>5356</v>
      </c>
      <c r="D3113" t="s">
        <v>85</v>
      </c>
      <c r="E3113" t="s">
        <v>86</v>
      </c>
      <c r="F3113" s="2">
        <v>7.5449999999999999</v>
      </c>
      <c r="G3113">
        <v>1</v>
      </c>
      <c r="H3113" s="2">
        <f>Tabla_Items_Inactivos[[#This Row],[EXISTENCIA]]*Tabla_Items_Inactivos[[#This Row],[COSTO]]</f>
        <v>7.5449999999999999</v>
      </c>
    </row>
    <row r="3114" spans="1:8">
      <c r="A3114" t="s">
        <v>3300</v>
      </c>
      <c r="B3114" t="s">
        <v>5357</v>
      </c>
      <c r="C3114" t="s">
        <v>5358</v>
      </c>
      <c r="D3114" t="s">
        <v>85</v>
      </c>
      <c r="E3114" t="s">
        <v>86</v>
      </c>
      <c r="F3114" s="2">
        <v>0.86</v>
      </c>
      <c r="G3114">
        <v>1</v>
      </c>
      <c r="H3114" s="2">
        <f>Tabla_Items_Inactivos[[#This Row],[EXISTENCIA]]*Tabla_Items_Inactivos[[#This Row],[COSTO]]</f>
        <v>0.86</v>
      </c>
    </row>
    <row r="3115" spans="1:8">
      <c r="A3115" t="s">
        <v>3301</v>
      </c>
      <c r="B3115" t="s">
        <v>2246</v>
      </c>
      <c r="C3115" t="s">
        <v>2247</v>
      </c>
      <c r="D3115" t="s">
        <v>85</v>
      </c>
      <c r="E3115" t="s">
        <v>86</v>
      </c>
      <c r="F3115" s="2">
        <v>0.71220000000000006</v>
      </c>
      <c r="G3115">
        <v>2</v>
      </c>
      <c r="H3115" s="2">
        <f>Tabla_Items_Inactivos[[#This Row],[EXISTENCIA]]*Tabla_Items_Inactivos[[#This Row],[COSTO]]</f>
        <v>1.4244000000000001</v>
      </c>
    </row>
    <row r="3116" spans="1:8">
      <c r="A3116" t="s">
        <v>3300</v>
      </c>
      <c r="B3116" t="s">
        <v>2246</v>
      </c>
      <c r="C3116" t="s">
        <v>2247</v>
      </c>
      <c r="D3116" t="s">
        <v>85</v>
      </c>
      <c r="E3116" t="s">
        <v>86</v>
      </c>
      <c r="F3116" s="2">
        <v>0.71220000000000006</v>
      </c>
      <c r="G3116">
        <v>2</v>
      </c>
      <c r="H3116" s="2">
        <f>Tabla_Items_Inactivos[[#This Row],[EXISTENCIA]]*Tabla_Items_Inactivos[[#This Row],[COSTO]]</f>
        <v>1.4244000000000001</v>
      </c>
    </row>
    <row r="3117" spans="1:8">
      <c r="A3117" t="s">
        <v>3301</v>
      </c>
      <c r="B3117" t="s">
        <v>2248</v>
      </c>
      <c r="C3117" t="s">
        <v>2249</v>
      </c>
      <c r="D3117" t="s">
        <v>85</v>
      </c>
      <c r="E3117" t="s">
        <v>86</v>
      </c>
      <c r="F3117" s="2">
        <v>0.69550000000000001</v>
      </c>
      <c r="G3117">
        <v>2</v>
      </c>
      <c r="H3117" s="2">
        <f>Tabla_Items_Inactivos[[#This Row],[EXISTENCIA]]*Tabla_Items_Inactivos[[#This Row],[COSTO]]</f>
        <v>1.391</v>
      </c>
    </row>
    <row r="3118" spans="1:8">
      <c r="A3118" t="s">
        <v>3300</v>
      </c>
      <c r="B3118" t="s">
        <v>2248</v>
      </c>
      <c r="C3118" t="s">
        <v>2249</v>
      </c>
      <c r="D3118" t="s">
        <v>85</v>
      </c>
      <c r="E3118" t="s">
        <v>86</v>
      </c>
      <c r="F3118" s="2">
        <v>0.69550000000000001</v>
      </c>
      <c r="G3118">
        <v>2</v>
      </c>
      <c r="H3118" s="2">
        <f>Tabla_Items_Inactivos[[#This Row],[EXISTENCIA]]*Tabla_Items_Inactivos[[#This Row],[COSTO]]</f>
        <v>1.391</v>
      </c>
    </row>
    <row r="3119" spans="1:8">
      <c r="A3119" t="s">
        <v>3300</v>
      </c>
      <c r="B3119" t="s">
        <v>2250</v>
      </c>
      <c r="C3119" t="s">
        <v>5359</v>
      </c>
      <c r="D3119" t="s">
        <v>228</v>
      </c>
      <c r="E3119" t="s">
        <v>86</v>
      </c>
      <c r="F3119" s="2">
        <v>6.5743</v>
      </c>
      <c r="G3119">
        <v>1</v>
      </c>
      <c r="H3119" s="2">
        <f>Tabla_Items_Inactivos[[#This Row],[EXISTENCIA]]*Tabla_Items_Inactivos[[#This Row],[COSTO]]</f>
        <v>6.5743</v>
      </c>
    </row>
    <row r="3120" spans="1:8">
      <c r="A3120" t="s">
        <v>3301</v>
      </c>
      <c r="B3120" t="s">
        <v>2250</v>
      </c>
      <c r="C3120" t="s">
        <v>5359</v>
      </c>
      <c r="D3120" t="s">
        <v>228</v>
      </c>
      <c r="E3120" t="s">
        <v>86</v>
      </c>
      <c r="F3120" s="2">
        <v>6.5743</v>
      </c>
      <c r="G3120">
        <v>1</v>
      </c>
      <c r="H3120" s="2">
        <f>Tabla_Items_Inactivos[[#This Row],[EXISTENCIA]]*Tabla_Items_Inactivos[[#This Row],[COSTO]]</f>
        <v>6.5743</v>
      </c>
    </row>
    <row r="3121" spans="1:8">
      <c r="A3121" t="s">
        <v>3300</v>
      </c>
      <c r="B3121" t="s">
        <v>5360</v>
      </c>
      <c r="C3121" t="s">
        <v>5361</v>
      </c>
      <c r="D3121" t="s">
        <v>228</v>
      </c>
      <c r="E3121" t="s">
        <v>86</v>
      </c>
      <c r="F3121" s="2">
        <v>5.3620999999999999</v>
      </c>
      <c r="G3121">
        <v>1</v>
      </c>
      <c r="H3121" s="2">
        <f>Tabla_Items_Inactivos[[#This Row],[EXISTENCIA]]*Tabla_Items_Inactivos[[#This Row],[COSTO]]</f>
        <v>5.3620999999999999</v>
      </c>
    </row>
    <row r="3122" spans="1:8">
      <c r="A3122" t="s">
        <v>3301</v>
      </c>
      <c r="B3122" t="s">
        <v>5360</v>
      </c>
      <c r="C3122" t="s">
        <v>5361</v>
      </c>
      <c r="D3122" t="s">
        <v>228</v>
      </c>
      <c r="E3122" t="s">
        <v>86</v>
      </c>
      <c r="F3122" s="2">
        <v>5.3620999999999999</v>
      </c>
      <c r="G3122">
        <v>1</v>
      </c>
      <c r="H3122" s="2">
        <f>Tabla_Items_Inactivos[[#This Row],[EXISTENCIA]]*Tabla_Items_Inactivos[[#This Row],[COSTO]]</f>
        <v>5.3620999999999999</v>
      </c>
    </row>
    <row r="3123" spans="1:8">
      <c r="A3123" t="s">
        <v>3300</v>
      </c>
      <c r="B3123" t="s">
        <v>5362</v>
      </c>
      <c r="C3123" t="s">
        <v>5363</v>
      </c>
      <c r="D3123" t="s">
        <v>228</v>
      </c>
      <c r="E3123" t="s">
        <v>86</v>
      </c>
      <c r="F3123" s="2">
        <v>4.4851999999999999</v>
      </c>
      <c r="G3123">
        <v>1</v>
      </c>
      <c r="H3123" s="2">
        <f>Tabla_Items_Inactivos[[#This Row],[EXISTENCIA]]*Tabla_Items_Inactivos[[#This Row],[COSTO]]</f>
        <v>4.4851999999999999</v>
      </c>
    </row>
    <row r="3124" spans="1:8">
      <c r="A3124" t="s">
        <v>3301</v>
      </c>
      <c r="B3124" t="s">
        <v>5362</v>
      </c>
      <c r="C3124" t="s">
        <v>5363</v>
      </c>
      <c r="D3124" t="s">
        <v>228</v>
      </c>
      <c r="E3124" t="s">
        <v>86</v>
      </c>
      <c r="F3124" s="2">
        <v>4.4851999999999999</v>
      </c>
      <c r="G3124">
        <v>1</v>
      </c>
      <c r="H3124" s="2">
        <f>Tabla_Items_Inactivos[[#This Row],[EXISTENCIA]]*Tabla_Items_Inactivos[[#This Row],[COSTO]]</f>
        <v>4.4851999999999999</v>
      </c>
    </row>
    <row r="3125" spans="1:8">
      <c r="A3125" t="s">
        <v>3300</v>
      </c>
      <c r="B3125" t="s">
        <v>2251</v>
      </c>
      <c r="C3125" t="s">
        <v>2252</v>
      </c>
      <c r="D3125" t="s">
        <v>85</v>
      </c>
      <c r="E3125" t="s">
        <v>86</v>
      </c>
      <c r="F3125" s="2">
        <v>1.1850000000000001</v>
      </c>
      <c r="G3125">
        <v>5</v>
      </c>
      <c r="H3125" s="2">
        <f>Tabla_Items_Inactivos[[#This Row],[EXISTENCIA]]*Tabla_Items_Inactivos[[#This Row],[COSTO]]</f>
        <v>5.9250000000000007</v>
      </c>
    </row>
    <row r="3126" spans="1:8">
      <c r="A3126" t="s">
        <v>3300</v>
      </c>
      <c r="B3126" t="s">
        <v>2254</v>
      </c>
      <c r="C3126" t="s">
        <v>2255</v>
      </c>
      <c r="D3126" t="s">
        <v>85</v>
      </c>
      <c r="E3126" t="s">
        <v>86</v>
      </c>
      <c r="F3126" s="2">
        <v>1.4890000000000001</v>
      </c>
      <c r="G3126">
        <v>1</v>
      </c>
      <c r="H3126" s="2">
        <f>Tabla_Items_Inactivos[[#This Row],[EXISTENCIA]]*Tabla_Items_Inactivos[[#This Row],[COSTO]]</f>
        <v>1.4890000000000001</v>
      </c>
    </row>
    <row r="3127" spans="1:8">
      <c r="A3127" t="s">
        <v>3300</v>
      </c>
      <c r="B3127" t="s">
        <v>2256</v>
      </c>
      <c r="C3127" t="s">
        <v>5364</v>
      </c>
      <c r="D3127" t="s">
        <v>85</v>
      </c>
      <c r="E3127" t="s">
        <v>86</v>
      </c>
      <c r="F3127" s="2">
        <v>9.1379999999999999</v>
      </c>
      <c r="G3127">
        <v>4</v>
      </c>
      <c r="H3127" s="2">
        <f>Tabla_Items_Inactivos[[#This Row],[EXISTENCIA]]*Tabla_Items_Inactivos[[#This Row],[COSTO]]</f>
        <v>36.552</v>
      </c>
    </row>
    <row r="3128" spans="1:8">
      <c r="A3128" t="s">
        <v>3300</v>
      </c>
      <c r="B3128" t="s">
        <v>2257</v>
      </c>
      <c r="C3128" t="s">
        <v>2258</v>
      </c>
      <c r="D3128" t="s">
        <v>85</v>
      </c>
      <c r="E3128" t="s">
        <v>86</v>
      </c>
      <c r="F3128" s="2">
        <v>1.3823000000000001</v>
      </c>
      <c r="G3128">
        <v>10</v>
      </c>
      <c r="H3128" s="2">
        <f>Tabla_Items_Inactivos[[#This Row],[EXISTENCIA]]*Tabla_Items_Inactivos[[#This Row],[COSTO]]</f>
        <v>13.823</v>
      </c>
    </row>
    <row r="3129" spans="1:8">
      <c r="A3129" t="s">
        <v>3301</v>
      </c>
      <c r="B3129" t="s">
        <v>2257</v>
      </c>
      <c r="C3129" t="s">
        <v>2258</v>
      </c>
      <c r="D3129" t="s">
        <v>85</v>
      </c>
      <c r="E3129" t="s">
        <v>86</v>
      </c>
      <c r="F3129" s="2">
        <v>1.3823000000000001</v>
      </c>
      <c r="G3129">
        <v>10</v>
      </c>
      <c r="H3129" s="2">
        <f>Tabla_Items_Inactivos[[#This Row],[EXISTENCIA]]*Tabla_Items_Inactivos[[#This Row],[COSTO]]</f>
        <v>13.823</v>
      </c>
    </row>
    <row r="3130" spans="1:8">
      <c r="A3130" t="s">
        <v>3300</v>
      </c>
      <c r="B3130" t="s">
        <v>2259</v>
      </c>
      <c r="C3130" t="s">
        <v>5365</v>
      </c>
      <c r="D3130" t="s">
        <v>85</v>
      </c>
      <c r="E3130" t="s">
        <v>86</v>
      </c>
      <c r="F3130" s="2">
        <v>10.361000000000001</v>
      </c>
      <c r="G3130">
        <v>33</v>
      </c>
      <c r="H3130" s="2">
        <f>Tabla_Items_Inactivos[[#This Row],[EXISTENCIA]]*Tabla_Items_Inactivos[[#This Row],[COSTO]]</f>
        <v>341.91300000000001</v>
      </c>
    </row>
    <row r="3131" spans="1:8">
      <c r="A3131" t="s">
        <v>3300</v>
      </c>
      <c r="B3131" t="s">
        <v>2260</v>
      </c>
      <c r="C3131" t="s">
        <v>2261</v>
      </c>
      <c r="D3131" t="s">
        <v>85</v>
      </c>
      <c r="E3131" t="s">
        <v>86</v>
      </c>
      <c r="F3131" s="2">
        <v>0.69869999999999999</v>
      </c>
      <c r="G3131">
        <v>2</v>
      </c>
      <c r="H3131" s="2">
        <f>Tabla_Items_Inactivos[[#This Row],[EXISTENCIA]]*Tabla_Items_Inactivos[[#This Row],[COSTO]]</f>
        <v>1.3974</v>
      </c>
    </row>
    <row r="3132" spans="1:8">
      <c r="A3132" t="s">
        <v>3301</v>
      </c>
      <c r="B3132" t="s">
        <v>2260</v>
      </c>
      <c r="C3132" t="s">
        <v>2261</v>
      </c>
      <c r="D3132" t="s">
        <v>85</v>
      </c>
      <c r="E3132" t="s">
        <v>86</v>
      </c>
      <c r="F3132" s="2">
        <v>0.69869999999999999</v>
      </c>
      <c r="G3132">
        <v>2</v>
      </c>
      <c r="H3132" s="2">
        <f>Tabla_Items_Inactivos[[#This Row],[EXISTENCIA]]*Tabla_Items_Inactivos[[#This Row],[COSTO]]</f>
        <v>1.3974</v>
      </c>
    </row>
    <row r="3133" spans="1:8">
      <c r="A3133" t="s">
        <v>3300</v>
      </c>
      <c r="B3133" t="s">
        <v>2262</v>
      </c>
      <c r="C3133" t="s">
        <v>2263</v>
      </c>
      <c r="D3133" t="s">
        <v>85</v>
      </c>
      <c r="E3133" t="s">
        <v>86</v>
      </c>
      <c r="F3133" s="2">
        <v>0.81940000000000002</v>
      </c>
      <c r="G3133">
        <v>2</v>
      </c>
      <c r="H3133" s="2">
        <f>Tabla_Items_Inactivos[[#This Row],[EXISTENCIA]]*Tabla_Items_Inactivos[[#This Row],[COSTO]]</f>
        <v>1.6388</v>
      </c>
    </row>
    <row r="3134" spans="1:8">
      <c r="A3134" t="s">
        <v>3301</v>
      </c>
      <c r="B3134" t="s">
        <v>2262</v>
      </c>
      <c r="C3134" t="s">
        <v>2263</v>
      </c>
      <c r="D3134" t="s">
        <v>85</v>
      </c>
      <c r="E3134" t="s">
        <v>86</v>
      </c>
      <c r="F3134" s="2">
        <v>0.81940000000000002</v>
      </c>
      <c r="G3134">
        <v>2</v>
      </c>
      <c r="H3134" s="2">
        <f>Tabla_Items_Inactivos[[#This Row],[EXISTENCIA]]*Tabla_Items_Inactivos[[#This Row],[COSTO]]</f>
        <v>1.6388</v>
      </c>
    </row>
    <row r="3135" spans="1:8">
      <c r="A3135" t="s">
        <v>3300</v>
      </c>
      <c r="B3135" t="s">
        <v>2264</v>
      </c>
      <c r="C3135" t="s">
        <v>2265</v>
      </c>
      <c r="D3135" t="s">
        <v>85</v>
      </c>
      <c r="E3135" t="s">
        <v>86</v>
      </c>
      <c r="F3135" s="2">
        <v>8.0239999999999991</v>
      </c>
      <c r="G3135">
        <v>10</v>
      </c>
      <c r="H3135" s="2">
        <f>Tabla_Items_Inactivos[[#This Row],[EXISTENCIA]]*Tabla_Items_Inactivos[[#This Row],[COSTO]]</f>
        <v>80.239999999999995</v>
      </c>
    </row>
    <row r="3136" spans="1:8">
      <c r="A3136" t="s">
        <v>3301</v>
      </c>
      <c r="B3136" t="s">
        <v>5366</v>
      </c>
      <c r="C3136" t="s">
        <v>5367</v>
      </c>
      <c r="D3136" t="s">
        <v>85</v>
      </c>
      <c r="E3136" t="s">
        <v>86</v>
      </c>
      <c r="F3136" s="2">
        <v>0.44500000000000001</v>
      </c>
      <c r="G3136">
        <v>126</v>
      </c>
      <c r="H3136" s="2">
        <f>Tabla_Items_Inactivos[[#This Row],[EXISTENCIA]]*Tabla_Items_Inactivos[[#This Row],[COSTO]]</f>
        <v>56.07</v>
      </c>
    </row>
    <row r="3137" spans="1:8">
      <c r="A3137" t="s">
        <v>3300</v>
      </c>
      <c r="B3137" t="s">
        <v>5366</v>
      </c>
      <c r="C3137" t="s">
        <v>5367</v>
      </c>
      <c r="D3137" t="s">
        <v>85</v>
      </c>
      <c r="E3137" t="s">
        <v>86</v>
      </c>
      <c r="F3137" s="2">
        <v>0.44500000000000001</v>
      </c>
      <c r="G3137">
        <v>126</v>
      </c>
      <c r="H3137" s="2">
        <f>Tabla_Items_Inactivos[[#This Row],[EXISTENCIA]]*Tabla_Items_Inactivos[[#This Row],[COSTO]]</f>
        <v>56.07</v>
      </c>
    </row>
    <row r="3138" spans="1:8">
      <c r="A3138" t="s">
        <v>3300</v>
      </c>
      <c r="B3138" t="s">
        <v>2266</v>
      </c>
      <c r="C3138" t="s">
        <v>2267</v>
      </c>
      <c r="D3138" t="s">
        <v>85</v>
      </c>
      <c r="E3138" t="s">
        <v>86</v>
      </c>
      <c r="F3138" s="2">
        <v>0.45760000000000001</v>
      </c>
      <c r="G3138">
        <v>17</v>
      </c>
      <c r="H3138" s="2">
        <f>Tabla_Items_Inactivos[[#This Row],[EXISTENCIA]]*Tabla_Items_Inactivos[[#This Row],[COSTO]]</f>
        <v>7.7792000000000003</v>
      </c>
    </row>
    <row r="3139" spans="1:8">
      <c r="A3139" t="s">
        <v>3301</v>
      </c>
      <c r="B3139" t="s">
        <v>2266</v>
      </c>
      <c r="C3139" t="s">
        <v>2267</v>
      </c>
      <c r="D3139" t="s">
        <v>85</v>
      </c>
      <c r="E3139" t="s">
        <v>86</v>
      </c>
      <c r="F3139" s="2">
        <v>0.45760000000000001</v>
      </c>
      <c r="G3139">
        <v>17</v>
      </c>
      <c r="H3139" s="2">
        <f>Tabla_Items_Inactivos[[#This Row],[EXISTENCIA]]*Tabla_Items_Inactivos[[#This Row],[COSTO]]</f>
        <v>7.7792000000000003</v>
      </c>
    </row>
    <row r="3140" spans="1:8">
      <c r="A3140" t="s">
        <v>3300</v>
      </c>
      <c r="B3140" t="s">
        <v>2268</v>
      </c>
      <c r="C3140" t="s">
        <v>2269</v>
      </c>
      <c r="D3140" t="s">
        <v>85</v>
      </c>
      <c r="E3140" t="s">
        <v>86</v>
      </c>
      <c r="F3140" s="2">
        <v>7.58</v>
      </c>
      <c r="G3140">
        <v>3</v>
      </c>
      <c r="H3140" s="2">
        <f>Tabla_Items_Inactivos[[#This Row],[EXISTENCIA]]*Tabla_Items_Inactivos[[#This Row],[COSTO]]</f>
        <v>22.740000000000002</v>
      </c>
    </row>
    <row r="3141" spans="1:8">
      <c r="A3141" t="s">
        <v>3300</v>
      </c>
      <c r="B3141" t="s">
        <v>3237</v>
      </c>
      <c r="C3141" t="s">
        <v>3238</v>
      </c>
      <c r="D3141" t="s">
        <v>85</v>
      </c>
      <c r="E3141" t="s">
        <v>86</v>
      </c>
      <c r="F3141" s="2">
        <v>8.0573999999999995</v>
      </c>
      <c r="G3141">
        <v>8</v>
      </c>
      <c r="H3141" s="2">
        <f>Tabla_Items_Inactivos[[#This Row],[EXISTENCIA]]*Tabla_Items_Inactivos[[#This Row],[COSTO]]</f>
        <v>64.459199999999996</v>
      </c>
    </row>
    <row r="3142" spans="1:8">
      <c r="A3142" t="s">
        <v>3301</v>
      </c>
      <c r="B3142" t="s">
        <v>3237</v>
      </c>
      <c r="C3142" t="s">
        <v>3238</v>
      </c>
      <c r="D3142" t="s">
        <v>85</v>
      </c>
      <c r="E3142" t="s">
        <v>86</v>
      </c>
      <c r="F3142" s="2">
        <v>8.0573999999999995</v>
      </c>
      <c r="G3142">
        <v>8</v>
      </c>
      <c r="H3142" s="2">
        <f>Tabla_Items_Inactivos[[#This Row],[EXISTENCIA]]*Tabla_Items_Inactivos[[#This Row],[COSTO]]</f>
        <v>64.459199999999996</v>
      </c>
    </row>
    <row r="3143" spans="1:8">
      <c r="A3143" t="s">
        <v>3300</v>
      </c>
      <c r="B3143" t="s">
        <v>3239</v>
      </c>
      <c r="C3143" t="s">
        <v>3240</v>
      </c>
      <c r="D3143" t="s">
        <v>85</v>
      </c>
      <c r="E3143" t="s">
        <v>86</v>
      </c>
      <c r="F3143" s="2">
        <v>6.7923999999999998</v>
      </c>
      <c r="G3143">
        <v>7</v>
      </c>
      <c r="H3143" s="2">
        <f>Tabla_Items_Inactivos[[#This Row],[EXISTENCIA]]*Tabla_Items_Inactivos[[#This Row],[COSTO]]</f>
        <v>47.546799999999998</v>
      </c>
    </row>
    <row r="3144" spans="1:8">
      <c r="A3144" t="s">
        <v>3301</v>
      </c>
      <c r="B3144" t="s">
        <v>3239</v>
      </c>
      <c r="C3144" t="s">
        <v>3240</v>
      </c>
      <c r="D3144" t="s">
        <v>85</v>
      </c>
      <c r="E3144" t="s">
        <v>86</v>
      </c>
      <c r="F3144" s="2">
        <v>6.7923999999999998</v>
      </c>
      <c r="G3144">
        <v>7</v>
      </c>
      <c r="H3144" s="2">
        <f>Tabla_Items_Inactivos[[#This Row],[EXISTENCIA]]*Tabla_Items_Inactivos[[#This Row],[COSTO]]</f>
        <v>47.546799999999998</v>
      </c>
    </row>
    <row r="3145" spans="1:8">
      <c r="A3145" t="s">
        <v>3300</v>
      </c>
      <c r="B3145" t="s">
        <v>2270</v>
      </c>
      <c r="C3145" t="s">
        <v>2271</v>
      </c>
      <c r="D3145" t="s">
        <v>85</v>
      </c>
      <c r="E3145" t="s">
        <v>86</v>
      </c>
      <c r="F3145" s="2">
        <v>26.954999999999998</v>
      </c>
      <c r="G3145">
        <v>1</v>
      </c>
      <c r="H3145" s="2">
        <f>Tabla_Items_Inactivos[[#This Row],[EXISTENCIA]]*Tabla_Items_Inactivos[[#This Row],[COSTO]]</f>
        <v>26.954999999999998</v>
      </c>
    </row>
    <row r="3146" spans="1:8">
      <c r="A3146" t="s">
        <v>3300</v>
      </c>
      <c r="B3146" t="s">
        <v>2272</v>
      </c>
      <c r="C3146" t="s">
        <v>2273</v>
      </c>
      <c r="D3146" t="s">
        <v>85</v>
      </c>
      <c r="E3146" t="s">
        <v>86</v>
      </c>
      <c r="F3146" s="2">
        <v>7.3868</v>
      </c>
      <c r="G3146">
        <v>4</v>
      </c>
      <c r="H3146" s="2">
        <f>Tabla_Items_Inactivos[[#This Row],[EXISTENCIA]]*Tabla_Items_Inactivos[[#This Row],[COSTO]]</f>
        <v>29.5472</v>
      </c>
    </row>
    <row r="3147" spans="1:8">
      <c r="A3147" t="s">
        <v>3301</v>
      </c>
      <c r="B3147" t="s">
        <v>2272</v>
      </c>
      <c r="C3147" t="s">
        <v>2273</v>
      </c>
      <c r="D3147" t="s">
        <v>85</v>
      </c>
      <c r="E3147" t="s">
        <v>86</v>
      </c>
      <c r="F3147" s="2">
        <v>7.3868</v>
      </c>
      <c r="G3147">
        <v>4</v>
      </c>
      <c r="H3147" s="2">
        <f>Tabla_Items_Inactivos[[#This Row],[EXISTENCIA]]*Tabla_Items_Inactivos[[#This Row],[COSTO]]</f>
        <v>29.5472</v>
      </c>
    </row>
    <row r="3148" spans="1:8">
      <c r="A3148" t="s">
        <v>3300</v>
      </c>
      <c r="B3148" t="s">
        <v>2274</v>
      </c>
      <c r="C3148" t="s">
        <v>2275</v>
      </c>
      <c r="D3148" t="s">
        <v>85</v>
      </c>
      <c r="E3148" t="s">
        <v>86</v>
      </c>
      <c r="F3148" s="2">
        <v>1.5586</v>
      </c>
      <c r="G3148">
        <v>3</v>
      </c>
      <c r="H3148" s="2">
        <f>Tabla_Items_Inactivos[[#This Row],[EXISTENCIA]]*Tabla_Items_Inactivos[[#This Row],[COSTO]]</f>
        <v>4.6757999999999997</v>
      </c>
    </row>
    <row r="3149" spans="1:8">
      <c r="A3149" t="s">
        <v>3301</v>
      </c>
      <c r="B3149" t="s">
        <v>2274</v>
      </c>
      <c r="C3149" t="s">
        <v>2275</v>
      </c>
      <c r="D3149" t="s">
        <v>85</v>
      </c>
      <c r="E3149" t="s">
        <v>86</v>
      </c>
      <c r="F3149" s="2">
        <v>1.5586</v>
      </c>
      <c r="G3149">
        <v>3</v>
      </c>
      <c r="H3149" s="2">
        <f>Tabla_Items_Inactivos[[#This Row],[EXISTENCIA]]*Tabla_Items_Inactivos[[#This Row],[COSTO]]</f>
        <v>4.6757999999999997</v>
      </c>
    </row>
    <row r="3150" spans="1:8">
      <c r="A3150" t="s">
        <v>3300</v>
      </c>
      <c r="B3150" t="s">
        <v>2276</v>
      </c>
      <c r="C3150" t="s">
        <v>2277</v>
      </c>
      <c r="D3150" t="s">
        <v>85</v>
      </c>
      <c r="E3150" t="s">
        <v>86</v>
      </c>
      <c r="F3150" s="2">
        <v>8.6181999999999999</v>
      </c>
      <c r="G3150">
        <v>2</v>
      </c>
      <c r="H3150" s="2">
        <f>Tabla_Items_Inactivos[[#This Row],[EXISTENCIA]]*Tabla_Items_Inactivos[[#This Row],[COSTO]]</f>
        <v>17.2364</v>
      </c>
    </row>
    <row r="3151" spans="1:8">
      <c r="A3151" t="s">
        <v>3301</v>
      </c>
      <c r="B3151" t="s">
        <v>2276</v>
      </c>
      <c r="C3151" t="s">
        <v>2277</v>
      </c>
      <c r="D3151" t="s">
        <v>85</v>
      </c>
      <c r="E3151" t="s">
        <v>86</v>
      </c>
      <c r="F3151" s="2">
        <v>8.6181999999999999</v>
      </c>
      <c r="G3151">
        <v>2</v>
      </c>
      <c r="H3151" s="2">
        <f>Tabla_Items_Inactivos[[#This Row],[EXISTENCIA]]*Tabla_Items_Inactivos[[#This Row],[COSTO]]</f>
        <v>17.2364</v>
      </c>
    </row>
    <row r="3152" spans="1:8">
      <c r="A3152" t="s">
        <v>3301</v>
      </c>
      <c r="B3152" t="s">
        <v>2278</v>
      </c>
      <c r="C3152" t="s">
        <v>2279</v>
      </c>
      <c r="D3152" t="s">
        <v>85</v>
      </c>
      <c r="E3152" t="s">
        <v>86</v>
      </c>
      <c r="F3152" s="2">
        <v>1.1782999999999999</v>
      </c>
      <c r="G3152">
        <v>9</v>
      </c>
      <c r="H3152" s="2">
        <f>Tabla_Items_Inactivos[[#This Row],[EXISTENCIA]]*Tabla_Items_Inactivos[[#This Row],[COSTO]]</f>
        <v>10.604699999999999</v>
      </c>
    </row>
    <row r="3153" spans="1:8">
      <c r="A3153" t="s">
        <v>3300</v>
      </c>
      <c r="B3153" t="s">
        <v>2278</v>
      </c>
      <c r="C3153" t="s">
        <v>2279</v>
      </c>
      <c r="D3153" t="s">
        <v>85</v>
      </c>
      <c r="E3153" t="s">
        <v>86</v>
      </c>
      <c r="F3153" s="2">
        <v>1.1782999999999999</v>
      </c>
      <c r="G3153">
        <v>9</v>
      </c>
      <c r="H3153" s="2">
        <f>Tabla_Items_Inactivos[[#This Row],[EXISTENCIA]]*Tabla_Items_Inactivos[[#This Row],[COSTO]]</f>
        <v>10.604699999999999</v>
      </c>
    </row>
    <row r="3154" spans="1:8">
      <c r="A3154" t="s">
        <v>3300</v>
      </c>
      <c r="B3154" t="s">
        <v>2280</v>
      </c>
      <c r="C3154" t="s">
        <v>2281</v>
      </c>
      <c r="D3154" t="s">
        <v>85</v>
      </c>
      <c r="E3154" t="s">
        <v>86</v>
      </c>
      <c r="F3154" s="2">
        <v>5.6159999999999997</v>
      </c>
      <c r="G3154">
        <v>2</v>
      </c>
      <c r="H3154" s="2">
        <f>Tabla_Items_Inactivos[[#This Row],[EXISTENCIA]]*Tabla_Items_Inactivos[[#This Row],[COSTO]]</f>
        <v>11.231999999999999</v>
      </c>
    </row>
    <row r="3155" spans="1:8">
      <c r="A3155" t="s">
        <v>3301</v>
      </c>
      <c r="B3155" t="s">
        <v>2280</v>
      </c>
      <c r="C3155" t="s">
        <v>2281</v>
      </c>
      <c r="D3155" t="s">
        <v>85</v>
      </c>
      <c r="E3155" t="s">
        <v>86</v>
      </c>
      <c r="F3155" s="2">
        <v>5.6159999999999997</v>
      </c>
      <c r="G3155">
        <v>2</v>
      </c>
      <c r="H3155" s="2">
        <f>Tabla_Items_Inactivos[[#This Row],[EXISTENCIA]]*Tabla_Items_Inactivos[[#This Row],[COSTO]]</f>
        <v>11.231999999999999</v>
      </c>
    </row>
    <row r="3156" spans="1:8">
      <c r="A3156" t="s">
        <v>3300</v>
      </c>
      <c r="B3156" t="s">
        <v>2282</v>
      </c>
      <c r="C3156" t="s">
        <v>2283</v>
      </c>
      <c r="D3156" t="s">
        <v>85</v>
      </c>
      <c r="E3156" t="s">
        <v>86</v>
      </c>
      <c r="F3156" s="2">
        <v>0.85460000000000003</v>
      </c>
      <c r="G3156">
        <v>11</v>
      </c>
      <c r="H3156" s="2">
        <f>Tabla_Items_Inactivos[[#This Row],[EXISTENCIA]]*Tabla_Items_Inactivos[[#This Row],[COSTO]]</f>
        <v>9.4006000000000007</v>
      </c>
    </row>
    <row r="3157" spans="1:8">
      <c r="A3157" t="s">
        <v>3301</v>
      </c>
      <c r="B3157" t="s">
        <v>2282</v>
      </c>
      <c r="C3157" t="s">
        <v>2283</v>
      </c>
      <c r="D3157" t="s">
        <v>85</v>
      </c>
      <c r="E3157" t="s">
        <v>86</v>
      </c>
      <c r="F3157" s="2">
        <v>0.85460000000000003</v>
      </c>
      <c r="G3157">
        <v>11</v>
      </c>
      <c r="H3157" s="2">
        <f>Tabla_Items_Inactivos[[#This Row],[EXISTENCIA]]*Tabla_Items_Inactivos[[#This Row],[COSTO]]</f>
        <v>9.4006000000000007</v>
      </c>
    </row>
    <row r="3158" spans="1:8">
      <c r="A3158" t="s">
        <v>3301</v>
      </c>
      <c r="B3158" t="s">
        <v>2284</v>
      </c>
      <c r="C3158" t="s">
        <v>2285</v>
      </c>
      <c r="D3158" t="s">
        <v>85</v>
      </c>
      <c r="E3158" t="s">
        <v>86</v>
      </c>
      <c r="F3158" s="2">
        <v>1.1449</v>
      </c>
      <c r="G3158">
        <v>2</v>
      </c>
      <c r="H3158" s="2">
        <f>Tabla_Items_Inactivos[[#This Row],[EXISTENCIA]]*Tabla_Items_Inactivos[[#This Row],[COSTO]]</f>
        <v>2.2898000000000001</v>
      </c>
    </row>
    <row r="3159" spans="1:8">
      <c r="A3159" t="s">
        <v>3300</v>
      </c>
      <c r="B3159" t="s">
        <v>2284</v>
      </c>
      <c r="C3159" t="s">
        <v>2285</v>
      </c>
      <c r="D3159" t="s">
        <v>85</v>
      </c>
      <c r="E3159" t="s">
        <v>86</v>
      </c>
      <c r="F3159" s="2">
        <v>1.1449</v>
      </c>
      <c r="G3159">
        <v>2</v>
      </c>
      <c r="H3159" s="2">
        <f>Tabla_Items_Inactivos[[#This Row],[EXISTENCIA]]*Tabla_Items_Inactivos[[#This Row],[COSTO]]</f>
        <v>2.2898000000000001</v>
      </c>
    </row>
    <row r="3160" spans="1:8">
      <c r="A3160" t="s">
        <v>3301</v>
      </c>
      <c r="B3160" t="s">
        <v>2287</v>
      </c>
      <c r="C3160" t="s">
        <v>2288</v>
      </c>
      <c r="D3160" t="s">
        <v>85</v>
      </c>
      <c r="E3160" t="s">
        <v>86</v>
      </c>
      <c r="F3160" s="2">
        <v>14.6798</v>
      </c>
      <c r="G3160">
        <v>9</v>
      </c>
      <c r="H3160" s="2">
        <f>Tabla_Items_Inactivos[[#This Row],[EXISTENCIA]]*Tabla_Items_Inactivos[[#This Row],[COSTO]]</f>
        <v>132.1182</v>
      </c>
    </row>
    <row r="3161" spans="1:8">
      <c r="A3161" t="s">
        <v>3300</v>
      </c>
      <c r="B3161" t="s">
        <v>2287</v>
      </c>
      <c r="C3161" t="s">
        <v>2288</v>
      </c>
      <c r="D3161" t="s">
        <v>85</v>
      </c>
      <c r="E3161" t="s">
        <v>86</v>
      </c>
      <c r="F3161" s="2">
        <v>14.6798</v>
      </c>
      <c r="G3161">
        <v>9</v>
      </c>
      <c r="H3161" s="2">
        <f>Tabla_Items_Inactivos[[#This Row],[EXISTENCIA]]*Tabla_Items_Inactivos[[#This Row],[COSTO]]</f>
        <v>132.1182</v>
      </c>
    </row>
    <row r="3162" spans="1:8">
      <c r="A3162" t="s">
        <v>3300</v>
      </c>
      <c r="B3162" t="s">
        <v>2290</v>
      </c>
      <c r="C3162" t="s">
        <v>2291</v>
      </c>
      <c r="D3162" t="s">
        <v>85</v>
      </c>
      <c r="E3162" t="s">
        <v>86</v>
      </c>
      <c r="F3162" s="2">
        <v>0.254</v>
      </c>
      <c r="G3162">
        <v>23</v>
      </c>
      <c r="H3162" s="2">
        <f>Tabla_Items_Inactivos[[#This Row],[EXISTENCIA]]*Tabla_Items_Inactivos[[#This Row],[COSTO]]</f>
        <v>5.8420000000000005</v>
      </c>
    </row>
    <row r="3163" spans="1:8">
      <c r="A3163" t="s">
        <v>3300</v>
      </c>
      <c r="B3163" t="s">
        <v>2292</v>
      </c>
      <c r="C3163" t="s">
        <v>2293</v>
      </c>
      <c r="D3163" t="s">
        <v>85</v>
      </c>
      <c r="E3163" t="s">
        <v>86</v>
      </c>
      <c r="F3163" s="2">
        <v>0.37</v>
      </c>
      <c r="G3163">
        <v>17</v>
      </c>
      <c r="H3163" s="2">
        <f>Tabla_Items_Inactivos[[#This Row],[EXISTENCIA]]*Tabla_Items_Inactivos[[#This Row],[COSTO]]</f>
        <v>6.29</v>
      </c>
    </row>
    <row r="3164" spans="1:8">
      <c r="A3164" t="s">
        <v>3300</v>
      </c>
      <c r="B3164" t="s">
        <v>2294</v>
      </c>
      <c r="C3164" t="s">
        <v>2295</v>
      </c>
      <c r="D3164" t="s">
        <v>85</v>
      </c>
      <c r="E3164" t="s">
        <v>86</v>
      </c>
      <c r="F3164" s="2">
        <v>0.48499999999999999</v>
      </c>
      <c r="G3164">
        <v>14</v>
      </c>
      <c r="H3164" s="2">
        <f>Tabla_Items_Inactivos[[#This Row],[EXISTENCIA]]*Tabla_Items_Inactivos[[#This Row],[COSTO]]</f>
        <v>6.79</v>
      </c>
    </row>
    <row r="3165" spans="1:8">
      <c r="A3165" t="s">
        <v>3300</v>
      </c>
      <c r="B3165" t="s">
        <v>5368</v>
      </c>
      <c r="C3165" t="s">
        <v>5369</v>
      </c>
      <c r="D3165" t="s">
        <v>219</v>
      </c>
      <c r="E3165" t="s">
        <v>86</v>
      </c>
      <c r="F3165" s="2">
        <v>5.0279999999999996</v>
      </c>
      <c r="G3165">
        <v>2</v>
      </c>
      <c r="H3165" s="2">
        <f>Tabla_Items_Inactivos[[#This Row],[EXISTENCIA]]*Tabla_Items_Inactivos[[#This Row],[COSTO]]</f>
        <v>10.055999999999999</v>
      </c>
    </row>
    <row r="3166" spans="1:8">
      <c r="A3166" t="s">
        <v>3300</v>
      </c>
      <c r="B3166" t="s">
        <v>2301</v>
      </c>
      <c r="C3166" t="s">
        <v>2302</v>
      </c>
      <c r="D3166" t="s">
        <v>85</v>
      </c>
      <c r="E3166" t="s">
        <v>86</v>
      </c>
      <c r="F3166" s="2">
        <v>0.24199999999999999</v>
      </c>
      <c r="G3166">
        <v>24</v>
      </c>
      <c r="H3166" s="2">
        <f>Tabla_Items_Inactivos[[#This Row],[EXISTENCIA]]*Tabla_Items_Inactivos[[#This Row],[COSTO]]</f>
        <v>5.8079999999999998</v>
      </c>
    </row>
    <row r="3167" spans="1:8">
      <c r="A3167" t="s">
        <v>3301</v>
      </c>
      <c r="B3167" t="s">
        <v>2303</v>
      </c>
      <c r="C3167" t="s">
        <v>2304</v>
      </c>
      <c r="D3167" t="s">
        <v>219</v>
      </c>
      <c r="E3167" t="s">
        <v>86</v>
      </c>
      <c r="F3167" s="2">
        <v>0.38569999999999999</v>
      </c>
      <c r="G3167">
        <v>3</v>
      </c>
      <c r="H3167" s="2">
        <f>Tabla_Items_Inactivos[[#This Row],[EXISTENCIA]]*Tabla_Items_Inactivos[[#This Row],[COSTO]]</f>
        <v>1.1571</v>
      </c>
    </row>
    <row r="3168" spans="1:8">
      <c r="A3168" t="s">
        <v>3300</v>
      </c>
      <c r="B3168" t="s">
        <v>2303</v>
      </c>
      <c r="C3168" t="s">
        <v>2304</v>
      </c>
      <c r="D3168" t="s">
        <v>219</v>
      </c>
      <c r="E3168" t="s">
        <v>86</v>
      </c>
      <c r="F3168" s="2">
        <v>0.38569999999999999</v>
      </c>
      <c r="G3168">
        <v>3</v>
      </c>
      <c r="H3168" s="2">
        <f>Tabla_Items_Inactivos[[#This Row],[EXISTENCIA]]*Tabla_Items_Inactivos[[#This Row],[COSTO]]</f>
        <v>1.1571</v>
      </c>
    </row>
    <row r="3169" spans="1:8">
      <c r="A3169" t="s">
        <v>3300</v>
      </c>
      <c r="B3169" t="s">
        <v>2305</v>
      </c>
      <c r="C3169" t="s">
        <v>2306</v>
      </c>
      <c r="D3169" t="s">
        <v>219</v>
      </c>
      <c r="E3169" t="s">
        <v>86</v>
      </c>
      <c r="F3169" s="2">
        <v>0.55500000000000005</v>
      </c>
      <c r="G3169">
        <v>1</v>
      </c>
      <c r="H3169" s="2">
        <f>Tabla_Items_Inactivos[[#This Row],[EXISTENCIA]]*Tabla_Items_Inactivos[[#This Row],[COSTO]]</f>
        <v>0.55500000000000005</v>
      </c>
    </row>
    <row r="3170" spans="1:8">
      <c r="A3170" t="s">
        <v>3300</v>
      </c>
      <c r="B3170" t="s">
        <v>2308</v>
      </c>
      <c r="C3170" t="s">
        <v>2309</v>
      </c>
      <c r="D3170" t="s">
        <v>219</v>
      </c>
      <c r="E3170" t="s">
        <v>86</v>
      </c>
      <c r="F3170" s="2">
        <v>29.638000000000002</v>
      </c>
      <c r="G3170">
        <v>1</v>
      </c>
      <c r="H3170" s="2">
        <f>Tabla_Items_Inactivos[[#This Row],[EXISTENCIA]]*Tabla_Items_Inactivos[[#This Row],[COSTO]]</f>
        <v>29.638000000000002</v>
      </c>
    </row>
    <row r="3171" spans="1:8">
      <c r="A3171" t="s">
        <v>3301</v>
      </c>
      <c r="B3171" t="s">
        <v>5370</v>
      </c>
      <c r="C3171" t="s">
        <v>5043</v>
      </c>
      <c r="D3171" t="s">
        <v>219</v>
      </c>
      <c r="E3171" t="s">
        <v>86</v>
      </c>
      <c r="F3171" s="2">
        <v>2.5720000000000001</v>
      </c>
      <c r="G3171">
        <v>2</v>
      </c>
      <c r="H3171" s="2">
        <f>Tabla_Items_Inactivos[[#This Row],[EXISTENCIA]]*Tabla_Items_Inactivos[[#This Row],[COSTO]]</f>
        <v>5.1440000000000001</v>
      </c>
    </row>
    <row r="3172" spans="1:8">
      <c r="A3172" t="s">
        <v>3300</v>
      </c>
      <c r="B3172" t="s">
        <v>5370</v>
      </c>
      <c r="C3172" t="s">
        <v>5043</v>
      </c>
      <c r="D3172" t="s">
        <v>219</v>
      </c>
      <c r="E3172" t="s">
        <v>86</v>
      </c>
      <c r="F3172" s="2">
        <v>2.5720000000000001</v>
      </c>
      <c r="G3172">
        <v>2</v>
      </c>
      <c r="H3172" s="2">
        <f>Tabla_Items_Inactivos[[#This Row],[EXISTENCIA]]*Tabla_Items_Inactivos[[#This Row],[COSTO]]</f>
        <v>5.1440000000000001</v>
      </c>
    </row>
    <row r="3173" spans="1:8">
      <c r="A3173" t="s">
        <v>3301</v>
      </c>
      <c r="B3173" t="s">
        <v>5371</v>
      </c>
      <c r="C3173" t="s">
        <v>5372</v>
      </c>
      <c r="D3173" t="s">
        <v>219</v>
      </c>
      <c r="E3173" t="s">
        <v>86</v>
      </c>
      <c r="F3173" s="2">
        <v>4.9922000000000004</v>
      </c>
      <c r="G3173">
        <v>7</v>
      </c>
      <c r="H3173" s="2">
        <f>Tabla_Items_Inactivos[[#This Row],[EXISTENCIA]]*Tabla_Items_Inactivos[[#This Row],[COSTO]]</f>
        <v>34.945400000000006</v>
      </c>
    </row>
    <row r="3174" spans="1:8">
      <c r="A3174" t="s">
        <v>3300</v>
      </c>
      <c r="B3174" t="s">
        <v>5371</v>
      </c>
      <c r="C3174" t="s">
        <v>5372</v>
      </c>
      <c r="D3174" t="s">
        <v>219</v>
      </c>
      <c r="E3174" t="s">
        <v>86</v>
      </c>
      <c r="F3174" s="2">
        <v>4.9922000000000004</v>
      </c>
      <c r="G3174">
        <v>7</v>
      </c>
      <c r="H3174" s="2">
        <f>Tabla_Items_Inactivos[[#This Row],[EXISTENCIA]]*Tabla_Items_Inactivos[[#This Row],[COSTO]]</f>
        <v>34.945400000000006</v>
      </c>
    </row>
    <row r="3175" spans="1:8">
      <c r="A3175" t="s">
        <v>3300</v>
      </c>
      <c r="B3175" t="s">
        <v>2311</v>
      </c>
      <c r="C3175" t="s">
        <v>2312</v>
      </c>
      <c r="D3175" t="s">
        <v>219</v>
      </c>
      <c r="E3175" t="s">
        <v>86</v>
      </c>
      <c r="F3175" s="2">
        <v>7.0359999999999996</v>
      </c>
      <c r="G3175">
        <v>7</v>
      </c>
      <c r="H3175" s="2">
        <f>Tabla_Items_Inactivos[[#This Row],[EXISTENCIA]]*Tabla_Items_Inactivos[[#This Row],[COSTO]]</f>
        <v>49.251999999999995</v>
      </c>
    </row>
    <row r="3176" spans="1:8">
      <c r="A3176" t="s">
        <v>3300</v>
      </c>
      <c r="B3176" t="s">
        <v>2314</v>
      </c>
      <c r="C3176" t="s">
        <v>2315</v>
      </c>
      <c r="D3176" t="s">
        <v>219</v>
      </c>
      <c r="E3176" t="s">
        <v>86</v>
      </c>
      <c r="F3176" s="2">
        <v>0.4</v>
      </c>
      <c r="G3176">
        <v>3</v>
      </c>
      <c r="H3176" s="2">
        <f>Tabla_Items_Inactivos[[#This Row],[EXISTENCIA]]*Tabla_Items_Inactivos[[#This Row],[COSTO]]</f>
        <v>1.2000000000000002</v>
      </c>
    </row>
    <row r="3177" spans="1:8">
      <c r="A3177" t="s">
        <v>3300</v>
      </c>
      <c r="B3177" t="s">
        <v>2316</v>
      </c>
      <c r="C3177" t="s">
        <v>2317</v>
      </c>
      <c r="D3177" t="s">
        <v>219</v>
      </c>
      <c r="E3177" t="s">
        <v>86</v>
      </c>
      <c r="F3177" s="2">
        <v>3.7250000000000001</v>
      </c>
      <c r="G3177">
        <v>6</v>
      </c>
      <c r="H3177" s="2">
        <f>Tabla_Items_Inactivos[[#This Row],[EXISTENCIA]]*Tabla_Items_Inactivos[[#This Row],[COSTO]]</f>
        <v>22.35</v>
      </c>
    </row>
    <row r="3178" spans="1:8">
      <c r="A3178" t="s">
        <v>3300</v>
      </c>
      <c r="B3178" t="s">
        <v>2319</v>
      </c>
      <c r="C3178" t="s">
        <v>2320</v>
      </c>
      <c r="D3178" t="s">
        <v>219</v>
      </c>
      <c r="E3178" t="s">
        <v>86</v>
      </c>
      <c r="F3178" s="2">
        <v>9.9670000000000005</v>
      </c>
      <c r="G3178">
        <v>5</v>
      </c>
      <c r="H3178" s="2">
        <f>Tabla_Items_Inactivos[[#This Row],[EXISTENCIA]]*Tabla_Items_Inactivos[[#This Row],[COSTO]]</f>
        <v>49.835000000000001</v>
      </c>
    </row>
    <row r="3179" spans="1:8">
      <c r="A3179" t="s">
        <v>3300</v>
      </c>
      <c r="B3179" t="s">
        <v>2322</v>
      </c>
      <c r="C3179" t="s">
        <v>2323</v>
      </c>
      <c r="D3179" t="s">
        <v>219</v>
      </c>
      <c r="E3179" t="s">
        <v>86</v>
      </c>
      <c r="F3179" s="2">
        <v>34.207999999999998</v>
      </c>
      <c r="G3179">
        <v>3</v>
      </c>
      <c r="H3179" s="2">
        <f>Tabla_Items_Inactivos[[#This Row],[EXISTENCIA]]*Tabla_Items_Inactivos[[#This Row],[COSTO]]</f>
        <v>102.624</v>
      </c>
    </row>
    <row r="3180" spans="1:8">
      <c r="A3180" t="s">
        <v>3300</v>
      </c>
      <c r="B3180" t="s">
        <v>2324</v>
      </c>
      <c r="C3180" t="s">
        <v>2325</v>
      </c>
      <c r="D3180" t="s">
        <v>219</v>
      </c>
      <c r="E3180" t="s">
        <v>86</v>
      </c>
      <c r="F3180" s="2">
        <v>26.45</v>
      </c>
      <c r="G3180">
        <v>1</v>
      </c>
      <c r="H3180" s="2">
        <f>Tabla_Items_Inactivos[[#This Row],[EXISTENCIA]]*Tabla_Items_Inactivos[[#This Row],[COSTO]]</f>
        <v>26.45</v>
      </c>
    </row>
    <row r="3181" spans="1:8">
      <c r="A3181" t="s">
        <v>3300</v>
      </c>
      <c r="B3181" t="s">
        <v>5373</v>
      </c>
      <c r="C3181" t="s">
        <v>5374</v>
      </c>
      <c r="D3181" t="s">
        <v>219</v>
      </c>
      <c r="E3181" t="s">
        <v>86</v>
      </c>
      <c r="F3181" s="2">
        <v>30.135000000000002</v>
      </c>
      <c r="G3181">
        <v>1</v>
      </c>
      <c r="H3181" s="2">
        <f>Tabla_Items_Inactivos[[#This Row],[EXISTENCIA]]*Tabla_Items_Inactivos[[#This Row],[COSTO]]</f>
        <v>30.135000000000002</v>
      </c>
    </row>
    <row r="3182" spans="1:8">
      <c r="A3182" t="s">
        <v>3300</v>
      </c>
      <c r="B3182" t="s">
        <v>2328</v>
      </c>
      <c r="C3182" t="s">
        <v>2329</v>
      </c>
      <c r="D3182" t="s">
        <v>434</v>
      </c>
      <c r="E3182" t="s">
        <v>86</v>
      </c>
      <c r="F3182" s="2">
        <v>34.5</v>
      </c>
      <c r="G3182">
        <v>1</v>
      </c>
      <c r="H3182" s="2">
        <f>Tabla_Items_Inactivos[[#This Row],[EXISTENCIA]]*Tabla_Items_Inactivos[[#This Row],[COSTO]]</f>
        <v>34.5</v>
      </c>
    </row>
    <row r="3183" spans="1:8">
      <c r="A3183" t="s">
        <v>3300</v>
      </c>
      <c r="B3183" t="s">
        <v>2331</v>
      </c>
      <c r="C3183" t="s">
        <v>2332</v>
      </c>
      <c r="D3183" t="s">
        <v>219</v>
      </c>
      <c r="E3183" t="s">
        <v>86</v>
      </c>
      <c r="F3183" s="2">
        <v>3.718</v>
      </c>
      <c r="G3183">
        <v>7</v>
      </c>
      <c r="H3183" s="2">
        <f>Tabla_Items_Inactivos[[#This Row],[EXISTENCIA]]*Tabla_Items_Inactivos[[#This Row],[COSTO]]</f>
        <v>26.026</v>
      </c>
    </row>
    <row r="3184" spans="1:8">
      <c r="A3184" t="s">
        <v>3301</v>
      </c>
      <c r="B3184" t="s">
        <v>2333</v>
      </c>
      <c r="C3184" t="s">
        <v>5375</v>
      </c>
      <c r="D3184" t="s">
        <v>219</v>
      </c>
      <c r="E3184" t="s">
        <v>86</v>
      </c>
      <c r="F3184" s="2">
        <v>6.3102</v>
      </c>
      <c r="G3184">
        <v>50</v>
      </c>
      <c r="H3184" s="2">
        <f>Tabla_Items_Inactivos[[#This Row],[EXISTENCIA]]*Tabla_Items_Inactivos[[#This Row],[COSTO]]</f>
        <v>315.51</v>
      </c>
    </row>
    <row r="3185" spans="1:8">
      <c r="A3185" t="s">
        <v>3300</v>
      </c>
      <c r="B3185" t="s">
        <v>2333</v>
      </c>
      <c r="C3185" t="s">
        <v>5375</v>
      </c>
      <c r="D3185" t="s">
        <v>219</v>
      </c>
      <c r="E3185" t="s">
        <v>86</v>
      </c>
      <c r="F3185" s="2">
        <v>6.3102</v>
      </c>
      <c r="G3185">
        <v>50</v>
      </c>
      <c r="H3185" s="2">
        <f>Tabla_Items_Inactivos[[#This Row],[EXISTENCIA]]*Tabla_Items_Inactivos[[#This Row],[COSTO]]</f>
        <v>315.51</v>
      </c>
    </row>
    <row r="3186" spans="1:8">
      <c r="A3186" t="s">
        <v>3300</v>
      </c>
      <c r="B3186" t="s">
        <v>5376</v>
      </c>
      <c r="C3186" t="s">
        <v>4947</v>
      </c>
      <c r="D3186" t="s">
        <v>219</v>
      </c>
      <c r="E3186" t="s">
        <v>86</v>
      </c>
      <c r="F3186" s="2">
        <v>1.93</v>
      </c>
      <c r="G3186">
        <v>5</v>
      </c>
      <c r="H3186" s="2">
        <f>Tabla_Items_Inactivos[[#This Row],[EXISTENCIA]]*Tabla_Items_Inactivos[[#This Row],[COSTO]]</f>
        <v>9.65</v>
      </c>
    </row>
    <row r="3187" spans="1:8">
      <c r="A3187" t="s">
        <v>3300</v>
      </c>
      <c r="B3187" t="s">
        <v>2335</v>
      </c>
      <c r="C3187" t="s">
        <v>2336</v>
      </c>
      <c r="D3187" t="s">
        <v>219</v>
      </c>
      <c r="E3187" t="s">
        <v>86</v>
      </c>
      <c r="F3187" s="2">
        <v>3.8769</v>
      </c>
      <c r="G3187">
        <v>14</v>
      </c>
      <c r="H3187" s="2">
        <f>Tabla_Items_Inactivos[[#This Row],[EXISTENCIA]]*Tabla_Items_Inactivos[[#This Row],[COSTO]]</f>
        <v>54.276600000000002</v>
      </c>
    </row>
    <row r="3188" spans="1:8">
      <c r="A3188" t="s">
        <v>3301</v>
      </c>
      <c r="B3188" t="s">
        <v>2335</v>
      </c>
      <c r="C3188" t="s">
        <v>2336</v>
      </c>
      <c r="D3188" t="s">
        <v>219</v>
      </c>
      <c r="E3188" t="s">
        <v>86</v>
      </c>
      <c r="F3188" s="2">
        <v>3.8769</v>
      </c>
      <c r="G3188">
        <v>14</v>
      </c>
      <c r="H3188" s="2">
        <f>Tabla_Items_Inactivos[[#This Row],[EXISTENCIA]]*Tabla_Items_Inactivos[[#This Row],[COSTO]]</f>
        <v>54.276600000000002</v>
      </c>
    </row>
    <row r="3189" spans="1:8">
      <c r="A3189" t="s">
        <v>3300</v>
      </c>
      <c r="B3189" t="s">
        <v>2337</v>
      </c>
      <c r="C3189" t="s">
        <v>2338</v>
      </c>
      <c r="D3189" t="s">
        <v>219</v>
      </c>
      <c r="E3189" t="s">
        <v>86</v>
      </c>
      <c r="F3189" s="2">
        <v>15.937200000000001</v>
      </c>
      <c r="G3189">
        <v>2</v>
      </c>
      <c r="H3189" s="2">
        <f>Tabla_Items_Inactivos[[#This Row],[EXISTENCIA]]*Tabla_Items_Inactivos[[#This Row],[COSTO]]</f>
        <v>31.874400000000001</v>
      </c>
    </row>
    <row r="3190" spans="1:8">
      <c r="A3190" t="s">
        <v>3301</v>
      </c>
      <c r="B3190" t="s">
        <v>2337</v>
      </c>
      <c r="C3190" t="s">
        <v>2338</v>
      </c>
      <c r="D3190" t="s">
        <v>219</v>
      </c>
      <c r="E3190" t="s">
        <v>86</v>
      </c>
      <c r="F3190" s="2">
        <v>15.937200000000001</v>
      </c>
      <c r="G3190">
        <v>2</v>
      </c>
      <c r="H3190" s="2">
        <f>Tabla_Items_Inactivos[[#This Row],[EXISTENCIA]]*Tabla_Items_Inactivos[[#This Row],[COSTO]]</f>
        <v>31.874400000000001</v>
      </c>
    </row>
    <row r="3191" spans="1:8">
      <c r="A3191" t="s">
        <v>3300</v>
      </c>
      <c r="B3191" t="s">
        <v>2339</v>
      </c>
      <c r="C3191" t="s">
        <v>2340</v>
      </c>
      <c r="D3191" t="s">
        <v>219</v>
      </c>
      <c r="E3191" t="s">
        <v>86</v>
      </c>
      <c r="F3191" s="2">
        <v>38.666499999999999</v>
      </c>
      <c r="G3191">
        <v>1</v>
      </c>
      <c r="H3191" s="2">
        <f>Tabla_Items_Inactivos[[#This Row],[EXISTENCIA]]*Tabla_Items_Inactivos[[#This Row],[COSTO]]</f>
        <v>38.666499999999999</v>
      </c>
    </row>
    <row r="3192" spans="1:8">
      <c r="A3192" t="s">
        <v>3301</v>
      </c>
      <c r="B3192" t="s">
        <v>2339</v>
      </c>
      <c r="C3192" t="s">
        <v>2340</v>
      </c>
      <c r="D3192" t="s">
        <v>219</v>
      </c>
      <c r="E3192" t="s">
        <v>86</v>
      </c>
      <c r="F3192" s="2">
        <v>38.666499999999999</v>
      </c>
      <c r="G3192">
        <v>1</v>
      </c>
      <c r="H3192" s="2">
        <f>Tabla_Items_Inactivos[[#This Row],[EXISTENCIA]]*Tabla_Items_Inactivos[[#This Row],[COSTO]]</f>
        <v>38.666499999999999</v>
      </c>
    </row>
    <row r="3193" spans="1:8">
      <c r="A3193" t="s">
        <v>3300</v>
      </c>
      <c r="B3193" t="s">
        <v>2341</v>
      </c>
      <c r="C3193" t="s">
        <v>2342</v>
      </c>
      <c r="D3193" t="s">
        <v>219</v>
      </c>
      <c r="E3193" t="s">
        <v>86</v>
      </c>
      <c r="F3193" s="2">
        <v>13.132999999999999</v>
      </c>
      <c r="G3193">
        <v>5</v>
      </c>
      <c r="H3193" s="2">
        <f>Tabla_Items_Inactivos[[#This Row],[EXISTENCIA]]*Tabla_Items_Inactivos[[#This Row],[COSTO]]</f>
        <v>65.664999999999992</v>
      </c>
    </row>
    <row r="3194" spans="1:8">
      <c r="A3194" t="s">
        <v>3300</v>
      </c>
      <c r="B3194" t="s">
        <v>5377</v>
      </c>
      <c r="C3194" t="s">
        <v>5378</v>
      </c>
      <c r="D3194" t="s">
        <v>219</v>
      </c>
      <c r="E3194" t="s">
        <v>86</v>
      </c>
      <c r="F3194" s="2">
        <v>15.313599999999999</v>
      </c>
      <c r="G3194">
        <v>10</v>
      </c>
      <c r="H3194" s="2">
        <f>Tabla_Items_Inactivos[[#This Row],[EXISTENCIA]]*Tabla_Items_Inactivos[[#This Row],[COSTO]]</f>
        <v>153.136</v>
      </c>
    </row>
    <row r="3195" spans="1:8">
      <c r="A3195" t="s">
        <v>3301</v>
      </c>
      <c r="B3195" t="s">
        <v>5377</v>
      </c>
      <c r="C3195" t="s">
        <v>5378</v>
      </c>
      <c r="D3195" t="s">
        <v>219</v>
      </c>
      <c r="E3195" t="s">
        <v>86</v>
      </c>
      <c r="F3195" s="2">
        <v>15.313599999999999</v>
      </c>
      <c r="G3195">
        <v>10</v>
      </c>
      <c r="H3195" s="2">
        <f>Tabla_Items_Inactivos[[#This Row],[EXISTENCIA]]*Tabla_Items_Inactivos[[#This Row],[COSTO]]</f>
        <v>153.136</v>
      </c>
    </row>
    <row r="3196" spans="1:8">
      <c r="A3196" t="s">
        <v>3300</v>
      </c>
      <c r="B3196" t="s">
        <v>3252</v>
      </c>
      <c r="C3196" t="s">
        <v>3253</v>
      </c>
      <c r="D3196" t="s">
        <v>219</v>
      </c>
      <c r="E3196" t="s">
        <v>86</v>
      </c>
      <c r="F3196" s="2">
        <v>36.616999999999997</v>
      </c>
      <c r="G3196">
        <v>6</v>
      </c>
      <c r="H3196" s="2">
        <f>Tabla_Items_Inactivos[[#This Row],[EXISTENCIA]]*Tabla_Items_Inactivos[[#This Row],[COSTO]]</f>
        <v>219.702</v>
      </c>
    </row>
    <row r="3197" spans="1:8">
      <c r="A3197" t="s">
        <v>3300</v>
      </c>
      <c r="B3197" t="s">
        <v>2348</v>
      </c>
      <c r="C3197" t="s">
        <v>4277</v>
      </c>
      <c r="D3197" t="s">
        <v>85</v>
      </c>
      <c r="E3197" t="s">
        <v>86</v>
      </c>
      <c r="F3197" s="2">
        <v>6.47</v>
      </c>
      <c r="G3197">
        <v>1</v>
      </c>
      <c r="H3197" s="2">
        <f>Tabla_Items_Inactivos[[#This Row],[EXISTENCIA]]*Tabla_Items_Inactivos[[#This Row],[COSTO]]</f>
        <v>6.47</v>
      </c>
    </row>
    <row r="3198" spans="1:8">
      <c r="A3198" t="s">
        <v>3300</v>
      </c>
      <c r="B3198" t="s">
        <v>5379</v>
      </c>
      <c r="C3198" t="s">
        <v>5380</v>
      </c>
      <c r="D3198" t="s">
        <v>219</v>
      </c>
      <c r="E3198" t="s">
        <v>86</v>
      </c>
      <c r="F3198" s="2">
        <v>15.923999999999999</v>
      </c>
      <c r="G3198">
        <v>3</v>
      </c>
      <c r="H3198" s="2">
        <f>Tabla_Items_Inactivos[[#This Row],[EXISTENCIA]]*Tabla_Items_Inactivos[[#This Row],[COSTO]]</f>
        <v>47.771999999999998</v>
      </c>
    </row>
    <row r="3199" spans="1:8">
      <c r="A3199" t="s">
        <v>3301</v>
      </c>
      <c r="B3199" t="s">
        <v>2349</v>
      </c>
      <c r="C3199" t="s">
        <v>2350</v>
      </c>
      <c r="D3199" t="s">
        <v>85</v>
      </c>
      <c r="E3199" t="s">
        <v>86</v>
      </c>
      <c r="F3199" s="2">
        <v>2.8342000000000001</v>
      </c>
      <c r="G3199">
        <v>3</v>
      </c>
      <c r="H3199" s="2">
        <f>Tabla_Items_Inactivos[[#This Row],[EXISTENCIA]]*Tabla_Items_Inactivos[[#This Row],[COSTO]]</f>
        <v>8.502600000000001</v>
      </c>
    </row>
    <row r="3200" spans="1:8">
      <c r="A3200" t="s">
        <v>3300</v>
      </c>
      <c r="B3200" t="s">
        <v>2349</v>
      </c>
      <c r="C3200" t="s">
        <v>2350</v>
      </c>
      <c r="D3200" t="s">
        <v>85</v>
      </c>
      <c r="E3200" t="s">
        <v>86</v>
      </c>
      <c r="F3200" s="2">
        <v>2.8342000000000001</v>
      </c>
      <c r="G3200">
        <v>3</v>
      </c>
      <c r="H3200" s="2">
        <f>Tabla_Items_Inactivos[[#This Row],[EXISTENCIA]]*Tabla_Items_Inactivos[[#This Row],[COSTO]]</f>
        <v>8.502600000000001</v>
      </c>
    </row>
    <row r="3201" spans="1:8">
      <c r="A3201" t="s">
        <v>3300</v>
      </c>
      <c r="B3201" t="s">
        <v>2351</v>
      </c>
      <c r="C3201" t="s">
        <v>2352</v>
      </c>
      <c r="D3201" t="s">
        <v>85</v>
      </c>
      <c r="E3201" t="s">
        <v>86</v>
      </c>
      <c r="F3201" s="2">
        <v>0.64280000000000004</v>
      </c>
      <c r="G3201">
        <v>8</v>
      </c>
      <c r="H3201" s="2">
        <f>Tabla_Items_Inactivos[[#This Row],[EXISTENCIA]]*Tabla_Items_Inactivos[[#This Row],[COSTO]]</f>
        <v>5.1424000000000003</v>
      </c>
    </row>
    <row r="3202" spans="1:8">
      <c r="A3202" t="s">
        <v>3301</v>
      </c>
      <c r="B3202" t="s">
        <v>2351</v>
      </c>
      <c r="C3202" t="s">
        <v>2352</v>
      </c>
      <c r="D3202" t="s">
        <v>85</v>
      </c>
      <c r="E3202" t="s">
        <v>86</v>
      </c>
      <c r="F3202" s="2">
        <v>0.64280000000000004</v>
      </c>
      <c r="G3202">
        <v>8</v>
      </c>
      <c r="H3202" s="2">
        <f>Tabla_Items_Inactivos[[#This Row],[EXISTENCIA]]*Tabla_Items_Inactivos[[#This Row],[COSTO]]</f>
        <v>5.1424000000000003</v>
      </c>
    </row>
    <row r="3203" spans="1:8">
      <c r="A3203" t="s">
        <v>3300</v>
      </c>
      <c r="B3203" t="s">
        <v>5381</v>
      </c>
      <c r="C3203" t="s">
        <v>5382</v>
      </c>
      <c r="D3203" t="s">
        <v>98</v>
      </c>
      <c r="E3203" t="s">
        <v>86</v>
      </c>
      <c r="F3203" s="2">
        <v>0.2944</v>
      </c>
      <c r="G3203">
        <v>58</v>
      </c>
      <c r="H3203" s="2">
        <f>Tabla_Items_Inactivos[[#This Row],[EXISTENCIA]]*Tabla_Items_Inactivos[[#This Row],[COSTO]]</f>
        <v>17.075199999999999</v>
      </c>
    </row>
    <row r="3204" spans="1:8">
      <c r="A3204" t="s">
        <v>3300</v>
      </c>
      <c r="B3204" t="s">
        <v>2355</v>
      </c>
      <c r="C3204" t="s">
        <v>5383</v>
      </c>
      <c r="D3204" t="s">
        <v>98</v>
      </c>
      <c r="E3204" t="s">
        <v>86</v>
      </c>
      <c r="F3204" s="2">
        <v>31.7</v>
      </c>
      <c r="G3204">
        <v>4</v>
      </c>
      <c r="H3204" s="2">
        <f>Tabla_Items_Inactivos[[#This Row],[EXISTENCIA]]*Tabla_Items_Inactivos[[#This Row],[COSTO]]</f>
        <v>126.8</v>
      </c>
    </row>
    <row r="3205" spans="1:8">
      <c r="A3205" t="s">
        <v>3300</v>
      </c>
      <c r="B3205" t="s">
        <v>2356</v>
      </c>
      <c r="C3205" t="s">
        <v>2357</v>
      </c>
      <c r="D3205" t="s">
        <v>223</v>
      </c>
      <c r="E3205" t="s">
        <v>86</v>
      </c>
      <c r="F3205" s="2">
        <v>32.036999999999999</v>
      </c>
      <c r="G3205">
        <v>3</v>
      </c>
      <c r="H3205" s="2">
        <f>Tabla_Items_Inactivos[[#This Row],[EXISTENCIA]]*Tabla_Items_Inactivos[[#This Row],[COSTO]]</f>
        <v>96.11099999999999</v>
      </c>
    </row>
    <row r="3206" spans="1:8">
      <c r="A3206" t="s">
        <v>3301</v>
      </c>
      <c r="B3206" t="s">
        <v>5384</v>
      </c>
      <c r="C3206" t="s">
        <v>5385</v>
      </c>
      <c r="D3206" t="s">
        <v>228</v>
      </c>
      <c r="E3206" t="s">
        <v>86</v>
      </c>
      <c r="F3206" s="2">
        <v>9.6882999999999999</v>
      </c>
      <c r="G3206">
        <v>8</v>
      </c>
      <c r="H3206" s="2">
        <f>Tabla_Items_Inactivos[[#This Row],[EXISTENCIA]]*Tabla_Items_Inactivos[[#This Row],[COSTO]]</f>
        <v>77.506399999999999</v>
      </c>
    </row>
    <row r="3207" spans="1:8">
      <c r="A3207" t="s">
        <v>3300</v>
      </c>
      <c r="B3207" t="s">
        <v>5384</v>
      </c>
      <c r="C3207" t="s">
        <v>5385</v>
      </c>
      <c r="D3207" t="s">
        <v>228</v>
      </c>
      <c r="E3207" t="s">
        <v>86</v>
      </c>
      <c r="F3207" s="2">
        <v>9.6882999999999999</v>
      </c>
      <c r="G3207">
        <v>8</v>
      </c>
      <c r="H3207" s="2">
        <f>Tabla_Items_Inactivos[[#This Row],[EXISTENCIA]]*Tabla_Items_Inactivos[[#This Row],[COSTO]]</f>
        <v>77.506399999999999</v>
      </c>
    </row>
    <row r="3208" spans="1:8">
      <c r="A3208" t="s">
        <v>3300</v>
      </c>
      <c r="B3208" t="s">
        <v>2358</v>
      </c>
      <c r="C3208" t="s">
        <v>2359</v>
      </c>
      <c r="D3208" t="s">
        <v>98</v>
      </c>
      <c r="E3208" t="s">
        <v>86</v>
      </c>
      <c r="F3208" s="2">
        <v>3.83</v>
      </c>
      <c r="G3208">
        <v>2</v>
      </c>
      <c r="H3208" s="2">
        <f>Tabla_Items_Inactivos[[#This Row],[EXISTENCIA]]*Tabla_Items_Inactivos[[#This Row],[COSTO]]</f>
        <v>7.66</v>
      </c>
    </row>
    <row r="3209" spans="1:8">
      <c r="A3209" t="s">
        <v>3300</v>
      </c>
      <c r="B3209" t="s">
        <v>2360</v>
      </c>
      <c r="C3209" t="s">
        <v>2361</v>
      </c>
      <c r="D3209" t="s">
        <v>85</v>
      </c>
      <c r="E3209" t="s">
        <v>86</v>
      </c>
      <c r="F3209" s="2">
        <v>4.875</v>
      </c>
      <c r="G3209">
        <v>36</v>
      </c>
      <c r="H3209" s="2">
        <f>Tabla_Items_Inactivos[[#This Row],[EXISTENCIA]]*Tabla_Items_Inactivos[[#This Row],[COSTO]]</f>
        <v>175.5</v>
      </c>
    </row>
    <row r="3210" spans="1:8">
      <c r="A3210" t="s">
        <v>3300</v>
      </c>
      <c r="B3210" t="s">
        <v>3258</v>
      </c>
      <c r="C3210" t="s">
        <v>3259</v>
      </c>
      <c r="D3210" t="s">
        <v>263</v>
      </c>
      <c r="E3210" t="s">
        <v>86</v>
      </c>
      <c r="F3210" s="2">
        <v>26.7346</v>
      </c>
      <c r="G3210">
        <v>26</v>
      </c>
      <c r="H3210" s="2">
        <f>Tabla_Items_Inactivos[[#This Row],[EXISTENCIA]]*Tabla_Items_Inactivos[[#This Row],[COSTO]]</f>
        <v>695.09960000000001</v>
      </c>
    </row>
    <row r="3211" spans="1:8">
      <c r="A3211" t="s">
        <v>3301</v>
      </c>
      <c r="B3211" t="s">
        <v>3258</v>
      </c>
      <c r="C3211" t="s">
        <v>3259</v>
      </c>
      <c r="D3211" t="s">
        <v>263</v>
      </c>
      <c r="E3211" t="s">
        <v>86</v>
      </c>
      <c r="F3211" s="2">
        <v>26.7346</v>
      </c>
      <c r="G3211">
        <v>26</v>
      </c>
      <c r="H3211" s="2">
        <f>Tabla_Items_Inactivos[[#This Row],[EXISTENCIA]]*Tabla_Items_Inactivos[[#This Row],[COSTO]]</f>
        <v>695.09960000000001</v>
      </c>
    </row>
    <row r="3212" spans="1:8">
      <c r="A3212" t="s">
        <v>3300</v>
      </c>
      <c r="B3212" t="s">
        <v>2362</v>
      </c>
      <c r="C3212" t="s">
        <v>2363</v>
      </c>
      <c r="D3212" t="s">
        <v>85</v>
      </c>
      <c r="E3212" t="s">
        <v>86</v>
      </c>
      <c r="F3212" s="2">
        <v>0</v>
      </c>
      <c r="G3212">
        <v>1</v>
      </c>
      <c r="H3212" s="2">
        <f>Tabla_Items_Inactivos[[#This Row],[EXISTENCIA]]*Tabla_Items_Inactivos[[#This Row],[COSTO]]</f>
        <v>0</v>
      </c>
    </row>
    <row r="3213" spans="1:8">
      <c r="A3213" t="s">
        <v>3300</v>
      </c>
      <c r="B3213" t="s">
        <v>2365</v>
      </c>
      <c r="C3213" t="s">
        <v>2366</v>
      </c>
      <c r="D3213" t="s">
        <v>98</v>
      </c>
      <c r="E3213" t="s">
        <v>86</v>
      </c>
      <c r="F3213" s="2">
        <v>2.11</v>
      </c>
      <c r="G3213">
        <v>2</v>
      </c>
      <c r="H3213" s="2">
        <f>Tabla_Items_Inactivos[[#This Row],[EXISTENCIA]]*Tabla_Items_Inactivos[[#This Row],[COSTO]]</f>
        <v>4.22</v>
      </c>
    </row>
    <row r="3214" spans="1:8">
      <c r="A3214" t="s">
        <v>3301</v>
      </c>
      <c r="B3214" t="s">
        <v>2369</v>
      </c>
      <c r="C3214" t="s">
        <v>5386</v>
      </c>
      <c r="D3214" t="s">
        <v>85</v>
      </c>
      <c r="E3214" t="s">
        <v>86</v>
      </c>
      <c r="F3214" s="2">
        <v>36.433900000000001</v>
      </c>
      <c r="G3214">
        <v>2</v>
      </c>
      <c r="H3214" s="2">
        <f>Tabla_Items_Inactivos[[#This Row],[EXISTENCIA]]*Tabla_Items_Inactivos[[#This Row],[COSTO]]</f>
        <v>72.867800000000003</v>
      </c>
    </row>
    <row r="3215" spans="1:8">
      <c r="A3215" t="s">
        <v>3300</v>
      </c>
      <c r="B3215" t="s">
        <v>2369</v>
      </c>
      <c r="C3215" t="s">
        <v>5386</v>
      </c>
      <c r="D3215" t="s">
        <v>85</v>
      </c>
      <c r="E3215" t="s">
        <v>86</v>
      </c>
      <c r="F3215" s="2">
        <v>36.433900000000001</v>
      </c>
      <c r="G3215">
        <v>2</v>
      </c>
      <c r="H3215" s="2">
        <f>Tabla_Items_Inactivos[[#This Row],[EXISTENCIA]]*Tabla_Items_Inactivos[[#This Row],[COSTO]]</f>
        <v>72.867800000000003</v>
      </c>
    </row>
    <row r="3216" spans="1:8">
      <c r="A3216" t="s">
        <v>3300</v>
      </c>
      <c r="B3216" t="s">
        <v>2370</v>
      </c>
      <c r="C3216" t="s">
        <v>2371</v>
      </c>
      <c r="D3216" t="s">
        <v>434</v>
      </c>
      <c r="E3216" t="s">
        <v>86</v>
      </c>
      <c r="F3216" s="2">
        <v>0.83050000000000002</v>
      </c>
      <c r="G3216">
        <v>8</v>
      </c>
      <c r="H3216" s="2">
        <f>Tabla_Items_Inactivos[[#This Row],[EXISTENCIA]]*Tabla_Items_Inactivos[[#This Row],[COSTO]]</f>
        <v>6.6440000000000001</v>
      </c>
    </row>
    <row r="3217" spans="1:8">
      <c r="A3217" t="s">
        <v>3301</v>
      </c>
      <c r="B3217" t="s">
        <v>2370</v>
      </c>
      <c r="C3217" t="s">
        <v>2371</v>
      </c>
      <c r="D3217" t="s">
        <v>434</v>
      </c>
      <c r="E3217" t="s">
        <v>86</v>
      </c>
      <c r="F3217" s="2">
        <v>0.83050000000000002</v>
      </c>
      <c r="G3217">
        <v>8</v>
      </c>
      <c r="H3217" s="2">
        <f>Tabla_Items_Inactivos[[#This Row],[EXISTENCIA]]*Tabla_Items_Inactivos[[#This Row],[COSTO]]</f>
        <v>6.6440000000000001</v>
      </c>
    </row>
    <row r="3218" spans="1:8">
      <c r="A3218" t="s">
        <v>3300</v>
      </c>
      <c r="B3218" t="s">
        <v>2372</v>
      </c>
      <c r="C3218" t="s">
        <v>2373</v>
      </c>
      <c r="D3218" t="s">
        <v>85</v>
      </c>
      <c r="E3218" t="s">
        <v>86</v>
      </c>
      <c r="F3218" s="2">
        <v>24.590199999999999</v>
      </c>
      <c r="G3218">
        <v>29</v>
      </c>
      <c r="H3218" s="2">
        <f>Tabla_Items_Inactivos[[#This Row],[EXISTENCIA]]*Tabla_Items_Inactivos[[#This Row],[COSTO]]</f>
        <v>713.11580000000004</v>
      </c>
    </row>
    <row r="3219" spans="1:8">
      <c r="A3219" t="s">
        <v>3301</v>
      </c>
      <c r="B3219" t="s">
        <v>2372</v>
      </c>
      <c r="C3219" t="s">
        <v>2373</v>
      </c>
      <c r="D3219" t="s">
        <v>85</v>
      </c>
      <c r="E3219" t="s">
        <v>86</v>
      </c>
      <c r="F3219" s="2">
        <v>24.590199999999999</v>
      </c>
      <c r="G3219">
        <v>29</v>
      </c>
      <c r="H3219" s="2">
        <f>Tabla_Items_Inactivos[[#This Row],[EXISTENCIA]]*Tabla_Items_Inactivos[[#This Row],[COSTO]]</f>
        <v>713.11580000000004</v>
      </c>
    </row>
    <row r="3220" spans="1:8">
      <c r="A3220" t="s">
        <v>3300</v>
      </c>
      <c r="B3220" t="s">
        <v>3264</v>
      </c>
      <c r="C3220" t="s">
        <v>3265</v>
      </c>
      <c r="D3220" t="s">
        <v>85</v>
      </c>
      <c r="E3220" t="s">
        <v>86</v>
      </c>
      <c r="F3220" s="2">
        <v>11.71</v>
      </c>
      <c r="G3220">
        <v>12</v>
      </c>
      <c r="H3220" s="2">
        <f>Tabla_Items_Inactivos[[#This Row],[EXISTENCIA]]*Tabla_Items_Inactivos[[#This Row],[COSTO]]</f>
        <v>140.52000000000001</v>
      </c>
    </row>
    <row r="3221" spans="1:8">
      <c r="A3221" t="s">
        <v>3300</v>
      </c>
      <c r="B3221" t="s">
        <v>2374</v>
      </c>
      <c r="C3221" t="s">
        <v>2375</v>
      </c>
      <c r="D3221" t="s">
        <v>85</v>
      </c>
      <c r="E3221" t="s">
        <v>86</v>
      </c>
      <c r="F3221" s="2">
        <v>39.884</v>
      </c>
      <c r="G3221">
        <v>4</v>
      </c>
      <c r="H3221" s="2">
        <f>Tabla_Items_Inactivos[[#This Row],[EXISTENCIA]]*Tabla_Items_Inactivos[[#This Row],[COSTO]]</f>
        <v>159.536</v>
      </c>
    </row>
    <row r="3222" spans="1:8">
      <c r="A3222" t="s">
        <v>3300</v>
      </c>
      <c r="B3222" t="s">
        <v>2376</v>
      </c>
      <c r="C3222" t="s">
        <v>2377</v>
      </c>
      <c r="D3222" t="s">
        <v>85</v>
      </c>
      <c r="E3222" t="s">
        <v>86</v>
      </c>
      <c r="F3222" s="2">
        <v>2.0236999999999998</v>
      </c>
      <c r="G3222">
        <v>16</v>
      </c>
      <c r="H3222" s="2">
        <f>Tabla_Items_Inactivos[[#This Row],[EXISTENCIA]]*Tabla_Items_Inactivos[[#This Row],[COSTO]]</f>
        <v>32.379199999999997</v>
      </c>
    </row>
    <row r="3223" spans="1:8">
      <c r="A3223" t="s">
        <v>3301</v>
      </c>
      <c r="B3223" t="s">
        <v>2376</v>
      </c>
      <c r="C3223" t="s">
        <v>2377</v>
      </c>
      <c r="D3223" t="s">
        <v>85</v>
      </c>
      <c r="E3223" t="s">
        <v>86</v>
      </c>
      <c r="F3223" s="2">
        <v>2.0236999999999998</v>
      </c>
      <c r="G3223">
        <v>16</v>
      </c>
      <c r="H3223" s="2">
        <f>Tabla_Items_Inactivos[[#This Row],[EXISTENCIA]]*Tabla_Items_Inactivos[[#This Row],[COSTO]]</f>
        <v>32.379199999999997</v>
      </c>
    </row>
    <row r="3224" spans="1:8">
      <c r="A3224" t="s">
        <v>3300</v>
      </c>
      <c r="B3224" t="s">
        <v>5387</v>
      </c>
      <c r="C3224" t="s">
        <v>5388</v>
      </c>
      <c r="D3224" t="s">
        <v>85</v>
      </c>
      <c r="E3224" t="s">
        <v>86</v>
      </c>
      <c r="F3224" s="2">
        <v>1.8044</v>
      </c>
      <c r="G3224">
        <v>2</v>
      </c>
      <c r="H3224" s="2">
        <f>Tabla_Items_Inactivos[[#This Row],[EXISTENCIA]]*Tabla_Items_Inactivos[[#This Row],[COSTO]]</f>
        <v>3.6088</v>
      </c>
    </row>
    <row r="3225" spans="1:8">
      <c r="A3225" t="s">
        <v>3301</v>
      </c>
      <c r="B3225" t="s">
        <v>5387</v>
      </c>
      <c r="C3225" t="s">
        <v>5388</v>
      </c>
      <c r="D3225" t="s">
        <v>85</v>
      </c>
      <c r="E3225" t="s">
        <v>86</v>
      </c>
      <c r="F3225" s="2">
        <v>1.8044</v>
      </c>
      <c r="G3225">
        <v>2</v>
      </c>
      <c r="H3225" s="2">
        <f>Tabla_Items_Inactivos[[#This Row],[EXISTENCIA]]*Tabla_Items_Inactivos[[#This Row],[COSTO]]</f>
        <v>3.6088</v>
      </c>
    </row>
    <row r="3226" spans="1:8">
      <c r="A3226" t="s">
        <v>3300</v>
      </c>
      <c r="B3226" t="s">
        <v>2378</v>
      </c>
      <c r="C3226" t="s">
        <v>2379</v>
      </c>
      <c r="D3226" t="s">
        <v>85</v>
      </c>
      <c r="E3226" t="s">
        <v>86</v>
      </c>
      <c r="F3226" s="2">
        <v>24.446999999999999</v>
      </c>
      <c r="G3226">
        <v>3</v>
      </c>
      <c r="H3226" s="2">
        <f>Tabla_Items_Inactivos[[#This Row],[EXISTENCIA]]*Tabla_Items_Inactivos[[#This Row],[COSTO]]</f>
        <v>73.340999999999994</v>
      </c>
    </row>
    <row r="3227" spans="1:8">
      <c r="A3227" t="s">
        <v>3300</v>
      </c>
      <c r="B3227" t="s">
        <v>2380</v>
      </c>
      <c r="C3227" t="s">
        <v>5389</v>
      </c>
      <c r="D3227" t="s">
        <v>85</v>
      </c>
      <c r="E3227" t="s">
        <v>86</v>
      </c>
      <c r="F3227" s="2">
        <v>7.7626999999999997</v>
      </c>
      <c r="G3227">
        <v>5</v>
      </c>
      <c r="H3227" s="2">
        <f>Tabla_Items_Inactivos[[#This Row],[EXISTENCIA]]*Tabla_Items_Inactivos[[#This Row],[COSTO]]</f>
        <v>38.813499999999998</v>
      </c>
    </row>
    <row r="3228" spans="1:8">
      <c r="A3228" t="s">
        <v>3301</v>
      </c>
      <c r="B3228" t="s">
        <v>2380</v>
      </c>
      <c r="C3228" t="s">
        <v>5389</v>
      </c>
      <c r="D3228" t="s">
        <v>85</v>
      </c>
      <c r="E3228" t="s">
        <v>86</v>
      </c>
      <c r="F3228" s="2">
        <v>7.7626999999999997</v>
      </c>
      <c r="G3228">
        <v>5</v>
      </c>
      <c r="H3228" s="2">
        <f>Tabla_Items_Inactivos[[#This Row],[EXISTENCIA]]*Tabla_Items_Inactivos[[#This Row],[COSTO]]</f>
        <v>38.813499999999998</v>
      </c>
    </row>
    <row r="3229" spans="1:8">
      <c r="A3229" t="s">
        <v>3300</v>
      </c>
      <c r="B3229" t="s">
        <v>2381</v>
      </c>
      <c r="C3229" t="s">
        <v>2382</v>
      </c>
      <c r="D3229" t="s">
        <v>85</v>
      </c>
      <c r="E3229" t="s">
        <v>86</v>
      </c>
      <c r="F3229" s="2">
        <v>6.4790000000000001</v>
      </c>
      <c r="G3229">
        <v>5</v>
      </c>
      <c r="H3229" s="2">
        <f>Tabla_Items_Inactivos[[#This Row],[EXISTENCIA]]*Tabla_Items_Inactivos[[#This Row],[COSTO]]</f>
        <v>32.395000000000003</v>
      </c>
    </row>
    <row r="3230" spans="1:8">
      <c r="A3230" t="s">
        <v>3300</v>
      </c>
      <c r="B3230" t="s">
        <v>2383</v>
      </c>
      <c r="C3230" t="s">
        <v>2384</v>
      </c>
      <c r="D3230" t="s">
        <v>85</v>
      </c>
      <c r="E3230" t="s">
        <v>86</v>
      </c>
      <c r="F3230" s="2">
        <v>7.9580000000000002</v>
      </c>
      <c r="G3230">
        <v>3</v>
      </c>
      <c r="H3230" s="2">
        <f>Tabla_Items_Inactivos[[#This Row],[EXISTENCIA]]*Tabla_Items_Inactivos[[#This Row],[COSTO]]</f>
        <v>23.874000000000002</v>
      </c>
    </row>
    <row r="3231" spans="1:8">
      <c r="A3231" t="s">
        <v>3301</v>
      </c>
      <c r="B3231" t="s">
        <v>2385</v>
      </c>
      <c r="C3231" t="s">
        <v>2386</v>
      </c>
      <c r="D3231" t="s">
        <v>85</v>
      </c>
      <c r="E3231" t="s">
        <v>86</v>
      </c>
      <c r="F3231" s="2">
        <v>2.8123</v>
      </c>
      <c r="G3231">
        <v>10</v>
      </c>
      <c r="H3231" s="2">
        <f>Tabla_Items_Inactivos[[#This Row],[EXISTENCIA]]*Tabla_Items_Inactivos[[#This Row],[COSTO]]</f>
        <v>28.123000000000001</v>
      </c>
    </row>
    <row r="3232" spans="1:8">
      <c r="A3232" t="s">
        <v>3300</v>
      </c>
      <c r="B3232" t="s">
        <v>2385</v>
      </c>
      <c r="C3232" t="s">
        <v>2386</v>
      </c>
      <c r="D3232" t="s">
        <v>85</v>
      </c>
      <c r="E3232" t="s">
        <v>86</v>
      </c>
      <c r="F3232" s="2">
        <v>2.8123</v>
      </c>
      <c r="G3232">
        <v>10</v>
      </c>
      <c r="H3232" s="2">
        <f>Tabla_Items_Inactivos[[#This Row],[EXISTENCIA]]*Tabla_Items_Inactivos[[#This Row],[COSTO]]</f>
        <v>28.123000000000001</v>
      </c>
    </row>
    <row r="3233" spans="1:8">
      <c r="A3233" t="s">
        <v>3300</v>
      </c>
      <c r="B3233" t="s">
        <v>2388</v>
      </c>
      <c r="C3233" t="s">
        <v>5390</v>
      </c>
      <c r="D3233" t="s">
        <v>85</v>
      </c>
      <c r="E3233" t="s">
        <v>86</v>
      </c>
      <c r="F3233" s="2">
        <v>6.9</v>
      </c>
      <c r="G3233">
        <v>17</v>
      </c>
      <c r="H3233" s="2">
        <f>Tabla_Items_Inactivos[[#This Row],[EXISTENCIA]]*Tabla_Items_Inactivos[[#This Row],[COSTO]]</f>
        <v>117.30000000000001</v>
      </c>
    </row>
    <row r="3234" spans="1:8">
      <c r="A3234" t="s">
        <v>3301</v>
      </c>
      <c r="B3234" t="s">
        <v>2388</v>
      </c>
      <c r="C3234" t="s">
        <v>5390</v>
      </c>
      <c r="D3234" t="s">
        <v>85</v>
      </c>
      <c r="E3234" t="s">
        <v>86</v>
      </c>
      <c r="F3234" s="2">
        <v>6.9</v>
      </c>
      <c r="G3234">
        <v>17</v>
      </c>
      <c r="H3234" s="2">
        <f>Tabla_Items_Inactivos[[#This Row],[EXISTENCIA]]*Tabla_Items_Inactivos[[#This Row],[COSTO]]</f>
        <v>117.30000000000001</v>
      </c>
    </row>
    <row r="3235" spans="1:8">
      <c r="A3235" t="s">
        <v>3300</v>
      </c>
      <c r="B3235" t="s">
        <v>2389</v>
      </c>
      <c r="C3235" t="s">
        <v>2390</v>
      </c>
      <c r="D3235" t="s">
        <v>85</v>
      </c>
      <c r="E3235" t="s">
        <v>86</v>
      </c>
      <c r="F3235" s="2">
        <v>30.0777</v>
      </c>
      <c r="G3235">
        <v>4</v>
      </c>
      <c r="H3235" s="2">
        <f>Tabla_Items_Inactivos[[#This Row],[EXISTENCIA]]*Tabla_Items_Inactivos[[#This Row],[COSTO]]</f>
        <v>120.3108</v>
      </c>
    </row>
    <row r="3236" spans="1:8">
      <c r="A3236" t="s">
        <v>3301</v>
      </c>
      <c r="B3236" t="s">
        <v>2389</v>
      </c>
      <c r="C3236" t="s">
        <v>2390</v>
      </c>
      <c r="D3236" t="s">
        <v>85</v>
      </c>
      <c r="E3236" t="s">
        <v>86</v>
      </c>
      <c r="F3236" s="2">
        <v>30.0777</v>
      </c>
      <c r="G3236">
        <v>4</v>
      </c>
      <c r="H3236" s="2">
        <f>Tabla_Items_Inactivos[[#This Row],[EXISTENCIA]]*Tabla_Items_Inactivos[[#This Row],[COSTO]]</f>
        <v>120.3108</v>
      </c>
    </row>
    <row r="3237" spans="1:8">
      <c r="A3237" t="s">
        <v>3301</v>
      </c>
      <c r="B3237" t="s">
        <v>2391</v>
      </c>
      <c r="C3237" t="s">
        <v>2392</v>
      </c>
      <c r="D3237" t="s">
        <v>85</v>
      </c>
      <c r="E3237" t="s">
        <v>86</v>
      </c>
      <c r="F3237" s="2">
        <v>19.772200000000002</v>
      </c>
      <c r="G3237">
        <v>14</v>
      </c>
      <c r="H3237" s="2">
        <f>Tabla_Items_Inactivos[[#This Row],[EXISTENCIA]]*Tabla_Items_Inactivos[[#This Row],[COSTO]]</f>
        <v>276.81080000000003</v>
      </c>
    </row>
    <row r="3238" spans="1:8">
      <c r="A3238" t="s">
        <v>3300</v>
      </c>
      <c r="B3238" t="s">
        <v>2391</v>
      </c>
      <c r="C3238" t="s">
        <v>2392</v>
      </c>
      <c r="D3238" t="s">
        <v>85</v>
      </c>
      <c r="E3238" t="s">
        <v>86</v>
      </c>
      <c r="F3238" s="2">
        <v>19.772200000000002</v>
      </c>
      <c r="G3238">
        <v>14</v>
      </c>
      <c r="H3238" s="2">
        <f>Tabla_Items_Inactivos[[#This Row],[EXISTENCIA]]*Tabla_Items_Inactivos[[#This Row],[COSTO]]</f>
        <v>276.81080000000003</v>
      </c>
    </row>
    <row r="3239" spans="1:8">
      <c r="A3239" t="s">
        <v>3300</v>
      </c>
      <c r="B3239" t="s">
        <v>2393</v>
      </c>
      <c r="C3239" t="s">
        <v>2394</v>
      </c>
      <c r="D3239" t="s">
        <v>85</v>
      </c>
      <c r="E3239" t="s">
        <v>86</v>
      </c>
      <c r="F3239" s="2">
        <v>2.0623</v>
      </c>
      <c r="G3239">
        <v>2</v>
      </c>
      <c r="H3239" s="2">
        <f>Tabla_Items_Inactivos[[#This Row],[EXISTENCIA]]*Tabla_Items_Inactivos[[#This Row],[COSTO]]</f>
        <v>4.1246</v>
      </c>
    </row>
    <row r="3240" spans="1:8">
      <c r="A3240" t="s">
        <v>3301</v>
      </c>
      <c r="B3240" t="s">
        <v>2393</v>
      </c>
      <c r="C3240" t="s">
        <v>2394</v>
      </c>
      <c r="D3240" t="s">
        <v>85</v>
      </c>
      <c r="E3240" t="s">
        <v>86</v>
      </c>
      <c r="F3240" s="2">
        <v>2.0623</v>
      </c>
      <c r="G3240">
        <v>2</v>
      </c>
      <c r="H3240" s="2">
        <f>Tabla_Items_Inactivos[[#This Row],[EXISTENCIA]]*Tabla_Items_Inactivos[[#This Row],[COSTO]]</f>
        <v>4.1246</v>
      </c>
    </row>
    <row r="3241" spans="1:8">
      <c r="A3241" t="s">
        <v>3300</v>
      </c>
      <c r="B3241" t="s">
        <v>2395</v>
      </c>
      <c r="C3241" t="s">
        <v>2396</v>
      </c>
      <c r="D3241" t="s">
        <v>85</v>
      </c>
      <c r="E3241" t="s">
        <v>86</v>
      </c>
      <c r="F3241" s="2">
        <v>0.96970000000000001</v>
      </c>
      <c r="G3241">
        <v>4</v>
      </c>
      <c r="H3241" s="2">
        <f>Tabla_Items_Inactivos[[#This Row],[EXISTENCIA]]*Tabla_Items_Inactivos[[#This Row],[COSTO]]</f>
        <v>3.8788</v>
      </c>
    </row>
    <row r="3242" spans="1:8">
      <c r="A3242" t="s">
        <v>3301</v>
      </c>
      <c r="B3242" t="s">
        <v>2395</v>
      </c>
      <c r="C3242" t="s">
        <v>2396</v>
      </c>
      <c r="D3242" t="s">
        <v>85</v>
      </c>
      <c r="E3242" t="s">
        <v>86</v>
      </c>
      <c r="F3242" s="2">
        <v>0.96970000000000001</v>
      </c>
      <c r="G3242">
        <v>4</v>
      </c>
      <c r="H3242" s="2">
        <f>Tabla_Items_Inactivos[[#This Row],[EXISTENCIA]]*Tabla_Items_Inactivos[[#This Row],[COSTO]]</f>
        <v>3.8788</v>
      </c>
    </row>
    <row r="3243" spans="1:8">
      <c r="A3243" t="s">
        <v>3300</v>
      </c>
      <c r="B3243" t="s">
        <v>2397</v>
      </c>
      <c r="C3243" t="s">
        <v>5391</v>
      </c>
      <c r="D3243" t="s">
        <v>85</v>
      </c>
      <c r="E3243" t="s">
        <v>86</v>
      </c>
      <c r="F3243" s="2">
        <v>30.669599999999999</v>
      </c>
      <c r="G3243">
        <v>9</v>
      </c>
      <c r="H3243" s="2">
        <f>Tabla_Items_Inactivos[[#This Row],[EXISTENCIA]]*Tabla_Items_Inactivos[[#This Row],[COSTO]]</f>
        <v>276.02639999999997</v>
      </c>
    </row>
    <row r="3244" spans="1:8">
      <c r="A3244" t="s">
        <v>3301</v>
      </c>
      <c r="B3244" t="s">
        <v>2397</v>
      </c>
      <c r="C3244" t="s">
        <v>5391</v>
      </c>
      <c r="D3244" t="s">
        <v>85</v>
      </c>
      <c r="E3244" t="s">
        <v>86</v>
      </c>
      <c r="F3244" s="2">
        <v>30.669599999999999</v>
      </c>
      <c r="G3244">
        <v>9</v>
      </c>
      <c r="H3244" s="2">
        <f>Tabla_Items_Inactivos[[#This Row],[EXISTENCIA]]*Tabla_Items_Inactivos[[#This Row],[COSTO]]</f>
        <v>276.02639999999997</v>
      </c>
    </row>
    <row r="3245" spans="1:8">
      <c r="A3245" t="s">
        <v>3300</v>
      </c>
      <c r="B3245" t="s">
        <v>2398</v>
      </c>
      <c r="C3245" t="s">
        <v>2399</v>
      </c>
      <c r="D3245" t="s">
        <v>85</v>
      </c>
      <c r="E3245" t="s">
        <v>86</v>
      </c>
      <c r="F3245" s="2">
        <v>0.28799999999999998</v>
      </c>
      <c r="G3245">
        <v>18</v>
      </c>
      <c r="H3245" s="2">
        <f>Tabla_Items_Inactivos[[#This Row],[EXISTENCIA]]*Tabla_Items_Inactivos[[#This Row],[COSTO]]</f>
        <v>5.1839999999999993</v>
      </c>
    </row>
    <row r="3246" spans="1:8">
      <c r="A3246" t="s">
        <v>3300</v>
      </c>
      <c r="B3246" t="s">
        <v>2400</v>
      </c>
      <c r="C3246" t="s">
        <v>2401</v>
      </c>
      <c r="D3246" t="s">
        <v>85</v>
      </c>
      <c r="E3246" t="s">
        <v>86</v>
      </c>
      <c r="F3246" s="2">
        <v>12.6638</v>
      </c>
      <c r="G3246">
        <v>3</v>
      </c>
      <c r="H3246" s="2">
        <f>Tabla_Items_Inactivos[[#This Row],[EXISTENCIA]]*Tabla_Items_Inactivos[[#This Row],[COSTO]]</f>
        <v>37.991399999999999</v>
      </c>
    </row>
    <row r="3247" spans="1:8">
      <c r="A3247" t="s">
        <v>3301</v>
      </c>
      <c r="B3247" t="s">
        <v>2400</v>
      </c>
      <c r="C3247" t="s">
        <v>2401</v>
      </c>
      <c r="D3247" t="s">
        <v>85</v>
      </c>
      <c r="E3247" t="s">
        <v>86</v>
      </c>
      <c r="F3247" s="2">
        <v>12.6638</v>
      </c>
      <c r="G3247">
        <v>3</v>
      </c>
      <c r="H3247" s="2">
        <f>Tabla_Items_Inactivos[[#This Row],[EXISTENCIA]]*Tabla_Items_Inactivos[[#This Row],[COSTO]]</f>
        <v>37.991399999999999</v>
      </c>
    </row>
    <row r="3248" spans="1:8">
      <c r="A3248" t="s">
        <v>3300</v>
      </c>
      <c r="B3248" t="s">
        <v>2402</v>
      </c>
      <c r="C3248" t="s">
        <v>5392</v>
      </c>
      <c r="D3248" t="s">
        <v>85</v>
      </c>
      <c r="E3248" t="s">
        <v>86</v>
      </c>
      <c r="F3248" s="2">
        <v>0.26900000000000002</v>
      </c>
      <c r="G3248">
        <v>2</v>
      </c>
      <c r="H3248" s="2">
        <f>Tabla_Items_Inactivos[[#This Row],[EXISTENCIA]]*Tabla_Items_Inactivos[[#This Row],[COSTO]]</f>
        <v>0.53800000000000003</v>
      </c>
    </row>
    <row r="3249" spans="1:8">
      <c r="A3249" t="s">
        <v>3300</v>
      </c>
      <c r="B3249" t="s">
        <v>2403</v>
      </c>
      <c r="C3249" t="s">
        <v>2404</v>
      </c>
      <c r="D3249" t="s">
        <v>85</v>
      </c>
      <c r="E3249" t="s">
        <v>86</v>
      </c>
      <c r="F3249" s="2">
        <v>0.88580000000000003</v>
      </c>
      <c r="G3249">
        <v>4</v>
      </c>
      <c r="H3249" s="2">
        <f>Tabla_Items_Inactivos[[#This Row],[EXISTENCIA]]*Tabla_Items_Inactivos[[#This Row],[COSTO]]</f>
        <v>3.5432000000000001</v>
      </c>
    </row>
    <row r="3250" spans="1:8">
      <c r="A3250" t="s">
        <v>3301</v>
      </c>
      <c r="B3250" t="s">
        <v>2403</v>
      </c>
      <c r="C3250" t="s">
        <v>2404</v>
      </c>
      <c r="D3250" t="s">
        <v>85</v>
      </c>
      <c r="E3250" t="s">
        <v>86</v>
      </c>
      <c r="F3250" s="2">
        <v>0.88580000000000003</v>
      </c>
      <c r="G3250">
        <v>4</v>
      </c>
      <c r="H3250" s="2">
        <f>Tabla_Items_Inactivos[[#This Row],[EXISTENCIA]]*Tabla_Items_Inactivos[[#This Row],[COSTO]]</f>
        <v>3.5432000000000001</v>
      </c>
    </row>
    <row r="3251" spans="1:8">
      <c r="A3251" t="s">
        <v>3301</v>
      </c>
      <c r="B3251" t="s">
        <v>3268</v>
      </c>
      <c r="C3251" t="s">
        <v>5393</v>
      </c>
      <c r="D3251" t="s">
        <v>85</v>
      </c>
      <c r="E3251" t="s">
        <v>86</v>
      </c>
      <c r="F3251" s="2">
        <v>2.4805999999999999</v>
      </c>
      <c r="G3251">
        <v>27</v>
      </c>
      <c r="H3251" s="2">
        <f>Tabla_Items_Inactivos[[#This Row],[EXISTENCIA]]*Tabla_Items_Inactivos[[#This Row],[COSTO]]</f>
        <v>66.976199999999992</v>
      </c>
    </row>
    <row r="3252" spans="1:8">
      <c r="A3252" t="s">
        <v>3300</v>
      </c>
      <c r="B3252" t="s">
        <v>3268</v>
      </c>
      <c r="C3252" t="s">
        <v>5393</v>
      </c>
      <c r="D3252" t="s">
        <v>85</v>
      </c>
      <c r="E3252" t="s">
        <v>86</v>
      </c>
      <c r="F3252" s="2">
        <v>2.4805999999999999</v>
      </c>
      <c r="G3252">
        <v>27</v>
      </c>
      <c r="H3252" s="2">
        <f>Tabla_Items_Inactivos[[#This Row],[EXISTENCIA]]*Tabla_Items_Inactivos[[#This Row],[COSTO]]</f>
        <v>66.976199999999992</v>
      </c>
    </row>
    <row r="3253" spans="1:8">
      <c r="A3253" t="s">
        <v>3300</v>
      </c>
      <c r="B3253" t="s">
        <v>2405</v>
      </c>
      <c r="C3253" t="s">
        <v>2406</v>
      </c>
      <c r="D3253" t="s">
        <v>85</v>
      </c>
      <c r="E3253" t="s">
        <v>86</v>
      </c>
      <c r="F3253" s="2">
        <v>21.002400000000002</v>
      </c>
      <c r="G3253">
        <v>5</v>
      </c>
      <c r="H3253" s="2">
        <f>Tabla_Items_Inactivos[[#This Row],[EXISTENCIA]]*Tabla_Items_Inactivos[[#This Row],[COSTO]]</f>
        <v>105.012</v>
      </c>
    </row>
    <row r="3254" spans="1:8">
      <c r="A3254" t="s">
        <v>3301</v>
      </c>
      <c r="B3254" t="s">
        <v>2405</v>
      </c>
      <c r="C3254" t="s">
        <v>2406</v>
      </c>
      <c r="D3254" t="s">
        <v>85</v>
      </c>
      <c r="E3254" t="s">
        <v>86</v>
      </c>
      <c r="F3254" s="2">
        <v>21.002400000000002</v>
      </c>
      <c r="G3254">
        <v>5</v>
      </c>
      <c r="H3254" s="2">
        <f>Tabla_Items_Inactivos[[#This Row],[EXISTENCIA]]*Tabla_Items_Inactivos[[#This Row],[COSTO]]</f>
        <v>105.012</v>
      </c>
    </row>
    <row r="3255" spans="1:8">
      <c r="A3255" t="s">
        <v>3300</v>
      </c>
      <c r="B3255" t="s">
        <v>2407</v>
      </c>
      <c r="C3255" t="s">
        <v>2408</v>
      </c>
      <c r="D3255" t="s">
        <v>85</v>
      </c>
      <c r="E3255" t="s">
        <v>86</v>
      </c>
      <c r="F3255" s="2">
        <v>22.556000000000001</v>
      </c>
      <c r="G3255">
        <v>1</v>
      </c>
      <c r="H3255" s="2">
        <f>Tabla_Items_Inactivos[[#This Row],[EXISTENCIA]]*Tabla_Items_Inactivos[[#This Row],[COSTO]]</f>
        <v>22.556000000000001</v>
      </c>
    </row>
    <row r="3256" spans="1:8">
      <c r="A3256" t="s">
        <v>3300</v>
      </c>
      <c r="B3256" t="s">
        <v>2409</v>
      </c>
      <c r="C3256" t="s">
        <v>2410</v>
      </c>
      <c r="D3256" t="s">
        <v>85</v>
      </c>
      <c r="E3256" t="s">
        <v>86</v>
      </c>
      <c r="F3256" s="2">
        <v>0.48399999999999999</v>
      </c>
      <c r="G3256">
        <v>4</v>
      </c>
      <c r="H3256" s="2">
        <f>Tabla_Items_Inactivos[[#This Row],[EXISTENCIA]]*Tabla_Items_Inactivos[[#This Row],[COSTO]]</f>
        <v>1.9359999999999999</v>
      </c>
    </row>
    <row r="3257" spans="1:8">
      <c r="A3257" t="s">
        <v>3300</v>
      </c>
      <c r="B3257" t="s">
        <v>2411</v>
      </c>
      <c r="C3257" t="s">
        <v>2412</v>
      </c>
      <c r="D3257" t="s">
        <v>85</v>
      </c>
      <c r="E3257" t="s">
        <v>86</v>
      </c>
      <c r="F3257" s="2">
        <v>3.282</v>
      </c>
      <c r="G3257">
        <v>5</v>
      </c>
      <c r="H3257" s="2">
        <f>Tabla_Items_Inactivos[[#This Row],[EXISTENCIA]]*Tabla_Items_Inactivos[[#This Row],[COSTO]]</f>
        <v>16.41</v>
      </c>
    </row>
    <row r="3258" spans="1:8">
      <c r="A3258" t="s">
        <v>3300</v>
      </c>
      <c r="B3258" t="s">
        <v>2413</v>
      </c>
      <c r="C3258" t="s">
        <v>2414</v>
      </c>
      <c r="D3258" t="s">
        <v>85</v>
      </c>
      <c r="E3258" t="s">
        <v>86</v>
      </c>
      <c r="F3258" s="2">
        <v>21.7</v>
      </c>
      <c r="G3258">
        <v>4</v>
      </c>
      <c r="H3258" s="2">
        <f>Tabla_Items_Inactivos[[#This Row],[EXISTENCIA]]*Tabla_Items_Inactivos[[#This Row],[COSTO]]</f>
        <v>86.8</v>
      </c>
    </row>
    <row r="3259" spans="1:8">
      <c r="A3259" t="s">
        <v>3300</v>
      </c>
      <c r="B3259" t="s">
        <v>2415</v>
      </c>
      <c r="C3259" t="s">
        <v>5394</v>
      </c>
      <c r="D3259" t="s">
        <v>85</v>
      </c>
      <c r="E3259" t="s">
        <v>86</v>
      </c>
      <c r="F3259" s="2">
        <v>12.860300000000001</v>
      </c>
      <c r="G3259">
        <v>7</v>
      </c>
      <c r="H3259" s="2">
        <f>Tabla_Items_Inactivos[[#This Row],[EXISTENCIA]]*Tabla_Items_Inactivos[[#This Row],[COSTO]]</f>
        <v>90.022100000000009</v>
      </c>
    </row>
    <row r="3260" spans="1:8">
      <c r="A3260" t="s">
        <v>3301</v>
      </c>
      <c r="B3260" t="s">
        <v>2415</v>
      </c>
      <c r="C3260" t="s">
        <v>5394</v>
      </c>
      <c r="D3260" t="s">
        <v>85</v>
      </c>
      <c r="E3260" t="s">
        <v>86</v>
      </c>
      <c r="F3260" s="2">
        <v>12.860300000000001</v>
      </c>
      <c r="G3260">
        <v>7</v>
      </c>
      <c r="H3260" s="2">
        <f>Tabla_Items_Inactivos[[#This Row],[EXISTENCIA]]*Tabla_Items_Inactivos[[#This Row],[COSTO]]</f>
        <v>90.022100000000009</v>
      </c>
    </row>
    <row r="3261" spans="1:8">
      <c r="A3261" t="s">
        <v>3300</v>
      </c>
      <c r="B3261" t="s">
        <v>2416</v>
      </c>
      <c r="C3261" t="s">
        <v>2417</v>
      </c>
      <c r="D3261" t="s">
        <v>85</v>
      </c>
      <c r="E3261" t="s">
        <v>86</v>
      </c>
      <c r="F3261" s="2">
        <v>28.98</v>
      </c>
      <c r="G3261">
        <v>10</v>
      </c>
      <c r="H3261" s="2">
        <f>Tabla_Items_Inactivos[[#This Row],[EXISTENCIA]]*Tabla_Items_Inactivos[[#This Row],[COSTO]]</f>
        <v>289.8</v>
      </c>
    </row>
    <row r="3262" spans="1:8">
      <c r="A3262" t="s">
        <v>3300</v>
      </c>
      <c r="B3262" t="s">
        <v>2418</v>
      </c>
      <c r="C3262" t="s">
        <v>5395</v>
      </c>
      <c r="D3262" t="s">
        <v>85</v>
      </c>
      <c r="E3262" t="s">
        <v>86</v>
      </c>
      <c r="F3262" s="2">
        <v>17.445</v>
      </c>
      <c r="G3262">
        <v>24</v>
      </c>
      <c r="H3262" s="2">
        <f>Tabla_Items_Inactivos[[#This Row],[EXISTENCIA]]*Tabla_Items_Inactivos[[#This Row],[COSTO]]</f>
        <v>418.68</v>
      </c>
    </row>
    <row r="3263" spans="1:8">
      <c r="A3263" t="s">
        <v>3300</v>
      </c>
      <c r="B3263" t="s">
        <v>2419</v>
      </c>
      <c r="C3263" t="s">
        <v>2420</v>
      </c>
      <c r="D3263" t="s">
        <v>85</v>
      </c>
      <c r="E3263" t="s">
        <v>86</v>
      </c>
      <c r="F3263" s="2">
        <v>15.061</v>
      </c>
      <c r="G3263">
        <v>10</v>
      </c>
      <c r="H3263" s="2">
        <f>Tabla_Items_Inactivos[[#This Row],[EXISTENCIA]]*Tabla_Items_Inactivos[[#This Row],[COSTO]]</f>
        <v>150.61000000000001</v>
      </c>
    </row>
    <row r="3264" spans="1:8">
      <c r="A3264" t="s">
        <v>3299</v>
      </c>
      <c r="B3264" t="s">
        <v>5396</v>
      </c>
      <c r="C3264" t="s">
        <v>5397</v>
      </c>
      <c r="D3264" t="s">
        <v>228</v>
      </c>
      <c r="E3264" t="s">
        <v>86</v>
      </c>
      <c r="F3264" s="2">
        <v>19.308299999999999</v>
      </c>
      <c r="G3264">
        <v>38</v>
      </c>
      <c r="H3264" s="2">
        <f>Tabla_Items_Inactivos[[#This Row],[EXISTENCIA]]*Tabla_Items_Inactivos[[#This Row],[COSTO]]</f>
        <v>733.71539999999993</v>
      </c>
    </row>
    <row r="3265" spans="1:8">
      <c r="A3265" t="s">
        <v>3300</v>
      </c>
      <c r="B3265" t="s">
        <v>5396</v>
      </c>
      <c r="C3265" t="s">
        <v>5397</v>
      </c>
      <c r="D3265" t="s">
        <v>228</v>
      </c>
      <c r="E3265" t="s">
        <v>86</v>
      </c>
      <c r="F3265" s="2">
        <v>19.308299999999999</v>
      </c>
      <c r="G3265">
        <v>38</v>
      </c>
      <c r="H3265" s="2">
        <f>Tabla_Items_Inactivos[[#This Row],[EXISTENCIA]]*Tabla_Items_Inactivos[[#This Row],[COSTO]]</f>
        <v>733.71539999999993</v>
      </c>
    </row>
    <row r="3266" spans="1:8">
      <c r="A3266" t="s">
        <v>3301</v>
      </c>
      <c r="B3266" t="s">
        <v>5396</v>
      </c>
      <c r="C3266" t="s">
        <v>5397</v>
      </c>
      <c r="D3266" t="s">
        <v>228</v>
      </c>
      <c r="E3266" t="s">
        <v>86</v>
      </c>
      <c r="F3266" s="2">
        <v>19.308299999999999</v>
      </c>
      <c r="G3266">
        <v>38</v>
      </c>
      <c r="H3266" s="2">
        <f>Tabla_Items_Inactivos[[#This Row],[EXISTENCIA]]*Tabla_Items_Inactivos[[#This Row],[COSTO]]</f>
        <v>733.71539999999993</v>
      </c>
    </row>
    <row r="3267" spans="1:8">
      <c r="A3267" t="s">
        <v>3300</v>
      </c>
      <c r="B3267" t="s">
        <v>5398</v>
      </c>
      <c r="C3267" t="s">
        <v>5399</v>
      </c>
      <c r="D3267" t="s">
        <v>85</v>
      </c>
      <c r="E3267" t="s">
        <v>86</v>
      </c>
      <c r="F3267" s="2">
        <v>20.344999999999999</v>
      </c>
      <c r="G3267">
        <v>1</v>
      </c>
      <c r="H3267" s="2">
        <f>Tabla_Items_Inactivos[[#This Row],[EXISTENCIA]]*Tabla_Items_Inactivos[[#This Row],[COSTO]]</f>
        <v>20.344999999999999</v>
      </c>
    </row>
    <row r="3268" spans="1:8">
      <c r="A3268" t="s">
        <v>3300</v>
      </c>
      <c r="B3268" t="s">
        <v>2422</v>
      </c>
      <c r="C3268" t="s">
        <v>2423</v>
      </c>
      <c r="D3268" t="s">
        <v>85</v>
      </c>
      <c r="E3268" t="s">
        <v>86</v>
      </c>
      <c r="F3268" s="2">
        <v>21.66</v>
      </c>
      <c r="G3268">
        <v>1</v>
      </c>
      <c r="H3268" s="2">
        <f>Tabla_Items_Inactivos[[#This Row],[EXISTENCIA]]*Tabla_Items_Inactivos[[#This Row],[COSTO]]</f>
        <v>21.66</v>
      </c>
    </row>
    <row r="3269" spans="1:8">
      <c r="A3269" t="s">
        <v>3300</v>
      </c>
      <c r="B3269" t="s">
        <v>2424</v>
      </c>
      <c r="C3269" t="s">
        <v>2425</v>
      </c>
      <c r="D3269" t="s">
        <v>436</v>
      </c>
      <c r="E3269" t="s">
        <v>86</v>
      </c>
      <c r="F3269" s="2">
        <v>11.654</v>
      </c>
      <c r="G3269">
        <v>2</v>
      </c>
      <c r="H3269" s="2">
        <f>Tabla_Items_Inactivos[[#This Row],[EXISTENCIA]]*Tabla_Items_Inactivos[[#This Row],[COSTO]]</f>
        <v>23.308</v>
      </c>
    </row>
    <row r="3270" spans="1:8">
      <c r="A3270" t="s">
        <v>3300</v>
      </c>
      <c r="B3270" t="s">
        <v>2426</v>
      </c>
      <c r="C3270" t="s">
        <v>5400</v>
      </c>
      <c r="D3270" t="s">
        <v>98</v>
      </c>
      <c r="E3270" t="s">
        <v>86</v>
      </c>
      <c r="F3270" s="2">
        <v>0</v>
      </c>
      <c r="G3270">
        <v>1</v>
      </c>
      <c r="H3270" s="2">
        <f>Tabla_Items_Inactivos[[#This Row],[EXISTENCIA]]*Tabla_Items_Inactivos[[#This Row],[COSTO]]</f>
        <v>0</v>
      </c>
    </row>
    <row r="3271" spans="1:8">
      <c r="A3271" t="s">
        <v>3300</v>
      </c>
      <c r="B3271" t="s">
        <v>2428</v>
      </c>
      <c r="C3271" t="s">
        <v>2429</v>
      </c>
      <c r="D3271" t="s">
        <v>98</v>
      </c>
      <c r="E3271" t="s">
        <v>86</v>
      </c>
      <c r="F3271" s="2">
        <v>2.99</v>
      </c>
      <c r="G3271">
        <v>6</v>
      </c>
      <c r="H3271" s="2">
        <f>Tabla_Items_Inactivos[[#This Row],[EXISTENCIA]]*Tabla_Items_Inactivos[[#This Row],[COSTO]]</f>
        <v>17.940000000000001</v>
      </c>
    </row>
    <row r="3272" spans="1:8">
      <c r="A3272" t="s">
        <v>3300</v>
      </c>
      <c r="B3272" t="s">
        <v>2430</v>
      </c>
      <c r="C3272" t="s">
        <v>2431</v>
      </c>
      <c r="D3272" t="s">
        <v>85</v>
      </c>
      <c r="E3272" t="s">
        <v>86</v>
      </c>
      <c r="F3272" s="2">
        <v>17.475000000000001</v>
      </c>
      <c r="G3272">
        <v>1</v>
      </c>
      <c r="H3272" s="2">
        <f>Tabla_Items_Inactivos[[#This Row],[EXISTENCIA]]*Tabla_Items_Inactivos[[#This Row],[COSTO]]</f>
        <v>17.475000000000001</v>
      </c>
    </row>
    <row r="3273" spans="1:8">
      <c r="A3273" t="s">
        <v>3300</v>
      </c>
      <c r="B3273" t="s">
        <v>2432</v>
      </c>
      <c r="C3273" t="s">
        <v>2433</v>
      </c>
      <c r="D3273" t="s">
        <v>85</v>
      </c>
      <c r="E3273" t="s">
        <v>86</v>
      </c>
      <c r="F3273" s="2">
        <v>0.28999999999999998</v>
      </c>
      <c r="G3273">
        <v>10</v>
      </c>
      <c r="H3273" s="2">
        <f>Tabla_Items_Inactivos[[#This Row],[EXISTENCIA]]*Tabla_Items_Inactivos[[#This Row],[COSTO]]</f>
        <v>2.9</v>
      </c>
    </row>
    <row r="3274" spans="1:8">
      <c r="A3274" t="s">
        <v>3300</v>
      </c>
      <c r="B3274" t="s">
        <v>2434</v>
      </c>
      <c r="C3274" t="s">
        <v>2435</v>
      </c>
      <c r="D3274" t="s">
        <v>85</v>
      </c>
      <c r="E3274" t="s">
        <v>86</v>
      </c>
      <c r="F3274" s="2">
        <v>9.7430000000000003</v>
      </c>
      <c r="G3274">
        <v>5</v>
      </c>
      <c r="H3274" s="2">
        <f>Tabla_Items_Inactivos[[#This Row],[EXISTENCIA]]*Tabla_Items_Inactivos[[#This Row],[COSTO]]</f>
        <v>48.715000000000003</v>
      </c>
    </row>
    <row r="3275" spans="1:8">
      <c r="A3275" t="s">
        <v>3300</v>
      </c>
      <c r="B3275" t="s">
        <v>2436</v>
      </c>
      <c r="C3275" t="s">
        <v>2437</v>
      </c>
      <c r="D3275" t="s">
        <v>85</v>
      </c>
      <c r="E3275" t="s">
        <v>86</v>
      </c>
      <c r="F3275" s="2">
        <v>12.9499</v>
      </c>
      <c r="G3275">
        <v>7</v>
      </c>
      <c r="H3275" s="2">
        <f>Tabla_Items_Inactivos[[#This Row],[EXISTENCIA]]*Tabla_Items_Inactivos[[#This Row],[COSTO]]</f>
        <v>90.649299999999997</v>
      </c>
    </row>
    <row r="3276" spans="1:8">
      <c r="A3276" t="s">
        <v>3301</v>
      </c>
      <c r="B3276" t="s">
        <v>2436</v>
      </c>
      <c r="C3276" t="s">
        <v>2437</v>
      </c>
      <c r="D3276" t="s">
        <v>85</v>
      </c>
      <c r="E3276" t="s">
        <v>86</v>
      </c>
      <c r="F3276" s="2">
        <v>12.9499</v>
      </c>
      <c r="G3276">
        <v>7</v>
      </c>
      <c r="H3276" s="2">
        <f>Tabla_Items_Inactivos[[#This Row],[EXISTENCIA]]*Tabla_Items_Inactivos[[#This Row],[COSTO]]</f>
        <v>90.649299999999997</v>
      </c>
    </row>
    <row r="3277" spans="1:8">
      <c r="A3277" t="s">
        <v>3300</v>
      </c>
      <c r="B3277" t="s">
        <v>2438</v>
      </c>
      <c r="C3277" t="s">
        <v>2439</v>
      </c>
      <c r="D3277" t="s">
        <v>85</v>
      </c>
      <c r="E3277" t="s">
        <v>86</v>
      </c>
      <c r="F3277" s="2">
        <v>0.98199999999999998</v>
      </c>
      <c r="G3277">
        <v>1</v>
      </c>
      <c r="H3277" s="2">
        <f>Tabla_Items_Inactivos[[#This Row],[EXISTENCIA]]*Tabla_Items_Inactivos[[#This Row],[COSTO]]</f>
        <v>0.98199999999999998</v>
      </c>
    </row>
    <row r="3278" spans="1:8">
      <c r="A3278" t="s">
        <v>3300</v>
      </c>
      <c r="B3278" t="s">
        <v>2445</v>
      </c>
      <c r="C3278" t="s">
        <v>2446</v>
      </c>
      <c r="D3278" t="s">
        <v>243</v>
      </c>
      <c r="E3278" t="s">
        <v>86</v>
      </c>
      <c r="F3278" s="2">
        <v>0.55200000000000005</v>
      </c>
      <c r="G3278">
        <v>2</v>
      </c>
      <c r="H3278" s="2">
        <f>Tabla_Items_Inactivos[[#This Row],[EXISTENCIA]]*Tabla_Items_Inactivos[[#This Row],[COSTO]]</f>
        <v>1.1040000000000001</v>
      </c>
    </row>
    <row r="3279" spans="1:8">
      <c r="A3279" t="s">
        <v>3300</v>
      </c>
      <c r="B3279" t="s">
        <v>2447</v>
      </c>
      <c r="C3279" t="s">
        <v>2448</v>
      </c>
      <c r="D3279" t="s">
        <v>85</v>
      </c>
      <c r="E3279" t="s">
        <v>86</v>
      </c>
      <c r="F3279" s="2">
        <v>1.994</v>
      </c>
      <c r="G3279">
        <v>8</v>
      </c>
      <c r="H3279" s="2">
        <f>Tabla_Items_Inactivos[[#This Row],[EXISTENCIA]]*Tabla_Items_Inactivos[[#This Row],[COSTO]]</f>
        <v>15.952</v>
      </c>
    </row>
    <row r="3280" spans="1:8">
      <c r="A3280" t="s">
        <v>3300</v>
      </c>
      <c r="B3280" t="s">
        <v>2451</v>
      </c>
      <c r="C3280" t="s">
        <v>2452</v>
      </c>
      <c r="D3280" t="s">
        <v>85</v>
      </c>
      <c r="E3280" t="s">
        <v>86</v>
      </c>
      <c r="F3280" s="2">
        <v>3.4055</v>
      </c>
      <c r="G3280">
        <v>2</v>
      </c>
      <c r="H3280" s="2">
        <f>Tabla_Items_Inactivos[[#This Row],[EXISTENCIA]]*Tabla_Items_Inactivos[[#This Row],[COSTO]]</f>
        <v>6.8109999999999999</v>
      </c>
    </row>
    <row r="3281" spans="1:8">
      <c r="A3281" t="s">
        <v>3301</v>
      </c>
      <c r="B3281" t="s">
        <v>2451</v>
      </c>
      <c r="C3281" t="s">
        <v>2452</v>
      </c>
      <c r="D3281" t="s">
        <v>85</v>
      </c>
      <c r="E3281" t="s">
        <v>86</v>
      </c>
      <c r="F3281" s="2">
        <v>3.4055</v>
      </c>
      <c r="G3281">
        <v>2</v>
      </c>
      <c r="H3281" s="2">
        <f>Tabla_Items_Inactivos[[#This Row],[EXISTENCIA]]*Tabla_Items_Inactivos[[#This Row],[COSTO]]</f>
        <v>6.8109999999999999</v>
      </c>
    </row>
    <row r="3282" spans="1:8">
      <c r="A3282" t="s">
        <v>3300</v>
      </c>
      <c r="B3282" t="s">
        <v>2453</v>
      </c>
      <c r="C3282" t="s">
        <v>2454</v>
      </c>
      <c r="D3282" t="s">
        <v>85</v>
      </c>
      <c r="E3282" t="s">
        <v>86</v>
      </c>
      <c r="F3282" s="2">
        <v>15.25</v>
      </c>
      <c r="G3282">
        <v>1</v>
      </c>
      <c r="H3282" s="2">
        <f>Tabla_Items_Inactivos[[#This Row],[EXISTENCIA]]*Tabla_Items_Inactivos[[#This Row],[COSTO]]</f>
        <v>15.25</v>
      </c>
    </row>
    <row r="3283" spans="1:8">
      <c r="A3283" t="s">
        <v>3300</v>
      </c>
      <c r="B3283" t="s">
        <v>2455</v>
      </c>
      <c r="C3283" t="s">
        <v>2456</v>
      </c>
      <c r="D3283" t="s">
        <v>85</v>
      </c>
      <c r="E3283" t="s">
        <v>86</v>
      </c>
      <c r="F3283" s="2">
        <v>20.369</v>
      </c>
      <c r="G3283">
        <v>1</v>
      </c>
      <c r="H3283" s="2">
        <f>Tabla_Items_Inactivos[[#This Row],[EXISTENCIA]]*Tabla_Items_Inactivos[[#This Row],[COSTO]]</f>
        <v>20.369</v>
      </c>
    </row>
    <row r="3284" spans="1:8">
      <c r="A3284" t="s">
        <v>3300</v>
      </c>
      <c r="B3284" t="s">
        <v>2457</v>
      </c>
      <c r="C3284" t="s">
        <v>2458</v>
      </c>
      <c r="D3284" t="s">
        <v>85</v>
      </c>
      <c r="E3284" t="s">
        <v>86</v>
      </c>
      <c r="F3284" s="2">
        <v>24.457999999999998</v>
      </c>
      <c r="G3284">
        <v>2</v>
      </c>
      <c r="H3284" s="2">
        <f>Tabla_Items_Inactivos[[#This Row],[EXISTENCIA]]*Tabla_Items_Inactivos[[#This Row],[COSTO]]</f>
        <v>48.915999999999997</v>
      </c>
    </row>
    <row r="3285" spans="1:8">
      <c r="A3285" t="s">
        <v>3300</v>
      </c>
      <c r="B3285" t="s">
        <v>2459</v>
      </c>
      <c r="C3285" t="s">
        <v>2460</v>
      </c>
      <c r="D3285" t="s">
        <v>85</v>
      </c>
      <c r="E3285" t="s">
        <v>86</v>
      </c>
      <c r="F3285" s="2">
        <v>2.6312000000000002</v>
      </c>
      <c r="G3285">
        <v>3</v>
      </c>
      <c r="H3285" s="2">
        <f>Tabla_Items_Inactivos[[#This Row],[EXISTENCIA]]*Tabla_Items_Inactivos[[#This Row],[COSTO]]</f>
        <v>7.8936000000000011</v>
      </c>
    </row>
    <row r="3286" spans="1:8">
      <c r="A3286" t="s">
        <v>3301</v>
      </c>
      <c r="B3286" t="s">
        <v>2459</v>
      </c>
      <c r="C3286" t="s">
        <v>2460</v>
      </c>
      <c r="D3286" t="s">
        <v>85</v>
      </c>
      <c r="E3286" t="s">
        <v>86</v>
      </c>
      <c r="F3286" s="2">
        <v>2.6312000000000002</v>
      </c>
      <c r="G3286">
        <v>3</v>
      </c>
      <c r="H3286" s="2">
        <f>Tabla_Items_Inactivos[[#This Row],[EXISTENCIA]]*Tabla_Items_Inactivos[[#This Row],[COSTO]]</f>
        <v>7.8936000000000011</v>
      </c>
    </row>
    <row r="3287" spans="1:8">
      <c r="A3287" t="s">
        <v>3300</v>
      </c>
      <c r="B3287" t="s">
        <v>2462</v>
      </c>
      <c r="C3287" t="s">
        <v>2463</v>
      </c>
      <c r="D3287" t="s">
        <v>85</v>
      </c>
      <c r="E3287" t="s">
        <v>86</v>
      </c>
      <c r="F3287" s="2">
        <v>36.149000000000001</v>
      </c>
      <c r="G3287">
        <v>4</v>
      </c>
      <c r="H3287" s="2">
        <f>Tabla_Items_Inactivos[[#This Row],[EXISTENCIA]]*Tabla_Items_Inactivos[[#This Row],[COSTO]]</f>
        <v>144.596</v>
      </c>
    </row>
    <row r="3288" spans="1:8">
      <c r="A3288" t="s">
        <v>3300</v>
      </c>
      <c r="B3288" t="s">
        <v>2465</v>
      </c>
      <c r="C3288" t="s">
        <v>2466</v>
      </c>
      <c r="D3288" t="s">
        <v>85</v>
      </c>
      <c r="E3288" t="s">
        <v>86</v>
      </c>
      <c r="F3288" s="2">
        <v>2.6339999999999999</v>
      </c>
      <c r="G3288">
        <v>8</v>
      </c>
      <c r="H3288" s="2">
        <f>Tabla_Items_Inactivos[[#This Row],[EXISTENCIA]]*Tabla_Items_Inactivos[[#This Row],[COSTO]]</f>
        <v>21.071999999999999</v>
      </c>
    </row>
    <row r="3289" spans="1:8">
      <c r="A3289" t="s">
        <v>3301</v>
      </c>
      <c r="B3289" t="s">
        <v>5401</v>
      </c>
      <c r="C3289" t="s">
        <v>5402</v>
      </c>
      <c r="D3289" t="s">
        <v>85</v>
      </c>
      <c r="E3289" t="s">
        <v>86</v>
      </c>
      <c r="F3289" s="2">
        <v>16.997</v>
      </c>
      <c r="G3289">
        <v>27</v>
      </c>
      <c r="H3289" s="2">
        <f>Tabla_Items_Inactivos[[#This Row],[EXISTENCIA]]*Tabla_Items_Inactivos[[#This Row],[COSTO]]</f>
        <v>458.91899999999998</v>
      </c>
    </row>
    <row r="3290" spans="1:8">
      <c r="A3290" t="s">
        <v>3300</v>
      </c>
      <c r="B3290" t="s">
        <v>5401</v>
      </c>
      <c r="C3290" t="s">
        <v>5402</v>
      </c>
      <c r="D3290" t="s">
        <v>85</v>
      </c>
      <c r="E3290" t="s">
        <v>86</v>
      </c>
      <c r="F3290" s="2">
        <v>16.997</v>
      </c>
      <c r="G3290">
        <v>27</v>
      </c>
      <c r="H3290" s="2">
        <f>Tabla_Items_Inactivos[[#This Row],[EXISTENCIA]]*Tabla_Items_Inactivos[[#This Row],[COSTO]]</f>
        <v>458.91899999999998</v>
      </c>
    </row>
    <row r="3291" spans="1:8">
      <c r="A3291" t="s">
        <v>3300</v>
      </c>
      <c r="B3291" t="s">
        <v>2467</v>
      </c>
      <c r="C3291" t="s">
        <v>5403</v>
      </c>
      <c r="D3291" t="s">
        <v>98</v>
      </c>
      <c r="E3291" t="s">
        <v>86</v>
      </c>
      <c r="F3291" s="2">
        <v>15.8188</v>
      </c>
      <c r="G3291">
        <v>14</v>
      </c>
      <c r="H3291" s="2">
        <f>Tabla_Items_Inactivos[[#This Row],[EXISTENCIA]]*Tabla_Items_Inactivos[[#This Row],[COSTO]]</f>
        <v>221.4632</v>
      </c>
    </row>
    <row r="3292" spans="1:8">
      <c r="A3292" t="s">
        <v>3301</v>
      </c>
      <c r="B3292" t="s">
        <v>2467</v>
      </c>
      <c r="C3292" t="s">
        <v>5403</v>
      </c>
      <c r="D3292" t="s">
        <v>98</v>
      </c>
      <c r="E3292" t="s">
        <v>86</v>
      </c>
      <c r="F3292" s="2">
        <v>15.8188</v>
      </c>
      <c r="G3292">
        <v>14</v>
      </c>
      <c r="H3292" s="2">
        <f>Tabla_Items_Inactivos[[#This Row],[EXISTENCIA]]*Tabla_Items_Inactivos[[#This Row],[COSTO]]</f>
        <v>221.4632</v>
      </c>
    </row>
    <row r="3293" spans="1:8">
      <c r="A3293" t="s">
        <v>3300</v>
      </c>
      <c r="B3293" t="s">
        <v>3271</v>
      </c>
      <c r="C3293" t="s">
        <v>3272</v>
      </c>
      <c r="D3293" t="s">
        <v>243</v>
      </c>
      <c r="E3293" t="s">
        <v>86</v>
      </c>
      <c r="F3293" s="2">
        <v>12.606999999999999</v>
      </c>
      <c r="G3293">
        <v>3</v>
      </c>
      <c r="H3293" s="2">
        <f>Tabla_Items_Inactivos[[#This Row],[EXISTENCIA]]*Tabla_Items_Inactivos[[#This Row],[COSTO]]</f>
        <v>37.820999999999998</v>
      </c>
    </row>
    <row r="3294" spans="1:8">
      <c r="A3294" t="s">
        <v>3300</v>
      </c>
      <c r="B3294" t="s">
        <v>2469</v>
      </c>
      <c r="C3294" t="s">
        <v>2470</v>
      </c>
      <c r="D3294" t="s">
        <v>228</v>
      </c>
      <c r="E3294" t="s">
        <v>86</v>
      </c>
      <c r="F3294" s="2">
        <v>2.2229999999999999</v>
      </c>
      <c r="G3294">
        <v>11</v>
      </c>
      <c r="H3294" s="2">
        <f>Tabla_Items_Inactivos[[#This Row],[EXISTENCIA]]*Tabla_Items_Inactivos[[#This Row],[COSTO]]</f>
        <v>24.452999999999999</v>
      </c>
    </row>
    <row r="3295" spans="1:8">
      <c r="A3295" t="s">
        <v>3300</v>
      </c>
      <c r="B3295" t="s">
        <v>2471</v>
      </c>
      <c r="C3295" t="s">
        <v>2472</v>
      </c>
      <c r="D3295" t="s">
        <v>85</v>
      </c>
      <c r="E3295" t="s">
        <v>86</v>
      </c>
      <c r="F3295" s="2">
        <v>78.229100000000003</v>
      </c>
      <c r="G3295">
        <v>3</v>
      </c>
      <c r="H3295" s="2">
        <f>Tabla_Items_Inactivos[[#This Row],[EXISTENCIA]]*Tabla_Items_Inactivos[[#This Row],[COSTO]]</f>
        <v>234.68729999999999</v>
      </c>
    </row>
    <row r="3296" spans="1:8">
      <c r="A3296" t="s">
        <v>3300</v>
      </c>
      <c r="B3296" t="s">
        <v>3273</v>
      </c>
      <c r="C3296" t="s">
        <v>3274</v>
      </c>
      <c r="D3296" t="s">
        <v>85</v>
      </c>
      <c r="E3296" t="s">
        <v>86</v>
      </c>
      <c r="F3296" s="2">
        <v>0.68030000000000002</v>
      </c>
      <c r="G3296">
        <v>212</v>
      </c>
      <c r="H3296" s="2">
        <f>Tabla_Items_Inactivos[[#This Row],[EXISTENCIA]]*Tabla_Items_Inactivos[[#This Row],[COSTO]]</f>
        <v>144.2236</v>
      </c>
    </row>
    <row r="3297" spans="1:8">
      <c r="A3297" t="s">
        <v>3301</v>
      </c>
      <c r="B3297" t="s">
        <v>3273</v>
      </c>
      <c r="C3297" t="s">
        <v>3274</v>
      </c>
      <c r="D3297" t="s">
        <v>85</v>
      </c>
      <c r="E3297" t="s">
        <v>86</v>
      </c>
      <c r="F3297" s="2">
        <v>0.68030000000000002</v>
      </c>
      <c r="G3297">
        <v>212</v>
      </c>
      <c r="H3297" s="2">
        <f>Tabla_Items_Inactivos[[#This Row],[EXISTENCIA]]*Tabla_Items_Inactivos[[#This Row],[COSTO]]</f>
        <v>144.2236</v>
      </c>
    </row>
    <row r="3298" spans="1:8">
      <c r="A3298" t="s">
        <v>3300</v>
      </c>
      <c r="B3298" t="s">
        <v>5404</v>
      </c>
      <c r="C3298" t="s">
        <v>5405</v>
      </c>
      <c r="D3298" t="s">
        <v>85</v>
      </c>
      <c r="E3298" t="s">
        <v>86</v>
      </c>
      <c r="F3298" s="2">
        <v>9.9600000000000009</v>
      </c>
      <c r="G3298">
        <v>1</v>
      </c>
      <c r="H3298" s="2">
        <f>Tabla_Items_Inactivos[[#This Row],[EXISTENCIA]]*Tabla_Items_Inactivos[[#This Row],[COSTO]]</f>
        <v>9.9600000000000009</v>
      </c>
    </row>
    <row r="3299" spans="1:8">
      <c r="A3299" t="s">
        <v>3301</v>
      </c>
      <c r="B3299" t="s">
        <v>2473</v>
      </c>
      <c r="C3299" t="s">
        <v>5406</v>
      </c>
      <c r="D3299" t="s">
        <v>85</v>
      </c>
      <c r="E3299" t="s">
        <v>86</v>
      </c>
      <c r="F3299" s="2">
        <v>19.419599999999999</v>
      </c>
      <c r="G3299">
        <v>2</v>
      </c>
      <c r="H3299" s="2">
        <f>Tabla_Items_Inactivos[[#This Row],[EXISTENCIA]]*Tabla_Items_Inactivos[[#This Row],[COSTO]]</f>
        <v>38.839199999999998</v>
      </c>
    </row>
    <row r="3300" spans="1:8">
      <c r="A3300" t="s">
        <v>3300</v>
      </c>
      <c r="B3300" t="s">
        <v>2473</v>
      </c>
      <c r="C3300" t="s">
        <v>5406</v>
      </c>
      <c r="D3300" t="s">
        <v>85</v>
      </c>
      <c r="E3300" t="s">
        <v>86</v>
      </c>
      <c r="F3300" s="2">
        <v>19.419599999999999</v>
      </c>
      <c r="G3300">
        <v>2</v>
      </c>
      <c r="H3300" s="2">
        <f>Tabla_Items_Inactivos[[#This Row],[EXISTENCIA]]*Tabla_Items_Inactivos[[#This Row],[COSTO]]</f>
        <v>38.839199999999998</v>
      </c>
    </row>
    <row r="3301" spans="1:8">
      <c r="A3301" t="s">
        <v>3300</v>
      </c>
      <c r="B3301" t="s">
        <v>2475</v>
      </c>
      <c r="C3301" t="s">
        <v>5407</v>
      </c>
      <c r="D3301" t="s">
        <v>85</v>
      </c>
      <c r="E3301" t="s">
        <v>86</v>
      </c>
      <c r="F3301" s="2">
        <v>51.442</v>
      </c>
      <c r="G3301">
        <v>1</v>
      </c>
      <c r="H3301" s="2">
        <f>Tabla_Items_Inactivos[[#This Row],[EXISTENCIA]]*Tabla_Items_Inactivos[[#This Row],[COSTO]]</f>
        <v>51.442</v>
      </c>
    </row>
    <row r="3302" spans="1:8">
      <c r="A3302" t="s">
        <v>3300</v>
      </c>
      <c r="B3302" t="s">
        <v>2476</v>
      </c>
      <c r="C3302" t="s">
        <v>5408</v>
      </c>
      <c r="D3302" t="s">
        <v>85</v>
      </c>
      <c r="E3302" t="s">
        <v>86</v>
      </c>
      <c r="F3302" s="2">
        <v>21.555</v>
      </c>
      <c r="G3302">
        <v>19</v>
      </c>
      <c r="H3302" s="2">
        <f>Tabla_Items_Inactivos[[#This Row],[EXISTENCIA]]*Tabla_Items_Inactivos[[#This Row],[COSTO]]</f>
        <v>409.54500000000002</v>
      </c>
    </row>
    <row r="3303" spans="1:8">
      <c r="A3303" t="s">
        <v>3300</v>
      </c>
      <c r="B3303" t="s">
        <v>5409</v>
      </c>
      <c r="C3303" t="s">
        <v>5410</v>
      </c>
      <c r="D3303" t="s">
        <v>85</v>
      </c>
      <c r="E3303" t="s">
        <v>86</v>
      </c>
      <c r="F3303" s="2">
        <v>14.6242</v>
      </c>
      <c r="G3303">
        <v>7</v>
      </c>
      <c r="H3303" s="2">
        <f>Tabla_Items_Inactivos[[#This Row],[EXISTENCIA]]*Tabla_Items_Inactivos[[#This Row],[COSTO]]</f>
        <v>102.3694</v>
      </c>
    </row>
    <row r="3304" spans="1:8">
      <c r="A3304" t="s">
        <v>3301</v>
      </c>
      <c r="B3304" t="s">
        <v>5409</v>
      </c>
      <c r="C3304" t="s">
        <v>5410</v>
      </c>
      <c r="D3304" t="s">
        <v>85</v>
      </c>
      <c r="E3304" t="s">
        <v>86</v>
      </c>
      <c r="F3304" s="2">
        <v>14.6242</v>
      </c>
      <c r="G3304">
        <v>7</v>
      </c>
      <c r="H3304" s="2">
        <f>Tabla_Items_Inactivos[[#This Row],[EXISTENCIA]]*Tabla_Items_Inactivos[[#This Row],[COSTO]]</f>
        <v>102.3694</v>
      </c>
    </row>
    <row r="3305" spans="1:8">
      <c r="A3305" t="s">
        <v>3300</v>
      </c>
      <c r="B3305" t="s">
        <v>2477</v>
      </c>
      <c r="C3305" t="s">
        <v>5411</v>
      </c>
      <c r="D3305" t="s">
        <v>3819</v>
      </c>
      <c r="E3305" t="s">
        <v>86</v>
      </c>
      <c r="F3305" s="2">
        <v>86.486999999999995</v>
      </c>
      <c r="G3305">
        <v>5</v>
      </c>
      <c r="H3305" s="2">
        <f>Tabla_Items_Inactivos[[#This Row],[EXISTENCIA]]*Tabla_Items_Inactivos[[#This Row],[COSTO]]</f>
        <v>432.43499999999995</v>
      </c>
    </row>
    <row r="3306" spans="1:8">
      <c r="A3306" t="s">
        <v>3301</v>
      </c>
      <c r="B3306" t="s">
        <v>2479</v>
      </c>
      <c r="C3306" t="s">
        <v>2480</v>
      </c>
      <c r="D3306" t="s">
        <v>219</v>
      </c>
      <c r="E3306" t="s">
        <v>86</v>
      </c>
      <c r="F3306" s="2">
        <v>2.3816000000000002</v>
      </c>
      <c r="G3306">
        <v>8</v>
      </c>
      <c r="H3306" s="2">
        <f>Tabla_Items_Inactivos[[#This Row],[EXISTENCIA]]*Tabla_Items_Inactivos[[#This Row],[COSTO]]</f>
        <v>19.052800000000001</v>
      </c>
    </row>
    <row r="3307" spans="1:8">
      <c r="A3307" t="s">
        <v>3300</v>
      </c>
      <c r="B3307" t="s">
        <v>2479</v>
      </c>
      <c r="C3307" t="s">
        <v>2480</v>
      </c>
      <c r="D3307" t="s">
        <v>219</v>
      </c>
      <c r="E3307" t="s">
        <v>86</v>
      </c>
      <c r="F3307" s="2">
        <v>2.3816000000000002</v>
      </c>
      <c r="G3307">
        <v>8</v>
      </c>
      <c r="H3307" s="2">
        <f>Tabla_Items_Inactivos[[#This Row],[EXISTENCIA]]*Tabla_Items_Inactivos[[#This Row],[COSTO]]</f>
        <v>19.052800000000001</v>
      </c>
    </row>
    <row r="3308" spans="1:8">
      <c r="A3308" t="s">
        <v>3300</v>
      </c>
      <c r="B3308" t="s">
        <v>2481</v>
      </c>
      <c r="C3308" t="s">
        <v>462</v>
      </c>
      <c r="D3308" t="s">
        <v>85</v>
      </c>
      <c r="E3308" t="s">
        <v>86</v>
      </c>
      <c r="F3308" s="2">
        <v>4.8387000000000002</v>
      </c>
      <c r="G3308">
        <v>2</v>
      </c>
      <c r="H3308" s="2">
        <f>Tabla_Items_Inactivos[[#This Row],[EXISTENCIA]]*Tabla_Items_Inactivos[[#This Row],[COSTO]]</f>
        <v>9.6774000000000004</v>
      </c>
    </row>
    <row r="3309" spans="1:8">
      <c r="A3309" t="s">
        <v>3301</v>
      </c>
      <c r="B3309" t="s">
        <v>2481</v>
      </c>
      <c r="C3309" t="s">
        <v>462</v>
      </c>
      <c r="D3309" t="s">
        <v>85</v>
      </c>
      <c r="E3309" t="s">
        <v>86</v>
      </c>
      <c r="F3309" s="2">
        <v>4.8387000000000002</v>
      </c>
      <c r="G3309">
        <v>2</v>
      </c>
      <c r="H3309" s="2">
        <f>Tabla_Items_Inactivos[[#This Row],[EXISTENCIA]]*Tabla_Items_Inactivos[[#This Row],[COSTO]]</f>
        <v>9.6774000000000004</v>
      </c>
    </row>
    <row r="3310" spans="1:8">
      <c r="A3310" t="s">
        <v>3301</v>
      </c>
      <c r="B3310" t="s">
        <v>5412</v>
      </c>
      <c r="C3310" t="s">
        <v>5413</v>
      </c>
      <c r="D3310" t="s">
        <v>85</v>
      </c>
      <c r="E3310" t="s">
        <v>86</v>
      </c>
      <c r="F3310" s="2">
        <v>1.7799</v>
      </c>
      <c r="G3310">
        <v>16</v>
      </c>
      <c r="H3310" s="2">
        <f>Tabla_Items_Inactivos[[#This Row],[EXISTENCIA]]*Tabla_Items_Inactivos[[#This Row],[COSTO]]</f>
        <v>28.478400000000001</v>
      </c>
    </row>
    <row r="3311" spans="1:8">
      <c r="A3311" t="s">
        <v>3300</v>
      </c>
      <c r="B3311" t="s">
        <v>5412</v>
      </c>
      <c r="C3311" t="s">
        <v>5413</v>
      </c>
      <c r="D3311" t="s">
        <v>85</v>
      </c>
      <c r="E3311" t="s">
        <v>86</v>
      </c>
      <c r="F3311" s="2">
        <v>1.7799</v>
      </c>
      <c r="G3311">
        <v>16</v>
      </c>
      <c r="H3311" s="2">
        <f>Tabla_Items_Inactivos[[#This Row],[EXISTENCIA]]*Tabla_Items_Inactivos[[#This Row],[COSTO]]</f>
        <v>28.478400000000001</v>
      </c>
    </row>
    <row r="3312" spans="1:8">
      <c r="A3312" t="s">
        <v>3300</v>
      </c>
      <c r="B3312" t="s">
        <v>2482</v>
      </c>
      <c r="C3312" t="s">
        <v>2483</v>
      </c>
      <c r="D3312" t="s">
        <v>85</v>
      </c>
      <c r="E3312" t="s">
        <v>86</v>
      </c>
      <c r="F3312" s="2">
        <v>34.456000000000003</v>
      </c>
      <c r="G3312">
        <v>6</v>
      </c>
      <c r="H3312" s="2">
        <f>Tabla_Items_Inactivos[[#This Row],[EXISTENCIA]]*Tabla_Items_Inactivos[[#This Row],[COSTO]]</f>
        <v>206.73600000000002</v>
      </c>
    </row>
    <row r="3313" spans="1:8">
      <c r="A3313" t="s">
        <v>3300</v>
      </c>
      <c r="B3313" t="s">
        <v>2484</v>
      </c>
      <c r="C3313" t="s">
        <v>2485</v>
      </c>
      <c r="D3313" t="s">
        <v>85</v>
      </c>
      <c r="E3313" t="s">
        <v>86</v>
      </c>
      <c r="F3313" s="2">
        <v>15.132899999999999</v>
      </c>
      <c r="G3313">
        <v>4</v>
      </c>
      <c r="H3313" s="2">
        <f>Tabla_Items_Inactivos[[#This Row],[EXISTENCIA]]*Tabla_Items_Inactivos[[#This Row],[COSTO]]</f>
        <v>60.531599999999997</v>
      </c>
    </row>
    <row r="3314" spans="1:8">
      <c r="A3314" t="s">
        <v>3301</v>
      </c>
      <c r="B3314" t="s">
        <v>2484</v>
      </c>
      <c r="C3314" t="s">
        <v>2485</v>
      </c>
      <c r="D3314" t="s">
        <v>85</v>
      </c>
      <c r="E3314" t="s">
        <v>86</v>
      </c>
      <c r="F3314" s="2">
        <v>15.132899999999999</v>
      </c>
      <c r="G3314">
        <v>4</v>
      </c>
      <c r="H3314" s="2">
        <f>Tabla_Items_Inactivos[[#This Row],[EXISTENCIA]]*Tabla_Items_Inactivos[[#This Row],[COSTO]]</f>
        <v>60.531599999999997</v>
      </c>
    </row>
    <row r="3315" spans="1:8">
      <c r="A3315" t="s">
        <v>3300</v>
      </c>
      <c r="B3315" t="s">
        <v>2486</v>
      </c>
      <c r="C3315" t="s">
        <v>2487</v>
      </c>
      <c r="D3315" t="s">
        <v>85</v>
      </c>
      <c r="E3315" t="s">
        <v>86</v>
      </c>
      <c r="F3315" s="2">
        <v>24.428699999999999</v>
      </c>
      <c r="G3315">
        <v>16</v>
      </c>
      <c r="H3315" s="2">
        <f>Tabla_Items_Inactivos[[#This Row],[EXISTENCIA]]*Tabla_Items_Inactivos[[#This Row],[COSTO]]</f>
        <v>390.85919999999999</v>
      </c>
    </row>
    <row r="3316" spans="1:8">
      <c r="A3316" t="s">
        <v>3301</v>
      </c>
      <c r="B3316" t="s">
        <v>2486</v>
      </c>
      <c r="C3316" t="s">
        <v>2487</v>
      </c>
      <c r="D3316" t="s">
        <v>85</v>
      </c>
      <c r="E3316" t="s">
        <v>86</v>
      </c>
      <c r="F3316" s="2">
        <v>24.428699999999999</v>
      </c>
      <c r="G3316">
        <v>16</v>
      </c>
      <c r="H3316" s="2">
        <f>Tabla_Items_Inactivos[[#This Row],[EXISTENCIA]]*Tabla_Items_Inactivos[[#This Row],[COSTO]]</f>
        <v>390.85919999999999</v>
      </c>
    </row>
    <row r="3317" spans="1:8">
      <c r="A3317" t="s">
        <v>3300</v>
      </c>
      <c r="B3317" t="s">
        <v>2488</v>
      </c>
      <c r="C3317" t="s">
        <v>5414</v>
      </c>
      <c r="D3317" t="s">
        <v>85</v>
      </c>
      <c r="E3317" t="s">
        <v>86</v>
      </c>
      <c r="F3317" s="2">
        <v>1.9195</v>
      </c>
      <c r="G3317">
        <v>4</v>
      </c>
      <c r="H3317" s="2">
        <f>Tabla_Items_Inactivos[[#This Row],[EXISTENCIA]]*Tabla_Items_Inactivos[[#This Row],[COSTO]]</f>
        <v>7.6779999999999999</v>
      </c>
    </row>
    <row r="3318" spans="1:8">
      <c r="A3318" t="s">
        <v>3301</v>
      </c>
      <c r="B3318" t="s">
        <v>2488</v>
      </c>
      <c r="C3318" t="s">
        <v>5414</v>
      </c>
      <c r="D3318" t="s">
        <v>85</v>
      </c>
      <c r="E3318" t="s">
        <v>86</v>
      </c>
      <c r="F3318" s="2">
        <v>1.9195</v>
      </c>
      <c r="G3318">
        <v>4</v>
      </c>
      <c r="H3318" s="2">
        <f>Tabla_Items_Inactivos[[#This Row],[EXISTENCIA]]*Tabla_Items_Inactivos[[#This Row],[COSTO]]</f>
        <v>7.6779999999999999</v>
      </c>
    </row>
    <row r="3319" spans="1:8">
      <c r="A3319" t="s">
        <v>3300</v>
      </c>
      <c r="B3319" t="s">
        <v>2489</v>
      </c>
      <c r="C3319" t="s">
        <v>2490</v>
      </c>
      <c r="D3319" t="s">
        <v>85</v>
      </c>
      <c r="E3319" t="s">
        <v>86</v>
      </c>
      <c r="F3319" s="2">
        <v>19.776</v>
      </c>
      <c r="G3319">
        <v>2</v>
      </c>
      <c r="H3319" s="2">
        <f>Tabla_Items_Inactivos[[#This Row],[EXISTENCIA]]*Tabla_Items_Inactivos[[#This Row],[COSTO]]</f>
        <v>39.552</v>
      </c>
    </row>
    <row r="3320" spans="1:8">
      <c r="A3320" t="s">
        <v>3300</v>
      </c>
      <c r="B3320" t="s">
        <v>2493</v>
      </c>
      <c r="C3320" t="s">
        <v>2494</v>
      </c>
      <c r="D3320" t="s">
        <v>263</v>
      </c>
      <c r="E3320" t="s">
        <v>86</v>
      </c>
      <c r="F3320" s="2">
        <v>14.141</v>
      </c>
      <c r="G3320">
        <v>2</v>
      </c>
      <c r="H3320" s="2">
        <f>Tabla_Items_Inactivos[[#This Row],[EXISTENCIA]]*Tabla_Items_Inactivos[[#This Row],[COSTO]]</f>
        <v>28.282</v>
      </c>
    </row>
    <row r="3321" spans="1:8">
      <c r="A3321" t="s">
        <v>3300</v>
      </c>
      <c r="B3321" t="s">
        <v>5415</v>
      </c>
      <c r="C3321" t="s">
        <v>2495</v>
      </c>
      <c r="D3321" t="s">
        <v>263</v>
      </c>
      <c r="E3321" t="s">
        <v>86</v>
      </c>
      <c r="F3321" s="2">
        <v>13.356</v>
      </c>
      <c r="G3321">
        <v>1</v>
      </c>
      <c r="H3321" s="2">
        <f>Tabla_Items_Inactivos[[#This Row],[EXISTENCIA]]*Tabla_Items_Inactivos[[#This Row],[COSTO]]</f>
        <v>13.356</v>
      </c>
    </row>
    <row r="3322" spans="1:8">
      <c r="A3322" t="s">
        <v>3299</v>
      </c>
      <c r="B3322" t="s">
        <v>3277</v>
      </c>
      <c r="C3322" t="s">
        <v>3278</v>
      </c>
      <c r="D3322" t="s">
        <v>263</v>
      </c>
      <c r="E3322" t="s">
        <v>86</v>
      </c>
      <c r="F3322" s="2">
        <v>9.6981000000000002</v>
      </c>
      <c r="G3322">
        <v>38</v>
      </c>
      <c r="H3322" s="2">
        <f>Tabla_Items_Inactivos[[#This Row],[EXISTENCIA]]*Tabla_Items_Inactivos[[#This Row],[COSTO]]</f>
        <v>368.52780000000001</v>
      </c>
    </row>
    <row r="3323" spans="1:8">
      <c r="A3323" t="s">
        <v>3300</v>
      </c>
      <c r="B3323" t="s">
        <v>3277</v>
      </c>
      <c r="C3323" t="s">
        <v>3278</v>
      </c>
      <c r="D3323" t="s">
        <v>263</v>
      </c>
      <c r="E3323" t="s">
        <v>86</v>
      </c>
      <c r="F3323" s="2">
        <v>9.6981000000000002</v>
      </c>
      <c r="G3323">
        <v>38</v>
      </c>
      <c r="H3323" s="2">
        <f>Tabla_Items_Inactivos[[#This Row],[EXISTENCIA]]*Tabla_Items_Inactivos[[#This Row],[COSTO]]</f>
        <v>368.52780000000001</v>
      </c>
    </row>
    <row r="3324" spans="1:8">
      <c r="A3324" t="s">
        <v>3301</v>
      </c>
      <c r="B3324" t="s">
        <v>3277</v>
      </c>
      <c r="C3324" t="s">
        <v>3278</v>
      </c>
      <c r="D3324" t="s">
        <v>263</v>
      </c>
      <c r="E3324" t="s">
        <v>86</v>
      </c>
      <c r="F3324" s="2">
        <v>9.6981000000000002</v>
      </c>
      <c r="G3324">
        <v>38</v>
      </c>
      <c r="H3324" s="2">
        <f>Tabla_Items_Inactivos[[#This Row],[EXISTENCIA]]*Tabla_Items_Inactivos[[#This Row],[COSTO]]</f>
        <v>368.52780000000001</v>
      </c>
    </row>
    <row r="3325" spans="1:8">
      <c r="A3325" t="s">
        <v>3301</v>
      </c>
      <c r="B3325" t="s">
        <v>2496</v>
      </c>
      <c r="C3325" t="s">
        <v>5416</v>
      </c>
      <c r="D3325" t="s">
        <v>228</v>
      </c>
      <c r="E3325" t="s">
        <v>86</v>
      </c>
      <c r="F3325" s="2">
        <v>10.968299999999999</v>
      </c>
      <c r="G3325">
        <v>3</v>
      </c>
      <c r="H3325" s="2">
        <f>Tabla_Items_Inactivos[[#This Row],[EXISTENCIA]]*Tabla_Items_Inactivos[[#This Row],[COSTO]]</f>
        <v>32.904899999999998</v>
      </c>
    </row>
    <row r="3326" spans="1:8">
      <c r="A3326" t="s">
        <v>3299</v>
      </c>
      <c r="B3326" t="s">
        <v>2496</v>
      </c>
      <c r="C3326" t="s">
        <v>5416</v>
      </c>
      <c r="D3326" t="s">
        <v>228</v>
      </c>
      <c r="E3326" t="s">
        <v>86</v>
      </c>
      <c r="F3326" s="2">
        <v>10.968299999999999</v>
      </c>
      <c r="G3326">
        <v>3</v>
      </c>
      <c r="H3326" s="2">
        <f>Tabla_Items_Inactivos[[#This Row],[EXISTENCIA]]*Tabla_Items_Inactivos[[#This Row],[COSTO]]</f>
        <v>32.904899999999998</v>
      </c>
    </row>
    <row r="3327" spans="1:8">
      <c r="A3327" t="s">
        <v>3300</v>
      </c>
      <c r="B3327" t="s">
        <v>2496</v>
      </c>
      <c r="C3327" t="s">
        <v>5416</v>
      </c>
      <c r="D3327" t="s">
        <v>228</v>
      </c>
      <c r="E3327" t="s">
        <v>86</v>
      </c>
      <c r="F3327" s="2">
        <v>10.968299999999999</v>
      </c>
      <c r="G3327">
        <v>3</v>
      </c>
      <c r="H3327" s="2">
        <f>Tabla_Items_Inactivos[[#This Row],[EXISTENCIA]]*Tabla_Items_Inactivos[[#This Row],[COSTO]]</f>
        <v>32.904899999999998</v>
      </c>
    </row>
    <row r="3328" spans="1:8">
      <c r="A3328" t="s">
        <v>3300</v>
      </c>
      <c r="B3328" t="s">
        <v>3279</v>
      </c>
      <c r="C3328" t="s">
        <v>5417</v>
      </c>
      <c r="D3328" t="s">
        <v>98</v>
      </c>
      <c r="E3328" t="s">
        <v>86</v>
      </c>
      <c r="F3328" s="2">
        <v>2.7589999999999999</v>
      </c>
      <c r="G3328">
        <v>2</v>
      </c>
      <c r="H3328" s="2">
        <f>Tabla_Items_Inactivos[[#This Row],[EXISTENCIA]]*Tabla_Items_Inactivos[[#This Row],[COSTO]]</f>
        <v>5.5179999999999998</v>
      </c>
    </row>
    <row r="3329" spans="1:8">
      <c r="A3329" t="s">
        <v>3300</v>
      </c>
      <c r="B3329" t="s">
        <v>5418</v>
      </c>
      <c r="C3329" t="s">
        <v>5419</v>
      </c>
      <c r="D3329" t="s">
        <v>98</v>
      </c>
      <c r="E3329" t="s">
        <v>86</v>
      </c>
      <c r="F3329" s="2">
        <v>31.625</v>
      </c>
      <c r="G3329">
        <v>2</v>
      </c>
      <c r="H3329" s="2">
        <f>Tabla_Items_Inactivos[[#This Row],[EXISTENCIA]]*Tabla_Items_Inactivos[[#This Row],[COSTO]]</f>
        <v>63.25</v>
      </c>
    </row>
    <row r="3330" spans="1:8">
      <c r="A3330" t="s">
        <v>3300</v>
      </c>
      <c r="B3330" t="s">
        <v>5420</v>
      </c>
      <c r="C3330" t="s">
        <v>5421</v>
      </c>
      <c r="D3330" t="s">
        <v>98</v>
      </c>
      <c r="E3330" t="s">
        <v>86</v>
      </c>
      <c r="F3330" s="2">
        <v>5.62</v>
      </c>
      <c r="G3330">
        <v>1</v>
      </c>
      <c r="H3330" s="2">
        <f>Tabla_Items_Inactivos[[#This Row],[EXISTENCIA]]*Tabla_Items_Inactivos[[#This Row],[COSTO]]</f>
        <v>5.62</v>
      </c>
    </row>
    <row r="3331" spans="1:8">
      <c r="A3331" t="s">
        <v>3300</v>
      </c>
      <c r="B3331" t="s">
        <v>2497</v>
      </c>
      <c r="C3331" t="s">
        <v>2498</v>
      </c>
      <c r="D3331" t="s">
        <v>2499</v>
      </c>
      <c r="E3331" t="s">
        <v>1931</v>
      </c>
      <c r="F3331" s="2">
        <v>469.87</v>
      </c>
      <c r="G3331">
        <v>2</v>
      </c>
      <c r="H3331" s="2">
        <f>Tabla_Items_Inactivos[[#This Row],[EXISTENCIA]]*Tabla_Items_Inactivos[[#This Row],[COSTO]]</f>
        <v>939.74</v>
      </c>
    </row>
    <row r="3332" spans="1:8">
      <c r="A3332" t="s">
        <v>3300</v>
      </c>
      <c r="B3332" t="s">
        <v>5422</v>
      </c>
      <c r="C3332" t="s">
        <v>5423</v>
      </c>
      <c r="D3332" t="s">
        <v>228</v>
      </c>
      <c r="E3332" t="s">
        <v>86</v>
      </c>
      <c r="F3332" s="2">
        <v>5.3128000000000002</v>
      </c>
      <c r="G3332">
        <v>1</v>
      </c>
      <c r="H3332" s="2">
        <f>Tabla_Items_Inactivos[[#This Row],[EXISTENCIA]]*Tabla_Items_Inactivos[[#This Row],[COSTO]]</f>
        <v>5.3128000000000002</v>
      </c>
    </row>
    <row r="3333" spans="1:8">
      <c r="A3333" t="s">
        <v>3301</v>
      </c>
      <c r="B3333" t="s">
        <v>5422</v>
      </c>
      <c r="C3333" t="s">
        <v>5423</v>
      </c>
      <c r="D3333" t="s">
        <v>228</v>
      </c>
      <c r="E3333" t="s">
        <v>86</v>
      </c>
      <c r="F3333" s="2">
        <v>5.3128000000000002</v>
      </c>
      <c r="G3333">
        <v>1</v>
      </c>
      <c r="H3333" s="2">
        <f>Tabla_Items_Inactivos[[#This Row],[EXISTENCIA]]*Tabla_Items_Inactivos[[#This Row],[COSTO]]</f>
        <v>5.3128000000000002</v>
      </c>
    </row>
    <row r="3334" spans="1:8">
      <c r="A3334" t="s">
        <v>3301</v>
      </c>
      <c r="B3334" t="s">
        <v>3280</v>
      </c>
      <c r="C3334" t="s">
        <v>3281</v>
      </c>
      <c r="D3334" t="s">
        <v>228</v>
      </c>
      <c r="E3334" t="s">
        <v>86</v>
      </c>
      <c r="F3334" s="2">
        <v>16.887</v>
      </c>
      <c r="G3334">
        <v>39</v>
      </c>
      <c r="H3334" s="2">
        <f>Tabla_Items_Inactivos[[#This Row],[EXISTENCIA]]*Tabla_Items_Inactivos[[#This Row],[COSTO]]</f>
        <v>658.59300000000007</v>
      </c>
    </row>
    <row r="3335" spans="1:8">
      <c r="A3335" t="s">
        <v>3300</v>
      </c>
      <c r="B3335" t="s">
        <v>3280</v>
      </c>
      <c r="C3335" t="s">
        <v>3281</v>
      </c>
      <c r="D3335" t="s">
        <v>228</v>
      </c>
      <c r="E3335" t="s">
        <v>86</v>
      </c>
      <c r="F3335" s="2">
        <v>16.887</v>
      </c>
      <c r="G3335">
        <v>39</v>
      </c>
      <c r="H3335" s="2">
        <f>Tabla_Items_Inactivos[[#This Row],[EXISTENCIA]]*Tabla_Items_Inactivos[[#This Row],[COSTO]]</f>
        <v>658.59300000000007</v>
      </c>
    </row>
    <row r="3336" spans="1:8">
      <c r="A3336" t="s">
        <v>3301</v>
      </c>
      <c r="B3336" t="s">
        <v>2500</v>
      </c>
      <c r="C3336" t="s">
        <v>5424</v>
      </c>
      <c r="D3336" t="s">
        <v>228</v>
      </c>
      <c r="E3336" t="s">
        <v>86</v>
      </c>
      <c r="F3336" s="2">
        <v>9.8904999999999994</v>
      </c>
      <c r="G3336">
        <v>5</v>
      </c>
      <c r="H3336" s="2">
        <f>Tabla_Items_Inactivos[[#This Row],[EXISTENCIA]]*Tabla_Items_Inactivos[[#This Row],[COSTO]]</f>
        <v>49.452500000000001</v>
      </c>
    </row>
    <row r="3337" spans="1:8">
      <c r="A3337" t="s">
        <v>3300</v>
      </c>
      <c r="B3337" t="s">
        <v>2500</v>
      </c>
      <c r="C3337" t="s">
        <v>5424</v>
      </c>
      <c r="D3337" t="s">
        <v>228</v>
      </c>
      <c r="E3337" t="s">
        <v>86</v>
      </c>
      <c r="F3337" s="2">
        <v>9.8904999999999994</v>
      </c>
      <c r="G3337">
        <v>5</v>
      </c>
      <c r="H3337" s="2">
        <f>Tabla_Items_Inactivos[[#This Row],[EXISTENCIA]]*Tabla_Items_Inactivos[[#This Row],[COSTO]]</f>
        <v>49.452500000000001</v>
      </c>
    </row>
    <row r="3338" spans="1:8">
      <c r="A3338" t="s">
        <v>3300</v>
      </c>
      <c r="B3338" t="s">
        <v>3282</v>
      </c>
      <c r="C3338" t="s">
        <v>3283</v>
      </c>
      <c r="D3338" t="s">
        <v>228</v>
      </c>
      <c r="E3338" t="s">
        <v>86</v>
      </c>
      <c r="F3338" s="2">
        <v>16.625299999999999</v>
      </c>
      <c r="G3338">
        <v>260</v>
      </c>
      <c r="H3338" s="2">
        <f>Tabla_Items_Inactivos[[#This Row],[EXISTENCIA]]*Tabla_Items_Inactivos[[#This Row],[COSTO]]</f>
        <v>4322.5779999999995</v>
      </c>
    </row>
    <row r="3339" spans="1:8">
      <c r="A3339" t="s">
        <v>3301</v>
      </c>
      <c r="B3339" t="s">
        <v>3282</v>
      </c>
      <c r="C3339" t="s">
        <v>3283</v>
      </c>
      <c r="D3339" t="s">
        <v>228</v>
      </c>
      <c r="E3339" t="s">
        <v>86</v>
      </c>
      <c r="F3339" s="2">
        <v>16.625299999999999</v>
      </c>
      <c r="G3339">
        <v>260</v>
      </c>
      <c r="H3339" s="2">
        <f>Tabla_Items_Inactivos[[#This Row],[EXISTENCIA]]*Tabla_Items_Inactivos[[#This Row],[COSTO]]</f>
        <v>4322.5779999999995</v>
      </c>
    </row>
    <row r="3340" spans="1:8">
      <c r="A3340" t="s">
        <v>3299</v>
      </c>
      <c r="B3340" t="s">
        <v>3282</v>
      </c>
      <c r="C3340" t="s">
        <v>3283</v>
      </c>
      <c r="D3340" t="s">
        <v>228</v>
      </c>
      <c r="E3340" t="s">
        <v>86</v>
      </c>
      <c r="F3340" s="2">
        <v>16.625299999999999</v>
      </c>
      <c r="G3340">
        <v>260</v>
      </c>
      <c r="H3340" s="2">
        <f>Tabla_Items_Inactivos[[#This Row],[EXISTENCIA]]*Tabla_Items_Inactivos[[#This Row],[COSTO]]</f>
        <v>4322.5779999999995</v>
      </c>
    </row>
    <row r="3341" spans="1:8">
      <c r="A3341" t="s">
        <v>3301</v>
      </c>
      <c r="B3341" t="s">
        <v>2501</v>
      </c>
      <c r="C3341" t="s">
        <v>5425</v>
      </c>
      <c r="D3341" t="s">
        <v>228</v>
      </c>
      <c r="E3341" t="s">
        <v>86</v>
      </c>
      <c r="F3341" s="2">
        <v>30.956199999999999</v>
      </c>
      <c r="G3341">
        <v>5</v>
      </c>
      <c r="H3341" s="2">
        <f>Tabla_Items_Inactivos[[#This Row],[EXISTENCIA]]*Tabla_Items_Inactivos[[#This Row],[COSTO]]</f>
        <v>154.78100000000001</v>
      </c>
    </row>
    <row r="3342" spans="1:8">
      <c r="A3342" t="s">
        <v>3300</v>
      </c>
      <c r="B3342" t="s">
        <v>2501</v>
      </c>
      <c r="C3342" t="s">
        <v>5425</v>
      </c>
      <c r="D3342" t="s">
        <v>228</v>
      </c>
      <c r="E3342" t="s">
        <v>86</v>
      </c>
      <c r="F3342" s="2">
        <v>30.956199999999999</v>
      </c>
      <c r="G3342">
        <v>5</v>
      </c>
      <c r="H3342" s="2">
        <f>Tabla_Items_Inactivos[[#This Row],[EXISTENCIA]]*Tabla_Items_Inactivos[[#This Row],[COSTO]]</f>
        <v>154.78100000000001</v>
      </c>
    </row>
    <row r="3343" spans="1:8">
      <c r="A3343" t="s">
        <v>3301</v>
      </c>
      <c r="B3343" t="s">
        <v>5426</v>
      </c>
      <c r="C3343" t="s">
        <v>5427</v>
      </c>
      <c r="D3343" t="s">
        <v>228</v>
      </c>
      <c r="E3343" t="s">
        <v>86</v>
      </c>
      <c r="F3343" s="2">
        <v>43.202300000000001</v>
      </c>
      <c r="G3343">
        <v>18</v>
      </c>
      <c r="H3343" s="2">
        <f>Tabla_Items_Inactivos[[#This Row],[EXISTENCIA]]*Tabla_Items_Inactivos[[#This Row],[COSTO]]</f>
        <v>777.64139999999998</v>
      </c>
    </row>
    <row r="3344" spans="1:8">
      <c r="A3344" t="s">
        <v>3300</v>
      </c>
      <c r="B3344" t="s">
        <v>5426</v>
      </c>
      <c r="C3344" t="s">
        <v>5427</v>
      </c>
      <c r="D3344" t="s">
        <v>228</v>
      </c>
      <c r="E3344" t="s">
        <v>86</v>
      </c>
      <c r="F3344" s="2">
        <v>43.202300000000001</v>
      </c>
      <c r="G3344">
        <v>18</v>
      </c>
      <c r="H3344" s="2">
        <f>Tabla_Items_Inactivos[[#This Row],[EXISTENCIA]]*Tabla_Items_Inactivos[[#This Row],[COSTO]]</f>
        <v>777.64139999999998</v>
      </c>
    </row>
    <row r="3345" spans="1:8">
      <c r="A3345" t="s">
        <v>3300</v>
      </c>
      <c r="B3345" t="s">
        <v>2503</v>
      </c>
      <c r="C3345" t="s">
        <v>2504</v>
      </c>
      <c r="D3345" t="s">
        <v>98</v>
      </c>
      <c r="E3345" t="s">
        <v>86</v>
      </c>
      <c r="F3345" s="2">
        <v>0</v>
      </c>
      <c r="G3345">
        <v>1</v>
      </c>
      <c r="H3345" s="2">
        <f>Tabla_Items_Inactivos[[#This Row],[EXISTENCIA]]*Tabla_Items_Inactivos[[#This Row],[COSTO]]</f>
        <v>0</v>
      </c>
    </row>
    <row r="3346" spans="1:8">
      <c r="A3346" t="s">
        <v>3300</v>
      </c>
      <c r="B3346" t="s">
        <v>3285</v>
      </c>
      <c r="C3346" t="s">
        <v>5428</v>
      </c>
      <c r="D3346" t="s">
        <v>476</v>
      </c>
      <c r="E3346" t="s">
        <v>86</v>
      </c>
      <c r="F3346" s="2">
        <v>46.3125</v>
      </c>
      <c r="G3346">
        <v>6</v>
      </c>
      <c r="H3346" s="2">
        <f>Tabla_Items_Inactivos[[#This Row],[EXISTENCIA]]*Tabla_Items_Inactivos[[#This Row],[COSTO]]</f>
        <v>277.875</v>
      </c>
    </row>
    <row r="3347" spans="1:8">
      <c r="A3347" t="s">
        <v>3301</v>
      </c>
      <c r="B3347" t="s">
        <v>3285</v>
      </c>
      <c r="C3347" t="s">
        <v>5428</v>
      </c>
      <c r="D3347" t="s">
        <v>476</v>
      </c>
      <c r="E3347" t="s">
        <v>86</v>
      </c>
      <c r="F3347" s="2">
        <v>46.3125</v>
      </c>
      <c r="G3347">
        <v>6</v>
      </c>
      <c r="H3347" s="2">
        <f>Tabla_Items_Inactivos[[#This Row],[EXISTENCIA]]*Tabla_Items_Inactivos[[#This Row],[COSTO]]</f>
        <v>277.875</v>
      </c>
    </row>
    <row r="3348" spans="1:8">
      <c r="A3348" t="s">
        <v>3299</v>
      </c>
      <c r="B3348" t="s">
        <v>3285</v>
      </c>
      <c r="C3348" t="s">
        <v>5428</v>
      </c>
      <c r="D3348" t="s">
        <v>476</v>
      </c>
      <c r="E3348" t="s">
        <v>86</v>
      </c>
      <c r="F3348" s="2">
        <v>46.3125</v>
      </c>
      <c r="G3348">
        <v>6</v>
      </c>
      <c r="H3348" s="2">
        <f>Tabla_Items_Inactivos[[#This Row],[EXISTENCIA]]*Tabla_Items_Inactivos[[#This Row],[COSTO]]</f>
        <v>277.875</v>
      </c>
    </row>
    <row r="3349" spans="1:8">
      <c r="A3349" t="s">
        <v>3300</v>
      </c>
      <c r="B3349" t="s">
        <v>5429</v>
      </c>
      <c r="C3349" t="s">
        <v>5430</v>
      </c>
      <c r="D3349" t="s">
        <v>98</v>
      </c>
      <c r="E3349" t="s">
        <v>86</v>
      </c>
      <c r="F3349" s="2">
        <v>5.4240000000000004</v>
      </c>
      <c r="G3349">
        <v>3</v>
      </c>
      <c r="H3349" s="2">
        <f>Tabla_Items_Inactivos[[#This Row],[EXISTENCIA]]*Tabla_Items_Inactivos[[#This Row],[COSTO]]</f>
        <v>16.272000000000002</v>
      </c>
    </row>
    <row r="3350" spans="1:8">
      <c r="A3350" t="s">
        <v>3300</v>
      </c>
      <c r="B3350" t="s">
        <v>2505</v>
      </c>
      <c r="C3350" t="s">
        <v>5431</v>
      </c>
      <c r="D3350" t="s">
        <v>263</v>
      </c>
      <c r="E3350" t="s">
        <v>86</v>
      </c>
      <c r="F3350" s="2">
        <v>5.2919999999999998</v>
      </c>
      <c r="G3350">
        <v>5</v>
      </c>
      <c r="H3350" s="2">
        <f>Tabla_Items_Inactivos[[#This Row],[EXISTENCIA]]*Tabla_Items_Inactivos[[#This Row],[COSTO]]</f>
        <v>26.46</v>
      </c>
    </row>
    <row r="3351" spans="1:8">
      <c r="A3351" t="s">
        <v>3300</v>
      </c>
      <c r="B3351" t="s">
        <v>2506</v>
      </c>
      <c r="C3351" t="s">
        <v>5432</v>
      </c>
      <c r="D3351" t="s">
        <v>263</v>
      </c>
      <c r="E3351" t="s">
        <v>86</v>
      </c>
      <c r="F3351" s="2">
        <v>33.103999999999999</v>
      </c>
      <c r="G3351">
        <v>2</v>
      </c>
      <c r="H3351" s="2">
        <f>Tabla_Items_Inactivos[[#This Row],[EXISTENCIA]]*Tabla_Items_Inactivos[[#This Row],[COSTO]]</f>
        <v>66.207999999999998</v>
      </c>
    </row>
    <row r="3352" spans="1:8">
      <c r="A3352" t="s">
        <v>3300</v>
      </c>
      <c r="B3352" t="s">
        <v>3286</v>
      </c>
      <c r="C3352" t="s">
        <v>3287</v>
      </c>
      <c r="D3352" t="s">
        <v>85</v>
      </c>
      <c r="E3352" t="s">
        <v>86</v>
      </c>
      <c r="F3352" s="2">
        <v>3.3650000000000002</v>
      </c>
      <c r="G3352">
        <v>6</v>
      </c>
      <c r="H3352" s="2">
        <f>Tabla_Items_Inactivos[[#This Row],[EXISTENCIA]]*Tabla_Items_Inactivos[[#This Row],[COSTO]]</f>
        <v>20.190000000000001</v>
      </c>
    </row>
    <row r="3353" spans="1:8">
      <c r="A3353" t="s">
        <v>3301</v>
      </c>
      <c r="B3353" t="s">
        <v>5433</v>
      </c>
      <c r="C3353" t="s">
        <v>5434</v>
      </c>
      <c r="D3353" t="s">
        <v>3980</v>
      </c>
      <c r="E3353" t="s">
        <v>86</v>
      </c>
      <c r="F3353" s="2">
        <v>2.9165999999999999</v>
      </c>
      <c r="G3353">
        <v>13</v>
      </c>
      <c r="H3353" s="2">
        <f>Tabla_Items_Inactivos[[#This Row],[EXISTENCIA]]*Tabla_Items_Inactivos[[#This Row],[COSTO]]</f>
        <v>37.915799999999997</v>
      </c>
    </row>
    <row r="3354" spans="1:8">
      <c r="A3354" t="s">
        <v>3300</v>
      </c>
      <c r="B3354" t="s">
        <v>5433</v>
      </c>
      <c r="C3354" t="s">
        <v>5434</v>
      </c>
      <c r="D3354" t="s">
        <v>3980</v>
      </c>
      <c r="E3354" t="s">
        <v>86</v>
      </c>
      <c r="F3354" s="2">
        <v>2.9165999999999999</v>
      </c>
      <c r="G3354">
        <v>13</v>
      </c>
      <c r="H3354" s="2">
        <f>Tabla_Items_Inactivos[[#This Row],[EXISTENCIA]]*Tabla_Items_Inactivos[[#This Row],[COSTO]]</f>
        <v>37.915799999999997</v>
      </c>
    </row>
    <row r="3355" spans="1:8">
      <c r="A3355" t="s">
        <v>3300</v>
      </c>
      <c r="B3355" t="s">
        <v>5435</v>
      </c>
      <c r="C3355" t="s">
        <v>5436</v>
      </c>
      <c r="D3355" t="s">
        <v>3980</v>
      </c>
      <c r="E3355" t="s">
        <v>86</v>
      </c>
      <c r="F3355" s="2">
        <v>4.1898999999999997</v>
      </c>
      <c r="G3355">
        <v>232</v>
      </c>
      <c r="H3355" s="2">
        <f>Tabla_Items_Inactivos[[#This Row],[EXISTENCIA]]*Tabla_Items_Inactivos[[#This Row],[COSTO]]</f>
        <v>972.05679999999995</v>
      </c>
    </row>
    <row r="3356" spans="1:8">
      <c r="A3356" t="s">
        <v>3301</v>
      </c>
      <c r="B3356" t="s">
        <v>5435</v>
      </c>
      <c r="C3356" t="s">
        <v>5436</v>
      </c>
      <c r="D3356" t="s">
        <v>3980</v>
      </c>
      <c r="E3356" t="s">
        <v>86</v>
      </c>
      <c r="F3356" s="2">
        <v>4.1898999999999997</v>
      </c>
      <c r="G3356">
        <v>232</v>
      </c>
      <c r="H3356" s="2">
        <f>Tabla_Items_Inactivos[[#This Row],[EXISTENCIA]]*Tabla_Items_Inactivos[[#This Row],[COSTO]]</f>
        <v>972.05679999999995</v>
      </c>
    </row>
    <row r="3357" spans="1:8">
      <c r="A3357" t="s">
        <v>3299</v>
      </c>
      <c r="B3357" t="s">
        <v>5435</v>
      </c>
      <c r="C3357" t="s">
        <v>5436</v>
      </c>
      <c r="D3357" t="s">
        <v>3980</v>
      </c>
      <c r="E3357" t="s">
        <v>86</v>
      </c>
      <c r="F3357" s="2">
        <v>4.1898999999999997</v>
      </c>
      <c r="G3357">
        <v>232</v>
      </c>
      <c r="H3357" s="2">
        <f>Tabla_Items_Inactivos[[#This Row],[EXISTENCIA]]*Tabla_Items_Inactivos[[#This Row],[COSTO]]</f>
        <v>972.05679999999995</v>
      </c>
    </row>
    <row r="3358" spans="1:8">
      <c r="A3358" t="s">
        <v>3300</v>
      </c>
      <c r="B3358" t="s">
        <v>2507</v>
      </c>
      <c r="C3358" t="s">
        <v>2508</v>
      </c>
      <c r="D3358" t="s">
        <v>481</v>
      </c>
      <c r="E3358" t="s">
        <v>86</v>
      </c>
      <c r="F3358" s="2">
        <v>306.08269999999999</v>
      </c>
      <c r="G3358">
        <v>1</v>
      </c>
      <c r="H3358" s="2">
        <f>Tabla_Items_Inactivos[[#This Row],[EXISTENCIA]]*Tabla_Items_Inactivos[[#This Row],[COSTO]]</f>
        <v>306.08269999999999</v>
      </c>
    </row>
    <row r="3359" spans="1:8">
      <c r="A3359" t="s">
        <v>3300</v>
      </c>
      <c r="B3359" t="s">
        <v>3290</v>
      </c>
      <c r="C3359" t="s">
        <v>3291</v>
      </c>
      <c r="D3359" t="s">
        <v>85</v>
      </c>
      <c r="E3359" t="s">
        <v>86</v>
      </c>
      <c r="F3359" s="2">
        <v>2.53E-2</v>
      </c>
      <c r="G3359">
        <v>800</v>
      </c>
      <c r="H3359" s="2">
        <f>Tabla_Items_Inactivos[[#This Row],[EXISTENCIA]]*Tabla_Items_Inactivos[[#This Row],[COSTO]]</f>
        <v>20.239999999999998</v>
      </c>
    </row>
    <row r="3360" spans="1:8">
      <c r="A3360" t="s">
        <v>3301</v>
      </c>
      <c r="B3360" t="s">
        <v>3290</v>
      </c>
      <c r="C3360" t="s">
        <v>3291</v>
      </c>
      <c r="D3360" t="s">
        <v>85</v>
      </c>
      <c r="E3360" t="s">
        <v>86</v>
      </c>
      <c r="F3360" s="2">
        <v>2.53E-2</v>
      </c>
      <c r="G3360">
        <v>800</v>
      </c>
      <c r="H3360" s="2">
        <f>Tabla_Items_Inactivos[[#This Row],[EXISTENCIA]]*Tabla_Items_Inactivos[[#This Row],[COSTO]]</f>
        <v>20.239999999999998</v>
      </c>
    </row>
    <row r="3361" spans="1:8">
      <c r="A3361" t="s">
        <v>3300</v>
      </c>
      <c r="B3361" t="s">
        <v>2509</v>
      </c>
      <c r="C3361" t="s">
        <v>2510</v>
      </c>
      <c r="D3361" t="s">
        <v>228</v>
      </c>
      <c r="E3361" t="s">
        <v>86</v>
      </c>
      <c r="F3361" s="2">
        <v>8.4099999999999994E-2</v>
      </c>
      <c r="G3361">
        <v>2278</v>
      </c>
      <c r="H3361" s="2">
        <f>Tabla_Items_Inactivos[[#This Row],[EXISTENCIA]]*Tabla_Items_Inactivos[[#This Row],[COSTO]]</f>
        <v>191.57979999999998</v>
      </c>
    </row>
    <row r="3362" spans="1:8">
      <c r="A3362" t="s">
        <v>3301</v>
      </c>
      <c r="B3362" t="s">
        <v>2509</v>
      </c>
      <c r="C3362" t="s">
        <v>2510</v>
      </c>
      <c r="D3362" t="s">
        <v>228</v>
      </c>
      <c r="E3362" t="s">
        <v>86</v>
      </c>
      <c r="F3362" s="2">
        <v>8.4099999999999994E-2</v>
      </c>
      <c r="G3362">
        <v>2278</v>
      </c>
      <c r="H3362" s="2">
        <f>Tabla_Items_Inactivos[[#This Row],[EXISTENCIA]]*Tabla_Items_Inactivos[[#This Row],[COSTO]]</f>
        <v>191.57979999999998</v>
      </c>
    </row>
    <row r="3363" spans="1:8">
      <c r="A3363" t="s">
        <v>3300</v>
      </c>
      <c r="B3363" t="s">
        <v>2511</v>
      </c>
      <c r="C3363" t="s">
        <v>5437</v>
      </c>
      <c r="D3363" t="s">
        <v>228</v>
      </c>
      <c r="E3363" t="s">
        <v>86</v>
      </c>
      <c r="F3363" s="2">
        <v>0.18909999999999999</v>
      </c>
      <c r="G3363">
        <v>1854.78</v>
      </c>
      <c r="H3363" s="2">
        <f>Tabla_Items_Inactivos[[#This Row],[EXISTENCIA]]*Tabla_Items_Inactivos[[#This Row],[COSTO]]</f>
        <v>350.73889799999995</v>
      </c>
    </row>
    <row r="3364" spans="1:8">
      <c r="A3364" t="s">
        <v>3301</v>
      </c>
      <c r="B3364" t="s">
        <v>2511</v>
      </c>
      <c r="C3364" t="s">
        <v>5437</v>
      </c>
      <c r="D3364" t="s">
        <v>228</v>
      </c>
      <c r="E3364" t="s">
        <v>86</v>
      </c>
      <c r="F3364" s="2">
        <v>0.18909999999999999</v>
      </c>
      <c r="G3364">
        <v>1854.78</v>
      </c>
      <c r="H3364" s="2">
        <f>Tabla_Items_Inactivos[[#This Row],[EXISTENCIA]]*Tabla_Items_Inactivos[[#This Row],[COSTO]]</f>
        <v>350.73889799999995</v>
      </c>
    </row>
    <row r="3365" spans="1:8">
      <c r="A3365" t="s">
        <v>3301</v>
      </c>
      <c r="B3365" t="s">
        <v>5438</v>
      </c>
      <c r="C3365" t="s">
        <v>238</v>
      </c>
      <c r="D3365" t="s">
        <v>228</v>
      </c>
      <c r="E3365" t="s">
        <v>86</v>
      </c>
      <c r="F3365" s="2">
        <v>0.88900000000000001</v>
      </c>
      <c r="G3365">
        <v>1976</v>
      </c>
      <c r="H3365" s="2">
        <f>Tabla_Items_Inactivos[[#This Row],[EXISTENCIA]]*Tabla_Items_Inactivos[[#This Row],[COSTO]]</f>
        <v>1756.664</v>
      </c>
    </row>
    <row r="3366" spans="1:8">
      <c r="A3366" t="s">
        <v>3300</v>
      </c>
      <c r="B3366" t="s">
        <v>5438</v>
      </c>
      <c r="C3366" t="s">
        <v>238</v>
      </c>
      <c r="D3366" t="s">
        <v>228</v>
      </c>
      <c r="E3366" t="s">
        <v>86</v>
      </c>
      <c r="F3366" s="2">
        <v>0.88900000000000001</v>
      </c>
      <c r="G3366">
        <v>1976</v>
      </c>
      <c r="H3366" s="2">
        <f>Tabla_Items_Inactivos[[#This Row],[EXISTENCIA]]*Tabla_Items_Inactivos[[#This Row],[COSTO]]</f>
        <v>1756.664</v>
      </c>
    </row>
    <row r="3367" spans="1:8">
      <c r="A3367" t="s">
        <v>3300</v>
      </c>
      <c r="B3367" t="s">
        <v>2512</v>
      </c>
      <c r="C3367" t="s">
        <v>2513</v>
      </c>
      <c r="D3367" t="s">
        <v>228</v>
      </c>
      <c r="E3367" t="s">
        <v>86</v>
      </c>
      <c r="F3367" s="2">
        <v>1.216</v>
      </c>
      <c r="G3367">
        <v>23</v>
      </c>
      <c r="H3367" s="2">
        <f>Tabla_Items_Inactivos[[#This Row],[EXISTENCIA]]*Tabla_Items_Inactivos[[#This Row],[COSTO]]</f>
        <v>27.968</v>
      </c>
    </row>
    <row r="3368" spans="1:8">
      <c r="A3368" t="s">
        <v>3300</v>
      </c>
      <c r="B3368" t="s">
        <v>3293</v>
      </c>
      <c r="C3368" t="s">
        <v>3294</v>
      </c>
      <c r="D3368" t="s">
        <v>228</v>
      </c>
      <c r="E3368" t="s">
        <v>86</v>
      </c>
      <c r="F3368" s="2">
        <v>18.916</v>
      </c>
      <c r="G3368">
        <v>427</v>
      </c>
      <c r="H3368" s="2">
        <f>Tabla_Items_Inactivos[[#This Row],[EXISTENCIA]]*Tabla_Items_Inactivos[[#This Row],[COSTO]]</f>
        <v>8077.1320000000005</v>
      </c>
    </row>
    <row r="3369" spans="1:8">
      <c r="A3369" t="s">
        <v>3301</v>
      </c>
      <c r="B3369" t="s">
        <v>3293</v>
      </c>
      <c r="C3369" t="s">
        <v>3294</v>
      </c>
      <c r="D3369" t="s">
        <v>228</v>
      </c>
      <c r="E3369" t="s">
        <v>86</v>
      </c>
      <c r="F3369" s="2">
        <v>18.916</v>
      </c>
      <c r="G3369">
        <v>427</v>
      </c>
      <c r="H3369" s="2">
        <f>Tabla_Items_Inactivos[[#This Row],[EXISTENCIA]]*Tabla_Items_Inactivos[[#This Row],[COSTO]]</f>
        <v>8077.1320000000005</v>
      </c>
    </row>
    <row r="3370" spans="1:8">
      <c r="A3370" t="s">
        <v>3300</v>
      </c>
      <c r="B3370" t="s">
        <v>3296</v>
      </c>
      <c r="C3370" t="s">
        <v>3297</v>
      </c>
      <c r="D3370" t="s">
        <v>228</v>
      </c>
      <c r="E3370" t="s">
        <v>86</v>
      </c>
      <c r="F3370" s="2">
        <v>1.3687</v>
      </c>
      <c r="G3370">
        <v>1236</v>
      </c>
      <c r="H3370" s="2">
        <f>Tabla_Items_Inactivos[[#This Row],[EXISTENCIA]]*Tabla_Items_Inactivos[[#This Row],[COSTO]]</f>
        <v>1691.7132000000001</v>
      </c>
    </row>
    <row r="3371" spans="1:8">
      <c r="A3371" t="s">
        <v>3301</v>
      </c>
      <c r="B3371" t="s">
        <v>3296</v>
      </c>
      <c r="C3371" t="s">
        <v>3297</v>
      </c>
      <c r="D3371" t="s">
        <v>228</v>
      </c>
      <c r="E3371" t="s">
        <v>86</v>
      </c>
      <c r="F3371" s="2">
        <v>1.3687</v>
      </c>
      <c r="G3371">
        <v>1236</v>
      </c>
      <c r="H3371" s="2">
        <f>Tabla_Items_Inactivos[[#This Row],[EXISTENCIA]]*Tabla_Items_Inactivos[[#This Row],[COSTO]]</f>
        <v>1691.7132000000001</v>
      </c>
    </row>
    <row r="3372" spans="1:8">
      <c r="A3372" t="s">
        <v>3299</v>
      </c>
      <c r="B3372" t="s">
        <v>3296</v>
      </c>
      <c r="C3372" t="s">
        <v>3297</v>
      </c>
      <c r="D3372" t="s">
        <v>228</v>
      </c>
      <c r="E3372" t="s">
        <v>86</v>
      </c>
      <c r="F3372" s="2">
        <v>1.3687</v>
      </c>
      <c r="G3372">
        <v>1236</v>
      </c>
      <c r="H3372" s="2">
        <f>Tabla_Items_Inactivos[[#This Row],[EXISTENCIA]]*Tabla_Items_Inactivos[[#This Row],[COSTO]]</f>
        <v>1691.7132000000001</v>
      </c>
    </row>
    <row r="3373" spans="1:8">
      <c r="A3373" t="s">
        <v>3300</v>
      </c>
      <c r="B3373" t="s">
        <v>2514</v>
      </c>
      <c r="C3373" t="s">
        <v>2515</v>
      </c>
      <c r="D3373" t="s">
        <v>228</v>
      </c>
      <c r="E3373" t="s">
        <v>86</v>
      </c>
      <c r="F3373" s="2">
        <v>12</v>
      </c>
      <c r="G3373">
        <v>4</v>
      </c>
      <c r="H3373" s="2">
        <f>Tabla_Items_Inactivos[[#This Row],[EXISTENCIA]]*Tabla_Items_Inactivos[[#This Row],[COSTO]]</f>
        <v>48</v>
      </c>
    </row>
    <row r="3374" spans="1:8">
      <c r="A3374" t="s">
        <v>3301</v>
      </c>
      <c r="B3374" t="s">
        <v>2514</v>
      </c>
      <c r="C3374" t="s">
        <v>2515</v>
      </c>
      <c r="D3374" t="s">
        <v>228</v>
      </c>
      <c r="E3374" t="s">
        <v>86</v>
      </c>
      <c r="F3374" s="2">
        <v>12</v>
      </c>
      <c r="G3374">
        <v>4</v>
      </c>
      <c r="H3374" s="2">
        <f>Tabla_Items_Inactivos[[#This Row],[EXISTENCIA]]*Tabla_Items_Inactivos[[#This Row],[COSTO]]</f>
        <v>48</v>
      </c>
    </row>
    <row r="3375" spans="1:8">
      <c r="A3375" t="s">
        <v>3300</v>
      </c>
      <c r="B3375" t="s">
        <v>5439</v>
      </c>
      <c r="C3375" t="s">
        <v>5440</v>
      </c>
      <c r="D3375" t="s">
        <v>228</v>
      </c>
      <c r="E3375" t="s">
        <v>86</v>
      </c>
      <c r="F3375" s="2">
        <v>8.4968000000000004</v>
      </c>
      <c r="G3375">
        <v>10</v>
      </c>
      <c r="H3375" s="2">
        <f>Tabla_Items_Inactivos[[#This Row],[EXISTENCIA]]*Tabla_Items_Inactivos[[#This Row],[COSTO]]</f>
        <v>84.968000000000004</v>
      </c>
    </row>
    <row r="3376" spans="1:8">
      <c r="A3376" t="s">
        <v>3301</v>
      </c>
      <c r="B3376" t="s">
        <v>5439</v>
      </c>
      <c r="C3376" t="s">
        <v>5440</v>
      </c>
      <c r="D3376" t="s">
        <v>228</v>
      </c>
      <c r="E3376" t="s">
        <v>86</v>
      </c>
      <c r="F3376" s="2">
        <v>8.4968000000000004</v>
      </c>
      <c r="G3376">
        <v>10</v>
      </c>
      <c r="H3376" s="2">
        <f>Tabla_Items_Inactivos[[#This Row],[EXISTENCIA]]*Tabla_Items_Inactivos[[#This Row],[COSTO]]</f>
        <v>84.968000000000004</v>
      </c>
    </row>
    <row r="3377" spans="1:8">
      <c r="A3377" t="s">
        <v>3299</v>
      </c>
      <c r="B3377" t="s">
        <v>5439</v>
      </c>
      <c r="C3377" t="s">
        <v>5440</v>
      </c>
      <c r="D3377" t="s">
        <v>228</v>
      </c>
      <c r="E3377" t="s">
        <v>86</v>
      </c>
      <c r="F3377" s="2">
        <v>8.4968000000000004</v>
      </c>
      <c r="G3377">
        <v>10</v>
      </c>
      <c r="H3377" s="2">
        <f>Tabla_Items_Inactivos[[#This Row],[EXISTENCIA]]*Tabla_Items_Inactivos[[#This Row],[COSTO]]</f>
        <v>84.968000000000004</v>
      </c>
    </row>
    <row r="3378" spans="1:8">
      <c r="A3378" t="s">
        <v>3301</v>
      </c>
      <c r="B3378" t="s">
        <v>2516</v>
      </c>
      <c r="C3378" t="s">
        <v>2517</v>
      </c>
      <c r="D3378" t="s">
        <v>3537</v>
      </c>
      <c r="E3378" t="s">
        <v>86</v>
      </c>
      <c r="F3378" s="2">
        <v>0.54479999999999995</v>
      </c>
      <c r="G3378">
        <v>2</v>
      </c>
      <c r="H3378" s="2">
        <f>Tabla_Items_Inactivos[[#This Row],[EXISTENCIA]]*Tabla_Items_Inactivos[[#This Row],[COSTO]]</f>
        <v>1.0895999999999999</v>
      </c>
    </row>
    <row r="3379" spans="1:8">
      <c r="A3379" t="s">
        <v>3300</v>
      </c>
      <c r="B3379" t="s">
        <v>2516</v>
      </c>
      <c r="C3379" t="s">
        <v>2517</v>
      </c>
      <c r="D3379" t="s">
        <v>3537</v>
      </c>
      <c r="E3379" t="s">
        <v>86</v>
      </c>
      <c r="F3379" s="2">
        <v>0.54479999999999995</v>
      </c>
      <c r="G3379">
        <v>2</v>
      </c>
      <c r="H3379" s="2">
        <f>Tabla_Items_Inactivos[[#This Row],[EXISTENCIA]]*Tabla_Items_Inactivos[[#This Row],[COSTO]]</f>
        <v>1.0895999999999999</v>
      </c>
    </row>
    <row r="3380" spans="1:8">
      <c r="A3380" t="s">
        <v>3300</v>
      </c>
      <c r="B3380" t="s">
        <v>3298</v>
      </c>
      <c r="C3380" t="s">
        <v>5441</v>
      </c>
      <c r="D3380" t="s">
        <v>228</v>
      </c>
      <c r="E3380" t="s">
        <v>86</v>
      </c>
      <c r="F3380" s="2">
        <v>0.43540000000000001</v>
      </c>
      <c r="G3380">
        <v>82</v>
      </c>
      <c r="H3380" s="2">
        <f>Tabla_Items_Inactivos[[#This Row],[EXISTENCIA]]*Tabla_Items_Inactivos[[#This Row],[COSTO]]</f>
        <v>35.702800000000003</v>
      </c>
    </row>
    <row r="3381" spans="1:8">
      <c r="A3381" t="s">
        <v>3301</v>
      </c>
      <c r="B3381" t="s">
        <v>3298</v>
      </c>
      <c r="C3381" t="s">
        <v>5441</v>
      </c>
      <c r="D3381" t="s">
        <v>228</v>
      </c>
      <c r="E3381" t="s">
        <v>86</v>
      </c>
      <c r="F3381" s="2">
        <v>0.43540000000000001</v>
      </c>
      <c r="G3381">
        <v>82</v>
      </c>
      <c r="H3381" s="2">
        <f>Tabla_Items_Inactivos[[#This Row],[EXISTENCIA]]*Tabla_Items_Inactivos[[#This Row],[COSTO]]</f>
        <v>35.702800000000003</v>
      </c>
    </row>
    <row r="3382" spans="1:8">
      <c r="A3382" t="s">
        <v>3299</v>
      </c>
      <c r="B3382" t="s">
        <v>3298</v>
      </c>
      <c r="C3382" t="s">
        <v>5441</v>
      </c>
      <c r="D3382" t="s">
        <v>228</v>
      </c>
      <c r="E3382" t="s">
        <v>86</v>
      </c>
      <c r="F3382" s="2">
        <v>0.43540000000000001</v>
      </c>
      <c r="G3382">
        <v>82</v>
      </c>
      <c r="H3382" s="2">
        <f>Tabla_Items_Inactivos[[#This Row],[EXISTENCIA]]*Tabla_Items_Inactivos[[#This Row],[COSTO]]</f>
        <v>35.702800000000003</v>
      </c>
    </row>
    <row r="3383" spans="1:8">
      <c r="A3383" t="s">
        <v>3300</v>
      </c>
      <c r="B3383" t="s">
        <v>5442</v>
      </c>
      <c r="C3383" t="s">
        <v>5443</v>
      </c>
      <c r="D3383" t="s">
        <v>228</v>
      </c>
      <c r="E3383" t="s">
        <v>86</v>
      </c>
      <c r="F3383" s="2">
        <v>1.5860000000000001</v>
      </c>
      <c r="G3383">
        <v>52</v>
      </c>
      <c r="H3383" s="2">
        <f>Tabla_Items_Inactivos[[#This Row],[EXISTENCIA]]*Tabla_Items_Inactivos[[#This Row],[COSTO]]</f>
        <v>82.472000000000008</v>
      </c>
    </row>
    <row r="3384" spans="1:8">
      <c r="A3384" t="s">
        <v>3300</v>
      </c>
      <c r="B3384" t="s">
        <v>5444</v>
      </c>
      <c r="C3384" t="s">
        <v>5445</v>
      </c>
      <c r="D3384" t="s">
        <v>481</v>
      </c>
      <c r="E3384" t="s">
        <v>86</v>
      </c>
      <c r="F3384" s="2">
        <v>267.91059999999999</v>
      </c>
      <c r="G3384">
        <v>7</v>
      </c>
      <c r="H3384" s="2">
        <f>Tabla_Items_Inactivos[[#This Row],[EXISTENCIA]]*Tabla_Items_Inactivos[[#This Row],[COSTO]]</f>
        <v>1875.3742</v>
      </c>
    </row>
    <row r="3385" spans="1:8">
      <c r="A3385" t="s">
        <v>3301</v>
      </c>
      <c r="B3385" t="s">
        <v>5444</v>
      </c>
      <c r="C3385" t="s">
        <v>5445</v>
      </c>
      <c r="D3385" t="s">
        <v>481</v>
      </c>
      <c r="E3385" t="s">
        <v>86</v>
      </c>
      <c r="F3385" s="2">
        <v>267.91059999999999</v>
      </c>
      <c r="G3385">
        <v>7</v>
      </c>
      <c r="H3385" s="2">
        <f>Tabla_Items_Inactivos[[#This Row],[EXISTENCIA]]*Tabla_Items_Inactivos[[#This Row],[COSTO]]</f>
        <v>1875.3742</v>
      </c>
    </row>
    <row r="3386" spans="1:8">
      <c r="A3386" t="s">
        <v>3300</v>
      </c>
      <c r="B3386" t="s">
        <v>2519</v>
      </c>
      <c r="C3386" t="s">
        <v>2520</v>
      </c>
      <c r="D3386" t="s">
        <v>89</v>
      </c>
      <c r="E3386" t="s">
        <v>86</v>
      </c>
      <c r="F3386" s="2">
        <v>335.89260000000002</v>
      </c>
      <c r="G3386">
        <v>1</v>
      </c>
      <c r="H3386" s="2">
        <f>Tabla_Items_Inactivos[[#This Row],[EXISTENCIA]]*Tabla_Items_Inactivos[[#This Row],[COSTO]]</f>
        <v>335.89260000000002</v>
      </c>
    </row>
    <row r="3387" spans="1:8">
      <c r="A3387" t="s">
        <v>3301</v>
      </c>
      <c r="B3387" t="s">
        <v>5446</v>
      </c>
      <c r="C3387" t="s">
        <v>5447</v>
      </c>
      <c r="D3387" t="s">
        <v>228</v>
      </c>
      <c r="E3387" t="s">
        <v>86</v>
      </c>
      <c r="F3387" s="2">
        <v>40.769199999999998</v>
      </c>
      <c r="G3387">
        <v>14</v>
      </c>
      <c r="H3387" s="2">
        <f>Tabla_Items_Inactivos[[#This Row],[EXISTENCIA]]*Tabla_Items_Inactivos[[#This Row],[COSTO]]</f>
        <v>570.76879999999994</v>
      </c>
    </row>
    <row r="3388" spans="1:8">
      <c r="A3388" t="s">
        <v>3300</v>
      </c>
      <c r="B3388" t="s">
        <v>5446</v>
      </c>
      <c r="C3388" t="s">
        <v>5447</v>
      </c>
      <c r="D3388" t="s">
        <v>228</v>
      </c>
      <c r="E3388" t="s">
        <v>86</v>
      </c>
      <c r="F3388" s="2">
        <v>40.769199999999998</v>
      </c>
      <c r="G3388">
        <v>14</v>
      </c>
      <c r="H3388" s="2">
        <f>Tabla_Items_Inactivos[[#This Row],[EXISTENCIA]]*Tabla_Items_Inactivos[[#This Row],[COSTO]]</f>
        <v>570.76879999999994</v>
      </c>
    </row>
    <row r="3389" spans="1:8">
      <c r="A3389" t="s">
        <v>3300</v>
      </c>
      <c r="B3389" t="s">
        <v>2521</v>
      </c>
      <c r="C3389" t="s">
        <v>2522</v>
      </c>
      <c r="D3389" t="s">
        <v>228</v>
      </c>
      <c r="E3389" t="s">
        <v>86</v>
      </c>
      <c r="F3389" s="2">
        <v>14.164</v>
      </c>
      <c r="G3389">
        <v>1</v>
      </c>
      <c r="H3389" s="2">
        <f>Tabla_Items_Inactivos[[#This Row],[EXISTENCIA]]*Tabla_Items_Inactivos[[#This Row],[COSTO]]</f>
        <v>14.164</v>
      </c>
    </row>
    <row r="3390" spans="1:8">
      <c r="A3390" t="s">
        <v>3301</v>
      </c>
      <c r="B3390" t="s">
        <v>5448</v>
      </c>
      <c r="C3390" t="s">
        <v>5449</v>
      </c>
      <c r="D3390" t="s">
        <v>85</v>
      </c>
      <c r="E3390" t="s">
        <v>86</v>
      </c>
      <c r="F3390" s="2">
        <v>3.9</v>
      </c>
      <c r="G3390">
        <v>1</v>
      </c>
      <c r="H3390" s="2">
        <f>Tabla_Items_Inactivos[[#This Row],[EXISTENCIA]]*Tabla_Items_Inactivos[[#This Row],[COSTO]]</f>
        <v>3.9</v>
      </c>
    </row>
    <row r="3391" spans="1:8">
      <c r="A3391" t="s">
        <v>3300</v>
      </c>
      <c r="B3391" t="s">
        <v>2523</v>
      </c>
      <c r="C3391" t="s">
        <v>2524</v>
      </c>
      <c r="D3391" t="s">
        <v>85</v>
      </c>
      <c r="E3391" t="s">
        <v>86</v>
      </c>
      <c r="F3391" s="2">
        <v>7.92</v>
      </c>
      <c r="G3391">
        <v>1</v>
      </c>
      <c r="H3391" s="2">
        <f>Tabla_Items_Inactivos[[#This Row],[EXISTENCIA]]*Tabla_Items_Inactivos[[#This Row],[COSTO]]</f>
        <v>7.92</v>
      </c>
    </row>
    <row r="3392" spans="1:8">
      <c r="A3392" t="s">
        <v>3301</v>
      </c>
      <c r="B3392" t="s">
        <v>5450</v>
      </c>
      <c r="C3392" t="s">
        <v>5451</v>
      </c>
      <c r="D3392" t="s">
        <v>85</v>
      </c>
      <c r="E3392" t="s">
        <v>86</v>
      </c>
      <c r="F3392" s="2">
        <v>0.97</v>
      </c>
      <c r="G3392">
        <v>1</v>
      </c>
      <c r="H3392" s="2">
        <f>Tabla_Items_Inactivos[[#This Row],[EXISTENCIA]]*Tabla_Items_Inactivos[[#This Row],[COSTO]]</f>
        <v>0.97</v>
      </c>
    </row>
    <row r="3393" spans="1:8">
      <c r="A3393" t="s">
        <v>3301</v>
      </c>
      <c r="B3393" t="s">
        <v>5452</v>
      </c>
      <c r="C3393" t="s">
        <v>5453</v>
      </c>
      <c r="D3393" t="s">
        <v>85</v>
      </c>
      <c r="E3393" t="s">
        <v>86</v>
      </c>
      <c r="F3393" s="2">
        <v>7.02</v>
      </c>
      <c r="G3393">
        <v>1</v>
      </c>
      <c r="H3393" s="2">
        <f>Tabla_Items_Inactivos[[#This Row],[EXISTENCIA]]*Tabla_Items_Inactivos[[#This Row],[COSTO]]</f>
        <v>7.02</v>
      </c>
    </row>
    <row r="3394" spans="1:8">
      <c r="A3394" t="s">
        <v>3300</v>
      </c>
      <c r="B3394" t="s">
        <v>5454</v>
      </c>
      <c r="C3394" t="s">
        <v>5455</v>
      </c>
      <c r="D3394" t="s">
        <v>85</v>
      </c>
      <c r="E3394" t="s">
        <v>86</v>
      </c>
      <c r="F3394" s="2">
        <v>6.8249000000000004</v>
      </c>
      <c r="G3394">
        <v>2</v>
      </c>
      <c r="H3394" s="2">
        <f>Tabla_Items_Inactivos[[#This Row],[EXISTENCIA]]*Tabla_Items_Inactivos[[#This Row],[COSTO]]</f>
        <v>13.649800000000001</v>
      </c>
    </row>
    <row r="3395" spans="1:8">
      <c r="A3395" t="s">
        <v>3301</v>
      </c>
      <c r="B3395" t="s">
        <v>5454</v>
      </c>
      <c r="C3395" t="s">
        <v>5455</v>
      </c>
      <c r="D3395" t="s">
        <v>85</v>
      </c>
      <c r="E3395" t="s">
        <v>86</v>
      </c>
      <c r="F3395" s="2">
        <v>6.8249000000000004</v>
      </c>
      <c r="G3395">
        <v>2</v>
      </c>
      <c r="H3395" s="2">
        <f>Tabla_Items_Inactivos[[#This Row],[EXISTENCIA]]*Tabla_Items_Inactivos[[#This Row],[COSTO]]</f>
        <v>13.649800000000001</v>
      </c>
    </row>
    <row r="3396" spans="1:8">
      <c r="A3396" t="s">
        <v>3301</v>
      </c>
      <c r="B3396" t="s">
        <v>5456</v>
      </c>
      <c r="C3396" t="s">
        <v>5457</v>
      </c>
      <c r="D3396" t="s">
        <v>85</v>
      </c>
      <c r="E3396" t="s">
        <v>86</v>
      </c>
      <c r="F3396" s="2">
        <v>1.94</v>
      </c>
      <c r="G3396">
        <v>2</v>
      </c>
      <c r="H3396" s="2">
        <f>Tabla_Items_Inactivos[[#This Row],[EXISTENCIA]]*Tabla_Items_Inactivos[[#This Row],[COSTO]]</f>
        <v>3.88</v>
      </c>
    </row>
    <row r="3397" spans="1:8">
      <c r="A3397" t="s">
        <v>3301</v>
      </c>
      <c r="B3397" t="s">
        <v>5458</v>
      </c>
      <c r="C3397" t="s">
        <v>5459</v>
      </c>
      <c r="D3397" t="s">
        <v>85</v>
      </c>
      <c r="E3397" t="s">
        <v>86</v>
      </c>
      <c r="F3397" s="2">
        <v>5.83</v>
      </c>
      <c r="G3397">
        <v>1</v>
      </c>
      <c r="H3397" s="2">
        <f>Tabla_Items_Inactivos[[#This Row],[EXISTENCIA]]*Tabla_Items_Inactivos[[#This Row],[COSTO]]</f>
        <v>5.83</v>
      </c>
    </row>
    <row r="3398" spans="1:8">
      <c r="A3398" t="s">
        <v>3300</v>
      </c>
      <c r="B3398" t="s">
        <v>2525</v>
      </c>
      <c r="C3398" t="s">
        <v>2526</v>
      </c>
      <c r="D3398" t="s">
        <v>85</v>
      </c>
      <c r="E3398" t="s">
        <v>86</v>
      </c>
      <c r="F3398" s="2">
        <v>60.06</v>
      </c>
      <c r="G3398">
        <v>1</v>
      </c>
      <c r="H3398" s="2">
        <f>Tabla_Items_Inactivos[[#This Row],[EXISTENCIA]]*Tabla_Items_Inactivos[[#This Row],[COSTO]]</f>
        <v>60.06</v>
      </c>
    </row>
    <row r="3399" spans="1:8">
      <c r="A3399" t="s">
        <v>3300</v>
      </c>
      <c r="B3399" t="s">
        <v>2527</v>
      </c>
      <c r="C3399" t="s">
        <v>2528</v>
      </c>
      <c r="D3399" t="s">
        <v>31</v>
      </c>
      <c r="E3399" t="s">
        <v>1931</v>
      </c>
      <c r="F3399" s="2">
        <v>37.774999999999999</v>
      </c>
      <c r="G3399">
        <v>1</v>
      </c>
      <c r="H3399" s="2">
        <f>Tabla_Items_Inactivos[[#This Row],[EXISTENCIA]]*Tabla_Items_Inactivos[[#This Row],[COSTO]]</f>
        <v>37.774999999999999</v>
      </c>
    </row>
    <row r="3400" spans="1:8">
      <c r="A3400" t="s">
        <v>3301</v>
      </c>
      <c r="B3400" t="s">
        <v>5460</v>
      </c>
      <c r="C3400" t="s">
        <v>5461</v>
      </c>
      <c r="D3400" t="s">
        <v>85</v>
      </c>
      <c r="E3400" t="s">
        <v>86</v>
      </c>
      <c r="F3400" s="2">
        <v>13.24</v>
      </c>
      <c r="G3400">
        <v>1</v>
      </c>
      <c r="H3400" s="2">
        <f>Tabla_Items_Inactivos[[#This Row],[EXISTENCIA]]*Tabla_Items_Inactivos[[#This Row],[COSTO]]</f>
        <v>13.24</v>
      </c>
    </row>
    <row r="3401" spans="1:8">
      <c r="A3401" t="s">
        <v>3301</v>
      </c>
      <c r="B3401" t="s">
        <v>2529</v>
      </c>
      <c r="C3401" t="s">
        <v>2530</v>
      </c>
      <c r="D3401" t="s">
        <v>5081</v>
      </c>
      <c r="E3401" t="s">
        <v>125</v>
      </c>
      <c r="F3401" s="2">
        <v>2.8946999999999998</v>
      </c>
      <c r="G3401">
        <v>1</v>
      </c>
      <c r="H3401" s="2">
        <f>Tabla_Items_Inactivos[[#This Row],[EXISTENCIA]]*Tabla_Items_Inactivos[[#This Row],[COSTO]]</f>
        <v>2.8946999999999998</v>
      </c>
    </row>
    <row r="3402" spans="1:8">
      <c r="A3402" t="s">
        <v>3300</v>
      </c>
      <c r="B3402" t="s">
        <v>2529</v>
      </c>
      <c r="C3402" t="s">
        <v>2530</v>
      </c>
      <c r="D3402" t="s">
        <v>5081</v>
      </c>
      <c r="E3402" t="s">
        <v>125</v>
      </c>
      <c r="F3402" s="2">
        <v>2.8946999999999998</v>
      </c>
      <c r="G3402">
        <v>1</v>
      </c>
      <c r="H3402" s="2">
        <f>Tabla_Items_Inactivos[[#This Row],[EXISTENCIA]]*Tabla_Items_Inactivos[[#This Row],[COSTO]]</f>
        <v>2.8946999999999998</v>
      </c>
    </row>
    <row r="3403" spans="1:8">
      <c r="A3403" t="s">
        <v>3301</v>
      </c>
      <c r="B3403" t="s">
        <v>5462</v>
      </c>
      <c r="C3403" t="s">
        <v>5463</v>
      </c>
      <c r="D3403" t="s">
        <v>85</v>
      </c>
      <c r="E3403" t="s">
        <v>86</v>
      </c>
      <c r="F3403" s="2">
        <v>5.24</v>
      </c>
      <c r="G3403">
        <v>1</v>
      </c>
      <c r="H3403" s="2">
        <f>Tabla_Items_Inactivos[[#This Row],[EXISTENCIA]]*Tabla_Items_Inactivos[[#This Row],[COSTO]]</f>
        <v>5.24</v>
      </c>
    </row>
    <row r="3404" spans="1:8">
      <c r="A3404" t="s">
        <v>3300</v>
      </c>
      <c r="B3404" t="s">
        <v>2531</v>
      </c>
      <c r="C3404" t="s">
        <v>2532</v>
      </c>
      <c r="D3404" t="s">
        <v>31</v>
      </c>
      <c r="E3404" t="s">
        <v>1931</v>
      </c>
      <c r="F3404" s="2">
        <v>27.276</v>
      </c>
      <c r="G3404">
        <v>1</v>
      </c>
      <c r="H3404" s="2">
        <f>Tabla_Items_Inactivos[[#This Row],[EXISTENCIA]]*Tabla_Items_Inactivos[[#This Row],[COSTO]]</f>
        <v>27.276</v>
      </c>
    </row>
    <row r="3405" spans="1:8">
      <c r="A3405" t="s">
        <v>3300</v>
      </c>
      <c r="B3405" t="s">
        <v>2533</v>
      </c>
      <c r="C3405" t="s">
        <v>2534</v>
      </c>
      <c r="D3405" t="s">
        <v>3375</v>
      </c>
      <c r="E3405" t="s">
        <v>125</v>
      </c>
      <c r="F3405" s="2">
        <v>63.865299999999998</v>
      </c>
      <c r="G3405">
        <v>2</v>
      </c>
      <c r="H3405" s="2">
        <f>Tabla_Items_Inactivos[[#This Row],[EXISTENCIA]]*Tabla_Items_Inactivos[[#This Row],[COSTO]]</f>
        <v>127.7306</v>
      </c>
    </row>
    <row r="3406" spans="1:8">
      <c r="A3406" t="s">
        <v>3301</v>
      </c>
      <c r="B3406" t="s">
        <v>2533</v>
      </c>
      <c r="C3406" t="s">
        <v>2534</v>
      </c>
      <c r="D3406" t="s">
        <v>3375</v>
      </c>
      <c r="E3406" t="s">
        <v>125</v>
      </c>
      <c r="F3406" s="2">
        <v>63.865299999999998</v>
      </c>
      <c r="G3406">
        <v>2</v>
      </c>
      <c r="H3406" s="2">
        <f>Tabla_Items_Inactivos[[#This Row],[EXISTENCIA]]*Tabla_Items_Inactivos[[#This Row],[COSTO]]</f>
        <v>127.7306</v>
      </c>
    </row>
    <row r="3407" spans="1:8">
      <c r="A3407" t="s">
        <v>3301</v>
      </c>
      <c r="B3407" t="s">
        <v>5464</v>
      </c>
      <c r="C3407" t="s">
        <v>2535</v>
      </c>
      <c r="D3407" t="s">
        <v>3375</v>
      </c>
      <c r="E3407" t="s">
        <v>125</v>
      </c>
      <c r="F3407" s="2">
        <v>44.355800000000002</v>
      </c>
      <c r="G3407">
        <v>4</v>
      </c>
      <c r="H3407" s="2">
        <f>Tabla_Items_Inactivos[[#This Row],[EXISTENCIA]]*Tabla_Items_Inactivos[[#This Row],[COSTO]]</f>
        <v>177.42320000000001</v>
      </c>
    </row>
    <row r="3408" spans="1:8">
      <c r="A3408" t="s">
        <v>3300</v>
      </c>
      <c r="B3408" t="s">
        <v>5464</v>
      </c>
      <c r="C3408" t="s">
        <v>2535</v>
      </c>
      <c r="D3408" t="s">
        <v>3375</v>
      </c>
      <c r="E3408" t="s">
        <v>125</v>
      </c>
      <c r="F3408" s="2">
        <v>44.355800000000002</v>
      </c>
      <c r="G3408">
        <v>4</v>
      </c>
      <c r="H3408" s="2">
        <f>Tabla_Items_Inactivos[[#This Row],[EXISTENCIA]]*Tabla_Items_Inactivos[[#This Row],[COSTO]]</f>
        <v>177.42320000000001</v>
      </c>
    </row>
    <row r="3409" spans="1:8">
      <c r="A3409" t="s">
        <v>3300</v>
      </c>
      <c r="B3409" t="s">
        <v>2536</v>
      </c>
      <c r="C3409" t="s">
        <v>2537</v>
      </c>
      <c r="D3409" t="s">
        <v>31</v>
      </c>
      <c r="E3409" t="s">
        <v>1931</v>
      </c>
      <c r="F3409" s="2">
        <v>132.31</v>
      </c>
      <c r="G3409">
        <v>1</v>
      </c>
      <c r="H3409" s="2">
        <f>Tabla_Items_Inactivos[[#This Row],[EXISTENCIA]]*Tabla_Items_Inactivos[[#This Row],[COSTO]]</f>
        <v>132.31</v>
      </c>
    </row>
    <row r="3410" spans="1:8">
      <c r="A3410" t="s">
        <v>3300</v>
      </c>
      <c r="B3410" t="s">
        <v>2538</v>
      </c>
      <c r="C3410" t="s">
        <v>2539</v>
      </c>
      <c r="D3410" t="s">
        <v>3375</v>
      </c>
      <c r="E3410" t="s">
        <v>125</v>
      </c>
      <c r="F3410" s="2">
        <v>107.55159999999999</v>
      </c>
      <c r="G3410">
        <v>1</v>
      </c>
      <c r="H3410" s="2">
        <f>Tabla_Items_Inactivos[[#This Row],[EXISTENCIA]]*Tabla_Items_Inactivos[[#This Row],[COSTO]]</f>
        <v>107.55159999999999</v>
      </c>
    </row>
    <row r="3411" spans="1:8">
      <c r="A3411" t="s">
        <v>3301</v>
      </c>
      <c r="B3411" t="s">
        <v>2538</v>
      </c>
      <c r="C3411" t="s">
        <v>2539</v>
      </c>
      <c r="D3411" t="s">
        <v>3375</v>
      </c>
      <c r="E3411" t="s">
        <v>125</v>
      </c>
      <c r="F3411" s="2">
        <v>107.55159999999999</v>
      </c>
      <c r="G3411">
        <v>1</v>
      </c>
      <c r="H3411" s="2">
        <f>Tabla_Items_Inactivos[[#This Row],[EXISTENCIA]]*Tabla_Items_Inactivos[[#This Row],[COSTO]]</f>
        <v>107.55159999999999</v>
      </c>
    </row>
    <row r="3412" spans="1:8">
      <c r="A3412" t="s">
        <v>3301</v>
      </c>
      <c r="B3412" t="s">
        <v>2540</v>
      </c>
      <c r="C3412" t="s">
        <v>2541</v>
      </c>
      <c r="D3412" t="s">
        <v>3375</v>
      </c>
      <c r="E3412" t="s">
        <v>125</v>
      </c>
      <c r="F3412" s="2">
        <v>116.24079999999999</v>
      </c>
      <c r="G3412">
        <v>2</v>
      </c>
      <c r="H3412" s="2">
        <f>Tabla_Items_Inactivos[[#This Row],[EXISTENCIA]]*Tabla_Items_Inactivos[[#This Row],[COSTO]]</f>
        <v>232.48159999999999</v>
      </c>
    </row>
    <row r="3413" spans="1:8">
      <c r="A3413" t="s">
        <v>3300</v>
      </c>
      <c r="B3413" t="s">
        <v>2540</v>
      </c>
      <c r="C3413" t="s">
        <v>2541</v>
      </c>
      <c r="D3413" t="s">
        <v>3375</v>
      </c>
      <c r="E3413" t="s">
        <v>125</v>
      </c>
      <c r="F3413" s="2">
        <v>116.24079999999999</v>
      </c>
      <c r="G3413">
        <v>2</v>
      </c>
      <c r="H3413" s="2">
        <f>Tabla_Items_Inactivos[[#This Row],[EXISTENCIA]]*Tabla_Items_Inactivos[[#This Row],[COSTO]]</f>
        <v>232.48159999999999</v>
      </c>
    </row>
    <row r="3414" spans="1:8">
      <c r="A3414" t="s">
        <v>3300</v>
      </c>
      <c r="B3414" t="s">
        <v>2543</v>
      </c>
      <c r="C3414" t="s">
        <v>2544</v>
      </c>
      <c r="D3414" t="s">
        <v>31</v>
      </c>
      <c r="E3414" t="s">
        <v>1931</v>
      </c>
      <c r="F3414" s="2">
        <v>2.74</v>
      </c>
      <c r="G3414">
        <v>4</v>
      </c>
      <c r="H3414" s="2">
        <f>Tabla_Items_Inactivos[[#This Row],[EXISTENCIA]]*Tabla_Items_Inactivos[[#This Row],[COSTO]]</f>
        <v>10.96</v>
      </c>
    </row>
    <row r="3415" spans="1:8">
      <c r="A3415" t="s">
        <v>3300</v>
      </c>
      <c r="B3415" t="s">
        <v>2545</v>
      </c>
      <c r="C3415" t="s">
        <v>2546</v>
      </c>
      <c r="D3415" t="s">
        <v>1044</v>
      </c>
      <c r="E3415" t="s">
        <v>125</v>
      </c>
      <c r="F3415" s="2">
        <v>9.41</v>
      </c>
      <c r="G3415">
        <v>4</v>
      </c>
      <c r="H3415" s="2">
        <f>Tabla_Items_Inactivos[[#This Row],[EXISTENCIA]]*Tabla_Items_Inactivos[[#This Row],[COSTO]]</f>
        <v>37.64</v>
      </c>
    </row>
    <row r="3416" spans="1:8">
      <c r="A3416" t="s">
        <v>3300</v>
      </c>
      <c r="B3416" t="s">
        <v>2547</v>
      </c>
      <c r="C3416" t="s">
        <v>2548</v>
      </c>
      <c r="D3416" t="s">
        <v>31</v>
      </c>
      <c r="E3416" t="s">
        <v>1931</v>
      </c>
      <c r="F3416" s="2">
        <v>22.66</v>
      </c>
      <c r="G3416">
        <v>1</v>
      </c>
      <c r="H3416" s="2">
        <f>Tabla_Items_Inactivos[[#This Row],[EXISTENCIA]]*Tabla_Items_Inactivos[[#This Row],[COSTO]]</f>
        <v>22.66</v>
      </c>
    </row>
    <row r="3417" spans="1:8">
      <c r="A3417" t="s">
        <v>3300</v>
      </c>
      <c r="B3417" t="s">
        <v>2549</v>
      </c>
      <c r="C3417" t="s">
        <v>2550</v>
      </c>
      <c r="D3417" t="s">
        <v>1044</v>
      </c>
      <c r="E3417" t="s">
        <v>125</v>
      </c>
      <c r="F3417" s="2">
        <v>34.18</v>
      </c>
      <c r="G3417">
        <v>1</v>
      </c>
      <c r="H3417" s="2">
        <f>Tabla_Items_Inactivos[[#This Row],[EXISTENCIA]]*Tabla_Items_Inactivos[[#This Row],[COSTO]]</f>
        <v>34.18</v>
      </c>
    </row>
    <row r="3418" spans="1:8">
      <c r="A3418" t="s">
        <v>3300</v>
      </c>
      <c r="B3418" t="s">
        <v>2551</v>
      </c>
      <c r="C3418" t="s">
        <v>2552</v>
      </c>
      <c r="D3418" t="s">
        <v>1044</v>
      </c>
      <c r="E3418" t="s">
        <v>125</v>
      </c>
      <c r="F3418" s="2">
        <v>15</v>
      </c>
      <c r="G3418">
        <v>1</v>
      </c>
      <c r="H3418" s="2">
        <f>Tabla_Items_Inactivos[[#This Row],[EXISTENCIA]]*Tabla_Items_Inactivos[[#This Row],[COSTO]]</f>
        <v>15</v>
      </c>
    </row>
    <row r="3419" spans="1:8">
      <c r="A3419" t="s">
        <v>3300</v>
      </c>
      <c r="B3419" t="s">
        <v>2553</v>
      </c>
      <c r="C3419" t="s">
        <v>2554</v>
      </c>
      <c r="D3419" t="s">
        <v>1044</v>
      </c>
      <c r="E3419" t="s">
        <v>125</v>
      </c>
      <c r="F3419" s="2">
        <v>1</v>
      </c>
      <c r="G3419">
        <v>3</v>
      </c>
      <c r="H3419" s="2">
        <f>Tabla_Items_Inactivos[[#This Row],[EXISTENCIA]]*Tabla_Items_Inactivos[[#This Row],[COSTO]]</f>
        <v>3</v>
      </c>
    </row>
    <row r="3420" spans="1:8">
      <c r="A3420" t="s">
        <v>3300</v>
      </c>
      <c r="B3420" t="s">
        <v>2555</v>
      </c>
      <c r="C3420" t="s">
        <v>2556</v>
      </c>
      <c r="D3420" t="s">
        <v>31</v>
      </c>
      <c r="E3420" t="s">
        <v>1931</v>
      </c>
      <c r="F3420" s="2">
        <v>6</v>
      </c>
      <c r="G3420">
        <v>2</v>
      </c>
      <c r="H3420" s="2">
        <f>Tabla_Items_Inactivos[[#This Row],[EXISTENCIA]]*Tabla_Items_Inactivos[[#This Row],[COSTO]]</f>
        <v>12</v>
      </c>
    </row>
    <row r="3421" spans="1:8">
      <c r="A3421" t="s">
        <v>3300</v>
      </c>
      <c r="B3421" t="s">
        <v>2557</v>
      </c>
      <c r="C3421" t="s">
        <v>2558</v>
      </c>
      <c r="D3421" t="s">
        <v>31</v>
      </c>
      <c r="E3421" t="s">
        <v>1931</v>
      </c>
      <c r="F3421" s="2">
        <v>2</v>
      </c>
      <c r="G3421">
        <v>16</v>
      </c>
      <c r="H3421" s="2">
        <f>Tabla_Items_Inactivos[[#This Row],[EXISTENCIA]]*Tabla_Items_Inactivos[[#This Row],[COSTO]]</f>
        <v>32</v>
      </c>
    </row>
    <row r="3422" spans="1:8">
      <c r="A3422" t="s">
        <v>3300</v>
      </c>
      <c r="B3422" t="s">
        <v>2559</v>
      </c>
      <c r="C3422" t="s">
        <v>2560</v>
      </c>
      <c r="D3422" t="s">
        <v>2561</v>
      </c>
      <c r="E3422" t="s">
        <v>125</v>
      </c>
      <c r="F3422" s="2">
        <v>16.53</v>
      </c>
      <c r="G3422">
        <v>4</v>
      </c>
      <c r="H3422" s="2">
        <f>Tabla_Items_Inactivos[[#This Row],[EXISTENCIA]]*Tabla_Items_Inactivos[[#This Row],[COSTO]]</f>
        <v>66.12</v>
      </c>
    </row>
    <row r="3423" spans="1:8">
      <c r="A3423" t="s">
        <v>3300</v>
      </c>
      <c r="B3423" t="s">
        <v>2562</v>
      </c>
      <c r="C3423" t="s">
        <v>2563</v>
      </c>
      <c r="D3423" t="s">
        <v>1044</v>
      </c>
      <c r="E3423" t="s">
        <v>125</v>
      </c>
      <c r="F3423" s="2">
        <v>2</v>
      </c>
      <c r="G3423">
        <v>36</v>
      </c>
      <c r="H3423" s="2">
        <f>Tabla_Items_Inactivos[[#This Row],[EXISTENCIA]]*Tabla_Items_Inactivos[[#This Row],[COSTO]]</f>
        <v>72</v>
      </c>
    </row>
    <row r="3424" spans="1:8">
      <c r="A3424" t="s">
        <v>3300</v>
      </c>
      <c r="B3424" t="s">
        <v>2564</v>
      </c>
      <c r="C3424" t="s">
        <v>2565</v>
      </c>
      <c r="D3424" t="s">
        <v>31</v>
      </c>
      <c r="E3424" t="s">
        <v>1931</v>
      </c>
      <c r="F3424" s="2">
        <v>1</v>
      </c>
      <c r="G3424">
        <v>9</v>
      </c>
      <c r="H3424" s="2">
        <f>Tabla_Items_Inactivos[[#This Row],[EXISTENCIA]]*Tabla_Items_Inactivos[[#This Row],[COSTO]]</f>
        <v>9</v>
      </c>
    </row>
    <row r="3425" spans="1:8">
      <c r="A3425" t="s">
        <v>3300</v>
      </c>
      <c r="B3425" t="s">
        <v>2566</v>
      </c>
      <c r="C3425" t="s">
        <v>2567</v>
      </c>
      <c r="D3425" t="s">
        <v>1044</v>
      </c>
      <c r="E3425" t="s">
        <v>125</v>
      </c>
      <c r="F3425" s="2">
        <v>6.25</v>
      </c>
      <c r="G3425">
        <v>7</v>
      </c>
      <c r="H3425" s="2">
        <f>Tabla_Items_Inactivos[[#This Row],[EXISTENCIA]]*Tabla_Items_Inactivos[[#This Row],[COSTO]]</f>
        <v>43.75</v>
      </c>
    </row>
    <row r="3426" spans="1:8">
      <c r="A3426" t="s">
        <v>3300</v>
      </c>
      <c r="B3426" t="s">
        <v>2568</v>
      </c>
      <c r="C3426" t="s">
        <v>2569</v>
      </c>
      <c r="D3426" t="s">
        <v>31</v>
      </c>
      <c r="E3426" t="s">
        <v>1931</v>
      </c>
      <c r="F3426" s="2">
        <v>436.8</v>
      </c>
      <c r="G3426">
        <v>1</v>
      </c>
      <c r="H3426" s="2">
        <f>Tabla_Items_Inactivos[[#This Row],[EXISTENCIA]]*Tabla_Items_Inactivos[[#This Row],[COSTO]]</f>
        <v>436.8</v>
      </c>
    </row>
    <row r="3427" spans="1:8">
      <c r="A3427" t="s">
        <v>3300</v>
      </c>
      <c r="B3427" t="s">
        <v>2570</v>
      </c>
      <c r="C3427" t="s">
        <v>2571</v>
      </c>
      <c r="D3427" t="s">
        <v>115</v>
      </c>
      <c r="E3427" t="s">
        <v>1931</v>
      </c>
      <c r="F3427" s="2">
        <v>40.65</v>
      </c>
      <c r="G3427">
        <v>1</v>
      </c>
      <c r="H3427" s="2">
        <f>Tabla_Items_Inactivos[[#This Row],[EXISTENCIA]]*Tabla_Items_Inactivos[[#This Row],[COSTO]]</f>
        <v>40.65</v>
      </c>
    </row>
    <row r="3428" spans="1:8">
      <c r="A3428" t="s">
        <v>3300</v>
      </c>
      <c r="B3428" t="s">
        <v>2572</v>
      </c>
      <c r="C3428" t="s">
        <v>2573</v>
      </c>
      <c r="D3428" t="s">
        <v>85</v>
      </c>
      <c r="E3428" t="s">
        <v>86</v>
      </c>
      <c r="F3428" s="2">
        <v>0.23699999999999999</v>
      </c>
      <c r="G3428">
        <v>15</v>
      </c>
      <c r="H3428" s="2">
        <f>Tabla_Items_Inactivos[[#This Row],[EXISTENCIA]]*Tabla_Items_Inactivos[[#This Row],[COSTO]]</f>
        <v>3.5549999999999997</v>
      </c>
    </row>
    <row r="3429" spans="1:8">
      <c r="A3429" t="s">
        <v>3301</v>
      </c>
      <c r="B3429" t="s">
        <v>5465</v>
      </c>
      <c r="C3429" t="s">
        <v>5466</v>
      </c>
      <c r="D3429" t="s">
        <v>5320</v>
      </c>
      <c r="E3429" t="s">
        <v>5070</v>
      </c>
      <c r="F3429" s="2">
        <v>0</v>
      </c>
      <c r="G3429">
        <v>1</v>
      </c>
      <c r="H3429" s="2">
        <f>Tabla_Items_Inactivos[[#This Row],[EXISTENCIA]]*Tabla_Items_Inactivos[[#This Row],[COSTO]]</f>
        <v>0</v>
      </c>
    </row>
    <row r="3430" spans="1:8">
      <c r="A3430" t="s">
        <v>3300</v>
      </c>
      <c r="B3430" t="s">
        <v>5467</v>
      </c>
      <c r="C3430" t="s">
        <v>5468</v>
      </c>
      <c r="D3430" t="s">
        <v>3430</v>
      </c>
      <c r="E3430" t="s">
        <v>1931</v>
      </c>
      <c r="F3430" s="2">
        <v>383.75299999999999</v>
      </c>
      <c r="G3430">
        <v>1</v>
      </c>
      <c r="H3430" s="2">
        <f>Tabla_Items_Inactivos[[#This Row],[EXISTENCIA]]*Tabla_Items_Inactivos[[#This Row],[COSTO]]</f>
        <v>383.75299999999999</v>
      </c>
    </row>
    <row r="3431" spans="1:8">
      <c r="A3431" t="s">
        <v>3301</v>
      </c>
      <c r="B3431" t="s">
        <v>5469</v>
      </c>
      <c r="C3431" t="s">
        <v>5470</v>
      </c>
      <c r="D3431" t="s">
        <v>3304</v>
      </c>
      <c r="E3431" t="s">
        <v>1931</v>
      </c>
      <c r="F3431" s="2">
        <v>218.43</v>
      </c>
      <c r="G3431">
        <v>3</v>
      </c>
      <c r="H3431" s="2">
        <f>Tabla_Items_Inactivos[[#This Row],[EXISTENCIA]]*Tabla_Items_Inactivos[[#This Row],[COSTO]]</f>
        <v>655.29</v>
      </c>
    </row>
    <row r="3432" spans="1:8">
      <c r="A3432" t="s">
        <v>3300</v>
      </c>
      <c r="B3432" t="s">
        <v>5471</v>
      </c>
      <c r="C3432" t="s">
        <v>5472</v>
      </c>
      <c r="D3432" t="s">
        <v>5473</v>
      </c>
      <c r="E3432" t="s">
        <v>125</v>
      </c>
      <c r="F3432" s="2">
        <v>526.47789999999998</v>
      </c>
      <c r="G3432">
        <v>2</v>
      </c>
      <c r="H3432" s="2">
        <f>Tabla_Items_Inactivos[[#This Row],[EXISTENCIA]]*Tabla_Items_Inactivos[[#This Row],[COSTO]]</f>
        <v>1052.9558</v>
      </c>
    </row>
    <row r="3433" spans="1:8">
      <c r="A3433" t="s">
        <v>3301</v>
      </c>
      <c r="B3433" t="s">
        <v>5471</v>
      </c>
      <c r="C3433" t="s">
        <v>5472</v>
      </c>
      <c r="D3433" t="s">
        <v>5473</v>
      </c>
      <c r="E3433" t="s">
        <v>125</v>
      </c>
      <c r="F3433" s="2">
        <v>526.47789999999998</v>
      </c>
      <c r="G3433">
        <v>2</v>
      </c>
      <c r="H3433" s="2">
        <f>Tabla_Items_Inactivos[[#This Row],[EXISTENCIA]]*Tabla_Items_Inactivos[[#This Row],[COSTO]]</f>
        <v>1052.9558</v>
      </c>
    </row>
    <row r="3434" spans="1:8">
      <c r="A3434" t="s">
        <v>3300</v>
      </c>
      <c r="B3434" t="s">
        <v>2575</v>
      </c>
      <c r="C3434" t="s">
        <v>2576</v>
      </c>
      <c r="D3434" t="s">
        <v>5473</v>
      </c>
      <c r="E3434" t="s">
        <v>125</v>
      </c>
      <c r="F3434" s="2">
        <v>986.26499999999999</v>
      </c>
      <c r="G3434">
        <v>1</v>
      </c>
      <c r="H3434" s="2">
        <f>Tabla_Items_Inactivos[[#This Row],[EXISTENCIA]]*Tabla_Items_Inactivos[[#This Row],[COSTO]]</f>
        <v>986.26499999999999</v>
      </c>
    </row>
    <row r="3435" spans="1:8">
      <c r="A3435" t="s">
        <v>3300</v>
      </c>
      <c r="B3435" t="s">
        <v>2577</v>
      </c>
      <c r="C3435" t="s">
        <v>2578</v>
      </c>
      <c r="D3435" t="s">
        <v>5474</v>
      </c>
      <c r="E3435" t="s">
        <v>125</v>
      </c>
      <c r="F3435" s="2">
        <v>4.1360000000000001</v>
      </c>
      <c r="G3435">
        <v>28</v>
      </c>
      <c r="H3435" s="2">
        <f>Tabla_Items_Inactivos[[#This Row],[EXISTENCIA]]*Tabla_Items_Inactivos[[#This Row],[COSTO]]</f>
        <v>115.80800000000001</v>
      </c>
    </row>
    <row r="3436" spans="1:8">
      <c r="A3436" t="s">
        <v>3300</v>
      </c>
      <c r="B3436" t="s">
        <v>5475</v>
      </c>
      <c r="C3436" t="s">
        <v>5476</v>
      </c>
      <c r="D3436" t="s">
        <v>5474</v>
      </c>
      <c r="E3436" t="s">
        <v>125</v>
      </c>
      <c r="F3436" s="2">
        <v>0</v>
      </c>
      <c r="G3436">
        <v>17</v>
      </c>
      <c r="H3436" s="2">
        <f>Tabla_Items_Inactivos[[#This Row],[EXISTENCIA]]*Tabla_Items_Inactivos[[#This Row],[COSTO]]</f>
        <v>0</v>
      </c>
    </row>
    <row r="3437" spans="1:8">
      <c r="A3437" t="s">
        <v>3300</v>
      </c>
      <c r="B3437" t="s">
        <v>2579</v>
      </c>
      <c r="C3437" t="s">
        <v>2580</v>
      </c>
      <c r="D3437" t="s">
        <v>5474</v>
      </c>
      <c r="E3437" t="s">
        <v>125</v>
      </c>
      <c r="F3437" s="2">
        <v>28.456</v>
      </c>
      <c r="G3437">
        <v>5</v>
      </c>
      <c r="H3437" s="2">
        <f>Tabla_Items_Inactivos[[#This Row],[EXISTENCIA]]*Tabla_Items_Inactivos[[#This Row],[COSTO]]</f>
        <v>142.28</v>
      </c>
    </row>
    <row r="3438" spans="1:8">
      <c r="A3438" t="s">
        <v>3300</v>
      </c>
      <c r="B3438" t="s">
        <v>2581</v>
      </c>
      <c r="C3438" t="s">
        <v>2582</v>
      </c>
      <c r="D3438" t="s">
        <v>5474</v>
      </c>
      <c r="E3438" t="s">
        <v>125</v>
      </c>
      <c r="F3438" s="2">
        <v>9.1059999999999999</v>
      </c>
      <c r="G3438">
        <v>41</v>
      </c>
      <c r="H3438" s="2">
        <f>Tabla_Items_Inactivos[[#This Row],[EXISTENCIA]]*Tabla_Items_Inactivos[[#This Row],[COSTO]]</f>
        <v>373.346</v>
      </c>
    </row>
    <row r="3439" spans="1:8">
      <c r="A3439" t="s">
        <v>3300</v>
      </c>
      <c r="B3439" t="s">
        <v>2583</v>
      </c>
      <c r="C3439" t="s">
        <v>2584</v>
      </c>
      <c r="D3439" t="s">
        <v>5474</v>
      </c>
      <c r="E3439" t="s">
        <v>125</v>
      </c>
      <c r="F3439" s="2">
        <v>5.8970000000000002</v>
      </c>
      <c r="G3439">
        <v>4</v>
      </c>
      <c r="H3439" s="2">
        <f>Tabla_Items_Inactivos[[#This Row],[EXISTENCIA]]*Tabla_Items_Inactivos[[#This Row],[COSTO]]</f>
        <v>23.588000000000001</v>
      </c>
    </row>
    <row r="3440" spans="1:8">
      <c r="A3440" t="s">
        <v>3300</v>
      </c>
      <c r="B3440" t="s">
        <v>2585</v>
      </c>
      <c r="C3440" t="s">
        <v>2586</v>
      </c>
      <c r="D3440" t="s">
        <v>5474</v>
      </c>
      <c r="E3440" t="s">
        <v>125</v>
      </c>
      <c r="F3440" s="2">
        <v>4.4530000000000003</v>
      </c>
      <c r="G3440">
        <v>3</v>
      </c>
      <c r="H3440" s="2">
        <f>Tabla_Items_Inactivos[[#This Row],[EXISTENCIA]]*Tabla_Items_Inactivos[[#This Row],[COSTO]]</f>
        <v>13.359000000000002</v>
      </c>
    </row>
    <row r="3441" spans="1:8">
      <c r="A3441" t="s">
        <v>3300</v>
      </c>
      <c r="B3441" t="s">
        <v>2587</v>
      </c>
      <c r="C3441" t="s">
        <v>2588</v>
      </c>
      <c r="D3441" t="s">
        <v>5474</v>
      </c>
      <c r="E3441" t="s">
        <v>125</v>
      </c>
      <c r="F3441" s="2">
        <v>1.7030000000000001</v>
      </c>
      <c r="G3441">
        <v>10</v>
      </c>
      <c r="H3441" s="2">
        <f>Tabla_Items_Inactivos[[#This Row],[EXISTENCIA]]*Tabla_Items_Inactivos[[#This Row],[COSTO]]</f>
        <v>17.03</v>
      </c>
    </row>
    <row r="3442" spans="1:8">
      <c r="A3442" t="s">
        <v>3300</v>
      </c>
      <c r="B3442" t="s">
        <v>2589</v>
      </c>
      <c r="C3442" t="s">
        <v>2590</v>
      </c>
      <c r="D3442" t="s">
        <v>5474</v>
      </c>
      <c r="E3442" t="s">
        <v>125</v>
      </c>
      <c r="F3442" s="2">
        <v>1.65</v>
      </c>
      <c r="G3442">
        <v>8</v>
      </c>
      <c r="H3442" s="2">
        <f>Tabla_Items_Inactivos[[#This Row],[EXISTENCIA]]*Tabla_Items_Inactivos[[#This Row],[COSTO]]</f>
        <v>13.2</v>
      </c>
    </row>
    <row r="3443" spans="1:8">
      <c r="A3443" t="s">
        <v>3300</v>
      </c>
      <c r="B3443" t="s">
        <v>2591</v>
      </c>
      <c r="C3443" t="s">
        <v>2592</v>
      </c>
      <c r="D3443" t="s">
        <v>5474</v>
      </c>
      <c r="E3443" t="s">
        <v>125</v>
      </c>
      <c r="F3443" s="2">
        <v>1.8080000000000001</v>
      </c>
      <c r="G3443">
        <v>2</v>
      </c>
      <c r="H3443" s="2">
        <f>Tabla_Items_Inactivos[[#This Row],[EXISTENCIA]]*Tabla_Items_Inactivos[[#This Row],[COSTO]]</f>
        <v>3.6160000000000001</v>
      </c>
    </row>
    <row r="3444" spans="1:8">
      <c r="A3444" t="s">
        <v>3300</v>
      </c>
      <c r="B3444" t="s">
        <v>2593</v>
      </c>
      <c r="C3444" t="s">
        <v>2594</v>
      </c>
      <c r="D3444" t="s">
        <v>5474</v>
      </c>
      <c r="E3444" t="s">
        <v>125</v>
      </c>
      <c r="F3444" s="2">
        <v>1.8080000000000001</v>
      </c>
      <c r="G3444">
        <v>3</v>
      </c>
      <c r="H3444" s="2">
        <f>Tabla_Items_Inactivos[[#This Row],[EXISTENCIA]]*Tabla_Items_Inactivos[[#This Row],[COSTO]]</f>
        <v>5.4240000000000004</v>
      </c>
    </row>
    <row r="3445" spans="1:8">
      <c r="A3445" t="s">
        <v>3300</v>
      </c>
      <c r="B3445" t="s">
        <v>2595</v>
      </c>
      <c r="C3445" t="s">
        <v>2596</v>
      </c>
      <c r="D3445" t="s">
        <v>5474</v>
      </c>
      <c r="E3445" t="s">
        <v>125</v>
      </c>
      <c r="F3445" s="2">
        <v>12.385</v>
      </c>
      <c r="G3445">
        <v>1</v>
      </c>
      <c r="H3445" s="2">
        <f>Tabla_Items_Inactivos[[#This Row],[EXISTENCIA]]*Tabla_Items_Inactivos[[#This Row],[COSTO]]</f>
        <v>12.385</v>
      </c>
    </row>
    <row r="3446" spans="1:8">
      <c r="A3446" t="s">
        <v>3300</v>
      </c>
      <c r="B3446" t="s">
        <v>2597</v>
      </c>
      <c r="C3446" t="s">
        <v>2598</v>
      </c>
      <c r="D3446" t="s">
        <v>5474</v>
      </c>
      <c r="E3446" t="s">
        <v>125</v>
      </c>
      <c r="F3446" s="2">
        <v>2.9169999999999998</v>
      </c>
      <c r="G3446">
        <v>3</v>
      </c>
      <c r="H3446" s="2">
        <f>Tabla_Items_Inactivos[[#This Row],[EXISTENCIA]]*Tabla_Items_Inactivos[[#This Row],[COSTO]]</f>
        <v>8.7509999999999994</v>
      </c>
    </row>
    <row r="3447" spans="1:8">
      <c r="A3447" t="s">
        <v>3300</v>
      </c>
      <c r="B3447" t="s">
        <v>2599</v>
      </c>
      <c r="C3447" t="s">
        <v>2600</v>
      </c>
      <c r="D3447" t="s">
        <v>5474</v>
      </c>
      <c r="E3447" t="s">
        <v>125</v>
      </c>
      <c r="F3447" s="2">
        <v>44.81</v>
      </c>
      <c r="G3447">
        <v>1</v>
      </c>
      <c r="H3447" s="2">
        <f>Tabla_Items_Inactivos[[#This Row],[EXISTENCIA]]*Tabla_Items_Inactivos[[#This Row],[COSTO]]</f>
        <v>44.81</v>
      </c>
    </row>
    <row r="3448" spans="1:8">
      <c r="A3448" t="s">
        <v>3300</v>
      </c>
      <c r="B3448" t="s">
        <v>2601</v>
      </c>
      <c r="C3448" t="s">
        <v>2602</v>
      </c>
      <c r="D3448" t="s">
        <v>5474</v>
      </c>
      <c r="E3448" t="s">
        <v>125</v>
      </c>
      <c r="F3448" s="2">
        <v>34.6</v>
      </c>
      <c r="G3448">
        <v>1</v>
      </c>
      <c r="H3448" s="2">
        <f>Tabla_Items_Inactivos[[#This Row],[EXISTENCIA]]*Tabla_Items_Inactivos[[#This Row],[COSTO]]</f>
        <v>34.6</v>
      </c>
    </row>
    <row r="3449" spans="1:8">
      <c r="A3449" t="s">
        <v>3300</v>
      </c>
      <c r="B3449" t="s">
        <v>2603</v>
      </c>
      <c r="C3449" t="s">
        <v>2604</v>
      </c>
      <c r="D3449" t="s">
        <v>5474</v>
      </c>
      <c r="E3449" t="s">
        <v>125</v>
      </c>
      <c r="F3449" s="2">
        <v>15.45</v>
      </c>
      <c r="G3449">
        <v>1</v>
      </c>
      <c r="H3449" s="2">
        <f>Tabla_Items_Inactivos[[#This Row],[EXISTENCIA]]*Tabla_Items_Inactivos[[#This Row],[COSTO]]</f>
        <v>15.45</v>
      </c>
    </row>
    <row r="3450" spans="1:8">
      <c r="A3450" t="s">
        <v>3300</v>
      </c>
      <c r="B3450" t="s">
        <v>2605</v>
      </c>
      <c r="C3450" t="s">
        <v>2606</v>
      </c>
      <c r="D3450" t="s">
        <v>5474</v>
      </c>
      <c r="E3450" t="s">
        <v>125</v>
      </c>
      <c r="F3450" s="2">
        <v>10.06</v>
      </c>
      <c r="G3450">
        <v>1</v>
      </c>
      <c r="H3450" s="2">
        <f>Tabla_Items_Inactivos[[#This Row],[EXISTENCIA]]*Tabla_Items_Inactivos[[#This Row],[COSTO]]</f>
        <v>10.06</v>
      </c>
    </row>
    <row r="3451" spans="1:8">
      <c r="A3451" t="s">
        <v>3300</v>
      </c>
      <c r="B3451" t="s">
        <v>2607</v>
      </c>
      <c r="C3451" t="s">
        <v>2608</v>
      </c>
      <c r="D3451" t="s">
        <v>5474</v>
      </c>
      <c r="E3451" t="s">
        <v>125</v>
      </c>
      <c r="F3451" s="2">
        <v>2.496</v>
      </c>
      <c r="G3451">
        <v>9</v>
      </c>
      <c r="H3451" s="2">
        <f>Tabla_Items_Inactivos[[#This Row],[EXISTENCIA]]*Tabla_Items_Inactivos[[#This Row],[COSTO]]</f>
        <v>22.463999999999999</v>
      </c>
    </row>
    <row r="3452" spans="1:8">
      <c r="A3452" t="s">
        <v>3300</v>
      </c>
      <c r="B3452" t="s">
        <v>2609</v>
      </c>
      <c r="C3452" t="s">
        <v>2610</v>
      </c>
      <c r="D3452" t="s">
        <v>5474</v>
      </c>
      <c r="E3452" t="s">
        <v>125</v>
      </c>
      <c r="F3452" s="2">
        <v>2.4950000000000001</v>
      </c>
      <c r="G3452">
        <v>2</v>
      </c>
      <c r="H3452" s="2">
        <f>Tabla_Items_Inactivos[[#This Row],[EXISTENCIA]]*Tabla_Items_Inactivos[[#This Row],[COSTO]]</f>
        <v>4.99</v>
      </c>
    </row>
    <row r="3453" spans="1:8">
      <c r="A3453" t="s">
        <v>3300</v>
      </c>
      <c r="B3453" t="s">
        <v>2611</v>
      </c>
      <c r="C3453" t="s">
        <v>2612</v>
      </c>
      <c r="D3453" t="s">
        <v>5474</v>
      </c>
      <c r="E3453" t="s">
        <v>125</v>
      </c>
      <c r="F3453" s="2">
        <v>2.6549999999999998</v>
      </c>
      <c r="G3453">
        <v>2</v>
      </c>
      <c r="H3453" s="2">
        <f>Tabla_Items_Inactivos[[#This Row],[EXISTENCIA]]*Tabla_Items_Inactivos[[#This Row],[COSTO]]</f>
        <v>5.31</v>
      </c>
    </row>
    <row r="3454" spans="1:8">
      <c r="A3454" t="s">
        <v>3300</v>
      </c>
      <c r="B3454" t="s">
        <v>5477</v>
      </c>
      <c r="C3454" t="s">
        <v>5478</v>
      </c>
      <c r="D3454" t="s">
        <v>5473</v>
      </c>
      <c r="E3454" t="s">
        <v>125</v>
      </c>
      <c r="F3454" s="2">
        <v>1886.4924000000001</v>
      </c>
      <c r="G3454">
        <v>2</v>
      </c>
      <c r="H3454" s="2">
        <f>Tabla_Items_Inactivos[[#This Row],[EXISTENCIA]]*Tabla_Items_Inactivos[[#This Row],[COSTO]]</f>
        <v>3772.9848000000002</v>
      </c>
    </row>
    <row r="3455" spans="1:8">
      <c r="A3455" t="s">
        <v>3301</v>
      </c>
      <c r="B3455" t="s">
        <v>5477</v>
      </c>
      <c r="C3455" t="s">
        <v>5478</v>
      </c>
      <c r="D3455" t="s">
        <v>5473</v>
      </c>
      <c r="E3455" t="s">
        <v>125</v>
      </c>
      <c r="F3455" s="2">
        <v>1886.4924000000001</v>
      </c>
      <c r="G3455">
        <v>2</v>
      </c>
      <c r="H3455" s="2">
        <f>Tabla_Items_Inactivos[[#This Row],[EXISTENCIA]]*Tabla_Items_Inactivos[[#This Row],[COSTO]]</f>
        <v>3772.9848000000002</v>
      </c>
    </row>
    <row r="3456" spans="1:8">
      <c r="A3456" t="s">
        <v>3300</v>
      </c>
      <c r="B3456" t="s">
        <v>2613</v>
      </c>
      <c r="C3456" t="s">
        <v>2614</v>
      </c>
      <c r="D3456" t="s">
        <v>5479</v>
      </c>
      <c r="E3456" t="s">
        <v>125</v>
      </c>
      <c r="F3456" s="2">
        <v>281.55200000000002</v>
      </c>
      <c r="G3456">
        <v>1</v>
      </c>
      <c r="H3456" s="2">
        <f>Tabla_Items_Inactivos[[#This Row],[EXISTENCIA]]*Tabla_Items_Inactivos[[#This Row],[COSTO]]</f>
        <v>281.55200000000002</v>
      </c>
    </row>
    <row r="3457" spans="1:8">
      <c r="A3457" t="s">
        <v>3300</v>
      </c>
      <c r="B3457" t="s">
        <v>2616</v>
      </c>
      <c r="C3457" t="s">
        <v>2617</v>
      </c>
      <c r="D3457" t="s">
        <v>5479</v>
      </c>
      <c r="E3457" t="s">
        <v>125</v>
      </c>
      <c r="F3457" s="2">
        <v>442.96</v>
      </c>
      <c r="G3457">
        <v>4</v>
      </c>
      <c r="H3457" s="2">
        <f>Tabla_Items_Inactivos[[#This Row],[EXISTENCIA]]*Tabla_Items_Inactivos[[#This Row],[COSTO]]</f>
        <v>1771.84</v>
      </c>
    </row>
    <row r="3458" spans="1:8">
      <c r="A3458" t="s">
        <v>3300</v>
      </c>
      <c r="B3458" t="s">
        <v>5480</v>
      </c>
      <c r="C3458" t="s">
        <v>2618</v>
      </c>
      <c r="D3458" t="s">
        <v>5479</v>
      </c>
      <c r="E3458" t="s">
        <v>125</v>
      </c>
      <c r="F3458" s="2">
        <v>462.99599999999998</v>
      </c>
      <c r="G3458">
        <v>1</v>
      </c>
      <c r="H3458" s="2">
        <f>Tabla_Items_Inactivos[[#This Row],[EXISTENCIA]]*Tabla_Items_Inactivos[[#This Row],[COSTO]]</f>
        <v>462.99599999999998</v>
      </c>
    </row>
    <row r="3459" spans="1:8">
      <c r="A3459" t="s">
        <v>3300</v>
      </c>
      <c r="B3459" t="s">
        <v>2619</v>
      </c>
      <c r="C3459" t="s">
        <v>2620</v>
      </c>
      <c r="D3459" t="s">
        <v>5479</v>
      </c>
      <c r="E3459" t="s">
        <v>125</v>
      </c>
      <c r="F3459" s="2">
        <v>152.88810000000001</v>
      </c>
      <c r="G3459">
        <v>2</v>
      </c>
      <c r="H3459" s="2">
        <f>Tabla_Items_Inactivos[[#This Row],[EXISTENCIA]]*Tabla_Items_Inactivos[[#This Row],[COSTO]]</f>
        <v>305.77620000000002</v>
      </c>
    </row>
    <row r="3460" spans="1:8">
      <c r="A3460" t="s">
        <v>3301</v>
      </c>
      <c r="B3460" t="s">
        <v>2619</v>
      </c>
      <c r="C3460" t="s">
        <v>2620</v>
      </c>
      <c r="D3460" t="s">
        <v>5479</v>
      </c>
      <c r="E3460" t="s">
        <v>125</v>
      </c>
      <c r="F3460" s="2">
        <v>152.88810000000001</v>
      </c>
      <c r="G3460">
        <v>2</v>
      </c>
      <c r="H3460" s="2">
        <f>Tabla_Items_Inactivos[[#This Row],[EXISTENCIA]]*Tabla_Items_Inactivos[[#This Row],[COSTO]]</f>
        <v>305.77620000000002</v>
      </c>
    </row>
    <row r="3461" spans="1:8">
      <c r="A3461" t="s">
        <v>3300</v>
      </c>
      <c r="B3461" t="s">
        <v>2621</v>
      </c>
      <c r="C3461" t="s">
        <v>2622</v>
      </c>
      <c r="D3461" t="s">
        <v>2615</v>
      </c>
      <c r="E3461" t="s">
        <v>125</v>
      </c>
      <c r="F3461" s="2">
        <v>54.979599999999998</v>
      </c>
      <c r="G3461">
        <v>2</v>
      </c>
      <c r="H3461" s="2">
        <f>Tabla_Items_Inactivos[[#This Row],[EXISTENCIA]]*Tabla_Items_Inactivos[[#This Row],[COSTO]]</f>
        <v>109.9592</v>
      </c>
    </row>
    <row r="3462" spans="1:8">
      <c r="A3462" t="s">
        <v>3301</v>
      </c>
      <c r="B3462" t="s">
        <v>2621</v>
      </c>
      <c r="C3462" t="s">
        <v>2622</v>
      </c>
      <c r="D3462" t="s">
        <v>2615</v>
      </c>
      <c r="E3462" t="s">
        <v>125</v>
      </c>
      <c r="F3462" s="2">
        <v>54.979599999999998</v>
      </c>
      <c r="G3462">
        <v>2</v>
      </c>
      <c r="H3462" s="2">
        <f>Tabla_Items_Inactivos[[#This Row],[EXISTENCIA]]*Tabla_Items_Inactivos[[#This Row],[COSTO]]</f>
        <v>109.9592</v>
      </c>
    </row>
    <row r="3463" spans="1:8">
      <c r="A3463" t="s">
        <v>3300</v>
      </c>
      <c r="B3463" t="s">
        <v>2623</v>
      </c>
      <c r="C3463" t="s">
        <v>2624</v>
      </c>
      <c r="D3463" t="s">
        <v>5473</v>
      </c>
      <c r="E3463" t="s">
        <v>125</v>
      </c>
      <c r="F3463" s="2">
        <v>475.72699999999998</v>
      </c>
      <c r="G3463">
        <v>1</v>
      </c>
      <c r="H3463" s="2">
        <f>Tabla_Items_Inactivos[[#This Row],[EXISTENCIA]]*Tabla_Items_Inactivos[[#This Row],[COSTO]]</f>
        <v>475.72699999999998</v>
      </c>
    </row>
    <row r="3464" spans="1:8">
      <c r="A3464" t="s">
        <v>3300</v>
      </c>
      <c r="B3464" t="s">
        <v>5481</v>
      </c>
      <c r="C3464" t="s">
        <v>5482</v>
      </c>
      <c r="D3464" t="s">
        <v>5474</v>
      </c>
      <c r="E3464" t="s">
        <v>125</v>
      </c>
      <c r="F3464" s="2">
        <v>34.972099999999998</v>
      </c>
      <c r="G3464">
        <v>4</v>
      </c>
      <c r="H3464" s="2">
        <f>Tabla_Items_Inactivos[[#This Row],[EXISTENCIA]]*Tabla_Items_Inactivos[[#This Row],[COSTO]]</f>
        <v>139.88839999999999</v>
      </c>
    </row>
    <row r="3465" spans="1:8">
      <c r="A3465" t="s">
        <v>3301</v>
      </c>
      <c r="B3465" t="s">
        <v>5481</v>
      </c>
      <c r="C3465" t="s">
        <v>5482</v>
      </c>
      <c r="D3465" t="s">
        <v>5474</v>
      </c>
      <c r="E3465" t="s">
        <v>125</v>
      </c>
      <c r="F3465" s="2">
        <v>34.972099999999998</v>
      </c>
      <c r="G3465">
        <v>4</v>
      </c>
      <c r="H3465" s="2">
        <f>Tabla_Items_Inactivos[[#This Row],[EXISTENCIA]]*Tabla_Items_Inactivos[[#This Row],[COSTO]]</f>
        <v>139.88839999999999</v>
      </c>
    </row>
    <row r="3466" spans="1:8">
      <c r="A3466" t="s">
        <v>3300</v>
      </c>
      <c r="B3466" t="s">
        <v>5483</v>
      </c>
      <c r="C3466" t="s">
        <v>2625</v>
      </c>
      <c r="D3466" t="s">
        <v>5479</v>
      </c>
      <c r="E3466" t="s">
        <v>125</v>
      </c>
      <c r="F3466" s="2">
        <v>936.82</v>
      </c>
      <c r="G3466">
        <v>1</v>
      </c>
      <c r="H3466" s="2">
        <f>Tabla_Items_Inactivos[[#This Row],[EXISTENCIA]]*Tabla_Items_Inactivos[[#This Row],[COSTO]]</f>
        <v>936.82</v>
      </c>
    </row>
    <row r="3467" spans="1:8">
      <c r="A3467" t="s">
        <v>3300</v>
      </c>
      <c r="B3467" t="s">
        <v>2626</v>
      </c>
      <c r="C3467" t="s">
        <v>2627</v>
      </c>
      <c r="D3467" t="s">
        <v>5474</v>
      </c>
      <c r="E3467" t="s">
        <v>125</v>
      </c>
      <c r="F3467" s="2">
        <v>77.108000000000004</v>
      </c>
      <c r="G3467">
        <v>4</v>
      </c>
      <c r="H3467" s="2">
        <f>Tabla_Items_Inactivos[[#This Row],[EXISTENCIA]]*Tabla_Items_Inactivos[[#This Row],[COSTO]]</f>
        <v>308.43200000000002</v>
      </c>
    </row>
    <row r="3468" spans="1:8">
      <c r="A3468" t="s">
        <v>3300</v>
      </c>
      <c r="B3468" t="s">
        <v>5484</v>
      </c>
      <c r="C3468" t="s">
        <v>5485</v>
      </c>
      <c r="D3468" t="s">
        <v>5479</v>
      </c>
      <c r="E3468" t="s">
        <v>125</v>
      </c>
      <c r="F3468" s="2">
        <v>530.79</v>
      </c>
      <c r="G3468">
        <v>1</v>
      </c>
      <c r="H3468" s="2">
        <f>Tabla_Items_Inactivos[[#This Row],[EXISTENCIA]]*Tabla_Items_Inactivos[[#This Row],[COSTO]]</f>
        <v>530.79</v>
      </c>
    </row>
    <row r="3469" spans="1:8">
      <c r="A3469" t="s">
        <v>3300</v>
      </c>
      <c r="B3469" t="s">
        <v>5486</v>
      </c>
      <c r="C3469" t="s">
        <v>5487</v>
      </c>
      <c r="D3469" t="s">
        <v>5474</v>
      </c>
      <c r="E3469" t="s">
        <v>125</v>
      </c>
      <c r="F3469" s="2">
        <v>119.24</v>
      </c>
      <c r="G3469">
        <v>1</v>
      </c>
      <c r="H3469" s="2">
        <f>Tabla_Items_Inactivos[[#This Row],[EXISTENCIA]]*Tabla_Items_Inactivos[[#This Row],[COSTO]]</f>
        <v>119.24</v>
      </c>
    </row>
    <row r="3470" spans="1:8">
      <c r="A3470" t="s">
        <v>3300</v>
      </c>
      <c r="B3470" t="s">
        <v>2628</v>
      </c>
      <c r="C3470" t="s">
        <v>2629</v>
      </c>
      <c r="D3470" t="s">
        <v>5474</v>
      </c>
      <c r="E3470" t="s">
        <v>125</v>
      </c>
      <c r="F3470" s="2">
        <v>9.1020000000000003</v>
      </c>
      <c r="G3470">
        <v>12</v>
      </c>
      <c r="H3470" s="2">
        <f>Tabla_Items_Inactivos[[#This Row],[EXISTENCIA]]*Tabla_Items_Inactivos[[#This Row],[COSTO]]</f>
        <v>109.224</v>
      </c>
    </row>
    <row r="3471" spans="1:8">
      <c r="A3471" t="s">
        <v>3300</v>
      </c>
      <c r="B3471" t="s">
        <v>2630</v>
      </c>
      <c r="C3471" t="s">
        <v>2631</v>
      </c>
      <c r="D3471" t="s">
        <v>5474</v>
      </c>
      <c r="E3471" t="s">
        <v>125</v>
      </c>
      <c r="F3471" s="2">
        <v>7.258</v>
      </c>
      <c r="G3471">
        <v>4</v>
      </c>
      <c r="H3471" s="2">
        <f>Tabla_Items_Inactivos[[#This Row],[EXISTENCIA]]*Tabla_Items_Inactivos[[#This Row],[COSTO]]</f>
        <v>29.032</v>
      </c>
    </row>
    <row r="3472" spans="1:8">
      <c r="A3472" t="s">
        <v>3300</v>
      </c>
      <c r="B3472" t="s">
        <v>5488</v>
      </c>
      <c r="C3472" t="s">
        <v>2632</v>
      </c>
      <c r="D3472" t="s">
        <v>5479</v>
      </c>
      <c r="E3472" t="s">
        <v>125</v>
      </c>
      <c r="F3472" s="2">
        <v>240</v>
      </c>
      <c r="G3472">
        <v>1</v>
      </c>
      <c r="H3472" s="2">
        <f>Tabla_Items_Inactivos[[#This Row],[EXISTENCIA]]*Tabla_Items_Inactivos[[#This Row],[COSTO]]</f>
        <v>240</v>
      </c>
    </row>
    <row r="3473" spans="1:8">
      <c r="A3473" t="s">
        <v>3300</v>
      </c>
      <c r="B3473" t="s">
        <v>2633</v>
      </c>
      <c r="C3473" t="s">
        <v>2634</v>
      </c>
      <c r="D3473" t="s">
        <v>5474</v>
      </c>
      <c r="E3473" t="s">
        <v>125</v>
      </c>
      <c r="F3473" s="2">
        <v>169.48</v>
      </c>
      <c r="G3473">
        <v>2</v>
      </c>
      <c r="H3473" s="2">
        <f>Tabla_Items_Inactivos[[#This Row],[EXISTENCIA]]*Tabla_Items_Inactivos[[#This Row],[COSTO]]</f>
        <v>338.96</v>
      </c>
    </row>
    <row r="3474" spans="1:8">
      <c r="A3474" t="s">
        <v>3300</v>
      </c>
      <c r="B3474" t="s">
        <v>2635</v>
      </c>
      <c r="C3474" t="s">
        <v>2636</v>
      </c>
      <c r="D3474" t="s">
        <v>5474</v>
      </c>
      <c r="E3474" t="s">
        <v>125</v>
      </c>
      <c r="F3474" s="2">
        <v>46.024999999999999</v>
      </c>
      <c r="G3474">
        <v>6</v>
      </c>
      <c r="H3474" s="2">
        <f>Tabla_Items_Inactivos[[#This Row],[EXISTENCIA]]*Tabla_Items_Inactivos[[#This Row],[COSTO]]</f>
        <v>276.14999999999998</v>
      </c>
    </row>
    <row r="3475" spans="1:8">
      <c r="A3475" t="s">
        <v>3300</v>
      </c>
      <c r="B3475" t="s">
        <v>2637</v>
      </c>
      <c r="C3475" t="s">
        <v>2638</v>
      </c>
      <c r="D3475" t="s">
        <v>5474</v>
      </c>
      <c r="E3475" t="s">
        <v>125</v>
      </c>
      <c r="F3475" s="2">
        <v>10.029999999999999</v>
      </c>
      <c r="G3475">
        <v>2</v>
      </c>
      <c r="H3475" s="2">
        <f>Tabla_Items_Inactivos[[#This Row],[EXISTENCIA]]*Tabla_Items_Inactivos[[#This Row],[COSTO]]</f>
        <v>20.059999999999999</v>
      </c>
    </row>
    <row r="3476" spans="1:8">
      <c r="A3476" t="s">
        <v>3300</v>
      </c>
      <c r="B3476" t="s">
        <v>2639</v>
      </c>
      <c r="C3476" t="s">
        <v>2640</v>
      </c>
      <c r="D3476" t="s">
        <v>5474</v>
      </c>
      <c r="E3476" t="s">
        <v>125</v>
      </c>
      <c r="F3476" s="2">
        <v>10.02</v>
      </c>
      <c r="G3476">
        <v>16</v>
      </c>
      <c r="H3476" s="2">
        <f>Tabla_Items_Inactivos[[#This Row],[EXISTENCIA]]*Tabla_Items_Inactivos[[#This Row],[COSTO]]</f>
        <v>160.32</v>
      </c>
    </row>
    <row r="3477" spans="1:8">
      <c r="A3477" t="s">
        <v>3300</v>
      </c>
      <c r="B3477" t="s">
        <v>2641</v>
      </c>
      <c r="C3477" t="s">
        <v>2642</v>
      </c>
      <c r="D3477" t="s">
        <v>5474</v>
      </c>
      <c r="E3477" t="s">
        <v>125</v>
      </c>
      <c r="F3477" s="2">
        <v>20.25</v>
      </c>
      <c r="G3477">
        <v>17</v>
      </c>
      <c r="H3477" s="2">
        <f>Tabla_Items_Inactivos[[#This Row],[EXISTENCIA]]*Tabla_Items_Inactivos[[#This Row],[COSTO]]</f>
        <v>344.25</v>
      </c>
    </row>
    <row r="3478" spans="1:8">
      <c r="A3478" t="s">
        <v>3300</v>
      </c>
      <c r="B3478" t="s">
        <v>2643</v>
      </c>
      <c r="C3478" t="s">
        <v>2644</v>
      </c>
      <c r="D3478" t="s">
        <v>5474</v>
      </c>
      <c r="E3478" t="s">
        <v>125</v>
      </c>
      <c r="F3478" s="2">
        <v>47.125</v>
      </c>
      <c r="G3478">
        <v>1</v>
      </c>
      <c r="H3478" s="2">
        <f>Tabla_Items_Inactivos[[#This Row],[EXISTENCIA]]*Tabla_Items_Inactivos[[#This Row],[COSTO]]</f>
        <v>47.125</v>
      </c>
    </row>
    <row r="3479" spans="1:8">
      <c r="A3479" t="s">
        <v>3300</v>
      </c>
      <c r="B3479" t="s">
        <v>2645</v>
      </c>
      <c r="C3479" t="s">
        <v>2646</v>
      </c>
      <c r="D3479" t="s">
        <v>5474</v>
      </c>
      <c r="E3479" t="s">
        <v>125</v>
      </c>
      <c r="F3479" s="2">
        <v>17.619</v>
      </c>
      <c r="G3479">
        <v>11</v>
      </c>
      <c r="H3479" s="2">
        <f>Tabla_Items_Inactivos[[#This Row],[EXISTENCIA]]*Tabla_Items_Inactivos[[#This Row],[COSTO]]</f>
        <v>193.809</v>
      </c>
    </row>
    <row r="3480" spans="1:8">
      <c r="A3480" t="s">
        <v>3300</v>
      </c>
      <c r="B3480" t="s">
        <v>2647</v>
      </c>
      <c r="C3480" t="s">
        <v>2648</v>
      </c>
      <c r="D3480" t="s">
        <v>5474</v>
      </c>
      <c r="E3480" t="s">
        <v>125</v>
      </c>
      <c r="F3480" s="2">
        <v>173.74</v>
      </c>
      <c r="G3480">
        <v>9</v>
      </c>
      <c r="H3480" s="2">
        <f>Tabla_Items_Inactivos[[#This Row],[EXISTENCIA]]*Tabla_Items_Inactivos[[#This Row],[COSTO]]</f>
        <v>1563.66</v>
      </c>
    </row>
    <row r="3481" spans="1:8">
      <c r="A3481" t="s">
        <v>3300</v>
      </c>
      <c r="B3481" t="s">
        <v>5489</v>
      </c>
      <c r="C3481" t="s">
        <v>5490</v>
      </c>
      <c r="D3481" t="s">
        <v>5474</v>
      </c>
      <c r="E3481" t="s">
        <v>125</v>
      </c>
      <c r="F3481" s="2">
        <v>15.635</v>
      </c>
      <c r="G3481">
        <v>12</v>
      </c>
      <c r="H3481" s="2">
        <f>Tabla_Items_Inactivos[[#This Row],[EXISTENCIA]]*Tabla_Items_Inactivos[[#This Row],[COSTO]]</f>
        <v>187.62</v>
      </c>
    </row>
    <row r="3482" spans="1:8">
      <c r="A3482" t="s">
        <v>3300</v>
      </c>
      <c r="B3482" t="s">
        <v>2649</v>
      </c>
      <c r="C3482" t="s">
        <v>2650</v>
      </c>
      <c r="D3482" t="s">
        <v>5491</v>
      </c>
      <c r="E3482" t="s">
        <v>125</v>
      </c>
      <c r="F3482" s="2">
        <v>13.997999999999999</v>
      </c>
      <c r="G3482">
        <v>6</v>
      </c>
      <c r="H3482" s="2">
        <f>Tabla_Items_Inactivos[[#This Row],[EXISTENCIA]]*Tabla_Items_Inactivos[[#This Row],[COSTO]]</f>
        <v>83.988</v>
      </c>
    </row>
    <row r="3483" spans="1:8">
      <c r="A3483" t="s">
        <v>3300</v>
      </c>
      <c r="B3483" t="s">
        <v>2651</v>
      </c>
      <c r="C3483" t="s">
        <v>2652</v>
      </c>
      <c r="D3483" t="s">
        <v>5474</v>
      </c>
      <c r="E3483" t="s">
        <v>125</v>
      </c>
      <c r="F3483" s="2">
        <v>45.083500000000001</v>
      </c>
      <c r="G3483">
        <v>14</v>
      </c>
      <c r="H3483" s="2">
        <f>Tabla_Items_Inactivos[[#This Row],[EXISTENCIA]]*Tabla_Items_Inactivos[[#This Row],[COSTO]]</f>
        <v>631.16899999999998</v>
      </c>
    </row>
    <row r="3484" spans="1:8">
      <c r="A3484" t="s">
        <v>3301</v>
      </c>
      <c r="B3484" t="s">
        <v>2651</v>
      </c>
      <c r="C3484" t="s">
        <v>2652</v>
      </c>
      <c r="D3484" t="s">
        <v>5474</v>
      </c>
      <c r="E3484" t="s">
        <v>125</v>
      </c>
      <c r="F3484" s="2">
        <v>45.083500000000001</v>
      </c>
      <c r="G3484">
        <v>14</v>
      </c>
      <c r="H3484" s="2">
        <f>Tabla_Items_Inactivos[[#This Row],[EXISTENCIA]]*Tabla_Items_Inactivos[[#This Row],[COSTO]]</f>
        <v>631.16899999999998</v>
      </c>
    </row>
    <row r="3485" spans="1:8">
      <c r="A3485" t="s">
        <v>3300</v>
      </c>
      <c r="B3485" t="s">
        <v>2653</v>
      </c>
      <c r="C3485" t="s">
        <v>2654</v>
      </c>
      <c r="D3485" t="s">
        <v>5492</v>
      </c>
      <c r="E3485" t="s">
        <v>1931</v>
      </c>
      <c r="F3485" s="2">
        <v>5.7</v>
      </c>
      <c r="G3485">
        <v>3</v>
      </c>
      <c r="H3485" s="2">
        <f>Tabla_Items_Inactivos[[#This Row],[EXISTENCIA]]*Tabla_Items_Inactivos[[#This Row],[COSTO]]</f>
        <v>17.100000000000001</v>
      </c>
    </row>
    <row r="3486" spans="1:8">
      <c r="A3486" t="s">
        <v>3300</v>
      </c>
      <c r="B3486" t="s">
        <v>2655</v>
      </c>
      <c r="C3486" t="s">
        <v>2656</v>
      </c>
      <c r="D3486" t="s">
        <v>31</v>
      </c>
      <c r="E3486" t="s">
        <v>1931</v>
      </c>
      <c r="F3486" s="2">
        <v>1.88</v>
      </c>
      <c r="G3486">
        <v>4</v>
      </c>
      <c r="H3486" s="2">
        <f>Tabla_Items_Inactivos[[#This Row],[EXISTENCIA]]*Tabla_Items_Inactivos[[#This Row],[COSTO]]</f>
        <v>7.52</v>
      </c>
    </row>
    <row r="3487" spans="1:8">
      <c r="A3487" t="s">
        <v>3300</v>
      </c>
      <c r="B3487" t="s">
        <v>2657</v>
      </c>
      <c r="C3487" t="s">
        <v>2658</v>
      </c>
      <c r="D3487" t="s">
        <v>31</v>
      </c>
      <c r="E3487" t="s">
        <v>1931</v>
      </c>
      <c r="F3487" s="2">
        <v>1.7</v>
      </c>
      <c r="G3487">
        <v>3</v>
      </c>
      <c r="H3487" s="2">
        <f>Tabla_Items_Inactivos[[#This Row],[EXISTENCIA]]*Tabla_Items_Inactivos[[#This Row],[COSTO]]</f>
        <v>5.0999999999999996</v>
      </c>
    </row>
    <row r="3488" spans="1:8">
      <c r="A3488" t="s">
        <v>3300</v>
      </c>
      <c r="B3488" t="s">
        <v>2659</v>
      </c>
      <c r="C3488" t="s">
        <v>2660</v>
      </c>
      <c r="D3488" t="s">
        <v>31</v>
      </c>
      <c r="E3488" t="s">
        <v>1931</v>
      </c>
      <c r="F3488" s="2">
        <v>12.12</v>
      </c>
      <c r="G3488">
        <v>1</v>
      </c>
      <c r="H3488" s="2">
        <f>Tabla_Items_Inactivos[[#This Row],[EXISTENCIA]]*Tabla_Items_Inactivos[[#This Row],[COSTO]]</f>
        <v>12.12</v>
      </c>
    </row>
  </sheetData>
  <conditionalFormatting sqref="H2:H3488">
    <cfRule type="dataBar" priority="25">
      <dataBar>
        <cfvo type="min" val="0"/>
        <cfvo type="max" val="0"/>
        <color rgb="FF638EC6"/>
      </dataBar>
    </cfRule>
  </conditionalFormatting>
  <conditionalFormatting sqref="H2:H3488">
    <cfRule type="top10" dxfId="5" priority="27" percent="1" rank="20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TD_EXCESO_BUFFERS</vt:lpstr>
      <vt:lpstr>EXCESO_BUFFERS</vt:lpstr>
      <vt:lpstr>ITEMS_INACTIVOS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dcterms:created xsi:type="dcterms:W3CDTF">2011-04-30T00:03:27Z</dcterms:created>
  <dcterms:modified xsi:type="dcterms:W3CDTF">2013-10-15T18:00:45Z</dcterms:modified>
</cp:coreProperties>
</file>