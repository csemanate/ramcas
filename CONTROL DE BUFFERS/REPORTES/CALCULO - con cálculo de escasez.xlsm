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51660" windowWidth="12240" windowHeight="9120" activeTab="1"/>
  </bookViews>
  <sheets>
    <sheet name="Calculo_General" sheetId="6" r:id="rId1"/>
    <sheet name="Filtrado_General" sheetId="5" r:id="rId2"/>
    <sheet name="CALCULO" sheetId="1" r:id="rId3"/>
    <sheet name="FILTRADO" sheetId="2" r:id="rId4"/>
    <sheet name="TransferActiva" sheetId="3" state="hidden" r:id="rId5"/>
    <sheet name="TransferTodos" sheetId="4" state="hidden" r:id="rId6"/>
  </sheets>
  <externalReferences>
    <externalReference r:id="rId7"/>
    <externalReference r:id="rId8"/>
  </externalReferences>
  <definedNames>
    <definedName name="AnadeTransfer">TransferTodos!$A$1:$O$2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[2]!TRANSFERENCIAFILTRADA[[#Headers],[Empresa]]</definedName>
    <definedName name="INICIOTRANSFER" localSheetId="1">[2]!TRANSFERENCIAFILTRADA[[#Headers],[Empresa]]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CI2" i="1" l="1" a="1"/>
  <c r="CI2" i="1" s="1"/>
  <c r="CI3" i="1" a="1"/>
  <c r="CI3" i="1" s="1"/>
  <c r="CI4" i="1" a="1"/>
  <c r="CI4" i="1" s="1"/>
  <c r="CK2" i="1" a="1"/>
  <c r="CK2" i="1"/>
  <c r="CK3" i="1" a="1"/>
  <c r="CK3" i="1" s="1"/>
  <c r="CK4" i="1" a="1"/>
  <c r="CK4" i="1"/>
  <c r="CN2" i="1"/>
  <c r="CL2" i="1" s="1" a="1"/>
  <c r="CL2" i="1" s="1"/>
  <c r="CN3" i="1"/>
  <c r="CL3" i="1" s="1" a="1"/>
  <c r="CL3" i="1" s="1"/>
  <c r="CN4" i="1"/>
  <c r="CL4" i="1" s="1" a="1"/>
  <c r="CL4" i="1" s="1"/>
  <c r="CO2" i="1" a="1"/>
  <c r="CO2" i="1" s="1"/>
  <c r="CO3" i="1" a="1"/>
  <c r="CO3" i="1" s="1"/>
  <c r="CO4" i="1" a="1"/>
  <c r="CO4" i="1" s="1"/>
  <c r="CP2" i="1"/>
  <c r="CP3" i="1"/>
  <c r="CP4" i="1"/>
  <c r="EA2" i="1"/>
  <c r="EA3" i="1"/>
  <c r="EA4" i="1"/>
  <c r="CM2" i="1" l="1"/>
  <c r="CM3" i="1"/>
  <c r="CM4" i="1"/>
  <c r="CR2" i="1"/>
  <c r="CJ4" i="1"/>
  <c r="CJ2" i="1"/>
  <c r="CJ3" i="1"/>
  <c r="CR4" i="1"/>
  <c r="CQ4" i="1"/>
  <c r="CR3" i="1"/>
  <c r="CQ3" i="1"/>
  <c r="DX3" i="1" l="1"/>
  <c r="CS4" i="1"/>
  <c r="CT4" i="1" s="1"/>
  <c r="CU4" i="1" s="1"/>
  <c r="CS2" i="1"/>
  <c r="CT2" i="1" s="1"/>
  <c r="CS3" i="1"/>
  <c r="CT3" i="1" s="1"/>
  <c r="CU3" i="1" s="1"/>
  <c r="DX2" i="1"/>
  <c r="DX4" i="1"/>
  <c r="CQ2" i="1"/>
  <c r="CU2" i="1" l="1"/>
  <c r="DY3" i="1" a="1"/>
  <c r="DY4" i="1" a="1"/>
  <c r="DY4" i="1" l="1"/>
  <c r="DY3" i="1"/>
  <c r="CV3" i="1"/>
  <c r="CW3" i="1" s="1"/>
  <c r="CX3" i="1" s="1"/>
  <c r="CV4" i="1"/>
  <c r="CW4" i="1" s="1"/>
  <c r="CX4" i="1" s="1"/>
  <c r="CV2" i="1"/>
  <c r="CW2" i="1" s="1"/>
  <c r="CX2" i="1" s="1"/>
  <c r="DY2" i="1" a="1"/>
  <c r="DY2" i="1" l="1"/>
  <c r="CY2" i="1"/>
  <c r="CZ2" i="1" s="1"/>
  <c r="CY3" i="1"/>
  <c r="CZ3" i="1" s="1"/>
  <c r="CY4" i="1"/>
  <c r="CZ4" i="1"/>
  <c r="DA4" i="1" l="1"/>
  <c r="DB4" i="1" s="1"/>
  <c r="DA2" i="1"/>
  <c r="DB2" i="1" s="1"/>
  <c r="DA3" i="1"/>
  <c r="DB3" i="1" s="1"/>
  <c r="DC2" i="1" l="1"/>
  <c r="DD2" i="1" s="1"/>
  <c r="DC3" i="1"/>
  <c r="DD3" i="1" s="1"/>
  <c r="DC4" i="1"/>
  <c r="DD4" i="1" s="1"/>
  <c r="DE4" i="1" l="1"/>
  <c r="DF4" i="1" s="1"/>
  <c r="DE2" i="1"/>
  <c r="DF2" i="1" s="1"/>
  <c r="DE3" i="1"/>
  <c r="DF3" i="1" s="1"/>
  <c r="DG2" i="1" l="1"/>
  <c r="DH2" i="1" s="1"/>
  <c r="DG3" i="1"/>
  <c r="DH3" i="1" s="1"/>
  <c r="DG4" i="1"/>
  <c r="DH4" i="1" s="1"/>
  <c r="DI4" i="1" l="1"/>
  <c r="DJ4" i="1" s="1"/>
  <c r="DL4" i="1" s="1"/>
  <c r="DI2" i="1"/>
  <c r="DJ2" i="1" s="1"/>
  <c r="DI3" i="1"/>
  <c r="DJ3" i="1" s="1"/>
  <c r="DL3" i="1" s="1"/>
  <c r="DK2" i="1" l="1"/>
  <c r="DK3" i="1"/>
  <c r="DK4" i="1"/>
  <c r="DL2" i="1"/>
  <c r="DM4" i="1" l="1"/>
  <c r="DN4" i="1" s="1"/>
  <c r="DM2" i="1"/>
  <c r="DN2" i="1" s="1"/>
  <c r="DM3" i="1"/>
  <c r="DN3" i="1" s="1"/>
  <c r="DO2" i="1" l="1"/>
  <c r="DP2" i="1" s="1"/>
  <c r="DO3" i="1"/>
  <c r="DP3" i="1" s="1"/>
  <c r="DO4" i="1"/>
  <c r="DP4" i="1" s="1"/>
  <c r="DQ4" i="1" l="1"/>
  <c r="DR4" i="1" s="1"/>
  <c r="DQ2" i="1"/>
  <c r="DR2" i="1" s="1"/>
  <c r="DQ3" i="1"/>
  <c r="DR3" i="1" s="1"/>
  <c r="DS2" i="1" l="1"/>
  <c r="DT2" i="1" s="1"/>
  <c r="DS3" i="1"/>
  <c r="DT3" i="1" s="1"/>
  <c r="DS4" i="1"/>
  <c r="DT4" i="1" s="1"/>
  <c r="DU4" i="1" l="1"/>
  <c r="DV4" i="1" s="1"/>
  <c r="DU2" i="1"/>
  <c r="DV2" i="1" s="1"/>
  <c r="DU3" i="1"/>
  <c r="DV3" i="1" s="1"/>
  <c r="DW3" i="1" l="1"/>
  <c r="DW4" i="1"/>
  <c r="DW2" i="1"/>
</calcChain>
</file>

<file path=xl/sharedStrings.xml><?xml version="1.0" encoding="utf-8"?>
<sst xmlns="http://schemas.openxmlformats.org/spreadsheetml/2006/main" count="381" uniqueCount="177">
  <si>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</si>
  <si>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</si>
  <si>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</si>
  <si>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</si>
  <si>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</si>
  <si>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</si>
  <si>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</si>
  <si>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</si>
  <si>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</si>
  <si>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</si>
  <si>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</si>
  <si>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</si>
  <si>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</si>
  <si>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</si>
  <si>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</si>
  <si>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</si>
  <si>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</si>
  <si>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</si>
  <si>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</si>
  <si>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</si>
  <si>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</si>
  <si>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</si>
  <si>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</si>
  <si>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</si>
  <si>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</si>
  <si>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</si>
  <si>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</si>
  <si>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</si>
  <si>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</si>
  <si>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</si>
  <si>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</si>
  <si>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</si>
  <si>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</si>
  <si>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</si>
  <si>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</si>
  <si>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</si>
  <si>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</si>
  <si>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</si>
  <si>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</si>
  <si>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</si>
  <si>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</si>
  <si>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</si>
  <si>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</si>
  <si>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</si>
  <si>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</si>
  <si>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</si>
  <si>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</si>
  <si>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</si>
  <si>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</si>
  <si>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</si>
  <si>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</si>
  <si>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</si>
  <si>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</si>
  <si>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</si>
  <si>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</si>
  <si>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</si>
  <si>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</si>
  <si>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</si>
  <si>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</si>
  <si>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</si>
  <si>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</si>
  <si>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</si>
  <si>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</si>
  <si>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</si>
  <si>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</si>
  <si>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</si>
  <si>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</si>
  <si>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</si>
  <si>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</si>
  <si>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</si>
  <si>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</si>
  <si>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</si>
  <si>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</si>
  <si>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</si>
  <si>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</si>
  <si>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</si>
  <si>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</si>
  <si>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</si>
  <si>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</si>
  <si>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</si>
  <si>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</si>
  <si>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</si>
  <si>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</si>
  <si>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</si>
  <si>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</si>
  <si>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</si>
  <si>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</si>
  <si>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</si>
  <si>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</si>
  <si>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</si>
  <si>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</si>
  <si>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</si>
  <si>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</si>
  <si>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</si>
  <si>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</si>
  <si>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</si>
  <si>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</si>
  <si>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</si>
  <si>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</si>
  <si>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</si>
  <si>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</si>
  <si>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</si>
  <si>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</si>
  <si>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</si>
  <si>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</si>
  <si>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</si>
  <si>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</si>
  <si>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</si>
  <si>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</si>
  <si>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</si>
  <si>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</si>
  <si>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</si>
  <si>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</si>
  <si>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</si>
  <si>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</si>
  <si>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</si>
  <si>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</si>
  <si>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</si>
  <si>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</si>
  <si>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</si>
  <si>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</si>
  <si>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</si>
  <si>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</si>
  <si>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</si>
  <si>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</si>
  <si>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</si>
  <si>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</si>
  <si>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</si>
  <si>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</si>
  <si>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</si>
  <si>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</si>
  <si>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</si>
  <si>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</si>
  <si>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</si>
  <si>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</si>
  <si>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</si>
  <si>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</si>
  <si>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</si>
  <si>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</si>
  <si>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</si>
  <si>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</si>
  <si>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</si>
  <si>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</si>
  <si>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</si>
  <si>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</si>
  <si>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</si>
  <si>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</si>
  <si>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</si>
  <si>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</si>
  <si>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</si>
  <si>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</si>
  <si>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</si>
  <si>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</si>
  <si>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</si>
  <si>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</si>
  <si>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</si>
  <si>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</si>
  <si>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</si>
  <si>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</si>
  <si>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</si>
  <si>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</si>
  <si>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</si>
  <si>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</si>
  <si>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MEDITOP</t>
  </si>
  <si>
    <t>Bodega ECU</t>
  </si>
  <si>
    <t>HALYARD</t>
  </si>
  <si>
    <t>92355</t>
  </si>
  <si>
    <t>MEDITOP.xlsm</t>
  </si>
  <si>
    <t>A</t>
  </si>
  <si>
    <t>95111</t>
  </si>
  <si>
    <t>R</t>
  </si>
  <si>
    <t>HOSPICARE</t>
  </si>
  <si>
    <t>92354</t>
  </si>
  <si>
    <t>HOSPICARE.xlsm</t>
  </si>
  <si>
    <t>MICROCOOL</t>
  </si>
  <si>
    <t>HALYARD AEREO</t>
  </si>
  <si>
    <t>Calendario 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</si>
</sst>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1" fillId="5" borderId="0" xfId="0" applyFont="1" applyFill="1" applyAlignment="1">
      <alignment horizontal="center"/>
    </xf>
    <xf numFmtId="0" fontId="0" fillId="0" borderId="2" xfId="0" applyBorder="1"/>
    <xf numFmtId="0" fontId="0" fillId="0" borderId="0" xfId="0" applyFont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6" name="Calculo_General_Proveedor" displayName="Calculo_General_Proveedor" ref="A1:Z4" totalsRowShown="0" headerRowBorderDxfId="58" tableBorderDxfId="57">
  <autoFilter ref="A1:Z4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5" name="Filtrado_General_Bodega" displayName="Filtrado_General_Bodega" ref="A1:J4" totalsRowShown="0">
  <autoFilter ref="A1:J4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4" totalsRowShown="0" headerRowBorderDxfId="56" tableBorderDxfId="55">
  <autoFilter ref="A1:EA4"/>
  <sortState ref="A2:EA252">
    <sortCondition ref="F1:F252"/>
  </sortState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>
      <calculatedColumnFormula array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calculatedColumnFormula>
    </tableColumn>
    <tableColumn id="72" name="Req Comp 2 Total" dataDxfId="46">
      <calculatedColumnFormula>SUMPRODUCT(--(PROVEEDORFILTRADO[[#This Row],[Proveedor]]&amp;PROVEEDORFILTRADO[[#This Row],[Codigo]]=PROVEEDORFILTRADO[Proveedor]&amp;PROVEEDORFILTRADO[Codigo]),PROVEEDORFILTRADO[Req Comp 2])</calculatedColumnFormula>
    </tableColumn>
    <tableColumn id="73" name="R Complejo" dataDxfId="45">
      <calculatedColumnFormula array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calculatedColumnFormula>
    </tableColumn>
    <tableColumn id="75" name="Requerimiento" dataDxfId="44">
      <calculatedColumnFormula array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calculatedColumnFormula>
    </tableColumn>
    <tableColumn id="74" name="RequerimientoTotal" dataDxfId="43">
      <calculatedColumnFormula>SUMPRODUCT(--(PROVEEDORFILTRADO[[#This Row],[Proveedor]]&amp;PROVEEDORFILTRADO[[#This Row],[Codigo]]=PROVEEDORFILTRADO[Proveedor]&amp;PROVEEDORFILTRADO[Codigo]),PROVEEDORFILTRADO[Requerimiento])</calculatedColumnFormula>
    </tableColumn>
    <tableColumn id="28" name="ReqTotal" dataDxfId="42">
      <calculatedColumnFormula>SUMPRODUCT(--(PROVEEDORFILTRADO[[#This Row],[Proveedor]]&amp;PROVEEDORFILTRADO[[#This Row],[Codigo]]=PROVEEDORFILTRADO[Proveedor]&amp;PROVEEDORFILTRADO[Codigo]),PROVEEDORFILTRADO[PEDIDCalc])</calculatedColumnFormula>
    </tableColumn>
    <tableColumn id="29" name="%Cons Total" dataDxfId="41">
      <calculatedColumnFormula array="1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calculatedColumnFormula>
    </tableColumn>
    <tableColumn id="30" name="%Consumo" dataDxfId="40">
      <calculatedColumnFormula>IF(AND(PROVEEDORFILTRADO[[#This Row],[Consumo]]&gt;0,PROVEEDORFILTRADO[[#This Row],[Consumo]]&lt;&gt;""),PROVEEDORFILTRADO[[#This Row],[Consumo]]/PROVEEDORFILTRADO[[#This Row],[%Cons Total]],0)</calculatedColumnFormula>
    </tableColumn>
    <tableColumn id="31" name="%Req" dataDxfId="39">
      <calculatedColumnFormula>IFERROR(PROVEEDORFILTRADO[[#This Row],[Requerimiento]]/PROVEEDORFILTRADO[[#This Row],[RequerimientoTotal]],0)</calculatedColumnFormula>
    </tableColumn>
    <tableColumn id="32" name="Req a Buffer" dataDxfId="38">
      <calculatedColumnFormula>IFERROR(PROVEEDORFILTRADO[[#This Row],[Requerimiento]]/PROVEEDORFILTRADO[[#This Row],[Buff Act]],0)</calculatedColumnFormula>
    </tableColumn>
    <tableColumn id="33" name="%Req a Buff Total" dataDxfId="37">
      <calculatedColumnFormula>SUMPRODUCT(--(PROVEEDORFILTRADO[[#This Row],[Proveedor]]&amp;PROVEEDORFILTRADO[[#This Row],[Codigo]]=PROVEEDORFILTRADO[Proveedor]&amp;PROVEEDORFILTRADO[Codigo]),(--(PROVEEDORFILTRADO[Req a Buffer]&gt;0))*PROVEEDORFILTRADO[Req a Buffer])</calculatedColumnFormula>
    </tableColumn>
    <tableColumn id="34" name="%Req a Buff" dataDxfId="36">
      <calculatedColumnFormula>IFERROR(PROVEEDORFILTRADO[[#This Row],[Req a Buffer]]/PROVEEDORFILTRADO[[#This Row],[%Req a Buff Total]],0)</calculatedColumnFormula>
    </tableColumn>
    <tableColumn id="35" name="Prioridad Abs" dataDxfId="35">
      <calculatedColumnFormula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calculatedColumnFormula>
    </tableColumn>
    <tableColumn id="36" name="Priorid Abs Total" dataDxfId="34">
      <calculatedColumnFormula>SUMPRODUCT(--(PROVEEDORFILTRADO[[#This Row],[Proveedor]]&amp;PROVEEDORFILTRADO[[#This Row],[Codigo]]=PROVEEDORFILTRADO[Proveedor]&amp;PROVEEDORFILTRADO[Codigo]),(--(PROVEEDORFILTRADO[Prioridad Abs]&gt;0))*PROVEEDORFILTRADO[Prioridad Abs])</calculatedColumnFormula>
    </tableColumn>
    <tableColumn id="37" name="Priorid Relat" dataDxfId="33">
      <calculatedColumnFormula>IFERROR(PROVEEDORFILTRADO[[#This Row],[Prioridad Abs]]/PROVEEDORFILTRADO[[#This Row],[Priorid Abs Total]],0)</calculatedColumnFormula>
    </tableColumn>
    <tableColumn id="38" name="Asignado Base" dataDxfId="32">
      <calculatedColumnFormula>IF(PROVEEDORFILTRADO[[#This Row],[Requerimiento]]&gt;0,ROUNDUP(PROVEEDORFILTRADO[[#This Row],[Requerimiento]]*PROVEEDORFILTRADO[[#This Row],[Priorid Relat]],0),0)</calculatedColumnFormula>
    </tableColumn>
    <tableColumn id="39" name="Asignado Base Total" dataDxfId="31">
      <calculatedColumnFormula>SUMPRODUCT(--(PROVEEDORFILTRADO[[#This Row],[Proveedor]]&amp;PROVEEDORFILTRADO[[#This Row],[Codigo]]=PROVEEDORFILTRADO[Proveedor]&amp;PROVEEDORFILTRADO[Codigo]),(--(PROVEEDORFILTRADO[Asignado Base]&gt;0))*PROVEEDORFILTRADO[Asignado Base])</calculatedColumnFormula>
    </tableColumn>
    <tableColumn id="40" name="Asignado Menos" dataDxfId="30">
      <calculatedColumnFormula>IF(PROVEEDORFILTRADO[[#This Row],[Requerimiento]]&lt;=0,0,MIN(ROUND(PROVEEDORFILTRADO[[#This Row],[Asignado Base]]*(PROVEEDORFILTRADO[[#This Row],[Inv Proveed]]/PROVEEDORFILTRADO[[#This Row],[Asignado Base Total]]),0),PROVEEDORFILTRADO[[#This Row],[Requerimiento]]))</calculatedColumnFormula>
    </tableColumn>
    <tableColumn id="41" name="Asignado Menos Total" dataDxfId="29">
      <calculatedColumnFormula>SUMPRODUCT(--(PROVEEDORFILTRADO[[#This Row],[Proveedor]]&amp;PROVEEDORFILTRADO[[#This Row],[Codigo]]=PROVEEDORFILTRADO[Proveedor]&amp;PROVEEDORFILTRADO[Codigo]),(--(PROVEEDORFILTRADO[Asignado Menos]&gt;0))*PROVEEDORFILTRADO[Asignado Menos])</calculatedColumnFormula>
    </tableColumn>
    <tableColumn id="42" name="Req Aux 1" dataDxfId="28">
      <calculatedColumnFormula>IFERROR(IF(PROVEEDORFILTRADO[[#This Row],[Asignado Menos Total]]&gt;PROVEEDORFILTRADO[[#This Row],[RequerimientoTotal]],PROVEEDORFILTRADO[[#This Row],[Requerimiento]],PROVEEDORFILTRADO[[#This Row],[Asignado Menos]]),0)</calculatedColumnFormula>
    </tableColumn>
    <tableColumn id="43" name="Req Aux 1 Total" dataDxfId="27">
      <calculatedColumnFormula>SUMPRODUCT(--(PROVEEDORFILTRADO[[#This Row],[Proveedor]]&amp;PROVEEDORFILTRADO[[#This Row],[Codigo]]=PROVEEDORFILTRADO[Proveedor]&amp;PROVEEDORFILTRADO[Codigo]),(--(PROVEEDORFILTRADO[Req Aux 1]&gt;0))*PROVEEDORFILTRADO[Req Aux 1])</calculatedColumnFormula>
    </tableColumn>
    <tableColumn id="44" name="Req Aux 2" dataDxfId="26">
      <calculatedColumnFormula>IFERROR(ROUND(PROVEEDORFILTRADO[[#This Row],[Req Aux 1]]*(PROVEEDORFILTRADO[[#This Row],[Inv Proveed]]/PROVEEDORFILTRADO[[#This Row],[Req Aux 1 Total]]),0),0)</calculatedColumnFormula>
    </tableColumn>
    <tableColumn id="45" name="Req Aux 2 Total" dataDxfId="25">
      <calculatedColumnFormula>SUMPRODUCT((--(PROVEEDORFILTRADO[[#This Row],[Proveedor]]&amp;PROVEEDORFILTRADO[[#This Row],[Codigo]]=PROVEEDORFILTRADO[Proveedor]&amp;PROVEEDORFILTRADO[Codigo])),(--(PROVEEDORFILTRADO[Req Aux 2]&gt;0))*PROVEEDORFILTRADO[Req Aux 2])</calculatedColumnFormula>
    </tableColumn>
    <tableColumn id="46" name="Req Aux 3" dataDxfId="24">
      <calculatedColumnFormula>IF(PROVEEDORFILTRADO[[#This Row],[Req Aux 2 Total]]&gt;PROVEEDORFILTRADO[[#This Row],[RequerimientoTotal]],PROVEEDORFILTRADO[[#This Row],[Requerimiento]],PROVEEDORFILTRADO[[#This Row],[Req Aux 1]])</calculatedColumnFormula>
    </tableColumn>
    <tableColumn id="47" name="Req Aux 3 Total" dataDxfId="23">
      <calculatedColumnFormula>SUMPRODUCT((--(PROVEEDORFILTRADO[[#This Row],[Proveedor]]&amp;PROVEEDORFILTRADO[[#This Row],[Codigo]]=PROVEEDORFILTRADO[Proveedor]&amp;PROVEEDORFILTRADO[Codigo])),(--(PROVEEDORFILTRADO[Req Aux 3]&gt;0))*PROVEEDORFILTRADO[Req Aux 3])</calculatedColumnFormula>
    </tableColumn>
    <tableColumn id="48" name="Req Aux 4" dataDxfId="22">
      <calculatedColumnFormula>IF(PROVEEDORFILTRADO[[#This Row],[Req Aux 3 Total]]&gt;PROVEEDORFILTRADO[[#This Row],[Inv Proveed]],PROVEEDORFILTRADO[[#This Row],[Req Aux 2]],PROVEEDORFILTRADO[[#This Row],[Req Aux 3]])</calculatedColumnFormula>
    </tableColumn>
    <tableColumn id="49" name="Req Aux 4 Total" dataDxfId="21">
      <calculatedColumnFormula>SUMPRODUCT((--(PROVEEDORFILTRADO[[#This Row],[Proveedor]]&amp;PROVEEDORFILTRADO[[#This Row],[Codigo]]=PROVEEDORFILTRADO[Proveedor]&amp;PROVEEDORFILTRADO[Codigo])),(--(PROVEEDORFILTRADO[Req Aux 4]&gt;0))*PROVEEDORFILTRADO[Req Aux 4])</calculatedColumnFormula>
    </tableColumn>
    <tableColumn id="50" name="Req Aux 5" dataDxfId="20">
      <calculatedColumnFormula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calculatedColumnFormula>
    </tableColumn>
    <tableColumn id="51" name="Req Aux 5 Total" dataDxfId="19">
      <calculatedColumnFormula>SUMPRODUCT((--(PROVEEDORFILTRADO[[#This Row],[Proveedor]]&amp;PROVEEDORFILTRADO[[#This Row],[Codigo]]=PROVEEDORFILTRADO[Proveedor]&amp;PROVEEDORFILTRADO[Codigo])),(--(PROVEEDORFILTRADO[Req Aux 5]&gt;0))*PROVEEDORFILTRADO[Req Aux 5])</calculatedColumnFormula>
    </tableColumn>
    <tableColumn id="52" name="Req Aux 6" dataDxfId="18">
      <calculatedColumnFormula>IF(PROVEEDORFILTRADO[[#This Row],[RequerimientoTotal]]=PROVEEDORFILTRADO[[#This Row],[Inv Proveed]],PROVEEDORFILTRADO[[#This Row],[Requerimiento]],PROVEEDORFILTRADO[[#This Row],[Req Aux 5]])</calculatedColumnFormula>
    </tableColumn>
    <tableColumn id="53" name="Req Aux 6 Total" dataDxfId="17">
      <calculatedColumnFormula>SUMPRODUCT((--(PROVEEDORFILTRADO[[#This Row],[Proveedor]]&amp;PROVEEDORFILTRADO[[#This Row],[Codigo]]=PROVEEDORFILTRADO[Proveedor]&amp;PROVEEDORFILTRADO[Codigo])),(--(PROVEEDORFILTRADO[Req Aux 6]&gt;0))*PROVEEDORFILTRADO[Req Aux 6])</calculatedColumnFormula>
    </tableColumn>
    <tableColumn id="54" name="Req Aux 7" dataDxfId="16">
      <calculatedColumnFormula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calculatedColumnFormula>
    </tableColumn>
    <tableColumn id="55" name="Req Aux 7 Total" dataDxfId="15">
      <calculatedColumnFormula>SUMPRODUCT((--(PROVEEDORFILTRADO[[#This Row],[Proveedor]]&amp;PROVEEDORFILTRADO[[#This Row],[Codigo]]=PROVEEDORFILTRADO[Proveedor]&amp;PROVEEDORFILTRADO[Codigo])),(--(PROVEEDORFILTRADO[Req Aux 7]&gt;0))*PROVEEDORFILTRADO[Req Aux 7])</calculatedColumnFormula>
    </tableColumn>
    <tableColumn id="56" name="Req Aux 8" dataDxfId="14">
      <calculatedColumnFormula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calculatedColumnFormula>
    </tableColumn>
    <tableColumn id="57" name="Req Aux 8 Total" dataDxfId="13">
      <calculatedColumnFormula>SUMPRODUCT((--(PROVEEDORFILTRADO[[#This Row],[Proveedor]]&amp;PROVEEDORFILTRADO[[#This Row],[Codigo]]=PROVEEDORFILTRADO[Proveedor]&amp;PROVEEDORFILTRADO[Codigo])),(--(PROVEEDORFILTRADO[Req Aux 8]&gt;0))*PROVEEDORFILTRADO[Req Aux 8])</calculatedColumnFormula>
    </tableColumn>
    <tableColumn id="58" name="Req Aux 9" dataDxfId="12">
      <calculatedColumnFormula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calculatedColumnFormula>
    </tableColumn>
    <tableColumn id="59" name="Req Aux 9 Total" dataDxfId="11">
      <calculatedColumnFormula>SUMPRODUCT((--(PROVEEDORFILTRADO[[#This Row],[Proveedor]]&amp;PROVEEDORFILTRADO[[#This Row],[Codigo]]=PROVEEDORFILTRADO[Proveedor]&amp;PROVEEDORFILTRADO[Codigo])),(--(PROVEEDORFILTRADO[Req Aux 9]&gt;0))*PROVEEDORFILTRADO[Req Aux 9])</calculatedColumnFormula>
    </tableColumn>
    <tableColumn id="60" name="Req Aux 10" dataDxfId="10">
      <calculatedColumnFormula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calculatedColumnFormula>
    </tableColumn>
    <tableColumn id="61" name="Req Aux 10 Total" dataDxfId="9">
      <calculatedColumnFormula>SUMPRODUCT((--(PROVEEDORFILTRADO[[#This Row],[Proveedor]]&amp;PROVEEDORFILTRADO[[#This Row],[Codigo]]=PROVEEDORFILTRADO[Proveedor]&amp;PROVEEDORFILTRADO[Codigo])),(--(PROVEEDORFILTRADO[Req Aux 10]&gt;0))*PROVEEDORFILTRADO[Req Aux 10])</calculatedColumnFormula>
    </tableColumn>
    <tableColumn id="62" name="Req Aux 11" dataDxfId="8">
      <calculatedColumnFormula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calculatedColumnFormula>
    </tableColumn>
    <tableColumn id="63" name="Req Aux 11 Total" dataDxfId="7">
      <calculatedColumnFormula>SUMPRODUCT((--(PROVEEDORFILTRADO[[#This Row],[Proveedor]]&amp;PROVEEDORFILTRADO[[#This Row],[Codigo]]=PROVEEDORFILTRADO[Proveedor]&amp;PROVEEDORFILTRADO[Codigo])),(--(PROVEEDORFILTRADO[Req Aux 11]&gt;0))*PROVEEDORFILTRADO[Req Aux 11])</calculatedColumnFormula>
    </tableColumn>
    <tableColumn id="64" name="Req Aux 12" dataDxfId="6">
      <calculatedColumnFormula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calculatedColumnFormula>
    </tableColumn>
    <tableColumn id="83" name="REQ SIN VBA" dataDxfId="5">
      <calculatedColumnFormula array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calculatedColumnFormula>
    </tableColumn>
    <tableColumn id="79" name="REQ NETO" dataDxfId="4"/>
    <tableColumn id="84" name="Dif REQ NETO" dataDxfId="3">
      <calculatedColumnFormula>SUMPRODUCT((--(PROVEEDORFILTRADO[[#This Row],[Proveedor]]&amp;PROVEEDORFILTRADO[[#This Row],[Codigo]]=PROVEEDORFILTRADO[Proveedor]&amp;PROVEEDORFILTRADO[Codigo])),(--(PROVEEDORFILTRADO[REQ NETO]&gt;0))*PROVEEDORFILTRADO[REQ NETO])-PROVEEDORFILTRADO[[#This Row],[Inv Proveed]]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2" insertRow="1" totalsRowShown="0">
  <autoFilter ref="A1:A2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2" insertRow="1" totalsRowShown="0">
  <autoFilter ref="A1:O2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"/>
  <sheetViews>
    <sheetView showGridLines="0" zoomScale="80" zoomScaleNormal="80" workbookViewId="0">
      <selection activeCell="A2" sqref="A2:Z4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s="13" t="s">
        <v>143</v>
      </c>
      <c r="H1" s="13" t="s">
        <v>144</v>
      </c>
      <c r="I1" s="13" t="s">
        <v>145</v>
      </c>
      <c r="J1" s="13" t="s">
        <v>146</v>
      </c>
      <c r="K1" s="13" t="s">
        <v>147</v>
      </c>
      <c r="L1" s="13" t="s">
        <v>148</v>
      </c>
      <c r="M1" s="13" t="s">
        <v>149</v>
      </c>
      <c r="N1" s="13" t="s">
        <v>150</v>
      </c>
      <c r="O1" s="13" t="s">
        <v>151</v>
      </c>
      <c r="P1" s="13" t="s">
        <v>152</v>
      </c>
      <c r="Q1" s="13" t="s">
        <v>153</v>
      </c>
      <c r="R1" s="13" t="s">
        <v>154</v>
      </c>
      <c r="S1" s="13" t="s">
        <v>155</v>
      </c>
      <c r="T1" s="13" t="s">
        <v>156</v>
      </c>
      <c r="U1" s="13" t="s">
        <v>157</v>
      </c>
      <c r="V1" s="13" t="s">
        <v>158</v>
      </c>
      <c r="W1" s="13" t="s">
        <v>159</v>
      </c>
      <c r="X1" s="13" t="s">
        <v>160</v>
      </c>
      <c r="Y1" s="13" t="s">
        <v>161</v>
      </c>
      <c r="Z1" s="13" t="s">
        <v>162</v>
      </c>
    </row>
    <row r="2" spans="1:26" x14ac:dyDescent="0.25">
      <c r="A2" t="s">
        <v>163</v>
      </c>
      <c r="B2" t="s">
        <v>164</v>
      </c>
      <c r="C2" t="s">
        <v>165</v>
      </c>
      <c r="D2" t="s">
        <v>166</v>
      </c>
      <c r="E2" t="s">
        <v>137</v>
      </c>
      <c r="F2" t="s">
        <v>137</v>
      </c>
      <c r="G2">
        <v>0.52</v>
      </c>
      <c r="H2">
        <v>56</v>
      </c>
      <c r="I2">
        <v>56</v>
      </c>
      <c r="J2">
        <v>1000000000</v>
      </c>
      <c r="K2" t="s">
        <v>167</v>
      </c>
      <c r="L2" t="s">
        <v>137</v>
      </c>
      <c r="M2" t="s">
        <v>137</v>
      </c>
      <c r="N2" t="s">
        <v>137</v>
      </c>
      <c r="Y2" t="s">
        <v>168</v>
      </c>
    </row>
    <row r="3" spans="1:26" x14ac:dyDescent="0.25">
      <c r="A3" t="s">
        <v>163</v>
      </c>
      <c r="B3" t="s">
        <v>164</v>
      </c>
      <c r="C3" t="s">
        <v>165</v>
      </c>
      <c r="D3" t="s">
        <v>169</v>
      </c>
      <c r="E3" t="s">
        <v>137</v>
      </c>
      <c r="F3" t="s">
        <v>137</v>
      </c>
      <c r="G3">
        <v>0.78</v>
      </c>
      <c r="H3">
        <v>96</v>
      </c>
      <c r="I3">
        <v>96</v>
      </c>
      <c r="J3">
        <v>1000000000</v>
      </c>
      <c r="K3" t="s">
        <v>167</v>
      </c>
      <c r="L3" t="s">
        <v>137</v>
      </c>
      <c r="M3" t="s">
        <v>137</v>
      </c>
      <c r="N3" t="s">
        <v>137</v>
      </c>
      <c r="Y3" t="s">
        <v>170</v>
      </c>
    </row>
    <row r="4" spans="1:26" x14ac:dyDescent="0.25">
      <c r="A4" t="s">
        <v>171</v>
      </c>
      <c r="B4" t="s">
        <v>164</v>
      </c>
      <c r="C4" t="s">
        <v>165</v>
      </c>
      <c r="D4" t="s">
        <v>172</v>
      </c>
      <c r="E4" t="s">
        <v>137</v>
      </c>
      <c r="F4" t="s">
        <v>137</v>
      </c>
      <c r="G4">
        <v>0.56999999999999995</v>
      </c>
      <c r="H4">
        <v>90</v>
      </c>
      <c r="I4">
        <v>90</v>
      </c>
      <c r="J4">
        <v>1000000000</v>
      </c>
      <c r="K4" t="s">
        <v>173</v>
      </c>
      <c r="L4" t="s">
        <v>137</v>
      </c>
      <c r="M4" t="s">
        <v>137</v>
      </c>
      <c r="N4" t="s">
        <v>137</v>
      </c>
      <c r="T4" t="s">
        <v>174</v>
      </c>
      <c r="W4" t="s">
        <v>165</v>
      </c>
      <c r="X4" t="s">
        <v>175</v>
      </c>
      <c r="Y4" t="s">
        <v>168</v>
      </c>
      <c r="Z4" t="s">
        <v>176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8"/>
  <sheetViews>
    <sheetView showGridLines="0" tabSelected="1" zoomScale="80" zoomScaleNormal="80" workbookViewId="0">
      <selection activeCell="A2" sqref="A2:J4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3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</row>
    <row r="2" spans="1:13" x14ac:dyDescent="0.25">
      <c r="A2" t="s">
        <v>163</v>
      </c>
      <c r="B2" t="s">
        <v>164</v>
      </c>
      <c r="C2" t="s">
        <v>165</v>
      </c>
      <c r="D2" t="s">
        <v>166</v>
      </c>
      <c r="E2" t="s">
        <v>137</v>
      </c>
      <c r="F2" t="s">
        <v>137</v>
      </c>
      <c r="G2">
        <v>0.52</v>
      </c>
      <c r="H2">
        <v>56</v>
      </c>
      <c r="I2">
        <v>56</v>
      </c>
      <c r="J2">
        <v>1000000000</v>
      </c>
    </row>
    <row r="3" spans="1:13" x14ac:dyDescent="0.25">
      <c r="A3" t="s">
        <v>163</v>
      </c>
      <c r="B3" t="s">
        <v>164</v>
      </c>
      <c r="C3" t="s">
        <v>165</v>
      </c>
      <c r="D3" t="s">
        <v>169</v>
      </c>
      <c r="E3" t="s">
        <v>137</v>
      </c>
      <c r="F3" t="s">
        <v>137</v>
      </c>
      <c r="G3">
        <v>0.78</v>
      </c>
      <c r="H3">
        <v>96</v>
      </c>
      <c r="I3">
        <v>96</v>
      </c>
      <c r="J3">
        <v>1000000000</v>
      </c>
    </row>
    <row r="4" spans="1:13" x14ac:dyDescent="0.25">
      <c r="A4" t="s">
        <v>171</v>
      </c>
      <c r="B4" t="s">
        <v>164</v>
      </c>
      <c r="C4" t="s">
        <v>165</v>
      </c>
      <c r="D4" t="s">
        <v>172</v>
      </c>
      <c r="E4" t="s">
        <v>137</v>
      </c>
      <c r="F4" t="s">
        <v>137</v>
      </c>
      <c r="G4">
        <v>0.56999999999999995</v>
      </c>
      <c r="H4">
        <v>90</v>
      </c>
      <c r="I4">
        <v>90</v>
      </c>
      <c r="J4">
        <v>1000000000</v>
      </c>
    </row>
    <row r="8" spans="1:13" x14ac:dyDescent="0.25">
      <c r="M8" s="1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4"/>
  <sheetViews>
    <sheetView showGridLines="0" zoomScale="80" zoomScaleNormal="80" workbookViewId="0">
      <selection activeCell="DZ2" sqref="DZ2:DZ4"/>
    </sheetView>
  </sheetViews>
  <sheetFormatPr baseColWidth="10" defaultRowHeight="15" x14ac:dyDescent="0.25"/>
  <cols>
    <col min="2" max="2" width="27.7109375" hidden="1" customWidth="1"/>
    <col min="3" max="3" width="22.85546875" bestFit="1" customWidth="1"/>
    <col min="5" max="5" width="0" hidden="1" customWidth="1"/>
    <col min="7" max="48" width="0" hidden="1" customWidth="1"/>
    <col min="49" max="49" width="16.7109375" hidden="1" customWidth="1"/>
    <col min="50" max="50" width="17.42578125" hidden="1" customWidth="1"/>
    <col min="51" max="51" width="16.140625" hidden="1" customWidth="1"/>
    <col min="52" max="58" width="0" hidden="1" customWidth="1"/>
    <col min="59" max="59" width="13.7109375" customWidth="1"/>
    <col min="60" max="60" width="0" hidden="1" customWidth="1"/>
    <col min="61" max="62" width="12" hidden="1" customWidth="1"/>
    <col min="63" max="63" width="15" hidden="1" customWidth="1"/>
    <col min="64" max="67" width="0" hidden="1" customWidth="1"/>
    <col min="68" max="68" width="11.85546875" hidden="1" customWidth="1"/>
    <col min="69" max="69" width="12.85546875" hidden="1" customWidth="1"/>
    <col min="70" max="70" width="13.5703125" hidden="1" customWidth="1"/>
    <col min="71" max="71" width="12" customWidth="1"/>
    <col min="72" max="75" width="12.7109375" hidden="1" customWidth="1"/>
    <col min="76" max="79" width="12.28515625" hidden="1" customWidth="1"/>
    <col min="80" max="80" width="13.85546875" hidden="1" customWidth="1"/>
    <col min="81" max="81" width="0" hidden="1" customWidth="1"/>
    <col min="82" max="82" width="11.7109375" hidden="1" customWidth="1"/>
    <col min="83" max="84" width="0" hidden="1" customWidth="1"/>
    <col min="85" max="85" width="14.7109375" hidden="1" customWidth="1"/>
    <col min="86" max="86" width="0" hidden="1" customWidth="1"/>
    <col min="87" max="87" width="13.5703125" customWidth="1"/>
    <col min="92" max="125" width="0" hidden="1" customWidth="1"/>
    <col min="126" max="126" width="11.85546875" hidden="1" customWidth="1"/>
    <col min="127" max="127" width="0" hidden="1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A2" t="s">
        <v>163</v>
      </c>
      <c r="C2" t="s">
        <v>164</v>
      </c>
      <c r="D2" t="s">
        <v>165</v>
      </c>
      <c r="F2" t="s">
        <v>166</v>
      </c>
      <c r="R2" s="11"/>
      <c r="S2" s="11"/>
      <c r="AF2" s="11"/>
      <c r="AG2" s="11"/>
      <c r="BG2">
        <v>1000000000</v>
      </c>
      <c r="BK2" s="1"/>
      <c r="BQ2" s="7"/>
      <c r="BS2">
        <v>56</v>
      </c>
      <c r="CA2" s="11"/>
      <c r="CC2" s="1"/>
      <c r="CE2" s="8"/>
      <c r="CF2" s="7"/>
      <c r="CG2" s="7"/>
      <c r="CH2" s="7"/>
      <c r="CI2" s="7">
        <f t="array" aca="1" ref="CI2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56</v>
      </c>
      <c r="CJ2" s="7">
        <f ca="1">SUMPRODUCT(--(PROVEEDORFILTRADO[[#This Row],[Proveedor]]&amp;PROVEEDORFILTRADO[[#This Row],[Codigo]]=PROVEEDORFILTRADO[Proveedor]&amp;PROVEEDORFILTRADO[Codigo]),PROVEEDORFILTRADO[Req Comp 2])</f>
        <v>56</v>
      </c>
      <c r="CK2" s="7">
        <f t="array" ref="CK2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56</v>
      </c>
      <c r="CL2" s="9">
        <f t="array" ref="CL2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56</v>
      </c>
      <c r="CM2" s="9">
        <f>SUMPRODUCT(--(PROVEEDORFILTRADO[[#This Row],[Proveedor]]&amp;PROVEEDORFILTRADO[[#This Row],[Codigo]]=PROVEEDORFILTRADO[Proveedor]&amp;PROVEEDORFILTRADO[Codigo]),PROVEEDORFILTRADO[Requerimiento])</f>
        <v>56</v>
      </c>
      <c r="CN2" s="7">
        <f>SUMPRODUCT(--(PROVEEDORFILTRADO[[#This Row],[Proveedor]]&amp;PROVEEDORFILTRADO[[#This Row],[Codigo]]=PROVEEDORFILTRADO[Proveedor]&amp;PROVEEDORFILTRADO[Codigo]),PROVEEDORFILTRADO[PEDIDCalc])</f>
        <v>56</v>
      </c>
      <c r="CO2" s="7">
        <f t="array" ref="CO2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0</v>
      </c>
      <c r="CP2" s="1">
        <f>IF(AND(PROVEEDORFILTRADO[[#This Row],[Consumo]]&gt;0,PROVEEDORFILTRADO[[#This Row],[Consumo]]&lt;&gt;""),PROVEEDORFILTRADO[[#This Row],[Consumo]]/PROVEEDORFILTRADO[[#This Row],[%Cons Total]],0)</f>
        <v>0</v>
      </c>
      <c r="CQ2" s="7">
        <f>IFERROR(PROVEEDORFILTRADO[[#This Row],[Requerimiento]]/PROVEEDORFILTRADO[[#This Row],[RequerimientoTotal]],0)</f>
        <v>1</v>
      </c>
      <c r="CR2" s="7">
        <f>IFERROR(PROVEEDORFILTRADO[[#This Row],[Requerimiento]]/PROVEEDORFILTRADO[[#This Row],[Buff Act]],0)</f>
        <v>0</v>
      </c>
      <c r="CS2" s="7">
        <f>SUMPRODUCT(--(PROVEEDORFILTRADO[[#This Row],[Proveedor]]&amp;PROVEEDORFILTRADO[[#This Row],[Codigo]]=PROVEEDORFILTRADO[Proveedor]&amp;PROVEEDORFILTRADO[Codigo]),(--(PROVEEDORFILTRADO[Req a Buffer]&gt;0))*PROVEEDORFILTRADO[Req a Buffer])</f>
        <v>0</v>
      </c>
      <c r="CT2" s="7">
        <f>IFERROR(PROVEEDORFILTRADO[[#This Row],[Req a Buffer]]/PROVEEDORFILTRADO[[#This Row],[%Req a Buff Total]],0)</f>
        <v>0</v>
      </c>
      <c r="CU2" s="7">
        <f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1</v>
      </c>
      <c r="CV2" s="7">
        <f>SUMPRODUCT(--(PROVEEDORFILTRADO[[#This Row],[Proveedor]]&amp;PROVEEDORFILTRADO[[#This Row],[Codigo]]=PROVEEDORFILTRADO[Proveedor]&amp;PROVEEDORFILTRADO[Codigo]),(--(PROVEEDORFILTRADO[Prioridad Abs]&gt;0))*PROVEEDORFILTRADO[Prioridad Abs])</f>
        <v>1</v>
      </c>
      <c r="CW2" s="7">
        <f>IFERROR(PROVEEDORFILTRADO[[#This Row],[Prioridad Abs]]/PROVEEDORFILTRADO[[#This Row],[Priorid Abs Total]],0)</f>
        <v>1</v>
      </c>
      <c r="CX2" s="7">
        <f>IF(PROVEEDORFILTRADO[[#This Row],[Requerimiento]]&gt;0,ROUNDUP(PROVEEDORFILTRADO[[#This Row],[Requerimiento]]*PROVEEDORFILTRADO[[#This Row],[Priorid Relat]],0),0)</f>
        <v>56</v>
      </c>
      <c r="CY2" s="7">
        <f>SUMPRODUCT(--(PROVEEDORFILTRADO[[#This Row],[Proveedor]]&amp;PROVEEDORFILTRADO[[#This Row],[Codigo]]=PROVEEDORFILTRADO[Proveedor]&amp;PROVEEDORFILTRADO[Codigo]),(--(PROVEEDORFILTRADO[Asignado Base]&gt;0))*PROVEEDORFILTRADO[Asignado Base])</f>
        <v>56</v>
      </c>
      <c r="CZ2" s="7">
        <f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56</v>
      </c>
      <c r="DA2" s="7">
        <f>SUMPRODUCT(--(PROVEEDORFILTRADO[[#This Row],[Proveedor]]&amp;PROVEEDORFILTRADO[[#This Row],[Codigo]]=PROVEEDORFILTRADO[Proveedor]&amp;PROVEEDORFILTRADO[Codigo]),(--(PROVEEDORFILTRADO[Asignado Menos]&gt;0))*PROVEEDORFILTRADO[Asignado Menos])</f>
        <v>56</v>
      </c>
      <c r="DB2" s="7">
        <f>IFERROR(IF(PROVEEDORFILTRADO[[#This Row],[Asignado Menos Total]]&gt;PROVEEDORFILTRADO[[#This Row],[RequerimientoTotal]],PROVEEDORFILTRADO[[#This Row],[Requerimiento]],PROVEEDORFILTRADO[[#This Row],[Asignado Menos]]),0)</f>
        <v>56</v>
      </c>
      <c r="DC2" s="7">
        <f>SUMPRODUCT(--(PROVEEDORFILTRADO[[#This Row],[Proveedor]]&amp;PROVEEDORFILTRADO[[#This Row],[Codigo]]=PROVEEDORFILTRADO[Proveedor]&amp;PROVEEDORFILTRADO[Codigo]),(--(PROVEEDORFILTRADO[Req Aux 1]&gt;0))*PROVEEDORFILTRADO[Req Aux 1])</f>
        <v>56</v>
      </c>
      <c r="DD2" s="7">
        <f>IFERROR(ROUND(PROVEEDORFILTRADO[[#This Row],[Req Aux 1]]*(PROVEEDORFILTRADO[[#This Row],[Inv Proveed]]/PROVEEDORFILTRADO[[#This Row],[Req Aux 1 Total]]),0),0)</f>
        <v>1000000000</v>
      </c>
      <c r="DE2" s="7">
        <f>SUMPRODUCT((--(PROVEEDORFILTRADO[[#This Row],[Proveedor]]&amp;PROVEEDORFILTRADO[[#This Row],[Codigo]]=PROVEEDORFILTRADO[Proveedor]&amp;PROVEEDORFILTRADO[Codigo])),(--(PROVEEDORFILTRADO[Req Aux 2]&gt;0))*PROVEEDORFILTRADO[Req Aux 2])</f>
        <v>1000000000</v>
      </c>
      <c r="DF2" s="7">
        <f>IF(PROVEEDORFILTRADO[[#This Row],[Req Aux 2 Total]]&gt;PROVEEDORFILTRADO[[#This Row],[RequerimientoTotal]],PROVEEDORFILTRADO[[#This Row],[Requerimiento]],PROVEEDORFILTRADO[[#This Row],[Req Aux 1]])</f>
        <v>56</v>
      </c>
      <c r="DG2" s="7">
        <f>SUMPRODUCT((--(PROVEEDORFILTRADO[[#This Row],[Proveedor]]&amp;PROVEEDORFILTRADO[[#This Row],[Codigo]]=PROVEEDORFILTRADO[Proveedor]&amp;PROVEEDORFILTRADO[Codigo])),(--(PROVEEDORFILTRADO[Req Aux 3]&gt;0))*PROVEEDORFILTRADO[Req Aux 3])</f>
        <v>56</v>
      </c>
      <c r="DH2" s="7">
        <f>IF(PROVEEDORFILTRADO[[#This Row],[Req Aux 3 Total]]&gt;PROVEEDORFILTRADO[[#This Row],[Inv Proveed]],PROVEEDORFILTRADO[[#This Row],[Req Aux 2]],PROVEEDORFILTRADO[[#This Row],[Req Aux 3]])</f>
        <v>56</v>
      </c>
      <c r="DI2" s="7">
        <f>SUMPRODUCT((--(PROVEEDORFILTRADO[[#This Row],[Proveedor]]&amp;PROVEEDORFILTRADO[[#This Row],[Codigo]]=PROVEEDORFILTRADO[Proveedor]&amp;PROVEEDORFILTRADO[Codigo])),(--(PROVEEDORFILTRADO[Req Aux 4]&gt;0))*PROVEEDORFILTRADO[Req Aux 4])</f>
        <v>56</v>
      </c>
      <c r="DJ2" s="7">
        <f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56</v>
      </c>
      <c r="DK2" s="7">
        <f>SUMPRODUCT((--(PROVEEDORFILTRADO[[#This Row],[Proveedor]]&amp;PROVEEDORFILTRADO[[#This Row],[Codigo]]=PROVEEDORFILTRADO[Proveedor]&amp;PROVEEDORFILTRADO[Codigo])),(--(PROVEEDORFILTRADO[Req Aux 5]&gt;0))*PROVEEDORFILTRADO[Req Aux 5])</f>
        <v>56</v>
      </c>
      <c r="DL2" s="7">
        <f>IF(PROVEEDORFILTRADO[[#This Row],[RequerimientoTotal]]=PROVEEDORFILTRADO[[#This Row],[Inv Proveed]],PROVEEDORFILTRADO[[#This Row],[Requerimiento]],PROVEEDORFILTRADO[[#This Row],[Req Aux 5]])</f>
        <v>56</v>
      </c>
      <c r="DM2" s="7">
        <f>SUMPRODUCT((--(PROVEEDORFILTRADO[[#This Row],[Proveedor]]&amp;PROVEEDORFILTRADO[[#This Row],[Codigo]]=PROVEEDORFILTRADO[Proveedor]&amp;PROVEEDORFILTRADO[Codigo])),(--(PROVEEDORFILTRADO[Req Aux 6]&gt;0))*PROVEEDORFILTRADO[Req Aux 6])</f>
        <v>56</v>
      </c>
      <c r="DN2" s="7">
        <f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56</v>
      </c>
      <c r="DO2" s="7">
        <f>SUMPRODUCT((--(PROVEEDORFILTRADO[[#This Row],[Proveedor]]&amp;PROVEEDORFILTRADO[[#This Row],[Codigo]]=PROVEEDORFILTRADO[Proveedor]&amp;PROVEEDORFILTRADO[Codigo])),(--(PROVEEDORFILTRADO[Req Aux 7]&gt;0))*PROVEEDORFILTRADO[Req Aux 7])</f>
        <v>56</v>
      </c>
      <c r="DP2" s="7">
        <f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56</v>
      </c>
      <c r="DQ2" s="7">
        <f>SUMPRODUCT((--(PROVEEDORFILTRADO[[#This Row],[Proveedor]]&amp;PROVEEDORFILTRADO[[#This Row],[Codigo]]=PROVEEDORFILTRADO[Proveedor]&amp;PROVEEDORFILTRADO[Codigo])),(--(PROVEEDORFILTRADO[Req Aux 8]&gt;0))*PROVEEDORFILTRADO[Req Aux 8])</f>
        <v>56</v>
      </c>
      <c r="DR2" s="7">
        <f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56</v>
      </c>
      <c r="DS2" s="7">
        <f>SUMPRODUCT((--(PROVEEDORFILTRADO[[#This Row],[Proveedor]]&amp;PROVEEDORFILTRADO[[#This Row],[Codigo]]=PROVEEDORFILTRADO[Proveedor]&amp;PROVEEDORFILTRADO[Codigo])),(--(PROVEEDORFILTRADO[Req Aux 9]&gt;0))*PROVEEDORFILTRADO[Req Aux 9])</f>
        <v>56</v>
      </c>
      <c r="DT2" s="7">
        <f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56</v>
      </c>
      <c r="DU2" s="7">
        <f>SUMPRODUCT((--(PROVEEDORFILTRADO[[#This Row],[Proveedor]]&amp;PROVEEDORFILTRADO[[#This Row],[Codigo]]=PROVEEDORFILTRADO[Proveedor]&amp;PROVEEDORFILTRADO[Codigo])),(--(PROVEEDORFILTRADO[Req Aux 10]&gt;0))*PROVEEDORFILTRADO[Req Aux 10])</f>
        <v>56</v>
      </c>
      <c r="DV2" s="7">
        <f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56</v>
      </c>
      <c r="DW2" s="7">
        <f>SUMPRODUCT((--(PROVEEDORFILTRADO[[#This Row],[Proveedor]]&amp;PROVEEDORFILTRADO[[#This Row],[Codigo]]=PROVEEDORFILTRADO[Proveedor]&amp;PROVEEDORFILTRADO[Codigo])),(--(PROVEEDORFILTRADO[Req Aux 11]&gt;0))*PROVEEDORFILTRADO[Req Aux 11])</f>
        <v>56</v>
      </c>
      <c r="DX2" s="9">
        <f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56</v>
      </c>
      <c r="DY2" s="10">
        <f t="array" aca="1" ref="DY2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56</v>
      </c>
      <c r="DZ2" s="10">
        <v>56</v>
      </c>
      <c r="EA2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-999999944</v>
      </c>
    </row>
    <row r="3" spans="1:131" x14ac:dyDescent="0.25">
      <c r="A3" t="s">
        <v>163</v>
      </c>
      <c r="C3" t="s">
        <v>164</v>
      </c>
      <c r="D3" t="s">
        <v>165</v>
      </c>
      <c r="F3" t="s">
        <v>169</v>
      </c>
      <c r="BG3">
        <v>1000000000</v>
      </c>
      <c r="BK3" s="1"/>
      <c r="BQ3" s="7"/>
      <c r="BS3">
        <v>96</v>
      </c>
      <c r="CC3" s="1"/>
      <c r="CE3" s="8"/>
      <c r="CF3" s="7"/>
      <c r="CG3" s="7"/>
      <c r="CH3" s="7"/>
      <c r="CI3" s="7">
        <f t="array" aca="1" ref="CI3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96</v>
      </c>
      <c r="CJ3" s="7">
        <f ca="1">SUMPRODUCT(--(PROVEEDORFILTRADO[[#This Row],[Proveedor]]&amp;PROVEEDORFILTRADO[[#This Row],[Codigo]]=PROVEEDORFILTRADO[Proveedor]&amp;PROVEEDORFILTRADO[Codigo]),PROVEEDORFILTRADO[Req Comp 2])</f>
        <v>96</v>
      </c>
      <c r="CK3" s="7">
        <f t="array" ref="CK3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96</v>
      </c>
      <c r="CL3" s="9">
        <f t="array" ref="CL3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96</v>
      </c>
      <c r="CM3" s="9">
        <f>SUMPRODUCT(--(PROVEEDORFILTRADO[[#This Row],[Proveedor]]&amp;PROVEEDORFILTRADO[[#This Row],[Codigo]]=PROVEEDORFILTRADO[Proveedor]&amp;PROVEEDORFILTRADO[Codigo]),PROVEEDORFILTRADO[Requerimiento])</f>
        <v>96</v>
      </c>
      <c r="CN3" s="7">
        <f>SUMPRODUCT(--(PROVEEDORFILTRADO[[#This Row],[Proveedor]]&amp;PROVEEDORFILTRADO[[#This Row],[Codigo]]=PROVEEDORFILTRADO[Proveedor]&amp;PROVEEDORFILTRADO[Codigo]),PROVEEDORFILTRADO[PEDIDCalc])</f>
        <v>96</v>
      </c>
      <c r="CO3" s="7">
        <f t="array" ref="CO3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0</v>
      </c>
      <c r="CP3" s="1">
        <f>IF(AND(PROVEEDORFILTRADO[[#This Row],[Consumo]]&gt;0,PROVEEDORFILTRADO[[#This Row],[Consumo]]&lt;&gt;""),PROVEEDORFILTRADO[[#This Row],[Consumo]]/PROVEEDORFILTRADO[[#This Row],[%Cons Total]],0)</f>
        <v>0</v>
      </c>
      <c r="CQ3" s="7">
        <f>IFERROR(PROVEEDORFILTRADO[[#This Row],[Requerimiento]]/PROVEEDORFILTRADO[[#This Row],[RequerimientoTotal]],0)</f>
        <v>1</v>
      </c>
      <c r="CR3" s="7">
        <f>IFERROR(PROVEEDORFILTRADO[[#This Row],[Requerimiento]]/PROVEEDORFILTRADO[[#This Row],[Buff Act]],0)</f>
        <v>0</v>
      </c>
      <c r="CS3" s="7">
        <f>SUMPRODUCT(--(PROVEEDORFILTRADO[[#This Row],[Proveedor]]&amp;PROVEEDORFILTRADO[[#This Row],[Codigo]]=PROVEEDORFILTRADO[Proveedor]&amp;PROVEEDORFILTRADO[Codigo]),(--(PROVEEDORFILTRADO[Req a Buffer]&gt;0))*PROVEEDORFILTRADO[Req a Buffer])</f>
        <v>0</v>
      </c>
      <c r="CT3" s="7">
        <f>IFERROR(PROVEEDORFILTRADO[[#This Row],[Req a Buffer]]/PROVEEDORFILTRADO[[#This Row],[%Req a Buff Total]],0)</f>
        <v>0</v>
      </c>
      <c r="CU3" s="7">
        <f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1</v>
      </c>
      <c r="CV3" s="7">
        <f>SUMPRODUCT(--(PROVEEDORFILTRADO[[#This Row],[Proveedor]]&amp;PROVEEDORFILTRADO[[#This Row],[Codigo]]=PROVEEDORFILTRADO[Proveedor]&amp;PROVEEDORFILTRADO[Codigo]),(--(PROVEEDORFILTRADO[Prioridad Abs]&gt;0))*PROVEEDORFILTRADO[Prioridad Abs])</f>
        <v>1</v>
      </c>
      <c r="CW3" s="7">
        <f>IFERROR(PROVEEDORFILTRADO[[#This Row],[Prioridad Abs]]/PROVEEDORFILTRADO[[#This Row],[Priorid Abs Total]],0)</f>
        <v>1</v>
      </c>
      <c r="CX3" s="7">
        <f>IF(PROVEEDORFILTRADO[[#This Row],[Requerimiento]]&gt;0,ROUNDUP(PROVEEDORFILTRADO[[#This Row],[Requerimiento]]*PROVEEDORFILTRADO[[#This Row],[Priorid Relat]],0),0)</f>
        <v>96</v>
      </c>
      <c r="CY3" s="7">
        <f>SUMPRODUCT(--(PROVEEDORFILTRADO[[#This Row],[Proveedor]]&amp;PROVEEDORFILTRADO[[#This Row],[Codigo]]=PROVEEDORFILTRADO[Proveedor]&amp;PROVEEDORFILTRADO[Codigo]),(--(PROVEEDORFILTRADO[Asignado Base]&gt;0))*PROVEEDORFILTRADO[Asignado Base])</f>
        <v>96</v>
      </c>
      <c r="CZ3" s="7">
        <f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96</v>
      </c>
      <c r="DA3" s="7">
        <f>SUMPRODUCT(--(PROVEEDORFILTRADO[[#This Row],[Proveedor]]&amp;PROVEEDORFILTRADO[[#This Row],[Codigo]]=PROVEEDORFILTRADO[Proveedor]&amp;PROVEEDORFILTRADO[Codigo]),(--(PROVEEDORFILTRADO[Asignado Menos]&gt;0))*PROVEEDORFILTRADO[Asignado Menos])</f>
        <v>96</v>
      </c>
      <c r="DB3" s="7">
        <f>IFERROR(IF(PROVEEDORFILTRADO[[#This Row],[Asignado Menos Total]]&gt;PROVEEDORFILTRADO[[#This Row],[RequerimientoTotal]],PROVEEDORFILTRADO[[#This Row],[Requerimiento]],PROVEEDORFILTRADO[[#This Row],[Asignado Menos]]),0)</f>
        <v>96</v>
      </c>
      <c r="DC3" s="7">
        <f>SUMPRODUCT(--(PROVEEDORFILTRADO[[#This Row],[Proveedor]]&amp;PROVEEDORFILTRADO[[#This Row],[Codigo]]=PROVEEDORFILTRADO[Proveedor]&amp;PROVEEDORFILTRADO[Codigo]),(--(PROVEEDORFILTRADO[Req Aux 1]&gt;0))*PROVEEDORFILTRADO[Req Aux 1])</f>
        <v>96</v>
      </c>
      <c r="DD3" s="7">
        <f>IFERROR(ROUND(PROVEEDORFILTRADO[[#This Row],[Req Aux 1]]*(PROVEEDORFILTRADO[[#This Row],[Inv Proveed]]/PROVEEDORFILTRADO[[#This Row],[Req Aux 1 Total]]),0),0)</f>
        <v>1000000000</v>
      </c>
      <c r="DE3" s="7">
        <f>SUMPRODUCT((--(PROVEEDORFILTRADO[[#This Row],[Proveedor]]&amp;PROVEEDORFILTRADO[[#This Row],[Codigo]]=PROVEEDORFILTRADO[Proveedor]&amp;PROVEEDORFILTRADO[Codigo])),(--(PROVEEDORFILTRADO[Req Aux 2]&gt;0))*PROVEEDORFILTRADO[Req Aux 2])</f>
        <v>1000000000</v>
      </c>
      <c r="DF3" s="7">
        <f>IF(PROVEEDORFILTRADO[[#This Row],[Req Aux 2 Total]]&gt;PROVEEDORFILTRADO[[#This Row],[RequerimientoTotal]],PROVEEDORFILTRADO[[#This Row],[Requerimiento]],PROVEEDORFILTRADO[[#This Row],[Req Aux 1]])</f>
        <v>96</v>
      </c>
      <c r="DG3" s="7">
        <f>SUMPRODUCT((--(PROVEEDORFILTRADO[[#This Row],[Proveedor]]&amp;PROVEEDORFILTRADO[[#This Row],[Codigo]]=PROVEEDORFILTRADO[Proveedor]&amp;PROVEEDORFILTRADO[Codigo])),(--(PROVEEDORFILTRADO[Req Aux 3]&gt;0))*PROVEEDORFILTRADO[Req Aux 3])</f>
        <v>96</v>
      </c>
      <c r="DH3" s="7">
        <f>IF(PROVEEDORFILTRADO[[#This Row],[Req Aux 3 Total]]&gt;PROVEEDORFILTRADO[[#This Row],[Inv Proveed]],PROVEEDORFILTRADO[[#This Row],[Req Aux 2]],PROVEEDORFILTRADO[[#This Row],[Req Aux 3]])</f>
        <v>96</v>
      </c>
      <c r="DI3" s="7">
        <f>SUMPRODUCT((--(PROVEEDORFILTRADO[[#This Row],[Proveedor]]&amp;PROVEEDORFILTRADO[[#This Row],[Codigo]]=PROVEEDORFILTRADO[Proveedor]&amp;PROVEEDORFILTRADO[Codigo])),(--(PROVEEDORFILTRADO[Req Aux 4]&gt;0))*PROVEEDORFILTRADO[Req Aux 4])</f>
        <v>96</v>
      </c>
      <c r="DJ3" s="7">
        <f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96</v>
      </c>
      <c r="DK3" s="7">
        <f>SUMPRODUCT((--(PROVEEDORFILTRADO[[#This Row],[Proveedor]]&amp;PROVEEDORFILTRADO[[#This Row],[Codigo]]=PROVEEDORFILTRADO[Proveedor]&amp;PROVEEDORFILTRADO[Codigo])),(--(PROVEEDORFILTRADO[Req Aux 5]&gt;0))*PROVEEDORFILTRADO[Req Aux 5])</f>
        <v>96</v>
      </c>
      <c r="DL3" s="7">
        <f>IF(PROVEEDORFILTRADO[[#This Row],[RequerimientoTotal]]=PROVEEDORFILTRADO[[#This Row],[Inv Proveed]],PROVEEDORFILTRADO[[#This Row],[Requerimiento]],PROVEEDORFILTRADO[[#This Row],[Req Aux 5]])</f>
        <v>96</v>
      </c>
      <c r="DM3" s="7">
        <f>SUMPRODUCT((--(PROVEEDORFILTRADO[[#This Row],[Proveedor]]&amp;PROVEEDORFILTRADO[[#This Row],[Codigo]]=PROVEEDORFILTRADO[Proveedor]&amp;PROVEEDORFILTRADO[Codigo])),(--(PROVEEDORFILTRADO[Req Aux 6]&gt;0))*PROVEEDORFILTRADO[Req Aux 6])</f>
        <v>96</v>
      </c>
      <c r="DN3" s="7">
        <f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96</v>
      </c>
      <c r="DO3" s="7">
        <f>SUMPRODUCT((--(PROVEEDORFILTRADO[[#This Row],[Proveedor]]&amp;PROVEEDORFILTRADO[[#This Row],[Codigo]]=PROVEEDORFILTRADO[Proveedor]&amp;PROVEEDORFILTRADO[Codigo])),(--(PROVEEDORFILTRADO[Req Aux 7]&gt;0))*PROVEEDORFILTRADO[Req Aux 7])</f>
        <v>96</v>
      </c>
      <c r="DP3" s="7">
        <f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96</v>
      </c>
      <c r="DQ3" s="7">
        <f>SUMPRODUCT((--(PROVEEDORFILTRADO[[#This Row],[Proveedor]]&amp;PROVEEDORFILTRADO[[#This Row],[Codigo]]=PROVEEDORFILTRADO[Proveedor]&amp;PROVEEDORFILTRADO[Codigo])),(--(PROVEEDORFILTRADO[Req Aux 8]&gt;0))*PROVEEDORFILTRADO[Req Aux 8])</f>
        <v>96</v>
      </c>
      <c r="DR3" s="7">
        <f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96</v>
      </c>
      <c r="DS3" s="7">
        <f>SUMPRODUCT((--(PROVEEDORFILTRADO[[#This Row],[Proveedor]]&amp;PROVEEDORFILTRADO[[#This Row],[Codigo]]=PROVEEDORFILTRADO[Proveedor]&amp;PROVEEDORFILTRADO[Codigo])),(--(PROVEEDORFILTRADO[Req Aux 9]&gt;0))*PROVEEDORFILTRADO[Req Aux 9])</f>
        <v>96</v>
      </c>
      <c r="DT3" s="7">
        <f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96</v>
      </c>
      <c r="DU3" s="7">
        <f>SUMPRODUCT((--(PROVEEDORFILTRADO[[#This Row],[Proveedor]]&amp;PROVEEDORFILTRADO[[#This Row],[Codigo]]=PROVEEDORFILTRADO[Proveedor]&amp;PROVEEDORFILTRADO[Codigo])),(--(PROVEEDORFILTRADO[Req Aux 10]&gt;0))*PROVEEDORFILTRADO[Req Aux 10])</f>
        <v>96</v>
      </c>
      <c r="DV3" s="7">
        <f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96</v>
      </c>
      <c r="DW3" s="7">
        <f>SUMPRODUCT((--(PROVEEDORFILTRADO[[#This Row],[Proveedor]]&amp;PROVEEDORFILTRADO[[#This Row],[Codigo]]=PROVEEDORFILTRADO[Proveedor]&amp;PROVEEDORFILTRADO[Codigo])),(--(PROVEEDORFILTRADO[Req Aux 11]&gt;0))*PROVEEDORFILTRADO[Req Aux 11])</f>
        <v>96</v>
      </c>
      <c r="DX3" s="9">
        <f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96</v>
      </c>
      <c r="DY3" s="10">
        <f t="array" aca="1" ref="DY3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96</v>
      </c>
      <c r="DZ3" s="10">
        <v>96</v>
      </c>
      <c r="EA3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-999999904</v>
      </c>
    </row>
    <row r="4" spans="1:131" x14ac:dyDescent="0.25">
      <c r="A4" t="s">
        <v>171</v>
      </c>
      <c r="C4" t="s">
        <v>164</v>
      </c>
      <c r="D4" t="s">
        <v>165</v>
      </c>
      <c r="F4" t="s">
        <v>172</v>
      </c>
      <c r="BG4">
        <v>1000000000</v>
      </c>
      <c r="BK4" s="1"/>
      <c r="BQ4" s="7"/>
      <c r="BS4">
        <v>90</v>
      </c>
      <c r="CC4" s="1"/>
      <c r="CE4" s="8"/>
      <c r="CF4" s="7"/>
      <c r="CG4" s="7"/>
      <c r="CH4" s="7"/>
      <c r="CI4" s="7">
        <f t="array" aca="1" ref="CI4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90</v>
      </c>
      <c r="CJ4" s="7">
        <f ca="1">SUMPRODUCT(--(PROVEEDORFILTRADO[[#This Row],[Proveedor]]&amp;PROVEEDORFILTRADO[[#This Row],[Codigo]]=PROVEEDORFILTRADO[Proveedor]&amp;PROVEEDORFILTRADO[Codigo]),PROVEEDORFILTRADO[Req Comp 2])</f>
        <v>90</v>
      </c>
      <c r="CK4" s="7">
        <f t="array" ref="CK4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90</v>
      </c>
      <c r="CL4" s="9">
        <f t="array" ref="CL4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90</v>
      </c>
      <c r="CM4" s="9">
        <f>SUMPRODUCT(--(PROVEEDORFILTRADO[[#This Row],[Proveedor]]&amp;PROVEEDORFILTRADO[[#This Row],[Codigo]]=PROVEEDORFILTRADO[Proveedor]&amp;PROVEEDORFILTRADO[Codigo]),PROVEEDORFILTRADO[Requerimiento])</f>
        <v>90</v>
      </c>
      <c r="CN4" s="7">
        <f>SUMPRODUCT(--(PROVEEDORFILTRADO[[#This Row],[Proveedor]]&amp;PROVEEDORFILTRADO[[#This Row],[Codigo]]=PROVEEDORFILTRADO[Proveedor]&amp;PROVEEDORFILTRADO[Codigo]),PROVEEDORFILTRADO[PEDIDCalc])</f>
        <v>90</v>
      </c>
      <c r="CO4" s="7">
        <f t="array" ref="CO4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0</v>
      </c>
      <c r="CP4" s="1">
        <f>IF(AND(PROVEEDORFILTRADO[[#This Row],[Consumo]]&gt;0,PROVEEDORFILTRADO[[#This Row],[Consumo]]&lt;&gt;""),PROVEEDORFILTRADO[[#This Row],[Consumo]]/PROVEEDORFILTRADO[[#This Row],[%Cons Total]],0)</f>
        <v>0</v>
      </c>
      <c r="CQ4" s="7">
        <f>IFERROR(PROVEEDORFILTRADO[[#This Row],[Requerimiento]]/PROVEEDORFILTRADO[[#This Row],[RequerimientoTotal]],0)</f>
        <v>1</v>
      </c>
      <c r="CR4" s="7">
        <f>IFERROR(PROVEEDORFILTRADO[[#This Row],[Requerimiento]]/PROVEEDORFILTRADO[[#This Row],[Buff Act]],0)</f>
        <v>0</v>
      </c>
      <c r="CS4" s="7">
        <f>SUMPRODUCT(--(PROVEEDORFILTRADO[[#This Row],[Proveedor]]&amp;PROVEEDORFILTRADO[[#This Row],[Codigo]]=PROVEEDORFILTRADO[Proveedor]&amp;PROVEEDORFILTRADO[Codigo]),(--(PROVEEDORFILTRADO[Req a Buffer]&gt;0))*PROVEEDORFILTRADO[Req a Buffer])</f>
        <v>0</v>
      </c>
      <c r="CT4" s="7">
        <f>IFERROR(PROVEEDORFILTRADO[[#This Row],[Req a Buffer]]/PROVEEDORFILTRADO[[#This Row],[%Req a Buff Total]],0)</f>
        <v>0</v>
      </c>
      <c r="CU4" s="7">
        <f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1</v>
      </c>
      <c r="CV4" s="7">
        <f>SUMPRODUCT(--(PROVEEDORFILTRADO[[#This Row],[Proveedor]]&amp;PROVEEDORFILTRADO[[#This Row],[Codigo]]=PROVEEDORFILTRADO[Proveedor]&amp;PROVEEDORFILTRADO[Codigo]),(--(PROVEEDORFILTRADO[Prioridad Abs]&gt;0))*PROVEEDORFILTRADO[Prioridad Abs])</f>
        <v>1</v>
      </c>
      <c r="CW4" s="7">
        <f>IFERROR(PROVEEDORFILTRADO[[#This Row],[Prioridad Abs]]/PROVEEDORFILTRADO[[#This Row],[Priorid Abs Total]],0)</f>
        <v>1</v>
      </c>
      <c r="CX4" s="7">
        <f>IF(PROVEEDORFILTRADO[[#This Row],[Requerimiento]]&gt;0,ROUNDUP(PROVEEDORFILTRADO[[#This Row],[Requerimiento]]*PROVEEDORFILTRADO[[#This Row],[Priorid Relat]],0),0)</f>
        <v>90</v>
      </c>
      <c r="CY4" s="7">
        <f>SUMPRODUCT(--(PROVEEDORFILTRADO[[#This Row],[Proveedor]]&amp;PROVEEDORFILTRADO[[#This Row],[Codigo]]=PROVEEDORFILTRADO[Proveedor]&amp;PROVEEDORFILTRADO[Codigo]),(--(PROVEEDORFILTRADO[Asignado Base]&gt;0))*PROVEEDORFILTRADO[Asignado Base])</f>
        <v>90</v>
      </c>
      <c r="CZ4" s="7">
        <f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90</v>
      </c>
      <c r="DA4" s="7">
        <f>SUMPRODUCT(--(PROVEEDORFILTRADO[[#This Row],[Proveedor]]&amp;PROVEEDORFILTRADO[[#This Row],[Codigo]]=PROVEEDORFILTRADO[Proveedor]&amp;PROVEEDORFILTRADO[Codigo]),(--(PROVEEDORFILTRADO[Asignado Menos]&gt;0))*PROVEEDORFILTRADO[Asignado Menos])</f>
        <v>90</v>
      </c>
      <c r="DB4" s="7">
        <f>IFERROR(IF(PROVEEDORFILTRADO[[#This Row],[Asignado Menos Total]]&gt;PROVEEDORFILTRADO[[#This Row],[RequerimientoTotal]],PROVEEDORFILTRADO[[#This Row],[Requerimiento]],PROVEEDORFILTRADO[[#This Row],[Asignado Menos]]),0)</f>
        <v>90</v>
      </c>
      <c r="DC4" s="7">
        <f>SUMPRODUCT(--(PROVEEDORFILTRADO[[#This Row],[Proveedor]]&amp;PROVEEDORFILTRADO[[#This Row],[Codigo]]=PROVEEDORFILTRADO[Proveedor]&amp;PROVEEDORFILTRADO[Codigo]),(--(PROVEEDORFILTRADO[Req Aux 1]&gt;0))*PROVEEDORFILTRADO[Req Aux 1])</f>
        <v>90</v>
      </c>
      <c r="DD4" s="7">
        <f>IFERROR(ROUND(PROVEEDORFILTRADO[[#This Row],[Req Aux 1]]*(PROVEEDORFILTRADO[[#This Row],[Inv Proveed]]/PROVEEDORFILTRADO[[#This Row],[Req Aux 1 Total]]),0),0)</f>
        <v>1000000000</v>
      </c>
      <c r="DE4" s="7">
        <f>SUMPRODUCT((--(PROVEEDORFILTRADO[[#This Row],[Proveedor]]&amp;PROVEEDORFILTRADO[[#This Row],[Codigo]]=PROVEEDORFILTRADO[Proveedor]&amp;PROVEEDORFILTRADO[Codigo])),(--(PROVEEDORFILTRADO[Req Aux 2]&gt;0))*PROVEEDORFILTRADO[Req Aux 2])</f>
        <v>1000000000</v>
      </c>
      <c r="DF4" s="7">
        <f>IF(PROVEEDORFILTRADO[[#This Row],[Req Aux 2 Total]]&gt;PROVEEDORFILTRADO[[#This Row],[RequerimientoTotal]],PROVEEDORFILTRADO[[#This Row],[Requerimiento]],PROVEEDORFILTRADO[[#This Row],[Req Aux 1]])</f>
        <v>90</v>
      </c>
      <c r="DG4" s="7">
        <f>SUMPRODUCT((--(PROVEEDORFILTRADO[[#This Row],[Proveedor]]&amp;PROVEEDORFILTRADO[[#This Row],[Codigo]]=PROVEEDORFILTRADO[Proveedor]&amp;PROVEEDORFILTRADO[Codigo])),(--(PROVEEDORFILTRADO[Req Aux 3]&gt;0))*PROVEEDORFILTRADO[Req Aux 3])</f>
        <v>90</v>
      </c>
      <c r="DH4" s="7">
        <f>IF(PROVEEDORFILTRADO[[#This Row],[Req Aux 3 Total]]&gt;PROVEEDORFILTRADO[[#This Row],[Inv Proveed]],PROVEEDORFILTRADO[[#This Row],[Req Aux 2]],PROVEEDORFILTRADO[[#This Row],[Req Aux 3]])</f>
        <v>90</v>
      </c>
      <c r="DI4" s="7">
        <f>SUMPRODUCT((--(PROVEEDORFILTRADO[[#This Row],[Proveedor]]&amp;PROVEEDORFILTRADO[[#This Row],[Codigo]]=PROVEEDORFILTRADO[Proveedor]&amp;PROVEEDORFILTRADO[Codigo])),(--(PROVEEDORFILTRADO[Req Aux 4]&gt;0))*PROVEEDORFILTRADO[Req Aux 4])</f>
        <v>90</v>
      </c>
      <c r="DJ4" s="7">
        <f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90</v>
      </c>
      <c r="DK4" s="7">
        <f>SUMPRODUCT((--(PROVEEDORFILTRADO[[#This Row],[Proveedor]]&amp;PROVEEDORFILTRADO[[#This Row],[Codigo]]=PROVEEDORFILTRADO[Proveedor]&amp;PROVEEDORFILTRADO[Codigo])),(--(PROVEEDORFILTRADO[Req Aux 5]&gt;0))*PROVEEDORFILTRADO[Req Aux 5])</f>
        <v>90</v>
      </c>
      <c r="DL4" s="7">
        <f>IF(PROVEEDORFILTRADO[[#This Row],[RequerimientoTotal]]=PROVEEDORFILTRADO[[#This Row],[Inv Proveed]],PROVEEDORFILTRADO[[#This Row],[Requerimiento]],PROVEEDORFILTRADO[[#This Row],[Req Aux 5]])</f>
        <v>90</v>
      </c>
      <c r="DM4" s="7">
        <f>SUMPRODUCT((--(PROVEEDORFILTRADO[[#This Row],[Proveedor]]&amp;PROVEEDORFILTRADO[[#This Row],[Codigo]]=PROVEEDORFILTRADO[Proveedor]&amp;PROVEEDORFILTRADO[Codigo])),(--(PROVEEDORFILTRADO[Req Aux 6]&gt;0))*PROVEEDORFILTRADO[Req Aux 6])</f>
        <v>90</v>
      </c>
      <c r="DN4" s="7">
        <f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90</v>
      </c>
      <c r="DO4" s="7">
        <f>SUMPRODUCT((--(PROVEEDORFILTRADO[[#This Row],[Proveedor]]&amp;PROVEEDORFILTRADO[[#This Row],[Codigo]]=PROVEEDORFILTRADO[Proveedor]&amp;PROVEEDORFILTRADO[Codigo])),(--(PROVEEDORFILTRADO[Req Aux 7]&gt;0))*PROVEEDORFILTRADO[Req Aux 7])</f>
        <v>90</v>
      </c>
      <c r="DP4" s="7">
        <f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90</v>
      </c>
      <c r="DQ4" s="7">
        <f>SUMPRODUCT((--(PROVEEDORFILTRADO[[#This Row],[Proveedor]]&amp;PROVEEDORFILTRADO[[#This Row],[Codigo]]=PROVEEDORFILTRADO[Proveedor]&amp;PROVEEDORFILTRADO[Codigo])),(--(PROVEEDORFILTRADO[Req Aux 8]&gt;0))*PROVEEDORFILTRADO[Req Aux 8])</f>
        <v>90</v>
      </c>
      <c r="DR4" s="7">
        <f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90</v>
      </c>
      <c r="DS4" s="7">
        <f>SUMPRODUCT((--(PROVEEDORFILTRADO[[#This Row],[Proveedor]]&amp;PROVEEDORFILTRADO[[#This Row],[Codigo]]=PROVEEDORFILTRADO[Proveedor]&amp;PROVEEDORFILTRADO[Codigo])),(--(PROVEEDORFILTRADO[Req Aux 9]&gt;0))*PROVEEDORFILTRADO[Req Aux 9])</f>
        <v>90</v>
      </c>
      <c r="DT4" s="7">
        <f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90</v>
      </c>
      <c r="DU4" s="7">
        <f>SUMPRODUCT((--(PROVEEDORFILTRADO[[#This Row],[Proveedor]]&amp;PROVEEDORFILTRADO[[#This Row],[Codigo]]=PROVEEDORFILTRADO[Proveedor]&amp;PROVEEDORFILTRADO[Codigo])),(--(PROVEEDORFILTRADO[Req Aux 10]&gt;0))*PROVEEDORFILTRADO[Req Aux 10])</f>
        <v>90</v>
      </c>
      <c r="DV4" s="7">
        <f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90</v>
      </c>
      <c r="DW4" s="7">
        <f>SUMPRODUCT((--(PROVEEDORFILTRADO[[#This Row],[Proveedor]]&amp;PROVEEDORFILTRADO[[#This Row],[Codigo]]=PROVEEDORFILTRADO[Proveedor]&amp;PROVEEDORFILTRADO[Codigo])),(--(PROVEEDORFILTRADO[Req Aux 11]&gt;0))*PROVEEDORFILTRADO[Req Aux 11])</f>
        <v>90</v>
      </c>
      <c r="DX4" s="9">
        <f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90</v>
      </c>
      <c r="DY4" s="10">
        <f t="array" aca="1" ref="DY4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90</v>
      </c>
      <c r="DZ4" s="10">
        <v>90</v>
      </c>
      <c r="EA4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-999999910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A2" sqref="A2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A2" sqref="A2:A123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"/>
  <sheetViews>
    <sheetView workbookViewId="0">
      <selection activeCell="E2" sqref="E2:E31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O2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2018-01-09T23:56:05Z</dcterms:modified>
</cp:coreProperties>
</file>