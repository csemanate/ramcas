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 RAMCAS\RAM CAS\MEJORA CONTINUA\CONTROL DE BUFFERS\REPORTES\"/>
    </mc:Choice>
  </mc:AlternateContent>
  <bookViews>
    <workbookView xWindow="240" yWindow="51660" windowWidth="12240" windowHeight="9120"/>
  </bookViews>
  <sheets>
    <sheet name="Calculo_General" sheetId="6" r:id="rId1"/>
    <sheet name="Filtrado_General" sheetId="5" r:id="rId2"/>
    <sheet name="CALCULO" sheetId="1" r:id="rId3"/>
    <sheet name="FILTRADO" sheetId="2" r:id="rId4"/>
    <sheet name="TransferActiva" sheetId="3" state="hidden" r:id="rId5"/>
    <sheet name="TransferTodos" sheetId="4" state="hidden" r:id="rId6"/>
  </sheets>
  <externalReferences>
    <externalReference r:id="rId7"/>
    <externalReference r:id="rId8"/>
  </externalReferences>
  <definedNames>
    <definedName name="AnadeTransfer">TransferTodos!$A$1:$O$2</definedName>
    <definedName name="BODEGABASE">[1]DECISION_COMPRA!$B$3</definedName>
    <definedName name="BODEGABASE1">[1]RELACION_BUFFERS!$B$3</definedName>
    <definedName name="BODEGATRANSFER">[1]SELECCION!$B$3</definedName>
    <definedName name="DESTINO">[1]SELECCION1!$C$5</definedName>
    <definedName name="INICIOTRANSFER" localSheetId="0">[2]!TRANSFERENCIAFILTRADA[[#Headers],[Empresa]]</definedName>
    <definedName name="INICIOTRANSFER" localSheetId="1">[2]!TRANSFERENCIAFILTRADA[[#Headers],[Empresa]]</definedName>
    <definedName name="INICIOTRANSFER">TRANSFERENCIAFILTRADA[[#Headers],[Empresa]]</definedName>
    <definedName name="ORIGEN">[1]SELECCION1!$C$10</definedName>
    <definedName name="PROVEEDORTRANSFER">[1]SELECCION!$B$4</definedName>
    <definedName name="RANGOPEDIDOSAGROTA">OFFSET([1]CONSOLIDADO!$A$1,0,0,COUNTA([1]CONSOLIDADO!$A:$A),COUNTA([1]CONSOLIDADO!$1:$1))</definedName>
  </definedNames>
  <calcPr calcId="152511" calcMode="manual"/>
</workbook>
</file>

<file path=xl/calcChain.xml><?xml version="1.0" encoding="utf-8"?>
<calcChain xmlns="http://schemas.openxmlformats.org/spreadsheetml/2006/main">
  <c r="CN2" i="1" l="1"/>
  <c r="CO2" i="1" a="1"/>
  <c r="CO2" i="1"/>
  <c r="CP2" i="1"/>
  <c r="EA2" i="1"/>
  <c r="CI2" i="1" a="1"/>
  <c r="CI2" i="1" l="1"/>
  <c r="CJ2" i="1" s="1"/>
  <c r="CK2" i="1" s="1" a="1"/>
  <c r="CK2" i="1" s="1"/>
  <c r="CL2" i="1" s="1" a="1"/>
  <c r="CL2" i="1" s="1"/>
  <c r="CR2" i="1" l="1"/>
  <c r="CM2" i="1"/>
  <c r="CQ2" i="1" l="1"/>
  <c r="CS2" i="1"/>
  <c r="CT2" i="1" s="1"/>
  <c r="CU2" i="1" l="1"/>
  <c r="CV2" i="1" l="1"/>
  <c r="CW2" i="1" s="1"/>
  <c r="CX2" i="1" s="1"/>
  <c r="CY2" i="1" l="1"/>
  <c r="CZ2" i="1" s="1"/>
  <c r="DA2" i="1" s="1"/>
  <c r="DB2" i="1" s="1"/>
  <c r="DC2" i="1" l="1"/>
  <c r="DD2" i="1" l="1"/>
  <c r="DE2" i="1" s="1"/>
  <c r="DF2" i="1" s="1"/>
  <c r="DG2" i="1" s="1"/>
  <c r="DH2" i="1" s="1"/>
  <c r="DI2" i="1" s="1"/>
  <c r="DJ2" i="1" s="1"/>
  <c r="DK2" i="1" l="1"/>
  <c r="DL2" i="1"/>
  <c r="DM2" i="1" s="1"/>
  <c r="DN2" i="1" s="1"/>
  <c r="DO2" i="1" s="1"/>
  <c r="DP2" i="1" s="1"/>
  <c r="DQ2" i="1" s="1"/>
  <c r="DR2" i="1" s="1"/>
  <c r="DS2" i="1" s="1"/>
  <c r="DT2" i="1" s="1"/>
  <c r="DU2" i="1" s="1"/>
  <c r="DV2" i="1" s="1"/>
  <c r="DW2" i="1" s="1"/>
  <c r="DX2" i="1" l="1"/>
  <c r="DY2" i="1" a="1"/>
  <c r="DY2" i="1" l="1"/>
</calcChain>
</file>

<file path=xl/sharedStrings.xml><?xml version="1.0" encoding="utf-8"?>
<sst xmlns="http://schemas.openxmlformats.org/spreadsheetml/2006/main" count="452" uniqueCount="189">
  <si>
    <t>REQ NETO</t>
  </si>
  <si>
    <t>Req Aux 12</t>
  </si>
  <si>
    <t>Req Aux 11 Total</t>
  </si>
  <si>
    <t>Req Aux 11</t>
  </si>
  <si>
    <t>Req Aux 10 Total</t>
  </si>
  <si>
    <t>Req Aux 10</t>
  </si>
  <si>
    <t>Req Aux 9 Total</t>
  </si>
  <si>
    <t>Req Aux 9</t>
  </si>
  <si>
    <t>Req Aux 8 Total</t>
  </si>
  <si>
    <t>Req Aux 8</t>
  </si>
  <si>
    <t>Req Aux 7 Total</t>
  </si>
  <si>
    <t>Req Aux 7</t>
  </si>
  <si>
    <t>Req Aux 6 Total</t>
  </si>
  <si>
    <t>Req Aux 6</t>
  </si>
  <si>
    <t>Req Aux 5 Total</t>
  </si>
  <si>
    <t>Req Aux 5</t>
  </si>
  <si>
    <t>Req Aux 4 Total</t>
  </si>
  <si>
    <t>Req Aux 4</t>
  </si>
  <si>
    <t>Req Aux 3 Total</t>
  </si>
  <si>
    <t>Req Aux 3</t>
  </si>
  <si>
    <t>Req Aux 2 Total</t>
  </si>
  <si>
    <t>Req Aux 2</t>
  </si>
  <si>
    <t>Req Aux 1 Total</t>
  </si>
  <si>
    <t>Req Aux 1</t>
  </si>
  <si>
    <t>Asignado Menos Total</t>
  </si>
  <si>
    <t>Asignado Menos</t>
  </si>
  <si>
    <t>Asignado Base Total</t>
  </si>
  <si>
    <t>Asignado Base</t>
  </si>
  <si>
    <t>Priorid Relat</t>
  </si>
  <si>
    <t>Priorid Abs Total</t>
  </si>
  <si>
    <t>Prioridad Abs</t>
  </si>
  <si>
    <t>%Req a Buff</t>
  </si>
  <si>
    <t>%Req a Buff Total</t>
  </si>
  <si>
    <t>Req a Buffer</t>
  </si>
  <si>
    <t>%Req</t>
  </si>
  <si>
    <t>%Consumo</t>
  </si>
  <si>
    <t>%Cons Total</t>
  </si>
  <si>
    <t>ReqTotal</t>
  </si>
  <si>
    <t>RequerimientoTotal</t>
  </si>
  <si>
    <t>Requerimiento</t>
  </si>
  <si>
    <t>R Complejo</t>
  </si>
  <si>
    <t>Req Comp 2 Total</t>
  </si>
  <si>
    <t>Req Comp 2</t>
  </si>
  <si>
    <t>Req Comp 1 Total</t>
  </si>
  <si>
    <t>Req Comp 1</t>
  </si>
  <si>
    <t>Comprom Total</t>
  </si>
  <si>
    <t>FIN</t>
  </si>
  <si>
    <t>Ped Prom</t>
  </si>
  <si>
    <t>Consumo</t>
  </si>
  <si>
    <t>TipoCompra</t>
  </si>
  <si>
    <t>Rentabilid</t>
  </si>
  <si>
    <t>PEDID Real</t>
  </si>
  <si>
    <t>PEDIDCalc</t>
  </si>
  <si>
    <t>Inv Proy Act</t>
  </si>
  <si>
    <t>Backorders</t>
  </si>
  <si>
    <t>Comprom</t>
  </si>
  <si>
    <t>Tráns Act</t>
  </si>
  <si>
    <t>Estado Buffer</t>
  </si>
  <si>
    <t>Color</t>
  </si>
  <si>
    <t>Inv Fís Act</t>
  </si>
  <si>
    <t>Buff Act</t>
  </si>
  <si>
    <t>Inv Proveed</t>
  </si>
  <si>
    <t>PV</t>
  </si>
  <si>
    <t>CTV</t>
  </si>
  <si>
    <t>Tipo</t>
  </si>
  <si>
    <t>Observaciones</t>
  </si>
  <si>
    <t>Nuevo Buff Real</t>
  </si>
  <si>
    <t>Nuevo Buff Sug</t>
  </si>
  <si>
    <t>Linea</t>
  </si>
  <si>
    <t>Grupo</t>
  </si>
  <si>
    <t>Descripcion</t>
  </si>
  <si>
    <t>Codigo</t>
  </si>
  <si>
    <t>Archivo</t>
  </si>
  <si>
    <t>Proveedor</t>
  </si>
  <si>
    <t>Bodega</t>
  </si>
  <si>
    <t>Empresa</t>
  </si>
  <si>
    <t>PEDID Prom</t>
  </si>
  <si>
    <t>T$D</t>
  </si>
  <si>
    <t>I$D</t>
  </si>
  <si>
    <t>Vel Efect</t>
  </si>
  <si>
    <t>Servicio</t>
  </si>
  <si>
    <t>Ult Cambio</t>
  </si>
  <si>
    <t>REQ SIN VBA</t>
  </si>
  <si>
    <t>Dif REQ NETO</t>
  </si>
  <si>
    <t>CODIGO</t>
  </si>
  <si>
    <t>Presente</t>
  </si>
  <si>
    <t>Requerim</t>
  </si>
  <si>
    <t>Perfil</t>
  </si>
  <si>
    <t>CODIGO GENERICO</t>
  </si>
  <si>
    <t>CODIGO VINCULADO</t>
  </si>
  <si>
    <t>PEDID Min</t>
  </si>
  <si>
    <t>PEDID Min Grupo</t>
  </si>
  <si>
    <t>Unidad Empaque</t>
  </si>
  <si>
    <t>Porc Aten</t>
  </si>
  <si>
    <t>Negociación</t>
  </si>
  <si>
    <t>Producción</t>
  </si>
  <si>
    <t>Embarcado</t>
  </si>
  <si>
    <t>GDB</t>
  </si>
  <si>
    <t>Cam</t>
  </si>
  <si>
    <t>Comportamiento</t>
  </si>
  <si>
    <t>Consumo1</t>
  </si>
  <si>
    <t>Buff Calc</t>
  </si>
  <si>
    <t>Cobertura Buffer</t>
  </si>
  <si>
    <t>Cobertura Inv Proy</t>
  </si>
  <si>
    <t>Cobertura Ped Min</t>
  </si>
  <si>
    <t>Días Desabastecimiento</t>
  </si>
  <si>
    <t>Buff Min</t>
  </si>
  <si>
    <t>Buff Max</t>
  </si>
  <si>
    <t>Impacto Faltante</t>
  </si>
  <si>
    <t>Zona Amar</t>
  </si>
  <si>
    <t>Zona Roja</t>
  </si>
  <si>
    <t>Color1</t>
  </si>
  <si>
    <t>Ult Buffer</t>
  </si>
  <si>
    <t>Buff Ant Estacion</t>
  </si>
  <si>
    <t>Buff Estacional</t>
  </si>
  <si>
    <t>Estado Buffer Proy</t>
  </si>
  <si>
    <t>Calendario Estacional</t>
  </si>
  <si>
    <t>Acción Estacional</t>
  </si>
  <si>
    <t>Etapa Estacional</t>
  </si>
  <si>
    <t>Rentabilidad Proy</t>
  </si>
  <si>
    <t>Inicio Per</t>
  </si>
  <si>
    <t>Fin Per</t>
  </si>
  <si>
    <t>Var</t>
  </si>
  <si>
    <t>Rojo Acum</t>
  </si>
  <si>
    <t>Negro</t>
  </si>
  <si>
    <t>Rojo</t>
  </si>
  <si>
    <t>Amarillo</t>
  </si>
  <si>
    <t>Verde</t>
  </si>
  <si>
    <t>Lila</t>
  </si>
  <si>
    <t>Ingresos</t>
  </si>
  <si>
    <t>Egresos</t>
  </si>
  <si>
    <t>Posponer BUF</t>
  </si>
  <si>
    <t>Posponer RED</t>
  </si>
  <si>
    <t>Posponer GDB</t>
  </si>
  <si>
    <t>Estatus</t>
  </si>
  <si>
    <t>Ult Transfer Inicial</t>
  </si>
  <si>
    <t>Ult Transfer Final</t>
  </si>
  <si>
    <t>0</t>
  </si>
  <si>
    <t>EMPRESA</t>
  </si>
  <si>
    <t>BODEGA</t>
  </si>
  <si>
    <t>PROVEEDOR</t>
  </si>
  <si>
    <t>CODIGO_GENERICO</t>
  </si>
  <si>
    <t>CODIGO_VINCULADO</t>
  </si>
  <si>
    <t>ESTADO_BUFFER</t>
  </si>
  <si>
    <t>PEDIDO_CALCULADO</t>
  </si>
  <si>
    <t>CANTIDAD_SUGERIDA</t>
  </si>
  <si>
    <t>INVENTARIO_PROVEEDOR</t>
  </si>
  <si>
    <t>ach_nombre</t>
  </si>
  <si>
    <t>buh_estatus</t>
  </si>
  <si>
    <t>buh_clasificacion</t>
  </si>
  <si>
    <t>buh_responsable</t>
  </si>
  <si>
    <t>pro_grupo</t>
  </si>
  <si>
    <t>pro_linea</t>
  </si>
  <si>
    <t>pro_sublinea</t>
  </si>
  <si>
    <t>pro_modelo</t>
  </si>
  <si>
    <t>pro_familia</t>
  </si>
  <si>
    <t>pro_subfamilia</t>
  </si>
  <si>
    <t>pro_categoria</t>
  </si>
  <si>
    <t>pro_tipo</t>
  </si>
  <si>
    <t>pro_marca</t>
  </si>
  <si>
    <t>pre_nombre</t>
  </si>
  <si>
    <t>buh_color_inventario_fisico</t>
  </si>
  <si>
    <t>buh_calendario_estacional</t>
  </si>
  <si>
    <t>MEDITOP</t>
  </si>
  <si>
    <t>Bodega ECU</t>
  </si>
  <si>
    <t>LOHMANN &amp; RAUSCHER</t>
  </si>
  <si>
    <t>14824</t>
  </si>
  <si>
    <t>15101</t>
  </si>
  <si>
    <t>20401</t>
  </si>
  <si>
    <t>20463</t>
  </si>
  <si>
    <t>20471</t>
  </si>
  <si>
    <t>20571</t>
  </si>
  <si>
    <t>20572</t>
  </si>
  <si>
    <t>20701</t>
  </si>
  <si>
    <t>20706</t>
  </si>
  <si>
    <t>23318</t>
  </si>
  <si>
    <t>25201</t>
  </si>
  <si>
    <t>25213</t>
  </si>
  <si>
    <t>25446</t>
  </si>
  <si>
    <t>30065</t>
  </si>
  <si>
    <t>30067</t>
  </si>
  <si>
    <t>30075</t>
  </si>
  <si>
    <t>30078</t>
  </si>
  <si>
    <t>91182</t>
  </si>
  <si>
    <t>91184</t>
  </si>
  <si>
    <t>91185</t>
  </si>
  <si>
    <t>92842</t>
  </si>
  <si>
    <t>92843</t>
  </si>
  <si>
    <t>92844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</si>
</sst>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1"/>
      </bottom>
      <diagonal/>
    </border>
    <border>
      <left/>
      <right/>
      <top/>
      <bottom style="thin">
        <color rgb="FF000000"/>
      </bottom>
      <diagonal/>
    </border>
  </borders>
  <cellStyleXfs count="1">
    <xf numFmtId="0" fontId="0" fillId="0" borderId="0"/>
  </cellStyleXfs>
  <cellXfs count="15">
    <xf numFmtId="0" fontId="0" fillId="0" borderId="0" xfId="0"/>
    <xf numFmtId="9" fontId="0" fillId="0" borderId="0" xfId="0" applyNumberFormat="1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0" xfId="0" applyNumberFormat="1"/>
    <xf numFmtId="0" fontId="0" fillId="4" borderId="0" xfId="0" applyNumberFormat="1" applyFill="1"/>
    <xf numFmtId="0" fontId="0" fillId="3" borderId="0" xfId="0" applyNumberFormat="1" applyFill="1"/>
    <xf numFmtId="0" fontId="0" fillId="2" borderId="0" xfId="0" applyNumberFormat="1" applyFill="1"/>
    <xf numFmtId="14" fontId="0" fillId="0" borderId="0" xfId="0" applyNumberFormat="1"/>
    <xf numFmtId="0" fontId="1" fillId="5" borderId="0" xfId="0" applyFont="1" applyFill="1" applyAlignment="1">
      <alignment horizontal="center"/>
    </xf>
    <xf numFmtId="0" fontId="0" fillId="0" borderId="2" xfId="0" applyBorder="1"/>
    <xf numFmtId="0" fontId="0" fillId="0" borderId="0" xfId="0" applyFont="1"/>
  </cellXfs>
  <cellStyles count="1">
    <cellStyle name="Normal" xfId="0" builtinId="0"/>
  </cellStyles>
  <dxfs count="59"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0" formatCode="General"/>
      <fill>
        <patternFill patternType="solid">
          <fgColor indexed="64"/>
          <bgColor theme="6" tint="-0.249977111117893"/>
        </patternFill>
      </fill>
    </dxf>
    <dxf>
      <numFmt numFmtId="0" formatCode="General"/>
      <fill>
        <patternFill patternType="solid">
          <fgColor indexed="64"/>
          <bgColor theme="6" tint="-0.249977111117893"/>
        </patternFill>
      </fill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numFmt numFmtId="13" formatCode="0%"/>
    </dxf>
    <dxf>
      <numFmt numFmtId="0" formatCode="General"/>
    </dxf>
    <dxf>
      <numFmt numFmtId="13" formatCode="0%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PORT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CALCUL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LECCION"/>
      <sheetName val="Aux"/>
      <sheetName val="Combos"/>
      <sheetName val="SELECCION1"/>
      <sheetName val="TESPECIAL"/>
      <sheetName val="CONSOLIDADO"/>
      <sheetName val="DECISION_COMPRA"/>
      <sheetName val="TIPOCOMPRA"/>
      <sheetName val="RELACION_BUFFERS"/>
      <sheetName val="BUFFER_POR_COLOR"/>
      <sheetName val="PROVEEDORES"/>
      <sheetName val="EMPRESAS"/>
    </sheetNames>
    <sheetDataSet>
      <sheetData sheetId="0"/>
      <sheetData sheetId="1"/>
      <sheetData sheetId="2"/>
      <sheetData sheetId="3">
        <row r="5">
          <cell r="C5" t="str">
            <v>AGROINSUMOSLAFINCA</v>
          </cell>
        </row>
        <row r="10">
          <cell r="C10" t="str">
            <v>(Todas)</v>
          </cell>
        </row>
      </sheetData>
      <sheetData sheetId="4"/>
      <sheetData sheetId="5">
        <row r="1">
          <cell r="A1" t="str">
            <v>Empresa</v>
          </cell>
          <cell r="B1" t="str">
            <v>Archivo</v>
          </cell>
          <cell r="C1" t="str">
            <v>Bodega</v>
          </cell>
          <cell r="D1" t="str">
            <v>Proveedor</v>
          </cell>
          <cell r="E1" t="str">
            <v>Perfil</v>
          </cell>
          <cell r="F1" t="str">
            <v>Codigo</v>
          </cell>
          <cell r="G1" t="str">
            <v>CODIGO GENERICO</v>
          </cell>
          <cell r="H1" t="str">
            <v>CODIGO VINCULADO</v>
          </cell>
          <cell r="I1" t="str">
            <v>GDB</v>
          </cell>
          <cell r="J1" t="str">
            <v>Cam</v>
          </cell>
          <cell r="K1" t="str">
            <v>Comportamiento</v>
          </cell>
          <cell r="L1" t="str">
            <v>Consumo1</v>
          </cell>
          <cell r="M1" t="str">
            <v>Buff Calc</v>
          </cell>
          <cell r="N1" t="str">
            <v>Cobertura Buffer</v>
          </cell>
          <cell r="O1" t="str">
            <v>Cobertura Inv Proy</v>
          </cell>
          <cell r="P1" t="str">
            <v>Cobertura Ped Min</v>
          </cell>
          <cell r="Q1" t="str">
            <v>Días Desabastecimiento</v>
          </cell>
          <cell r="R1" t="str">
            <v>Buff Min</v>
          </cell>
          <cell r="S1" t="str">
            <v>Buff Max</v>
          </cell>
          <cell r="T1" t="str">
            <v>Impacto Faltante</v>
          </cell>
          <cell r="U1" t="str">
            <v>Zona Amar</v>
          </cell>
          <cell r="V1" t="str">
            <v>Zona Roja</v>
          </cell>
          <cell r="W1" t="str">
            <v>Color1</v>
          </cell>
          <cell r="X1" t="str">
            <v>Ult Buffer</v>
          </cell>
          <cell r="Y1" t="str">
            <v>Buff Ant Estacion</v>
          </cell>
          <cell r="Z1" t="str">
            <v>Buff Estacional</v>
          </cell>
          <cell r="AA1" t="str">
            <v>Estado Buffer Proy</v>
          </cell>
          <cell r="AB1" t="str">
            <v>Calendario Estacional</v>
          </cell>
          <cell r="AC1" t="str">
            <v>Acción Estacional</v>
          </cell>
          <cell r="AD1" t="str">
            <v>Etapa Estacional</v>
          </cell>
          <cell r="AE1" t="str">
            <v>Rentabilidad Proy</v>
          </cell>
          <cell r="AF1" t="str">
            <v>Inicio Per</v>
          </cell>
          <cell r="AG1" t="str">
            <v>Fin Per</v>
          </cell>
          <cell r="AH1" t="str">
            <v>Var</v>
          </cell>
          <cell r="AI1" t="str">
            <v>Rojo Acum</v>
          </cell>
          <cell r="AJ1" t="str">
            <v>Negro</v>
          </cell>
          <cell r="AK1" t="str">
            <v>Rojo</v>
          </cell>
          <cell r="AL1" t="str">
            <v>Amarillo</v>
          </cell>
          <cell r="AM1" t="str">
            <v>Verde</v>
          </cell>
          <cell r="AN1" t="str">
            <v>Lila</v>
          </cell>
          <cell r="AO1" t="str">
            <v>Ingresos</v>
          </cell>
          <cell r="AP1" t="str">
            <v>Egresos</v>
          </cell>
          <cell r="AQ1" t="str">
            <v>Posponer BUF</v>
          </cell>
          <cell r="AR1" t="str">
            <v>Posponer RED</v>
          </cell>
          <cell r="AS1" t="str">
            <v>Posponer GDB</v>
          </cell>
          <cell r="AT1" t="str">
            <v>Estatus</v>
          </cell>
          <cell r="AU1" t="str">
            <v>Ult Transfer Inicial</v>
          </cell>
          <cell r="AV1" t="str">
            <v>Ult Transfer Final</v>
          </cell>
          <cell r="AW1" t="str">
            <v>Nuevo Buff Sug</v>
          </cell>
          <cell r="AX1" t="str">
            <v>Nuevo Buff Real</v>
          </cell>
          <cell r="AY1" t="str">
            <v>Observaciones</v>
          </cell>
          <cell r="AZ1" t="str">
            <v>Tipo</v>
          </cell>
          <cell r="BA1" t="str">
            <v>CTV</v>
          </cell>
          <cell r="BB1" t="str">
            <v>PV</v>
          </cell>
          <cell r="BC1" t="str">
            <v>PEDID Min</v>
          </cell>
          <cell r="BD1" t="str">
            <v>PEDID Min Grupo</v>
          </cell>
          <cell r="BE1" t="str">
            <v>Unidad Empaque</v>
          </cell>
          <cell r="BF1" t="str">
            <v>Porc Aten</v>
          </cell>
          <cell r="BG1" t="str">
            <v>Inv Proveed</v>
          </cell>
          <cell r="BH1" t="str">
            <v>Buff Act</v>
          </cell>
          <cell r="BI1" t="str">
            <v>Inv Fís Act</v>
          </cell>
          <cell r="BJ1" t="str">
            <v>Color</v>
          </cell>
          <cell r="BK1" t="str">
            <v>Estado Buffer</v>
          </cell>
          <cell r="BL1" t="str">
            <v>Tráns Act</v>
          </cell>
          <cell r="BM1" t="str">
            <v>Negociación</v>
          </cell>
          <cell r="BN1" t="str">
            <v>Producción</v>
          </cell>
          <cell r="BO1" t="str">
            <v>Embarcado</v>
          </cell>
          <cell r="BP1" t="str">
            <v>Comprom</v>
          </cell>
          <cell r="BQ1" t="str">
            <v>Backorders</v>
          </cell>
          <cell r="BR1" t="str">
            <v>Inv Proy Act</v>
          </cell>
          <cell r="BS1" t="str">
            <v>PEDIDCalc</v>
          </cell>
          <cell r="BT1" t="str">
            <v>PEDID Real</v>
          </cell>
          <cell r="BU1" t="str">
            <v>PEDID Prom</v>
          </cell>
          <cell r="BV1" t="str">
            <v>T$D</v>
          </cell>
          <cell r="BW1" t="str">
            <v>I$D</v>
          </cell>
          <cell r="BX1" t="str">
            <v>Rentabilid</v>
          </cell>
          <cell r="BY1" t="str">
            <v>Vel Efect</v>
          </cell>
          <cell r="BZ1" t="str">
            <v>Servicio</v>
          </cell>
          <cell r="CA1" t="str">
            <v>Ult Cambio</v>
          </cell>
          <cell r="CB1" t="str">
            <v>TipoCompra</v>
          </cell>
          <cell r="CC1" t="str">
            <v>Consumo</v>
          </cell>
          <cell r="CD1" t="str">
            <v>Ped Prom</v>
          </cell>
          <cell r="CE1" t="str">
            <v>FIN</v>
          </cell>
        </row>
      </sheetData>
      <sheetData sheetId="6">
        <row r="3">
          <cell r="B3" t="str">
            <v>AGROTACENTRAL</v>
          </cell>
        </row>
      </sheetData>
      <sheetData sheetId="7"/>
      <sheetData sheetId="8">
        <row r="3">
          <cell r="B3" t="str">
            <v>JAHERCENTRAL</v>
          </cell>
        </row>
      </sheetData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lculo_General"/>
      <sheetName val="Filtrado_General"/>
      <sheetName val="CALCULO"/>
      <sheetName val="FILTRADO"/>
      <sheetName val="TransferActiva"/>
      <sheetName val="TransferTodos"/>
    </sheetNames>
    <sheetDataSet>
      <sheetData sheetId="0" refreshError="1"/>
      <sheetData sheetId="1" refreshError="1"/>
      <sheetData sheetId="2"/>
      <sheetData sheetId="3"/>
      <sheetData sheetId="4" refreshError="1"/>
      <sheetData sheetId="5" refreshError="1"/>
    </sheetDataSet>
  </externalBook>
</externalLink>
</file>

<file path=xl/tables/table1.xml><?xml version="1.0" encoding="utf-8"?>
<table xmlns="http://schemas.openxmlformats.org/spreadsheetml/2006/main" id="6" name="Calculo_General_Proveedor" displayName="Calculo_General_Proveedor" ref="A1:Z24" totalsRowShown="0" headerRowBorderDxfId="58" tableBorderDxfId="57">
  <autoFilter ref="A1:Z24">
    <filterColumn colId="1">
      <filters>
        <filter val="Bodega ECU"/>
      </filters>
    </filterColumn>
  </autoFilter>
  <tableColumns count="26">
    <tableColumn id="1" name="EMPRESA"/>
    <tableColumn id="4" name="BODEGA"/>
    <tableColumn id="2" name="PROVEEDOR"/>
    <tableColumn id="3" name="CODIGO"/>
    <tableColumn id="85" name="CODIGO_GENERICO"/>
    <tableColumn id="5" name="CODIGO_VINCULADO"/>
    <tableColumn id="6" name="ESTADO_BUFFER"/>
    <tableColumn id="7" name="PEDIDO_CALCULADO"/>
    <tableColumn id="8" name="CANTIDAD_SUGERIDA"/>
    <tableColumn id="9" name="INVENTARIO_PROVEEDOR"/>
    <tableColumn id="10" name="ach_nombre"/>
    <tableColumn id="11" name="buh_estatus"/>
    <tableColumn id="12" name="buh_clasificacion"/>
    <tableColumn id="13" name="buh_responsable"/>
    <tableColumn id="14" name="pro_grupo"/>
    <tableColumn id="15" name="pro_linea"/>
    <tableColumn id="16" name="pro_sublinea"/>
    <tableColumn id="17" name="pro_modelo"/>
    <tableColumn id="18" name="pro_familia"/>
    <tableColumn id="19" name="pro_subfamilia"/>
    <tableColumn id="20" name="pro_categoria"/>
    <tableColumn id="21" name="pro_tipo"/>
    <tableColumn id="22" name="pro_marca"/>
    <tableColumn id="23" name="pre_nombre"/>
    <tableColumn id="24" name="buh_color_inventario_fisico"/>
    <tableColumn id="25" name="buh_calendario_estacional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id="5" name="Filtrado_General_Bodega" displayName="Filtrado_General_Bodega" ref="A1:J24" totalsRowShown="0">
  <autoFilter ref="A1:J24"/>
  <tableColumns count="10">
    <tableColumn id="1" name="EMPRESA"/>
    <tableColumn id="2" name="BODEGA"/>
    <tableColumn id="3" name="PROVEEDOR"/>
    <tableColumn id="4" name="CODIGO"/>
    <tableColumn id="5" name="CODIGO_GENERICO"/>
    <tableColumn id="6" name="CODIGO_VINCULADO"/>
    <tableColumn id="7" name="ESTADO_BUFFER"/>
    <tableColumn id="8" name="PEDIDO_CALCULADO"/>
    <tableColumn id="9" name="CANTIDAD_SUGERIDA"/>
    <tableColumn id="10" name="INVENTARIO_PROVEEDOR"/>
  </tableColumns>
  <tableStyleInfo name="TableStyleDark11" showFirstColumn="0" showLastColumn="0" showRowStripes="1" showColumnStripes="0"/>
</table>
</file>

<file path=xl/tables/table3.xml><?xml version="1.0" encoding="utf-8"?>
<table xmlns="http://schemas.openxmlformats.org/spreadsheetml/2006/main" id="1" name="PROVEEDORFILTRADO" displayName="PROVEEDORFILTRADO" ref="A1:EA24" totalsRowShown="0" headerRowBorderDxfId="56" tableBorderDxfId="55">
  <autoFilter ref="A1:EA24"/>
  <sortState ref="A2:EA252">
    <sortCondition ref="F1:F252"/>
  </sortState>
  <tableColumns count="131">
    <tableColumn id="1" name="Empresa"/>
    <tableColumn id="4" name="Archivo"/>
    <tableColumn id="2" name="Bodega"/>
    <tableColumn id="3" name="Proveedor"/>
    <tableColumn id="85" name="Perfil"/>
    <tableColumn id="5" name="Codigo"/>
    <tableColumn id="86" name="CODIGO GENERICO"/>
    <tableColumn id="87" name="CODIGO VINCULADO"/>
    <tableColumn id="95" name="GDB"/>
    <tableColumn id="96" name="Cam"/>
    <tableColumn id="97" name="Comportamiento"/>
    <tableColumn id="98" name="Consumo1"/>
    <tableColumn id="99" name="Buff Calc"/>
    <tableColumn id="100" name="Cobertura Buffer"/>
    <tableColumn id="101" name="Cobertura Inv Proy"/>
    <tableColumn id="102" name="Cobertura Ped Min"/>
    <tableColumn id="103" name="Días Desabastecimiento"/>
    <tableColumn id="104" name="Buff Min"/>
    <tableColumn id="105" name="Buff Max"/>
    <tableColumn id="106" name="Impacto Faltante"/>
    <tableColumn id="107" name="Zona Amar"/>
    <tableColumn id="108" name="Zona Roja"/>
    <tableColumn id="109" name="Color1"/>
    <tableColumn id="110" name="Ult Buffer"/>
    <tableColumn id="111" name="Buff Ant Estacion"/>
    <tableColumn id="112" name="Buff Estacional"/>
    <tableColumn id="113" name="Estado Buffer Proy"/>
    <tableColumn id="114" name="Calendario Estacional"/>
    <tableColumn id="115" name="Acción Estacional"/>
    <tableColumn id="116" name="Etapa Estacional"/>
    <tableColumn id="117" name="Rentabilidad Proy"/>
    <tableColumn id="119" name="Inicio Per"/>
    <tableColumn id="120" name="Fin Per"/>
    <tableColumn id="121" name="Var"/>
    <tableColumn id="123" name="Rojo Acum"/>
    <tableColumn id="124" name="Negro"/>
    <tableColumn id="125" name="Rojo"/>
    <tableColumn id="126" name="Amarillo"/>
    <tableColumn id="127" name="Verde"/>
    <tableColumn id="128" name="Lila"/>
    <tableColumn id="6" name="Ingresos"/>
    <tableColumn id="7" name="Egresos"/>
    <tableColumn id="8" name="Posponer BUF"/>
    <tableColumn id="118" name="Posponer RED"/>
    <tableColumn id="122" name="Posponer GDB"/>
    <tableColumn id="129" name="Estatus"/>
    <tableColumn id="130" name="Ult Transfer Inicial"/>
    <tableColumn id="131" name="Ult Transfer Final"/>
    <tableColumn id="9" name="Nuevo Buff Sug"/>
    <tableColumn id="10" name="Nuevo Buff Real"/>
    <tableColumn id="11" name="Observaciones"/>
    <tableColumn id="12" name="Tipo"/>
    <tableColumn id="65" name="CTV"/>
    <tableColumn id="66" name="PV"/>
    <tableColumn id="88" name="PEDID Min"/>
    <tableColumn id="89" name="PEDID Min Grupo"/>
    <tableColumn id="90" name="Unidad Empaque"/>
    <tableColumn id="91" name="Porc Aten"/>
    <tableColumn id="13" name="Inv Proveed"/>
    <tableColumn id="14" name="Buff Act"/>
    <tableColumn id="15" name="Inv Fís Act"/>
    <tableColumn id="67" name="Color"/>
    <tableColumn id="16" name="Estado Buffer" dataDxfId="54"/>
    <tableColumn id="17" name="Tráns Act"/>
    <tableColumn id="92" name="Negociación"/>
    <tableColumn id="93" name="Producción"/>
    <tableColumn id="94" name="Embarcado"/>
    <tableColumn id="18" name="Comprom"/>
    <tableColumn id="19" name="Backorders" dataDxfId="53"/>
    <tableColumn id="20" name="Inv Proy Act"/>
    <tableColumn id="21" name="PEDIDCalc"/>
    <tableColumn id="22" name="PEDID Real"/>
    <tableColumn id="76" name="PEDID Prom"/>
    <tableColumn id="77" name="T$D"/>
    <tableColumn id="78" name="I$D"/>
    <tableColumn id="23" name="Rentabilid"/>
    <tableColumn id="80" name="Vel Efect"/>
    <tableColumn id="81" name="Servicio"/>
    <tableColumn id="82" name="Ult Cambio"/>
    <tableColumn id="24" name="TipoCompra"/>
    <tableColumn id="25" name="Consumo" dataDxfId="52"/>
    <tableColumn id="26" name="Ped Prom"/>
    <tableColumn id="27" name="FIN" dataDxfId="51"/>
    <tableColumn id="69" name="Comprom Total" dataDxfId="50"/>
    <tableColumn id="71" name="Req Comp 1" dataDxfId="49"/>
    <tableColumn id="68" name="Req Comp 1 Total" dataDxfId="48"/>
    <tableColumn id="70" name="Req Comp 2" dataDxfId="47">
      <calculatedColumnFormula array="1">IFERROR(IF(PROVEEDORFILTRADO[[#This Row],[Comprom Total]]=0, PROVEEDORFILTRADO[[#This Row],[PEDIDCalc]],(IF(ROW(INDIRECT(ADDRESS(MAX(IF(((--(PROVEEDORFILTRADO[[#This Row],[Proveedor]]&amp;PROVEEDORFILTRADO[[#This Row],[Codigo]]=PROVEEDORFILTRADO[Proveedor]&amp;PROVEEDORFILTRADO[Codigo])*PROVEEDORFILTRADO[Comprom])&lt;&gt;0)*( (--(PROVEEDORFILTRADO[[#This Row],[Proveedor]]&amp;PROVEEDORFILTRADO[[#This Row],[Codigo]]=PROVEEDORFILTRADO[Proveedor]&amp;PROVEEDORFILTRADO[Codigo])*PROVEEDORFILTRADO[Consumo])=SMALL((IF((IF( (--(PROVEEDORFILTRADO[[#This Row],[Proveedor]]&amp;PROVEEDORFILTRADO[[#This Row],[Codigo]]=PROVEEDORFILTRADO[Proveedor]&amp;PROVEEDORFILTRADO[Codigo])*PROVEEDORFILTRADO[Consumo])=0, (--(PROVEEDORFILTRADO[[#This Row],[Proveedor]]&amp;PROVEEDORFILTRADO[[#This Row],[Codigo]]=PROVEEDORFILTRADO[Proveedor]&amp;PROVEEDORFILTRADO[Codigo])*PROVEEDORFILTRADO[Consumo])+0.01, (--(PROVEEDORFILTRADO[[#This Row],[Proveedor]]&amp;PROVEEDORFILTRADO[[#This Row],[Codigo]]=PROVEEDORFILTRADO[Proveedor]&amp;PROVEEDORFILTRADO[Codigo])*PROVEEDORFILTRADO[Consumo])))*((--(PROVEEDORFILTRADO[[#This Row],[Proveedor]]&amp;PROVEEDORFILTRADO[[#This Row],[Codigo]]=PROVEEDORFILTRADO[Proveedor]&amp;PROVEEDORFILTRADO[Codigo])*PROVEEDORFILTRADO[Comprom])&lt;&gt;0)=0,100000000, (--(PROVEEDORFILTRADO[[#This Row],[Proveedor]]&amp;PROVEEDORFILTRADO[[#This Row],[Codigo]]=PROVEEDORFILTRADO[Proveedor]&amp;PROVEEDORFILTRADO[Codigo])*PROVEEDORFILTRADO[Consumo])*((--(PROVEEDORFILTRADO[[#This Row],[Proveedor]]&amp;PROVEEDORFILTRADO[[#This Row],[Codigo]]=PROVEEDORFILTRADO[Proveedor]&amp;PROVEEDORFILTRADO[Codigo])*PROVEEDORFILTRADO[Comprom])&lt;&gt;0))),2)),IF(ISNUMBER(IF((PROVEEDORFILTRADO[[#This Row],[Proveedor]]&amp;PROVEEDORFILTRADO[[#This Row],[Codigo]]=PROVEEDORFILTRADO[Proveedor]&amp;PROVEEDORFILTRADO[Codigo]),PROVEEDORFILTRADO[Consumo],"")),ROW(PROVEEDORFILTRADO[Consumo]),""),"")),COLUMN(PROVEEDORFILTRADO[PEDIDCalc]))))=ROW(),1,0))*PROVEEDORFILTRADO[[#This Row],[PEDIDCalc]]),0)</calculatedColumnFormula>
    </tableColumn>
    <tableColumn id="72" name="Req Comp 2 Total" dataDxfId="46">
      <calculatedColumnFormula>SUMPRODUCT(--(PROVEEDORFILTRADO[[#This Row],[Proveedor]]&amp;PROVEEDORFILTRADO[[#This Row],[Codigo]]=PROVEEDORFILTRADO[Proveedor]&amp;PROVEEDORFILTRADO[Codigo]),PROVEEDORFILTRADO[Req Comp 2])</calculatedColumnFormula>
    </tableColumn>
    <tableColumn id="73" name="R Complejo" dataDxfId="45">
      <calculatedColumnFormula array="1">IF(PROVEEDORFILTRADO[[#This Row],[Comprom Total]]=0,PROVEEDORFILTRADO[[#This Row],[PEDIDCalc]],IF(PROVEEDORFILTRADO[[#This Row],[Inv Proveed]]&gt;=(PROVEEDORFILTRADO[[#This Row],[Req Comp 1 Total]]+PROVEEDORFILTRADO[[#This Row],[Req Comp 2 Total]]),PROVEEDORFILTRADO[[#This Row],[Req Comp 1]]+PROVEEDORFILTRADO[[#This Row],[Req Comp 2]],IF(AND(PROVEEDORFILTRADO[[#This Row],[Req Comp 1 Total]]&gt;0,PROVEEDORFILTRADO[[#This Row],[Req Comp 2 Total]]=0),IF(PROVEEDORFILTRADO[[#This Row],[Req Comp 1 Total]]=0,0,IF(PROVEEDORFILTRADO[[#This Row],[Req Comp 1 Total]]&gt;=PROVEEDORFILTRADO[[#This Row],[Inv Proveed]],IF(PROVEEDORFILTRADO[[#This Row],[Req Comp 1]]=0,0,PROVEEDORFILTRADO[[#This Row],[Inv Proveed]]),0)),0)+IF(AND(PROVEEDORFILTRADO[[#This Row],[Req Comp 2 Total]]&gt;0),IF(IF(IF(PROVEEDORFILTRADO[[#This Row],[Req Comp 2 Total]]=0,0,IF((PROVEEDORFILTRADO[[#This Row],[Req Comp 1 Total]]+PROVEEDORFILTRADO[[#This Row],[Req Comp 2 Total]])&gt;=PROVEEDORFILTRADO[[#This Row],[Inv Proveed]],IF(AND(PROVEEDORFILTRADO[[#This Row],[Req Comp 1]]=0,PROVEEDORFILTRADO[[#This Row],[Req Comp 2]]=0),0,PROVEEDORFILTRADO[[#This Row],[Req Comp 1]]+MAX(0,IF(PROVEEDORFILTRADO[[#This Row],[Req Comp 2]]&lt;&gt;0,PROVEEDORFILTRADO[[#This Row],[Inv Proveed]]-PROVEEDORFILTRADO[[#This Row],[Req Comp 1 Total]],0))),0))&gt;PROVEEDORFILTRADO[[#This Row],[Inv Proveed]],PROVEEDORFILTRADO[[#This Row],[Inv Proveed]],IF(PROVEEDORFILTRADO[[#This Row],[Req Comp 2 Total]]=0,0,IF((PROVEEDORFILTRADO[[#This Row],[Req Comp 1 Total]]+PROVEEDORFILTRADO[[#This Row],[Req Comp 2 Total]])&gt;=PROVEEDORFILTRADO[[#This Row],[Inv Proveed]],IF(AND(PROVEEDORFILTRADO[[#This Row],[Req Comp 1]]=0,PROVEEDORFILTRADO[[#This Row],[Req Comp 2]]=0),0,PROVEEDORFILTRADO[[#This Row],[Req Comp 1]]+MAX(0,IF(PROVEEDORFILTRADO[[#This Row],[Req Comp 2]]&lt;&gt;0,PROVEEDORFILTRADO[[#This Row],[Inv Proveed]]-PROVEEDORFILTRADO[[#This Row],[Req Comp 1 Total]],0))),0)))&lt;0,0,IF(IF(PROVEEDORFILTRADO[[#This Row],[Req Comp 2 Total]]=0,0,IF((PROVEEDORFILTRADO[[#This Row],[Req Comp 1 Total]]+PROVEEDORFILTRADO[[#This Row],[Req Comp 2 Total]])&gt;=PROVEEDORFILTRADO[[#This Row],[Inv Proveed]],IF(AND(PROVEEDORFILTRADO[[#This Row],[Req Comp 1]]=0,PROVEEDORFILTRADO[[#This Row],[Req Comp 2]]=0),0,PROVEEDORFILTRADO[[#This Row],[Req Comp 1]]+MAX(0,IF(PROVEEDORFILTRADO[[#This Row],[Req Comp 2]]&lt;&gt;0,PROVEEDORFILTRADO[[#This Row],[Inv Proveed]]-PROVEEDORFILTRADO[[#This Row],[Req Comp 1 Total]],0))),0))&gt;PROVEEDORFILTRADO[[#This Row],[Inv Proveed]],PROVEEDORFILTRADO[[#This Row],[Inv Proveed]],IF(PROVEEDORFILTRADO[[#This Row],[Req Comp 2 Total]]=0,0,IF((PROVEEDORFILTRADO[[#This Row],[Req Comp 1 Total]]+PROVEEDORFILTRADO[[#This Row],[Req Comp 2 Total]])&gt;=PROVEEDORFILTRADO[[#This Row],[Inv Proveed]],IF(AND(PROVEEDORFILTRADO[[#This Row],[Req Comp 1]]=0,PROVEEDORFILTRADO[[#This Row],[Req Comp 2]]=0),0,PROVEEDORFILTRADO[[#This Row],[Req Comp 1]]+MAX(0,IF(PROVEEDORFILTRADO[[#This Row],[Req Comp 2]]&lt;&gt;0,PROVEEDORFILTRADO[[#This Row],[Inv Proveed]]-PROVEEDORFILTRADO[[#This Row],[Req Comp 1 Total]],0))),0)))),0)))</calculatedColumnFormula>
    </tableColumn>
    <tableColumn id="75" name="Requerimiento" dataDxfId="44">
      <calculatedColumnFormula array="1">IF(PROVEEDORFILTRADO[[#This Row],[Inv Proveed]]&gt;=PROVEEDORFILTRADO[[#This Row],[ReqTotal]],PROVEEDORFILTRADO[[#This Row],[PEDIDCalc]],IF(PROVEEDORFILTRADO[[#This Row],[R Complejo]]=0,ROUND((PROVEEDORFILTRADO[[#This Row],[Inv Proveed]]-(SUMPRODUCT(--(PROVEEDORFILTRADO[[#This Row],[Proveedor]]&amp;PROVEEDORFILTRADO[[#This Row],[Codigo]]=PROVEEDORFILTRADO[Proveedor]&amp;PROVEEDORFILTRADO[Codigo]),PROVEEDORFILTRADO[R Complejo])))*IF(PROVEEDORFILTRADO[[#This Row],[R Complejo]]=0,PROVEEDORFILTRADO[[#This Row],[PEDIDCalc]]/SUM(IF((--(PROVEEDORFILTRADO[[#This Row],[Proveedor]]&amp;PROVEEDORFILTRADO[[#This Row],[Codigo]]=PROVEEDORFILTRADO[Proveedor]&amp;PROVEEDORFILTRADO[Codigo])*PROVEEDORFILTRADO[R Complejo])=0,(--(PROVEEDORFILTRADO[[#This Row],[Proveedor]]&amp;PROVEEDORFILTRADO[[#This Row],[Codigo]]=PROVEEDORFILTRADO[Proveedor]&amp;PROVEEDORFILTRADO[Codigo])*PROVEEDORFILTRADO[PEDIDCalc]))),0),0),PROVEEDORFILTRADO[[#This Row],[R Complejo]]))</calculatedColumnFormula>
    </tableColumn>
    <tableColumn id="74" name="RequerimientoTotal" dataDxfId="43">
      <calculatedColumnFormula>SUMPRODUCT(--(PROVEEDORFILTRADO[[#This Row],[Proveedor]]&amp;PROVEEDORFILTRADO[[#This Row],[Codigo]]=PROVEEDORFILTRADO[Proveedor]&amp;PROVEEDORFILTRADO[Codigo]),PROVEEDORFILTRADO[Requerimiento])</calculatedColumnFormula>
    </tableColumn>
    <tableColumn id="28" name="ReqTotal" dataDxfId="42">
      <calculatedColumnFormula>SUMPRODUCT(--(PROVEEDORFILTRADO[[#This Row],[Proveedor]]&amp;PROVEEDORFILTRADO[[#This Row],[Codigo]]=PROVEEDORFILTRADO[Proveedor]&amp;PROVEEDORFILTRADO[Codigo]),PROVEEDORFILTRADO[PEDIDCalc])</calculatedColumnFormula>
    </tableColumn>
    <tableColumn id="29" name="%Cons Total" dataDxfId="41">
      <calculatedColumnFormula array="1">SUM((--(PROVEEDORFILTRADO[[#This Row],[Proveedor]]&amp;PROVEEDORFILTRADO[[#This Row],[Codigo]]=PROVEEDORFILTRADO[Proveedor]&amp;PROVEEDORFILTRADO[Codigo]))*(IFERROR((PROVEEDORFILTRADO[Consumo]*(--(PROVEEDORFILTRADO[Consumo]&gt;0))*(--(PROVEEDORFILTRADO[Consumo]&lt;&gt;""))),0)))</calculatedColumnFormula>
    </tableColumn>
    <tableColumn id="30" name="%Consumo" dataDxfId="40">
      <calculatedColumnFormula>IF(AND(PROVEEDORFILTRADO[[#This Row],[Consumo]]&gt;0,PROVEEDORFILTRADO[[#This Row],[Consumo]]&lt;&gt;""),PROVEEDORFILTRADO[[#This Row],[Consumo]]/PROVEEDORFILTRADO[[#This Row],[%Cons Total]],0)</calculatedColumnFormula>
    </tableColumn>
    <tableColumn id="31" name="%Req" dataDxfId="39">
      <calculatedColumnFormula>IFERROR(PROVEEDORFILTRADO[[#This Row],[Requerimiento]]/PROVEEDORFILTRADO[[#This Row],[RequerimientoTotal]],0)</calculatedColumnFormula>
    </tableColumn>
    <tableColumn id="32" name="Req a Buffer" dataDxfId="38">
      <calculatedColumnFormula>IFERROR(PROVEEDORFILTRADO[[#This Row],[Requerimiento]]/PROVEEDORFILTRADO[[#This Row],[Buff Act]],0)</calculatedColumnFormula>
    </tableColumn>
    <tableColumn id="33" name="%Req a Buff Total" dataDxfId="37">
      <calculatedColumnFormula>SUMPRODUCT(--(PROVEEDORFILTRADO[[#This Row],[Proveedor]]&amp;PROVEEDORFILTRADO[[#This Row],[Codigo]]=PROVEEDORFILTRADO[Proveedor]&amp;PROVEEDORFILTRADO[Codigo]),(--(PROVEEDORFILTRADO[Req a Buffer]&gt;0))*PROVEEDORFILTRADO[Req a Buffer])</calculatedColumnFormula>
    </tableColumn>
    <tableColumn id="34" name="%Req a Buff" dataDxfId="36">
      <calculatedColumnFormula>IFERROR(PROVEEDORFILTRADO[[#This Row],[Req a Buffer]]/PROVEEDORFILTRADO[[#This Row],[%Req a Buff Total]],0)</calculatedColumnFormula>
    </tableColumn>
    <tableColumn id="35" name="Prioridad Abs" dataDxfId="35">
      <calculatedColumnFormula>IF(RIGHT(PROVEEDORFILTRADO[[#This Row],[Bodega]],6)="PROPIA",2.3*(5*PROVEEDORFILTRADO[[#This Row],[%Consumo]]+PROVEEDORFILTRADO[[#This Row],[%Req]]+PROVEEDORFILTRADO[[#This Row],[%Req a Buff]]),5*PROVEEDORFILTRADO[[#This Row],[%Consumo]]+PROVEEDORFILTRADO[[#This Row],[%Req]]+PROVEEDORFILTRADO[[#This Row],[%Req a Buff]])</calculatedColumnFormula>
    </tableColumn>
    <tableColumn id="36" name="Priorid Abs Total" dataDxfId="34">
      <calculatedColumnFormula>SUMPRODUCT(--(PROVEEDORFILTRADO[[#This Row],[Proveedor]]&amp;PROVEEDORFILTRADO[[#This Row],[Codigo]]=PROVEEDORFILTRADO[Proveedor]&amp;PROVEEDORFILTRADO[Codigo]),(--(PROVEEDORFILTRADO[Prioridad Abs]&gt;0))*PROVEEDORFILTRADO[Prioridad Abs])</calculatedColumnFormula>
    </tableColumn>
    <tableColumn id="37" name="Priorid Relat" dataDxfId="33">
      <calculatedColumnFormula>IFERROR(PROVEEDORFILTRADO[[#This Row],[Prioridad Abs]]/PROVEEDORFILTRADO[[#This Row],[Priorid Abs Total]],0)</calculatedColumnFormula>
    </tableColumn>
    <tableColumn id="38" name="Asignado Base" dataDxfId="32">
      <calculatedColumnFormula>IF(PROVEEDORFILTRADO[[#This Row],[Requerimiento]]&gt;0,ROUNDUP(PROVEEDORFILTRADO[[#This Row],[Requerimiento]]*PROVEEDORFILTRADO[[#This Row],[Priorid Relat]],0),0)</calculatedColumnFormula>
    </tableColumn>
    <tableColumn id="39" name="Asignado Base Total" dataDxfId="31">
      <calculatedColumnFormula>SUMPRODUCT(--(PROVEEDORFILTRADO[[#This Row],[Proveedor]]&amp;PROVEEDORFILTRADO[[#This Row],[Codigo]]=PROVEEDORFILTRADO[Proveedor]&amp;PROVEEDORFILTRADO[Codigo]),(--(PROVEEDORFILTRADO[Asignado Base]&gt;0))*PROVEEDORFILTRADO[Asignado Base])</calculatedColumnFormula>
    </tableColumn>
    <tableColumn id="40" name="Asignado Menos" dataDxfId="30">
      <calculatedColumnFormula>IF(PROVEEDORFILTRADO[[#This Row],[Requerimiento]]&lt;=0,0,MIN(ROUND(PROVEEDORFILTRADO[[#This Row],[Asignado Base]]*(PROVEEDORFILTRADO[[#This Row],[Inv Proveed]]/PROVEEDORFILTRADO[[#This Row],[Asignado Base Total]]),0),PROVEEDORFILTRADO[[#This Row],[Requerimiento]]))</calculatedColumnFormula>
    </tableColumn>
    <tableColumn id="41" name="Asignado Menos Total" dataDxfId="29">
      <calculatedColumnFormula>SUMPRODUCT(--(PROVEEDORFILTRADO[[#This Row],[Proveedor]]&amp;PROVEEDORFILTRADO[[#This Row],[Codigo]]=PROVEEDORFILTRADO[Proveedor]&amp;PROVEEDORFILTRADO[Codigo]),(--(PROVEEDORFILTRADO[Asignado Menos]&gt;0))*PROVEEDORFILTRADO[Asignado Menos])</calculatedColumnFormula>
    </tableColumn>
    <tableColumn id="42" name="Req Aux 1" dataDxfId="28">
      <calculatedColumnFormula>IFERROR(IF(PROVEEDORFILTRADO[[#This Row],[Asignado Menos Total]]&gt;PROVEEDORFILTRADO[[#This Row],[RequerimientoTotal]],PROVEEDORFILTRADO[[#This Row],[Requerimiento]],PROVEEDORFILTRADO[[#This Row],[Asignado Menos]]),0)</calculatedColumnFormula>
    </tableColumn>
    <tableColumn id="43" name="Req Aux 1 Total" dataDxfId="27">
      <calculatedColumnFormula>SUMPRODUCT(--(PROVEEDORFILTRADO[[#This Row],[Proveedor]]&amp;PROVEEDORFILTRADO[[#This Row],[Codigo]]=PROVEEDORFILTRADO[Proveedor]&amp;PROVEEDORFILTRADO[Codigo]),(--(PROVEEDORFILTRADO[Req Aux 1]&gt;0))*PROVEEDORFILTRADO[Req Aux 1])</calculatedColumnFormula>
    </tableColumn>
    <tableColumn id="44" name="Req Aux 2" dataDxfId="26">
      <calculatedColumnFormula>IFERROR(ROUND(PROVEEDORFILTRADO[[#This Row],[Req Aux 1]]*(PROVEEDORFILTRADO[[#This Row],[Inv Proveed]]/PROVEEDORFILTRADO[[#This Row],[Req Aux 1 Total]]),0),0)</calculatedColumnFormula>
    </tableColumn>
    <tableColumn id="45" name="Req Aux 2 Total" dataDxfId="25">
      <calculatedColumnFormula>SUMPRODUCT((--(PROVEEDORFILTRADO[[#This Row],[Proveedor]]&amp;PROVEEDORFILTRADO[[#This Row],[Codigo]]=PROVEEDORFILTRADO[Proveedor]&amp;PROVEEDORFILTRADO[Codigo])),(--(PROVEEDORFILTRADO[Req Aux 2]&gt;0))*PROVEEDORFILTRADO[Req Aux 2])</calculatedColumnFormula>
    </tableColumn>
    <tableColumn id="46" name="Req Aux 3" dataDxfId="24">
      <calculatedColumnFormula>IF(PROVEEDORFILTRADO[[#This Row],[Req Aux 2 Total]]&gt;PROVEEDORFILTRADO[[#This Row],[RequerimientoTotal]],PROVEEDORFILTRADO[[#This Row],[Requerimiento]],PROVEEDORFILTRADO[[#This Row],[Req Aux 1]])</calculatedColumnFormula>
    </tableColumn>
    <tableColumn id="47" name="Req Aux 3 Total" dataDxfId="23">
      <calculatedColumnFormula>SUMPRODUCT((--(PROVEEDORFILTRADO[[#This Row],[Proveedor]]&amp;PROVEEDORFILTRADO[[#This Row],[Codigo]]=PROVEEDORFILTRADO[Proveedor]&amp;PROVEEDORFILTRADO[Codigo])),(--(PROVEEDORFILTRADO[Req Aux 3]&gt;0))*PROVEEDORFILTRADO[Req Aux 3])</calculatedColumnFormula>
    </tableColumn>
    <tableColumn id="48" name="Req Aux 4" dataDxfId="22">
      <calculatedColumnFormula>IF(PROVEEDORFILTRADO[[#This Row],[Req Aux 3 Total]]&gt;PROVEEDORFILTRADO[[#This Row],[Inv Proveed]],PROVEEDORFILTRADO[[#This Row],[Req Aux 2]],PROVEEDORFILTRADO[[#This Row],[Req Aux 3]])</calculatedColumnFormula>
    </tableColumn>
    <tableColumn id="49" name="Req Aux 4 Total" dataDxfId="21">
      <calculatedColumnFormula>SUMPRODUCT((--(PROVEEDORFILTRADO[[#This Row],[Proveedor]]&amp;PROVEEDORFILTRADO[[#This Row],[Codigo]]=PROVEEDORFILTRADO[Proveedor]&amp;PROVEEDORFILTRADO[Codigo])),(--(PROVEEDORFILTRADO[Req Aux 4]&gt;0))*PROVEEDORFILTRADO[Req Aux 4])</calculatedColumnFormula>
    </tableColumn>
    <tableColumn id="50" name="Req Aux 5" dataDxfId="20">
      <calculatedColumnFormula>IF(AND(PROVEEDORFILTRADO[[#This Row],[Req Aux 4 Total]]&lt;PROVEEDORFILTRADO[[#This Row],[Inv Proveed]],PROVEEDORFILTRADO[[#This Row],[RequerimientoTotal]]&gt;PROVEEDORFILTRADO[[#This Row],[Inv Proveed]]),IF((PROVEEDORFILTRADO[[#This Row],[Req Aux 4]]+1)&gt;=PROVEEDORFILTRADO[[#This Row],[Requerimiento]],PROVEEDORFILTRADO[[#This Row],[Requerimiento]],(PROVEEDORFILTRADO[[#This Row],[Req Aux 4]]+1)),PROVEEDORFILTRADO[[#This Row],[Req Aux 4]])</calculatedColumnFormula>
    </tableColumn>
    <tableColumn id="51" name="Req Aux 5 Total" dataDxfId="19">
      <calculatedColumnFormula>SUMPRODUCT((--(PROVEEDORFILTRADO[[#This Row],[Proveedor]]&amp;PROVEEDORFILTRADO[[#This Row],[Codigo]]=PROVEEDORFILTRADO[Proveedor]&amp;PROVEEDORFILTRADO[Codigo])),(--(PROVEEDORFILTRADO[Req Aux 5]&gt;0))*PROVEEDORFILTRADO[Req Aux 5])</calculatedColumnFormula>
    </tableColumn>
    <tableColumn id="52" name="Req Aux 6" dataDxfId="18">
      <calculatedColumnFormula>IF(PROVEEDORFILTRADO[[#This Row],[RequerimientoTotal]]=PROVEEDORFILTRADO[[#This Row],[Inv Proveed]],PROVEEDORFILTRADO[[#This Row],[Requerimiento]],PROVEEDORFILTRADO[[#This Row],[Req Aux 5]])</calculatedColumnFormula>
    </tableColumn>
    <tableColumn id="53" name="Req Aux 6 Total" dataDxfId="17">
      <calculatedColumnFormula>SUMPRODUCT((--(PROVEEDORFILTRADO[[#This Row],[Proveedor]]&amp;PROVEEDORFILTRADO[[#This Row],[Codigo]]=PROVEEDORFILTRADO[Proveedor]&amp;PROVEEDORFILTRADO[Codigo])),(--(PROVEEDORFILTRADO[Req Aux 6]&gt;0))*PROVEEDORFILTRADO[Req Aux 6])</calculatedColumnFormula>
    </tableColumn>
    <tableColumn id="54" name="Req Aux 7" dataDxfId="16">
      <calculatedColumnFormula>IF(PROVEEDORFILTRADO[[#This Row],[Req Aux 6 Total]]&lt;PROVEEDORFILTRADO[[#This Row],[Inv Proveed]],IF((--(PROVEEDORFILTRADO[[#This Row],[Proveedor]]&amp;PROVEEDORFILTRADO[[#This Row],[Codigo]]=PROVEEDORFILTRADO[Proveedor]&amp;PROVEEDORFILTRADO[Codigo]))*PROVEEDORFILTRADO[Req Aux 6]&lt;(--(PROVEEDORFILTRADO[[#This Row],[Proveedor]]&amp;PROVEEDORFILTRADO[[#This Row],[Codigo]]=PROVEEDORFILTRADO[Proveedor]&amp;PROVEEDORFILTRADO[Codigo]))*PROVEEDORFILTRADO[Requerimiento],(--(PROVEEDORFILTRADO[[#This Row],[Proveedor]]&amp;PROVEEDORFILTRADO[[#This Row],[Codigo]]=PROVEEDORFILTRADO[Proveedor]&amp;PROVEEDORFILTRADO[Codigo]))*PROVEEDORFILTRADO[Req Aux 6]+1,(--(PROVEEDORFILTRADO[[#This Row],[Proveedor]]&amp;PROVEEDORFILTRADO[[#This Row],[Codigo]]=PROVEEDORFILTRADO[Proveedor]&amp;PROVEEDORFILTRADO[Codigo]))*PROVEEDORFILTRADO[Req Aux 6]),(--(PROVEEDORFILTRADO[[#This Row],[Proveedor]]&amp;PROVEEDORFILTRADO[[#This Row],[Codigo]]=PROVEEDORFILTRADO[Proveedor]&amp;PROVEEDORFILTRADO[Codigo]))*PROVEEDORFILTRADO[Req Aux 6])</calculatedColumnFormula>
    </tableColumn>
    <tableColumn id="55" name="Req Aux 7 Total" dataDxfId="15">
      <calculatedColumnFormula>SUMPRODUCT((--(PROVEEDORFILTRADO[[#This Row],[Proveedor]]&amp;PROVEEDORFILTRADO[[#This Row],[Codigo]]=PROVEEDORFILTRADO[Proveedor]&amp;PROVEEDORFILTRADO[Codigo])),(--(PROVEEDORFILTRADO[Req Aux 7]&gt;0))*PROVEEDORFILTRADO[Req Aux 7])</calculatedColumnFormula>
    </tableColumn>
    <tableColumn id="56" name="Req Aux 8" dataDxfId="14">
      <calculatedColumnFormula>IF(PROVEEDORFILTRADO[[#This Row],[Req Aux 7 Total]]&lt;PROVEEDORFILTRADO[[#This Row],[Inv Proveed]],IF(((--(PROVEEDORFILTRADO[[#This Row],[Proveedor]]&amp;PROVEEDORFILTRADO[[#This Row],[Codigo]]=PROVEEDORFILTRADO[Proveedor]&amp;PROVEEDORFILTRADO[Codigo]))*PROVEEDORFILTRADO[Req Aux 7])&lt;((--(PROVEEDORFILTRADO[[#This Row],[Proveedor]]&amp;PROVEEDORFILTRADO[[#This Row],[Codigo]]=PROVEEDORFILTRADO[Proveedor]&amp;PROVEEDORFILTRADO[Codigo]))*PROVEEDORFILTRADO[Requerimiento]),((--(PROVEEDORFILTRADO[[#This Row],[Proveedor]]&amp;PROVEEDORFILTRADO[[#This Row],[Codigo]]=PROVEEDORFILTRADO[Proveedor]&amp;PROVEEDORFILTRADO[Codigo]))*PROVEEDORFILTRADO[Req Aux 7])+1,((--(PROVEEDORFILTRADO[[#This Row],[Proveedor]]&amp;PROVEEDORFILTRADO[[#This Row],[Codigo]]=PROVEEDORFILTRADO[Proveedor]&amp;PROVEEDORFILTRADO[Codigo]))*PROVEEDORFILTRADO[Req Aux 7])),((--(PROVEEDORFILTRADO[[#This Row],[Proveedor]]&amp;PROVEEDORFILTRADO[[#This Row],[Codigo]]=PROVEEDORFILTRADO[Proveedor]&amp;PROVEEDORFILTRADO[Codigo]))*PROVEEDORFILTRADO[Req Aux 7]))</calculatedColumnFormula>
    </tableColumn>
    <tableColumn id="57" name="Req Aux 8 Total" dataDxfId="13">
      <calculatedColumnFormula>SUMPRODUCT((--(PROVEEDORFILTRADO[[#This Row],[Proveedor]]&amp;PROVEEDORFILTRADO[[#This Row],[Codigo]]=PROVEEDORFILTRADO[Proveedor]&amp;PROVEEDORFILTRADO[Codigo])),(--(PROVEEDORFILTRADO[Req Aux 8]&gt;0))*PROVEEDORFILTRADO[Req Aux 8])</calculatedColumnFormula>
    </tableColumn>
    <tableColumn id="58" name="Req Aux 9" dataDxfId="12">
      <calculatedColumnFormula>IF(PROVEEDORFILTRADO[[#This Row],[Req Aux 8 Total]]&lt;PROVEEDORFILTRADO[[#This Row],[Inv Proveed]],IF(((--(PROVEEDORFILTRADO[[#This Row],[Proveedor]]&amp;PROVEEDORFILTRADO[[#This Row],[Codigo]]=PROVEEDORFILTRADO[Proveedor]&amp;PROVEEDORFILTRADO[Codigo]))*PROVEEDORFILTRADO[Req Aux 8])&lt;((--(PROVEEDORFILTRADO[[#This Row],[Proveedor]]&amp;PROVEEDORFILTRADO[[#This Row],[Codigo]]=PROVEEDORFILTRADO[Proveedor]&amp;PROVEEDORFILTRADO[Codigo]))*PROVEEDORFILTRADO[Requerimiento]),((--(PROVEEDORFILTRADO[[#This Row],[Proveedor]]&amp;PROVEEDORFILTRADO[[#This Row],[Codigo]]=PROVEEDORFILTRADO[Proveedor]&amp;PROVEEDORFILTRADO[Codigo]))*PROVEEDORFILTRADO[Req Aux 8])+1,((--(PROVEEDORFILTRADO[[#This Row],[Proveedor]]&amp;PROVEEDORFILTRADO[[#This Row],[Codigo]]=PROVEEDORFILTRADO[Proveedor]&amp;PROVEEDORFILTRADO[Codigo]))*PROVEEDORFILTRADO[Req Aux 8])),((--(PROVEEDORFILTRADO[[#This Row],[Proveedor]]&amp;PROVEEDORFILTRADO[[#This Row],[Codigo]]=PROVEEDORFILTRADO[Proveedor]&amp;PROVEEDORFILTRADO[Codigo]))*PROVEEDORFILTRADO[Req Aux 8]))</calculatedColumnFormula>
    </tableColumn>
    <tableColumn id="59" name="Req Aux 9 Total" dataDxfId="11">
      <calculatedColumnFormula>SUMPRODUCT((--(PROVEEDORFILTRADO[[#This Row],[Proveedor]]&amp;PROVEEDORFILTRADO[[#This Row],[Codigo]]=PROVEEDORFILTRADO[Proveedor]&amp;PROVEEDORFILTRADO[Codigo])),(--(PROVEEDORFILTRADO[Req Aux 9]&gt;0))*PROVEEDORFILTRADO[Req Aux 9])</calculatedColumnFormula>
    </tableColumn>
    <tableColumn id="60" name="Req Aux 10" dataDxfId="10">
      <calculatedColumnFormula>IF(PROVEEDORFILTRADO[[#This Row],[Req Aux 9 Total]]&lt;PROVEEDORFILTRADO[[#This Row],[Inv Proveed]],IF(((--(PROVEEDORFILTRADO[[#This Row],[Proveedor]]&amp;PROVEEDORFILTRADO[[#This Row],[Codigo]]=PROVEEDORFILTRADO[Proveedor]&amp;PROVEEDORFILTRADO[Codigo]))*PROVEEDORFILTRADO[Req Aux 9])&lt;((--(PROVEEDORFILTRADO[[#This Row],[Proveedor]]&amp;PROVEEDORFILTRADO[[#This Row],[Codigo]]=PROVEEDORFILTRADO[Proveedor]&amp;PROVEEDORFILTRADO[Codigo]))*PROVEEDORFILTRADO[Requerimiento]),((--(PROVEEDORFILTRADO[[#This Row],[Proveedor]]&amp;PROVEEDORFILTRADO[[#This Row],[Codigo]]=PROVEEDORFILTRADO[Proveedor]&amp;PROVEEDORFILTRADO[Codigo]))*PROVEEDORFILTRADO[Req Aux 9])+1,((--(PROVEEDORFILTRADO[[#This Row],[Proveedor]]&amp;PROVEEDORFILTRADO[[#This Row],[Codigo]]=PROVEEDORFILTRADO[Proveedor]&amp;PROVEEDORFILTRADO[Codigo]))*PROVEEDORFILTRADO[Req Aux 9])),((--(PROVEEDORFILTRADO[[#This Row],[Proveedor]]&amp;PROVEEDORFILTRADO[[#This Row],[Codigo]]=PROVEEDORFILTRADO[Proveedor]&amp;PROVEEDORFILTRADO[Codigo]))*PROVEEDORFILTRADO[Req Aux 9]))</calculatedColumnFormula>
    </tableColumn>
    <tableColumn id="61" name="Req Aux 10 Total" dataDxfId="9">
      <calculatedColumnFormula>SUMPRODUCT((--(PROVEEDORFILTRADO[[#This Row],[Proveedor]]&amp;PROVEEDORFILTRADO[[#This Row],[Codigo]]=PROVEEDORFILTRADO[Proveedor]&amp;PROVEEDORFILTRADO[Codigo])),(--(PROVEEDORFILTRADO[Req Aux 10]&gt;0))*PROVEEDORFILTRADO[Req Aux 10])</calculatedColumnFormula>
    </tableColumn>
    <tableColumn id="62" name="Req Aux 11" dataDxfId="8">
      <calculatedColumnFormula>IF(PROVEEDORFILTRADO[[#This Row],[Req Aux 10 Total]]&lt;PROVEEDORFILTRADO[[#This Row],[Inv Proveed]],IF(((--(PROVEEDORFILTRADO[[#This Row],[Proveedor]]&amp;PROVEEDORFILTRADO[[#This Row],[Codigo]]=PROVEEDORFILTRADO[Proveedor]&amp;PROVEEDORFILTRADO[Codigo]))*PROVEEDORFILTRADO[Req Aux 10])&lt;((--(PROVEEDORFILTRADO[[#This Row],[Proveedor]]&amp;PROVEEDORFILTRADO[[#This Row],[Codigo]]=PROVEEDORFILTRADO[Proveedor]&amp;PROVEEDORFILTRADO[Codigo]))*PROVEEDORFILTRADO[Requerimiento]),((--(PROVEEDORFILTRADO[[#This Row],[Proveedor]]&amp;PROVEEDORFILTRADO[[#This Row],[Codigo]]=PROVEEDORFILTRADO[Proveedor]&amp;PROVEEDORFILTRADO[Codigo]))*PROVEEDORFILTRADO[Req Aux 10])+1,((--(PROVEEDORFILTRADO[[#This Row],[Proveedor]]&amp;PROVEEDORFILTRADO[[#This Row],[Codigo]]=PROVEEDORFILTRADO[Proveedor]&amp;PROVEEDORFILTRADO[Codigo]))*PROVEEDORFILTRADO[Req Aux 10])),((--(PROVEEDORFILTRADO[[#This Row],[Proveedor]]&amp;PROVEEDORFILTRADO[[#This Row],[Codigo]]=PROVEEDORFILTRADO[Proveedor]&amp;PROVEEDORFILTRADO[Codigo]))*PROVEEDORFILTRADO[Req Aux 10]))</calculatedColumnFormula>
    </tableColumn>
    <tableColumn id="63" name="Req Aux 11 Total" dataDxfId="7">
      <calculatedColumnFormula>SUMPRODUCT((--(PROVEEDORFILTRADO[[#This Row],[Proveedor]]&amp;PROVEEDORFILTRADO[[#This Row],[Codigo]]=PROVEEDORFILTRADO[Proveedor]&amp;PROVEEDORFILTRADO[Codigo])),(--(PROVEEDORFILTRADO[Req Aux 11]&gt;0))*PROVEEDORFILTRADO[Req Aux 11])</calculatedColumnFormula>
    </tableColumn>
    <tableColumn id="64" name="Req Aux 12" dataDxfId="6">
      <calculatedColumnFormula>IF(PROVEEDORFILTRADO[[#This Row],[RequerimientoTotal]]&gt;PROVEEDORFILTRADO[[#This Row],[Inv Proveed]],IFERROR(IF(OR(PROVEEDORFILTRADO[[#This Row],[Req Aux 1 Total]]=PROVEEDORFILTRADO[[#This Row],[Inv Proveed]],PROVEEDORFILTRADO[[#This Row],[Req Aux 1 Total]]=PROVEEDORFILTRADO[[#This Row],[Inv Proveed]]+1,PROVEEDORFILTRADO[[#This Row],[Req Aux 1 Total]]=PROVEEDORFILTRADO[[#This Row],[Inv Proveed]]-1),PROVEEDORFILTRADO[[#This Row],[Req Aux 1]],IF(OR(PROVEEDORFILTRADO[[#This Row],[Req Aux 2 Total]]=PROVEEDORFILTRADO[[#This Row],[Inv Proveed]],PROVEEDORFILTRADO[[#This Row],[Req Aux 2 Total]]=PROVEEDORFILTRADO[[#This Row],[Inv Proveed]]+1,PROVEEDORFILTRADO[[#This Row],[Req Aux 2 Total]]=PROVEEDORFILTRADO[[#This Row],[Inv Proveed]]-1),PROVEEDORFILTRADO[[#This Row],[Req Aux 2]],IF(OR(PROVEEDORFILTRADO[[#This Row],[Req Aux 3 Total]]=PROVEEDORFILTRADO[[#This Row],[Inv Proveed]],PROVEEDORFILTRADO[[#This Row],[Req Aux 3 Total]]=PROVEEDORFILTRADO[[#This Row],[Inv Proveed]]+1,PROVEEDORFILTRADO[[#This Row],[Req Aux 3 Total]]=PROVEEDORFILTRADO[[#This Row],[Inv Proveed]]-1),PROVEEDORFILTRADO[[#This Row],[Req Aux 3]],IF(OR(PROVEEDORFILTRADO[[#This Row],[Req Aux 4 Total]]=PROVEEDORFILTRADO[[#This Row],[Inv Proveed]],PROVEEDORFILTRADO[[#This Row],[Req Aux 4 Total]]=PROVEEDORFILTRADO[[#This Row],[Inv Proveed]]+1,PROVEEDORFILTRADO[[#This Row],[Req Aux 4 Total]]=PROVEEDORFILTRADO[[#This Row],[Inv Proveed]]-1),PROVEEDORFILTRADO[[#This Row],[Req Aux 4]],IF(OR(PROVEEDORFILTRADO[[#This Row],[Req Aux 5 Total]]=PROVEEDORFILTRADO[[#This Row],[Inv Proveed]],PROVEEDORFILTRADO[[#This Row],[Req Aux 5 Total]]=PROVEEDORFILTRADO[[#This Row],[Inv Proveed]]+1,PROVEEDORFILTRADO[[#This Row],[Req Aux 5 Total]]=PROVEEDORFILTRADO[[#This Row],[Inv Proveed]]-1),PROVEEDORFILTRADO[[#This Row],[Req Aux 5]],IF(OR(PROVEEDORFILTRADO[[#This Row],[Req Aux 6 Total]]=PROVEEDORFILTRADO[[#This Row],[Inv Proveed]],PROVEEDORFILTRADO[[#This Row],[Req Aux 6 Total]]=PROVEEDORFILTRADO[[#This Row],[Inv Proveed]]+1,PROVEEDORFILTRADO[[#This Row],[Req Aux 6 Total]] = PROVEEDORFILTRADO[[#This Row],[Inv Proveed]]-1),PROVEEDORFILTRADO[[#This Row],[Req Aux 6]],IF(OR(PROVEEDORFILTRADO[[#This Row],[Req Aux 7 Total]]=PROVEEDORFILTRADO[[#This Row],[Inv Proveed]],PROVEEDORFILTRADO[[#This Row],[Req Aux 7 Total]]=PROVEEDORFILTRADO[[#This Row],[Inv Proveed]]+1,PROVEEDORFILTRADO[[#This Row],[Req Aux 7 Total]]=PROVEEDORFILTRADO[[#This Row],[Inv Proveed]]-1),PROVEEDORFILTRADO[[#This Row],[Req Aux 7]],IF(OR(PROVEEDORFILTRADO[[#This Row],[Req Aux 8 Total]]=PROVEEDORFILTRADO[[#This Row],[Inv Proveed]],PROVEEDORFILTRADO[[#This Row],[Req Aux 8 Total]]=PROVEEDORFILTRADO[[#This Row],[Inv Proveed]]+1,PROVEEDORFILTRADO[[#This Row],[Req Aux 8 Total]]=PROVEEDORFILTRADO[[#This Row],[Inv Proveed]]-1),PROVEEDORFILTRADO[[#This Row],[Req Aux 8]],IF(OR(PROVEEDORFILTRADO[[#This Row],[Req Aux 9 Total]]=PROVEEDORFILTRADO[[#This Row],[Inv Proveed]],PROVEEDORFILTRADO[[#This Row],[Req Aux 9 Total]]=PROVEEDORFILTRADO[[#This Row],[Inv Proveed]]+1,PROVEEDORFILTRADO[[#This Row],[Req Aux 9 Total]]=PROVEEDORFILTRADO[[#This Row],[Inv Proveed]]-1),PROVEEDORFILTRADO[[#This Row],[Req Aux 9]],IF(OR(PROVEEDORFILTRADO[[#This Row],[Req Aux 10 Total]]=PROVEEDORFILTRADO[[#This Row],[Inv Proveed]],PROVEEDORFILTRADO[[#This Row],[Req Aux 10 Total]]=PROVEEDORFILTRADO[[#This Row],[Inv Proveed]]+1,PROVEEDORFILTRADO[[#This Row],[Req Aux 10 Total]]=PROVEEDORFILTRADO[[#This Row],[Inv Proveed]]-1),PROVEEDORFILTRADO[[#This Row],[Req Aux 10]],IF(PROVEEDORFILTRADO[[#This Row],[Req Aux 11 Total]]=PROVEEDORFILTRADO[[#This Row],[Inv Proveed]],PROVEEDORFILTRADO[[#This Row],[Req Aux 11]],IFERROR(IF(AND(COUNTA(((--(PROVEEDORFILTRADO[[#This Row],[Proveedor]]&amp;PROVEEDORFILTRADO[[#This Row],[Codigo]]=PROVEEDORFILTRADO[Proveedor]&amp;PROVEEDORFILTRADO[Codigo]))*PROVEEDORFILTRADO[Req Aux 11]))&gt;=PROVEEDORFILTRADO[[#This Row],[Inv Proveed]],PROVEEDORFILTRADO[[#This Row],[Req Aux 11 Total]]&gt;PROVEEDORFILTRADO[[#This Row],[Inv Proveed]]),IF(PROVEEDORFILTRADO[[#This Row],[Req Aux 11]]&gt;1,PROVEEDORFILTRADO[[#This Row],[Req Aux 11]]-1,PROVEEDORFILTRADO[[#This Row],[Req Aux 11]]),PROVEEDORFILTRADO[[#This Row],[Req Aux 11]]),0)))))))))))),0),PROVEEDORFILTRADO[[#This Row],[Requerimiento]])</calculatedColumnFormula>
    </tableColumn>
    <tableColumn id="83" name="REQ SIN VBA" dataDxfId="5">
      <calculatedColumnFormula array="1">IF(PROVEEDORFILTRADO[[#This Row],[Inv Proveed]]=1,IF(PROVEEDORFILTRADO[[#This Row],[Prioridad Abs]]=MAX(--(PROVEEDORFILTRADO[[#This Row],[Proveedor]]&amp;PROVEEDORFILTRADO[[#This Row],[Codigo]]=PROVEEDORFILTRADO[Proveedor]&amp;PROVEEDORFILTRADO[Codigo])*--(PROVEEDORFILTRADO[Requerimiento]&gt;0)*PROVEEDORFILTRADO[Prioridad Abs]),1,0),IF(ISERROR(MATCH(PROVEEDORFILTRADO[[#This Row],[Prioridad Abs]],SMALL((--(PROVEEDORFILTRADO[[#This Row],[Proveedor]]&amp;PROVEEDORFILTRADO[[#This Row],[Codigo]]=PROVEEDORFILTRADO[Proveedor]&amp;PROVEEDORFILTRADO[Codigo]))*IF((--(PROVEEDORFILTRADO[Req Aux 12]&gt;=1)*PROVEEDORFILTRADO[Prioridad Abs])=0,1000000000,--((PROVEEDORFILTRADO[Req Aux 12]&gt;=1)*PROVEEDORFILTRADO[Prioridad Abs])),ROW(INDIRECT("a1:a"&amp;SUM((--(PROVEEDORFILTRADO[[#This Row],[Proveedor]]&amp;PROVEEDORFILTRADO[[#This Row],[Codigo]]=PROVEEDORFILTRADO[Proveedor]&amp;PROVEEDORFILTRADO[Codigo]))*PROVEEDORFILTRADO[Req Aux 12])-PROVEEDORFILTRADO[[#This Row],[Inv Proveed]]))),0)),PROVEEDORFILTRADO[[#This Row],[Req Aux 12]],PROVEEDORFILTRADO[[#This Row],[Req Aux 12]]-1))</calculatedColumnFormula>
    </tableColumn>
    <tableColumn id="79" name="REQ NETO" dataDxfId="4"/>
    <tableColumn id="84" name="Dif REQ NETO" dataDxfId="3">
      <calculatedColumnFormula>SUMPRODUCT((--(PROVEEDORFILTRADO[[#This Row],[Proveedor]]&amp;PROVEEDORFILTRADO[[#This Row],[Codigo]]=PROVEEDORFILTRADO[Proveedor]&amp;PROVEEDORFILTRADO[Codigo])),(--(PROVEEDORFILTRADO[REQ NETO]&gt;0))*PROVEEDORFILTRADO[REQ NETO])-PROVEEDORFILTRADO[[#This Row],[Inv Proveed]]</calculatedColumnFormula>
    </tableColumn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id="2" name="TRANSFERENCIAFILTRADA" displayName="TRANSFERENCIAFILTRADA" ref="A1:EA2" insertRow="1" totalsRowShown="0">
  <autoFilter ref="A1:EA2"/>
  <tableColumns count="131">
    <tableColumn id="1" name="Empresa"/>
    <tableColumn id="4" name="Archivo"/>
    <tableColumn id="2" name="Bodega"/>
    <tableColumn id="3" name="Proveedor"/>
    <tableColumn id="85" name="Perfil"/>
    <tableColumn id="5" name="Codigo"/>
    <tableColumn id="86" name="CODIGO GENERICO"/>
    <tableColumn id="87" name="CODIGO VINCULADO"/>
    <tableColumn id="95" name="GDB"/>
    <tableColumn id="96" name="Cam"/>
    <tableColumn id="97" name="Comportamiento"/>
    <tableColumn id="98" name="Consumo1"/>
    <tableColumn id="99" name="Buff Calc"/>
    <tableColumn id="100" name="Cobertura Buffer"/>
    <tableColumn id="101" name="Cobertura Inv Proy"/>
    <tableColumn id="102" name="Cobertura Ped Min"/>
    <tableColumn id="103" name="Días Desabastecimiento"/>
    <tableColumn id="104" name="Buff Min"/>
    <tableColumn id="105" name="Buff Max"/>
    <tableColumn id="106" name="Impacto Faltante"/>
    <tableColumn id="107" name="Zona Amar"/>
    <tableColumn id="108" name="Zona Roja"/>
    <tableColumn id="109" name="Color1"/>
    <tableColumn id="110" name="Ult Buffer"/>
    <tableColumn id="111" name="Buff Ant Estacion"/>
    <tableColumn id="112" name="Buff Estacional"/>
    <tableColumn id="113" name="Estado Buffer Proy"/>
    <tableColumn id="114" name="Calendario Estacional"/>
    <tableColumn id="115" name="Acción Estacional"/>
    <tableColumn id="116" name="Etapa Estacional"/>
    <tableColumn id="117" name="Rentabilidad Proy"/>
    <tableColumn id="119" name="Inicio Per"/>
    <tableColumn id="120" name="Fin Per"/>
    <tableColumn id="121" name="Var"/>
    <tableColumn id="123" name="Rojo Acum"/>
    <tableColumn id="124" name="Negro"/>
    <tableColumn id="125" name="Rojo"/>
    <tableColumn id="126" name="Amarillo"/>
    <tableColumn id="127" name="Verde"/>
    <tableColumn id="128" name="Lila"/>
    <tableColumn id="6" name="Ingresos"/>
    <tableColumn id="7" name="Egresos"/>
    <tableColumn id="8" name="Posponer BUF"/>
    <tableColumn id="118" name="Posponer RED"/>
    <tableColumn id="122" name="Posponer GDB"/>
    <tableColumn id="129" name="Estatus"/>
    <tableColumn id="130" name="Ult Transfer Inicial"/>
    <tableColumn id="131" name="Ult Transfer Final"/>
    <tableColumn id="9" name="Nuevo Buff Sug"/>
    <tableColumn id="10" name="Nuevo Buff Real"/>
    <tableColumn id="11" name="Observaciones"/>
    <tableColumn id="12" name="Tipo"/>
    <tableColumn id="65" name="CTV"/>
    <tableColumn id="66" name="PV"/>
    <tableColumn id="88" name="PEDID Min"/>
    <tableColumn id="89" name="PEDID Min Grupo"/>
    <tableColumn id="90" name="Unidad Empaque"/>
    <tableColumn id="91" name="Porc Aten"/>
    <tableColumn id="13" name="Inv Proveed"/>
    <tableColumn id="14" name="Buff Act"/>
    <tableColumn id="15" name="Inv Fís Act"/>
    <tableColumn id="74" name="Color"/>
    <tableColumn id="16" name="Estado Buffer" dataDxfId="2"/>
    <tableColumn id="17" name="Tráns Act"/>
    <tableColumn id="92" name="Negociación"/>
    <tableColumn id="93" name="Producción"/>
    <tableColumn id="94" name="Embarcado"/>
    <tableColumn id="18" name="Comprom"/>
    <tableColumn id="19" name="Backorders"/>
    <tableColumn id="20" name="Inv Proy Act"/>
    <tableColumn id="21" name="PEDIDCalc"/>
    <tableColumn id="22" name="PEDID Real"/>
    <tableColumn id="77" name="PEDID Prom"/>
    <tableColumn id="78" name="T$D"/>
    <tableColumn id="79" name="I$D"/>
    <tableColumn id="23" name="Rentabilid"/>
    <tableColumn id="80" name="Vel Efect"/>
    <tableColumn id="81" name="Servicio"/>
    <tableColumn id="82" name="Ult Cambio"/>
    <tableColumn id="24" name="TipoCompra"/>
    <tableColumn id="25" name="Consumo" dataDxfId="1"/>
    <tableColumn id="26" name="Ped Prom"/>
    <tableColumn id="27" name="FIN"/>
    <tableColumn id="28" name="Comprom Total"/>
    <tableColumn id="29" name="Req Comp 1"/>
    <tableColumn id="30" name="Req Comp 1 Total"/>
    <tableColumn id="31" name="Req Comp 2"/>
    <tableColumn id="32" name="Req Comp 2 Total"/>
    <tableColumn id="33" name="R Complejo"/>
    <tableColumn id="34" name="Requerimiento"/>
    <tableColumn id="35" name="RequerimientoTotal"/>
    <tableColumn id="36" name="ReqTotal"/>
    <tableColumn id="37" name="%Cons Total"/>
    <tableColumn id="38" name="%Consumo"/>
    <tableColumn id="39" name="%Req"/>
    <tableColumn id="40" name="Req a Buffer"/>
    <tableColumn id="41" name="%Req a Buff Total"/>
    <tableColumn id="42" name="%Req a Buff"/>
    <tableColumn id="43" name="Prioridad Abs"/>
    <tableColumn id="44" name="Priorid Abs Total"/>
    <tableColumn id="45" name="Priorid Relat"/>
    <tableColumn id="46" name="Asignado Base"/>
    <tableColumn id="47" name="Asignado Base Total"/>
    <tableColumn id="48" name="Asignado Menos"/>
    <tableColumn id="49" name="Asignado Menos Total"/>
    <tableColumn id="50" name="Req Aux 1"/>
    <tableColumn id="51" name="Req Aux 1 Total"/>
    <tableColumn id="52" name="Req Aux 2"/>
    <tableColumn id="53" name="Req Aux 2 Total"/>
    <tableColumn id="54" name="Req Aux 3"/>
    <tableColumn id="55" name="Req Aux 3 Total"/>
    <tableColumn id="56" name="Req Aux 4"/>
    <tableColumn id="57" name="Req Aux 4 Total"/>
    <tableColumn id="58" name="Req Aux 5"/>
    <tableColumn id="59" name="Req Aux 5 Total"/>
    <tableColumn id="60" name="Req Aux 6"/>
    <tableColumn id="61" name="Req Aux 6 Total"/>
    <tableColumn id="62" name="Req Aux 7"/>
    <tableColumn id="63" name="Req Aux 7 Total"/>
    <tableColumn id="64" name="Req Aux 8"/>
    <tableColumn id="67" name="Req Aux 8 Total"/>
    <tableColumn id="68" name="Req Aux 9"/>
    <tableColumn id="69" name="Req Aux 9 Total"/>
    <tableColumn id="70" name="Req Aux 10"/>
    <tableColumn id="71" name="Req Aux 10 Total"/>
    <tableColumn id="72" name="Req Aux 11"/>
    <tableColumn id="73" name="Req Aux 11 Total"/>
    <tableColumn id="75" name="Req Aux 12"/>
    <tableColumn id="76" name="REQ SIN VBA"/>
    <tableColumn id="83" name="REQ NETO"/>
    <tableColumn id="84" name="Dif REQ NETO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3" name="tblTransferActual" displayName="tblTransferActual" ref="A1:A2" insertRow="1" totalsRowShown="0">
  <autoFilter ref="A1:A2"/>
  <tableColumns count="1">
    <tableColumn id="1" name="CODIGO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4" name="tblTransferProveedor" displayName="tblTransferProveedor" ref="A1:O2" insertRow="1" totalsRowShown="0">
  <autoFilter ref="A1:O2"/>
  <tableColumns count="15">
    <tableColumn id="1" name="Codigo"/>
    <tableColumn id="6" name="Descripcion"/>
    <tableColumn id="7" name="Grupo"/>
    <tableColumn id="8" name="Linea"/>
    <tableColumn id="2" name="Ped Prom"/>
    <tableColumn id="3" name="CTV"/>
    <tableColumn id="4" name="PV"/>
    <tableColumn id="9" name="Buff Act"/>
    <tableColumn id="16" name="Estado Buffer"/>
    <tableColumn id="10" name="Rentabilid"/>
    <tableColumn id="11" name="Vel Efect"/>
    <tableColumn id="12" name="Servicio"/>
    <tableColumn id="13" name="Requerim"/>
    <tableColumn id="14" name="PEDIDCalc"/>
    <tableColumn id="17" name="Presente" dataDxfId="0">
      <calculatedColumnFormula>IFERROR(MATCH(tblTransferProveedor[[#This Row],[Codigo]],tblTransferActual[CODIGO],0),0)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4"/>
  <sheetViews>
    <sheetView showGridLines="0" tabSelected="1" zoomScale="80" zoomScaleNormal="80" workbookViewId="0">
      <selection activeCell="A2" sqref="A2:Z24"/>
    </sheetView>
  </sheetViews>
  <sheetFormatPr baseColWidth="10" defaultRowHeight="15" x14ac:dyDescent="0.25"/>
  <cols>
    <col min="2" max="2" width="27.7109375" bestFit="1" customWidth="1"/>
    <col min="3" max="3" width="22.85546875" bestFit="1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  <col min="85" max="85" width="14.7109375" customWidth="1"/>
    <col min="87" max="87" width="13.5703125" customWidth="1"/>
    <col min="126" max="126" width="11.85546875" customWidth="1"/>
  </cols>
  <sheetData>
    <row r="1" spans="1:26" x14ac:dyDescent="0.25">
      <c r="A1" t="s">
        <v>138</v>
      </c>
      <c r="B1" t="s">
        <v>139</v>
      </c>
      <c r="C1" t="s">
        <v>140</v>
      </c>
      <c r="D1" t="s">
        <v>84</v>
      </c>
      <c r="E1" t="s">
        <v>141</v>
      </c>
      <c r="F1" t="s">
        <v>142</v>
      </c>
      <c r="G1" s="13" t="s">
        <v>143</v>
      </c>
      <c r="H1" s="13" t="s">
        <v>144</v>
      </c>
      <c r="I1" s="13" t="s">
        <v>145</v>
      </c>
      <c r="J1" s="13" t="s">
        <v>146</v>
      </c>
      <c r="K1" s="13" t="s">
        <v>147</v>
      </c>
      <c r="L1" s="13" t="s">
        <v>148</v>
      </c>
      <c r="M1" s="13" t="s">
        <v>149</v>
      </c>
      <c r="N1" s="13" t="s">
        <v>150</v>
      </c>
      <c r="O1" s="13" t="s">
        <v>151</v>
      </c>
      <c r="P1" s="13" t="s">
        <v>152</v>
      </c>
      <c r="Q1" s="13" t="s">
        <v>153</v>
      </c>
      <c r="R1" s="13" t="s">
        <v>154</v>
      </c>
      <c r="S1" s="13" t="s">
        <v>155</v>
      </c>
      <c r="T1" s="13" t="s">
        <v>156</v>
      </c>
      <c r="U1" s="13" t="s">
        <v>157</v>
      </c>
      <c r="V1" s="13" t="s">
        <v>158</v>
      </c>
      <c r="W1" s="13" t="s">
        <v>159</v>
      </c>
      <c r="X1" s="13" t="s">
        <v>160</v>
      </c>
      <c r="Y1" s="13" t="s">
        <v>161</v>
      </c>
      <c r="Z1" s="13" t="s">
        <v>162</v>
      </c>
    </row>
    <row r="2" spans="1:26" hidden="1" x14ac:dyDescent="0.25">
      <c r="H2">
        <v>0</v>
      </c>
    </row>
    <row r="3" spans="1:26" hidden="1" x14ac:dyDescent="0.25">
      <c r="H3">
        <v>0</v>
      </c>
    </row>
    <row r="4" spans="1:26" hidden="1" x14ac:dyDescent="0.25">
      <c r="H4">
        <v>0</v>
      </c>
    </row>
    <row r="5" spans="1:26" hidden="1" x14ac:dyDescent="0.25">
      <c r="H5">
        <v>0</v>
      </c>
    </row>
    <row r="6" spans="1:26" hidden="1" x14ac:dyDescent="0.25">
      <c r="H6">
        <v>0</v>
      </c>
    </row>
    <row r="7" spans="1:26" hidden="1" x14ac:dyDescent="0.25">
      <c r="H7">
        <v>0</v>
      </c>
    </row>
    <row r="8" spans="1:26" hidden="1" x14ac:dyDescent="0.25">
      <c r="H8">
        <v>0</v>
      </c>
    </row>
    <row r="9" spans="1:26" hidden="1" x14ac:dyDescent="0.25">
      <c r="H9">
        <v>0</v>
      </c>
    </row>
    <row r="10" spans="1:26" hidden="1" x14ac:dyDescent="0.25">
      <c r="H10">
        <v>0</v>
      </c>
    </row>
    <row r="11" spans="1:26" hidden="1" x14ac:dyDescent="0.25">
      <c r="H11">
        <v>0</v>
      </c>
    </row>
    <row r="12" spans="1:26" hidden="1" x14ac:dyDescent="0.25">
      <c r="H12">
        <v>0</v>
      </c>
    </row>
    <row r="13" spans="1:26" hidden="1" x14ac:dyDescent="0.25">
      <c r="H13">
        <v>0</v>
      </c>
    </row>
    <row r="14" spans="1:26" hidden="1" x14ac:dyDescent="0.25">
      <c r="H14">
        <v>0</v>
      </c>
    </row>
    <row r="15" spans="1:26" hidden="1" x14ac:dyDescent="0.25">
      <c r="H15">
        <v>0</v>
      </c>
    </row>
    <row r="16" spans="1:26" hidden="1" x14ac:dyDescent="0.25">
      <c r="H16">
        <v>0</v>
      </c>
    </row>
    <row r="17" spans="8:8" hidden="1" x14ac:dyDescent="0.25">
      <c r="H17">
        <v>0</v>
      </c>
    </row>
    <row r="18" spans="8:8" hidden="1" x14ac:dyDescent="0.25">
      <c r="H18">
        <v>0</v>
      </c>
    </row>
    <row r="19" spans="8:8" hidden="1" x14ac:dyDescent="0.25">
      <c r="H19">
        <v>0</v>
      </c>
    </row>
    <row r="20" spans="8:8" hidden="1" x14ac:dyDescent="0.25">
      <c r="H20">
        <v>0</v>
      </c>
    </row>
    <row r="21" spans="8:8" hidden="1" x14ac:dyDescent="0.25">
      <c r="H21">
        <v>0</v>
      </c>
    </row>
    <row r="22" spans="8:8" hidden="1" x14ac:dyDescent="0.25">
      <c r="H22">
        <v>0</v>
      </c>
    </row>
    <row r="23" spans="8:8" hidden="1" x14ac:dyDescent="0.25">
      <c r="H23">
        <v>0</v>
      </c>
    </row>
    <row r="24" spans="8:8" hidden="1" x14ac:dyDescent="0.25">
      <c r="H24">
        <v>0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M24"/>
  <sheetViews>
    <sheetView showGridLines="0" zoomScale="80" zoomScaleNormal="80" workbookViewId="0">
      <selection activeCell="A2" sqref="A2:J24"/>
    </sheetView>
  </sheetViews>
  <sheetFormatPr baseColWidth="10" defaultRowHeight="15" x14ac:dyDescent="0.25"/>
  <cols>
    <col min="1" max="1" width="11.5703125" customWidth="1"/>
    <col min="3" max="3" width="14" customWidth="1"/>
    <col min="5" max="5" width="20.5703125" customWidth="1"/>
    <col min="6" max="6" width="22.140625" customWidth="1"/>
    <col min="7" max="7" width="17.85546875" customWidth="1"/>
    <col min="8" max="8" width="21.5703125" customWidth="1"/>
    <col min="9" max="9" width="22.5703125" customWidth="1"/>
  </cols>
  <sheetData>
    <row r="1" spans="1:13" x14ac:dyDescent="0.25">
      <c r="A1" t="s">
        <v>138</v>
      </c>
      <c r="B1" t="s">
        <v>139</v>
      </c>
      <c r="C1" t="s">
        <v>140</v>
      </c>
      <c r="D1" t="s">
        <v>84</v>
      </c>
      <c r="E1" t="s">
        <v>141</v>
      </c>
      <c r="F1" t="s">
        <v>142</v>
      </c>
      <c r="G1" t="s">
        <v>143</v>
      </c>
      <c r="H1" t="s">
        <v>144</v>
      </c>
      <c r="I1" t="s">
        <v>145</v>
      </c>
      <c r="J1" t="s">
        <v>146</v>
      </c>
    </row>
    <row r="2" spans="1:13" x14ac:dyDescent="0.25">
      <c r="A2" t="s">
        <v>163</v>
      </c>
      <c r="B2" t="s">
        <v>164</v>
      </c>
      <c r="C2" t="s">
        <v>165</v>
      </c>
      <c r="D2" t="s">
        <v>166</v>
      </c>
      <c r="E2" t="s">
        <v>137</v>
      </c>
      <c r="F2" t="s">
        <v>137</v>
      </c>
      <c r="G2">
        <v>0.22</v>
      </c>
      <c r="H2">
        <v>6</v>
      </c>
      <c r="I2">
        <v>6</v>
      </c>
      <c r="J2">
        <v>1000000000</v>
      </c>
    </row>
    <row r="3" spans="1:13" x14ac:dyDescent="0.25">
      <c r="A3" t="s">
        <v>163</v>
      </c>
      <c r="B3" t="s">
        <v>164</v>
      </c>
      <c r="C3" t="s">
        <v>165</v>
      </c>
      <c r="D3" t="s">
        <v>167</v>
      </c>
      <c r="E3" t="s">
        <v>137</v>
      </c>
      <c r="F3" t="s">
        <v>137</v>
      </c>
      <c r="G3">
        <v>1</v>
      </c>
      <c r="H3">
        <v>300</v>
      </c>
      <c r="I3">
        <v>300</v>
      </c>
      <c r="J3">
        <v>1000000000</v>
      </c>
    </row>
    <row r="4" spans="1:13" x14ac:dyDescent="0.25">
      <c r="A4" t="s">
        <v>163</v>
      </c>
      <c r="B4" t="s">
        <v>164</v>
      </c>
      <c r="C4" t="s">
        <v>165</v>
      </c>
      <c r="D4" t="s">
        <v>168</v>
      </c>
      <c r="E4" t="s">
        <v>137</v>
      </c>
      <c r="F4" t="s">
        <v>137</v>
      </c>
      <c r="G4">
        <v>0.26</v>
      </c>
      <c r="H4">
        <v>50</v>
      </c>
      <c r="I4">
        <v>50</v>
      </c>
      <c r="J4">
        <v>1000000000</v>
      </c>
    </row>
    <row r="5" spans="1:13" x14ac:dyDescent="0.25">
      <c r="A5" t="s">
        <v>163</v>
      </c>
      <c r="B5" t="s">
        <v>164</v>
      </c>
      <c r="C5" t="s">
        <v>165</v>
      </c>
      <c r="D5" t="s">
        <v>169</v>
      </c>
      <c r="E5" t="s">
        <v>137</v>
      </c>
      <c r="F5" t="s">
        <v>137</v>
      </c>
      <c r="G5">
        <v>0.49</v>
      </c>
      <c r="H5">
        <v>200</v>
      </c>
      <c r="I5">
        <v>200</v>
      </c>
      <c r="J5">
        <v>1000000000</v>
      </c>
    </row>
    <row r="6" spans="1:13" x14ac:dyDescent="0.25">
      <c r="A6" t="s">
        <v>163</v>
      </c>
      <c r="B6" t="s">
        <v>164</v>
      </c>
      <c r="C6" t="s">
        <v>165</v>
      </c>
      <c r="D6" t="s">
        <v>170</v>
      </c>
      <c r="E6" t="s">
        <v>137</v>
      </c>
      <c r="F6" t="s">
        <v>137</v>
      </c>
      <c r="G6">
        <v>-0.09</v>
      </c>
      <c r="H6">
        <v>500</v>
      </c>
      <c r="I6">
        <v>500</v>
      </c>
      <c r="J6">
        <v>1000000000</v>
      </c>
    </row>
    <row r="7" spans="1:13" x14ac:dyDescent="0.25">
      <c r="A7" t="s">
        <v>163</v>
      </c>
      <c r="B7" t="s">
        <v>164</v>
      </c>
      <c r="C7" t="s">
        <v>165</v>
      </c>
      <c r="D7" t="s">
        <v>171</v>
      </c>
      <c r="E7" t="s">
        <v>137</v>
      </c>
      <c r="F7" t="s">
        <v>137</v>
      </c>
      <c r="G7">
        <v>0.85</v>
      </c>
      <c r="H7">
        <v>150</v>
      </c>
      <c r="I7">
        <v>150</v>
      </c>
      <c r="J7">
        <v>1000000000</v>
      </c>
    </row>
    <row r="8" spans="1:13" x14ac:dyDescent="0.25">
      <c r="A8" t="s">
        <v>163</v>
      </c>
      <c r="B8" t="s">
        <v>164</v>
      </c>
      <c r="C8" t="s">
        <v>165</v>
      </c>
      <c r="D8" t="s">
        <v>172</v>
      </c>
      <c r="E8" t="s">
        <v>137</v>
      </c>
      <c r="F8" t="s">
        <v>137</v>
      </c>
      <c r="G8">
        <v>-0.12</v>
      </c>
      <c r="H8">
        <v>240</v>
      </c>
      <c r="I8">
        <v>240</v>
      </c>
      <c r="J8">
        <v>1000000000</v>
      </c>
      <c r="M8" s="14"/>
    </row>
    <row r="9" spans="1:13" x14ac:dyDescent="0.25">
      <c r="A9" t="s">
        <v>163</v>
      </c>
      <c r="B9" t="s">
        <v>164</v>
      </c>
      <c r="C9" t="s">
        <v>165</v>
      </c>
      <c r="D9" t="s">
        <v>173</v>
      </c>
      <c r="E9" t="s">
        <v>137</v>
      </c>
      <c r="F9" t="s">
        <v>137</v>
      </c>
      <c r="G9">
        <v>-0.76</v>
      </c>
      <c r="H9">
        <v>300</v>
      </c>
      <c r="I9">
        <v>300</v>
      </c>
      <c r="J9">
        <v>1000000000</v>
      </c>
    </row>
    <row r="10" spans="1:13" x14ac:dyDescent="0.25">
      <c r="A10" t="s">
        <v>163</v>
      </c>
      <c r="B10" t="s">
        <v>164</v>
      </c>
      <c r="C10" t="s">
        <v>165</v>
      </c>
      <c r="D10" t="s">
        <v>174</v>
      </c>
      <c r="E10" t="s">
        <v>137</v>
      </c>
      <c r="F10" t="s">
        <v>137</v>
      </c>
      <c r="G10">
        <v>0.23</v>
      </c>
      <c r="H10">
        <v>110</v>
      </c>
      <c r="I10">
        <v>110</v>
      </c>
      <c r="J10">
        <v>1000000000</v>
      </c>
    </row>
    <row r="11" spans="1:13" x14ac:dyDescent="0.25">
      <c r="A11" t="s">
        <v>163</v>
      </c>
      <c r="B11" t="s">
        <v>164</v>
      </c>
      <c r="C11" t="s">
        <v>165</v>
      </c>
      <c r="D11" t="s">
        <v>175</v>
      </c>
      <c r="E11" t="s">
        <v>137</v>
      </c>
      <c r="F11" t="s">
        <v>137</v>
      </c>
      <c r="G11">
        <v>0.59</v>
      </c>
      <c r="H11">
        <v>19800</v>
      </c>
      <c r="I11">
        <v>19800</v>
      </c>
      <c r="J11">
        <v>1000000000</v>
      </c>
    </row>
    <row r="12" spans="1:13" x14ac:dyDescent="0.25">
      <c r="A12" t="s">
        <v>163</v>
      </c>
      <c r="B12" t="s">
        <v>164</v>
      </c>
      <c r="C12" t="s">
        <v>165</v>
      </c>
      <c r="D12" t="s">
        <v>176</v>
      </c>
      <c r="E12" t="s">
        <v>137</v>
      </c>
      <c r="F12" t="s">
        <v>137</v>
      </c>
      <c r="G12">
        <v>0.61</v>
      </c>
      <c r="H12">
        <v>40</v>
      </c>
      <c r="I12">
        <v>40</v>
      </c>
      <c r="J12">
        <v>1000000000</v>
      </c>
    </row>
    <row r="13" spans="1:13" x14ac:dyDescent="0.25">
      <c r="A13" t="s">
        <v>163</v>
      </c>
      <c r="B13" t="s">
        <v>164</v>
      </c>
      <c r="C13" t="s">
        <v>165</v>
      </c>
      <c r="D13" t="s">
        <v>177</v>
      </c>
      <c r="E13" t="s">
        <v>137</v>
      </c>
      <c r="F13" t="s">
        <v>137</v>
      </c>
      <c r="G13">
        <v>0.67</v>
      </c>
      <c r="H13">
        <v>40</v>
      </c>
      <c r="I13">
        <v>40</v>
      </c>
      <c r="J13">
        <v>1000000000</v>
      </c>
    </row>
    <row r="14" spans="1:13" x14ac:dyDescent="0.25">
      <c r="A14" t="s">
        <v>163</v>
      </c>
      <c r="B14" t="s">
        <v>164</v>
      </c>
      <c r="C14" t="s">
        <v>165</v>
      </c>
      <c r="D14" t="s">
        <v>178</v>
      </c>
      <c r="E14" t="s">
        <v>137</v>
      </c>
      <c r="F14" t="s">
        <v>137</v>
      </c>
      <c r="G14">
        <v>0.38</v>
      </c>
      <c r="H14">
        <v>40</v>
      </c>
      <c r="I14">
        <v>40</v>
      </c>
      <c r="J14">
        <v>1000000000</v>
      </c>
    </row>
    <row r="15" spans="1:13" x14ac:dyDescent="0.25">
      <c r="A15" t="s">
        <v>163</v>
      </c>
      <c r="B15" t="s">
        <v>164</v>
      </c>
      <c r="C15" t="s">
        <v>165</v>
      </c>
      <c r="D15" t="s">
        <v>179</v>
      </c>
      <c r="E15" t="s">
        <v>137</v>
      </c>
      <c r="F15" t="s">
        <v>137</v>
      </c>
      <c r="G15">
        <v>-0.15</v>
      </c>
      <c r="H15">
        <v>1080</v>
      </c>
      <c r="I15">
        <v>1080</v>
      </c>
      <c r="J15">
        <v>1000000000</v>
      </c>
    </row>
    <row r="16" spans="1:13" x14ac:dyDescent="0.25">
      <c r="A16" t="s">
        <v>163</v>
      </c>
      <c r="B16" t="s">
        <v>164</v>
      </c>
      <c r="C16" t="s">
        <v>165</v>
      </c>
      <c r="D16" t="s">
        <v>180</v>
      </c>
      <c r="E16" t="s">
        <v>137</v>
      </c>
      <c r="F16" t="s">
        <v>137</v>
      </c>
      <c r="G16">
        <v>0.34</v>
      </c>
      <c r="H16">
        <v>400</v>
      </c>
      <c r="I16">
        <v>400</v>
      </c>
      <c r="J16">
        <v>1000000000</v>
      </c>
    </row>
    <row r="17" spans="1:10" x14ac:dyDescent="0.25">
      <c r="A17" t="s">
        <v>163</v>
      </c>
      <c r="B17" t="s">
        <v>164</v>
      </c>
      <c r="C17" t="s">
        <v>165</v>
      </c>
      <c r="D17" t="s">
        <v>181</v>
      </c>
      <c r="E17" t="s">
        <v>137</v>
      </c>
      <c r="F17" t="s">
        <v>137</v>
      </c>
      <c r="G17">
        <v>1</v>
      </c>
      <c r="H17">
        <v>18</v>
      </c>
      <c r="I17">
        <v>18</v>
      </c>
      <c r="J17">
        <v>1000000000</v>
      </c>
    </row>
    <row r="18" spans="1:10" x14ac:dyDescent="0.25">
      <c r="A18" t="s">
        <v>163</v>
      </c>
      <c r="B18" t="s">
        <v>164</v>
      </c>
      <c r="C18" t="s">
        <v>165</v>
      </c>
      <c r="D18" t="s">
        <v>182</v>
      </c>
      <c r="E18" t="s">
        <v>137</v>
      </c>
      <c r="F18" t="s">
        <v>137</v>
      </c>
      <c r="G18">
        <v>1</v>
      </c>
      <c r="H18">
        <v>18</v>
      </c>
      <c r="I18">
        <v>18</v>
      </c>
      <c r="J18">
        <v>1000000000</v>
      </c>
    </row>
    <row r="19" spans="1:10" x14ac:dyDescent="0.25">
      <c r="A19" t="s">
        <v>163</v>
      </c>
      <c r="B19" t="s">
        <v>164</v>
      </c>
      <c r="C19" t="s">
        <v>165</v>
      </c>
      <c r="D19" t="s">
        <v>183</v>
      </c>
      <c r="E19" t="s">
        <v>137</v>
      </c>
      <c r="F19" t="s">
        <v>137</v>
      </c>
      <c r="G19">
        <v>0.56999999999999995</v>
      </c>
      <c r="H19">
        <v>13560</v>
      </c>
      <c r="I19">
        <v>13560</v>
      </c>
      <c r="J19">
        <v>1000000000</v>
      </c>
    </row>
    <row r="20" spans="1:10" x14ac:dyDescent="0.25">
      <c r="A20" t="s">
        <v>163</v>
      </c>
      <c r="B20" t="s">
        <v>164</v>
      </c>
      <c r="C20" t="s">
        <v>165</v>
      </c>
      <c r="D20" t="s">
        <v>184</v>
      </c>
      <c r="E20" t="s">
        <v>137</v>
      </c>
      <c r="F20" t="s">
        <v>137</v>
      </c>
      <c r="G20">
        <v>0.84</v>
      </c>
      <c r="H20">
        <v>24588</v>
      </c>
      <c r="I20">
        <v>24588</v>
      </c>
      <c r="J20">
        <v>1000000000</v>
      </c>
    </row>
    <row r="21" spans="1:10" x14ac:dyDescent="0.25">
      <c r="A21" t="s">
        <v>163</v>
      </c>
      <c r="B21" t="s">
        <v>164</v>
      </c>
      <c r="C21" t="s">
        <v>165</v>
      </c>
      <c r="D21" t="s">
        <v>185</v>
      </c>
      <c r="E21" t="s">
        <v>137</v>
      </c>
      <c r="F21" t="s">
        <v>137</v>
      </c>
      <c r="G21">
        <v>0.68</v>
      </c>
      <c r="H21">
        <v>7056</v>
      </c>
      <c r="I21">
        <v>7056</v>
      </c>
      <c r="J21">
        <v>1000000000</v>
      </c>
    </row>
    <row r="22" spans="1:10" x14ac:dyDescent="0.25">
      <c r="A22" t="s">
        <v>163</v>
      </c>
      <c r="B22" t="s">
        <v>164</v>
      </c>
      <c r="C22" t="s">
        <v>165</v>
      </c>
      <c r="D22" t="s">
        <v>186</v>
      </c>
      <c r="E22" t="s">
        <v>137</v>
      </c>
      <c r="F22" t="s">
        <v>137</v>
      </c>
      <c r="G22">
        <v>-7.0000000000000007E-2</v>
      </c>
      <c r="H22">
        <v>1248</v>
      </c>
      <c r="I22">
        <v>1248</v>
      </c>
      <c r="J22">
        <v>1000000000</v>
      </c>
    </row>
    <row r="23" spans="1:10" x14ac:dyDescent="0.25">
      <c r="A23" t="s">
        <v>163</v>
      </c>
      <c r="B23" t="s">
        <v>164</v>
      </c>
      <c r="C23" t="s">
        <v>165</v>
      </c>
      <c r="D23" t="s">
        <v>187</v>
      </c>
      <c r="E23" t="s">
        <v>137</v>
      </c>
      <c r="F23" t="s">
        <v>137</v>
      </c>
      <c r="G23">
        <v>0.97</v>
      </c>
      <c r="H23">
        <v>5688</v>
      </c>
      <c r="I23">
        <v>5688</v>
      </c>
      <c r="J23">
        <v>1000000000</v>
      </c>
    </row>
    <row r="24" spans="1:10" x14ac:dyDescent="0.25">
      <c r="A24" t="s">
        <v>163</v>
      </c>
      <c r="B24" t="s">
        <v>164</v>
      </c>
      <c r="C24" t="s">
        <v>165</v>
      </c>
      <c r="D24" t="s">
        <v>188</v>
      </c>
      <c r="E24" t="s">
        <v>137</v>
      </c>
      <c r="F24" t="s">
        <v>137</v>
      </c>
      <c r="G24">
        <v>0.47</v>
      </c>
      <c r="H24">
        <v>1368</v>
      </c>
      <c r="I24">
        <v>1368</v>
      </c>
      <c r="J24">
        <v>1000000000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EA24"/>
  <sheetViews>
    <sheetView showGridLines="0" zoomScale="80" zoomScaleNormal="80" workbookViewId="0">
      <selection activeCell="DZ2" sqref="DZ2:DZ24"/>
    </sheetView>
  </sheetViews>
  <sheetFormatPr baseColWidth="10" defaultRowHeight="15" x14ac:dyDescent="0.25"/>
  <cols>
    <col min="2" max="2" width="27.7109375" hidden="1" customWidth="1"/>
    <col min="3" max="3" width="22.85546875" bestFit="1" customWidth="1"/>
    <col min="5" max="5" width="0" hidden="1" customWidth="1"/>
    <col min="7" max="48" width="0" hidden="1" customWidth="1"/>
    <col min="49" max="49" width="16.7109375" hidden="1" customWidth="1"/>
    <col min="50" max="50" width="17.42578125" hidden="1" customWidth="1"/>
    <col min="51" max="51" width="16.140625" hidden="1" customWidth="1"/>
    <col min="52" max="58" width="0" hidden="1" customWidth="1"/>
    <col min="59" max="59" width="13.7109375" customWidth="1"/>
    <col min="60" max="60" width="0" hidden="1" customWidth="1"/>
    <col min="61" max="62" width="12" hidden="1" customWidth="1"/>
    <col min="63" max="63" width="15" hidden="1" customWidth="1"/>
    <col min="64" max="67" width="0" hidden="1" customWidth="1"/>
    <col min="68" max="68" width="11.85546875" hidden="1" customWidth="1"/>
    <col min="69" max="69" width="12.85546875" hidden="1" customWidth="1"/>
    <col min="70" max="70" width="13.5703125" hidden="1" customWidth="1"/>
    <col min="71" max="71" width="12" customWidth="1"/>
    <col min="72" max="75" width="12.7109375" hidden="1" customWidth="1"/>
    <col min="76" max="79" width="12.28515625" hidden="1" customWidth="1"/>
    <col min="80" max="80" width="13.85546875" hidden="1" customWidth="1"/>
    <col min="81" max="81" width="0" hidden="1" customWidth="1"/>
    <col min="82" max="82" width="11.7109375" hidden="1" customWidth="1"/>
    <col min="83" max="84" width="0" hidden="1" customWidth="1"/>
    <col min="85" max="85" width="14.7109375" hidden="1" customWidth="1"/>
    <col min="86" max="86" width="0" hidden="1" customWidth="1"/>
    <col min="87" max="87" width="13.5703125" customWidth="1"/>
    <col min="92" max="125" width="0" hidden="1" customWidth="1"/>
    <col min="126" max="126" width="11.85546875" hidden="1" customWidth="1"/>
    <col min="127" max="127" width="0" hidden="1" customWidth="1"/>
  </cols>
  <sheetData>
    <row r="1" spans="1:131" ht="15.75" x14ac:dyDescent="0.25">
      <c r="A1" t="s">
        <v>75</v>
      </c>
      <c r="B1" t="s">
        <v>72</v>
      </c>
      <c r="C1" t="s">
        <v>74</v>
      </c>
      <c r="D1" t="s">
        <v>73</v>
      </c>
      <c r="E1" t="s">
        <v>87</v>
      </c>
      <c r="F1" t="s">
        <v>71</v>
      </c>
      <c r="G1" t="s">
        <v>88</v>
      </c>
      <c r="H1" t="s">
        <v>89</v>
      </c>
      <c r="I1" s="12" t="s">
        <v>97</v>
      </c>
      <c r="J1" s="12" t="s">
        <v>98</v>
      </c>
      <c r="K1" s="12" t="s">
        <v>99</v>
      </c>
      <c r="L1" s="12" t="s">
        <v>100</v>
      </c>
      <c r="M1" s="12" t="s">
        <v>101</v>
      </c>
      <c r="N1" s="12" t="s">
        <v>102</v>
      </c>
      <c r="O1" s="12" t="s">
        <v>103</v>
      </c>
      <c r="P1" s="12" t="s">
        <v>104</v>
      </c>
      <c r="Q1" s="12" t="s">
        <v>105</v>
      </c>
      <c r="R1" s="12" t="s">
        <v>106</v>
      </c>
      <c r="S1" s="12" t="s">
        <v>107</v>
      </c>
      <c r="T1" s="12" t="s">
        <v>108</v>
      </c>
      <c r="U1" s="12" t="s">
        <v>109</v>
      </c>
      <c r="V1" s="12" t="s">
        <v>110</v>
      </c>
      <c r="W1" s="12" t="s">
        <v>111</v>
      </c>
      <c r="X1" s="12" t="s">
        <v>112</v>
      </c>
      <c r="Y1" s="12" t="s">
        <v>113</v>
      </c>
      <c r="Z1" s="12" t="s">
        <v>114</v>
      </c>
      <c r="AA1" s="12" t="s">
        <v>115</v>
      </c>
      <c r="AB1" s="12" t="s">
        <v>116</v>
      </c>
      <c r="AC1" s="12" t="s">
        <v>117</v>
      </c>
      <c r="AD1" s="12" t="s">
        <v>118</v>
      </c>
      <c r="AE1" s="12" t="s">
        <v>119</v>
      </c>
      <c r="AF1" s="12" t="s">
        <v>120</v>
      </c>
      <c r="AG1" s="12" t="s">
        <v>121</v>
      </c>
      <c r="AH1" s="12" t="s">
        <v>122</v>
      </c>
      <c r="AI1" s="12" t="s">
        <v>123</v>
      </c>
      <c r="AJ1" s="12" t="s">
        <v>124</v>
      </c>
      <c r="AK1" s="12" t="s">
        <v>125</v>
      </c>
      <c r="AL1" s="12" t="s">
        <v>126</v>
      </c>
      <c r="AM1" s="12" t="s">
        <v>127</v>
      </c>
      <c r="AN1" s="12" t="s">
        <v>128</v>
      </c>
      <c r="AO1" s="12" t="s">
        <v>129</v>
      </c>
      <c r="AP1" s="12" t="s">
        <v>130</v>
      </c>
      <c r="AQ1" s="12" t="s">
        <v>131</v>
      </c>
      <c r="AR1" s="12" t="s">
        <v>132</v>
      </c>
      <c r="AS1" s="12" t="s">
        <v>133</v>
      </c>
      <c r="AT1" s="12" t="s">
        <v>134</v>
      </c>
      <c r="AU1" s="12" t="s">
        <v>135</v>
      </c>
      <c r="AV1" s="12" t="s">
        <v>136</v>
      </c>
      <c r="AW1" t="s">
        <v>67</v>
      </c>
      <c r="AX1" t="s">
        <v>66</v>
      </c>
      <c r="AY1" t="s">
        <v>65</v>
      </c>
      <c r="AZ1" t="s">
        <v>64</v>
      </c>
      <c r="BA1" t="s">
        <v>63</v>
      </c>
      <c r="BB1" t="s">
        <v>62</v>
      </c>
      <c r="BC1" t="s">
        <v>90</v>
      </c>
      <c r="BD1" t="s">
        <v>91</v>
      </c>
      <c r="BE1" t="s">
        <v>92</v>
      </c>
      <c r="BF1" t="s">
        <v>93</v>
      </c>
      <c r="BG1" t="s">
        <v>61</v>
      </c>
      <c r="BH1" t="s">
        <v>60</v>
      </c>
      <c r="BI1" t="s">
        <v>59</v>
      </c>
      <c r="BJ1" t="s">
        <v>58</v>
      </c>
      <c r="BK1" t="s">
        <v>57</v>
      </c>
      <c r="BL1" t="s">
        <v>56</v>
      </c>
      <c r="BM1" t="s">
        <v>94</v>
      </c>
      <c r="BN1" t="s">
        <v>95</v>
      </c>
      <c r="BO1" t="s">
        <v>96</v>
      </c>
      <c r="BP1" t="s">
        <v>55</v>
      </c>
      <c r="BQ1" t="s">
        <v>54</v>
      </c>
      <c r="BR1" t="s">
        <v>53</v>
      </c>
      <c r="BS1" t="s">
        <v>52</v>
      </c>
      <c r="BT1" t="s">
        <v>51</v>
      </c>
      <c r="BU1" t="s">
        <v>76</v>
      </c>
      <c r="BV1" t="s">
        <v>77</v>
      </c>
      <c r="BW1" t="s">
        <v>78</v>
      </c>
      <c r="BX1" t="s">
        <v>50</v>
      </c>
      <c r="BY1" t="s">
        <v>79</v>
      </c>
      <c r="BZ1" t="s">
        <v>80</v>
      </c>
      <c r="CA1" t="s">
        <v>81</v>
      </c>
      <c r="CB1" t="s">
        <v>49</v>
      </c>
      <c r="CC1" t="s">
        <v>48</v>
      </c>
      <c r="CD1" t="s">
        <v>47</v>
      </c>
      <c r="CE1" s="6" t="s">
        <v>46</v>
      </c>
      <c r="CF1" t="s">
        <v>45</v>
      </c>
      <c r="CG1" t="s">
        <v>44</v>
      </c>
      <c r="CH1" t="s">
        <v>43</v>
      </c>
      <c r="CI1" t="s">
        <v>42</v>
      </c>
      <c r="CJ1" t="s">
        <v>41</v>
      </c>
      <c r="CK1" t="s">
        <v>40</v>
      </c>
      <c r="CL1" s="5" t="s">
        <v>39</v>
      </c>
      <c r="CM1" s="5" t="s">
        <v>38</v>
      </c>
      <c r="CN1" s="4" t="s">
        <v>37</v>
      </c>
      <c r="CO1" s="4" t="s">
        <v>36</v>
      </c>
      <c r="CP1" s="4" t="s">
        <v>35</v>
      </c>
      <c r="CQ1" s="4" t="s">
        <v>34</v>
      </c>
      <c r="CR1" s="4" t="s">
        <v>33</v>
      </c>
      <c r="CS1" s="4" t="s">
        <v>32</v>
      </c>
      <c r="CT1" s="4" t="s">
        <v>31</v>
      </c>
      <c r="CU1" s="4" t="s">
        <v>30</v>
      </c>
      <c r="CV1" s="4" t="s">
        <v>29</v>
      </c>
      <c r="CW1" s="4" t="s">
        <v>28</v>
      </c>
      <c r="CX1" s="4" t="s">
        <v>27</v>
      </c>
      <c r="CY1" s="4" t="s">
        <v>26</v>
      </c>
      <c r="CZ1" s="4" t="s">
        <v>25</v>
      </c>
      <c r="DA1" s="4" t="s">
        <v>24</v>
      </c>
      <c r="DB1" s="4" t="s">
        <v>23</v>
      </c>
      <c r="DC1" s="4" t="s">
        <v>22</v>
      </c>
      <c r="DD1" s="4" t="s">
        <v>21</v>
      </c>
      <c r="DE1" s="4" t="s">
        <v>20</v>
      </c>
      <c r="DF1" s="4" t="s">
        <v>19</v>
      </c>
      <c r="DG1" s="4" t="s">
        <v>18</v>
      </c>
      <c r="DH1" s="4" t="s">
        <v>17</v>
      </c>
      <c r="DI1" s="4" t="s">
        <v>16</v>
      </c>
      <c r="DJ1" s="4" t="s">
        <v>15</v>
      </c>
      <c r="DK1" s="4" t="s">
        <v>14</v>
      </c>
      <c r="DL1" s="4" t="s">
        <v>13</v>
      </c>
      <c r="DM1" s="4" t="s">
        <v>12</v>
      </c>
      <c r="DN1" s="4" t="s">
        <v>11</v>
      </c>
      <c r="DO1" s="4" t="s">
        <v>10</v>
      </c>
      <c r="DP1" s="4" t="s">
        <v>9</v>
      </c>
      <c r="DQ1" s="4" t="s">
        <v>8</v>
      </c>
      <c r="DR1" s="4" t="s">
        <v>7</v>
      </c>
      <c r="DS1" s="4" t="s">
        <v>6</v>
      </c>
      <c r="DT1" s="4" t="s">
        <v>5</v>
      </c>
      <c r="DU1" s="4" t="s">
        <v>4</v>
      </c>
      <c r="DV1" s="4" t="s">
        <v>3</v>
      </c>
      <c r="DW1" s="4" t="s">
        <v>2</v>
      </c>
      <c r="DX1" s="3" t="s">
        <v>1</v>
      </c>
      <c r="DY1" s="2" t="s">
        <v>82</v>
      </c>
      <c r="DZ1" s="2" t="s">
        <v>0</v>
      </c>
      <c r="EA1" s="4" t="s">
        <v>83</v>
      </c>
    </row>
    <row r="2" spans="1:131" x14ac:dyDescent="0.25">
      <c r="A2">
        <v>1000000000</v>
      </c>
      <c r="B2">
        <v>1000000000</v>
      </c>
      <c r="C2">
        <v>1000000000</v>
      </c>
      <c r="D2">
        <v>1000000000</v>
      </c>
      <c r="E2">
        <v>1000000000</v>
      </c>
      <c r="F2">
        <v>1000000000</v>
      </c>
      <c r="G2">
        <v>1000000000</v>
      </c>
      <c r="H2">
        <v>1000000000</v>
      </c>
      <c r="I2">
        <v>1000000000</v>
      </c>
      <c r="J2">
        <v>1000000000</v>
      </c>
      <c r="K2">
        <v>1000000000</v>
      </c>
      <c r="L2">
        <v>1000000000</v>
      </c>
      <c r="M2">
        <v>1000000000</v>
      </c>
      <c r="N2">
        <v>1000000000</v>
      </c>
      <c r="O2">
        <v>1000000000</v>
      </c>
      <c r="P2">
        <v>1000000000</v>
      </c>
      <c r="Q2">
        <v>1000000000</v>
      </c>
      <c r="R2" s="11">
        <v>1000000000</v>
      </c>
      <c r="S2" s="11">
        <v>1000000000</v>
      </c>
      <c r="T2">
        <v>1000000000</v>
      </c>
      <c r="U2">
        <v>1000000000</v>
      </c>
      <c r="V2">
        <v>1000000000</v>
      </c>
      <c r="W2">
        <v>1000000000</v>
      </c>
      <c r="X2">
        <v>1000000000</v>
      </c>
      <c r="Y2">
        <v>1000000000</v>
      </c>
      <c r="Z2">
        <v>1000000000</v>
      </c>
      <c r="AA2">
        <v>1000000000</v>
      </c>
      <c r="AB2">
        <v>1000000000</v>
      </c>
      <c r="AC2">
        <v>1000000000</v>
      </c>
      <c r="AD2">
        <v>1000000000</v>
      </c>
      <c r="AE2">
        <v>1000000000</v>
      </c>
      <c r="AF2" s="11">
        <v>1000000000</v>
      </c>
      <c r="AG2" s="11">
        <v>1000000000</v>
      </c>
      <c r="AH2">
        <v>1000000000</v>
      </c>
      <c r="AI2">
        <v>1000000000</v>
      </c>
      <c r="AJ2">
        <v>1000000000</v>
      </c>
      <c r="AK2">
        <v>1000000000</v>
      </c>
      <c r="AL2">
        <v>1000000000</v>
      </c>
      <c r="AM2">
        <v>1000000000</v>
      </c>
      <c r="AN2">
        <v>1000000000</v>
      </c>
      <c r="AO2">
        <v>1000000000</v>
      </c>
      <c r="AP2">
        <v>1000000000</v>
      </c>
      <c r="AQ2">
        <v>1000000000</v>
      </c>
      <c r="AR2">
        <v>1000000000</v>
      </c>
      <c r="AS2">
        <v>1000000000</v>
      </c>
      <c r="AT2">
        <v>1000000000</v>
      </c>
      <c r="AU2">
        <v>1000000000</v>
      </c>
      <c r="AV2">
        <v>1000000000</v>
      </c>
      <c r="AW2">
        <v>1000000000</v>
      </c>
      <c r="AX2">
        <v>1000000000</v>
      </c>
      <c r="AY2">
        <v>1000000000</v>
      </c>
      <c r="AZ2">
        <v>1000000000</v>
      </c>
      <c r="BA2">
        <v>1000000000</v>
      </c>
      <c r="BB2">
        <v>1000000000</v>
      </c>
      <c r="BC2">
        <v>1000000000</v>
      </c>
      <c r="BD2">
        <v>1000000000</v>
      </c>
      <c r="BE2">
        <v>1000000000</v>
      </c>
      <c r="BF2">
        <v>1000000000</v>
      </c>
      <c r="BG2">
        <v>1000000000</v>
      </c>
      <c r="BH2">
        <v>1000000000</v>
      </c>
      <c r="BI2">
        <v>1000000000</v>
      </c>
      <c r="BJ2">
        <v>1000000000</v>
      </c>
      <c r="BK2" s="1">
        <v>1000000000</v>
      </c>
      <c r="BL2">
        <v>1000000000</v>
      </c>
      <c r="BM2">
        <v>1000000000</v>
      </c>
      <c r="BN2">
        <v>1000000000</v>
      </c>
      <c r="BO2">
        <v>1000000000</v>
      </c>
      <c r="BP2">
        <v>1000000000</v>
      </c>
      <c r="BQ2" s="7">
        <v>1000000000</v>
      </c>
      <c r="BR2">
        <v>1000000000</v>
      </c>
      <c r="BS2">
        <v>1000000000</v>
      </c>
      <c r="BT2">
        <v>1000000000</v>
      </c>
      <c r="BU2">
        <v>1000000000</v>
      </c>
      <c r="BV2">
        <v>1000000000</v>
      </c>
      <c r="BW2">
        <v>1000000000</v>
      </c>
      <c r="BX2">
        <v>1000000000</v>
      </c>
      <c r="BY2">
        <v>1000000000</v>
      </c>
      <c r="BZ2">
        <v>1000000000</v>
      </c>
      <c r="CA2" s="11">
        <v>1000000000</v>
      </c>
      <c r="CB2">
        <v>1000000000</v>
      </c>
      <c r="CC2" s="1">
        <v>1000000000</v>
      </c>
      <c r="CD2">
        <v>1000000000</v>
      </c>
      <c r="CE2" s="8">
        <v>1000000000</v>
      </c>
      <c r="CF2" s="7">
        <v>1000000000</v>
      </c>
      <c r="CG2" s="7">
        <v>1000000000</v>
      </c>
      <c r="CH2" s="7">
        <v>1000000000</v>
      </c>
      <c r="CI2" s="7">
        <f t="array" aca="1" ref="CI2" ca="1">IFERROR(IF(PROVEEDORFILTRADO[[#This Row],[Comprom Total]]=0, PROVEEDORFILTRADO[[#This Row],[PEDIDCalc]],(IF(ROW(INDIRECT(ADDRESS(MAX(IF(((--(PROVEEDORFILTRADO[[#This Row],[Proveedor]]&amp;PROVEEDORFILTRADO[[#This Row],[Codigo]]=PROVEEDORFILTRADO[Proveedor]&amp;PROVEEDORFILTRADO[Codigo])*PROVEEDORFILTRADO[Comprom])&lt;&gt;0)*( (--(PROVEEDORFILTRADO[[#This Row],[Proveedor]]&amp;PROVEEDORFILTRADO[[#This Row],[Codigo]]=PROVEEDORFILTRADO[Proveedor]&amp;PROVEEDORFILTRADO[Codigo])*PROVEEDORFILTRADO[Consumo])=SMALL((IF((IF( (--(PROVEEDORFILTRADO[[#This Row],[Proveedor]]&amp;PROVEEDORFILTRADO[[#This Row],[Codigo]]=PROVEEDORFILTRADO[Proveedor]&amp;PROVEEDORFILTRADO[Codigo])*PROVEEDORFILTRADO[Consumo])=0, (--(PROVEEDORFILTRADO[[#This Row],[Proveedor]]&amp;PROVEEDORFILTRADO[[#This Row],[Codigo]]=PROVEEDORFILTRADO[Proveedor]&amp;PROVEEDORFILTRADO[Codigo])*PROVEEDORFILTRADO[Consumo])+0.01, (--(PROVEEDORFILTRADO[[#This Row],[Proveedor]]&amp;PROVEEDORFILTRADO[[#This Row],[Codigo]]=PROVEEDORFILTRADO[Proveedor]&amp;PROVEEDORFILTRADO[Codigo])*PROVEEDORFILTRADO[Consumo])))*((--(PROVEEDORFILTRADO[[#This Row],[Proveedor]]&amp;PROVEEDORFILTRADO[[#This Row],[Codigo]]=PROVEEDORFILTRADO[Proveedor]&amp;PROVEEDORFILTRADO[Codigo])*PROVEEDORFILTRADO[Comprom])&lt;&gt;0)=0,100000000, (--(PROVEEDORFILTRADO[[#This Row],[Proveedor]]&amp;PROVEEDORFILTRADO[[#This Row],[Codigo]]=PROVEEDORFILTRADO[Proveedor]&amp;PROVEEDORFILTRADO[Codigo])*PROVEEDORFILTRADO[Consumo])*((--(PROVEEDORFILTRADO[[#This Row],[Proveedor]]&amp;PROVEEDORFILTRADO[[#This Row],[Codigo]]=PROVEEDORFILTRADO[Proveedor]&amp;PROVEEDORFILTRADO[Codigo])*PROVEEDORFILTRADO[Comprom])&lt;&gt;0))),2)),IF(ISNUMBER(IF((PROVEEDORFILTRADO[[#This Row],[Proveedor]]&amp;PROVEEDORFILTRADO[[#This Row],[Codigo]]=PROVEEDORFILTRADO[Proveedor]&amp;PROVEEDORFILTRADO[Codigo]),PROVEEDORFILTRADO[Consumo],"")),ROW(PROVEEDORFILTRADO[Consumo]),""),"")),COLUMN(PROVEEDORFILTRADO[PEDIDCalc]))))=ROW(),1,0))*PROVEEDORFILTRADO[[#This Row],[PEDIDCalc]]),0)</f>
        <v>0</v>
      </c>
      <c r="CJ2" s="7">
        <f ca="1">SUMPRODUCT(--(PROVEEDORFILTRADO[[#This Row],[Proveedor]]&amp;PROVEEDORFILTRADO[[#This Row],[Codigo]]=PROVEEDORFILTRADO[Proveedor]&amp;PROVEEDORFILTRADO[Codigo]),PROVEEDORFILTRADO[Req Comp 2])</f>
        <v>22000000000</v>
      </c>
      <c r="CK2" s="7">
        <f t="array" aca="1" ref="CK2" ca="1">IF(PROVEEDORFILTRADO[[#This Row],[Comprom Total]]=0,PROVEEDORFILTRADO[[#This Row],[PEDIDCalc]],IF(PROVEEDORFILTRADO[[#This Row],[Inv Proveed]]&gt;=(PROVEEDORFILTRADO[[#This Row],[Req Comp 1 Total]]+PROVEEDORFILTRADO[[#This Row],[Req Comp 2 Total]]),PROVEEDORFILTRADO[[#This Row],[Req Comp 1]]+PROVEEDORFILTRADO[[#This Row],[Req Comp 2]],IF(AND(PROVEEDORFILTRADO[[#This Row],[Req Comp 1 Total]]&gt;0,PROVEEDORFILTRADO[[#This Row],[Req Comp 2 Total]]=0),IF(PROVEEDORFILTRADO[[#This Row],[Req Comp 1 Total]]=0,0,IF(PROVEEDORFILTRADO[[#This Row],[Req Comp 1 Total]]&gt;=PROVEEDORFILTRADO[[#This Row],[Inv Proveed]],IF(PROVEEDORFILTRADO[[#This Row],[Req Comp 1]]=0,0,PROVEEDORFILTRADO[[#This Row],[Inv Proveed]]),0)),0)+IF(AND(PROVEEDORFILTRADO[[#This Row],[Req Comp 2 Total]]&gt;0),IF(IF(IF(PROVEEDORFILTRADO[[#This Row],[Req Comp 2 Total]]=0,0,IF((PROVEEDORFILTRADO[[#This Row],[Req Comp 1 Total]]+PROVEEDORFILTRADO[[#This Row],[Req Comp 2 Total]])&gt;=PROVEEDORFILTRADO[[#This Row],[Inv Proveed]],IF(AND(PROVEEDORFILTRADO[[#This Row],[Req Comp 1]]=0,PROVEEDORFILTRADO[[#This Row],[Req Comp 2]]=0),0,PROVEEDORFILTRADO[[#This Row],[Req Comp 1]]+MAX(0,IF(PROVEEDORFILTRADO[[#This Row],[Req Comp 2]]&lt;&gt;0,PROVEEDORFILTRADO[[#This Row],[Inv Proveed]]-PROVEEDORFILTRADO[[#This Row],[Req Comp 1 Total]],0))),0))&gt;PROVEEDORFILTRADO[[#This Row],[Inv Proveed]],PROVEEDORFILTRADO[[#This Row],[Inv Proveed]],IF(PROVEEDORFILTRADO[[#This Row],[Req Comp 2 Total]]=0,0,IF((PROVEEDORFILTRADO[[#This Row],[Req Comp 1 Total]]+PROVEEDORFILTRADO[[#This Row],[Req Comp 2 Total]])&gt;=PROVEEDORFILTRADO[[#This Row],[Inv Proveed]],IF(AND(PROVEEDORFILTRADO[[#This Row],[Req Comp 1]]=0,PROVEEDORFILTRADO[[#This Row],[Req Comp 2]]=0),0,PROVEEDORFILTRADO[[#This Row],[Req Comp 1]]+MAX(0,IF(PROVEEDORFILTRADO[[#This Row],[Req Comp 2]]&lt;&gt;0,PROVEEDORFILTRADO[[#This Row],[Inv Proveed]]-PROVEEDORFILTRADO[[#This Row],[Req Comp 1 Total]],0))),0)))&lt;0,0,IF(IF(PROVEEDORFILTRADO[[#This Row],[Req Comp 2 Total]]=0,0,IF((PROVEEDORFILTRADO[[#This Row],[Req Comp 1 Total]]+PROVEEDORFILTRADO[[#This Row],[Req Comp 2 Total]])&gt;=PROVEEDORFILTRADO[[#This Row],[Inv Proveed]],IF(AND(PROVEEDORFILTRADO[[#This Row],[Req Comp 1]]=0,PROVEEDORFILTRADO[[#This Row],[Req Comp 2]]=0),0,PROVEEDORFILTRADO[[#This Row],[Req Comp 1]]+MAX(0,IF(PROVEEDORFILTRADO[[#This Row],[Req Comp 2]]&lt;&gt;0,PROVEEDORFILTRADO[[#This Row],[Inv Proveed]]-PROVEEDORFILTRADO[[#This Row],[Req Comp 1 Total]],0))),0))&gt;PROVEEDORFILTRADO[[#This Row],[Inv Proveed]],PROVEEDORFILTRADO[[#This Row],[Inv Proveed]],IF(PROVEEDORFILTRADO[[#This Row],[Req Comp 2 Total]]=0,0,IF((PROVEEDORFILTRADO[[#This Row],[Req Comp 1 Total]]+PROVEEDORFILTRADO[[#This Row],[Req Comp 2 Total]])&gt;=PROVEEDORFILTRADO[[#This Row],[Inv Proveed]],IF(AND(PROVEEDORFILTRADO[[#This Row],[Req Comp 1]]=0,PROVEEDORFILTRADO[[#This Row],[Req Comp 2]]=0),0,PROVEEDORFILTRADO[[#This Row],[Req Comp 1]]+MAX(0,IF(PROVEEDORFILTRADO[[#This Row],[Req Comp 2]]&lt;&gt;0,PROVEEDORFILTRADO[[#This Row],[Inv Proveed]]-PROVEEDORFILTRADO[[#This Row],[Req Comp 1 Total]],0))),0)))),0)))</f>
        <v>1000000000</v>
      </c>
      <c r="CL2" s="9">
        <f t="array" aca="1" ref="CL2" ca="1">IF(PROVEEDORFILTRADO[[#This Row],[Inv Proveed]]&gt;=PROVEEDORFILTRADO[[#This Row],[ReqTotal]],PROVEEDORFILTRADO[[#This Row],[PEDIDCalc]],IF(PROVEEDORFILTRADO[[#This Row],[R Complejo]]=0,ROUND((PROVEEDORFILTRADO[[#This Row],[Inv Proveed]]-(SUMPRODUCT(--(PROVEEDORFILTRADO[[#This Row],[Proveedor]]&amp;PROVEEDORFILTRADO[[#This Row],[Codigo]]=PROVEEDORFILTRADO[Proveedor]&amp;PROVEEDORFILTRADO[Codigo]),PROVEEDORFILTRADO[R Complejo])))*IF(PROVEEDORFILTRADO[[#This Row],[R Complejo]]=0,PROVEEDORFILTRADO[[#This Row],[PEDIDCalc]]/SUM(IF((--(PROVEEDORFILTRADO[[#This Row],[Proveedor]]&amp;PROVEEDORFILTRADO[[#This Row],[Codigo]]=PROVEEDORFILTRADO[Proveedor]&amp;PROVEEDORFILTRADO[Codigo])*PROVEEDORFILTRADO[R Complejo])=0,(--(PROVEEDORFILTRADO[[#This Row],[Proveedor]]&amp;PROVEEDORFILTRADO[[#This Row],[Codigo]]=PROVEEDORFILTRADO[Proveedor]&amp;PROVEEDORFILTRADO[Codigo])*PROVEEDORFILTRADO[PEDIDCalc]))),0),0),PROVEEDORFILTRADO[[#This Row],[R Complejo]]))</f>
        <v>1000000000</v>
      </c>
      <c r="CM2" s="9">
        <f ca="1">SUMPRODUCT(--(PROVEEDORFILTRADO[[#This Row],[Proveedor]]&amp;PROVEEDORFILTRADO[[#This Row],[Codigo]]=PROVEEDORFILTRADO[Proveedor]&amp;PROVEEDORFILTRADO[Codigo]),PROVEEDORFILTRADO[Requerimiento])</f>
        <v>23000000000</v>
      </c>
      <c r="CN2" s="7">
        <f>SUMPRODUCT(--(PROVEEDORFILTRADO[[#This Row],[Proveedor]]&amp;PROVEEDORFILTRADO[[#This Row],[Codigo]]=PROVEEDORFILTRADO[Proveedor]&amp;PROVEEDORFILTRADO[Codigo]),PROVEEDORFILTRADO[PEDIDCalc])</f>
        <v>23000000000</v>
      </c>
      <c r="CO2" s="7">
        <f t="array" ref="CO2">SUM((--(PROVEEDORFILTRADO[[#This Row],[Proveedor]]&amp;PROVEEDORFILTRADO[[#This Row],[Codigo]]=PROVEEDORFILTRADO[Proveedor]&amp;PROVEEDORFILTRADO[Codigo]))*(IFERROR((PROVEEDORFILTRADO[Consumo]*(--(PROVEEDORFILTRADO[Consumo]&gt;0))*(--(PROVEEDORFILTRADO[Consumo]&lt;&gt;""))),0)))</f>
        <v>23000000000</v>
      </c>
      <c r="CP2" s="1">
        <f>IF(AND(PROVEEDORFILTRADO[[#This Row],[Consumo]]&gt;0,PROVEEDORFILTRADO[[#This Row],[Consumo]]&lt;&gt;""),PROVEEDORFILTRADO[[#This Row],[Consumo]]/PROVEEDORFILTRADO[[#This Row],[%Cons Total]],0)</f>
        <v>4.3478260869565216E-2</v>
      </c>
      <c r="CQ2" s="7">
        <f ca="1">IFERROR(PROVEEDORFILTRADO[[#This Row],[Requerimiento]]/PROVEEDORFILTRADO[[#This Row],[RequerimientoTotal]],0)</f>
        <v>4.3478260869565216E-2</v>
      </c>
      <c r="CR2" s="7">
        <f ca="1">IFERROR(PROVEEDORFILTRADO[[#This Row],[Requerimiento]]/PROVEEDORFILTRADO[[#This Row],[Buff Act]],0)</f>
        <v>1</v>
      </c>
      <c r="CS2" s="7">
        <f ca="1">SUMPRODUCT(--(PROVEEDORFILTRADO[[#This Row],[Proveedor]]&amp;PROVEEDORFILTRADO[[#This Row],[Codigo]]=PROVEEDORFILTRADO[Proveedor]&amp;PROVEEDORFILTRADO[Codigo]),(--(PROVEEDORFILTRADO[Req a Buffer]&gt;0))*PROVEEDORFILTRADO[Req a Buffer])</f>
        <v>22000000001</v>
      </c>
      <c r="CT2" s="7">
        <f ca="1">IFERROR(PROVEEDORFILTRADO[[#This Row],[Req a Buffer]]/PROVEEDORFILTRADO[[#This Row],[%Req a Buff Total]],0)</f>
        <v>4.5454545452479339E-11</v>
      </c>
      <c r="CU2" s="7">
        <f ca="1">IF(RIGHT(PROVEEDORFILTRADO[[#This Row],[Bodega]],6)="PROPIA",2.3*(5*PROVEEDORFILTRADO[[#This Row],[%Consumo]]+PROVEEDORFILTRADO[[#This Row],[%Req]]+PROVEEDORFILTRADO[[#This Row],[%Req a Buff]]),5*PROVEEDORFILTRADO[[#This Row],[%Consumo]]+PROVEEDORFILTRADO[[#This Row],[%Req]]+PROVEEDORFILTRADO[[#This Row],[%Req a Buff]])</f>
        <v>0.26086956526284583</v>
      </c>
      <c r="CV2" s="7">
        <f ca="1">SUMPRODUCT(--(PROVEEDORFILTRADO[[#This Row],[Proveedor]]&amp;PROVEEDORFILTRADO[[#This Row],[Codigo]]=PROVEEDORFILTRADO[Proveedor]&amp;PROVEEDORFILTRADO[Codigo]),(--(PROVEEDORFILTRADO[Prioridad Abs]&gt;0))*PROVEEDORFILTRADO[Prioridad Abs])</f>
        <v>22000000000.260872</v>
      </c>
      <c r="CW2" s="7">
        <f ca="1">IFERROR(PROVEEDORFILTRADO[[#This Row],[Prioridad Abs]]/PROVEEDORFILTRADO[[#This Row],[Priorid Abs Total]],0)</f>
        <v>1.1857707511806932E-11</v>
      </c>
      <c r="CX2" s="7">
        <f ca="1">IF(PROVEEDORFILTRADO[[#This Row],[Requerimiento]]&gt;0,ROUNDUP(PROVEEDORFILTRADO[[#This Row],[Requerimiento]]*PROVEEDORFILTRADO[[#This Row],[Priorid Relat]],0),0)</f>
        <v>1</v>
      </c>
      <c r="CY2" s="7">
        <f ca="1">SUMPRODUCT(--(PROVEEDORFILTRADO[[#This Row],[Proveedor]]&amp;PROVEEDORFILTRADO[[#This Row],[Codigo]]=PROVEEDORFILTRADO[Proveedor]&amp;PROVEEDORFILTRADO[Codigo]),(--(PROVEEDORFILTRADO[Asignado Base]&gt;0))*PROVEEDORFILTRADO[Asignado Base])</f>
        <v>22000000001</v>
      </c>
      <c r="CZ2" s="7">
        <f ca="1">IF(PROVEEDORFILTRADO[[#This Row],[Requerimiento]]&lt;=0,0,MIN(ROUND(PROVEEDORFILTRADO[[#This Row],[Asignado Base]]*(PROVEEDORFILTRADO[[#This Row],[Inv Proveed]]/PROVEEDORFILTRADO[[#This Row],[Asignado Base Total]]),0),PROVEEDORFILTRADO[[#This Row],[Requerimiento]]))</f>
        <v>0</v>
      </c>
      <c r="DA2" s="7">
        <f ca="1">SUMPRODUCT(--(PROVEEDORFILTRADO[[#This Row],[Proveedor]]&amp;PROVEEDORFILTRADO[[#This Row],[Codigo]]=PROVEEDORFILTRADO[Proveedor]&amp;PROVEEDORFILTRADO[Codigo]),(--(PROVEEDORFILTRADO[Asignado Menos]&gt;0))*PROVEEDORFILTRADO[Asignado Menos])</f>
        <v>22000000000</v>
      </c>
      <c r="DB2" s="7">
        <f ca="1">IFERROR(IF(PROVEEDORFILTRADO[[#This Row],[Asignado Menos Total]]&gt;PROVEEDORFILTRADO[[#This Row],[RequerimientoTotal]],PROVEEDORFILTRADO[[#This Row],[Requerimiento]],PROVEEDORFILTRADO[[#This Row],[Asignado Menos]]),0)</f>
        <v>0</v>
      </c>
      <c r="DC2" s="7">
        <f ca="1">SUMPRODUCT(--(PROVEEDORFILTRADO[[#This Row],[Proveedor]]&amp;PROVEEDORFILTRADO[[#This Row],[Codigo]]=PROVEEDORFILTRADO[Proveedor]&amp;PROVEEDORFILTRADO[Codigo]),(--(PROVEEDORFILTRADO[Req Aux 1]&gt;0))*PROVEEDORFILTRADO[Req Aux 1])</f>
        <v>22000000000</v>
      </c>
      <c r="DD2" s="7">
        <f ca="1">IFERROR(ROUND(PROVEEDORFILTRADO[[#This Row],[Req Aux 1]]*(PROVEEDORFILTRADO[[#This Row],[Inv Proveed]]/PROVEEDORFILTRADO[[#This Row],[Req Aux 1 Total]]),0),0)</f>
        <v>0</v>
      </c>
      <c r="DE2" s="7">
        <f ca="1">SUMPRODUCT((--(PROVEEDORFILTRADO[[#This Row],[Proveedor]]&amp;PROVEEDORFILTRADO[[#This Row],[Codigo]]=PROVEEDORFILTRADO[Proveedor]&amp;PROVEEDORFILTRADO[Codigo])),(--(PROVEEDORFILTRADO[Req Aux 2]&gt;0))*PROVEEDORFILTRADO[Req Aux 2])</f>
        <v>22000000000</v>
      </c>
      <c r="DF2" s="7">
        <f ca="1">IF(PROVEEDORFILTRADO[[#This Row],[Req Aux 2 Total]]&gt;PROVEEDORFILTRADO[[#This Row],[RequerimientoTotal]],PROVEEDORFILTRADO[[#This Row],[Requerimiento]],PROVEEDORFILTRADO[[#This Row],[Req Aux 1]])</f>
        <v>0</v>
      </c>
      <c r="DG2" s="7">
        <f ca="1">SUMPRODUCT((--(PROVEEDORFILTRADO[[#This Row],[Proveedor]]&amp;PROVEEDORFILTRADO[[#This Row],[Codigo]]=PROVEEDORFILTRADO[Proveedor]&amp;PROVEEDORFILTRADO[Codigo])),(--(PROVEEDORFILTRADO[Req Aux 3]&gt;0))*PROVEEDORFILTRADO[Req Aux 3])</f>
        <v>22000000000</v>
      </c>
      <c r="DH2" s="7">
        <f ca="1">IF(PROVEEDORFILTRADO[[#This Row],[Req Aux 3 Total]]&gt;PROVEEDORFILTRADO[[#This Row],[Inv Proveed]],PROVEEDORFILTRADO[[#This Row],[Req Aux 2]],PROVEEDORFILTRADO[[#This Row],[Req Aux 3]])</f>
        <v>0</v>
      </c>
      <c r="DI2" s="7">
        <f ca="1">SUMPRODUCT((--(PROVEEDORFILTRADO[[#This Row],[Proveedor]]&amp;PROVEEDORFILTRADO[[#This Row],[Codigo]]=PROVEEDORFILTRADO[Proveedor]&amp;PROVEEDORFILTRADO[Codigo])),(--(PROVEEDORFILTRADO[Req Aux 4]&gt;0))*PROVEEDORFILTRADO[Req Aux 4])</f>
        <v>22000000000</v>
      </c>
      <c r="DJ2" s="7">
        <f ca="1">IF(AND(PROVEEDORFILTRADO[[#This Row],[Req Aux 4 Total]]&lt;PROVEEDORFILTRADO[[#This Row],[Inv Proveed]],PROVEEDORFILTRADO[[#This Row],[RequerimientoTotal]]&gt;PROVEEDORFILTRADO[[#This Row],[Inv Proveed]]),IF((PROVEEDORFILTRADO[[#This Row],[Req Aux 4]]+1)&gt;=PROVEEDORFILTRADO[[#This Row],[Requerimiento]],PROVEEDORFILTRADO[[#This Row],[Requerimiento]],(PROVEEDORFILTRADO[[#This Row],[Req Aux 4]]+1)),PROVEEDORFILTRADO[[#This Row],[Req Aux 4]])</f>
        <v>0</v>
      </c>
      <c r="DK2" s="7">
        <f ca="1">SUMPRODUCT((--(PROVEEDORFILTRADO[[#This Row],[Proveedor]]&amp;PROVEEDORFILTRADO[[#This Row],[Codigo]]=PROVEEDORFILTRADO[Proveedor]&amp;PROVEEDORFILTRADO[Codigo])),(--(PROVEEDORFILTRADO[Req Aux 5]&gt;0))*PROVEEDORFILTRADO[Req Aux 5])</f>
        <v>22000000000</v>
      </c>
      <c r="DL2" s="7">
        <f ca="1">IF(PROVEEDORFILTRADO[[#This Row],[RequerimientoTotal]]=PROVEEDORFILTRADO[[#This Row],[Inv Proveed]],PROVEEDORFILTRADO[[#This Row],[Requerimiento]],PROVEEDORFILTRADO[[#This Row],[Req Aux 5]])</f>
        <v>0</v>
      </c>
      <c r="DM2" s="7">
        <f ca="1">SUMPRODUCT((--(PROVEEDORFILTRADO[[#This Row],[Proveedor]]&amp;PROVEEDORFILTRADO[[#This Row],[Codigo]]=PROVEEDORFILTRADO[Proveedor]&amp;PROVEEDORFILTRADO[Codigo])),(--(PROVEEDORFILTRADO[Req Aux 6]&gt;0))*PROVEEDORFILTRADO[Req Aux 6])</f>
        <v>22000000000</v>
      </c>
      <c r="DN2" s="7">
        <f ca="1">IF(PROVEEDORFILTRADO[[#This Row],[Req Aux 6 Total]]&lt;PROVEEDORFILTRADO[[#This Row],[Inv Proveed]],IF((--(PROVEEDORFILTRADO[[#This Row],[Proveedor]]&amp;PROVEEDORFILTRADO[[#This Row],[Codigo]]=PROVEEDORFILTRADO[Proveedor]&amp;PROVEEDORFILTRADO[Codigo]))*PROVEEDORFILTRADO[Req Aux 6]&lt;(--(PROVEEDORFILTRADO[[#This Row],[Proveedor]]&amp;PROVEEDORFILTRADO[[#This Row],[Codigo]]=PROVEEDORFILTRADO[Proveedor]&amp;PROVEEDORFILTRADO[Codigo]))*PROVEEDORFILTRADO[Requerimiento],(--(PROVEEDORFILTRADO[[#This Row],[Proveedor]]&amp;PROVEEDORFILTRADO[[#This Row],[Codigo]]=PROVEEDORFILTRADO[Proveedor]&amp;PROVEEDORFILTRADO[Codigo]))*PROVEEDORFILTRADO[Req Aux 6]+1,(--(PROVEEDORFILTRADO[[#This Row],[Proveedor]]&amp;PROVEEDORFILTRADO[[#This Row],[Codigo]]=PROVEEDORFILTRADO[Proveedor]&amp;PROVEEDORFILTRADO[Codigo]))*PROVEEDORFILTRADO[Req Aux 6]),(--(PROVEEDORFILTRADO[[#This Row],[Proveedor]]&amp;PROVEEDORFILTRADO[[#This Row],[Codigo]]=PROVEEDORFILTRADO[Proveedor]&amp;PROVEEDORFILTRADO[Codigo]))*PROVEEDORFILTRADO[Req Aux 6])</f>
        <v>0</v>
      </c>
      <c r="DO2" s="7">
        <f ca="1">SUMPRODUCT((--(PROVEEDORFILTRADO[[#This Row],[Proveedor]]&amp;PROVEEDORFILTRADO[[#This Row],[Codigo]]=PROVEEDORFILTRADO[Proveedor]&amp;PROVEEDORFILTRADO[Codigo])),(--(PROVEEDORFILTRADO[Req Aux 7]&gt;0))*PROVEEDORFILTRADO[Req Aux 7])</f>
        <v>22000000000</v>
      </c>
      <c r="DP2" s="7">
        <f ca="1">IF(PROVEEDORFILTRADO[[#This Row],[Req Aux 7 Total]]&lt;PROVEEDORFILTRADO[[#This Row],[Inv Proveed]],IF(((--(PROVEEDORFILTRADO[[#This Row],[Proveedor]]&amp;PROVEEDORFILTRADO[[#This Row],[Codigo]]=PROVEEDORFILTRADO[Proveedor]&amp;PROVEEDORFILTRADO[Codigo]))*PROVEEDORFILTRADO[Req Aux 7])&lt;((--(PROVEEDORFILTRADO[[#This Row],[Proveedor]]&amp;PROVEEDORFILTRADO[[#This Row],[Codigo]]=PROVEEDORFILTRADO[Proveedor]&amp;PROVEEDORFILTRADO[Codigo]))*PROVEEDORFILTRADO[Requerimiento]),((--(PROVEEDORFILTRADO[[#This Row],[Proveedor]]&amp;PROVEEDORFILTRADO[[#This Row],[Codigo]]=PROVEEDORFILTRADO[Proveedor]&amp;PROVEEDORFILTRADO[Codigo]))*PROVEEDORFILTRADO[Req Aux 7])+1,((--(PROVEEDORFILTRADO[[#This Row],[Proveedor]]&amp;PROVEEDORFILTRADO[[#This Row],[Codigo]]=PROVEEDORFILTRADO[Proveedor]&amp;PROVEEDORFILTRADO[Codigo]))*PROVEEDORFILTRADO[Req Aux 7])),((--(PROVEEDORFILTRADO[[#This Row],[Proveedor]]&amp;PROVEEDORFILTRADO[[#This Row],[Codigo]]=PROVEEDORFILTRADO[Proveedor]&amp;PROVEEDORFILTRADO[Codigo]))*PROVEEDORFILTRADO[Req Aux 7]))</f>
        <v>0</v>
      </c>
      <c r="DQ2" s="7">
        <f ca="1">SUMPRODUCT((--(PROVEEDORFILTRADO[[#This Row],[Proveedor]]&amp;PROVEEDORFILTRADO[[#This Row],[Codigo]]=PROVEEDORFILTRADO[Proveedor]&amp;PROVEEDORFILTRADO[Codigo])),(--(PROVEEDORFILTRADO[Req Aux 8]&gt;0))*PROVEEDORFILTRADO[Req Aux 8])</f>
        <v>22000000000</v>
      </c>
      <c r="DR2" s="7">
        <f ca="1">IF(PROVEEDORFILTRADO[[#This Row],[Req Aux 8 Total]]&lt;PROVEEDORFILTRADO[[#This Row],[Inv Proveed]],IF(((--(PROVEEDORFILTRADO[[#This Row],[Proveedor]]&amp;PROVEEDORFILTRADO[[#This Row],[Codigo]]=PROVEEDORFILTRADO[Proveedor]&amp;PROVEEDORFILTRADO[Codigo]))*PROVEEDORFILTRADO[Req Aux 8])&lt;((--(PROVEEDORFILTRADO[[#This Row],[Proveedor]]&amp;PROVEEDORFILTRADO[[#This Row],[Codigo]]=PROVEEDORFILTRADO[Proveedor]&amp;PROVEEDORFILTRADO[Codigo]))*PROVEEDORFILTRADO[Requerimiento]),((--(PROVEEDORFILTRADO[[#This Row],[Proveedor]]&amp;PROVEEDORFILTRADO[[#This Row],[Codigo]]=PROVEEDORFILTRADO[Proveedor]&amp;PROVEEDORFILTRADO[Codigo]))*PROVEEDORFILTRADO[Req Aux 8])+1,((--(PROVEEDORFILTRADO[[#This Row],[Proveedor]]&amp;PROVEEDORFILTRADO[[#This Row],[Codigo]]=PROVEEDORFILTRADO[Proveedor]&amp;PROVEEDORFILTRADO[Codigo]))*PROVEEDORFILTRADO[Req Aux 8])),((--(PROVEEDORFILTRADO[[#This Row],[Proveedor]]&amp;PROVEEDORFILTRADO[[#This Row],[Codigo]]=PROVEEDORFILTRADO[Proveedor]&amp;PROVEEDORFILTRADO[Codigo]))*PROVEEDORFILTRADO[Req Aux 8]))</f>
        <v>0</v>
      </c>
      <c r="DS2" s="7">
        <f ca="1">SUMPRODUCT((--(PROVEEDORFILTRADO[[#This Row],[Proveedor]]&amp;PROVEEDORFILTRADO[[#This Row],[Codigo]]=PROVEEDORFILTRADO[Proveedor]&amp;PROVEEDORFILTRADO[Codigo])),(--(PROVEEDORFILTRADO[Req Aux 9]&gt;0))*PROVEEDORFILTRADO[Req Aux 9])</f>
        <v>22000000000</v>
      </c>
      <c r="DT2" s="7">
        <f ca="1">IF(PROVEEDORFILTRADO[[#This Row],[Req Aux 9 Total]]&lt;PROVEEDORFILTRADO[[#This Row],[Inv Proveed]],IF(((--(PROVEEDORFILTRADO[[#This Row],[Proveedor]]&amp;PROVEEDORFILTRADO[[#This Row],[Codigo]]=PROVEEDORFILTRADO[Proveedor]&amp;PROVEEDORFILTRADO[Codigo]))*PROVEEDORFILTRADO[Req Aux 9])&lt;((--(PROVEEDORFILTRADO[[#This Row],[Proveedor]]&amp;PROVEEDORFILTRADO[[#This Row],[Codigo]]=PROVEEDORFILTRADO[Proveedor]&amp;PROVEEDORFILTRADO[Codigo]))*PROVEEDORFILTRADO[Requerimiento]),((--(PROVEEDORFILTRADO[[#This Row],[Proveedor]]&amp;PROVEEDORFILTRADO[[#This Row],[Codigo]]=PROVEEDORFILTRADO[Proveedor]&amp;PROVEEDORFILTRADO[Codigo]))*PROVEEDORFILTRADO[Req Aux 9])+1,((--(PROVEEDORFILTRADO[[#This Row],[Proveedor]]&amp;PROVEEDORFILTRADO[[#This Row],[Codigo]]=PROVEEDORFILTRADO[Proveedor]&amp;PROVEEDORFILTRADO[Codigo]))*PROVEEDORFILTRADO[Req Aux 9])),((--(PROVEEDORFILTRADO[[#This Row],[Proveedor]]&amp;PROVEEDORFILTRADO[[#This Row],[Codigo]]=PROVEEDORFILTRADO[Proveedor]&amp;PROVEEDORFILTRADO[Codigo]))*PROVEEDORFILTRADO[Req Aux 9]))</f>
        <v>0</v>
      </c>
      <c r="DU2" s="7">
        <f ca="1">SUMPRODUCT((--(PROVEEDORFILTRADO[[#This Row],[Proveedor]]&amp;PROVEEDORFILTRADO[[#This Row],[Codigo]]=PROVEEDORFILTRADO[Proveedor]&amp;PROVEEDORFILTRADO[Codigo])),(--(PROVEEDORFILTRADO[Req Aux 10]&gt;0))*PROVEEDORFILTRADO[Req Aux 10])</f>
        <v>22000000000</v>
      </c>
      <c r="DV2" s="7">
        <f ca="1">IF(PROVEEDORFILTRADO[[#This Row],[Req Aux 10 Total]]&lt;PROVEEDORFILTRADO[[#This Row],[Inv Proveed]],IF(((--(PROVEEDORFILTRADO[[#This Row],[Proveedor]]&amp;PROVEEDORFILTRADO[[#This Row],[Codigo]]=PROVEEDORFILTRADO[Proveedor]&amp;PROVEEDORFILTRADO[Codigo]))*PROVEEDORFILTRADO[Req Aux 10])&lt;((--(PROVEEDORFILTRADO[[#This Row],[Proveedor]]&amp;PROVEEDORFILTRADO[[#This Row],[Codigo]]=PROVEEDORFILTRADO[Proveedor]&amp;PROVEEDORFILTRADO[Codigo]))*PROVEEDORFILTRADO[Requerimiento]),((--(PROVEEDORFILTRADO[[#This Row],[Proveedor]]&amp;PROVEEDORFILTRADO[[#This Row],[Codigo]]=PROVEEDORFILTRADO[Proveedor]&amp;PROVEEDORFILTRADO[Codigo]))*PROVEEDORFILTRADO[Req Aux 10])+1,((--(PROVEEDORFILTRADO[[#This Row],[Proveedor]]&amp;PROVEEDORFILTRADO[[#This Row],[Codigo]]=PROVEEDORFILTRADO[Proveedor]&amp;PROVEEDORFILTRADO[Codigo]))*PROVEEDORFILTRADO[Req Aux 10])),((--(PROVEEDORFILTRADO[[#This Row],[Proveedor]]&amp;PROVEEDORFILTRADO[[#This Row],[Codigo]]=PROVEEDORFILTRADO[Proveedor]&amp;PROVEEDORFILTRADO[Codigo]))*PROVEEDORFILTRADO[Req Aux 10]))</f>
        <v>0</v>
      </c>
      <c r="DW2" s="7">
        <f ca="1">SUMPRODUCT((--(PROVEEDORFILTRADO[[#This Row],[Proveedor]]&amp;PROVEEDORFILTRADO[[#This Row],[Codigo]]=PROVEEDORFILTRADO[Proveedor]&amp;PROVEEDORFILTRADO[Codigo])),(--(PROVEEDORFILTRADO[Req Aux 11]&gt;0))*PROVEEDORFILTRADO[Req Aux 11])</f>
        <v>22000000000</v>
      </c>
      <c r="DX2" s="9">
        <f ca="1">IF(PROVEEDORFILTRADO[[#This Row],[RequerimientoTotal]]&gt;PROVEEDORFILTRADO[[#This Row],[Inv Proveed]],IFERROR(IF(OR(PROVEEDORFILTRADO[[#This Row],[Req Aux 1 Total]]=PROVEEDORFILTRADO[[#This Row],[Inv Proveed]],PROVEEDORFILTRADO[[#This Row],[Req Aux 1 Total]]=PROVEEDORFILTRADO[[#This Row],[Inv Proveed]]+1,PROVEEDORFILTRADO[[#This Row],[Req Aux 1 Total]]=PROVEEDORFILTRADO[[#This Row],[Inv Proveed]]-1),PROVEEDORFILTRADO[[#This Row],[Req Aux 1]],IF(OR(PROVEEDORFILTRADO[[#This Row],[Req Aux 2 Total]]=PROVEEDORFILTRADO[[#This Row],[Inv Proveed]],PROVEEDORFILTRADO[[#This Row],[Req Aux 2 Total]]=PROVEEDORFILTRADO[[#This Row],[Inv Proveed]]+1,PROVEEDORFILTRADO[[#This Row],[Req Aux 2 Total]]=PROVEEDORFILTRADO[[#This Row],[Inv Proveed]]-1),PROVEEDORFILTRADO[[#This Row],[Req Aux 2]],IF(OR(PROVEEDORFILTRADO[[#This Row],[Req Aux 3 Total]]=PROVEEDORFILTRADO[[#This Row],[Inv Proveed]],PROVEEDORFILTRADO[[#This Row],[Req Aux 3 Total]]=PROVEEDORFILTRADO[[#This Row],[Inv Proveed]]+1,PROVEEDORFILTRADO[[#This Row],[Req Aux 3 Total]]=PROVEEDORFILTRADO[[#This Row],[Inv Proveed]]-1),PROVEEDORFILTRADO[[#This Row],[Req Aux 3]],IF(OR(PROVEEDORFILTRADO[[#This Row],[Req Aux 4 Total]]=PROVEEDORFILTRADO[[#This Row],[Inv Proveed]],PROVEEDORFILTRADO[[#This Row],[Req Aux 4 Total]]=PROVEEDORFILTRADO[[#This Row],[Inv Proveed]]+1,PROVEEDORFILTRADO[[#This Row],[Req Aux 4 Total]]=PROVEEDORFILTRADO[[#This Row],[Inv Proveed]]-1),PROVEEDORFILTRADO[[#This Row],[Req Aux 4]],IF(OR(PROVEEDORFILTRADO[[#This Row],[Req Aux 5 Total]]=PROVEEDORFILTRADO[[#This Row],[Inv Proveed]],PROVEEDORFILTRADO[[#This Row],[Req Aux 5 Total]]=PROVEEDORFILTRADO[[#This Row],[Inv Proveed]]+1,PROVEEDORFILTRADO[[#This Row],[Req Aux 5 Total]]=PROVEEDORFILTRADO[[#This Row],[Inv Proveed]]-1),PROVEEDORFILTRADO[[#This Row],[Req Aux 5]],IF(OR(PROVEEDORFILTRADO[[#This Row],[Req Aux 6 Total]]=PROVEEDORFILTRADO[[#This Row],[Inv Proveed]],PROVEEDORFILTRADO[[#This Row],[Req Aux 6 Total]]=PROVEEDORFILTRADO[[#This Row],[Inv Proveed]]+1,PROVEEDORFILTRADO[[#This Row],[Req Aux 6 Total]] = PROVEEDORFILTRADO[[#This Row],[Inv Proveed]]-1),PROVEEDORFILTRADO[[#This Row],[Req Aux 6]],IF(OR(PROVEEDORFILTRADO[[#This Row],[Req Aux 7 Total]]=PROVEEDORFILTRADO[[#This Row],[Inv Proveed]],PROVEEDORFILTRADO[[#This Row],[Req Aux 7 Total]]=PROVEEDORFILTRADO[[#This Row],[Inv Proveed]]+1,PROVEEDORFILTRADO[[#This Row],[Req Aux 7 Total]]=PROVEEDORFILTRADO[[#This Row],[Inv Proveed]]-1),PROVEEDORFILTRADO[[#This Row],[Req Aux 7]],IF(OR(PROVEEDORFILTRADO[[#This Row],[Req Aux 8 Total]]=PROVEEDORFILTRADO[[#This Row],[Inv Proveed]],PROVEEDORFILTRADO[[#This Row],[Req Aux 8 Total]]=PROVEEDORFILTRADO[[#This Row],[Inv Proveed]]+1,PROVEEDORFILTRADO[[#This Row],[Req Aux 8 Total]]=PROVEEDORFILTRADO[[#This Row],[Inv Proveed]]-1),PROVEEDORFILTRADO[[#This Row],[Req Aux 8]],IF(OR(PROVEEDORFILTRADO[[#This Row],[Req Aux 9 Total]]=PROVEEDORFILTRADO[[#This Row],[Inv Proveed]],PROVEEDORFILTRADO[[#This Row],[Req Aux 9 Total]]=PROVEEDORFILTRADO[[#This Row],[Inv Proveed]]+1,PROVEEDORFILTRADO[[#This Row],[Req Aux 9 Total]]=PROVEEDORFILTRADO[[#This Row],[Inv Proveed]]-1),PROVEEDORFILTRADO[[#This Row],[Req Aux 9]],IF(OR(PROVEEDORFILTRADO[[#This Row],[Req Aux 10 Total]]=PROVEEDORFILTRADO[[#This Row],[Inv Proveed]],PROVEEDORFILTRADO[[#This Row],[Req Aux 10 Total]]=PROVEEDORFILTRADO[[#This Row],[Inv Proveed]]+1,PROVEEDORFILTRADO[[#This Row],[Req Aux 10 Total]]=PROVEEDORFILTRADO[[#This Row],[Inv Proveed]]-1),PROVEEDORFILTRADO[[#This Row],[Req Aux 10]],IF(PROVEEDORFILTRADO[[#This Row],[Req Aux 11 Total]]=PROVEEDORFILTRADO[[#This Row],[Inv Proveed]],PROVEEDORFILTRADO[[#This Row],[Req Aux 11]],IFERROR(IF(AND(COUNTA(((--(PROVEEDORFILTRADO[[#This Row],[Proveedor]]&amp;PROVEEDORFILTRADO[[#This Row],[Codigo]]=PROVEEDORFILTRADO[Proveedor]&amp;PROVEEDORFILTRADO[Codigo]))*PROVEEDORFILTRADO[Req Aux 11]))&gt;=PROVEEDORFILTRADO[[#This Row],[Inv Proveed]],PROVEEDORFILTRADO[[#This Row],[Req Aux 11 Total]]&gt;PROVEEDORFILTRADO[[#This Row],[Inv Proveed]]),IF(PROVEEDORFILTRADO[[#This Row],[Req Aux 11]]&gt;1,PROVEEDORFILTRADO[[#This Row],[Req Aux 11]]-1,PROVEEDORFILTRADO[[#This Row],[Req Aux 11]]),PROVEEDORFILTRADO[[#This Row],[Req Aux 11]]),0)))))))))))),0),PROVEEDORFILTRADO[[#This Row],[Requerimiento]])</f>
        <v>0</v>
      </c>
      <c r="DY2" s="10">
        <f t="array" aca="1" ref="DY2" ca="1">IF(PROVEEDORFILTRADO[[#This Row],[Inv Proveed]]=1,IF(PROVEEDORFILTRADO[[#This Row],[Prioridad Abs]]=MAX(--(PROVEEDORFILTRADO[[#This Row],[Proveedor]]&amp;PROVEEDORFILTRADO[[#This Row],[Codigo]]=PROVEEDORFILTRADO[Proveedor]&amp;PROVEEDORFILTRADO[Codigo])*--(PROVEEDORFILTRADO[Requerimiento]&gt;0)*PROVEEDORFILTRADO[Prioridad Abs]),1,0),IF(ISERROR(MATCH(PROVEEDORFILTRADO[[#This Row],[Prioridad Abs]],SMALL((--(PROVEEDORFILTRADO[[#This Row],[Proveedor]]&amp;PROVEEDORFILTRADO[[#This Row],[Codigo]]=PROVEEDORFILTRADO[Proveedor]&amp;PROVEEDORFILTRADO[Codigo]))*IF((--(PROVEEDORFILTRADO[Req Aux 12]&gt;=1)*PROVEEDORFILTRADO[Prioridad Abs])=0,1000000000,--((PROVEEDORFILTRADO[Req Aux 12]&gt;=1)*PROVEEDORFILTRADO[Prioridad Abs])),ROW(INDIRECT("a1:a"&amp;SUM((--(PROVEEDORFILTRADO[[#This Row],[Proveedor]]&amp;PROVEEDORFILTRADO[[#This Row],[Codigo]]=PROVEEDORFILTRADO[Proveedor]&amp;PROVEEDORFILTRADO[Codigo]))*PROVEEDORFILTRADO[Req Aux 12])-PROVEEDORFILTRADO[[#This Row],[Inv Proveed]]))),0)),PROVEEDORFILTRADO[[#This Row],[Req Aux 12]],PROVEEDORFILTRADO[[#This Row],[Req Aux 12]]-1))</f>
        <v>0</v>
      </c>
      <c r="DZ2" s="10">
        <v>0</v>
      </c>
      <c r="EA2" s="7">
        <f>SUMPRODUCT((--(PROVEEDORFILTRADO[[#This Row],[Proveedor]]&amp;PROVEEDORFILTRADO[[#This Row],[Codigo]]=PROVEEDORFILTRADO[Proveedor]&amp;PROVEEDORFILTRADO[Codigo])),(--(PROVEEDORFILTRADO[REQ NETO]&gt;0))*PROVEEDORFILTRADO[REQ NETO])-PROVEEDORFILTRADO[[#This Row],[Inv Proveed]]</f>
        <v>21000000000</v>
      </c>
    </row>
    <row r="3" spans="1:131" x14ac:dyDescent="0.25">
      <c r="A3">
        <v>1000000000</v>
      </c>
      <c r="B3">
        <v>1000000000</v>
      </c>
      <c r="C3">
        <v>1000000000</v>
      </c>
      <c r="D3">
        <v>1000000000</v>
      </c>
      <c r="E3">
        <v>1000000000</v>
      </c>
      <c r="F3">
        <v>1000000000</v>
      </c>
      <c r="G3">
        <v>1000000000</v>
      </c>
      <c r="H3">
        <v>1000000000</v>
      </c>
      <c r="I3">
        <v>1000000000</v>
      </c>
      <c r="J3">
        <v>1000000000</v>
      </c>
      <c r="K3">
        <v>1000000000</v>
      </c>
      <c r="L3">
        <v>1000000000</v>
      </c>
      <c r="M3">
        <v>1000000000</v>
      </c>
      <c r="N3">
        <v>1000000000</v>
      </c>
      <c r="O3">
        <v>1000000000</v>
      </c>
      <c r="P3">
        <v>1000000000</v>
      </c>
      <c r="Q3">
        <v>1000000000</v>
      </c>
      <c r="R3">
        <v>1000000000</v>
      </c>
      <c r="S3">
        <v>1000000000</v>
      </c>
      <c r="T3">
        <v>1000000000</v>
      </c>
      <c r="U3">
        <v>1000000000</v>
      </c>
      <c r="V3">
        <v>1000000000</v>
      </c>
      <c r="W3">
        <v>1000000000</v>
      </c>
      <c r="X3">
        <v>1000000000</v>
      </c>
      <c r="Y3">
        <v>1000000000</v>
      </c>
      <c r="Z3">
        <v>1000000000</v>
      </c>
      <c r="AA3">
        <v>1000000000</v>
      </c>
      <c r="AB3">
        <v>1000000000</v>
      </c>
      <c r="AC3">
        <v>1000000000</v>
      </c>
      <c r="AD3">
        <v>1000000000</v>
      </c>
      <c r="AE3">
        <v>1000000000</v>
      </c>
      <c r="AF3">
        <v>1000000000</v>
      </c>
      <c r="AG3">
        <v>1000000000</v>
      </c>
      <c r="AH3">
        <v>1000000000</v>
      </c>
      <c r="AI3">
        <v>1000000000</v>
      </c>
      <c r="AJ3">
        <v>1000000000</v>
      </c>
      <c r="AK3">
        <v>1000000000</v>
      </c>
      <c r="AL3">
        <v>1000000000</v>
      </c>
      <c r="AM3">
        <v>1000000000</v>
      </c>
      <c r="AN3">
        <v>1000000000</v>
      </c>
      <c r="AO3">
        <v>1000000000</v>
      </c>
      <c r="AP3">
        <v>1000000000</v>
      </c>
      <c r="AQ3">
        <v>1000000000</v>
      </c>
      <c r="AR3">
        <v>1000000000</v>
      </c>
      <c r="AS3">
        <v>1000000000</v>
      </c>
      <c r="AT3">
        <v>1000000000</v>
      </c>
      <c r="AU3">
        <v>1000000000</v>
      </c>
      <c r="AV3">
        <v>1000000000</v>
      </c>
      <c r="AW3">
        <v>1000000000</v>
      </c>
      <c r="AX3">
        <v>1000000000</v>
      </c>
      <c r="AY3">
        <v>1000000000</v>
      </c>
      <c r="AZ3">
        <v>1000000000</v>
      </c>
      <c r="BA3">
        <v>1000000000</v>
      </c>
      <c r="BB3">
        <v>1000000000</v>
      </c>
      <c r="BC3">
        <v>1000000000</v>
      </c>
      <c r="BD3">
        <v>1000000000</v>
      </c>
      <c r="BE3">
        <v>1000000000</v>
      </c>
      <c r="BF3">
        <v>1000000000</v>
      </c>
      <c r="BG3">
        <v>1000000000</v>
      </c>
      <c r="BH3">
        <v>1000000000</v>
      </c>
      <c r="BI3">
        <v>1000000000</v>
      </c>
      <c r="BJ3">
        <v>1000000000</v>
      </c>
      <c r="BK3" s="1">
        <v>1000000000</v>
      </c>
      <c r="BL3">
        <v>1000000000</v>
      </c>
      <c r="BM3">
        <v>1000000000</v>
      </c>
      <c r="BN3">
        <v>1000000000</v>
      </c>
      <c r="BO3">
        <v>1000000000</v>
      </c>
      <c r="BP3">
        <v>1000000000</v>
      </c>
      <c r="BQ3" s="7">
        <v>1000000000</v>
      </c>
      <c r="BR3">
        <v>1000000000</v>
      </c>
      <c r="BS3">
        <v>1000000000</v>
      </c>
      <c r="BT3">
        <v>1000000000</v>
      </c>
      <c r="BU3">
        <v>1000000000</v>
      </c>
      <c r="BV3">
        <v>1000000000</v>
      </c>
      <c r="BW3">
        <v>1000000000</v>
      </c>
      <c r="BX3">
        <v>1000000000</v>
      </c>
      <c r="BY3">
        <v>1000000000</v>
      </c>
      <c r="BZ3">
        <v>1000000000</v>
      </c>
      <c r="CA3">
        <v>1000000000</v>
      </c>
      <c r="CB3">
        <v>1000000000</v>
      </c>
      <c r="CC3" s="1">
        <v>1000000000</v>
      </c>
      <c r="CD3">
        <v>1000000000</v>
      </c>
      <c r="CE3" s="8">
        <v>1000000000</v>
      </c>
      <c r="CF3" s="7">
        <v>1000000000</v>
      </c>
      <c r="CG3" s="7">
        <v>1000000000</v>
      </c>
      <c r="CH3" s="7">
        <v>1000000000</v>
      </c>
      <c r="CI3" s="7">
        <v>1000000000</v>
      </c>
      <c r="CJ3" s="7">
        <v>1000000000</v>
      </c>
      <c r="CK3" s="7">
        <v>1000000000</v>
      </c>
      <c r="CL3" s="9">
        <v>1000000000</v>
      </c>
      <c r="CM3" s="9">
        <v>1000000000</v>
      </c>
      <c r="CN3" s="7">
        <v>1000000000</v>
      </c>
      <c r="CO3" s="7">
        <v>1000000000</v>
      </c>
      <c r="CP3" s="1">
        <v>1000000000</v>
      </c>
      <c r="CQ3" s="7">
        <v>1000000000</v>
      </c>
      <c r="CR3" s="7">
        <v>1000000000</v>
      </c>
      <c r="CS3" s="7">
        <v>1000000000</v>
      </c>
      <c r="CT3" s="7">
        <v>1000000000</v>
      </c>
      <c r="CU3" s="7">
        <v>1000000000</v>
      </c>
      <c r="CV3" s="7">
        <v>1000000000</v>
      </c>
      <c r="CW3" s="7">
        <v>1000000000</v>
      </c>
      <c r="CX3" s="7">
        <v>1000000000</v>
      </c>
      <c r="CY3" s="7">
        <v>1000000000</v>
      </c>
      <c r="CZ3" s="7">
        <v>1000000000</v>
      </c>
      <c r="DA3" s="7">
        <v>1000000000</v>
      </c>
      <c r="DB3" s="7">
        <v>1000000000</v>
      </c>
      <c r="DC3" s="7">
        <v>1000000000</v>
      </c>
      <c r="DD3" s="7">
        <v>1000000000</v>
      </c>
      <c r="DE3" s="7">
        <v>1000000000</v>
      </c>
      <c r="DF3" s="7">
        <v>1000000000</v>
      </c>
      <c r="DG3" s="7">
        <v>1000000000</v>
      </c>
      <c r="DH3" s="7">
        <v>1000000000</v>
      </c>
      <c r="DI3" s="7">
        <v>1000000000</v>
      </c>
      <c r="DJ3" s="7">
        <v>1000000000</v>
      </c>
      <c r="DK3" s="7">
        <v>1000000000</v>
      </c>
      <c r="DL3" s="7">
        <v>1000000000</v>
      </c>
      <c r="DM3" s="7">
        <v>1000000000</v>
      </c>
      <c r="DN3" s="7">
        <v>1000000000</v>
      </c>
      <c r="DO3" s="7">
        <v>1000000000</v>
      </c>
      <c r="DP3" s="7">
        <v>1000000000</v>
      </c>
      <c r="DQ3" s="7">
        <v>1000000000</v>
      </c>
      <c r="DR3" s="7">
        <v>1000000000</v>
      </c>
      <c r="DS3" s="7">
        <v>1000000000</v>
      </c>
      <c r="DT3" s="7">
        <v>1000000000</v>
      </c>
      <c r="DU3" s="7">
        <v>1000000000</v>
      </c>
      <c r="DV3" s="7">
        <v>1000000000</v>
      </c>
      <c r="DW3" s="7">
        <v>1000000000</v>
      </c>
      <c r="DX3" s="9">
        <v>1000000000</v>
      </c>
      <c r="DY3" s="10">
        <v>1000000000</v>
      </c>
      <c r="DZ3" s="10">
        <v>1000000000</v>
      </c>
      <c r="EA3" s="7">
        <v>1000000000</v>
      </c>
    </row>
    <row r="4" spans="1:131" x14ac:dyDescent="0.25">
      <c r="A4">
        <v>1000000000</v>
      </c>
      <c r="B4">
        <v>1000000000</v>
      </c>
      <c r="C4">
        <v>1000000000</v>
      </c>
      <c r="D4">
        <v>1000000000</v>
      </c>
      <c r="E4">
        <v>1000000000</v>
      </c>
      <c r="F4">
        <v>1000000000</v>
      </c>
      <c r="G4">
        <v>1000000000</v>
      </c>
      <c r="H4">
        <v>1000000000</v>
      </c>
      <c r="I4">
        <v>1000000000</v>
      </c>
      <c r="J4">
        <v>1000000000</v>
      </c>
      <c r="K4">
        <v>1000000000</v>
      </c>
      <c r="L4">
        <v>1000000000</v>
      </c>
      <c r="M4">
        <v>1000000000</v>
      </c>
      <c r="N4">
        <v>1000000000</v>
      </c>
      <c r="O4">
        <v>1000000000</v>
      </c>
      <c r="P4">
        <v>1000000000</v>
      </c>
      <c r="Q4">
        <v>1000000000</v>
      </c>
      <c r="R4">
        <v>1000000000</v>
      </c>
      <c r="S4">
        <v>1000000000</v>
      </c>
      <c r="T4">
        <v>1000000000</v>
      </c>
      <c r="U4">
        <v>1000000000</v>
      </c>
      <c r="V4">
        <v>1000000000</v>
      </c>
      <c r="W4">
        <v>1000000000</v>
      </c>
      <c r="X4">
        <v>1000000000</v>
      </c>
      <c r="Y4">
        <v>1000000000</v>
      </c>
      <c r="Z4">
        <v>1000000000</v>
      </c>
      <c r="AA4">
        <v>1000000000</v>
      </c>
      <c r="AB4">
        <v>1000000000</v>
      </c>
      <c r="AC4">
        <v>1000000000</v>
      </c>
      <c r="AD4">
        <v>1000000000</v>
      </c>
      <c r="AE4">
        <v>1000000000</v>
      </c>
      <c r="AF4">
        <v>1000000000</v>
      </c>
      <c r="AG4">
        <v>1000000000</v>
      </c>
      <c r="AH4">
        <v>1000000000</v>
      </c>
      <c r="AI4">
        <v>1000000000</v>
      </c>
      <c r="AJ4">
        <v>1000000000</v>
      </c>
      <c r="AK4">
        <v>1000000000</v>
      </c>
      <c r="AL4">
        <v>1000000000</v>
      </c>
      <c r="AM4">
        <v>1000000000</v>
      </c>
      <c r="AN4">
        <v>1000000000</v>
      </c>
      <c r="AO4">
        <v>1000000000</v>
      </c>
      <c r="AP4">
        <v>1000000000</v>
      </c>
      <c r="AQ4">
        <v>1000000000</v>
      </c>
      <c r="AR4">
        <v>1000000000</v>
      </c>
      <c r="AS4">
        <v>1000000000</v>
      </c>
      <c r="AT4">
        <v>1000000000</v>
      </c>
      <c r="AU4">
        <v>1000000000</v>
      </c>
      <c r="AV4">
        <v>1000000000</v>
      </c>
      <c r="AW4">
        <v>1000000000</v>
      </c>
      <c r="AX4">
        <v>1000000000</v>
      </c>
      <c r="AY4">
        <v>1000000000</v>
      </c>
      <c r="AZ4">
        <v>1000000000</v>
      </c>
      <c r="BA4">
        <v>1000000000</v>
      </c>
      <c r="BB4">
        <v>1000000000</v>
      </c>
      <c r="BC4">
        <v>1000000000</v>
      </c>
      <c r="BD4">
        <v>1000000000</v>
      </c>
      <c r="BE4">
        <v>1000000000</v>
      </c>
      <c r="BF4">
        <v>1000000000</v>
      </c>
      <c r="BG4">
        <v>1000000000</v>
      </c>
      <c r="BH4">
        <v>1000000000</v>
      </c>
      <c r="BI4">
        <v>1000000000</v>
      </c>
      <c r="BJ4">
        <v>1000000000</v>
      </c>
      <c r="BK4" s="1">
        <v>1000000000</v>
      </c>
      <c r="BL4">
        <v>1000000000</v>
      </c>
      <c r="BM4">
        <v>1000000000</v>
      </c>
      <c r="BN4">
        <v>1000000000</v>
      </c>
      <c r="BO4">
        <v>1000000000</v>
      </c>
      <c r="BP4">
        <v>1000000000</v>
      </c>
      <c r="BQ4" s="7">
        <v>1000000000</v>
      </c>
      <c r="BR4">
        <v>1000000000</v>
      </c>
      <c r="BS4">
        <v>1000000000</v>
      </c>
      <c r="BT4">
        <v>1000000000</v>
      </c>
      <c r="BU4">
        <v>1000000000</v>
      </c>
      <c r="BV4">
        <v>1000000000</v>
      </c>
      <c r="BW4">
        <v>1000000000</v>
      </c>
      <c r="BX4">
        <v>1000000000</v>
      </c>
      <c r="BY4">
        <v>1000000000</v>
      </c>
      <c r="BZ4">
        <v>1000000000</v>
      </c>
      <c r="CA4">
        <v>1000000000</v>
      </c>
      <c r="CB4">
        <v>1000000000</v>
      </c>
      <c r="CC4" s="1">
        <v>1000000000</v>
      </c>
      <c r="CD4">
        <v>1000000000</v>
      </c>
      <c r="CE4" s="8">
        <v>1000000000</v>
      </c>
      <c r="CF4" s="7">
        <v>1000000000</v>
      </c>
      <c r="CG4" s="7">
        <v>1000000000</v>
      </c>
      <c r="CH4" s="7">
        <v>1000000000</v>
      </c>
      <c r="CI4" s="7">
        <v>1000000000</v>
      </c>
      <c r="CJ4" s="7">
        <v>1000000000</v>
      </c>
      <c r="CK4" s="7">
        <v>1000000000</v>
      </c>
      <c r="CL4" s="9">
        <v>1000000000</v>
      </c>
      <c r="CM4" s="9">
        <v>1000000000</v>
      </c>
      <c r="CN4" s="7">
        <v>1000000000</v>
      </c>
      <c r="CO4" s="7">
        <v>1000000000</v>
      </c>
      <c r="CP4" s="1">
        <v>1000000000</v>
      </c>
      <c r="CQ4" s="7">
        <v>1000000000</v>
      </c>
      <c r="CR4" s="7">
        <v>1000000000</v>
      </c>
      <c r="CS4" s="7">
        <v>1000000000</v>
      </c>
      <c r="CT4" s="7">
        <v>1000000000</v>
      </c>
      <c r="CU4" s="7">
        <v>1000000000</v>
      </c>
      <c r="CV4" s="7">
        <v>1000000000</v>
      </c>
      <c r="CW4" s="7">
        <v>1000000000</v>
      </c>
      <c r="CX4" s="7">
        <v>1000000000</v>
      </c>
      <c r="CY4" s="7">
        <v>1000000000</v>
      </c>
      <c r="CZ4" s="7">
        <v>1000000000</v>
      </c>
      <c r="DA4" s="7">
        <v>1000000000</v>
      </c>
      <c r="DB4" s="7">
        <v>1000000000</v>
      </c>
      <c r="DC4" s="7">
        <v>1000000000</v>
      </c>
      <c r="DD4" s="7">
        <v>1000000000</v>
      </c>
      <c r="DE4" s="7">
        <v>1000000000</v>
      </c>
      <c r="DF4" s="7">
        <v>1000000000</v>
      </c>
      <c r="DG4" s="7">
        <v>1000000000</v>
      </c>
      <c r="DH4" s="7">
        <v>1000000000</v>
      </c>
      <c r="DI4" s="7">
        <v>1000000000</v>
      </c>
      <c r="DJ4" s="7">
        <v>1000000000</v>
      </c>
      <c r="DK4" s="7">
        <v>1000000000</v>
      </c>
      <c r="DL4" s="7">
        <v>1000000000</v>
      </c>
      <c r="DM4" s="7">
        <v>1000000000</v>
      </c>
      <c r="DN4" s="7">
        <v>1000000000</v>
      </c>
      <c r="DO4" s="7">
        <v>1000000000</v>
      </c>
      <c r="DP4" s="7">
        <v>1000000000</v>
      </c>
      <c r="DQ4" s="7">
        <v>1000000000</v>
      </c>
      <c r="DR4" s="7">
        <v>1000000000</v>
      </c>
      <c r="DS4" s="7">
        <v>1000000000</v>
      </c>
      <c r="DT4" s="7">
        <v>1000000000</v>
      </c>
      <c r="DU4" s="7">
        <v>1000000000</v>
      </c>
      <c r="DV4" s="7">
        <v>1000000000</v>
      </c>
      <c r="DW4" s="7">
        <v>1000000000</v>
      </c>
      <c r="DX4" s="9">
        <v>1000000000</v>
      </c>
      <c r="DY4" s="10">
        <v>1000000000</v>
      </c>
      <c r="DZ4" s="10">
        <v>1000000000</v>
      </c>
      <c r="EA4" s="7">
        <v>1000000000</v>
      </c>
    </row>
    <row r="5" spans="1:131" x14ac:dyDescent="0.25">
      <c r="A5">
        <v>1000000000</v>
      </c>
      <c r="B5">
        <v>1000000000</v>
      </c>
      <c r="C5">
        <v>1000000000</v>
      </c>
      <c r="D5">
        <v>1000000000</v>
      </c>
      <c r="E5">
        <v>1000000000</v>
      </c>
      <c r="F5">
        <v>1000000000</v>
      </c>
      <c r="G5">
        <v>1000000000</v>
      </c>
      <c r="H5">
        <v>1000000000</v>
      </c>
      <c r="I5">
        <v>1000000000</v>
      </c>
      <c r="J5">
        <v>1000000000</v>
      </c>
      <c r="K5">
        <v>1000000000</v>
      </c>
      <c r="L5">
        <v>1000000000</v>
      </c>
      <c r="M5">
        <v>1000000000</v>
      </c>
      <c r="N5">
        <v>1000000000</v>
      </c>
      <c r="O5">
        <v>1000000000</v>
      </c>
      <c r="P5">
        <v>1000000000</v>
      </c>
      <c r="Q5">
        <v>1000000000</v>
      </c>
      <c r="R5">
        <v>1000000000</v>
      </c>
      <c r="S5">
        <v>1000000000</v>
      </c>
      <c r="T5">
        <v>1000000000</v>
      </c>
      <c r="U5">
        <v>1000000000</v>
      </c>
      <c r="V5">
        <v>1000000000</v>
      </c>
      <c r="W5">
        <v>1000000000</v>
      </c>
      <c r="X5">
        <v>1000000000</v>
      </c>
      <c r="Y5">
        <v>1000000000</v>
      </c>
      <c r="Z5">
        <v>1000000000</v>
      </c>
      <c r="AA5">
        <v>1000000000</v>
      </c>
      <c r="AB5">
        <v>1000000000</v>
      </c>
      <c r="AC5">
        <v>1000000000</v>
      </c>
      <c r="AD5">
        <v>1000000000</v>
      </c>
      <c r="AE5">
        <v>1000000000</v>
      </c>
      <c r="AF5">
        <v>1000000000</v>
      </c>
      <c r="AG5">
        <v>1000000000</v>
      </c>
      <c r="AH5">
        <v>1000000000</v>
      </c>
      <c r="AI5">
        <v>1000000000</v>
      </c>
      <c r="AJ5">
        <v>1000000000</v>
      </c>
      <c r="AK5">
        <v>1000000000</v>
      </c>
      <c r="AL5">
        <v>1000000000</v>
      </c>
      <c r="AM5">
        <v>1000000000</v>
      </c>
      <c r="AN5">
        <v>1000000000</v>
      </c>
      <c r="AO5">
        <v>1000000000</v>
      </c>
      <c r="AP5">
        <v>1000000000</v>
      </c>
      <c r="AQ5">
        <v>1000000000</v>
      </c>
      <c r="AR5">
        <v>1000000000</v>
      </c>
      <c r="AS5">
        <v>1000000000</v>
      </c>
      <c r="AT5">
        <v>1000000000</v>
      </c>
      <c r="AU5">
        <v>1000000000</v>
      </c>
      <c r="AV5">
        <v>1000000000</v>
      </c>
      <c r="AW5">
        <v>1000000000</v>
      </c>
      <c r="AX5">
        <v>1000000000</v>
      </c>
      <c r="AY5">
        <v>1000000000</v>
      </c>
      <c r="AZ5">
        <v>1000000000</v>
      </c>
      <c r="BA5">
        <v>1000000000</v>
      </c>
      <c r="BB5">
        <v>1000000000</v>
      </c>
      <c r="BC5">
        <v>1000000000</v>
      </c>
      <c r="BD5">
        <v>1000000000</v>
      </c>
      <c r="BE5">
        <v>1000000000</v>
      </c>
      <c r="BF5">
        <v>1000000000</v>
      </c>
      <c r="BG5">
        <v>1000000000</v>
      </c>
      <c r="BH5">
        <v>1000000000</v>
      </c>
      <c r="BI5">
        <v>1000000000</v>
      </c>
      <c r="BJ5">
        <v>1000000000</v>
      </c>
      <c r="BK5" s="1">
        <v>1000000000</v>
      </c>
      <c r="BL5">
        <v>1000000000</v>
      </c>
      <c r="BM5">
        <v>1000000000</v>
      </c>
      <c r="BN5">
        <v>1000000000</v>
      </c>
      <c r="BO5">
        <v>1000000000</v>
      </c>
      <c r="BP5">
        <v>1000000000</v>
      </c>
      <c r="BQ5" s="7">
        <v>1000000000</v>
      </c>
      <c r="BR5">
        <v>1000000000</v>
      </c>
      <c r="BS5">
        <v>1000000000</v>
      </c>
      <c r="BT5">
        <v>1000000000</v>
      </c>
      <c r="BU5">
        <v>1000000000</v>
      </c>
      <c r="BV5">
        <v>1000000000</v>
      </c>
      <c r="BW5">
        <v>1000000000</v>
      </c>
      <c r="BX5">
        <v>1000000000</v>
      </c>
      <c r="BY5">
        <v>1000000000</v>
      </c>
      <c r="BZ5">
        <v>1000000000</v>
      </c>
      <c r="CA5">
        <v>1000000000</v>
      </c>
      <c r="CB5">
        <v>1000000000</v>
      </c>
      <c r="CC5" s="1">
        <v>1000000000</v>
      </c>
      <c r="CD5">
        <v>1000000000</v>
      </c>
      <c r="CE5" s="8">
        <v>1000000000</v>
      </c>
      <c r="CF5" s="7">
        <v>1000000000</v>
      </c>
      <c r="CG5" s="7">
        <v>1000000000</v>
      </c>
      <c r="CH5" s="7">
        <v>1000000000</v>
      </c>
      <c r="CI5" s="7">
        <v>1000000000</v>
      </c>
      <c r="CJ5" s="7">
        <v>1000000000</v>
      </c>
      <c r="CK5" s="7">
        <v>1000000000</v>
      </c>
      <c r="CL5" s="9">
        <v>1000000000</v>
      </c>
      <c r="CM5" s="9">
        <v>1000000000</v>
      </c>
      <c r="CN5" s="7">
        <v>1000000000</v>
      </c>
      <c r="CO5" s="7">
        <v>1000000000</v>
      </c>
      <c r="CP5" s="1">
        <v>1000000000</v>
      </c>
      <c r="CQ5" s="7">
        <v>1000000000</v>
      </c>
      <c r="CR5" s="7">
        <v>1000000000</v>
      </c>
      <c r="CS5" s="7">
        <v>1000000000</v>
      </c>
      <c r="CT5" s="7">
        <v>1000000000</v>
      </c>
      <c r="CU5" s="7">
        <v>1000000000</v>
      </c>
      <c r="CV5" s="7">
        <v>1000000000</v>
      </c>
      <c r="CW5" s="7">
        <v>1000000000</v>
      </c>
      <c r="CX5" s="7">
        <v>1000000000</v>
      </c>
      <c r="CY5" s="7">
        <v>1000000000</v>
      </c>
      <c r="CZ5" s="7">
        <v>1000000000</v>
      </c>
      <c r="DA5" s="7">
        <v>1000000000</v>
      </c>
      <c r="DB5" s="7">
        <v>1000000000</v>
      </c>
      <c r="DC5" s="7">
        <v>1000000000</v>
      </c>
      <c r="DD5" s="7">
        <v>1000000000</v>
      </c>
      <c r="DE5" s="7">
        <v>1000000000</v>
      </c>
      <c r="DF5" s="7">
        <v>1000000000</v>
      </c>
      <c r="DG5" s="7">
        <v>1000000000</v>
      </c>
      <c r="DH5" s="7">
        <v>1000000000</v>
      </c>
      <c r="DI5" s="7">
        <v>1000000000</v>
      </c>
      <c r="DJ5" s="7">
        <v>1000000000</v>
      </c>
      <c r="DK5" s="7">
        <v>1000000000</v>
      </c>
      <c r="DL5" s="7">
        <v>1000000000</v>
      </c>
      <c r="DM5" s="7">
        <v>1000000000</v>
      </c>
      <c r="DN5" s="7">
        <v>1000000000</v>
      </c>
      <c r="DO5" s="7">
        <v>1000000000</v>
      </c>
      <c r="DP5" s="7">
        <v>1000000000</v>
      </c>
      <c r="DQ5" s="7">
        <v>1000000000</v>
      </c>
      <c r="DR5" s="7">
        <v>1000000000</v>
      </c>
      <c r="DS5" s="7">
        <v>1000000000</v>
      </c>
      <c r="DT5" s="7">
        <v>1000000000</v>
      </c>
      <c r="DU5" s="7">
        <v>1000000000</v>
      </c>
      <c r="DV5" s="7">
        <v>1000000000</v>
      </c>
      <c r="DW5" s="7">
        <v>1000000000</v>
      </c>
      <c r="DX5" s="9">
        <v>1000000000</v>
      </c>
      <c r="DY5" s="10">
        <v>1000000000</v>
      </c>
      <c r="DZ5" s="10">
        <v>1000000000</v>
      </c>
      <c r="EA5" s="7">
        <v>1000000000</v>
      </c>
    </row>
    <row r="6" spans="1:131" x14ac:dyDescent="0.25">
      <c r="A6">
        <v>1000000000</v>
      </c>
      <c r="B6">
        <v>1000000000</v>
      </c>
      <c r="C6">
        <v>1000000000</v>
      </c>
      <c r="D6">
        <v>1000000000</v>
      </c>
      <c r="E6">
        <v>1000000000</v>
      </c>
      <c r="F6">
        <v>1000000000</v>
      </c>
      <c r="G6">
        <v>1000000000</v>
      </c>
      <c r="H6">
        <v>1000000000</v>
      </c>
      <c r="I6">
        <v>1000000000</v>
      </c>
      <c r="J6">
        <v>1000000000</v>
      </c>
      <c r="K6">
        <v>1000000000</v>
      </c>
      <c r="L6">
        <v>1000000000</v>
      </c>
      <c r="M6">
        <v>1000000000</v>
      </c>
      <c r="N6">
        <v>1000000000</v>
      </c>
      <c r="O6">
        <v>1000000000</v>
      </c>
      <c r="P6">
        <v>1000000000</v>
      </c>
      <c r="Q6">
        <v>1000000000</v>
      </c>
      <c r="R6">
        <v>1000000000</v>
      </c>
      <c r="S6">
        <v>1000000000</v>
      </c>
      <c r="T6">
        <v>1000000000</v>
      </c>
      <c r="U6">
        <v>1000000000</v>
      </c>
      <c r="V6">
        <v>1000000000</v>
      </c>
      <c r="W6">
        <v>1000000000</v>
      </c>
      <c r="X6">
        <v>1000000000</v>
      </c>
      <c r="Y6">
        <v>1000000000</v>
      </c>
      <c r="Z6">
        <v>1000000000</v>
      </c>
      <c r="AA6">
        <v>1000000000</v>
      </c>
      <c r="AB6">
        <v>1000000000</v>
      </c>
      <c r="AC6">
        <v>1000000000</v>
      </c>
      <c r="AD6">
        <v>1000000000</v>
      </c>
      <c r="AE6">
        <v>1000000000</v>
      </c>
      <c r="AF6">
        <v>1000000000</v>
      </c>
      <c r="AG6">
        <v>1000000000</v>
      </c>
      <c r="AH6">
        <v>1000000000</v>
      </c>
      <c r="AI6">
        <v>1000000000</v>
      </c>
      <c r="AJ6">
        <v>1000000000</v>
      </c>
      <c r="AK6">
        <v>1000000000</v>
      </c>
      <c r="AL6">
        <v>1000000000</v>
      </c>
      <c r="AM6">
        <v>1000000000</v>
      </c>
      <c r="AN6">
        <v>1000000000</v>
      </c>
      <c r="AO6">
        <v>1000000000</v>
      </c>
      <c r="AP6">
        <v>1000000000</v>
      </c>
      <c r="AQ6">
        <v>1000000000</v>
      </c>
      <c r="AR6">
        <v>1000000000</v>
      </c>
      <c r="AS6">
        <v>1000000000</v>
      </c>
      <c r="AT6">
        <v>1000000000</v>
      </c>
      <c r="AU6">
        <v>1000000000</v>
      </c>
      <c r="AV6">
        <v>1000000000</v>
      </c>
      <c r="AW6">
        <v>1000000000</v>
      </c>
      <c r="AX6">
        <v>1000000000</v>
      </c>
      <c r="AY6">
        <v>1000000000</v>
      </c>
      <c r="AZ6">
        <v>1000000000</v>
      </c>
      <c r="BA6">
        <v>1000000000</v>
      </c>
      <c r="BB6">
        <v>1000000000</v>
      </c>
      <c r="BC6">
        <v>1000000000</v>
      </c>
      <c r="BD6">
        <v>1000000000</v>
      </c>
      <c r="BE6">
        <v>1000000000</v>
      </c>
      <c r="BF6">
        <v>1000000000</v>
      </c>
      <c r="BG6">
        <v>1000000000</v>
      </c>
      <c r="BH6">
        <v>1000000000</v>
      </c>
      <c r="BI6">
        <v>1000000000</v>
      </c>
      <c r="BJ6">
        <v>1000000000</v>
      </c>
      <c r="BK6" s="1">
        <v>1000000000</v>
      </c>
      <c r="BL6">
        <v>1000000000</v>
      </c>
      <c r="BM6">
        <v>1000000000</v>
      </c>
      <c r="BN6">
        <v>1000000000</v>
      </c>
      <c r="BO6">
        <v>1000000000</v>
      </c>
      <c r="BP6">
        <v>1000000000</v>
      </c>
      <c r="BQ6" s="7">
        <v>1000000000</v>
      </c>
      <c r="BR6">
        <v>1000000000</v>
      </c>
      <c r="BS6">
        <v>1000000000</v>
      </c>
      <c r="BT6">
        <v>1000000000</v>
      </c>
      <c r="BU6">
        <v>1000000000</v>
      </c>
      <c r="BV6">
        <v>1000000000</v>
      </c>
      <c r="BW6">
        <v>1000000000</v>
      </c>
      <c r="BX6">
        <v>1000000000</v>
      </c>
      <c r="BY6">
        <v>1000000000</v>
      </c>
      <c r="BZ6">
        <v>1000000000</v>
      </c>
      <c r="CA6">
        <v>1000000000</v>
      </c>
      <c r="CB6">
        <v>1000000000</v>
      </c>
      <c r="CC6" s="1">
        <v>1000000000</v>
      </c>
      <c r="CD6">
        <v>1000000000</v>
      </c>
      <c r="CE6" s="8">
        <v>1000000000</v>
      </c>
      <c r="CF6" s="7">
        <v>1000000000</v>
      </c>
      <c r="CG6" s="7">
        <v>1000000000</v>
      </c>
      <c r="CH6" s="7">
        <v>1000000000</v>
      </c>
      <c r="CI6" s="7">
        <v>1000000000</v>
      </c>
      <c r="CJ6" s="7">
        <v>1000000000</v>
      </c>
      <c r="CK6" s="7">
        <v>1000000000</v>
      </c>
      <c r="CL6" s="9">
        <v>1000000000</v>
      </c>
      <c r="CM6" s="9">
        <v>1000000000</v>
      </c>
      <c r="CN6" s="7">
        <v>1000000000</v>
      </c>
      <c r="CO6" s="7">
        <v>1000000000</v>
      </c>
      <c r="CP6" s="1">
        <v>1000000000</v>
      </c>
      <c r="CQ6" s="7">
        <v>1000000000</v>
      </c>
      <c r="CR6" s="7">
        <v>1000000000</v>
      </c>
      <c r="CS6" s="7">
        <v>1000000000</v>
      </c>
      <c r="CT6" s="7">
        <v>1000000000</v>
      </c>
      <c r="CU6" s="7">
        <v>1000000000</v>
      </c>
      <c r="CV6" s="7">
        <v>1000000000</v>
      </c>
      <c r="CW6" s="7">
        <v>1000000000</v>
      </c>
      <c r="CX6" s="7">
        <v>1000000000</v>
      </c>
      <c r="CY6" s="7">
        <v>1000000000</v>
      </c>
      <c r="CZ6" s="7">
        <v>1000000000</v>
      </c>
      <c r="DA6" s="7">
        <v>1000000000</v>
      </c>
      <c r="DB6" s="7">
        <v>1000000000</v>
      </c>
      <c r="DC6" s="7">
        <v>1000000000</v>
      </c>
      <c r="DD6" s="7">
        <v>1000000000</v>
      </c>
      <c r="DE6" s="7">
        <v>1000000000</v>
      </c>
      <c r="DF6" s="7">
        <v>1000000000</v>
      </c>
      <c r="DG6" s="7">
        <v>1000000000</v>
      </c>
      <c r="DH6" s="7">
        <v>1000000000</v>
      </c>
      <c r="DI6" s="7">
        <v>1000000000</v>
      </c>
      <c r="DJ6" s="7">
        <v>1000000000</v>
      </c>
      <c r="DK6" s="7">
        <v>1000000000</v>
      </c>
      <c r="DL6" s="7">
        <v>1000000000</v>
      </c>
      <c r="DM6" s="7">
        <v>1000000000</v>
      </c>
      <c r="DN6" s="7">
        <v>1000000000</v>
      </c>
      <c r="DO6" s="7">
        <v>1000000000</v>
      </c>
      <c r="DP6" s="7">
        <v>1000000000</v>
      </c>
      <c r="DQ6" s="7">
        <v>1000000000</v>
      </c>
      <c r="DR6" s="7">
        <v>1000000000</v>
      </c>
      <c r="DS6" s="7">
        <v>1000000000</v>
      </c>
      <c r="DT6" s="7">
        <v>1000000000</v>
      </c>
      <c r="DU6" s="7">
        <v>1000000000</v>
      </c>
      <c r="DV6" s="7">
        <v>1000000000</v>
      </c>
      <c r="DW6" s="7">
        <v>1000000000</v>
      </c>
      <c r="DX6" s="9">
        <v>1000000000</v>
      </c>
      <c r="DY6" s="10">
        <v>1000000000</v>
      </c>
      <c r="DZ6" s="10">
        <v>1000000000</v>
      </c>
      <c r="EA6" s="7">
        <v>1000000000</v>
      </c>
    </row>
    <row r="7" spans="1:131" x14ac:dyDescent="0.25">
      <c r="A7">
        <v>1000000000</v>
      </c>
      <c r="B7">
        <v>1000000000</v>
      </c>
      <c r="C7">
        <v>1000000000</v>
      </c>
      <c r="D7">
        <v>1000000000</v>
      </c>
      <c r="E7">
        <v>1000000000</v>
      </c>
      <c r="F7">
        <v>1000000000</v>
      </c>
      <c r="G7">
        <v>1000000000</v>
      </c>
      <c r="H7">
        <v>1000000000</v>
      </c>
      <c r="I7">
        <v>1000000000</v>
      </c>
      <c r="J7">
        <v>1000000000</v>
      </c>
      <c r="K7">
        <v>1000000000</v>
      </c>
      <c r="L7">
        <v>1000000000</v>
      </c>
      <c r="M7">
        <v>1000000000</v>
      </c>
      <c r="N7">
        <v>1000000000</v>
      </c>
      <c r="O7">
        <v>1000000000</v>
      </c>
      <c r="P7">
        <v>1000000000</v>
      </c>
      <c r="Q7">
        <v>1000000000</v>
      </c>
      <c r="R7">
        <v>1000000000</v>
      </c>
      <c r="S7">
        <v>1000000000</v>
      </c>
      <c r="T7">
        <v>1000000000</v>
      </c>
      <c r="U7">
        <v>1000000000</v>
      </c>
      <c r="V7">
        <v>1000000000</v>
      </c>
      <c r="W7">
        <v>1000000000</v>
      </c>
      <c r="X7">
        <v>1000000000</v>
      </c>
      <c r="Y7">
        <v>1000000000</v>
      </c>
      <c r="Z7">
        <v>1000000000</v>
      </c>
      <c r="AA7">
        <v>1000000000</v>
      </c>
      <c r="AB7">
        <v>1000000000</v>
      </c>
      <c r="AC7">
        <v>1000000000</v>
      </c>
      <c r="AD7">
        <v>1000000000</v>
      </c>
      <c r="AE7">
        <v>1000000000</v>
      </c>
      <c r="AF7">
        <v>1000000000</v>
      </c>
      <c r="AG7">
        <v>1000000000</v>
      </c>
      <c r="AH7">
        <v>1000000000</v>
      </c>
      <c r="AI7">
        <v>1000000000</v>
      </c>
      <c r="AJ7">
        <v>1000000000</v>
      </c>
      <c r="AK7">
        <v>1000000000</v>
      </c>
      <c r="AL7">
        <v>1000000000</v>
      </c>
      <c r="AM7">
        <v>1000000000</v>
      </c>
      <c r="AN7">
        <v>1000000000</v>
      </c>
      <c r="AO7">
        <v>1000000000</v>
      </c>
      <c r="AP7">
        <v>1000000000</v>
      </c>
      <c r="AQ7">
        <v>1000000000</v>
      </c>
      <c r="AR7">
        <v>1000000000</v>
      </c>
      <c r="AS7">
        <v>1000000000</v>
      </c>
      <c r="AT7">
        <v>1000000000</v>
      </c>
      <c r="AU7">
        <v>1000000000</v>
      </c>
      <c r="AV7">
        <v>1000000000</v>
      </c>
      <c r="AW7">
        <v>1000000000</v>
      </c>
      <c r="AX7">
        <v>1000000000</v>
      </c>
      <c r="AY7">
        <v>1000000000</v>
      </c>
      <c r="AZ7">
        <v>1000000000</v>
      </c>
      <c r="BA7">
        <v>1000000000</v>
      </c>
      <c r="BB7">
        <v>1000000000</v>
      </c>
      <c r="BC7">
        <v>1000000000</v>
      </c>
      <c r="BD7">
        <v>1000000000</v>
      </c>
      <c r="BE7">
        <v>1000000000</v>
      </c>
      <c r="BF7">
        <v>1000000000</v>
      </c>
      <c r="BG7">
        <v>1000000000</v>
      </c>
      <c r="BH7">
        <v>1000000000</v>
      </c>
      <c r="BI7">
        <v>1000000000</v>
      </c>
      <c r="BJ7">
        <v>1000000000</v>
      </c>
      <c r="BK7" s="1">
        <v>1000000000</v>
      </c>
      <c r="BL7">
        <v>1000000000</v>
      </c>
      <c r="BM7">
        <v>1000000000</v>
      </c>
      <c r="BN7">
        <v>1000000000</v>
      </c>
      <c r="BO7">
        <v>1000000000</v>
      </c>
      <c r="BP7">
        <v>1000000000</v>
      </c>
      <c r="BQ7" s="7">
        <v>1000000000</v>
      </c>
      <c r="BR7">
        <v>1000000000</v>
      </c>
      <c r="BS7">
        <v>1000000000</v>
      </c>
      <c r="BT7">
        <v>1000000000</v>
      </c>
      <c r="BU7">
        <v>1000000000</v>
      </c>
      <c r="BV7">
        <v>1000000000</v>
      </c>
      <c r="BW7">
        <v>1000000000</v>
      </c>
      <c r="BX7">
        <v>1000000000</v>
      </c>
      <c r="BY7">
        <v>1000000000</v>
      </c>
      <c r="BZ7">
        <v>1000000000</v>
      </c>
      <c r="CA7">
        <v>1000000000</v>
      </c>
      <c r="CB7">
        <v>1000000000</v>
      </c>
      <c r="CC7" s="1">
        <v>1000000000</v>
      </c>
      <c r="CD7">
        <v>1000000000</v>
      </c>
      <c r="CE7" s="8">
        <v>1000000000</v>
      </c>
      <c r="CF7" s="7">
        <v>1000000000</v>
      </c>
      <c r="CG7" s="7">
        <v>1000000000</v>
      </c>
      <c r="CH7" s="7">
        <v>1000000000</v>
      </c>
      <c r="CI7" s="7">
        <v>1000000000</v>
      </c>
      <c r="CJ7" s="7">
        <v>1000000000</v>
      </c>
      <c r="CK7" s="7">
        <v>1000000000</v>
      </c>
      <c r="CL7" s="9">
        <v>1000000000</v>
      </c>
      <c r="CM7" s="9">
        <v>1000000000</v>
      </c>
      <c r="CN7" s="7">
        <v>1000000000</v>
      </c>
      <c r="CO7" s="7">
        <v>1000000000</v>
      </c>
      <c r="CP7" s="1">
        <v>1000000000</v>
      </c>
      <c r="CQ7" s="7">
        <v>1000000000</v>
      </c>
      <c r="CR7" s="7">
        <v>1000000000</v>
      </c>
      <c r="CS7" s="7">
        <v>1000000000</v>
      </c>
      <c r="CT7" s="7">
        <v>1000000000</v>
      </c>
      <c r="CU7" s="7">
        <v>1000000000</v>
      </c>
      <c r="CV7" s="7">
        <v>1000000000</v>
      </c>
      <c r="CW7" s="7">
        <v>1000000000</v>
      </c>
      <c r="CX7" s="7">
        <v>1000000000</v>
      </c>
      <c r="CY7" s="7">
        <v>1000000000</v>
      </c>
      <c r="CZ7" s="7">
        <v>1000000000</v>
      </c>
      <c r="DA7" s="7">
        <v>1000000000</v>
      </c>
      <c r="DB7" s="7">
        <v>1000000000</v>
      </c>
      <c r="DC7" s="7">
        <v>1000000000</v>
      </c>
      <c r="DD7" s="7">
        <v>1000000000</v>
      </c>
      <c r="DE7" s="7">
        <v>1000000000</v>
      </c>
      <c r="DF7" s="7">
        <v>1000000000</v>
      </c>
      <c r="DG7" s="7">
        <v>1000000000</v>
      </c>
      <c r="DH7" s="7">
        <v>1000000000</v>
      </c>
      <c r="DI7" s="7">
        <v>1000000000</v>
      </c>
      <c r="DJ7" s="7">
        <v>1000000000</v>
      </c>
      <c r="DK7" s="7">
        <v>1000000000</v>
      </c>
      <c r="DL7" s="7">
        <v>1000000000</v>
      </c>
      <c r="DM7" s="7">
        <v>1000000000</v>
      </c>
      <c r="DN7" s="7">
        <v>1000000000</v>
      </c>
      <c r="DO7" s="7">
        <v>1000000000</v>
      </c>
      <c r="DP7" s="7">
        <v>1000000000</v>
      </c>
      <c r="DQ7" s="7">
        <v>1000000000</v>
      </c>
      <c r="DR7" s="7">
        <v>1000000000</v>
      </c>
      <c r="DS7" s="7">
        <v>1000000000</v>
      </c>
      <c r="DT7" s="7">
        <v>1000000000</v>
      </c>
      <c r="DU7" s="7">
        <v>1000000000</v>
      </c>
      <c r="DV7" s="7">
        <v>1000000000</v>
      </c>
      <c r="DW7" s="7">
        <v>1000000000</v>
      </c>
      <c r="DX7" s="9">
        <v>1000000000</v>
      </c>
      <c r="DY7" s="10">
        <v>1000000000</v>
      </c>
      <c r="DZ7" s="10">
        <v>1000000000</v>
      </c>
      <c r="EA7" s="7">
        <v>1000000000</v>
      </c>
    </row>
    <row r="8" spans="1:131" x14ac:dyDescent="0.25">
      <c r="A8">
        <v>1000000000</v>
      </c>
      <c r="B8">
        <v>1000000000</v>
      </c>
      <c r="C8">
        <v>1000000000</v>
      </c>
      <c r="D8">
        <v>1000000000</v>
      </c>
      <c r="E8">
        <v>1000000000</v>
      </c>
      <c r="F8">
        <v>1000000000</v>
      </c>
      <c r="G8">
        <v>1000000000</v>
      </c>
      <c r="H8">
        <v>1000000000</v>
      </c>
      <c r="I8">
        <v>1000000000</v>
      </c>
      <c r="J8">
        <v>1000000000</v>
      </c>
      <c r="K8">
        <v>1000000000</v>
      </c>
      <c r="L8">
        <v>1000000000</v>
      </c>
      <c r="M8">
        <v>1000000000</v>
      </c>
      <c r="N8">
        <v>1000000000</v>
      </c>
      <c r="O8">
        <v>1000000000</v>
      </c>
      <c r="P8">
        <v>1000000000</v>
      </c>
      <c r="Q8">
        <v>1000000000</v>
      </c>
      <c r="R8">
        <v>1000000000</v>
      </c>
      <c r="S8">
        <v>1000000000</v>
      </c>
      <c r="T8">
        <v>1000000000</v>
      </c>
      <c r="U8">
        <v>1000000000</v>
      </c>
      <c r="V8">
        <v>1000000000</v>
      </c>
      <c r="W8">
        <v>1000000000</v>
      </c>
      <c r="X8">
        <v>1000000000</v>
      </c>
      <c r="Y8">
        <v>1000000000</v>
      </c>
      <c r="Z8">
        <v>1000000000</v>
      </c>
      <c r="AA8">
        <v>1000000000</v>
      </c>
      <c r="AB8">
        <v>1000000000</v>
      </c>
      <c r="AC8">
        <v>1000000000</v>
      </c>
      <c r="AD8">
        <v>1000000000</v>
      </c>
      <c r="AE8">
        <v>1000000000</v>
      </c>
      <c r="AF8">
        <v>1000000000</v>
      </c>
      <c r="AG8">
        <v>1000000000</v>
      </c>
      <c r="AH8">
        <v>1000000000</v>
      </c>
      <c r="AI8">
        <v>1000000000</v>
      </c>
      <c r="AJ8">
        <v>1000000000</v>
      </c>
      <c r="AK8">
        <v>1000000000</v>
      </c>
      <c r="AL8">
        <v>1000000000</v>
      </c>
      <c r="AM8">
        <v>1000000000</v>
      </c>
      <c r="AN8">
        <v>1000000000</v>
      </c>
      <c r="AO8">
        <v>1000000000</v>
      </c>
      <c r="AP8">
        <v>1000000000</v>
      </c>
      <c r="AQ8">
        <v>1000000000</v>
      </c>
      <c r="AR8">
        <v>1000000000</v>
      </c>
      <c r="AS8">
        <v>1000000000</v>
      </c>
      <c r="AT8">
        <v>1000000000</v>
      </c>
      <c r="AU8">
        <v>1000000000</v>
      </c>
      <c r="AV8">
        <v>1000000000</v>
      </c>
      <c r="AW8">
        <v>1000000000</v>
      </c>
      <c r="AX8">
        <v>1000000000</v>
      </c>
      <c r="AY8">
        <v>1000000000</v>
      </c>
      <c r="AZ8">
        <v>1000000000</v>
      </c>
      <c r="BA8">
        <v>1000000000</v>
      </c>
      <c r="BB8">
        <v>1000000000</v>
      </c>
      <c r="BC8">
        <v>1000000000</v>
      </c>
      <c r="BD8">
        <v>1000000000</v>
      </c>
      <c r="BE8">
        <v>1000000000</v>
      </c>
      <c r="BF8">
        <v>1000000000</v>
      </c>
      <c r="BG8">
        <v>1000000000</v>
      </c>
      <c r="BH8">
        <v>1000000000</v>
      </c>
      <c r="BI8">
        <v>1000000000</v>
      </c>
      <c r="BJ8">
        <v>1000000000</v>
      </c>
      <c r="BK8" s="1">
        <v>1000000000</v>
      </c>
      <c r="BL8">
        <v>1000000000</v>
      </c>
      <c r="BM8">
        <v>1000000000</v>
      </c>
      <c r="BN8">
        <v>1000000000</v>
      </c>
      <c r="BO8">
        <v>1000000000</v>
      </c>
      <c r="BP8">
        <v>1000000000</v>
      </c>
      <c r="BQ8" s="7">
        <v>1000000000</v>
      </c>
      <c r="BR8">
        <v>1000000000</v>
      </c>
      <c r="BS8">
        <v>1000000000</v>
      </c>
      <c r="BT8">
        <v>1000000000</v>
      </c>
      <c r="BU8">
        <v>1000000000</v>
      </c>
      <c r="BV8">
        <v>1000000000</v>
      </c>
      <c r="BW8">
        <v>1000000000</v>
      </c>
      <c r="BX8">
        <v>1000000000</v>
      </c>
      <c r="BY8">
        <v>1000000000</v>
      </c>
      <c r="BZ8">
        <v>1000000000</v>
      </c>
      <c r="CA8">
        <v>1000000000</v>
      </c>
      <c r="CB8">
        <v>1000000000</v>
      </c>
      <c r="CC8" s="1">
        <v>1000000000</v>
      </c>
      <c r="CD8">
        <v>1000000000</v>
      </c>
      <c r="CE8" s="8">
        <v>1000000000</v>
      </c>
      <c r="CF8" s="7">
        <v>1000000000</v>
      </c>
      <c r="CG8" s="7">
        <v>1000000000</v>
      </c>
      <c r="CH8" s="7">
        <v>1000000000</v>
      </c>
      <c r="CI8" s="7">
        <v>1000000000</v>
      </c>
      <c r="CJ8" s="7">
        <v>1000000000</v>
      </c>
      <c r="CK8" s="7">
        <v>1000000000</v>
      </c>
      <c r="CL8" s="9">
        <v>1000000000</v>
      </c>
      <c r="CM8" s="9">
        <v>1000000000</v>
      </c>
      <c r="CN8" s="7">
        <v>1000000000</v>
      </c>
      <c r="CO8" s="7">
        <v>1000000000</v>
      </c>
      <c r="CP8" s="1">
        <v>1000000000</v>
      </c>
      <c r="CQ8" s="7">
        <v>1000000000</v>
      </c>
      <c r="CR8" s="7">
        <v>1000000000</v>
      </c>
      <c r="CS8" s="7">
        <v>1000000000</v>
      </c>
      <c r="CT8" s="7">
        <v>1000000000</v>
      </c>
      <c r="CU8" s="7">
        <v>1000000000</v>
      </c>
      <c r="CV8" s="7">
        <v>1000000000</v>
      </c>
      <c r="CW8" s="7">
        <v>1000000000</v>
      </c>
      <c r="CX8" s="7">
        <v>1000000000</v>
      </c>
      <c r="CY8" s="7">
        <v>1000000000</v>
      </c>
      <c r="CZ8" s="7">
        <v>1000000000</v>
      </c>
      <c r="DA8" s="7">
        <v>1000000000</v>
      </c>
      <c r="DB8" s="7">
        <v>1000000000</v>
      </c>
      <c r="DC8" s="7">
        <v>1000000000</v>
      </c>
      <c r="DD8" s="7">
        <v>1000000000</v>
      </c>
      <c r="DE8" s="7">
        <v>1000000000</v>
      </c>
      <c r="DF8" s="7">
        <v>1000000000</v>
      </c>
      <c r="DG8" s="7">
        <v>1000000000</v>
      </c>
      <c r="DH8" s="7">
        <v>1000000000</v>
      </c>
      <c r="DI8" s="7">
        <v>1000000000</v>
      </c>
      <c r="DJ8" s="7">
        <v>1000000000</v>
      </c>
      <c r="DK8" s="7">
        <v>1000000000</v>
      </c>
      <c r="DL8" s="7">
        <v>1000000000</v>
      </c>
      <c r="DM8" s="7">
        <v>1000000000</v>
      </c>
      <c r="DN8" s="7">
        <v>1000000000</v>
      </c>
      <c r="DO8" s="7">
        <v>1000000000</v>
      </c>
      <c r="DP8" s="7">
        <v>1000000000</v>
      </c>
      <c r="DQ8" s="7">
        <v>1000000000</v>
      </c>
      <c r="DR8" s="7">
        <v>1000000000</v>
      </c>
      <c r="DS8" s="7">
        <v>1000000000</v>
      </c>
      <c r="DT8" s="7">
        <v>1000000000</v>
      </c>
      <c r="DU8" s="7">
        <v>1000000000</v>
      </c>
      <c r="DV8" s="7">
        <v>1000000000</v>
      </c>
      <c r="DW8" s="7">
        <v>1000000000</v>
      </c>
      <c r="DX8" s="9">
        <v>1000000000</v>
      </c>
      <c r="DY8" s="10">
        <v>1000000000</v>
      </c>
      <c r="DZ8" s="10">
        <v>1000000000</v>
      </c>
      <c r="EA8" s="7">
        <v>1000000000</v>
      </c>
    </row>
    <row r="9" spans="1:131" x14ac:dyDescent="0.25">
      <c r="A9">
        <v>1000000000</v>
      </c>
      <c r="B9">
        <v>1000000000</v>
      </c>
      <c r="C9">
        <v>1000000000</v>
      </c>
      <c r="D9">
        <v>1000000000</v>
      </c>
      <c r="E9">
        <v>1000000000</v>
      </c>
      <c r="F9">
        <v>1000000000</v>
      </c>
      <c r="G9">
        <v>1000000000</v>
      </c>
      <c r="H9">
        <v>1000000000</v>
      </c>
      <c r="I9">
        <v>1000000000</v>
      </c>
      <c r="J9">
        <v>1000000000</v>
      </c>
      <c r="K9">
        <v>1000000000</v>
      </c>
      <c r="L9">
        <v>1000000000</v>
      </c>
      <c r="M9">
        <v>1000000000</v>
      </c>
      <c r="N9">
        <v>1000000000</v>
      </c>
      <c r="O9">
        <v>1000000000</v>
      </c>
      <c r="P9">
        <v>1000000000</v>
      </c>
      <c r="Q9">
        <v>1000000000</v>
      </c>
      <c r="R9">
        <v>1000000000</v>
      </c>
      <c r="S9">
        <v>1000000000</v>
      </c>
      <c r="T9">
        <v>1000000000</v>
      </c>
      <c r="U9">
        <v>1000000000</v>
      </c>
      <c r="V9">
        <v>1000000000</v>
      </c>
      <c r="W9">
        <v>1000000000</v>
      </c>
      <c r="X9">
        <v>1000000000</v>
      </c>
      <c r="Y9">
        <v>1000000000</v>
      </c>
      <c r="Z9">
        <v>1000000000</v>
      </c>
      <c r="AA9">
        <v>1000000000</v>
      </c>
      <c r="AB9">
        <v>1000000000</v>
      </c>
      <c r="AC9">
        <v>1000000000</v>
      </c>
      <c r="AD9">
        <v>1000000000</v>
      </c>
      <c r="AE9">
        <v>1000000000</v>
      </c>
      <c r="AF9">
        <v>1000000000</v>
      </c>
      <c r="AG9">
        <v>1000000000</v>
      </c>
      <c r="AH9">
        <v>1000000000</v>
      </c>
      <c r="AI9">
        <v>1000000000</v>
      </c>
      <c r="AJ9">
        <v>1000000000</v>
      </c>
      <c r="AK9">
        <v>1000000000</v>
      </c>
      <c r="AL9">
        <v>1000000000</v>
      </c>
      <c r="AM9">
        <v>1000000000</v>
      </c>
      <c r="AN9">
        <v>1000000000</v>
      </c>
      <c r="AO9">
        <v>1000000000</v>
      </c>
      <c r="AP9">
        <v>1000000000</v>
      </c>
      <c r="AQ9">
        <v>1000000000</v>
      </c>
      <c r="AR9">
        <v>1000000000</v>
      </c>
      <c r="AS9">
        <v>1000000000</v>
      </c>
      <c r="AT9">
        <v>1000000000</v>
      </c>
      <c r="AU9">
        <v>1000000000</v>
      </c>
      <c r="AV9">
        <v>1000000000</v>
      </c>
      <c r="AW9">
        <v>1000000000</v>
      </c>
      <c r="AX9">
        <v>1000000000</v>
      </c>
      <c r="AY9">
        <v>1000000000</v>
      </c>
      <c r="AZ9">
        <v>1000000000</v>
      </c>
      <c r="BA9">
        <v>1000000000</v>
      </c>
      <c r="BB9">
        <v>1000000000</v>
      </c>
      <c r="BC9">
        <v>1000000000</v>
      </c>
      <c r="BD9">
        <v>1000000000</v>
      </c>
      <c r="BE9">
        <v>1000000000</v>
      </c>
      <c r="BF9">
        <v>1000000000</v>
      </c>
      <c r="BG9">
        <v>1000000000</v>
      </c>
      <c r="BH9">
        <v>1000000000</v>
      </c>
      <c r="BI9">
        <v>1000000000</v>
      </c>
      <c r="BJ9">
        <v>1000000000</v>
      </c>
      <c r="BK9" s="1">
        <v>1000000000</v>
      </c>
      <c r="BL9">
        <v>1000000000</v>
      </c>
      <c r="BM9">
        <v>1000000000</v>
      </c>
      <c r="BN9">
        <v>1000000000</v>
      </c>
      <c r="BO9">
        <v>1000000000</v>
      </c>
      <c r="BP9">
        <v>1000000000</v>
      </c>
      <c r="BQ9" s="7">
        <v>1000000000</v>
      </c>
      <c r="BR9">
        <v>1000000000</v>
      </c>
      <c r="BS9">
        <v>1000000000</v>
      </c>
      <c r="BT9">
        <v>1000000000</v>
      </c>
      <c r="BU9">
        <v>1000000000</v>
      </c>
      <c r="BV9">
        <v>1000000000</v>
      </c>
      <c r="BW9">
        <v>1000000000</v>
      </c>
      <c r="BX9">
        <v>1000000000</v>
      </c>
      <c r="BY9">
        <v>1000000000</v>
      </c>
      <c r="BZ9">
        <v>1000000000</v>
      </c>
      <c r="CA9">
        <v>1000000000</v>
      </c>
      <c r="CB9">
        <v>1000000000</v>
      </c>
      <c r="CC9" s="1">
        <v>1000000000</v>
      </c>
      <c r="CD9">
        <v>1000000000</v>
      </c>
      <c r="CE9" s="8">
        <v>1000000000</v>
      </c>
      <c r="CF9" s="7">
        <v>1000000000</v>
      </c>
      <c r="CG9" s="7">
        <v>1000000000</v>
      </c>
      <c r="CH9" s="7">
        <v>1000000000</v>
      </c>
      <c r="CI9" s="7">
        <v>1000000000</v>
      </c>
      <c r="CJ9" s="7">
        <v>1000000000</v>
      </c>
      <c r="CK9" s="7">
        <v>1000000000</v>
      </c>
      <c r="CL9" s="9">
        <v>1000000000</v>
      </c>
      <c r="CM9" s="9">
        <v>1000000000</v>
      </c>
      <c r="CN9" s="7">
        <v>1000000000</v>
      </c>
      <c r="CO9" s="7">
        <v>1000000000</v>
      </c>
      <c r="CP9" s="1">
        <v>1000000000</v>
      </c>
      <c r="CQ9" s="7">
        <v>1000000000</v>
      </c>
      <c r="CR9" s="7">
        <v>1000000000</v>
      </c>
      <c r="CS9" s="7">
        <v>1000000000</v>
      </c>
      <c r="CT9" s="7">
        <v>1000000000</v>
      </c>
      <c r="CU9" s="7">
        <v>1000000000</v>
      </c>
      <c r="CV9" s="7">
        <v>1000000000</v>
      </c>
      <c r="CW9" s="7">
        <v>1000000000</v>
      </c>
      <c r="CX9" s="7">
        <v>1000000000</v>
      </c>
      <c r="CY9" s="7">
        <v>1000000000</v>
      </c>
      <c r="CZ9" s="7">
        <v>1000000000</v>
      </c>
      <c r="DA9" s="7">
        <v>1000000000</v>
      </c>
      <c r="DB9" s="7">
        <v>1000000000</v>
      </c>
      <c r="DC9" s="7">
        <v>1000000000</v>
      </c>
      <c r="DD9" s="7">
        <v>1000000000</v>
      </c>
      <c r="DE9" s="7">
        <v>1000000000</v>
      </c>
      <c r="DF9" s="7">
        <v>1000000000</v>
      </c>
      <c r="DG9" s="7">
        <v>1000000000</v>
      </c>
      <c r="DH9" s="7">
        <v>1000000000</v>
      </c>
      <c r="DI9" s="7">
        <v>1000000000</v>
      </c>
      <c r="DJ9" s="7">
        <v>1000000000</v>
      </c>
      <c r="DK9" s="7">
        <v>1000000000</v>
      </c>
      <c r="DL9" s="7">
        <v>1000000000</v>
      </c>
      <c r="DM9" s="7">
        <v>1000000000</v>
      </c>
      <c r="DN9" s="7">
        <v>1000000000</v>
      </c>
      <c r="DO9" s="7">
        <v>1000000000</v>
      </c>
      <c r="DP9" s="7">
        <v>1000000000</v>
      </c>
      <c r="DQ9" s="7">
        <v>1000000000</v>
      </c>
      <c r="DR9" s="7">
        <v>1000000000</v>
      </c>
      <c r="DS9" s="7">
        <v>1000000000</v>
      </c>
      <c r="DT9" s="7">
        <v>1000000000</v>
      </c>
      <c r="DU9" s="7">
        <v>1000000000</v>
      </c>
      <c r="DV9" s="7">
        <v>1000000000</v>
      </c>
      <c r="DW9" s="7">
        <v>1000000000</v>
      </c>
      <c r="DX9" s="9">
        <v>1000000000</v>
      </c>
      <c r="DY9" s="10">
        <v>1000000000</v>
      </c>
      <c r="DZ9" s="10">
        <v>1000000000</v>
      </c>
      <c r="EA9" s="7">
        <v>1000000000</v>
      </c>
    </row>
    <row r="10" spans="1:131" x14ac:dyDescent="0.25">
      <c r="A10">
        <v>1000000000</v>
      </c>
      <c r="B10">
        <v>1000000000</v>
      </c>
      <c r="C10">
        <v>1000000000</v>
      </c>
      <c r="D10">
        <v>1000000000</v>
      </c>
      <c r="E10">
        <v>1000000000</v>
      </c>
      <c r="F10">
        <v>1000000000</v>
      </c>
      <c r="G10">
        <v>1000000000</v>
      </c>
      <c r="H10">
        <v>1000000000</v>
      </c>
      <c r="I10">
        <v>1000000000</v>
      </c>
      <c r="J10">
        <v>1000000000</v>
      </c>
      <c r="K10">
        <v>1000000000</v>
      </c>
      <c r="L10">
        <v>1000000000</v>
      </c>
      <c r="M10">
        <v>1000000000</v>
      </c>
      <c r="N10">
        <v>1000000000</v>
      </c>
      <c r="O10">
        <v>1000000000</v>
      </c>
      <c r="P10">
        <v>1000000000</v>
      </c>
      <c r="Q10">
        <v>1000000000</v>
      </c>
      <c r="R10">
        <v>1000000000</v>
      </c>
      <c r="S10">
        <v>1000000000</v>
      </c>
      <c r="T10">
        <v>1000000000</v>
      </c>
      <c r="U10">
        <v>1000000000</v>
      </c>
      <c r="V10">
        <v>1000000000</v>
      </c>
      <c r="W10">
        <v>1000000000</v>
      </c>
      <c r="X10">
        <v>1000000000</v>
      </c>
      <c r="Y10">
        <v>1000000000</v>
      </c>
      <c r="Z10">
        <v>1000000000</v>
      </c>
      <c r="AA10">
        <v>1000000000</v>
      </c>
      <c r="AB10">
        <v>1000000000</v>
      </c>
      <c r="AC10">
        <v>1000000000</v>
      </c>
      <c r="AD10">
        <v>1000000000</v>
      </c>
      <c r="AE10">
        <v>1000000000</v>
      </c>
      <c r="AF10">
        <v>1000000000</v>
      </c>
      <c r="AG10">
        <v>1000000000</v>
      </c>
      <c r="AH10">
        <v>1000000000</v>
      </c>
      <c r="AI10">
        <v>1000000000</v>
      </c>
      <c r="AJ10">
        <v>1000000000</v>
      </c>
      <c r="AK10">
        <v>1000000000</v>
      </c>
      <c r="AL10">
        <v>1000000000</v>
      </c>
      <c r="AM10">
        <v>1000000000</v>
      </c>
      <c r="AN10">
        <v>1000000000</v>
      </c>
      <c r="AO10">
        <v>1000000000</v>
      </c>
      <c r="AP10">
        <v>1000000000</v>
      </c>
      <c r="AQ10">
        <v>1000000000</v>
      </c>
      <c r="AR10">
        <v>1000000000</v>
      </c>
      <c r="AS10">
        <v>1000000000</v>
      </c>
      <c r="AT10">
        <v>1000000000</v>
      </c>
      <c r="AU10">
        <v>1000000000</v>
      </c>
      <c r="AV10">
        <v>1000000000</v>
      </c>
      <c r="AW10">
        <v>1000000000</v>
      </c>
      <c r="AX10">
        <v>1000000000</v>
      </c>
      <c r="AY10">
        <v>1000000000</v>
      </c>
      <c r="AZ10">
        <v>1000000000</v>
      </c>
      <c r="BA10">
        <v>1000000000</v>
      </c>
      <c r="BB10">
        <v>1000000000</v>
      </c>
      <c r="BC10">
        <v>1000000000</v>
      </c>
      <c r="BD10">
        <v>1000000000</v>
      </c>
      <c r="BE10">
        <v>1000000000</v>
      </c>
      <c r="BF10">
        <v>1000000000</v>
      </c>
      <c r="BG10">
        <v>1000000000</v>
      </c>
      <c r="BH10">
        <v>1000000000</v>
      </c>
      <c r="BI10">
        <v>1000000000</v>
      </c>
      <c r="BJ10">
        <v>1000000000</v>
      </c>
      <c r="BK10" s="1">
        <v>1000000000</v>
      </c>
      <c r="BL10">
        <v>1000000000</v>
      </c>
      <c r="BM10">
        <v>1000000000</v>
      </c>
      <c r="BN10">
        <v>1000000000</v>
      </c>
      <c r="BO10">
        <v>1000000000</v>
      </c>
      <c r="BP10">
        <v>1000000000</v>
      </c>
      <c r="BQ10" s="7">
        <v>1000000000</v>
      </c>
      <c r="BR10">
        <v>1000000000</v>
      </c>
      <c r="BS10">
        <v>1000000000</v>
      </c>
      <c r="BT10">
        <v>1000000000</v>
      </c>
      <c r="BU10">
        <v>1000000000</v>
      </c>
      <c r="BV10">
        <v>1000000000</v>
      </c>
      <c r="BW10">
        <v>1000000000</v>
      </c>
      <c r="BX10">
        <v>1000000000</v>
      </c>
      <c r="BY10">
        <v>1000000000</v>
      </c>
      <c r="BZ10">
        <v>1000000000</v>
      </c>
      <c r="CA10">
        <v>1000000000</v>
      </c>
      <c r="CB10">
        <v>1000000000</v>
      </c>
      <c r="CC10" s="1">
        <v>1000000000</v>
      </c>
      <c r="CD10">
        <v>1000000000</v>
      </c>
      <c r="CE10" s="8">
        <v>1000000000</v>
      </c>
      <c r="CF10" s="7">
        <v>1000000000</v>
      </c>
      <c r="CG10" s="7">
        <v>1000000000</v>
      </c>
      <c r="CH10" s="7">
        <v>1000000000</v>
      </c>
      <c r="CI10" s="7">
        <v>1000000000</v>
      </c>
      <c r="CJ10" s="7">
        <v>1000000000</v>
      </c>
      <c r="CK10" s="7">
        <v>1000000000</v>
      </c>
      <c r="CL10" s="9">
        <v>1000000000</v>
      </c>
      <c r="CM10" s="9">
        <v>1000000000</v>
      </c>
      <c r="CN10" s="7">
        <v>1000000000</v>
      </c>
      <c r="CO10" s="7">
        <v>1000000000</v>
      </c>
      <c r="CP10" s="1">
        <v>1000000000</v>
      </c>
      <c r="CQ10" s="7">
        <v>1000000000</v>
      </c>
      <c r="CR10" s="7">
        <v>1000000000</v>
      </c>
      <c r="CS10" s="7">
        <v>1000000000</v>
      </c>
      <c r="CT10" s="7">
        <v>1000000000</v>
      </c>
      <c r="CU10" s="7">
        <v>1000000000</v>
      </c>
      <c r="CV10" s="7">
        <v>1000000000</v>
      </c>
      <c r="CW10" s="7">
        <v>1000000000</v>
      </c>
      <c r="CX10" s="7">
        <v>1000000000</v>
      </c>
      <c r="CY10" s="7">
        <v>1000000000</v>
      </c>
      <c r="CZ10" s="7">
        <v>1000000000</v>
      </c>
      <c r="DA10" s="7">
        <v>1000000000</v>
      </c>
      <c r="DB10" s="7">
        <v>1000000000</v>
      </c>
      <c r="DC10" s="7">
        <v>1000000000</v>
      </c>
      <c r="DD10" s="7">
        <v>1000000000</v>
      </c>
      <c r="DE10" s="7">
        <v>1000000000</v>
      </c>
      <c r="DF10" s="7">
        <v>1000000000</v>
      </c>
      <c r="DG10" s="7">
        <v>1000000000</v>
      </c>
      <c r="DH10" s="7">
        <v>1000000000</v>
      </c>
      <c r="DI10" s="7">
        <v>1000000000</v>
      </c>
      <c r="DJ10" s="7">
        <v>1000000000</v>
      </c>
      <c r="DK10" s="7">
        <v>1000000000</v>
      </c>
      <c r="DL10" s="7">
        <v>1000000000</v>
      </c>
      <c r="DM10" s="7">
        <v>1000000000</v>
      </c>
      <c r="DN10" s="7">
        <v>1000000000</v>
      </c>
      <c r="DO10" s="7">
        <v>1000000000</v>
      </c>
      <c r="DP10" s="7">
        <v>1000000000</v>
      </c>
      <c r="DQ10" s="7">
        <v>1000000000</v>
      </c>
      <c r="DR10" s="7">
        <v>1000000000</v>
      </c>
      <c r="DS10" s="7">
        <v>1000000000</v>
      </c>
      <c r="DT10" s="7">
        <v>1000000000</v>
      </c>
      <c r="DU10" s="7">
        <v>1000000000</v>
      </c>
      <c r="DV10" s="7">
        <v>1000000000</v>
      </c>
      <c r="DW10" s="7">
        <v>1000000000</v>
      </c>
      <c r="DX10" s="9">
        <v>1000000000</v>
      </c>
      <c r="DY10" s="10">
        <v>1000000000</v>
      </c>
      <c r="DZ10" s="10">
        <v>1000000000</v>
      </c>
      <c r="EA10" s="7">
        <v>1000000000</v>
      </c>
    </row>
    <row r="11" spans="1:131" x14ac:dyDescent="0.25">
      <c r="A11">
        <v>1000000000</v>
      </c>
      <c r="B11">
        <v>1000000000</v>
      </c>
      <c r="C11">
        <v>1000000000</v>
      </c>
      <c r="D11">
        <v>1000000000</v>
      </c>
      <c r="E11">
        <v>1000000000</v>
      </c>
      <c r="F11">
        <v>1000000000</v>
      </c>
      <c r="G11">
        <v>1000000000</v>
      </c>
      <c r="H11">
        <v>1000000000</v>
      </c>
      <c r="I11">
        <v>1000000000</v>
      </c>
      <c r="J11">
        <v>1000000000</v>
      </c>
      <c r="K11">
        <v>1000000000</v>
      </c>
      <c r="L11">
        <v>1000000000</v>
      </c>
      <c r="M11">
        <v>1000000000</v>
      </c>
      <c r="N11">
        <v>1000000000</v>
      </c>
      <c r="O11">
        <v>1000000000</v>
      </c>
      <c r="P11">
        <v>1000000000</v>
      </c>
      <c r="Q11">
        <v>1000000000</v>
      </c>
      <c r="R11">
        <v>1000000000</v>
      </c>
      <c r="S11">
        <v>1000000000</v>
      </c>
      <c r="T11">
        <v>1000000000</v>
      </c>
      <c r="U11">
        <v>1000000000</v>
      </c>
      <c r="V11">
        <v>1000000000</v>
      </c>
      <c r="W11">
        <v>1000000000</v>
      </c>
      <c r="X11">
        <v>1000000000</v>
      </c>
      <c r="Y11">
        <v>1000000000</v>
      </c>
      <c r="Z11">
        <v>1000000000</v>
      </c>
      <c r="AA11">
        <v>1000000000</v>
      </c>
      <c r="AB11">
        <v>1000000000</v>
      </c>
      <c r="AC11">
        <v>1000000000</v>
      </c>
      <c r="AD11">
        <v>1000000000</v>
      </c>
      <c r="AE11">
        <v>1000000000</v>
      </c>
      <c r="AF11">
        <v>1000000000</v>
      </c>
      <c r="AG11">
        <v>1000000000</v>
      </c>
      <c r="AH11">
        <v>1000000000</v>
      </c>
      <c r="AI11">
        <v>1000000000</v>
      </c>
      <c r="AJ11">
        <v>1000000000</v>
      </c>
      <c r="AK11">
        <v>1000000000</v>
      </c>
      <c r="AL11">
        <v>1000000000</v>
      </c>
      <c r="AM11">
        <v>1000000000</v>
      </c>
      <c r="AN11">
        <v>1000000000</v>
      </c>
      <c r="AO11">
        <v>1000000000</v>
      </c>
      <c r="AP11">
        <v>1000000000</v>
      </c>
      <c r="AQ11">
        <v>1000000000</v>
      </c>
      <c r="AR11">
        <v>1000000000</v>
      </c>
      <c r="AS11">
        <v>1000000000</v>
      </c>
      <c r="AT11">
        <v>1000000000</v>
      </c>
      <c r="AU11">
        <v>1000000000</v>
      </c>
      <c r="AV11">
        <v>1000000000</v>
      </c>
      <c r="AW11">
        <v>1000000000</v>
      </c>
      <c r="AX11">
        <v>1000000000</v>
      </c>
      <c r="AY11">
        <v>1000000000</v>
      </c>
      <c r="AZ11">
        <v>1000000000</v>
      </c>
      <c r="BA11">
        <v>1000000000</v>
      </c>
      <c r="BB11">
        <v>1000000000</v>
      </c>
      <c r="BC11">
        <v>1000000000</v>
      </c>
      <c r="BD11">
        <v>1000000000</v>
      </c>
      <c r="BE11">
        <v>1000000000</v>
      </c>
      <c r="BF11">
        <v>1000000000</v>
      </c>
      <c r="BG11">
        <v>1000000000</v>
      </c>
      <c r="BH11">
        <v>1000000000</v>
      </c>
      <c r="BI11">
        <v>1000000000</v>
      </c>
      <c r="BJ11">
        <v>1000000000</v>
      </c>
      <c r="BK11" s="1">
        <v>1000000000</v>
      </c>
      <c r="BL11">
        <v>1000000000</v>
      </c>
      <c r="BM11">
        <v>1000000000</v>
      </c>
      <c r="BN11">
        <v>1000000000</v>
      </c>
      <c r="BO11">
        <v>1000000000</v>
      </c>
      <c r="BP11">
        <v>1000000000</v>
      </c>
      <c r="BQ11" s="7">
        <v>1000000000</v>
      </c>
      <c r="BR11">
        <v>1000000000</v>
      </c>
      <c r="BS11">
        <v>1000000000</v>
      </c>
      <c r="BT11">
        <v>1000000000</v>
      </c>
      <c r="BU11">
        <v>1000000000</v>
      </c>
      <c r="BV11">
        <v>1000000000</v>
      </c>
      <c r="BW11">
        <v>1000000000</v>
      </c>
      <c r="BX11">
        <v>1000000000</v>
      </c>
      <c r="BY11">
        <v>1000000000</v>
      </c>
      <c r="BZ11">
        <v>1000000000</v>
      </c>
      <c r="CA11">
        <v>1000000000</v>
      </c>
      <c r="CB11">
        <v>1000000000</v>
      </c>
      <c r="CC11" s="1">
        <v>1000000000</v>
      </c>
      <c r="CD11">
        <v>1000000000</v>
      </c>
      <c r="CE11" s="8">
        <v>1000000000</v>
      </c>
      <c r="CF11" s="7">
        <v>1000000000</v>
      </c>
      <c r="CG11" s="7">
        <v>1000000000</v>
      </c>
      <c r="CH11" s="7">
        <v>1000000000</v>
      </c>
      <c r="CI11" s="7">
        <v>1000000000</v>
      </c>
      <c r="CJ11" s="7">
        <v>1000000000</v>
      </c>
      <c r="CK11" s="7">
        <v>1000000000</v>
      </c>
      <c r="CL11" s="9">
        <v>1000000000</v>
      </c>
      <c r="CM11" s="9">
        <v>1000000000</v>
      </c>
      <c r="CN11" s="7">
        <v>1000000000</v>
      </c>
      <c r="CO11" s="7">
        <v>1000000000</v>
      </c>
      <c r="CP11" s="1">
        <v>1000000000</v>
      </c>
      <c r="CQ11" s="7">
        <v>1000000000</v>
      </c>
      <c r="CR11" s="7">
        <v>1000000000</v>
      </c>
      <c r="CS11" s="7">
        <v>1000000000</v>
      </c>
      <c r="CT11" s="7">
        <v>1000000000</v>
      </c>
      <c r="CU11" s="7">
        <v>1000000000</v>
      </c>
      <c r="CV11" s="7">
        <v>1000000000</v>
      </c>
      <c r="CW11" s="7">
        <v>1000000000</v>
      </c>
      <c r="CX11" s="7">
        <v>1000000000</v>
      </c>
      <c r="CY11" s="7">
        <v>1000000000</v>
      </c>
      <c r="CZ11" s="7">
        <v>1000000000</v>
      </c>
      <c r="DA11" s="7">
        <v>1000000000</v>
      </c>
      <c r="DB11" s="7">
        <v>1000000000</v>
      </c>
      <c r="DC11" s="7">
        <v>1000000000</v>
      </c>
      <c r="DD11" s="7">
        <v>1000000000</v>
      </c>
      <c r="DE11" s="7">
        <v>1000000000</v>
      </c>
      <c r="DF11" s="7">
        <v>1000000000</v>
      </c>
      <c r="DG11" s="7">
        <v>1000000000</v>
      </c>
      <c r="DH11" s="7">
        <v>1000000000</v>
      </c>
      <c r="DI11" s="7">
        <v>1000000000</v>
      </c>
      <c r="DJ11" s="7">
        <v>1000000000</v>
      </c>
      <c r="DK11" s="7">
        <v>1000000000</v>
      </c>
      <c r="DL11" s="7">
        <v>1000000000</v>
      </c>
      <c r="DM11" s="7">
        <v>1000000000</v>
      </c>
      <c r="DN11" s="7">
        <v>1000000000</v>
      </c>
      <c r="DO11" s="7">
        <v>1000000000</v>
      </c>
      <c r="DP11" s="7">
        <v>1000000000</v>
      </c>
      <c r="DQ11" s="7">
        <v>1000000000</v>
      </c>
      <c r="DR11" s="7">
        <v>1000000000</v>
      </c>
      <c r="DS11" s="7">
        <v>1000000000</v>
      </c>
      <c r="DT11" s="7">
        <v>1000000000</v>
      </c>
      <c r="DU11" s="7">
        <v>1000000000</v>
      </c>
      <c r="DV11" s="7">
        <v>1000000000</v>
      </c>
      <c r="DW11" s="7">
        <v>1000000000</v>
      </c>
      <c r="DX11" s="9">
        <v>1000000000</v>
      </c>
      <c r="DY11" s="10">
        <v>1000000000</v>
      </c>
      <c r="DZ11" s="10">
        <v>1000000000</v>
      </c>
      <c r="EA11" s="7">
        <v>1000000000</v>
      </c>
    </row>
    <row r="12" spans="1:131" x14ac:dyDescent="0.25">
      <c r="A12">
        <v>1000000000</v>
      </c>
      <c r="B12">
        <v>1000000000</v>
      </c>
      <c r="C12">
        <v>1000000000</v>
      </c>
      <c r="D12">
        <v>1000000000</v>
      </c>
      <c r="E12">
        <v>1000000000</v>
      </c>
      <c r="F12">
        <v>1000000000</v>
      </c>
      <c r="G12">
        <v>1000000000</v>
      </c>
      <c r="H12">
        <v>1000000000</v>
      </c>
      <c r="I12">
        <v>1000000000</v>
      </c>
      <c r="J12">
        <v>1000000000</v>
      </c>
      <c r="K12">
        <v>1000000000</v>
      </c>
      <c r="L12">
        <v>1000000000</v>
      </c>
      <c r="M12">
        <v>1000000000</v>
      </c>
      <c r="N12">
        <v>1000000000</v>
      </c>
      <c r="O12">
        <v>1000000000</v>
      </c>
      <c r="P12">
        <v>1000000000</v>
      </c>
      <c r="Q12">
        <v>1000000000</v>
      </c>
      <c r="R12">
        <v>1000000000</v>
      </c>
      <c r="S12">
        <v>1000000000</v>
      </c>
      <c r="T12">
        <v>1000000000</v>
      </c>
      <c r="U12">
        <v>1000000000</v>
      </c>
      <c r="V12">
        <v>1000000000</v>
      </c>
      <c r="W12">
        <v>1000000000</v>
      </c>
      <c r="X12">
        <v>1000000000</v>
      </c>
      <c r="Y12">
        <v>1000000000</v>
      </c>
      <c r="Z12">
        <v>1000000000</v>
      </c>
      <c r="AA12">
        <v>1000000000</v>
      </c>
      <c r="AB12">
        <v>1000000000</v>
      </c>
      <c r="AC12">
        <v>1000000000</v>
      </c>
      <c r="AD12">
        <v>1000000000</v>
      </c>
      <c r="AE12">
        <v>1000000000</v>
      </c>
      <c r="AF12">
        <v>1000000000</v>
      </c>
      <c r="AG12">
        <v>1000000000</v>
      </c>
      <c r="AH12">
        <v>1000000000</v>
      </c>
      <c r="AI12">
        <v>1000000000</v>
      </c>
      <c r="AJ12">
        <v>1000000000</v>
      </c>
      <c r="AK12">
        <v>1000000000</v>
      </c>
      <c r="AL12">
        <v>1000000000</v>
      </c>
      <c r="AM12">
        <v>1000000000</v>
      </c>
      <c r="AN12">
        <v>1000000000</v>
      </c>
      <c r="AO12">
        <v>1000000000</v>
      </c>
      <c r="AP12">
        <v>1000000000</v>
      </c>
      <c r="AQ12">
        <v>1000000000</v>
      </c>
      <c r="AR12">
        <v>1000000000</v>
      </c>
      <c r="AS12">
        <v>1000000000</v>
      </c>
      <c r="AT12">
        <v>1000000000</v>
      </c>
      <c r="AU12">
        <v>1000000000</v>
      </c>
      <c r="AV12">
        <v>1000000000</v>
      </c>
      <c r="AW12">
        <v>1000000000</v>
      </c>
      <c r="AX12">
        <v>1000000000</v>
      </c>
      <c r="AY12">
        <v>1000000000</v>
      </c>
      <c r="AZ12">
        <v>1000000000</v>
      </c>
      <c r="BA12">
        <v>1000000000</v>
      </c>
      <c r="BB12">
        <v>1000000000</v>
      </c>
      <c r="BC12">
        <v>1000000000</v>
      </c>
      <c r="BD12">
        <v>1000000000</v>
      </c>
      <c r="BE12">
        <v>1000000000</v>
      </c>
      <c r="BF12">
        <v>1000000000</v>
      </c>
      <c r="BG12">
        <v>1000000000</v>
      </c>
      <c r="BH12">
        <v>1000000000</v>
      </c>
      <c r="BI12">
        <v>1000000000</v>
      </c>
      <c r="BJ12">
        <v>1000000000</v>
      </c>
      <c r="BK12" s="1">
        <v>1000000000</v>
      </c>
      <c r="BL12">
        <v>1000000000</v>
      </c>
      <c r="BM12">
        <v>1000000000</v>
      </c>
      <c r="BN12">
        <v>1000000000</v>
      </c>
      <c r="BO12">
        <v>1000000000</v>
      </c>
      <c r="BP12">
        <v>1000000000</v>
      </c>
      <c r="BQ12" s="7">
        <v>1000000000</v>
      </c>
      <c r="BR12">
        <v>1000000000</v>
      </c>
      <c r="BS12">
        <v>1000000000</v>
      </c>
      <c r="BT12">
        <v>1000000000</v>
      </c>
      <c r="BU12">
        <v>1000000000</v>
      </c>
      <c r="BV12">
        <v>1000000000</v>
      </c>
      <c r="BW12">
        <v>1000000000</v>
      </c>
      <c r="BX12">
        <v>1000000000</v>
      </c>
      <c r="BY12">
        <v>1000000000</v>
      </c>
      <c r="BZ12">
        <v>1000000000</v>
      </c>
      <c r="CA12">
        <v>1000000000</v>
      </c>
      <c r="CB12">
        <v>1000000000</v>
      </c>
      <c r="CC12" s="1">
        <v>1000000000</v>
      </c>
      <c r="CD12">
        <v>1000000000</v>
      </c>
      <c r="CE12" s="8">
        <v>1000000000</v>
      </c>
      <c r="CF12" s="7">
        <v>1000000000</v>
      </c>
      <c r="CG12" s="7">
        <v>1000000000</v>
      </c>
      <c r="CH12" s="7">
        <v>1000000000</v>
      </c>
      <c r="CI12" s="7">
        <v>1000000000</v>
      </c>
      <c r="CJ12" s="7">
        <v>1000000000</v>
      </c>
      <c r="CK12" s="7">
        <v>1000000000</v>
      </c>
      <c r="CL12" s="9">
        <v>1000000000</v>
      </c>
      <c r="CM12" s="9">
        <v>1000000000</v>
      </c>
      <c r="CN12" s="7">
        <v>1000000000</v>
      </c>
      <c r="CO12" s="7">
        <v>1000000000</v>
      </c>
      <c r="CP12" s="1">
        <v>1000000000</v>
      </c>
      <c r="CQ12" s="7">
        <v>1000000000</v>
      </c>
      <c r="CR12" s="7">
        <v>1000000000</v>
      </c>
      <c r="CS12" s="7">
        <v>1000000000</v>
      </c>
      <c r="CT12" s="7">
        <v>1000000000</v>
      </c>
      <c r="CU12" s="7">
        <v>1000000000</v>
      </c>
      <c r="CV12" s="7">
        <v>1000000000</v>
      </c>
      <c r="CW12" s="7">
        <v>1000000000</v>
      </c>
      <c r="CX12" s="7">
        <v>1000000000</v>
      </c>
      <c r="CY12" s="7">
        <v>1000000000</v>
      </c>
      <c r="CZ12" s="7">
        <v>1000000000</v>
      </c>
      <c r="DA12" s="7">
        <v>1000000000</v>
      </c>
      <c r="DB12" s="7">
        <v>1000000000</v>
      </c>
      <c r="DC12" s="7">
        <v>1000000000</v>
      </c>
      <c r="DD12" s="7">
        <v>1000000000</v>
      </c>
      <c r="DE12" s="7">
        <v>1000000000</v>
      </c>
      <c r="DF12" s="7">
        <v>1000000000</v>
      </c>
      <c r="DG12" s="7">
        <v>1000000000</v>
      </c>
      <c r="DH12" s="7">
        <v>1000000000</v>
      </c>
      <c r="DI12" s="7">
        <v>1000000000</v>
      </c>
      <c r="DJ12" s="7">
        <v>1000000000</v>
      </c>
      <c r="DK12" s="7">
        <v>1000000000</v>
      </c>
      <c r="DL12" s="7">
        <v>1000000000</v>
      </c>
      <c r="DM12" s="7">
        <v>1000000000</v>
      </c>
      <c r="DN12" s="7">
        <v>1000000000</v>
      </c>
      <c r="DO12" s="7">
        <v>1000000000</v>
      </c>
      <c r="DP12" s="7">
        <v>1000000000</v>
      </c>
      <c r="DQ12" s="7">
        <v>1000000000</v>
      </c>
      <c r="DR12" s="7">
        <v>1000000000</v>
      </c>
      <c r="DS12" s="7">
        <v>1000000000</v>
      </c>
      <c r="DT12" s="7">
        <v>1000000000</v>
      </c>
      <c r="DU12" s="7">
        <v>1000000000</v>
      </c>
      <c r="DV12" s="7">
        <v>1000000000</v>
      </c>
      <c r="DW12" s="7">
        <v>1000000000</v>
      </c>
      <c r="DX12" s="9">
        <v>1000000000</v>
      </c>
      <c r="DY12" s="10">
        <v>1000000000</v>
      </c>
      <c r="DZ12" s="10">
        <v>1000000000</v>
      </c>
      <c r="EA12" s="7">
        <v>1000000000</v>
      </c>
    </row>
    <row r="13" spans="1:131" x14ac:dyDescent="0.25">
      <c r="A13">
        <v>1000000000</v>
      </c>
      <c r="B13">
        <v>1000000000</v>
      </c>
      <c r="C13">
        <v>1000000000</v>
      </c>
      <c r="D13">
        <v>1000000000</v>
      </c>
      <c r="E13">
        <v>1000000000</v>
      </c>
      <c r="F13">
        <v>1000000000</v>
      </c>
      <c r="G13">
        <v>1000000000</v>
      </c>
      <c r="H13">
        <v>1000000000</v>
      </c>
      <c r="I13">
        <v>1000000000</v>
      </c>
      <c r="J13">
        <v>1000000000</v>
      </c>
      <c r="K13">
        <v>1000000000</v>
      </c>
      <c r="L13">
        <v>1000000000</v>
      </c>
      <c r="M13">
        <v>1000000000</v>
      </c>
      <c r="N13">
        <v>1000000000</v>
      </c>
      <c r="O13">
        <v>1000000000</v>
      </c>
      <c r="P13">
        <v>1000000000</v>
      </c>
      <c r="Q13">
        <v>1000000000</v>
      </c>
      <c r="R13">
        <v>1000000000</v>
      </c>
      <c r="S13">
        <v>1000000000</v>
      </c>
      <c r="T13">
        <v>1000000000</v>
      </c>
      <c r="U13">
        <v>1000000000</v>
      </c>
      <c r="V13">
        <v>1000000000</v>
      </c>
      <c r="W13">
        <v>1000000000</v>
      </c>
      <c r="X13">
        <v>1000000000</v>
      </c>
      <c r="Y13">
        <v>1000000000</v>
      </c>
      <c r="Z13">
        <v>1000000000</v>
      </c>
      <c r="AA13">
        <v>1000000000</v>
      </c>
      <c r="AB13">
        <v>1000000000</v>
      </c>
      <c r="AC13">
        <v>1000000000</v>
      </c>
      <c r="AD13">
        <v>1000000000</v>
      </c>
      <c r="AE13">
        <v>1000000000</v>
      </c>
      <c r="AF13">
        <v>1000000000</v>
      </c>
      <c r="AG13">
        <v>1000000000</v>
      </c>
      <c r="AH13">
        <v>1000000000</v>
      </c>
      <c r="AI13">
        <v>1000000000</v>
      </c>
      <c r="AJ13">
        <v>1000000000</v>
      </c>
      <c r="AK13">
        <v>1000000000</v>
      </c>
      <c r="AL13">
        <v>1000000000</v>
      </c>
      <c r="AM13">
        <v>1000000000</v>
      </c>
      <c r="AN13">
        <v>1000000000</v>
      </c>
      <c r="AO13">
        <v>1000000000</v>
      </c>
      <c r="AP13">
        <v>1000000000</v>
      </c>
      <c r="AQ13">
        <v>1000000000</v>
      </c>
      <c r="AR13">
        <v>1000000000</v>
      </c>
      <c r="AS13">
        <v>1000000000</v>
      </c>
      <c r="AT13">
        <v>1000000000</v>
      </c>
      <c r="AU13">
        <v>1000000000</v>
      </c>
      <c r="AV13">
        <v>1000000000</v>
      </c>
      <c r="AW13">
        <v>1000000000</v>
      </c>
      <c r="AX13">
        <v>1000000000</v>
      </c>
      <c r="AY13">
        <v>1000000000</v>
      </c>
      <c r="AZ13">
        <v>1000000000</v>
      </c>
      <c r="BA13">
        <v>1000000000</v>
      </c>
      <c r="BB13">
        <v>1000000000</v>
      </c>
      <c r="BC13">
        <v>1000000000</v>
      </c>
      <c r="BD13">
        <v>1000000000</v>
      </c>
      <c r="BE13">
        <v>1000000000</v>
      </c>
      <c r="BF13">
        <v>1000000000</v>
      </c>
      <c r="BG13">
        <v>1000000000</v>
      </c>
      <c r="BH13">
        <v>1000000000</v>
      </c>
      <c r="BI13">
        <v>1000000000</v>
      </c>
      <c r="BJ13">
        <v>1000000000</v>
      </c>
      <c r="BK13" s="1">
        <v>1000000000</v>
      </c>
      <c r="BL13">
        <v>1000000000</v>
      </c>
      <c r="BM13">
        <v>1000000000</v>
      </c>
      <c r="BN13">
        <v>1000000000</v>
      </c>
      <c r="BO13">
        <v>1000000000</v>
      </c>
      <c r="BP13">
        <v>1000000000</v>
      </c>
      <c r="BQ13" s="7">
        <v>1000000000</v>
      </c>
      <c r="BR13">
        <v>1000000000</v>
      </c>
      <c r="BS13">
        <v>1000000000</v>
      </c>
      <c r="BT13">
        <v>1000000000</v>
      </c>
      <c r="BU13">
        <v>1000000000</v>
      </c>
      <c r="BV13">
        <v>1000000000</v>
      </c>
      <c r="BW13">
        <v>1000000000</v>
      </c>
      <c r="BX13">
        <v>1000000000</v>
      </c>
      <c r="BY13">
        <v>1000000000</v>
      </c>
      <c r="BZ13">
        <v>1000000000</v>
      </c>
      <c r="CA13">
        <v>1000000000</v>
      </c>
      <c r="CB13">
        <v>1000000000</v>
      </c>
      <c r="CC13" s="1">
        <v>1000000000</v>
      </c>
      <c r="CD13">
        <v>1000000000</v>
      </c>
      <c r="CE13" s="8">
        <v>1000000000</v>
      </c>
      <c r="CF13" s="7">
        <v>1000000000</v>
      </c>
      <c r="CG13" s="7">
        <v>1000000000</v>
      </c>
      <c r="CH13" s="7">
        <v>1000000000</v>
      </c>
      <c r="CI13" s="7">
        <v>1000000000</v>
      </c>
      <c r="CJ13" s="7">
        <v>1000000000</v>
      </c>
      <c r="CK13" s="7">
        <v>1000000000</v>
      </c>
      <c r="CL13" s="9">
        <v>1000000000</v>
      </c>
      <c r="CM13" s="9">
        <v>1000000000</v>
      </c>
      <c r="CN13" s="7">
        <v>1000000000</v>
      </c>
      <c r="CO13" s="7">
        <v>1000000000</v>
      </c>
      <c r="CP13" s="1">
        <v>1000000000</v>
      </c>
      <c r="CQ13" s="7">
        <v>1000000000</v>
      </c>
      <c r="CR13" s="7">
        <v>1000000000</v>
      </c>
      <c r="CS13" s="7">
        <v>1000000000</v>
      </c>
      <c r="CT13" s="7">
        <v>1000000000</v>
      </c>
      <c r="CU13" s="7">
        <v>1000000000</v>
      </c>
      <c r="CV13" s="7">
        <v>1000000000</v>
      </c>
      <c r="CW13" s="7">
        <v>1000000000</v>
      </c>
      <c r="CX13" s="7">
        <v>1000000000</v>
      </c>
      <c r="CY13" s="7">
        <v>1000000000</v>
      </c>
      <c r="CZ13" s="7">
        <v>1000000000</v>
      </c>
      <c r="DA13" s="7">
        <v>1000000000</v>
      </c>
      <c r="DB13" s="7">
        <v>1000000000</v>
      </c>
      <c r="DC13" s="7">
        <v>1000000000</v>
      </c>
      <c r="DD13" s="7">
        <v>1000000000</v>
      </c>
      <c r="DE13" s="7">
        <v>1000000000</v>
      </c>
      <c r="DF13" s="7">
        <v>1000000000</v>
      </c>
      <c r="DG13" s="7">
        <v>1000000000</v>
      </c>
      <c r="DH13" s="7">
        <v>1000000000</v>
      </c>
      <c r="DI13" s="7">
        <v>1000000000</v>
      </c>
      <c r="DJ13" s="7">
        <v>1000000000</v>
      </c>
      <c r="DK13" s="7">
        <v>1000000000</v>
      </c>
      <c r="DL13" s="7">
        <v>1000000000</v>
      </c>
      <c r="DM13" s="7">
        <v>1000000000</v>
      </c>
      <c r="DN13" s="7">
        <v>1000000000</v>
      </c>
      <c r="DO13" s="7">
        <v>1000000000</v>
      </c>
      <c r="DP13" s="7">
        <v>1000000000</v>
      </c>
      <c r="DQ13" s="7">
        <v>1000000000</v>
      </c>
      <c r="DR13" s="7">
        <v>1000000000</v>
      </c>
      <c r="DS13" s="7">
        <v>1000000000</v>
      </c>
      <c r="DT13" s="7">
        <v>1000000000</v>
      </c>
      <c r="DU13" s="7">
        <v>1000000000</v>
      </c>
      <c r="DV13" s="7">
        <v>1000000000</v>
      </c>
      <c r="DW13" s="7">
        <v>1000000000</v>
      </c>
      <c r="DX13" s="9">
        <v>1000000000</v>
      </c>
      <c r="DY13" s="10">
        <v>1000000000</v>
      </c>
      <c r="DZ13" s="10">
        <v>1000000000</v>
      </c>
      <c r="EA13" s="7">
        <v>1000000000</v>
      </c>
    </row>
    <row r="14" spans="1:131" x14ac:dyDescent="0.25">
      <c r="A14">
        <v>1000000000</v>
      </c>
      <c r="B14">
        <v>1000000000</v>
      </c>
      <c r="C14">
        <v>1000000000</v>
      </c>
      <c r="D14">
        <v>1000000000</v>
      </c>
      <c r="E14">
        <v>1000000000</v>
      </c>
      <c r="F14">
        <v>1000000000</v>
      </c>
      <c r="G14">
        <v>1000000000</v>
      </c>
      <c r="H14">
        <v>1000000000</v>
      </c>
      <c r="I14">
        <v>1000000000</v>
      </c>
      <c r="J14">
        <v>1000000000</v>
      </c>
      <c r="K14">
        <v>1000000000</v>
      </c>
      <c r="L14">
        <v>1000000000</v>
      </c>
      <c r="M14">
        <v>1000000000</v>
      </c>
      <c r="N14">
        <v>1000000000</v>
      </c>
      <c r="O14">
        <v>1000000000</v>
      </c>
      <c r="P14">
        <v>1000000000</v>
      </c>
      <c r="Q14">
        <v>1000000000</v>
      </c>
      <c r="R14">
        <v>1000000000</v>
      </c>
      <c r="S14">
        <v>1000000000</v>
      </c>
      <c r="T14">
        <v>1000000000</v>
      </c>
      <c r="U14">
        <v>1000000000</v>
      </c>
      <c r="V14">
        <v>1000000000</v>
      </c>
      <c r="W14">
        <v>1000000000</v>
      </c>
      <c r="X14">
        <v>1000000000</v>
      </c>
      <c r="Y14">
        <v>1000000000</v>
      </c>
      <c r="Z14">
        <v>1000000000</v>
      </c>
      <c r="AA14">
        <v>1000000000</v>
      </c>
      <c r="AB14">
        <v>1000000000</v>
      </c>
      <c r="AC14">
        <v>1000000000</v>
      </c>
      <c r="AD14">
        <v>1000000000</v>
      </c>
      <c r="AE14">
        <v>1000000000</v>
      </c>
      <c r="AF14">
        <v>1000000000</v>
      </c>
      <c r="AG14">
        <v>1000000000</v>
      </c>
      <c r="AH14">
        <v>1000000000</v>
      </c>
      <c r="AI14">
        <v>1000000000</v>
      </c>
      <c r="AJ14">
        <v>1000000000</v>
      </c>
      <c r="AK14">
        <v>1000000000</v>
      </c>
      <c r="AL14">
        <v>1000000000</v>
      </c>
      <c r="AM14">
        <v>1000000000</v>
      </c>
      <c r="AN14">
        <v>1000000000</v>
      </c>
      <c r="AO14">
        <v>1000000000</v>
      </c>
      <c r="AP14">
        <v>1000000000</v>
      </c>
      <c r="AQ14">
        <v>1000000000</v>
      </c>
      <c r="AR14">
        <v>1000000000</v>
      </c>
      <c r="AS14">
        <v>1000000000</v>
      </c>
      <c r="AT14">
        <v>1000000000</v>
      </c>
      <c r="AU14">
        <v>1000000000</v>
      </c>
      <c r="AV14">
        <v>1000000000</v>
      </c>
      <c r="AW14">
        <v>1000000000</v>
      </c>
      <c r="AX14">
        <v>1000000000</v>
      </c>
      <c r="AY14">
        <v>1000000000</v>
      </c>
      <c r="AZ14">
        <v>1000000000</v>
      </c>
      <c r="BA14">
        <v>1000000000</v>
      </c>
      <c r="BB14">
        <v>1000000000</v>
      </c>
      <c r="BC14">
        <v>1000000000</v>
      </c>
      <c r="BD14">
        <v>1000000000</v>
      </c>
      <c r="BE14">
        <v>1000000000</v>
      </c>
      <c r="BF14">
        <v>1000000000</v>
      </c>
      <c r="BG14">
        <v>1000000000</v>
      </c>
      <c r="BH14">
        <v>1000000000</v>
      </c>
      <c r="BI14">
        <v>1000000000</v>
      </c>
      <c r="BJ14">
        <v>1000000000</v>
      </c>
      <c r="BK14" s="1">
        <v>1000000000</v>
      </c>
      <c r="BL14">
        <v>1000000000</v>
      </c>
      <c r="BM14">
        <v>1000000000</v>
      </c>
      <c r="BN14">
        <v>1000000000</v>
      </c>
      <c r="BO14">
        <v>1000000000</v>
      </c>
      <c r="BP14">
        <v>1000000000</v>
      </c>
      <c r="BQ14" s="7">
        <v>1000000000</v>
      </c>
      <c r="BR14">
        <v>1000000000</v>
      </c>
      <c r="BS14">
        <v>1000000000</v>
      </c>
      <c r="BT14">
        <v>1000000000</v>
      </c>
      <c r="BU14">
        <v>1000000000</v>
      </c>
      <c r="BV14">
        <v>1000000000</v>
      </c>
      <c r="BW14">
        <v>1000000000</v>
      </c>
      <c r="BX14">
        <v>1000000000</v>
      </c>
      <c r="BY14">
        <v>1000000000</v>
      </c>
      <c r="BZ14">
        <v>1000000000</v>
      </c>
      <c r="CA14">
        <v>1000000000</v>
      </c>
      <c r="CB14">
        <v>1000000000</v>
      </c>
      <c r="CC14" s="1">
        <v>1000000000</v>
      </c>
      <c r="CD14">
        <v>1000000000</v>
      </c>
      <c r="CE14" s="8">
        <v>1000000000</v>
      </c>
      <c r="CF14" s="7">
        <v>1000000000</v>
      </c>
      <c r="CG14" s="7">
        <v>1000000000</v>
      </c>
      <c r="CH14" s="7">
        <v>1000000000</v>
      </c>
      <c r="CI14" s="7">
        <v>1000000000</v>
      </c>
      <c r="CJ14" s="7">
        <v>1000000000</v>
      </c>
      <c r="CK14" s="7">
        <v>1000000000</v>
      </c>
      <c r="CL14" s="9">
        <v>1000000000</v>
      </c>
      <c r="CM14" s="9">
        <v>1000000000</v>
      </c>
      <c r="CN14" s="7">
        <v>1000000000</v>
      </c>
      <c r="CO14" s="7">
        <v>1000000000</v>
      </c>
      <c r="CP14" s="1">
        <v>1000000000</v>
      </c>
      <c r="CQ14" s="7">
        <v>1000000000</v>
      </c>
      <c r="CR14" s="7">
        <v>1000000000</v>
      </c>
      <c r="CS14" s="7">
        <v>1000000000</v>
      </c>
      <c r="CT14" s="7">
        <v>1000000000</v>
      </c>
      <c r="CU14" s="7">
        <v>1000000000</v>
      </c>
      <c r="CV14" s="7">
        <v>1000000000</v>
      </c>
      <c r="CW14" s="7">
        <v>1000000000</v>
      </c>
      <c r="CX14" s="7">
        <v>1000000000</v>
      </c>
      <c r="CY14" s="7">
        <v>1000000000</v>
      </c>
      <c r="CZ14" s="7">
        <v>1000000000</v>
      </c>
      <c r="DA14" s="7">
        <v>1000000000</v>
      </c>
      <c r="DB14" s="7">
        <v>1000000000</v>
      </c>
      <c r="DC14" s="7">
        <v>1000000000</v>
      </c>
      <c r="DD14" s="7">
        <v>1000000000</v>
      </c>
      <c r="DE14" s="7">
        <v>1000000000</v>
      </c>
      <c r="DF14" s="7">
        <v>1000000000</v>
      </c>
      <c r="DG14" s="7">
        <v>1000000000</v>
      </c>
      <c r="DH14" s="7">
        <v>1000000000</v>
      </c>
      <c r="DI14" s="7">
        <v>1000000000</v>
      </c>
      <c r="DJ14" s="7">
        <v>1000000000</v>
      </c>
      <c r="DK14" s="7">
        <v>1000000000</v>
      </c>
      <c r="DL14" s="7">
        <v>1000000000</v>
      </c>
      <c r="DM14" s="7">
        <v>1000000000</v>
      </c>
      <c r="DN14" s="7">
        <v>1000000000</v>
      </c>
      <c r="DO14" s="7">
        <v>1000000000</v>
      </c>
      <c r="DP14" s="7">
        <v>1000000000</v>
      </c>
      <c r="DQ14" s="7">
        <v>1000000000</v>
      </c>
      <c r="DR14" s="7">
        <v>1000000000</v>
      </c>
      <c r="DS14" s="7">
        <v>1000000000</v>
      </c>
      <c r="DT14" s="7">
        <v>1000000000</v>
      </c>
      <c r="DU14" s="7">
        <v>1000000000</v>
      </c>
      <c r="DV14" s="7">
        <v>1000000000</v>
      </c>
      <c r="DW14" s="7">
        <v>1000000000</v>
      </c>
      <c r="DX14" s="9">
        <v>1000000000</v>
      </c>
      <c r="DY14" s="10">
        <v>1000000000</v>
      </c>
      <c r="DZ14" s="10">
        <v>1000000000</v>
      </c>
      <c r="EA14" s="7">
        <v>1000000000</v>
      </c>
    </row>
    <row r="15" spans="1:131" x14ac:dyDescent="0.25">
      <c r="A15">
        <v>1000000000</v>
      </c>
      <c r="B15">
        <v>1000000000</v>
      </c>
      <c r="C15">
        <v>1000000000</v>
      </c>
      <c r="D15">
        <v>1000000000</v>
      </c>
      <c r="E15">
        <v>1000000000</v>
      </c>
      <c r="F15">
        <v>1000000000</v>
      </c>
      <c r="G15">
        <v>1000000000</v>
      </c>
      <c r="H15">
        <v>1000000000</v>
      </c>
      <c r="I15">
        <v>1000000000</v>
      </c>
      <c r="J15">
        <v>1000000000</v>
      </c>
      <c r="K15">
        <v>1000000000</v>
      </c>
      <c r="L15">
        <v>1000000000</v>
      </c>
      <c r="M15">
        <v>1000000000</v>
      </c>
      <c r="N15">
        <v>1000000000</v>
      </c>
      <c r="O15">
        <v>1000000000</v>
      </c>
      <c r="P15">
        <v>1000000000</v>
      </c>
      <c r="Q15">
        <v>1000000000</v>
      </c>
      <c r="R15">
        <v>1000000000</v>
      </c>
      <c r="S15">
        <v>1000000000</v>
      </c>
      <c r="T15">
        <v>1000000000</v>
      </c>
      <c r="U15">
        <v>1000000000</v>
      </c>
      <c r="V15">
        <v>1000000000</v>
      </c>
      <c r="W15">
        <v>1000000000</v>
      </c>
      <c r="X15">
        <v>1000000000</v>
      </c>
      <c r="Y15">
        <v>1000000000</v>
      </c>
      <c r="Z15">
        <v>1000000000</v>
      </c>
      <c r="AA15">
        <v>1000000000</v>
      </c>
      <c r="AB15">
        <v>1000000000</v>
      </c>
      <c r="AC15">
        <v>1000000000</v>
      </c>
      <c r="AD15">
        <v>1000000000</v>
      </c>
      <c r="AE15">
        <v>1000000000</v>
      </c>
      <c r="AF15">
        <v>1000000000</v>
      </c>
      <c r="AG15">
        <v>1000000000</v>
      </c>
      <c r="AH15">
        <v>1000000000</v>
      </c>
      <c r="AI15">
        <v>1000000000</v>
      </c>
      <c r="AJ15">
        <v>1000000000</v>
      </c>
      <c r="AK15">
        <v>1000000000</v>
      </c>
      <c r="AL15">
        <v>1000000000</v>
      </c>
      <c r="AM15">
        <v>1000000000</v>
      </c>
      <c r="AN15">
        <v>1000000000</v>
      </c>
      <c r="AO15">
        <v>1000000000</v>
      </c>
      <c r="AP15">
        <v>1000000000</v>
      </c>
      <c r="AQ15">
        <v>1000000000</v>
      </c>
      <c r="AR15">
        <v>1000000000</v>
      </c>
      <c r="AS15">
        <v>1000000000</v>
      </c>
      <c r="AT15">
        <v>1000000000</v>
      </c>
      <c r="AU15">
        <v>1000000000</v>
      </c>
      <c r="AV15">
        <v>1000000000</v>
      </c>
      <c r="AW15">
        <v>1000000000</v>
      </c>
      <c r="AX15">
        <v>1000000000</v>
      </c>
      <c r="AY15">
        <v>1000000000</v>
      </c>
      <c r="AZ15">
        <v>1000000000</v>
      </c>
      <c r="BA15">
        <v>1000000000</v>
      </c>
      <c r="BB15">
        <v>1000000000</v>
      </c>
      <c r="BC15">
        <v>1000000000</v>
      </c>
      <c r="BD15">
        <v>1000000000</v>
      </c>
      <c r="BE15">
        <v>1000000000</v>
      </c>
      <c r="BF15">
        <v>1000000000</v>
      </c>
      <c r="BG15">
        <v>1000000000</v>
      </c>
      <c r="BH15">
        <v>1000000000</v>
      </c>
      <c r="BI15">
        <v>1000000000</v>
      </c>
      <c r="BJ15">
        <v>1000000000</v>
      </c>
      <c r="BK15" s="1">
        <v>1000000000</v>
      </c>
      <c r="BL15">
        <v>1000000000</v>
      </c>
      <c r="BM15">
        <v>1000000000</v>
      </c>
      <c r="BN15">
        <v>1000000000</v>
      </c>
      <c r="BO15">
        <v>1000000000</v>
      </c>
      <c r="BP15">
        <v>1000000000</v>
      </c>
      <c r="BQ15" s="7">
        <v>1000000000</v>
      </c>
      <c r="BR15">
        <v>1000000000</v>
      </c>
      <c r="BS15">
        <v>1000000000</v>
      </c>
      <c r="BT15">
        <v>1000000000</v>
      </c>
      <c r="BU15">
        <v>1000000000</v>
      </c>
      <c r="BV15">
        <v>1000000000</v>
      </c>
      <c r="BW15">
        <v>1000000000</v>
      </c>
      <c r="BX15">
        <v>1000000000</v>
      </c>
      <c r="BY15">
        <v>1000000000</v>
      </c>
      <c r="BZ15">
        <v>1000000000</v>
      </c>
      <c r="CA15">
        <v>1000000000</v>
      </c>
      <c r="CB15">
        <v>1000000000</v>
      </c>
      <c r="CC15" s="1">
        <v>1000000000</v>
      </c>
      <c r="CD15">
        <v>1000000000</v>
      </c>
      <c r="CE15" s="8">
        <v>1000000000</v>
      </c>
      <c r="CF15" s="7">
        <v>1000000000</v>
      </c>
      <c r="CG15" s="7">
        <v>1000000000</v>
      </c>
      <c r="CH15" s="7">
        <v>1000000000</v>
      </c>
      <c r="CI15" s="7">
        <v>1000000000</v>
      </c>
      <c r="CJ15" s="7">
        <v>1000000000</v>
      </c>
      <c r="CK15" s="7">
        <v>1000000000</v>
      </c>
      <c r="CL15" s="9">
        <v>1000000000</v>
      </c>
      <c r="CM15" s="9">
        <v>1000000000</v>
      </c>
      <c r="CN15" s="7">
        <v>1000000000</v>
      </c>
      <c r="CO15" s="7">
        <v>1000000000</v>
      </c>
      <c r="CP15" s="1">
        <v>1000000000</v>
      </c>
      <c r="CQ15" s="7">
        <v>1000000000</v>
      </c>
      <c r="CR15" s="7">
        <v>1000000000</v>
      </c>
      <c r="CS15" s="7">
        <v>1000000000</v>
      </c>
      <c r="CT15" s="7">
        <v>1000000000</v>
      </c>
      <c r="CU15" s="7">
        <v>1000000000</v>
      </c>
      <c r="CV15" s="7">
        <v>1000000000</v>
      </c>
      <c r="CW15" s="7">
        <v>1000000000</v>
      </c>
      <c r="CX15" s="7">
        <v>1000000000</v>
      </c>
      <c r="CY15" s="7">
        <v>1000000000</v>
      </c>
      <c r="CZ15" s="7">
        <v>1000000000</v>
      </c>
      <c r="DA15" s="7">
        <v>1000000000</v>
      </c>
      <c r="DB15" s="7">
        <v>1000000000</v>
      </c>
      <c r="DC15" s="7">
        <v>1000000000</v>
      </c>
      <c r="DD15" s="7">
        <v>1000000000</v>
      </c>
      <c r="DE15" s="7">
        <v>1000000000</v>
      </c>
      <c r="DF15" s="7">
        <v>1000000000</v>
      </c>
      <c r="DG15" s="7">
        <v>1000000000</v>
      </c>
      <c r="DH15" s="7">
        <v>1000000000</v>
      </c>
      <c r="DI15" s="7">
        <v>1000000000</v>
      </c>
      <c r="DJ15" s="7">
        <v>1000000000</v>
      </c>
      <c r="DK15" s="7">
        <v>1000000000</v>
      </c>
      <c r="DL15" s="7">
        <v>1000000000</v>
      </c>
      <c r="DM15" s="7">
        <v>1000000000</v>
      </c>
      <c r="DN15" s="7">
        <v>1000000000</v>
      </c>
      <c r="DO15" s="7">
        <v>1000000000</v>
      </c>
      <c r="DP15" s="7">
        <v>1000000000</v>
      </c>
      <c r="DQ15" s="7">
        <v>1000000000</v>
      </c>
      <c r="DR15" s="7">
        <v>1000000000</v>
      </c>
      <c r="DS15" s="7">
        <v>1000000000</v>
      </c>
      <c r="DT15" s="7">
        <v>1000000000</v>
      </c>
      <c r="DU15" s="7">
        <v>1000000000</v>
      </c>
      <c r="DV15" s="7">
        <v>1000000000</v>
      </c>
      <c r="DW15" s="7">
        <v>1000000000</v>
      </c>
      <c r="DX15" s="9">
        <v>1000000000</v>
      </c>
      <c r="DY15" s="10">
        <v>1000000000</v>
      </c>
      <c r="DZ15" s="10">
        <v>1000000000</v>
      </c>
      <c r="EA15" s="7">
        <v>1000000000</v>
      </c>
    </row>
    <row r="16" spans="1:131" x14ac:dyDescent="0.25">
      <c r="A16">
        <v>1000000000</v>
      </c>
      <c r="B16">
        <v>1000000000</v>
      </c>
      <c r="C16">
        <v>1000000000</v>
      </c>
      <c r="D16">
        <v>1000000000</v>
      </c>
      <c r="E16">
        <v>1000000000</v>
      </c>
      <c r="F16">
        <v>1000000000</v>
      </c>
      <c r="G16">
        <v>1000000000</v>
      </c>
      <c r="H16">
        <v>1000000000</v>
      </c>
      <c r="I16">
        <v>1000000000</v>
      </c>
      <c r="J16">
        <v>1000000000</v>
      </c>
      <c r="K16">
        <v>1000000000</v>
      </c>
      <c r="L16">
        <v>1000000000</v>
      </c>
      <c r="M16">
        <v>1000000000</v>
      </c>
      <c r="N16">
        <v>1000000000</v>
      </c>
      <c r="O16">
        <v>1000000000</v>
      </c>
      <c r="P16">
        <v>1000000000</v>
      </c>
      <c r="Q16">
        <v>1000000000</v>
      </c>
      <c r="R16">
        <v>1000000000</v>
      </c>
      <c r="S16">
        <v>1000000000</v>
      </c>
      <c r="T16">
        <v>1000000000</v>
      </c>
      <c r="U16">
        <v>1000000000</v>
      </c>
      <c r="V16">
        <v>1000000000</v>
      </c>
      <c r="W16">
        <v>1000000000</v>
      </c>
      <c r="X16">
        <v>1000000000</v>
      </c>
      <c r="Y16">
        <v>1000000000</v>
      </c>
      <c r="Z16">
        <v>1000000000</v>
      </c>
      <c r="AA16">
        <v>1000000000</v>
      </c>
      <c r="AB16">
        <v>1000000000</v>
      </c>
      <c r="AC16">
        <v>1000000000</v>
      </c>
      <c r="AD16">
        <v>1000000000</v>
      </c>
      <c r="AE16">
        <v>1000000000</v>
      </c>
      <c r="AF16">
        <v>1000000000</v>
      </c>
      <c r="AG16">
        <v>1000000000</v>
      </c>
      <c r="AH16">
        <v>1000000000</v>
      </c>
      <c r="AI16">
        <v>1000000000</v>
      </c>
      <c r="AJ16">
        <v>1000000000</v>
      </c>
      <c r="AK16">
        <v>1000000000</v>
      </c>
      <c r="AL16">
        <v>1000000000</v>
      </c>
      <c r="AM16">
        <v>1000000000</v>
      </c>
      <c r="AN16">
        <v>1000000000</v>
      </c>
      <c r="AO16">
        <v>1000000000</v>
      </c>
      <c r="AP16">
        <v>1000000000</v>
      </c>
      <c r="AQ16">
        <v>1000000000</v>
      </c>
      <c r="AR16">
        <v>1000000000</v>
      </c>
      <c r="AS16">
        <v>1000000000</v>
      </c>
      <c r="AT16">
        <v>1000000000</v>
      </c>
      <c r="AU16">
        <v>1000000000</v>
      </c>
      <c r="AV16">
        <v>1000000000</v>
      </c>
      <c r="AW16">
        <v>1000000000</v>
      </c>
      <c r="AX16">
        <v>1000000000</v>
      </c>
      <c r="AY16">
        <v>1000000000</v>
      </c>
      <c r="AZ16">
        <v>1000000000</v>
      </c>
      <c r="BA16">
        <v>1000000000</v>
      </c>
      <c r="BB16">
        <v>1000000000</v>
      </c>
      <c r="BC16">
        <v>1000000000</v>
      </c>
      <c r="BD16">
        <v>1000000000</v>
      </c>
      <c r="BE16">
        <v>1000000000</v>
      </c>
      <c r="BF16">
        <v>1000000000</v>
      </c>
      <c r="BG16">
        <v>1000000000</v>
      </c>
      <c r="BH16">
        <v>1000000000</v>
      </c>
      <c r="BI16">
        <v>1000000000</v>
      </c>
      <c r="BJ16">
        <v>1000000000</v>
      </c>
      <c r="BK16" s="1">
        <v>1000000000</v>
      </c>
      <c r="BL16">
        <v>1000000000</v>
      </c>
      <c r="BM16">
        <v>1000000000</v>
      </c>
      <c r="BN16">
        <v>1000000000</v>
      </c>
      <c r="BO16">
        <v>1000000000</v>
      </c>
      <c r="BP16">
        <v>1000000000</v>
      </c>
      <c r="BQ16" s="7">
        <v>1000000000</v>
      </c>
      <c r="BR16">
        <v>1000000000</v>
      </c>
      <c r="BS16">
        <v>1000000000</v>
      </c>
      <c r="BT16">
        <v>1000000000</v>
      </c>
      <c r="BU16">
        <v>1000000000</v>
      </c>
      <c r="BV16">
        <v>1000000000</v>
      </c>
      <c r="BW16">
        <v>1000000000</v>
      </c>
      <c r="BX16">
        <v>1000000000</v>
      </c>
      <c r="BY16">
        <v>1000000000</v>
      </c>
      <c r="BZ16">
        <v>1000000000</v>
      </c>
      <c r="CA16">
        <v>1000000000</v>
      </c>
      <c r="CB16">
        <v>1000000000</v>
      </c>
      <c r="CC16" s="1">
        <v>1000000000</v>
      </c>
      <c r="CD16">
        <v>1000000000</v>
      </c>
      <c r="CE16" s="8">
        <v>1000000000</v>
      </c>
      <c r="CF16" s="7">
        <v>1000000000</v>
      </c>
      <c r="CG16" s="7">
        <v>1000000000</v>
      </c>
      <c r="CH16" s="7">
        <v>1000000000</v>
      </c>
      <c r="CI16" s="7">
        <v>1000000000</v>
      </c>
      <c r="CJ16" s="7">
        <v>1000000000</v>
      </c>
      <c r="CK16" s="7">
        <v>1000000000</v>
      </c>
      <c r="CL16" s="9">
        <v>1000000000</v>
      </c>
      <c r="CM16" s="9">
        <v>1000000000</v>
      </c>
      <c r="CN16" s="7">
        <v>1000000000</v>
      </c>
      <c r="CO16" s="7">
        <v>1000000000</v>
      </c>
      <c r="CP16" s="1">
        <v>1000000000</v>
      </c>
      <c r="CQ16" s="7">
        <v>1000000000</v>
      </c>
      <c r="CR16" s="7">
        <v>1000000000</v>
      </c>
      <c r="CS16" s="7">
        <v>1000000000</v>
      </c>
      <c r="CT16" s="7">
        <v>1000000000</v>
      </c>
      <c r="CU16" s="7">
        <v>1000000000</v>
      </c>
      <c r="CV16" s="7">
        <v>1000000000</v>
      </c>
      <c r="CW16" s="7">
        <v>1000000000</v>
      </c>
      <c r="CX16" s="7">
        <v>1000000000</v>
      </c>
      <c r="CY16" s="7">
        <v>1000000000</v>
      </c>
      <c r="CZ16" s="7">
        <v>1000000000</v>
      </c>
      <c r="DA16" s="7">
        <v>1000000000</v>
      </c>
      <c r="DB16" s="7">
        <v>1000000000</v>
      </c>
      <c r="DC16" s="7">
        <v>1000000000</v>
      </c>
      <c r="DD16" s="7">
        <v>1000000000</v>
      </c>
      <c r="DE16" s="7">
        <v>1000000000</v>
      </c>
      <c r="DF16" s="7">
        <v>1000000000</v>
      </c>
      <c r="DG16" s="7">
        <v>1000000000</v>
      </c>
      <c r="DH16" s="7">
        <v>1000000000</v>
      </c>
      <c r="DI16" s="7">
        <v>1000000000</v>
      </c>
      <c r="DJ16" s="7">
        <v>1000000000</v>
      </c>
      <c r="DK16" s="7">
        <v>1000000000</v>
      </c>
      <c r="DL16" s="7">
        <v>1000000000</v>
      </c>
      <c r="DM16" s="7">
        <v>1000000000</v>
      </c>
      <c r="DN16" s="7">
        <v>1000000000</v>
      </c>
      <c r="DO16" s="7">
        <v>1000000000</v>
      </c>
      <c r="DP16" s="7">
        <v>1000000000</v>
      </c>
      <c r="DQ16" s="7">
        <v>1000000000</v>
      </c>
      <c r="DR16" s="7">
        <v>1000000000</v>
      </c>
      <c r="DS16" s="7">
        <v>1000000000</v>
      </c>
      <c r="DT16" s="7">
        <v>1000000000</v>
      </c>
      <c r="DU16" s="7">
        <v>1000000000</v>
      </c>
      <c r="DV16" s="7">
        <v>1000000000</v>
      </c>
      <c r="DW16" s="7">
        <v>1000000000</v>
      </c>
      <c r="DX16" s="9">
        <v>1000000000</v>
      </c>
      <c r="DY16" s="10">
        <v>1000000000</v>
      </c>
      <c r="DZ16" s="10">
        <v>1000000000</v>
      </c>
      <c r="EA16" s="7">
        <v>1000000000</v>
      </c>
    </row>
    <row r="17" spans="1:131" x14ac:dyDescent="0.25">
      <c r="A17">
        <v>1000000000</v>
      </c>
      <c r="B17">
        <v>1000000000</v>
      </c>
      <c r="C17">
        <v>1000000000</v>
      </c>
      <c r="D17">
        <v>1000000000</v>
      </c>
      <c r="E17">
        <v>1000000000</v>
      </c>
      <c r="F17">
        <v>1000000000</v>
      </c>
      <c r="G17">
        <v>1000000000</v>
      </c>
      <c r="H17">
        <v>1000000000</v>
      </c>
      <c r="I17">
        <v>1000000000</v>
      </c>
      <c r="J17">
        <v>1000000000</v>
      </c>
      <c r="K17">
        <v>1000000000</v>
      </c>
      <c r="L17">
        <v>1000000000</v>
      </c>
      <c r="M17">
        <v>1000000000</v>
      </c>
      <c r="N17">
        <v>1000000000</v>
      </c>
      <c r="O17">
        <v>1000000000</v>
      </c>
      <c r="P17">
        <v>1000000000</v>
      </c>
      <c r="Q17">
        <v>1000000000</v>
      </c>
      <c r="R17">
        <v>1000000000</v>
      </c>
      <c r="S17">
        <v>1000000000</v>
      </c>
      <c r="T17">
        <v>1000000000</v>
      </c>
      <c r="U17">
        <v>1000000000</v>
      </c>
      <c r="V17">
        <v>1000000000</v>
      </c>
      <c r="W17">
        <v>1000000000</v>
      </c>
      <c r="X17">
        <v>1000000000</v>
      </c>
      <c r="Y17">
        <v>1000000000</v>
      </c>
      <c r="Z17">
        <v>1000000000</v>
      </c>
      <c r="AA17">
        <v>1000000000</v>
      </c>
      <c r="AB17">
        <v>1000000000</v>
      </c>
      <c r="AC17">
        <v>1000000000</v>
      </c>
      <c r="AD17">
        <v>1000000000</v>
      </c>
      <c r="AE17">
        <v>1000000000</v>
      </c>
      <c r="AF17">
        <v>1000000000</v>
      </c>
      <c r="AG17">
        <v>1000000000</v>
      </c>
      <c r="AH17">
        <v>1000000000</v>
      </c>
      <c r="AI17">
        <v>1000000000</v>
      </c>
      <c r="AJ17">
        <v>1000000000</v>
      </c>
      <c r="AK17">
        <v>1000000000</v>
      </c>
      <c r="AL17">
        <v>1000000000</v>
      </c>
      <c r="AM17">
        <v>1000000000</v>
      </c>
      <c r="AN17">
        <v>1000000000</v>
      </c>
      <c r="AO17">
        <v>1000000000</v>
      </c>
      <c r="AP17">
        <v>1000000000</v>
      </c>
      <c r="AQ17">
        <v>1000000000</v>
      </c>
      <c r="AR17">
        <v>1000000000</v>
      </c>
      <c r="AS17">
        <v>1000000000</v>
      </c>
      <c r="AT17">
        <v>1000000000</v>
      </c>
      <c r="AU17">
        <v>1000000000</v>
      </c>
      <c r="AV17">
        <v>1000000000</v>
      </c>
      <c r="AW17">
        <v>1000000000</v>
      </c>
      <c r="AX17">
        <v>1000000000</v>
      </c>
      <c r="AY17">
        <v>1000000000</v>
      </c>
      <c r="AZ17">
        <v>1000000000</v>
      </c>
      <c r="BA17">
        <v>1000000000</v>
      </c>
      <c r="BB17">
        <v>1000000000</v>
      </c>
      <c r="BC17">
        <v>1000000000</v>
      </c>
      <c r="BD17">
        <v>1000000000</v>
      </c>
      <c r="BE17">
        <v>1000000000</v>
      </c>
      <c r="BF17">
        <v>1000000000</v>
      </c>
      <c r="BG17">
        <v>1000000000</v>
      </c>
      <c r="BH17">
        <v>1000000000</v>
      </c>
      <c r="BI17">
        <v>1000000000</v>
      </c>
      <c r="BJ17">
        <v>1000000000</v>
      </c>
      <c r="BK17" s="1">
        <v>1000000000</v>
      </c>
      <c r="BL17">
        <v>1000000000</v>
      </c>
      <c r="BM17">
        <v>1000000000</v>
      </c>
      <c r="BN17">
        <v>1000000000</v>
      </c>
      <c r="BO17">
        <v>1000000000</v>
      </c>
      <c r="BP17">
        <v>1000000000</v>
      </c>
      <c r="BQ17" s="7">
        <v>1000000000</v>
      </c>
      <c r="BR17">
        <v>1000000000</v>
      </c>
      <c r="BS17">
        <v>1000000000</v>
      </c>
      <c r="BT17">
        <v>1000000000</v>
      </c>
      <c r="BU17">
        <v>1000000000</v>
      </c>
      <c r="BV17">
        <v>1000000000</v>
      </c>
      <c r="BW17">
        <v>1000000000</v>
      </c>
      <c r="BX17">
        <v>1000000000</v>
      </c>
      <c r="BY17">
        <v>1000000000</v>
      </c>
      <c r="BZ17">
        <v>1000000000</v>
      </c>
      <c r="CA17">
        <v>1000000000</v>
      </c>
      <c r="CB17">
        <v>1000000000</v>
      </c>
      <c r="CC17" s="1">
        <v>1000000000</v>
      </c>
      <c r="CD17">
        <v>1000000000</v>
      </c>
      <c r="CE17" s="8">
        <v>1000000000</v>
      </c>
      <c r="CF17" s="7">
        <v>1000000000</v>
      </c>
      <c r="CG17" s="7">
        <v>1000000000</v>
      </c>
      <c r="CH17" s="7">
        <v>1000000000</v>
      </c>
      <c r="CI17" s="7">
        <v>1000000000</v>
      </c>
      <c r="CJ17" s="7">
        <v>1000000000</v>
      </c>
      <c r="CK17" s="7">
        <v>1000000000</v>
      </c>
      <c r="CL17" s="9">
        <v>1000000000</v>
      </c>
      <c r="CM17" s="9">
        <v>1000000000</v>
      </c>
      <c r="CN17" s="7">
        <v>1000000000</v>
      </c>
      <c r="CO17" s="7">
        <v>1000000000</v>
      </c>
      <c r="CP17" s="1">
        <v>1000000000</v>
      </c>
      <c r="CQ17" s="7">
        <v>1000000000</v>
      </c>
      <c r="CR17" s="7">
        <v>1000000000</v>
      </c>
      <c r="CS17" s="7">
        <v>1000000000</v>
      </c>
      <c r="CT17" s="7">
        <v>1000000000</v>
      </c>
      <c r="CU17" s="7">
        <v>1000000000</v>
      </c>
      <c r="CV17" s="7">
        <v>1000000000</v>
      </c>
      <c r="CW17" s="7">
        <v>1000000000</v>
      </c>
      <c r="CX17" s="7">
        <v>1000000000</v>
      </c>
      <c r="CY17" s="7">
        <v>1000000000</v>
      </c>
      <c r="CZ17" s="7">
        <v>1000000000</v>
      </c>
      <c r="DA17" s="7">
        <v>1000000000</v>
      </c>
      <c r="DB17" s="7">
        <v>1000000000</v>
      </c>
      <c r="DC17" s="7">
        <v>1000000000</v>
      </c>
      <c r="DD17" s="7">
        <v>1000000000</v>
      </c>
      <c r="DE17" s="7">
        <v>1000000000</v>
      </c>
      <c r="DF17" s="7">
        <v>1000000000</v>
      </c>
      <c r="DG17" s="7">
        <v>1000000000</v>
      </c>
      <c r="DH17" s="7">
        <v>1000000000</v>
      </c>
      <c r="DI17" s="7">
        <v>1000000000</v>
      </c>
      <c r="DJ17" s="7">
        <v>1000000000</v>
      </c>
      <c r="DK17" s="7">
        <v>1000000000</v>
      </c>
      <c r="DL17" s="7">
        <v>1000000000</v>
      </c>
      <c r="DM17" s="7">
        <v>1000000000</v>
      </c>
      <c r="DN17" s="7">
        <v>1000000000</v>
      </c>
      <c r="DO17" s="7">
        <v>1000000000</v>
      </c>
      <c r="DP17" s="7">
        <v>1000000000</v>
      </c>
      <c r="DQ17" s="7">
        <v>1000000000</v>
      </c>
      <c r="DR17" s="7">
        <v>1000000000</v>
      </c>
      <c r="DS17" s="7">
        <v>1000000000</v>
      </c>
      <c r="DT17" s="7">
        <v>1000000000</v>
      </c>
      <c r="DU17" s="7">
        <v>1000000000</v>
      </c>
      <c r="DV17" s="7">
        <v>1000000000</v>
      </c>
      <c r="DW17" s="7">
        <v>1000000000</v>
      </c>
      <c r="DX17" s="9">
        <v>1000000000</v>
      </c>
      <c r="DY17" s="10">
        <v>1000000000</v>
      </c>
      <c r="DZ17" s="10">
        <v>1000000000</v>
      </c>
      <c r="EA17" s="7">
        <v>1000000000</v>
      </c>
    </row>
    <row r="18" spans="1:131" x14ac:dyDescent="0.25">
      <c r="A18">
        <v>1000000000</v>
      </c>
      <c r="B18">
        <v>1000000000</v>
      </c>
      <c r="C18">
        <v>1000000000</v>
      </c>
      <c r="D18">
        <v>1000000000</v>
      </c>
      <c r="E18">
        <v>1000000000</v>
      </c>
      <c r="F18">
        <v>1000000000</v>
      </c>
      <c r="G18">
        <v>1000000000</v>
      </c>
      <c r="H18">
        <v>1000000000</v>
      </c>
      <c r="I18">
        <v>1000000000</v>
      </c>
      <c r="J18">
        <v>1000000000</v>
      </c>
      <c r="K18">
        <v>1000000000</v>
      </c>
      <c r="L18">
        <v>1000000000</v>
      </c>
      <c r="M18">
        <v>1000000000</v>
      </c>
      <c r="N18">
        <v>1000000000</v>
      </c>
      <c r="O18">
        <v>1000000000</v>
      </c>
      <c r="P18">
        <v>1000000000</v>
      </c>
      <c r="Q18">
        <v>1000000000</v>
      </c>
      <c r="R18">
        <v>1000000000</v>
      </c>
      <c r="S18">
        <v>1000000000</v>
      </c>
      <c r="T18">
        <v>1000000000</v>
      </c>
      <c r="U18">
        <v>1000000000</v>
      </c>
      <c r="V18">
        <v>1000000000</v>
      </c>
      <c r="W18">
        <v>1000000000</v>
      </c>
      <c r="X18">
        <v>1000000000</v>
      </c>
      <c r="Y18">
        <v>1000000000</v>
      </c>
      <c r="Z18">
        <v>1000000000</v>
      </c>
      <c r="AA18">
        <v>1000000000</v>
      </c>
      <c r="AB18">
        <v>1000000000</v>
      </c>
      <c r="AC18">
        <v>1000000000</v>
      </c>
      <c r="AD18">
        <v>1000000000</v>
      </c>
      <c r="AE18">
        <v>1000000000</v>
      </c>
      <c r="AF18">
        <v>1000000000</v>
      </c>
      <c r="AG18">
        <v>1000000000</v>
      </c>
      <c r="AH18">
        <v>1000000000</v>
      </c>
      <c r="AI18">
        <v>1000000000</v>
      </c>
      <c r="AJ18">
        <v>1000000000</v>
      </c>
      <c r="AK18">
        <v>1000000000</v>
      </c>
      <c r="AL18">
        <v>1000000000</v>
      </c>
      <c r="AM18">
        <v>1000000000</v>
      </c>
      <c r="AN18">
        <v>1000000000</v>
      </c>
      <c r="AO18">
        <v>1000000000</v>
      </c>
      <c r="AP18">
        <v>1000000000</v>
      </c>
      <c r="AQ18">
        <v>1000000000</v>
      </c>
      <c r="AR18">
        <v>1000000000</v>
      </c>
      <c r="AS18">
        <v>1000000000</v>
      </c>
      <c r="AT18">
        <v>1000000000</v>
      </c>
      <c r="AU18">
        <v>1000000000</v>
      </c>
      <c r="AV18">
        <v>1000000000</v>
      </c>
      <c r="AW18">
        <v>1000000000</v>
      </c>
      <c r="AX18">
        <v>1000000000</v>
      </c>
      <c r="AY18">
        <v>1000000000</v>
      </c>
      <c r="AZ18">
        <v>1000000000</v>
      </c>
      <c r="BA18">
        <v>1000000000</v>
      </c>
      <c r="BB18">
        <v>1000000000</v>
      </c>
      <c r="BC18">
        <v>1000000000</v>
      </c>
      <c r="BD18">
        <v>1000000000</v>
      </c>
      <c r="BE18">
        <v>1000000000</v>
      </c>
      <c r="BF18">
        <v>1000000000</v>
      </c>
      <c r="BG18">
        <v>1000000000</v>
      </c>
      <c r="BH18">
        <v>1000000000</v>
      </c>
      <c r="BI18">
        <v>1000000000</v>
      </c>
      <c r="BJ18">
        <v>1000000000</v>
      </c>
      <c r="BK18" s="1">
        <v>1000000000</v>
      </c>
      <c r="BL18">
        <v>1000000000</v>
      </c>
      <c r="BM18">
        <v>1000000000</v>
      </c>
      <c r="BN18">
        <v>1000000000</v>
      </c>
      <c r="BO18">
        <v>1000000000</v>
      </c>
      <c r="BP18">
        <v>1000000000</v>
      </c>
      <c r="BQ18" s="7">
        <v>1000000000</v>
      </c>
      <c r="BR18">
        <v>1000000000</v>
      </c>
      <c r="BS18">
        <v>1000000000</v>
      </c>
      <c r="BT18">
        <v>1000000000</v>
      </c>
      <c r="BU18">
        <v>1000000000</v>
      </c>
      <c r="BV18">
        <v>1000000000</v>
      </c>
      <c r="BW18">
        <v>1000000000</v>
      </c>
      <c r="BX18">
        <v>1000000000</v>
      </c>
      <c r="BY18">
        <v>1000000000</v>
      </c>
      <c r="BZ18">
        <v>1000000000</v>
      </c>
      <c r="CA18">
        <v>1000000000</v>
      </c>
      <c r="CB18">
        <v>1000000000</v>
      </c>
      <c r="CC18" s="1">
        <v>1000000000</v>
      </c>
      <c r="CD18">
        <v>1000000000</v>
      </c>
      <c r="CE18" s="8">
        <v>1000000000</v>
      </c>
      <c r="CF18" s="7">
        <v>1000000000</v>
      </c>
      <c r="CG18" s="7">
        <v>1000000000</v>
      </c>
      <c r="CH18" s="7">
        <v>1000000000</v>
      </c>
      <c r="CI18" s="7">
        <v>1000000000</v>
      </c>
      <c r="CJ18" s="7">
        <v>1000000000</v>
      </c>
      <c r="CK18" s="7">
        <v>1000000000</v>
      </c>
      <c r="CL18" s="9">
        <v>1000000000</v>
      </c>
      <c r="CM18" s="9">
        <v>1000000000</v>
      </c>
      <c r="CN18" s="7">
        <v>1000000000</v>
      </c>
      <c r="CO18" s="7">
        <v>1000000000</v>
      </c>
      <c r="CP18" s="1">
        <v>1000000000</v>
      </c>
      <c r="CQ18" s="7">
        <v>1000000000</v>
      </c>
      <c r="CR18" s="7">
        <v>1000000000</v>
      </c>
      <c r="CS18" s="7">
        <v>1000000000</v>
      </c>
      <c r="CT18" s="7">
        <v>1000000000</v>
      </c>
      <c r="CU18" s="7">
        <v>1000000000</v>
      </c>
      <c r="CV18" s="7">
        <v>1000000000</v>
      </c>
      <c r="CW18" s="7">
        <v>1000000000</v>
      </c>
      <c r="CX18" s="7">
        <v>1000000000</v>
      </c>
      <c r="CY18" s="7">
        <v>1000000000</v>
      </c>
      <c r="CZ18" s="7">
        <v>1000000000</v>
      </c>
      <c r="DA18" s="7">
        <v>1000000000</v>
      </c>
      <c r="DB18" s="7">
        <v>1000000000</v>
      </c>
      <c r="DC18" s="7">
        <v>1000000000</v>
      </c>
      <c r="DD18" s="7">
        <v>1000000000</v>
      </c>
      <c r="DE18" s="7">
        <v>1000000000</v>
      </c>
      <c r="DF18" s="7">
        <v>1000000000</v>
      </c>
      <c r="DG18" s="7">
        <v>1000000000</v>
      </c>
      <c r="DH18" s="7">
        <v>1000000000</v>
      </c>
      <c r="DI18" s="7">
        <v>1000000000</v>
      </c>
      <c r="DJ18" s="7">
        <v>1000000000</v>
      </c>
      <c r="DK18" s="7">
        <v>1000000000</v>
      </c>
      <c r="DL18" s="7">
        <v>1000000000</v>
      </c>
      <c r="DM18" s="7">
        <v>1000000000</v>
      </c>
      <c r="DN18" s="7">
        <v>1000000000</v>
      </c>
      <c r="DO18" s="7">
        <v>1000000000</v>
      </c>
      <c r="DP18" s="7">
        <v>1000000000</v>
      </c>
      <c r="DQ18" s="7">
        <v>1000000000</v>
      </c>
      <c r="DR18" s="7">
        <v>1000000000</v>
      </c>
      <c r="DS18" s="7">
        <v>1000000000</v>
      </c>
      <c r="DT18" s="7">
        <v>1000000000</v>
      </c>
      <c r="DU18" s="7">
        <v>1000000000</v>
      </c>
      <c r="DV18" s="7">
        <v>1000000000</v>
      </c>
      <c r="DW18" s="7">
        <v>1000000000</v>
      </c>
      <c r="DX18" s="9">
        <v>1000000000</v>
      </c>
      <c r="DY18" s="10">
        <v>1000000000</v>
      </c>
      <c r="DZ18" s="10">
        <v>1000000000</v>
      </c>
      <c r="EA18" s="7">
        <v>1000000000</v>
      </c>
    </row>
    <row r="19" spans="1:131" x14ac:dyDescent="0.25">
      <c r="A19">
        <v>1000000000</v>
      </c>
      <c r="B19">
        <v>1000000000</v>
      </c>
      <c r="C19">
        <v>1000000000</v>
      </c>
      <c r="D19">
        <v>1000000000</v>
      </c>
      <c r="E19">
        <v>1000000000</v>
      </c>
      <c r="F19">
        <v>1000000000</v>
      </c>
      <c r="G19">
        <v>1000000000</v>
      </c>
      <c r="H19">
        <v>1000000000</v>
      </c>
      <c r="I19">
        <v>1000000000</v>
      </c>
      <c r="J19">
        <v>1000000000</v>
      </c>
      <c r="K19">
        <v>1000000000</v>
      </c>
      <c r="L19">
        <v>1000000000</v>
      </c>
      <c r="M19">
        <v>1000000000</v>
      </c>
      <c r="N19">
        <v>1000000000</v>
      </c>
      <c r="O19">
        <v>1000000000</v>
      </c>
      <c r="P19">
        <v>1000000000</v>
      </c>
      <c r="Q19">
        <v>1000000000</v>
      </c>
      <c r="R19">
        <v>1000000000</v>
      </c>
      <c r="S19">
        <v>1000000000</v>
      </c>
      <c r="T19">
        <v>1000000000</v>
      </c>
      <c r="U19">
        <v>1000000000</v>
      </c>
      <c r="V19">
        <v>1000000000</v>
      </c>
      <c r="W19">
        <v>1000000000</v>
      </c>
      <c r="X19">
        <v>1000000000</v>
      </c>
      <c r="Y19">
        <v>1000000000</v>
      </c>
      <c r="Z19">
        <v>1000000000</v>
      </c>
      <c r="AA19">
        <v>1000000000</v>
      </c>
      <c r="AB19">
        <v>1000000000</v>
      </c>
      <c r="AC19">
        <v>1000000000</v>
      </c>
      <c r="AD19">
        <v>1000000000</v>
      </c>
      <c r="AE19">
        <v>1000000000</v>
      </c>
      <c r="AF19">
        <v>1000000000</v>
      </c>
      <c r="AG19">
        <v>1000000000</v>
      </c>
      <c r="AH19">
        <v>1000000000</v>
      </c>
      <c r="AI19">
        <v>1000000000</v>
      </c>
      <c r="AJ19">
        <v>1000000000</v>
      </c>
      <c r="AK19">
        <v>1000000000</v>
      </c>
      <c r="AL19">
        <v>1000000000</v>
      </c>
      <c r="AM19">
        <v>1000000000</v>
      </c>
      <c r="AN19">
        <v>1000000000</v>
      </c>
      <c r="AO19">
        <v>1000000000</v>
      </c>
      <c r="AP19">
        <v>1000000000</v>
      </c>
      <c r="AQ19">
        <v>1000000000</v>
      </c>
      <c r="AR19">
        <v>1000000000</v>
      </c>
      <c r="AS19">
        <v>1000000000</v>
      </c>
      <c r="AT19">
        <v>1000000000</v>
      </c>
      <c r="AU19">
        <v>1000000000</v>
      </c>
      <c r="AV19">
        <v>1000000000</v>
      </c>
      <c r="AW19">
        <v>1000000000</v>
      </c>
      <c r="AX19">
        <v>1000000000</v>
      </c>
      <c r="AY19">
        <v>1000000000</v>
      </c>
      <c r="AZ19">
        <v>1000000000</v>
      </c>
      <c r="BA19">
        <v>1000000000</v>
      </c>
      <c r="BB19">
        <v>1000000000</v>
      </c>
      <c r="BC19">
        <v>1000000000</v>
      </c>
      <c r="BD19">
        <v>1000000000</v>
      </c>
      <c r="BE19">
        <v>1000000000</v>
      </c>
      <c r="BF19">
        <v>1000000000</v>
      </c>
      <c r="BG19">
        <v>1000000000</v>
      </c>
      <c r="BH19">
        <v>1000000000</v>
      </c>
      <c r="BI19">
        <v>1000000000</v>
      </c>
      <c r="BJ19">
        <v>1000000000</v>
      </c>
      <c r="BK19" s="1">
        <v>1000000000</v>
      </c>
      <c r="BL19">
        <v>1000000000</v>
      </c>
      <c r="BM19">
        <v>1000000000</v>
      </c>
      <c r="BN19">
        <v>1000000000</v>
      </c>
      <c r="BO19">
        <v>1000000000</v>
      </c>
      <c r="BP19">
        <v>1000000000</v>
      </c>
      <c r="BQ19" s="7">
        <v>1000000000</v>
      </c>
      <c r="BR19">
        <v>1000000000</v>
      </c>
      <c r="BS19">
        <v>1000000000</v>
      </c>
      <c r="BT19">
        <v>1000000000</v>
      </c>
      <c r="BU19">
        <v>1000000000</v>
      </c>
      <c r="BV19">
        <v>1000000000</v>
      </c>
      <c r="BW19">
        <v>1000000000</v>
      </c>
      <c r="BX19">
        <v>1000000000</v>
      </c>
      <c r="BY19">
        <v>1000000000</v>
      </c>
      <c r="BZ19">
        <v>1000000000</v>
      </c>
      <c r="CA19">
        <v>1000000000</v>
      </c>
      <c r="CB19">
        <v>1000000000</v>
      </c>
      <c r="CC19" s="1">
        <v>1000000000</v>
      </c>
      <c r="CD19">
        <v>1000000000</v>
      </c>
      <c r="CE19" s="8">
        <v>1000000000</v>
      </c>
      <c r="CF19" s="7">
        <v>1000000000</v>
      </c>
      <c r="CG19" s="7">
        <v>1000000000</v>
      </c>
      <c r="CH19" s="7">
        <v>1000000000</v>
      </c>
      <c r="CI19" s="7">
        <v>1000000000</v>
      </c>
      <c r="CJ19" s="7">
        <v>1000000000</v>
      </c>
      <c r="CK19" s="7">
        <v>1000000000</v>
      </c>
      <c r="CL19" s="9">
        <v>1000000000</v>
      </c>
      <c r="CM19" s="9">
        <v>1000000000</v>
      </c>
      <c r="CN19" s="7">
        <v>1000000000</v>
      </c>
      <c r="CO19" s="7">
        <v>1000000000</v>
      </c>
      <c r="CP19" s="1">
        <v>1000000000</v>
      </c>
      <c r="CQ19" s="7">
        <v>1000000000</v>
      </c>
      <c r="CR19" s="7">
        <v>1000000000</v>
      </c>
      <c r="CS19" s="7">
        <v>1000000000</v>
      </c>
      <c r="CT19" s="7">
        <v>1000000000</v>
      </c>
      <c r="CU19" s="7">
        <v>1000000000</v>
      </c>
      <c r="CV19" s="7">
        <v>1000000000</v>
      </c>
      <c r="CW19" s="7">
        <v>1000000000</v>
      </c>
      <c r="CX19" s="7">
        <v>1000000000</v>
      </c>
      <c r="CY19" s="7">
        <v>1000000000</v>
      </c>
      <c r="CZ19" s="7">
        <v>1000000000</v>
      </c>
      <c r="DA19" s="7">
        <v>1000000000</v>
      </c>
      <c r="DB19" s="7">
        <v>1000000000</v>
      </c>
      <c r="DC19" s="7">
        <v>1000000000</v>
      </c>
      <c r="DD19" s="7">
        <v>1000000000</v>
      </c>
      <c r="DE19" s="7">
        <v>1000000000</v>
      </c>
      <c r="DF19" s="7">
        <v>1000000000</v>
      </c>
      <c r="DG19" s="7">
        <v>1000000000</v>
      </c>
      <c r="DH19" s="7">
        <v>1000000000</v>
      </c>
      <c r="DI19" s="7">
        <v>1000000000</v>
      </c>
      <c r="DJ19" s="7">
        <v>1000000000</v>
      </c>
      <c r="DK19" s="7">
        <v>1000000000</v>
      </c>
      <c r="DL19" s="7">
        <v>1000000000</v>
      </c>
      <c r="DM19" s="7">
        <v>1000000000</v>
      </c>
      <c r="DN19" s="7">
        <v>1000000000</v>
      </c>
      <c r="DO19" s="7">
        <v>1000000000</v>
      </c>
      <c r="DP19" s="7">
        <v>1000000000</v>
      </c>
      <c r="DQ19" s="7">
        <v>1000000000</v>
      </c>
      <c r="DR19" s="7">
        <v>1000000000</v>
      </c>
      <c r="DS19" s="7">
        <v>1000000000</v>
      </c>
      <c r="DT19" s="7">
        <v>1000000000</v>
      </c>
      <c r="DU19" s="7">
        <v>1000000000</v>
      </c>
      <c r="DV19" s="7">
        <v>1000000000</v>
      </c>
      <c r="DW19" s="7">
        <v>1000000000</v>
      </c>
      <c r="DX19" s="9">
        <v>1000000000</v>
      </c>
      <c r="DY19" s="10">
        <v>1000000000</v>
      </c>
      <c r="DZ19" s="10">
        <v>1000000000</v>
      </c>
      <c r="EA19" s="7">
        <v>1000000000</v>
      </c>
    </row>
    <row r="20" spans="1:131" x14ac:dyDescent="0.25">
      <c r="A20">
        <v>1000000000</v>
      </c>
      <c r="B20">
        <v>1000000000</v>
      </c>
      <c r="C20">
        <v>1000000000</v>
      </c>
      <c r="D20">
        <v>1000000000</v>
      </c>
      <c r="E20">
        <v>1000000000</v>
      </c>
      <c r="F20">
        <v>1000000000</v>
      </c>
      <c r="G20">
        <v>1000000000</v>
      </c>
      <c r="H20">
        <v>1000000000</v>
      </c>
      <c r="I20">
        <v>1000000000</v>
      </c>
      <c r="J20">
        <v>1000000000</v>
      </c>
      <c r="K20">
        <v>1000000000</v>
      </c>
      <c r="L20">
        <v>1000000000</v>
      </c>
      <c r="M20">
        <v>1000000000</v>
      </c>
      <c r="N20">
        <v>1000000000</v>
      </c>
      <c r="O20">
        <v>1000000000</v>
      </c>
      <c r="P20">
        <v>1000000000</v>
      </c>
      <c r="Q20">
        <v>1000000000</v>
      </c>
      <c r="R20">
        <v>1000000000</v>
      </c>
      <c r="S20">
        <v>1000000000</v>
      </c>
      <c r="T20">
        <v>1000000000</v>
      </c>
      <c r="U20">
        <v>1000000000</v>
      </c>
      <c r="V20">
        <v>1000000000</v>
      </c>
      <c r="W20">
        <v>1000000000</v>
      </c>
      <c r="X20">
        <v>1000000000</v>
      </c>
      <c r="Y20">
        <v>1000000000</v>
      </c>
      <c r="Z20">
        <v>1000000000</v>
      </c>
      <c r="AA20">
        <v>1000000000</v>
      </c>
      <c r="AB20">
        <v>1000000000</v>
      </c>
      <c r="AC20">
        <v>1000000000</v>
      </c>
      <c r="AD20">
        <v>1000000000</v>
      </c>
      <c r="AE20">
        <v>1000000000</v>
      </c>
      <c r="AF20">
        <v>1000000000</v>
      </c>
      <c r="AG20">
        <v>1000000000</v>
      </c>
      <c r="AH20">
        <v>1000000000</v>
      </c>
      <c r="AI20">
        <v>1000000000</v>
      </c>
      <c r="AJ20">
        <v>1000000000</v>
      </c>
      <c r="AK20">
        <v>1000000000</v>
      </c>
      <c r="AL20">
        <v>1000000000</v>
      </c>
      <c r="AM20">
        <v>1000000000</v>
      </c>
      <c r="AN20">
        <v>1000000000</v>
      </c>
      <c r="AO20">
        <v>1000000000</v>
      </c>
      <c r="AP20">
        <v>1000000000</v>
      </c>
      <c r="AQ20">
        <v>1000000000</v>
      </c>
      <c r="AR20">
        <v>1000000000</v>
      </c>
      <c r="AS20">
        <v>1000000000</v>
      </c>
      <c r="AT20">
        <v>1000000000</v>
      </c>
      <c r="AU20">
        <v>1000000000</v>
      </c>
      <c r="AV20">
        <v>1000000000</v>
      </c>
      <c r="AW20">
        <v>1000000000</v>
      </c>
      <c r="AX20">
        <v>1000000000</v>
      </c>
      <c r="AY20">
        <v>1000000000</v>
      </c>
      <c r="AZ20">
        <v>1000000000</v>
      </c>
      <c r="BA20">
        <v>1000000000</v>
      </c>
      <c r="BB20">
        <v>1000000000</v>
      </c>
      <c r="BC20">
        <v>1000000000</v>
      </c>
      <c r="BD20">
        <v>1000000000</v>
      </c>
      <c r="BE20">
        <v>1000000000</v>
      </c>
      <c r="BF20">
        <v>1000000000</v>
      </c>
      <c r="BG20">
        <v>1000000000</v>
      </c>
      <c r="BH20">
        <v>1000000000</v>
      </c>
      <c r="BI20">
        <v>1000000000</v>
      </c>
      <c r="BJ20">
        <v>1000000000</v>
      </c>
      <c r="BK20" s="1">
        <v>1000000000</v>
      </c>
      <c r="BL20">
        <v>1000000000</v>
      </c>
      <c r="BM20">
        <v>1000000000</v>
      </c>
      <c r="BN20">
        <v>1000000000</v>
      </c>
      <c r="BO20">
        <v>1000000000</v>
      </c>
      <c r="BP20">
        <v>1000000000</v>
      </c>
      <c r="BQ20" s="7">
        <v>1000000000</v>
      </c>
      <c r="BR20">
        <v>1000000000</v>
      </c>
      <c r="BS20">
        <v>1000000000</v>
      </c>
      <c r="BT20">
        <v>1000000000</v>
      </c>
      <c r="BU20">
        <v>1000000000</v>
      </c>
      <c r="BV20">
        <v>1000000000</v>
      </c>
      <c r="BW20">
        <v>1000000000</v>
      </c>
      <c r="BX20">
        <v>1000000000</v>
      </c>
      <c r="BY20">
        <v>1000000000</v>
      </c>
      <c r="BZ20">
        <v>1000000000</v>
      </c>
      <c r="CA20">
        <v>1000000000</v>
      </c>
      <c r="CB20">
        <v>1000000000</v>
      </c>
      <c r="CC20" s="1">
        <v>1000000000</v>
      </c>
      <c r="CD20">
        <v>1000000000</v>
      </c>
      <c r="CE20" s="8">
        <v>1000000000</v>
      </c>
      <c r="CF20" s="7">
        <v>1000000000</v>
      </c>
      <c r="CG20" s="7">
        <v>1000000000</v>
      </c>
      <c r="CH20" s="7">
        <v>1000000000</v>
      </c>
      <c r="CI20" s="7">
        <v>1000000000</v>
      </c>
      <c r="CJ20" s="7">
        <v>1000000000</v>
      </c>
      <c r="CK20" s="7">
        <v>1000000000</v>
      </c>
      <c r="CL20" s="9">
        <v>1000000000</v>
      </c>
      <c r="CM20" s="9">
        <v>1000000000</v>
      </c>
      <c r="CN20" s="7">
        <v>1000000000</v>
      </c>
      <c r="CO20" s="7">
        <v>1000000000</v>
      </c>
      <c r="CP20" s="1">
        <v>1000000000</v>
      </c>
      <c r="CQ20" s="7">
        <v>1000000000</v>
      </c>
      <c r="CR20" s="7">
        <v>1000000000</v>
      </c>
      <c r="CS20" s="7">
        <v>1000000000</v>
      </c>
      <c r="CT20" s="7">
        <v>1000000000</v>
      </c>
      <c r="CU20" s="7">
        <v>1000000000</v>
      </c>
      <c r="CV20" s="7">
        <v>1000000000</v>
      </c>
      <c r="CW20" s="7">
        <v>1000000000</v>
      </c>
      <c r="CX20" s="7">
        <v>1000000000</v>
      </c>
      <c r="CY20" s="7">
        <v>1000000000</v>
      </c>
      <c r="CZ20" s="7">
        <v>1000000000</v>
      </c>
      <c r="DA20" s="7">
        <v>1000000000</v>
      </c>
      <c r="DB20" s="7">
        <v>1000000000</v>
      </c>
      <c r="DC20" s="7">
        <v>1000000000</v>
      </c>
      <c r="DD20" s="7">
        <v>1000000000</v>
      </c>
      <c r="DE20" s="7">
        <v>1000000000</v>
      </c>
      <c r="DF20" s="7">
        <v>1000000000</v>
      </c>
      <c r="DG20" s="7">
        <v>1000000000</v>
      </c>
      <c r="DH20" s="7">
        <v>1000000000</v>
      </c>
      <c r="DI20" s="7">
        <v>1000000000</v>
      </c>
      <c r="DJ20" s="7">
        <v>1000000000</v>
      </c>
      <c r="DK20" s="7">
        <v>1000000000</v>
      </c>
      <c r="DL20" s="7">
        <v>1000000000</v>
      </c>
      <c r="DM20" s="7">
        <v>1000000000</v>
      </c>
      <c r="DN20" s="7">
        <v>1000000000</v>
      </c>
      <c r="DO20" s="7">
        <v>1000000000</v>
      </c>
      <c r="DP20" s="7">
        <v>1000000000</v>
      </c>
      <c r="DQ20" s="7">
        <v>1000000000</v>
      </c>
      <c r="DR20" s="7">
        <v>1000000000</v>
      </c>
      <c r="DS20" s="7">
        <v>1000000000</v>
      </c>
      <c r="DT20" s="7">
        <v>1000000000</v>
      </c>
      <c r="DU20" s="7">
        <v>1000000000</v>
      </c>
      <c r="DV20" s="7">
        <v>1000000000</v>
      </c>
      <c r="DW20" s="7">
        <v>1000000000</v>
      </c>
      <c r="DX20" s="9">
        <v>1000000000</v>
      </c>
      <c r="DY20" s="10">
        <v>1000000000</v>
      </c>
      <c r="DZ20" s="10">
        <v>1000000000</v>
      </c>
      <c r="EA20" s="7">
        <v>1000000000</v>
      </c>
    </row>
    <row r="21" spans="1:131" x14ac:dyDescent="0.25">
      <c r="A21">
        <v>1000000000</v>
      </c>
      <c r="B21">
        <v>1000000000</v>
      </c>
      <c r="C21">
        <v>1000000000</v>
      </c>
      <c r="D21">
        <v>1000000000</v>
      </c>
      <c r="E21">
        <v>1000000000</v>
      </c>
      <c r="F21">
        <v>1000000000</v>
      </c>
      <c r="G21">
        <v>1000000000</v>
      </c>
      <c r="H21">
        <v>1000000000</v>
      </c>
      <c r="I21">
        <v>1000000000</v>
      </c>
      <c r="J21">
        <v>1000000000</v>
      </c>
      <c r="K21">
        <v>1000000000</v>
      </c>
      <c r="L21">
        <v>1000000000</v>
      </c>
      <c r="M21">
        <v>1000000000</v>
      </c>
      <c r="N21">
        <v>1000000000</v>
      </c>
      <c r="O21">
        <v>1000000000</v>
      </c>
      <c r="P21">
        <v>1000000000</v>
      </c>
      <c r="Q21">
        <v>1000000000</v>
      </c>
      <c r="R21">
        <v>1000000000</v>
      </c>
      <c r="S21">
        <v>1000000000</v>
      </c>
      <c r="T21">
        <v>1000000000</v>
      </c>
      <c r="U21">
        <v>1000000000</v>
      </c>
      <c r="V21">
        <v>1000000000</v>
      </c>
      <c r="W21">
        <v>1000000000</v>
      </c>
      <c r="X21">
        <v>1000000000</v>
      </c>
      <c r="Y21">
        <v>1000000000</v>
      </c>
      <c r="Z21">
        <v>1000000000</v>
      </c>
      <c r="AA21">
        <v>1000000000</v>
      </c>
      <c r="AB21">
        <v>1000000000</v>
      </c>
      <c r="AC21">
        <v>1000000000</v>
      </c>
      <c r="AD21">
        <v>1000000000</v>
      </c>
      <c r="AE21">
        <v>1000000000</v>
      </c>
      <c r="AF21">
        <v>1000000000</v>
      </c>
      <c r="AG21">
        <v>1000000000</v>
      </c>
      <c r="AH21">
        <v>1000000000</v>
      </c>
      <c r="AI21">
        <v>1000000000</v>
      </c>
      <c r="AJ21">
        <v>1000000000</v>
      </c>
      <c r="AK21">
        <v>1000000000</v>
      </c>
      <c r="AL21">
        <v>1000000000</v>
      </c>
      <c r="AM21">
        <v>1000000000</v>
      </c>
      <c r="AN21">
        <v>1000000000</v>
      </c>
      <c r="AO21">
        <v>1000000000</v>
      </c>
      <c r="AP21">
        <v>1000000000</v>
      </c>
      <c r="AQ21">
        <v>1000000000</v>
      </c>
      <c r="AR21">
        <v>1000000000</v>
      </c>
      <c r="AS21">
        <v>1000000000</v>
      </c>
      <c r="AT21">
        <v>1000000000</v>
      </c>
      <c r="AU21">
        <v>1000000000</v>
      </c>
      <c r="AV21">
        <v>1000000000</v>
      </c>
      <c r="AW21">
        <v>1000000000</v>
      </c>
      <c r="AX21">
        <v>1000000000</v>
      </c>
      <c r="AY21">
        <v>1000000000</v>
      </c>
      <c r="AZ21">
        <v>1000000000</v>
      </c>
      <c r="BA21">
        <v>1000000000</v>
      </c>
      <c r="BB21">
        <v>1000000000</v>
      </c>
      <c r="BC21">
        <v>1000000000</v>
      </c>
      <c r="BD21">
        <v>1000000000</v>
      </c>
      <c r="BE21">
        <v>1000000000</v>
      </c>
      <c r="BF21">
        <v>1000000000</v>
      </c>
      <c r="BG21">
        <v>1000000000</v>
      </c>
      <c r="BH21">
        <v>1000000000</v>
      </c>
      <c r="BI21">
        <v>1000000000</v>
      </c>
      <c r="BJ21">
        <v>1000000000</v>
      </c>
      <c r="BK21" s="1">
        <v>1000000000</v>
      </c>
      <c r="BL21">
        <v>1000000000</v>
      </c>
      <c r="BM21">
        <v>1000000000</v>
      </c>
      <c r="BN21">
        <v>1000000000</v>
      </c>
      <c r="BO21">
        <v>1000000000</v>
      </c>
      <c r="BP21">
        <v>1000000000</v>
      </c>
      <c r="BQ21" s="7">
        <v>1000000000</v>
      </c>
      <c r="BR21">
        <v>1000000000</v>
      </c>
      <c r="BS21">
        <v>1000000000</v>
      </c>
      <c r="BT21">
        <v>1000000000</v>
      </c>
      <c r="BU21">
        <v>1000000000</v>
      </c>
      <c r="BV21">
        <v>1000000000</v>
      </c>
      <c r="BW21">
        <v>1000000000</v>
      </c>
      <c r="BX21">
        <v>1000000000</v>
      </c>
      <c r="BY21">
        <v>1000000000</v>
      </c>
      <c r="BZ21">
        <v>1000000000</v>
      </c>
      <c r="CA21">
        <v>1000000000</v>
      </c>
      <c r="CB21">
        <v>1000000000</v>
      </c>
      <c r="CC21" s="1">
        <v>1000000000</v>
      </c>
      <c r="CD21">
        <v>1000000000</v>
      </c>
      <c r="CE21" s="8">
        <v>1000000000</v>
      </c>
      <c r="CF21" s="7">
        <v>1000000000</v>
      </c>
      <c r="CG21" s="7">
        <v>1000000000</v>
      </c>
      <c r="CH21" s="7">
        <v>1000000000</v>
      </c>
      <c r="CI21" s="7">
        <v>1000000000</v>
      </c>
      <c r="CJ21" s="7">
        <v>1000000000</v>
      </c>
      <c r="CK21" s="7">
        <v>1000000000</v>
      </c>
      <c r="CL21" s="9">
        <v>1000000000</v>
      </c>
      <c r="CM21" s="9">
        <v>1000000000</v>
      </c>
      <c r="CN21" s="7">
        <v>1000000000</v>
      </c>
      <c r="CO21" s="7">
        <v>1000000000</v>
      </c>
      <c r="CP21" s="1">
        <v>1000000000</v>
      </c>
      <c r="CQ21" s="7">
        <v>1000000000</v>
      </c>
      <c r="CR21" s="7">
        <v>1000000000</v>
      </c>
      <c r="CS21" s="7">
        <v>1000000000</v>
      </c>
      <c r="CT21" s="7">
        <v>1000000000</v>
      </c>
      <c r="CU21" s="7">
        <v>1000000000</v>
      </c>
      <c r="CV21" s="7">
        <v>1000000000</v>
      </c>
      <c r="CW21" s="7">
        <v>1000000000</v>
      </c>
      <c r="CX21" s="7">
        <v>1000000000</v>
      </c>
      <c r="CY21" s="7">
        <v>1000000000</v>
      </c>
      <c r="CZ21" s="7">
        <v>1000000000</v>
      </c>
      <c r="DA21" s="7">
        <v>1000000000</v>
      </c>
      <c r="DB21" s="7">
        <v>1000000000</v>
      </c>
      <c r="DC21" s="7">
        <v>1000000000</v>
      </c>
      <c r="DD21" s="7">
        <v>1000000000</v>
      </c>
      <c r="DE21" s="7">
        <v>1000000000</v>
      </c>
      <c r="DF21" s="7">
        <v>1000000000</v>
      </c>
      <c r="DG21" s="7">
        <v>1000000000</v>
      </c>
      <c r="DH21" s="7">
        <v>1000000000</v>
      </c>
      <c r="DI21" s="7">
        <v>1000000000</v>
      </c>
      <c r="DJ21" s="7">
        <v>1000000000</v>
      </c>
      <c r="DK21" s="7">
        <v>1000000000</v>
      </c>
      <c r="DL21" s="7">
        <v>1000000000</v>
      </c>
      <c r="DM21" s="7">
        <v>1000000000</v>
      </c>
      <c r="DN21" s="7">
        <v>1000000000</v>
      </c>
      <c r="DO21" s="7">
        <v>1000000000</v>
      </c>
      <c r="DP21" s="7">
        <v>1000000000</v>
      </c>
      <c r="DQ21" s="7">
        <v>1000000000</v>
      </c>
      <c r="DR21" s="7">
        <v>1000000000</v>
      </c>
      <c r="DS21" s="7">
        <v>1000000000</v>
      </c>
      <c r="DT21" s="7">
        <v>1000000000</v>
      </c>
      <c r="DU21" s="7">
        <v>1000000000</v>
      </c>
      <c r="DV21" s="7">
        <v>1000000000</v>
      </c>
      <c r="DW21" s="7">
        <v>1000000000</v>
      </c>
      <c r="DX21" s="9">
        <v>1000000000</v>
      </c>
      <c r="DY21" s="10">
        <v>1000000000</v>
      </c>
      <c r="DZ21" s="10">
        <v>1000000000</v>
      </c>
      <c r="EA21" s="7">
        <v>1000000000</v>
      </c>
    </row>
    <row r="22" spans="1:131" x14ac:dyDescent="0.25">
      <c r="A22">
        <v>1000000000</v>
      </c>
      <c r="B22">
        <v>1000000000</v>
      </c>
      <c r="C22">
        <v>1000000000</v>
      </c>
      <c r="D22">
        <v>1000000000</v>
      </c>
      <c r="E22">
        <v>1000000000</v>
      </c>
      <c r="F22">
        <v>1000000000</v>
      </c>
      <c r="G22">
        <v>1000000000</v>
      </c>
      <c r="H22">
        <v>1000000000</v>
      </c>
      <c r="I22">
        <v>1000000000</v>
      </c>
      <c r="J22">
        <v>1000000000</v>
      </c>
      <c r="K22">
        <v>1000000000</v>
      </c>
      <c r="L22">
        <v>1000000000</v>
      </c>
      <c r="M22">
        <v>1000000000</v>
      </c>
      <c r="N22">
        <v>1000000000</v>
      </c>
      <c r="O22">
        <v>1000000000</v>
      </c>
      <c r="P22">
        <v>1000000000</v>
      </c>
      <c r="Q22">
        <v>1000000000</v>
      </c>
      <c r="R22">
        <v>1000000000</v>
      </c>
      <c r="S22">
        <v>1000000000</v>
      </c>
      <c r="T22">
        <v>1000000000</v>
      </c>
      <c r="U22">
        <v>1000000000</v>
      </c>
      <c r="V22">
        <v>1000000000</v>
      </c>
      <c r="W22">
        <v>1000000000</v>
      </c>
      <c r="X22">
        <v>1000000000</v>
      </c>
      <c r="Y22">
        <v>1000000000</v>
      </c>
      <c r="Z22">
        <v>1000000000</v>
      </c>
      <c r="AA22">
        <v>1000000000</v>
      </c>
      <c r="AB22">
        <v>1000000000</v>
      </c>
      <c r="AC22">
        <v>1000000000</v>
      </c>
      <c r="AD22">
        <v>1000000000</v>
      </c>
      <c r="AE22">
        <v>1000000000</v>
      </c>
      <c r="AF22">
        <v>1000000000</v>
      </c>
      <c r="AG22">
        <v>1000000000</v>
      </c>
      <c r="AH22">
        <v>1000000000</v>
      </c>
      <c r="AI22">
        <v>1000000000</v>
      </c>
      <c r="AJ22">
        <v>1000000000</v>
      </c>
      <c r="AK22">
        <v>1000000000</v>
      </c>
      <c r="AL22">
        <v>1000000000</v>
      </c>
      <c r="AM22">
        <v>1000000000</v>
      </c>
      <c r="AN22">
        <v>1000000000</v>
      </c>
      <c r="AO22">
        <v>1000000000</v>
      </c>
      <c r="AP22">
        <v>1000000000</v>
      </c>
      <c r="AQ22">
        <v>1000000000</v>
      </c>
      <c r="AR22">
        <v>1000000000</v>
      </c>
      <c r="AS22">
        <v>1000000000</v>
      </c>
      <c r="AT22">
        <v>1000000000</v>
      </c>
      <c r="AU22">
        <v>1000000000</v>
      </c>
      <c r="AV22">
        <v>1000000000</v>
      </c>
      <c r="AW22">
        <v>1000000000</v>
      </c>
      <c r="AX22">
        <v>1000000000</v>
      </c>
      <c r="AY22">
        <v>1000000000</v>
      </c>
      <c r="AZ22">
        <v>1000000000</v>
      </c>
      <c r="BA22">
        <v>1000000000</v>
      </c>
      <c r="BB22">
        <v>1000000000</v>
      </c>
      <c r="BC22">
        <v>1000000000</v>
      </c>
      <c r="BD22">
        <v>1000000000</v>
      </c>
      <c r="BE22">
        <v>1000000000</v>
      </c>
      <c r="BF22">
        <v>1000000000</v>
      </c>
      <c r="BG22">
        <v>1000000000</v>
      </c>
      <c r="BH22">
        <v>1000000000</v>
      </c>
      <c r="BI22">
        <v>1000000000</v>
      </c>
      <c r="BJ22">
        <v>1000000000</v>
      </c>
      <c r="BK22" s="1">
        <v>1000000000</v>
      </c>
      <c r="BL22">
        <v>1000000000</v>
      </c>
      <c r="BM22">
        <v>1000000000</v>
      </c>
      <c r="BN22">
        <v>1000000000</v>
      </c>
      <c r="BO22">
        <v>1000000000</v>
      </c>
      <c r="BP22">
        <v>1000000000</v>
      </c>
      <c r="BQ22" s="7">
        <v>1000000000</v>
      </c>
      <c r="BR22">
        <v>1000000000</v>
      </c>
      <c r="BS22">
        <v>1000000000</v>
      </c>
      <c r="BT22">
        <v>1000000000</v>
      </c>
      <c r="BU22">
        <v>1000000000</v>
      </c>
      <c r="BV22">
        <v>1000000000</v>
      </c>
      <c r="BW22">
        <v>1000000000</v>
      </c>
      <c r="BX22">
        <v>1000000000</v>
      </c>
      <c r="BY22">
        <v>1000000000</v>
      </c>
      <c r="BZ22">
        <v>1000000000</v>
      </c>
      <c r="CA22">
        <v>1000000000</v>
      </c>
      <c r="CB22">
        <v>1000000000</v>
      </c>
      <c r="CC22" s="1">
        <v>1000000000</v>
      </c>
      <c r="CD22">
        <v>1000000000</v>
      </c>
      <c r="CE22" s="8">
        <v>1000000000</v>
      </c>
      <c r="CF22" s="7">
        <v>1000000000</v>
      </c>
      <c r="CG22" s="7">
        <v>1000000000</v>
      </c>
      <c r="CH22" s="7">
        <v>1000000000</v>
      </c>
      <c r="CI22" s="7">
        <v>1000000000</v>
      </c>
      <c r="CJ22" s="7">
        <v>1000000000</v>
      </c>
      <c r="CK22" s="7">
        <v>1000000000</v>
      </c>
      <c r="CL22" s="9">
        <v>1000000000</v>
      </c>
      <c r="CM22" s="9">
        <v>1000000000</v>
      </c>
      <c r="CN22" s="7">
        <v>1000000000</v>
      </c>
      <c r="CO22" s="7">
        <v>1000000000</v>
      </c>
      <c r="CP22" s="1">
        <v>1000000000</v>
      </c>
      <c r="CQ22" s="7">
        <v>1000000000</v>
      </c>
      <c r="CR22" s="7">
        <v>1000000000</v>
      </c>
      <c r="CS22" s="7">
        <v>1000000000</v>
      </c>
      <c r="CT22" s="7">
        <v>1000000000</v>
      </c>
      <c r="CU22" s="7">
        <v>1000000000</v>
      </c>
      <c r="CV22" s="7">
        <v>1000000000</v>
      </c>
      <c r="CW22" s="7">
        <v>1000000000</v>
      </c>
      <c r="CX22" s="7">
        <v>1000000000</v>
      </c>
      <c r="CY22" s="7">
        <v>1000000000</v>
      </c>
      <c r="CZ22" s="7">
        <v>1000000000</v>
      </c>
      <c r="DA22" s="7">
        <v>1000000000</v>
      </c>
      <c r="DB22" s="7">
        <v>1000000000</v>
      </c>
      <c r="DC22" s="7">
        <v>1000000000</v>
      </c>
      <c r="DD22" s="7">
        <v>1000000000</v>
      </c>
      <c r="DE22" s="7">
        <v>1000000000</v>
      </c>
      <c r="DF22" s="7">
        <v>1000000000</v>
      </c>
      <c r="DG22" s="7">
        <v>1000000000</v>
      </c>
      <c r="DH22" s="7">
        <v>1000000000</v>
      </c>
      <c r="DI22" s="7">
        <v>1000000000</v>
      </c>
      <c r="DJ22" s="7">
        <v>1000000000</v>
      </c>
      <c r="DK22" s="7">
        <v>1000000000</v>
      </c>
      <c r="DL22" s="7">
        <v>1000000000</v>
      </c>
      <c r="DM22" s="7">
        <v>1000000000</v>
      </c>
      <c r="DN22" s="7">
        <v>1000000000</v>
      </c>
      <c r="DO22" s="7">
        <v>1000000000</v>
      </c>
      <c r="DP22" s="7">
        <v>1000000000</v>
      </c>
      <c r="DQ22" s="7">
        <v>1000000000</v>
      </c>
      <c r="DR22" s="7">
        <v>1000000000</v>
      </c>
      <c r="DS22" s="7">
        <v>1000000000</v>
      </c>
      <c r="DT22" s="7">
        <v>1000000000</v>
      </c>
      <c r="DU22" s="7">
        <v>1000000000</v>
      </c>
      <c r="DV22" s="7">
        <v>1000000000</v>
      </c>
      <c r="DW22" s="7">
        <v>1000000000</v>
      </c>
      <c r="DX22" s="9">
        <v>1000000000</v>
      </c>
      <c r="DY22" s="10">
        <v>1000000000</v>
      </c>
      <c r="DZ22" s="10">
        <v>1000000000</v>
      </c>
      <c r="EA22" s="7">
        <v>1000000000</v>
      </c>
    </row>
    <row r="23" spans="1:131" x14ac:dyDescent="0.25">
      <c r="A23">
        <v>1000000000</v>
      </c>
      <c r="B23">
        <v>1000000000</v>
      </c>
      <c r="C23">
        <v>1000000000</v>
      </c>
      <c r="D23">
        <v>1000000000</v>
      </c>
      <c r="E23">
        <v>1000000000</v>
      </c>
      <c r="F23">
        <v>1000000000</v>
      </c>
      <c r="G23">
        <v>1000000000</v>
      </c>
      <c r="H23">
        <v>1000000000</v>
      </c>
      <c r="I23">
        <v>1000000000</v>
      </c>
      <c r="J23">
        <v>1000000000</v>
      </c>
      <c r="K23">
        <v>1000000000</v>
      </c>
      <c r="L23">
        <v>1000000000</v>
      </c>
      <c r="M23">
        <v>1000000000</v>
      </c>
      <c r="N23">
        <v>1000000000</v>
      </c>
      <c r="O23">
        <v>1000000000</v>
      </c>
      <c r="P23">
        <v>1000000000</v>
      </c>
      <c r="Q23">
        <v>1000000000</v>
      </c>
      <c r="R23">
        <v>1000000000</v>
      </c>
      <c r="S23">
        <v>1000000000</v>
      </c>
      <c r="T23">
        <v>1000000000</v>
      </c>
      <c r="U23">
        <v>1000000000</v>
      </c>
      <c r="V23">
        <v>1000000000</v>
      </c>
      <c r="W23">
        <v>1000000000</v>
      </c>
      <c r="X23">
        <v>1000000000</v>
      </c>
      <c r="Y23">
        <v>1000000000</v>
      </c>
      <c r="Z23">
        <v>1000000000</v>
      </c>
      <c r="AA23">
        <v>1000000000</v>
      </c>
      <c r="AB23">
        <v>1000000000</v>
      </c>
      <c r="AC23">
        <v>1000000000</v>
      </c>
      <c r="AD23">
        <v>1000000000</v>
      </c>
      <c r="AE23">
        <v>1000000000</v>
      </c>
      <c r="AF23">
        <v>1000000000</v>
      </c>
      <c r="AG23">
        <v>1000000000</v>
      </c>
      <c r="AH23">
        <v>1000000000</v>
      </c>
      <c r="AI23">
        <v>1000000000</v>
      </c>
      <c r="AJ23">
        <v>1000000000</v>
      </c>
      <c r="AK23">
        <v>1000000000</v>
      </c>
      <c r="AL23">
        <v>1000000000</v>
      </c>
      <c r="AM23">
        <v>1000000000</v>
      </c>
      <c r="AN23">
        <v>1000000000</v>
      </c>
      <c r="AO23">
        <v>1000000000</v>
      </c>
      <c r="AP23">
        <v>1000000000</v>
      </c>
      <c r="AQ23">
        <v>1000000000</v>
      </c>
      <c r="AR23">
        <v>1000000000</v>
      </c>
      <c r="AS23">
        <v>1000000000</v>
      </c>
      <c r="AT23">
        <v>1000000000</v>
      </c>
      <c r="AU23">
        <v>1000000000</v>
      </c>
      <c r="AV23">
        <v>1000000000</v>
      </c>
      <c r="AW23">
        <v>1000000000</v>
      </c>
      <c r="AX23">
        <v>1000000000</v>
      </c>
      <c r="AY23">
        <v>1000000000</v>
      </c>
      <c r="AZ23">
        <v>1000000000</v>
      </c>
      <c r="BA23">
        <v>1000000000</v>
      </c>
      <c r="BB23">
        <v>1000000000</v>
      </c>
      <c r="BC23">
        <v>1000000000</v>
      </c>
      <c r="BD23">
        <v>1000000000</v>
      </c>
      <c r="BE23">
        <v>1000000000</v>
      </c>
      <c r="BF23">
        <v>1000000000</v>
      </c>
      <c r="BG23">
        <v>1000000000</v>
      </c>
      <c r="BH23">
        <v>1000000000</v>
      </c>
      <c r="BI23">
        <v>1000000000</v>
      </c>
      <c r="BJ23">
        <v>1000000000</v>
      </c>
      <c r="BK23" s="1">
        <v>1000000000</v>
      </c>
      <c r="BL23">
        <v>1000000000</v>
      </c>
      <c r="BM23">
        <v>1000000000</v>
      </c>
      <c r="BN23">
        <v>1000000000</v>
      </c>
      <c r="BO23">
        <v>1000000000</v>
      </c>
      <c r="BP23">
        <v>1000000000</v>
      </c>
      <c r="BQ23" s="7">
        <v>1000000000</v>
      </c>
      <c r="BR23">
        <v>1000000000</v>
      </c>
      <c r="BS23">
        <v>1000000000</v>
      </c>
      <c r="BT23">
        <v>1000000000</v>
      </c>
      <c r="BU23">
        <v>1000000000</v>
      </c>
      <c r="BV23">
        <v>1000000000</v>
      </c>
      <c r="BW23">
        <v>1000000000</v>
      </c>
      <c r="BX23">
        <v>1000000000</v>
      </c>
      <c r="BY23">
        <v>1000000000</v>
      </c>
      <c r="BZ23">
        <v>1000000000</v>
      </c>
      <c r="CA23">
        <v>1000000000</v>
      </c>
      <c r="CB23">
        <v>1000000000</v>
      </c>
      <c r="CC23" s="1">
        <v>1000000000</v>
      </c>
      <c r="CD23">
        <v>1000000000</v>
      </c>
      <c r="CE23" s="8">
        <v>1000000000</v>
      </c>
      <c r="CF23" s="7">
        <v>1000000000</v>
      </c>
      <c r="CG23" s="7">
        <v>1000000000</v>
      </c>
      <c r="CH23" s="7">
        <v>1000000000</v>
      </c>
      <c r="CI23" s="7">
        <v>1000000000</v>
      </c>
      <c r="CJ23" s="7">
        <v>1000000000</v>
      </c>
      <c r="CK23" s="7">
        <v>1000000000</v>
      </c>
      <c r="CL23" s="9">
        <v>1000000000</v>
      </c>
      <c r="CM23" s="9">
        <v>1000000000</v>
      </c>
      <c r="CN23" s="7">
        <v>1000000000</v>
      </c>
      <c r="CO23" s="7">
        <v>1000000000</v>
      </c>
      <c r="CP23" s="1">
        <v>1000000000</v>
      </c>
      <c r="CQ23" s="7">
        <v>1000000000</v>
      </c>
      <c r="CR23" s="7">
        <v>1000000000</v>
      </c>
      <c r="CS23" s="7">
        <v>1000000000</v>
      </c>
      <c r="CT23" s="7">
        <v>1000000000</v>
      </c>
      <c r="CU23" s="7">
        <v>1000000000</v>
      </c>
      <c r="CV23" s="7">
        <v>1000000000</v>
      </c>
      <c r="CW23" s="7">
        <v>1000000000</v>
      </c>
      <c r="CX23" s="7">
        <v>1000000000</v>
      </c>
      <c r="CY23" s="7">
        <v>1000000000</v>
      </c>
      <c r="CZ23" s="7">
        <v>1000000000</v>
      </c>
      <c r="DA23" s="7">
        <v>1000000000</v>
      </c>
      <c r="DB23" s="7">
        <v>1000000000</v>
      </c>
      <c r="DC23" s="7">
        <v>1000000000</v>
      </c>
      <c r="DD23" s="7">
        <v>1000000000</v>
      </c>
      <c r="DE23" s="7">
        <v>1000000000</v>
      </c>
      <c r="DF23" s="7">
        <v>1000000000</v>
      </c>
      <c r="DG23" s="7">
        <v>1000000000</v>
      </c>
      <c r="DH23" s="7">
        <v>1000000000</v>
      </c>
      <c r="DI23" s="7">
        <v>1000000000</v>
      </c>
      <c r="DJ23" s="7">
        <v>1000000000</v>
      </c>
      <c r="DK23" s="7">
        <v>1000000000</v>
      </c>
      <c r="DL23" s="7">
        <v>1000000000</v>
      </c>
      <c r="DM23" s="7">
        <v>1000000000</v>
      </c>
      <c r="DN23" s="7">
        <v>1000000000</v>
      </c>
      <c r="DO23" s="7">
        <v>1000000000</v>
      </c>
      <c r="DP23" s="7">
        <v>1000000000</v>
      </c>
      <c r="DQ23" s="7">
        <v>1000000000</v>
      </c>
      <c r="DR23" s="7">
        <v>1000000000</v>
      </c>
      <c r="DS23" s="7">
        <v>1000000000</v>
      </c>
      <c r="DT23" s="7">
        <v>1000000000</v>
      </c>
      <c r="DU23" s="7">
        <v>1000000000</v>
      </c>
      <c r="DV23" s="7">
        <v>1000000000</v>
      </c>
      <c r="DW23" s="7">
        <v>1000000000</v>
      </c>
      <c r="DX23" s="9">
        <v>1000000000</v>
      </c>
      <c r="DY23" s="10">
        <v>1000000000</v>
      </c>
      <c r="DZ23" s="10">
        <v>1000000000</v>
      </c>
      <c r="EA23" s="7">
        <v>1000000000</v>
      </c>
    </row>
    <row r="24" spans="1:131" x14ac:dyDescent="0.25">
      <c r="A24">
        <v>1000000000</v>
      </c>
      <c r="B24">
        <v>1000000000</v>
      </c>
      <c r="C24">
        <v>1000000000</v>
      </c>
      <c r="D24">
        <v>1000000000</v>
      </c>
      <c r="E24">
        <v>1000000000</v>
      </c>
      <c r="F24">
        <v>1000000000</v>
      </c>
      <c r="G24">
        <v>1000000000</v>
      </c>
      <c r="H24">
        <v>1000000000</v>
      </c>
      <c r="I24">
        <v>1000000000</v>
      </c>
      <c r="J24">
        <v>1000000000</v>
      </c>
      <c r="K24">
        <v>1000000000</v>
      </c>
      <c r="L24">
        <v>1000000000</v>
      </c>
      <c r="M24">
        <v>1000000000</v>
      </c>
      <c r="N24">
        <v>1000000000</v>
      </c>
      <c r="O24">
        <v>1000000000</v>
      </c>
      <c r="P24">
        <v>1000000000</v>
      </c>
      <c r="Q24">
        <v>1000000000</v>
      </c>
      <c r="R24">
        <v>1000000000</v>
      </c>
      <c r="S24">
        <v>1000000000</v>
      </c>
      <c r="T24">
        <v>1000000000</v>
      </c>
      <c r="U24">
        <v>1000000000</v>
      </c>
      <c r="V24">
        <v>1000000000</v>
      </c>
      <c r="W24">
        <v>1000000000</v>
      </c>
      <c r="X24">
        <v>1000000000</v>
      </c>
      <c r="Y24">
        <v>1000000000</v>
      </c>
      <c r="Z24">
        <v>1000000000</v>
      </c>
      <c r="AA24">
        <v>1000000000</v>
      </c>
      <c r="AB24">
        <v>1000000000</v>
      </c>
      <c r="AC24">
        <v>1000000000</v>
      </c>
      <c r="AD24">
        <v>1000000000</v>
      </c>
      <c r="AE24">
        <v>1000000000</v>
      </c>
      <c r="AF24">
        <v>1000000000</v>
      </c>
      <c r="AG24">
        <v>1000000000</v>
      </c>
      <c r="AH24">
        <v>1000000000</v>
      </c>
      <c r="AI24">
        <v>1000000000</v>
      </c>
      <c r="AJ24">
        <v>1000000000</v>
      </c>
      <c r="AK24">
        <v>1000000000</v>
      </c>
      <c r="AL24">
        <v>1000000000</v>
      </c>
      <c r="AM24">
        <v>1000000000</v>
      </c>
      <c r="AN24">
        <v>1000000000</v>
      </c>
      <c r="AO24">
        <v>1000000000</v>
      </c>
      <c r="AP24">
        <v>1000000000</v>
      </c>
      <c r="AQ24">
        <v>1000000000</v>
      </c>
      <c r="AR24">
        <v>1000000000</v>
      </c>
      <c r="AS24">
        <v>1000000000</v>
      </c>
      <c r="AT24">
        <v>1000000000</v>
      </c>
      <c r="AU24">
        <v>1000000000</v>
      </c>
      <c r="AV24">
        <v>1000000000</v>
      </c>
      <c r="AW24">
        <v>1000000000</v>
      </c>
      <c r="AX24">
        <v>1000000000</v>
      </c>
      <c r="AY24">
        <v>1000000000</v>
      </c>
      <c r="AZ24">
        <v>1000000000</v>
      </c>
      <c r="BA24">
        <v>1000000000</v>
      </c>
      <c r="BB24">
        <v>1000000000</v>
      </c>
      <c r="BC24">
        <v>1000000000</v>
      </c>
      <c r="BD24">
        <v>1000000000</v>
      </c>
      <c r="BE24">
        <v>1000000000</v>
      </c>
      <c r="BF24">
        <v>1000000000</v>
      </c>
      <c r="BG24">
        <v>1000000000</v>
      </c>
      <c r="BH24">
        <v>1000000000</v>
      </c>
      <c r="BI24">
        <v>1000000000</v>
      </c>
      <c r="BJ24">
        <v>1000000000</v>
      </c>
      <c r="BK24" s="1">
        <v>1000000000</v>
      </c>
      <c r="BL24">
        <v>1000000000</v>
      </c>
      <c r="BM24">
        <v>1000000000</v>
      </c>
      <c r="BN24">
        <v>1000000000</v>
      </c>
      <c r="BO24">
        <v>1000000000</v>
      </c>
      <c r="BP24">
        <v>1000000000</v>
      </c>
      <c r="BQ24" s="7">
        <v>1000000000</v>
      </c>
      <c r="BR24">
        <v>1000000000</v>
      </c>
      <c r="BS24">
        <v>1000000000</v>
      </c>
      <c r="BT24">
        <v>1000000000</v>
      </c>
      <c r="BU24">
        <v>1000000000</v>
      </c>
      <c r="BV24">
        <v>1000000000</v>
      </c>
      <c r="BW24">
        <v>1000000000</v>
      </c>
      <c r="BX24">
        <v>1000000000</v>
      </c>
      <c r="BY24">
        <v>1000000000</v>
      </c>
      <c r="BZ24">
        <v>1000000000</v>
      </c>
      <c r="CA24">
        <v>1000000000</v>
      </c>
      <c r="CB24">
        <v>1000000000</v>
      </c>
      <c r="CC24" s="1">
        <v>1000000000</v>
      </c>
      <c r="CD24">
        <v>1000000000</v>
      </c>
      <c r="CE24" s="8">
        <v>1000000000</v>
      </c>
      <c r="CF24" s="7">
        <v>1000000000</v>
      </c>
      <c r="CG24" s="7">
        <v>1000000000</v>
      </c>
      <c r="CH24" s="7">
        <v>1000000000</v>
      </c>
      <c r="CI24" s="7">
        <v>1000000000</v>
      </c>
      <c r="CJ24" s="7">
        <v>1000000000</v>
      </c>
      <c r="CK24" s="7">
        <v>1000000000</v>
      </c>
      <c r="CL24" s="9">
        <v>1000000000</v>
      </c>
      <c r="CM24" s="9">
        <v>1000000000</v>
      </c>
      <c r="CN24" s="7">
        <v>1000000000</v>
      </c>
      <c r="CO24" s="7">
        <v>1000000000</v>
      </c>
      <c r="CP24" s="1">
        <v>1000000000</v>
      </c>
      <c r="CQ24" s="7">
        <v>1000000000</v>
      </c>
      <c r="CR24" s="7">
        <v>1000000000</v>
      </c>
      <c r="CS24" s="7">
        <v>1000000000</v>
      </c>
      <c r="CT24" s="7">
        <v>1000000000</v>
      </c>
      <c r="CU24" s="7">
        <v>1000000000</v>
      </c>
      <c r="CV24" s="7">
        <v>1000000000</v>
      </c>
      <c r="CW24" s="7">
        <v>1000000000</v>
      </c>
      <c r="CX24" s="7">
        <v>1000000000</v>
      </c>
      <c r="CY24" s="7">
        <v>1000000000</v>
      </c>
      <c r="CZ24" s="7">
        <v>1000000000</v>
      </c>
      <c r="DA24" s="7">
        <v>1000000000</v>
      </c>
      <c r="DB24" s="7">
        <v>1000000000</v>
      </c>
      <c r="DC24" s="7">
        <v>1000000000</v>
      </c>
      <c r="DD24" s="7">
        <v>1000000000</v>
      </c>
      <c r="DE24" s="7">
        <v>1000000000</v>
      </c>
      <c r="DF24" s="7">
        <v>1000000000</v>
      </c>
      <c r="DG24" s="7">
        <v>1000000000</v>
      </c>
      <c r="DH24" s="7">
        <v>1000000000</v>
      </c>
      <c r="DI24" s="7">
        <v>1000000000</v>
      </c>
      <c r="DJ24" s="7">
        <v>1000000000</v>
      </c>
      <c r="DK24" s="7">
        <v>1000000000</v>
      </c>
      <c r="DL24" s="7">
        <v>1000000000</v>
      </c>
      <c r="DM24" s="7">
        <v>1000000000</v>
      </c>
      <c r="DN24" s="7">
        <v>1000000000</v>
      </c>
      <c r="DO24" s="7">
        <v>1000000000</v>
      </c>
      <c r="DP24" s="7">
        <v>1000000000</v>
      </c>
      <c r="DQ24" s="7">
        <v>1000000000</v>
      </c>
      <c r="DR24" s="7">
        <v>1000000000</v>
      </c>
      <c r="DS24" s="7">
        <v>1000000000</v>
      </c>
      <c r="DT24" s="7">
        <v>1000000000</v>
      </c>
      <c r="DU24" s="7">
        <v>1000000000</v>
      </c>
      <c r="DV24" s="7">
        <v>1000000000</v>
      </c>
      <c r="DW24" s="7">
        <v>1000000000</v>
      </c>
      <c r="DX24" s="9">
        <v>1000000000</v>
      </c>
      <c r="DY24" s="10">
        <v>1000000000</v>
      </c>
      <c r="DZ24" s="10">
        <v>1000000000</v>
      </c>
      <c r="EA24" s="7">
        <v>1000000000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EA2"/>
  <sheetViews>
    <sheetView showGridLines="0" zoomScale="80" zoomScaleNormal="80" workbookViewId="0">
      <selection activeCell="A2" sqref="A2"/>
    </sheetView>
  </sheetViews>
  <sheetFormatPr baseColWidth="10" defaultColWidth="11.42578125" defaultRowHeight="15" x14ac:dyDescent="0.25"/>
  <cols>
    <col min="2" max="2" width="21.28515625" bestFit="1" customWidth="1"/>
    <col min="3" max="3" width="16.42578125" bestFit="1" customWidth="1"/>
    <col min="4" max="4" width="19.28515625" bestFit="1" customWidth="1"/>
    <col min="5" max="5" width="19.28515625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style="1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</cols>
  <sheetData>
    <row r="1" spans="1:131" ht="15.75" x14ac:dyDescent="0.25">
      <c r="A1" t="s">
        <v>75</v>
      </c>
      <c r="B1" t="s">
        <v>72</v>
      </c>
      <c r="C1" t="s">
        <v>74</v>
      </c>
      <c r="D1" t="s">
        <v>73</v>
      </c>
      <c r="E1" t="s">
        <v>87</v>
      </c>
      <c r="F1" t="s">
        <v>71</v>
      </c>
      <c r="G1" t="s">
        <v>88</v>
      </c>
      <c r="H1" t="s">
        <v>89</v>
      </c>
      <c r="I1" s="12" t="s">
        <v>97</v>
      </c>
      <c r="J1" s="12" t="s">
        <v>98</v>
      </c>
      <c r="K1" s="12" t="s">
        <v>99</v>
      </c>
      <c r="L1" s="12" t="s">
        <v>100</v>
      </c>
      <c r="M1" s="12" t="s">
        <v>101</v>
      </c>
      <c r="N1" s="12" t="s">
        <v>102</v>
      </c>
      <c r="O1" s="12" t="s">
        <v>103</v>
      </c>
      <c r="P1" s="12" t="s">
        <v>104</v>
      </c>
      <c r="Q1" s="12" t="s">
        <v>105</v>
      </c>
      <c r="R1" s="12" t="s">
        <v>106</v>
      </c>
      <c r="S1" s="12" t="s">
        <v>107</v>
      </c>
      <c r="T1" s="12" t="s">
        <v>108</v>
      </c>
      <c r="U1" s="12" t="s">
        <v>109</v>
      </c>
      <c r="V1" s="12" t="s">
        <v>110</v>
      </c>
      <c r="W1" s="12" t="s">
        <v>111</v>
      </c>
      <c r="X1" s="12" t="s">
        <v>112</v>
      </c>
      <c r="Y1" s="12" t="s">
        <v>113</v>
      </c>
      <c r="Z1" s="12" t="s">
        <v>114</v>
      </c>
      <c r="AA1" s="12" t="s">
        <v>115</v>
      </c>
      <c r="AB1" s="12" t="s">
        <v>116</v>
      </c>
      <c r="AC1" s="12" t="s">
        <v>117</v>
      </c>
      <c r="AD1" s="12" t="s">
        <v>118</v>
      </c>
      <c r="AE1" s="12" t="s">
        <v>119</v>
      </c>
      <c r="AF1" s="12" t="s">
        <v>120</v>
      </c>
      <c r="AG1" s="12" t="s">
        <v>121</v>
      </c>
      <c r="AH1" s="12" t="s">
        <v>122</v>
      </c>
      <c r="AI1" s="12" t="s">
        <v>123</v>
      </c>
      <c r="AJ1" s="12" t="s">
        <v>124</v>
      </c>
      <c r="AK1" s="12" t="s">
        <v>125</v>
      </c>
      <c r="AL1" s="12" t="s">
        <v>126</v>
      </c>
      <c r="AM1" s="12" t="s">
        <v>127</v>
      </c>
      <c r="AN1" s="12" t="s">
        <v>128</v>
      </c>
      <c r="AO1" s="12" t="s">
        <v>129</v>
      </c>
      <c r="AP1" s="12" t="s">
        <v>130</v>
      </c>
      <c r="AQ1" s="12" t="s">
        <v>131</v>
      </c>
      <c r="AR1" s="12" t="s">
        <v>132</v>
      </c>
      <c r="AS1" s="12" t="s">
        <v>133</v>
      </c>
      <c r="AT1" s="12" t="s">
        <v>134</v>
      </c>
      <c r="AU1" s="12" t="s">
        <v>135</v>
      </c>
      <c r="AV1" s="12" t="s">
        <v>136</v>
      </c>
      <c r="AW1" t="s">
        <v>67</v>
      </c>
      <c r="AX1" t="s">
        <v>66</v>
      </c>
      <c r="AY1" t="s">
        <v>65</v>
      </c>
      <c r="AZ1" t="s">
        <v>64</v>
      </c>
      <c r="BA1" t="s">
        <v>63</v>
      </c>
      <c r="BB1" t="s">
        <v>62</v>
      </c>
      <c r="BC1" t="s">
        <v>90</v>
      </c>
      <c r="BD1" t="s">
        <v>91</v>
      </c>
      <c r="BE1" t="s">
        <v>92</v>
      </c>
      <c r="BF1" t="s">
        <v>93</v>
      </c>
      <c r="BG1" t="s">
        <v>61</v>
      </c>
      <c r="BH1" t="s">
        <v>60</v>
      </c>
      <c r="BI1" t="s">
        <v>59</v>
      </c>
      <c r="BJ1" t="s">
        <v>58</v>
      </c>
      <c r="BK1" t="s">
        <v>57</v>
      </c>
      <c r="BL1" t="s">
        <v>56</v>
      </c>
      <c r="BM1" t="s">
        <v>94</v>
      </c>
      <c r="BN1" t="s">
        <v>95</v>
      </c>
      <c r="BO1" t="s">
        <v>96</v>
      </c>
      <c r="BP1" t="s">
        <v>55</v>
      </c>
      <c r="BQ1" t="s">
        <v>54</v>
      </c>
      <c r="BR1" t="s">
        <v>53</v>
      </c>
      <c r="BS1" t="s">
        <v>52</v>
      </c>
      <c r="BT1" t="s">
        <v>51</v>
      </c>
      <c r="BU1" t="s">
        <v>76</v>
      </c>
      <c r="BV1" t="s">
        <v>77</v>
      </c>
      <c r="BW1" t="s">
        <v>78</v>
      </c>
      <c r="BX1" t="s">
        <v>50</v>
      </c>
      <c r="BY1" t="s">
        <v>79</v>
      </c>
      <c r="BZ1" t="s">
        <v>80</v>
      </c>
      <c r="CA1" t="s">
        <v>81</v>
      </c>
      <c r="CB1" t="s">
        <v>49</v>
      </c>
      <c r="CC1" t="s">
        <v>48</v>
      </c>
      <c r="CD1" t="s">
        <v>47</v>
      </c>
      <c r="CE1" t="s">
        <v>46</v>
      </c>
      <c r="CF1" t="s">
        <v>45</v>
      </c>
      <c r="CG1" t="s">
        <v>44</v>
      </c>
      <c r="CH1" t="s">
        <v>43</v>
      </c>
      <c r="CI1" t="s">
        <v>42</v>
      </c>
      <c r="CJ1" t="s">
        <v>41</v>
      </c>
      <c r="CK1" t="s">
        <v>40</v>
      </c>
      <c r="CL1" t="s">
        <v>39</v>
      </c>
      <c r="CM1" t="s">
        <v>38</v>
      </c>
      <c r="CN1" t="s">
        <v>37</v>
      </c>
      <c r="CO1" t="s">
        <v>36</v>
      </c>
      <c r="CP1" t="s">
        <v>35</v>
      </c>
      <c r="CQ1" t="s">
        <v>34</v>
      </c>
      <c r="CR1" t="s">
        <v>33</v>
      </c>
      <c r="CS1" t="s">
        <v>32</v>
      </c>
      <c r="CT1" t="s">
        <v>31</v>
      </c>
      <c r="CU1" t="s">
        <v>30</v>
      </c>
      <c r="CV1" t="s">
        <v>29</v>
      </c>
      <c r="CW1" t="s">
        <v>28</v>
      </c>
      <c r="CX1" t="s">
        <v>27</v>
      </c>
      <c r="CY1" t="s">
        <v>26</v>
      </c>
      <c r="CZ1" t="s">
        <v>25</v>
      </c>
      <c r="DA1" t="s">
        <v>24</v>
      </c>
      <c r="DB1" t="s">
        <v>23</v>
      </c>
      <c r="DC1" t="s">
        <v>22</v>
      </c>
      <c r="DD1" t="s">
        <v>21</v>
      </c>
      <c r="DE1" t="s">
        <v>20</v>
      </c>
      <c r="DF1" t="s">
        <v>19</v>
      </c>
      <c r="DG1" t="s">
        <v>18</v>
      </c>
      <c r="DH1" t="s">
        <v>17</v>
      </c>
      <c r="DI1" t="s">
        <v>16</v>
      </c>
      <c r="DJ1" t="s">
        <v>15</v>
      </c>
      <c r="DK1" t="s">
        <v>14</v>
      </c>
      <c r="DL1" t="s">
        <v>13</v>
      </c>
      <c r="DM1" t="s">
        <v>12</v>
      </c>
      <c r="DN1" t="s">
        <v>11</v>
      </c>
      <c r="DO1" t="s">
        <v>10</v>
      </c>
      <c r="DP1" t="s">
        <v>9</v>
      </c>
      <c r="DQ1" t="s">
        <v>8</v>
      </c>
      <c r="DR1" t="s">
        <v>7</v>
      </c>
      <c r="DS1" t="s">
        <v>6</v>
      </c>
      <c r="DT1" t="s">
        <v>5</v>
      </c>
      <c r="DU1" t="s">
        <v>4</v>
      </c>
      <c r="DV1" t="s">
        <v>3</v>
      </c>
      <c r="DW1" t="s">
        <v>2</v>
      </c>
      <c r="DX1" t="s">
        <v>1</v>
      </c>
      <c r="DY1" t="s">
        <v>82</v>
      </c>
      <c r="DZ1" t="s">
        <v>0</v>
      </c>
      <c r="EA1" t="s">
        <v>83</v>
      </c>
    </row>
    <row r="2" spans="1:131" x14ac:dyDescent="0.25">
      <c r="CC2" s="1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"/>
  <sheetViews>
    <sheetView workbookViewId="0">
      <selection activeCell="A2" sqref="A2:A123"/>
    </sheetView>
  </sheetViews>
  <sheetFormatPr baseColWidth="10" defaultRowHeight="15" x14ac:dyDescent="0.25"/>
  <cols>
    <col min="1" max="1" width="19.140625" bestFit="1" customWidth="1"/>
  </cols>
  <sheetData>
    <row r="1" spans="1:1" x14ac:dyDescent="0.25">
      <c r="A1" t="s">
        <v>84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O2"/>
  <sheetViews>
    <sheetView workbookViewId="0">
      <selection activeCell="E2" sqref="E2:E317"/>
    </sheetView>
  </sheetViews>
  <sheetFormatPr baseColWidth="10" defaultRowHeight="15" x14ac:dyDescent="0.25"/>
  <cols>
    <col min="4" max="4" width="13.85546875" bestFit="1" customWidth="1"/>
    <col min="6" max="6" width="13.42578125" customWidth="1"/>
    <col min="11" max="11" width="12" customWidth="1"/>
    <col min="13" max="13" width="11.85546875" customWidth="1"/>
    <col min="14" max="14" width="12.85546875" customWidth="1"/>
    <col min="15" max="15" width="13.5703125" customWidth="1"/>
    <col min="16" max="16" width="12" customWidth="1"/>
  </cols>
  <sheetData>
    <row r="1" spans="1:15" x14ac:dyDescent="0.25">
      <c r="A1" t="s">
        <v>71</v>
      </c>
      <c r="B1" t="s">
        <v>70</v>
      </c>
      <c r="C1" t="s">
        <v>69</v>
      </c>
      <c r="D1" t="s">
        <v>68</v>
      </c>
      <c r="E1" t="s">
        <v>47</v>
      </c>
      <c r="F1" t="s">
        <v>63</v>
      </c>
      <c r="G1" t="s">
        <v>62</v>
      </c>
      <c r="H1" t="s">
        <v>60</v>
      </c>
      <c r="I1" t="s">
        <v>57</v>
      </c>
      <c r="J1" t="s">
        <v>50</v>
      </c>
      <c r="K1" t="s">
        <v>79</v>
      </c>
      <c r="L1" t="s">
        <v>80</v>
      </c>
      <c r="M1" t="s">
        <v>86</v>
      </c>
      <c r="N1" t="s">
        <v>52</v>
      </c>
      <c r="O1" t="s">
        <v>85</v>
      </c>
    </row>
    <row r="2" spans="1:15" x14ac:dyDescent="0.25">
      <c r="O2" s="7"/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2</vt:i4>
      </vt:variant>
    </vt:vector>
  </HeadingPairs>
  <TitlesOfParts>
    <vt:vector size="8" baseType="lpstr">
      <vt:lpstr>Calculo_General</vt:lpstr>
      <vt:lpstr>Filtrado_General</vt:lpstr>
      <vt:lpstr>CALCULO</vt:lpstr>
      <vt:lpstr>FILTRADO</vt:lpstr>
      <vt:lpstr>TransferActiva</vt:lpstr>
      <vt:lpstr>TransferTodos</vt:lpstr>
      <vt:lpstr>AnadeTransfer</vt:lpstr>
      <vt:lpstr>INICIOTRANSFER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</dc:creator>
  <cp:lastModifiedBy>RAMCAS</cp:lastModifiedBy>
  <dcterms:created xsi:type="dcterms:W3CDTF">2010-08-14T15:06:48Z</dcterms:created>
  <dcterms:modified xsi:type="dcterms:W3CDTF">2017-02-21T01:57:52Z</dcterms:modified>
</cp:coreProperties>
</file>