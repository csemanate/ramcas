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22875" windowWidth="15600" windowHeight="10935" firstSheet="2" activeTab="2"/>
  </bookViews>
  <sheets>
    <sheet name="ItemsRepetidos" sheetId="1" state="hidden" r:id="rId1"/>
    <sheet name="ItemsFaltan" sheetId="2" state="hidden" r:id="rId2"/>
    <sheet name="ItemsFaltanProducto" sheetId="7" r:id="rId3"/>
    <sheet name="USER" sheetId="6" state="veryHidden" r:id="rId4"/>
    <sheet name="Producto" sheetId="3" state="hidden" r:id="rId5"/>
    <sheet name="Archivos" sheetId="4" state="hidden" r:id="rId6"/>
    <sheet name="Buffer_Empresa" sheetId="5" state="hidden" r:id="rId7"/>
  </sheets>
  <functionGroups builtInGroupCount="18"/>
  <definedNames>
    <definedName name="_cmdInsertarItems_Range" localSheetId="1" hidden="1">{21,0,TRUE,2,1.5,47.25}</definedName>
    <definedName name="_cmdInsertarItems_Range" localSheetId="2" hidden="1">{21,0,TRUE,2,1.5,47.25}</definedName>
    <definedName name="ArchivoBodegaPerfil" localSheetId="2">ItemsFaltanProducto!#REF!</definedName>
    <definedName name="ArchivoBodegaPerfil">ItemsFaltan!#REF!</definedName>
    <definedName name="Archivos" localSheetId="2">#REF!</definedName>
    <definedName name="Archivos">#REF!</definedName>
    <definedName name="Bodega_Bodega_Archivo">Bod_Ach_Producto[BODEGA]</definedName>
    <definedName name="Bodega_Bodega_Proveedor">Bod_Pro_Producto[BODEGA]</definedName>
    <definedName name="BodegaArchivo">Bod_Ach_Producto[BODEGAARCHIVO]</definedName>
    <definedName name="BodegaArchivo_ABP">Bod_Ach_Per_Producto[BODEGAARCHIVO]</definedName>
    <definedName name="BodegaArchivoPerfil">Bod_Ach_Per_Producto[BODEGAARCHIVOPERFIL]</definedName>
    <definedName name="BodegaProveedor">Bod_Pro_Producto[BODEGAPROVEEDOR]</definedName>
    <definedName name="Consulta_desde_ODBC_RAMCAS1" localSheetId="6" hidden="1">Buffer_Empresa!$A$1:$C$2</definedName>
    <definedName name="Consulta_desde_ODBC_RAMCAS1" localSheetId="1" hidden="1">ItemsFaltan!$A$2:$L$3</definedName>
    <definedName name="Consulta_desde_ODBC_RAMCAS1" localSheetId="2" hidden="1">ItemsFaltanProducto!$A$2:$L$10</definedName>
    <definedName name="Consulta_desde_ODBC_RAMCAS1" localSheetId="4" hidden="1">Producto!$A$1:$M$2</definedName>
    <definedName name="Consulta_desde_ODBC_RAMCAS1_1" localSheetId="1" hidden="1">ItemsFaltan!#REF!</definedName>
    <definedName name="Consulta_desde_ODBC_RAMCAS1_1" localSheetId="2" hidden="1">ItemsFaltanProducto!#REF!</definedName>
    <definedName name="Consulta_desde_ODBC_RAMCAS1_3" localSheetId="1" hidden="1">ItemsFaltan!#REF!</definedName>
    <definedName name="Consulta_desde_ODBC_RAMCAS1_3" localSheetId="2" hidden="1">ItemsFaltanProducto!#REF!</definedName>
    <definedName name="Consulta_desde_ODBC_RAMCAS1_4" localSheetId="1" hidden="1">ItemsFaltan!$AC$2:$AD$72</definedName>
    <definedName name="Consulta_desde_ODBC_RAMCAS1_4" localSheetId="2" hidden="1">ItemsFaltanProducto!$AM$2:$AN$72</definedName>
    <definedName name="Consulta_desde_ODBC_RAMCAS1_5" localSheetId="1" hidden="1">ItemsFaltan!$AG$2:$AI$4</definedName>
    <definedName name="Consulta_desde_ODBC_RAMCAS1_5" localSheetId="2" hidden="1">ItemsFaltanProducto!$AQ$2:$AS$6</definedName>
    <definedName name="Consulta_desde_Repetidos" localSheetId="5" hidden="1">Archivos!$A$1:$A$2</definedName>
    <definedName name="Consulta_desde_Reportes_en_Access" localSheetId="0" hidden="1">ItemsRepetidos!#REF!</definedName>
    <definedName name="Consulta_desde_REPORTES_en_Access_1" localSheetId="0" hidden="1">ItemsRepetidos!$A$1:$C$3</definedName>
    <definedName name="DatosExternos_1" localSheetId="1" hidden="1">ItemsFaltan!$X$2:$Z$3</definedName>
    <definedName name="DatosExternos_1" localSheetId="2" hidden="1">ItemsFaltanProducto!$AH$2:$AJ$5</definedName>
    <definedName name="DatosExternos_2" localSheetId="2" hidden="1">ItemsFaltanProducto!$AW$2:$AX$109</definedName>
    <definedName name="DatosExternos_3" localSheetId="2" hidden="1">ItemsFaltanProducto!$AZ$2:$AZ$3</definedName>
    <definedName name="Empresa_Empresa_Bodega">Emp_Bod_Producto[EMPRESA]</definedName>
    <definedName name="Perfiles" localSheetId="2">#REF!</definedName>
    <definedName name="Perfiles">#REF!</definedName>
    <definedName name="Proveedores" localSheetId="2">#REF!</definedName>
    <definedName name="Proveedores">#REF!</definedName>
    <definedName name="Prueba">OFFSET(ItemsFaltanProducto!$AI$2,MATCH(ItemsFaltanProducto!$B1048567,ItemsFaltanProducto!$AH$5:$AH$55,0),0,COUNTIF(ItemsFaltanProducto!$AH$5:$AH$55,"="&amp;ItemsFaltanProducto!$B1048567),1)</definedName>
    <definedName name="Redondeo_Pedido_Minimo">RPM[Redondeo Pedido Minimo]</definedName>
    <definedName name="Redondeo_Unidad_Empaque">RUE[Redondeo Unidad de Empaque]</definedName>
    <definedName name="US">USER!$A$1</definedName>
  </definedNames>
  <calcPr calcId="152511"/>
  <pivotCaches>
    <pivotCache cacheId="2" r:id="rId8"/>
  </pivotCaches>
</workbook>
</file>

<file path=xl/calcChain.xml><?xml version="1.0" encoding="utf-8"?>
<calcChain xmlns="http://schemas.openxmlformats.org/spreadsheetml/2006/main">
  <c r="W3" i="7" l="1"/>
  <c r="W4" i="7"/>
  <c r="W5" i="7"/>
  <c r="W6" i="7"/>
  <c r="W7" i="7"/>
  <c r="W8" i="7"/>
  <c r="W9" i="7"/>
  <c r="W10" i="7"/>
  <c r="X3" i="7"/>
  <c r="X4" i="7"/>
  <c r="X5" i="7"/>
  <c r="X6" i="7"/>
  <c r="X7" i="7"/>
  <c r="X8" i="7"/>
  <c r="X9" i="7"/>
  <c r="X10" i="7"/>
  <c r="Y3" i="7"/>
  <c r="Y4" i="7"/>
  <c r="Y5" i="7"/>
  <c r="Y6" i="7"/>
  <c r="Y7" i="7"/>
  <c r="Y8" i="7"/>
  <c r="Y9" i="7"/>
  <c r="Y10" i="7"/>
  <c r="AT3" i="7"/>
  <c r="AT4" i="7"/>
  <c r="AT5" i="7"/>
  <c r="AT6" i="7"/>
  <c r="AU3" i="7"/>
  <c r="AU4" i="7"/>
  <c r="AU5" i="7"/>
  <c r="AU6" i="7"/>
  <c r="AO3" i="7"/>
  <c r="AO4" i="7"/>
  <c r="AO5" i="7"/>
  <c r="AO6" i="7"/>
  <c r="AO7" i="7"/>
  <c r="AO8" i="7"/>
  <c r="AO9" i="7"/>
  <c r="AO10" i="7"/>
  <c r="AO11" i="7"/>
  <c r="AO12" i="7"/>
  <c r="AO13" i="7"/>
  <c r="AO14" i="7"/>
  <c r="AO15" i="7"/>
  <c r="AO16" i="7"/>
  <c r="AO17" i="7"/>
  <c r="AO18" i="7"/>
  <c r="AO19" i="7"/>
  <c r="AO20" i="7"/>
  <c r="AO21" i="7"/>
  <c r="AO22" i="7"/>
  <c r="AO23" i="7"/>
  <c r="AO24" i="7"/>
  <c r="AO25" i="7"/>
  <c r="AO26" i="7"/>
  <c r="AO27" i="7"/>
  <c r="AO28" i="7"/>
  <c r="AO29" i="7"/>
  <c r="AO30" i="7"/>
  <c r="AO31" i="7"/>
  <c r="AO32" i="7"/>
  <c r="AO33" i="7"/>
  <c r="AO34" i="7"/>
  <c r="AO35" i="7"/>
  <c r="AO36" i="7"/>
  <c r="AO37" i="7"/>
  <c r="AO38" i="7"/>
  <c r="AO39" i="7"/>
  <c r="AO40" i="7"/>
  <c r="AO41" i="7"/>
  <c r="AO42" i="7"/>
  <c r="AO43" i="7"/>
  <c r="AO44" i="7"/>
  <c r="AO45" i="7"/>
  <c r="AO46" i="7"/>
  <c r="AO47" i="7"/>
  <c r="AO48" i="7"/>
  <c r="AO49" i="7"/>
  <c r="AO50" i="7"/>
  <c r="AO51" i="7"/>
  <c r="AO52" i="7"/>
  <c r="AO53" i="7"/>
  <c r="AO54" i="7"/>
  <c r="AO55" i="7"/>
  <c r="AO56" i="7"/>
  <c r="AO57" i="7"/>
  <c r="AO58" i="7"/>
  <c r="AO59" i="7"/>
  <c r="AO60" i="7"/>
  <c r="AO61" i="7"/>
  <c r="AO62" i="7"/>
  <c r="AO63" i="7"/>
  <c r="AO64" i="7"/>
  <c r="AO65" i="7"/>
  <c r="AO66" i="7"/>
  <c r="AO67" i="7"/>
  <c r="AO68" i="7"/>
  <c r="AO69" i="7"/>
  <c r="AO70" i="7"/>
  <c r="AO71" i="7"/>
  <c r="AO72" i="7"/>
  <c r="AK3" i="7"/>
  <c r="AK4" i="7"/>
  <c r="AK5" i="7"/>
  <c r="AJ3" i="2" l="1"/>
  <c r="AJ4" i="2"/>
  <c r="AK3" i="2"/>
  <c r="AK4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A3" i="2"/>
  <c r="B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 DISTINCT_x000d__x000a__x0009_trim(e.emp_nombre) AS 'EMPRESA',_x000d__x000a__x0009_-- ii.inv_empresa_id,_x000d__x000a__x0009_trim(b.bod_nombre) AS 'BODEGA',_x000d__x000a__x0009_-- ii.inv_bodega_id,_x000d__x000a__x0009_trim(ii.inv_producto_id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 /* _x000d__x000a_bh.buh_empresa,_x000d__x000a__x0009_bh.buh_bodega,_x000d__x000a__x0009_bh.buh_codigo, _x000d__x000a_*/_x000d__x000a_FROM_x000d__x000a__x0009_imp_inventario AS ii_x000d__x000a_LEFT JOIN buffer_hoy AS bh ON ii.inv_bodega_id = bh.buh_bodega_x000d__x000a_AND bh.buh_empresa = ii.inv_empresa_id_x000d__x000a_AND bh.buh_codigo = ii.inv_producto_id_x000d__x000a_INNER JOIN empresa e ON ii.inv_empresa_id = e.emp_codigo_x000d__x000a_INNER JOIN bodega b ON ii.inv_bodega_id = b.bod_codigo_x000d__x000a_INNER JOIN imp_producto ip ON ii.inv_producto_id = ip.pro_codigo_x000d__x000a_WHERE_x000d__x000a__x0009_bh.buh_empresa IS NULL_x000d__x000a_AND b.bod_activa = 1_x000d__x000a_AND (_x000d__x000a__x0009_ii.inv_existencia &lt;&gt; 0_x000d__x000a__x0009_OR ii.inv_transito &lt;&gt; 0_x000d__x000a__x0009_OR ii.inv_backorder &lt;&gt; 0_x000d__x000a__x0009_OR ii.inv_comprometido &lt;&gt; 0_x000d__x000a__x0009_OR ii.inv_negociacion &lt;&gt; 0_x000d__x000a__x0009_OR ii.inv_produccion &lt;&gt; 0_x000d__x000a__x0009_OR ii.inv_embarcado &lt;&gt; 0_x000d__x000a_)_x000d__x000a_ORDER BY_x000d__x000a__x0009_e.emp_nombre,_x000d__x000a__x0009_b.bod_nombre,_x000d__x000a__x0009_ip.pro_codigo"/>
  </connection>
  <connection id="2" name="Consulta desde ODBC RAMCAS11" type="1" refreshedVersion="5" saveData="1">
    <dbPr connection="DSN=ODBC RAMCAS1;" command="SELECT trim(imp_producto_0.pro_empresa_id) as 'pro_empresa_id', trim(imp_producto_0.pro_codigo) as 'pro_codigo', imp_producto_0.pro_descripcion, imp_producto_0.pro_grupo, imp_producto_0.pro_linea, imp_producto_0.pro_sublinea, imp_producto_0.pro_modelo, imp_producto_0.pro_familia, imp_producto_0.pro_subfamilia, imp_producto_0.pro_categoria, imp_producto_0.pro_tipo, imp_producto_0.pro_marca, imp_producto_0.pro_cat_management_x000d__x000a_FROM ramcas.imp_producto imp_producto_0"/>
  </connection>
  <connection id="3" name="Consulta desde ODBC RAMCAS111" type="1" refreshedVersion="5" saveData="1">
    <dbPr connection="DSN=ODBC RAMCAS1;" command="SELECT_x000d__x000a_bodega.bod_nombre AS 'BODEGA',_x000d__x000a_imp_inventario.inv_producto_id AS 'PRODUCTO',_x000d__x000a_imp_inventario.inv_buffer_empresa AS 'BUFFER_EMPRESA'_x000d__x000a_FROM_x000d__x000a_imp_inventario_x000d__x000a_INNER JOIN bodega ON bodega.bod_codigo = imp_inventario.inv_bodega_id_x000d__x000a_where imp_inventario.inv_buffer_empresa &gt; 0_x000d__x000a_ORDER BY_x000d__x000a_bodega.bod_nombre, imp_inventario.inv_producto_id"/>
  </connection>
  <connection id="4" name="Consulta desde ODBC RAMCAS11111121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5" name="Consulta desde ODBC RAMCAS111111211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</connection>
  <connection id="6" name="Consulta desde ODBC RAMCAS1111112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7" name="Consulta desde ODBC RAMCAS11111121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8" name="Consulta desde ODBC RAMCAS111111211111" type="1" refreshedVersion="5" saveData="1">
    <dbPr connection="DSN=ODBC RAMCAS1;" command="SELECT distinct_x000d__x000a_empresa.emp_nombre AS 'EMPRESA',_x000d__x000a_bodega.bod_nombre AS 'BODEGA'_x000d__x000a_FROM_x000d__x000a_empresa_x000d__x000a_INNER JOIN bodega ON bodega.bod_empresa_id = empresa.empresa_id_x000d__x000a_WHERE_x000d__x000a_empresa.emp_activa = 1 AND_x000d__x000a_bodega.bod_activa = 1_x000d__x000a_ORDER BY_x000d__x000a_empresa.emp_nombre,bodega.bod_nombre"/>
    <extLst>
      <ext xmlns:x15="http://schemas.microsoft.com/office/spreadsheetml/2010/11/main" uri="{DE250136-89BD-433C-8126-D09CA5730AF9}">
        <x15:connection id="" excludeFromRefreshAll="1"/>
      </ext>
    </extLst>
  </connection>
  <connection id="9" name="Consulta desde ODBC RAMCAS1111112111111" type="1" refreshedVersion="5" saveData="1">
    <dbPr connection="DSN=ODBC RAMCAS1;" command="SELECT rpm.rpm_nombre AS 'Redondeo Pedido Minimo' FROM redondeo_pedido_minimo_cab rpm ORDER BY rpm.rpm_nombre;"/>
    <extLst>
      <ext xmlns:x15="http://schemas.microsoft.com/office/spreadsheetml/2010/11/main" uri="{DE250136-89BD-433C-8126-D09CA5730AF9}">
        <x15:connection id="" excludeFromRefreshAll="1"/>
      </ext>
    </extLst>
  </connection>
  <connection id="10" name="Consulta desde ODBC RAMCAS1111112112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  <extLst>
      <ext xmlns:x15="http://schemas.microsoft.com/office/spreadsheetml/2010/11/main" uri="{DE250136-89BD-433C-8126-D09CA5730AF9}">
        <x15:connection id="" excludeFromRefreshAll="1"/>
      </ext>
    </extLst>
  </connection>
  <connection id="11" name="Consulta desde ODBC RAMCAS111111212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2" name="Consulta desde ODBC RAMCAS12" type="1" refreshedVersion="5" saveData="1">
    <dbPr connection="DSN=ODBC RAMCAS1;" command="SELECT DISTINCT_x000d__x000a__x0009_trim(e.emp_nombre) AS 'EMPRESA',_x000d__x000a__x0009_'' AS 'BODEGA',_x000d__x000a__x0009_trim(ip.pro_codigo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_x000d__x000a_FROM_x000d__x000a__x0009_imp_producto ip_x000d__x000a_LEFT JOIN (_x000d__x000a__x0009_SELECT DISTINCT_x000d__x000a__x0009__x0009_bh.buh_empresa,_x000d__x000a__x0009__x0009_bh.buh_codigo_x000d__x000a__x0009_FROM_x000d__x000a__x0009__x0009_buffer_hoy bh_x000d__x000a_) AS bh ON bh.buh_empresa = ip.pro_empresa_id_x000d__x000a_AND bh.buh_codigo = ip.pro_codigo_x000d__x000a_INNER JOIN empresa e ON ip.pro_empresa_id = e.emp_codigo_x000d__x000a_WHERE_x000d__x000a__x0009_bh.buh_empresa IS NULL_x000d__x000a_ORDER BY_x000d__x000a__x0009_e.emp_nombre,_x000d__x000a__x0009_ip.pro_codigo _x000d__x000a_-- -- Ítems de ZLibra Depurados_x000d__x000a__x0009_-- SELECT DISTINCT ip.pro_empresa_id, ip.pro_codigo FROM imp_producto ip_x000d__x000a__x0009_-- -- Ítems Actuales en buffer_x000d__x000a__x0009_-- SELECT DISTINCT bh.buh_empresa, bh.buh_codigo FROM buffer_hoy bh"/>
  </connection>
  <connection id="13" name="Consulta desde Repetidos" type="1" refreshedVersion="5" saveData="1">
    <dbPr connection="DBQ=D:\DOCUMENTS CAS\RAM CAS\MEJORA CONTINUA\CONTROL DE BUFFERS\REPORTES\ITEMS REPETIDOS.xlsm;DefaultDir=D:\DOCUMENTS CAS\RAM CAS\MEJORA CONTINUA\CONTROL DE BUFFERS\REPORTES;Driver={Microsoft Excel Driver (*.xls, *.xlsx, *.xlsm, *.xlsb)};DriverId=1046;FIL=excel 12.0;MaxBufferSize=2048;MaxScanRows=8;PageTimeout=5;ReadOnly=0;SafeTransactions=0;Threads=3;UID=admin;UserCommitSync=Yes;" command="SELECT DISTINCT `ItemsFaltan$`.ARCHIVOCOMPLETO_x000d__x000a_FROM `ItemsFaltan$` `ItemsFaltan$`_x000d__x000a_ORDER BY `ItemsFaltan$`.ARCHIVOCOMPLETO"/>
  </connection>
  <connection id="14" name="Consulta desde REPORTES en Access1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ItemsRepetidos.Bodega, qryItemsRepetidos.Codigo, qryItemsRepetidos.Archivo_x000d__x000a_FROM `C:\RAM CAS\MEJORA CONTINUA\CONTROL DE BUFFERS\REPORTES\REPORTES.accdb`.qryItemsRepetidos qryItemsRepetidos"/>
  </connection>
</connections>
</file>

<file path=xl/sharedStrings.xml><?xml version="1.0" encoding="utf-8"?>
<sst xmlns="http://schemas.openxmlformats.org/spreadsheetml/2006/main" count="752" uniqueCount="237">
  <si>
    <t>Archivo</t>
  </si>
  <si>
    <t>Bodega</t>
  </si>
  <si>
    <t>pro_empresa_id</t>
  </si>
  <si>
    <t>pro_codigo</t>
  </si>
  <si>
    <t>pro_descripcion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</si>
  <si>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</si>
  <si>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</si>
  <si>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</si>
  <si>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</si>
  <si>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</si>
  <si>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</si>
  <si>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</si>
  <si>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</si>
  <si>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</si>
  <si>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pro_cat_management</t>
  </si>
  <si>
    <t>BODEGA</t>
  </si>
  <si>
    <t>PRODUCTO</t>
  </si>
  <si>
    <t>DESCRIPCION</t>
  </si>
  <si>
    <t>GRUPO</t>
  </si>
  <si>
    <t>LINEA</t>
  </si>
  <si>
    <t>FAMILIA</t>
  </si>
  <si>
    <t>SUBFAMILIA</t>
  </si>
  <si>
    <t>MARCA</t>
  </si>
  <si>
    <t>MODELO</t>
  </si>
  <si>
    <t>CATEGORIA</t>
  </si>
  <si>
    <t>TIPO</t>
  </si>
  <si>
    <t>ARCHIVO</t>
  </si>
  <si>
    <t>PROVEEDOR</t>
  </si>
  <si>
    <t>PERFIL</t>
  </si>
  <si>
    <t>BUFFER</t>
  </si>
  <si>
    <t>BODEGAARCHIVO</t>
  </si>
  <si>
    <t>PATH</t>
  </si>
  <si>
    <t>ARCHIVOCOMPLETO</t>
  </si>
  <si>
    <t>BODEGAPROVEEDOR</t>
  </si>
  <si>
    <t>BODEGAARCHIVOPERFIL</t>
  </si>
  <si>
    <t>BUFFER_EMPRESA</t>
  </si>
  <si>
    <t>Borrar</t>
  </si>
  <si>
    <t>O:</t>
  </si>
  <si>
    <t>Empresa</t>
  </si>
  <si>
    <t>Código</t>
  </si>
  <si>
    <t>DISMA</t>
  </si>
  <si>
    <t>BDG. DE PRODUCTO TERMI PLANTA</t>
  </si>
  <si>
    <t>H710C200</t>
  </si>
  <si>
    <t>CENTRAL.xlsm</t>
  </si>
  <si>
    <t>admin</t>
  </si>
  <si>
    <t>EMPRESA</t>
  </si>
  <si>
    <t/>
  </si>
  <si>
    <t>Bodega Central Agrota</t>
  </si>
  <si>
    <t>Maquinas ECHO - SHINDAIWA.xlsm</t>
  </si>
  <si>
    <t>AGROTA BODEGA  YAMABIKO</t>
  </si>
  <si>
    <t>AGROTA BODEGA INCOP</t>
  </si>
  <si>
    <t>AGROTA SUKAMPO FERIA LIBRE</t>
  </si>
  <si>
    <t>BODEGA CENTRAL MAQUINAS</t>
  </si>
  <si>
    <t>AGROTA SUKAMPO GUAYAQUIL</t>
  </si>
  <si>
    <t>BODEGA CENTRAL</t>
  </si>
  <si>
    <t>AGROTA SUKAMPO MILAGRO</t>
  </si>
  <si>
    <t>AGROTA SUKAMPO UNIDAD NACIONAL</t>
  </si>
  <si>
    <t>AGROTA TALLER SUKAMPO MILAGRO</t>
  </si>
  <si>
    <t>AGROTA TALLER SUKAMPO QUEVEDO</t>
  </si>
  <si>
    <t>AGROTA TALLER SUKAMPO UNIDAD NACIONAL</t>
  </si>
  <si>
    <t>BCS</t>
  </si>
  <si>
    <t>BODEGA CENTRAL MATERIA PRIMA</t>
  </si>
  <si>
    <t>BORALSAN</t>
  </si>
  <si>
    <t>Chatani</t>
  </si>
  <si>
    <t>COMERCIAL KYWI</t>
  </si>
  <si>
    <t>Compra Local Maquinas</t>
  </si>
  <si>
    <t>Duaja</t>
  </si>
  <si>
    <t>Echo</t>
  </si>
  <si>
    <t>EUROLATTE</t>
  </si>
  <si>
    <t>FORD</t>
  </si>
  <si>
    <t>Ikra</t>
  </si>
  <si>
    <t>INCOMAGRI</t>
  </si>
  <si>
    <t>Jf</t>
  </si>
  <si>
    <t>JM ESTRADA</t>
  </si>
  <si>
    <t>MFW</t>
  </si>
  <si>
    <t>MIRAL</t>
  </si>
  <si>
    <t>Patriot</t>
  </si>
  <si>
    <t>Sirfran</t>
  </si>
  <si>
    <t>Compra Local Quimicos</t>
  </si>
  <si>
    <t>MATERIA PRIMA</t>
  </si>
  <si>
    <t>Sinochem</t>
  </si>
  <si>
    <t>BODEGA DUPOCSA ARENAL</t>
  </si>
  <si>
    <t>BODEGA DUPOCSA CONCORDIA</t>
  </si>
  <si>
    <t>BODEGA DUPOCSA QUEVEDO</t>
  </si>
  <si>
    <t>BODEGA MERCALIMSA</t>
  </si>
  <si>
    <t>BODEGA SATELITE AGROINSUMOS RIERA</t>
  </si>
  <si>
    <t>BODEGA SATELITE COMERCIAL COCA</t>
  </si>
  <si>
    <t>BODEGA SUKAMPO</t>
  </si>
  <si>
    <t>GUAYAQUIL SUKAMPO</t>
  </si>
  <si>
    <t>JAHER REGIONAL CDR BABAHOYO</t>
  </si>
  <si>
    <t>JAHER REGIONAL CDR. CUENCA</t>
  </si>
  <si>
    <t>MARCIMEX REGIONAL CUENCA</t>
  </si>
  <si>
    <t>Agroenzimas</t>
  </si>
  <si>
    <t>Mercalimsa</t>
  </si>
  <si>
    <t xml:space="preserve">MIO CHEMICAL </t>
  </si>
  <si>
    <t>SHARDA</t>
  </si>
  <si>
    <t>PRODUCTO TERMINADO</t>
  </si>
  <si>
    <t>Agroprocesos</t>
  </si>
  <si>
    <t>Agrosad</t>
  </si>
  <si>
    <t>ARS</t>
  </si>
  <si>
    <t>JAPON ECHO</t>
  </si>
  <si>
    <t>USA ECHO</t>
  </si>
  <si>
    <t>AGROTA</t>
  </si>
  <si>
    <t>Activos Agrota Feria Libre</t>
  </si>
  <si>
    <t>Activos Agrota Matriz</t>
  </si>
  <si>
    <t>AGROTA BODEGA FALTANTES DE IMPORTACION Y COMPRAS</t>
  </si>
  <si>
    <t>AGROTA BODEGA GARANTIAS AGROPECUARIA</t>
  </si>
  <si>
    <t>AGROTA BODEGA IPS Jose Mora</t>
  </si>
  <si>
    <t>AGROTA BODEGA LICITACIONES</t>
  </si>
  <si>
    <t>AGROTA BODEGA MAQUINAS ARMADAS</t>
  </si>
  <si>
    <t>AGROTA MAQUINAS PARA PRUEBA</t>
  </si>
  <si>
    <t>AGROTA PRODUCCION EUROLATTE</t>
  </si>
  <si>
    <t>AGROTA TALLER SUKAMPO FERIA LIBRE</t>
  </si>
  <si>
    <t>AGROTA TALLER SUKAMPO SUCRE</t>
  </si>
  <si>
    <t>BODEGA AGROPROCESOS</t>
  </si>
  <si>
    <t>BODEGA AGROSAD</t>
  </si>
  <si>
    <t>Bodega Almacen (Su Campo)</t>
  </si>
  <si>
    <t>BODEGA MAQUINAS PERDIDAS TRANSPORTE</t>
  </si>
  <si>
    <t>BODEGA TALLER SUKAMPO</t>
  </si>
  <si>
    <t>CONSIGNACION AGROINSUMOS</t>
  </si>
  <si>
    <t>Consignacion agrota</t>
  </si>
  <si>
    <t>El Molino</t>
  </si>
  <si>
    <t>FACTUTARACION IP</t>
  </si>
  <si>
    <t>FALTANTES REPUESTOS</t>
  </si>
  <si>
    <t>Feria Libre</t>
  </si>
  <si>
    <t>HACIENDA CHUQUIPATA</t>
  </si>
  <si>
    <t>Loja</t>
  </si>
  <si>
    <t>Maquinas desarmadas</t>
  </si>
  <si>
    <t>MAQUINAS DESARMADAS FAUSTO</t>
  </si>
  <si>
    <t>MAQUINAS USADAS SUKAMPO</t>
  </si>
  <si>
    <t>MARCIMEX TIENDA  El EMPALME</t>
  </si>
  <si>
    <t>MARCIMEX TIENDA  EL GUABO</t>
  </si>
  <si>
    <t>MARCIMEX TIENDA  EL TRIUNFO</t>
  </si>
  <si>
    <t>MARCIMEX TIENDA  MILAGRO 1</t>
  </si>
  <si>
    <t>MARCIMEX TIENDA  NARANJAL</t>
  </si>
  <si>
    <t>MARCIMEX TIENDA  NARANJITO</t>
  </si>
  <si>
    <t>MARCIMEX TIENDA  PONCE  ENRIQUEZ</t>
  </si>
  <si>
    <t>MARCIMEX TIENDA  STA. ROSA</t>
  </si>
  <si>
    <t>MARCIMEX TIENDA BABAHOYO</t>
  </si>
  <si>
    <t>MARCIMEX TIENDA BUENA FE</t>
  </si>
  <si>
    <t>MARCIMEX TIENDA EL CARMEN</t>
  </si>
  <si>
    <t>MARCIMEX TIENDA LA CONCORDIA</t>
  </si>
  <si>
    <t>MARCIMEX TIENDA LA MANA</t>
  </si>
  <si>
    <t>MARCIMEX TIENDA LA TRONCAL</t>
  </si>
  <si>
    <t>MARCIMEX TIENDA LAS GOLONDRINAS</t>
  </si>
  <si>
    <t>MARCIMEX TIENDA MACHALA  ROCAFURETE</t>
  </si>
  <si>
    <t>MARCIMEX TIENDA PATRICIA PILAR</t>
  </si>
  <si>
    <t>MARCIMEX TIENDA PELILEO</t>
  </si>
  <si>
    <t>MARCIMEX TIENDA QUEVEDO 7 DE OCTUBRE</t>
  </si>
  <si>
    <t>MARCIMEX TIENDA QUEVEDO CALLE PRIMERA</t>
  </si>
  <si>
    <t xml:space="preserve">MARCIMEX TIENDA QUEVEDO SAN CAMILO </t>
  </si>
  <si>
    <t>MARCIMEX TIENDA QUININDE</t>
  </si>
  <si>
    <t>MARCIMEX TIENDA STO DOMINGO 29 DE MAYO</t>
  </si>
  <si>
    <t>MARCIMEX TIENDA STO. DOMINGO  CALLE QUITO</t>
  </si>
  <si>
    <t>MARCIMEX TIENDA VENTANAS</t>
  </si>
  <si>
    <t>MEGACENTRO EL CHACO</t>
  </si>
  <si>
    <t>MEGACENTRO LATACUNGA</t>
  </si>
  <si>
    <t>MEGACENTRO MACHACHI</t>
  </si>
  <si>
    <t>MEGACENTRO NANEGALITO</t>
  </si>
  <si>
    <t>MEGACENTRO PEDRO VICENTE MALDONADO</t>
  </si>
  <si>
    <t>Pendientes</t>
  </si>
  <si>
    <t>Plaza Carbon(Byron)</t>
  </si>
  <si>
    <t>Problemas Agrota</t>
  </si>
  <si>
    <t>PROBLEMAS MAQ. PRUEBA</t>
  </si>
  <si>
    <t>PRODUCCION</t>
  </si>
  <si>
    <t>REPUESTOS PARA MAQUINAS SIN IP</t>
  </si>
  <si>
    <t>SUKAMPO</t>
  </si>
  <si>
    <t>Activos Sukampo Feria Libre</t>
  </si>
  <si>
    <t>Activos Sukampo Sucre</t>
  </si>
  <si>
    <t>BODEGA CONSIGNACION FERIA LIBRE</t>
  </si>
  <si>
    <t>BODEGA CONSIGNACION REPUESTOS FERIA LIBRE</t>
  </si>
  <si>
    <t>BODEGA CONSIGNACIÓN SUCRE no usar</t>
  </si>
  <si>
    <t>BODEGA HERRAMIENTAS SUKAMPO</t>
  </si>
  <si>
    <t>Bodega Naranjal</t>
  </si>
  <si>
    <t>BODEGA REPUESTOS FERIA LIBRE</t>
  </si>
  <si>
    <t>Bodega Sukampo el molino</t>
  </si>
  <si>
    <t>FALTANTES SUKAMPO</t>
  </si>
  <si>
    <t>FALTANTES SUKAMPO SUCRE</t>
  </si>
  <si>
    <t>FERIA LIBRE SUKAMPO</t>
  </si>
  <si>
    <t>Loja Sukampo</t>
  </si>
  <si>
    <t>Sucre Sukampo</t>
  </si>
  <si>
    <t>SUKAMPO BODEGA REPUESTOS SUCRE</t>
  </si>
  <si>
    <t>SUKAMPO BODEGA TALLER SUCRE</t>
  </si>
  <si>
    <t>SUKAMPO BODEGAS MAQUINAS USADAS</t>
  </si>
  <si>
    <t>SUKAMPO FALTANTE COMPRAS LOCALES</t>
  </si>
  <si>
    <t>Taller Feria Libre</t>
  </si>
  <si>
    <t>Fórmulas Guardadas</t>
  </si>
  <si>
    <t>Accesorios.xlsm</t>
  </si>
  <si>
    <t>=DESREF(Bod_Ach_Producto[[#Encabezados],[ARCHIVO]],COINCIDIR(Items_Faltan_Producto_Activo[@BODEGA],Bod_Ach_Producto[BODEGA],0),0,CONTAR.SI(Bod_Ach_Producto[BODEGA],"="&amp;Items_Faltan_Producto_Activo[@BODEGA]),1)</t>
  </si>
  <si>
    <t>=DESREF(Bod_Pro[[#Encabezados],[PROVEEDOR]],COINCIDIR(Items_Faltan_Producto_Activo[@BODEGA],Bod_Pro[BODEGA],0),0,CONTAR.SI(Bod_Pro[BODEGA],"="&amp;Items_Faltan_Producto_Activo[@BODEGA]),1)</t>
  </si>
  <si>
    <t>=DESREF(Bod_Ach_Per_Producto[[#Encabezados],[PERFIL]],COINCIDIR(Items_Faltan_Producto_Activo[@BODEGAARCHIVO],Bod_Ach_Per_Producto[BODEGAARCHIVO],0),0,CONTAR.SI(Bod_Ach_Per_Producto[BODEGAARCHIVO],"="&amp;Items_Faltan_Producto_Activo[@BODEGAARCHIVO]),1)</t>
  </si>
  <si>
    <t>HOJACB</t>
  </si>
  <si>
    <t>Hojas CB tienen Bodegas</t>
  </si>
  <si>
    <t>Bodegas Proveedores</t>
  </si>
  <si>
    <t>Hoja Bodega Perfil</t>
  </si>
  <si>
    <t>Empresa Bodega</t>
  </si>
  <si>
    <t>(en blanco)</t>
  </si>
  <si>
    <t>CORRECTO</t>
  </si>
  <si>
    <t>O:\Accesorios.xlsm</t>
  </si>
  <si>
    <t>PEDIDO MÍNIMO</t>
  </si>
  <si>
    <t>REDONDEO PEDIDO MÍNIMO</t>
  </si>
  <si>
    <t>UNIDAD EMPAQUE</t>
  </si>
  <si>
    <t>REDONDEO UNIDAD DE EMPAQUE</t>
  </si>
  <si>
    <t>BUFFER MIN</t>
  </si>
  <si>
    <t>BUFFER MAX</t>
  </si>
  <si>
    <t>Redondeo Pedido Minimo</t>
  </si>
  <si>
    <t>Default</t>
  </si>
  <si>
    <t>Redondeo Pedido Mínimo</t>
  </si>
  <si>
    <t>Redondeo Unidad de Empaque</t>
  </si>
  <si>
    <t>=</t>
  </si>
  <si>
    <t>+</t>
  </si>
  <si>
    <t>-</t>
  </si>
  <si>
    <t>10000000000</t>
  </si>
  <si>
    <t>CA COJINETE 6000 B450 B530</t>
  </si>
  <si>
    <t>REPUESTOS 2T</t>
  </si>
  <si>
    <t>AGROFORESTAL</t>
  </si>
  <si>
    <t>SHINDAIWA</t>
  </si>
  <si>
    <t>REPUESTOS</t>
  </si>
  <si>
    <t>10000000001</t>
  </si>
  <si>
    <t>CA CONTRA CUCHILLA JF60S</t>
  </si>
  <si>
    <t xml:space="preserve">REPUESTOS PICADORA </t>
  </si>
  <si>
    <t>AGROPECUARIA</t>
  </si>
  <si>
    <t>JF</t>
  </si>
  <si>
    <t>10000000002</t>
  </si>
  <si>
    <t>CA CONTRA CUCHILLA RECOJEDOR (283)</t>
  </si>
  <si>
    <t>10000000003</t>
  </si>
  <si>
    <t>02.045001 PERNO DE SEGURIDAD</t>
  </si>
  <si>
    <t>LOCAL</t>
  </si>
  <si>
    <t>Milagro Sukampo.xlsm</t>
  </si>
  <si>
    <t>10000000004</t>
  </si>
  <si>
    <t>CONTRA CUCHILLA JF2D (014)</t>
  </si>
  <si>
    <t>10000000005</t>
  </si>
  <si>
    <t xml:space="preserve">CONTRA CUCHILLA JF5D (011)  </t>
  </si>
  <si>
    <t>10000000006</t>
  </si>
  <si>
    <t xml:space="preserve">CONTRA CUCHILLA JF10  02.045389 </t>
  </si>
  <si>
    <t>10000000007</t>
  </si>
  <si>
    <t>CUCHILLAS KIT JF5D (021)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</si>
</sst>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theme="3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17"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Font="1"/>
    <xf numFmtId="0" fontId="1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1" fillId="4" borderId="0" xfId="0" applyFont="1" applyFill="1" applyAlignment="1">
      <alignment horizontal="center" vertical="center" wrapText="1"/>
    </xf>
    <xf numFmtId="0" fontId="4" fillId="3" borderId="0" xfId="1" applyProtection="1"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0" fillId="0" borderId="0" xfId="0" quotePrefix="1" applyProtection="1">
      <protection locked="0"/>
    </xf>
  </cellXfs>
  <cellStyles count="2">
    <cellStyle name="Buena" xfId="1" builtinId="26"/>
    <cellStyle name="Normal" xfId="0" builtinId="0"/>
  </cellStyles>
  <dxfs count="72"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protection locked="0" hidden="0"/>
    </dxf>
    <dxf>
      <font>
        <b/>
      </font>
      <alignment horizontal="center" vertical="center" textRotation="0" wrapText="1" indent="0" justifyLastLine="0" shrinkToFit="0" readingOrder="0"/>
    </dxf>
    <dxf>
      <font>
        <color theme="0"/>
      </font>
      <fill>
        <patternFill>
          <bgColor rgb="FF990033"/>
        </patternFill>
      </fill>
    </dxf>
    <dxf>
      <fill>
        <patternFill>
          <bgColor theme="3" tint="0.59996337778862885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alignment horizontal="center" vertical="center" textRotation="0" wrapText="0" indent="0" justifyLastLine="0" shrinkToFit="0" readingOrder="0"/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733425</xdr:colOff>
          <xdr:row>0</xdr:row>
          <xdr:rowOff>161925</xdr:rowOff>
        </xdr:to>
        <xdr:sp macro="" textlink="">
          <xdr:nvSpPr>
            <xdr:cNvPr id="1035" name="cmdInsertarItem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9525</xdr:rowOff>
        </xdr:from>
        <xdr:to>
          <xdr:col>1</xdr:col>
          <xdr:colOff>628650</xdr:colOff>
          <xdr:row>0</xdr:row>
          <xdr:rowOff>295275</xdr:rowOff>
        </xdr:to>
        <xdr:sp macro="" textlink="">
          <xdr:nvSpPr>
            <xdr:cNvPr id="7172" name="cmd_Inserta_Items_Activos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 Ítems en Hoja CB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647700</xdr:colOff>
          <xdr:row>0</xdr:row>
          <xdr:rowOff>9525</xdr:rowOff>
        </xdr:from>
        <xdr:to>
          <xdr:col>1</xdr:col>
          <xdr:colOff>1247775</xdr:colOff>
          <xdr:row>0</xdr:row>
          <xdr:rowOff>295275</xdr:rowOff>
        </xdr:to>
        <xdr:sp macro="" textlink="">
          <xdr:nvSpPr>
            <xdr:cNvPr id="7174" name="cmd_Cancelar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AMCAS" refreshedDate="43247.693468518519" createdVersion="5" refreshedVersion="5" minRefreshableVersion="3" recordCount="8924">
  <cacheSource type="worksheet">
    <worksheetSource name="Items_Faltan_Producto_Activo"/>
  </cacheSource>
  <cacheFields count="26">
    <cacheField name="EMPRESA" numFmtId="0">
      <sharedItems/>
    </cacheField>
    <cacheField name="BODEGA" numFmtId="0">
      <sharedItems/>
    </cacheField>
    <cacheField name="PRODUCT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FAMILIA" numFmtId="0">
      <sharedItems/>
    </cacheField>
    <cacheField name="SUBFAMILIA" numFmtId="0">
      <sharedItems/>
    </cacheField>
    <cacheField name="MARCA" numFmtId="0">
      <sharedItems/>
    </cacheField>
    <cacheField name="MODELO" numFmtId="0">
      <sharedItems/>
    </cacheField>
    <cacheField name="CATEGORIA" numFmtId="0">
      <sharedItems/>
    </cacheField>
    <cacheField name="TIPO" numFmtId="0">
      <sharedItems/>
    </cacheField>
    <cacheField name="HOJACB" numFmtId="0">
      <sharedItems containsBlank="1" count="2">
        <s v="Accesorios.xlsm"/>
        <m/>
      </sharedItems>
    </cacheField>
    <cacheField name="PROVEEDOR" numFmtId="0">
      <sharedItems containsBlank="1"/>
    </cacheField>
    <cacheField name="PERFIL" numFmtId="0">
      <sharedItems containsBlank="1"/>
    </cacheField>
    <cacheField name="BUFFER" numFmtId="0">
      <sharedItems containsString="0" containsBlank="1" containsNumber="1" containsInteger="1" minValue="100000" maxValue="100000"/>
    </cacheField>
    <cacheField name="PEDIDO MÍNIMO" numFmtId="0">
      <sharedItems containsString="0" containsBlank="1" containsNumber="1" containsInteger="1" minValue="1000" maxValue="1000"/>
    </cacheField>
    <cacheField name="REDONDEO PEDIDO MÍNIMO" numFmtId="0">
      <sharedItems containsBlank="1"/>
    </cacheField>
    <cacheField name="UNIDAD EMPAQUE" numFmtId="0">
      <sharedItems containsString="0" containsBlank="1" containsNumber="1" containsInteger="1" minValue="5000" maxValue="5000"/>
    </cacheField>
    <cacheField name="REDONDEO UNIDAD DE EMPAQUE" numFmtId="0">
      <sharedItems containsBlank="1"/>
    </cacheField>
    <cacheField name="BUFFER MIN" numFmtId="0">
      <sharedItems containsString="0" containsBlank="1" containsNumber="1" containsInteger="1" minValue="500" maxValue="500"/>
    </cacheField>
    <cacheField name="BUFFER MAX" numFmtId="0">
      <sharedItems containsString="0" containsBlank="1" containsNumber="1" containsInteger="1" minValue="6000" maxValue="6000"/>
    </cacheField>
    <cacheField name="BODEGAARCHIVO" numFmtId="0">
      <sharedItems/>
    </cacheField>
    <cacheField name="ARCHIVOCOMPLETO" numFmtId="0">
      <sharedItems count="2">
        <s v="O:\Accesorios.xlsm"/>
        <s v=""/>
      </sharedItems>
    </cacheField>
    <cacheField name="CORRECTO" numFmtId="0">
      <sharedItems containsSemiMixedTypes="0" containsString="0" containsNumber="1" containsInteger="1" minValue="0" maxValue="1"/>
    </cacheField>
    <cacheField name="Borr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Archivos" cacheId="2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D1:E3" firstHeaderRow="1" firstDataRow="1" firstDataCol="2"/>
  <pivotFields count="2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</pivotFields>
  <rowFields count="2">
    <field x="23"/>
    <field x="12"/>
  </rowFields>
  <rowItems count="2">
    <i>
      <x/>
      <x/>
    </i>
    <i>
      <x v="1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Consulta desde REPORTES en Access_1" backgroundRefresh="0" connectionId="14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Bodega" tableColumnId="1"/>
      <queryTableField id="2" name="Codigo" tableColumnId="2"/>
      <queryTableField id="3" name="Archivo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adjustColumnWidth="0" connectionId="1" autoFormatId="16" applyNumberFormats="0" applyBorderFormats="0" applyFontFormats="0" applyPatternFormats="0" applyAlignmentFormats="0" applyWidthHeightFormats="0">
  <queryTableRefresh nextId="49" unboundColumnsRight="7">
    <queryTableFields count="19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33" dataBound="0" tableColumnId="1"/>
      <queryTableField id="35" dataBound="0" tableColumnId="2"/>
      <queryTableField id="36" dataBound="0" tableColumnId="3"/>
    </queryTableFields>
  </queryTableRefresh>
</queryTable>
</file>

<file path=xl/queryTables/queryTable3.xml><?xml version="1.0" encoding="utf-8"?>
<queryTable xmlns="http://schemas.openxmlformats.org/spreadsheetml/2006/main" name="Consulta desde ODBC RAMCAS1_4" backgroundRefresh="0" connectionId="4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4.xml><?xml version="1.0" encoding="utf-8"?>
<queryTable xmlns="http://schemas.openxmlformats.org/spreadsheetml/2006/main" name="Consulta desde ODBC RAMCAS1_5" backgroundRefresh="0" connectionId="5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5.xml><?xml version="1.0" encoding="utf-8"?>
<queryTable xmlns="http://schemas.openxmlformats.org/spreadsheetml/2006/main" name="DatosExternos_1" backgroundRefresh="0" connectionId="6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6.xml><?xml version="1.0" encoding="utf-8"?>
<queryTable xmlns="http://schemas.openxmlformats.org/spreadsheetml/2006/main" name="Consulta desde ODBC RAMCAS1" backgroundRefresh="0" adjustColumnWidth="0" connectionId="12" autoFormatId="16" applyNumberFormats="0" applyBorderFormats="0" applyFontFormats="0" applyPatternFormats="0" applyAlignmentFormats="0" applyWidthHeightFormats="0">
  <queryTableRefresh nextId="57" unboundColumnsRight="14">
    <queryTableFields count="26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54" dataBound="0" tableColumnId="12"/>
      <queryTableField id="53" dataBound="0" tableColumnId="13"/>
      <queryTableField id="52" dataBound="0" tableColumnId="14"/>
      <queryTableField id="51" dataBound="0" tableColumnId="15"/>
      <queryTableField id="56" dataBound="0" tableColumnId="16"/>
      <queryTableField id="55" dataBound="0" tableColumnId="17"/>
      <queryTableField id="33" dataBound="0" tableColumnId="1"/>
      <queryTableField id="35" dataBound="0" tableColumnId="2"/>
      <queryTableField id="49" dataBound="0" tableColumnId="10"/>
      <queryTableField id="36" dataBound="0" tableColumnId="3"/>
    </queryTableFields>
  </queryTableRefresh>
</queryTable>
</file>

<file path=xl/queryTables/queryTable7.xml><?xml version="1.0" encoding="utf-8"?>
<queryTable xmlns="http://schemas.openxmlformats.org/spreadsheetml/2006/main" name="Consulta desde ODBC RAMCAS1_4" backgroundRefresh="0" connectionId="11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8.xml><?xml version="1.0" encoding="utf-8"?>
<queryTable xmlns="http://schemas.openxmlformats.org/spreadsheetml/2006/main" name="Consulta desde ODBC RAMCAS1_5" backgroundRefresh="0" adjustColumnWidth="0" connectionId="10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9.xml><?xml version="1.0" encoding="utf-8"?>
<queryTable xmlns="http://schemas.openxmlformats.org/spreadsheetml/2006/main" name="DatosExternos_1" backgroundRefresh="0" connectionId="7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10.xml><?xml version="1.0" encoding="utf-8"?>
<queryTable xmlns="http://schemas.openxmlformats.org/spreadsheetml/2006/main" name="DatosExternos_2" backgroundRefresh="0" adjustColumnWidth="0" connectionId="8" autoFormatId="16" applyNumberFormats="0" applyBorderFormats="0" applyFontFormats="0" applyPatternFormats="0" applyAlignmentFormats="0" applyWidthHeightFormats="0">
  <queryTableRefresh nextId="54">
    <queryTableFields count="2">
      <queryTableField id="52" name="EMPRESA" tableColumnId="1"/>
      <queryTableField id="45" name="BODEGA" tableColumnId="7"/>
    </queryTableFields>
  </queryTableRefresh>
</queryTable>
</file>

<file path=xl/queryTables/queryTable11.xml><?xml version="1.0" encoding="utf-8"?>
<queryTable xmlns="http://schemas.openxmlformats.org/spreadsheetml/2006/main" name="DatosExternos_3" backgroundRefresh="0" adjustColumnWidth="0" connectionId="9" autoFormatId="16" applyNumberFormats="0" applyBorderFormats="0" applyFontFormats="0" applyPatternFormats="0" applyAlignmentFormats="0" applyWidthHeightFormats="0">
  <queryTableRefresh nextId="55">
    <queryTableFields count="1">
      <queryTableField id="54" name="Redondeo Pedido Minimo" tableColumnId="1"/>
    </queryTableFields>
  </queryTableRefresh>
</queryTable>
</file>

<file path=xl/queryTables/queryTable1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19">
    <queryTableFields count="13">
      <queryTableField id="3" name="pro_descripcion" tableColumnId="3"/>
      <queryTableField id="4" name="pro_grupo" tableColumnId="4"/>
      <queryTableField id="5" name="pro_linea" tableColumnId="5"/>
      <queryTableField id="6" name="pro_sublinea" tableColumnId="6"/>
      <queryTableField id="7" name="pro_modelo" tableColumnId="7"/>
      <queryTableField id="8" name="pro_familia" tableColumnId="8"/>
      <queryTableField id="9" name="pro_subfamilia" tableColumnId="9"/>
      <queryTableField id="10" name="pro_categoria" tableColumnId="10"/>
      <queryTableField id="11" name="pro_tipo" tableColumnId="11"/>
      <queryTableField id="12" name="pro_marca" tableColumnId="12"/>
      <queryTableField id="13" name="pro_cat_management" tableColumnId="13"/>
      <queryTableField id="16" name="pro_empresa_id" tableColumnId="14"/>
      <queryTableField id="18" name="pro_codigo" tableColumnId="16"/>
    </queryTableFields>
  </queryTableRefresh>
</queryTable>
</file>

<file path=xl/queryTables/queryTable13.xml><?xml version="1.0" encoding="utf-8"?>
<queryTable xmlns="http://schemas.openxmlformats.org/spreadsheetml/2006/main" name="Consulta desde Repetidos" backgroundRefresh="0" connectionId="13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ARCHIVOCOMPLETO" tableColumnId="1"/>
      <queryTableField id="2" dataBound="0" tableColumnId="2"/>
    </queryTableFields>
  </queryTableRefresh>
</queryTable>
</file>

<file path=xl/queryTables/queryTable14.xml><?xml version="1.0" encoding="utf-8"?>
<queryTable xmlns="http://schemas.openxmlformats.org/spreadsheetml/2006/main" name="Consulta desde ODBC RAMCAS1" backgroundRefresh="0" connectionId="3" autoFormatId="16" applyNumberFormats="0" applyBorderFormats="0" applyFontFormats="0" applyPatternFormats="0" applyAlignmentFormats="0" applyWidthHeightFormats="0">
  <queryTableRefresh nextId="22">
    <queryTableFields count="3">
      <queryTableField id="19" name="BODEGA" tableColumnId="1"/>
      <queryTableField id="20" name="PRODUCTO" tableColumnId="2"/>
      <queryTableField id="21" name="BUFFER_EMPRESA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Tabla_Items_Repetidos_En_Bodegas" displayName="Tabla_Items_Repetidos_En_Bodegas" ref="A1:D3" tableType="queryTable" totalsRowShown="0">
  <autoFilter ref="A1:D3"/>
  <tableColumns count="4">
    <tableColumn id="1" uniqueName="1" name="Empresa" queryTableFieldId="1"/>
    <tableColumn id="2" uniqueName="2" name="Bodega" queryTableFieldId="2"/>
    <tableColumn id="3" uniqueName="3" name="Código" queryTableFieldId="3"/>
    <tableColumn id="4" uniqueName="4" name="Archivo" queryTableFieldId="4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" name="Items_Faltan" displayName="Items_Faltan" ref="A2:S3" tableType="queryTable" insertRow="1" totalsRowShown="0" headerRowDxfId="67">
  <autoFilter ref="A2:S3"/>
  <tableColumns count="19">
    <tableColumn id="5" uniqueName="5" name="EMPRESA" queryTableFieldId="38"/>
    <tableColumn id="9" uniqueName="9" name="BODEGA" queryTableFieldId="18"/>
    <tableColumn id="8" uniqueName="8" name="PRODUCTO" queryTableFieldId="8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ARCHIVO" queryTableFieldId="29" dataDxfId="66">
      <calculatedColumnFormula array="1">OFFSET(Bod_Ach[[#Headers],[ARCHIVO]],MATCH(Items_Faltan[[#This Row],[BODEGA]],Bod_Ach[BODEGA],0),0,COUNTIF(Bod_Ach[BODEGA],"="&amp;Items_Faltan[[#This Row],[BODEGA]]),1)</calculatedColumnFormula>
    </tableColumn>
    <tableColumn id="20" uniqueName="20" name="PROVEEDOR" queryTableFieldId="30" dataDxfId="65">
      <calculatedColumnFormula array="1">OFFSET(Bod_Pro[[#Headers],[PROVEEDOR]],MATCH(Items_Faltan[[#This Row],[BODEGA]],Bod_Pro[BODEGA],0),0,COUNTIF(Bod_Pro[BODEGA],"="&amp;Items_Faltan[[#This Row],[BODEGA]]),1)</calculatedColumnFormula>
    </tableColumn>
    <tableColumn id="21" uniqueName="21" name="PERFIL" queryTableFieldId="31" dataDxfId="64">
      <calculatedColumnFormula array="1">OFFSET(Bod_Ach_Per[[#Headers],[PERFIL]],MATCH(Items_Faltan[[#This Row],[BODEGAARCHIVO]],Bod_Ach_Per[BODEGAARCHIVO],0),0,COUNTIF(Bod_Ach_Per[BODEGAARCHIVO],"="&amp;Items_Faltan[[#This Row],[BODEGAARCHIVO]]),1)</calculatedColumnFormula>
    </tableColumn>
    <tableColumn id="22" uniqueName="22" name="BUFFER" queryTableFieldId="32" dataDxfId="63">
      <calculatedColumnFormula array="1">IFERROR(INDEX(Buffer_Empresa[BUFFER_EMPRESA],MATCH(Items_Faltan[[#This Row],[BODEGA]]&amp;Items_Faltan[[#This Row],[PRODUCTO]],Buffer_Empresa[BODEGA]&amp;Buffer_Empresa[PRODUCTO],0)),0)</calculatedColumnFormula>
    </tableColumn>
    <tableColumn id="1" uniqueName="1" name="BODEGAARCHIVO" queryTableFieldId="33" dataDxfId="62">
      <calculatedColumnFormula>Items_Faltan[[#This Row],[BODEGA]]&amp;Items_Faltan[[#This Row],[ARCHIVO]]</calculatedColumnFormula>
    </tableColumn>
    <tableColumn id="2" uniqueName="2" name="ARCHIVOCOMPLETO" queryTableFieldId="35" dataDxfId="61">
      <calculatedColumnFormula>IFERROR(INDEX(Bod_Ach[PATH],MATCH(Items_Faltan[[#This Row],[ARCHIVO]],Bod_Ach[ARCHIVO],0))&amp;"\"&amp;Items_Faltan[[#This Row],[ARCHIVO]],"")</calculatedColumnFormula>
    </tableColumn>
    <tableColumn id="3" uniqueName="3" name="Borrar" queryTableFieldId="36" dataDxfId="60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16" name="Bod_Pro" displayName="Bod_Pro" ref="AC2:AE72" tableType="queryTable" totalsRowShown="0">
  <autoFilter ref="AC2:AE72"/>
  <tableColumns count="3">
    <tableColumn id="1" uniqueName="1" name="BODEGA" queryTableFieldId="39"/>
    <tableColumn id="3" uniqueName="3" name="PROVEEDOR" queryTableFieldId="41"/>
    <tableColumn id="2" uniqueName="2" name="BODEGAPROVEEDOR" queryTableFieldId="42" dataDxfId="59">
      <calculatedColumnFormula>Bod_Pro[[#This Row],[BODEGA]]&amp;Bod_Pro[[#This Row],[PROVEEDOR]]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7" name="Bod_Ach_Per" displayName="Bod_Ach_Per" ref="AG2:AK4" tableType="queryTable" totalsRowShown="0">
  <autoFilter ref="AG2:AK4"/>
  <sortState ref="AG3:AK4">
    <sortCondition ref="AJ1:AJ54"/>
  </sortState>
  <tableColumns count="5">
    <tableColumn id="7" uniqueName="7" name="BODEGA" queryTableFieldId="45"/>
    <tableColumn id="8" uniqueName="8" name="ARCHIVO" queryTableFieldId="46"/>
    <tableColumn id="9" uniqueName="9" name="PERFIL" queryTableFieldId="47"/>
    <tableColumn id="10" uniqueName="10" name="BODEGAARCHIVO" queryTableFieldId="48" dataDxfId="58">
      <calculatedColumnFormula>Bod_Ach_Per[[#This Row],[BODEGA]]&amp;Bod_Ach_Per[[#This Row],[ARCHIVO]]</calculatedColumnFormula>
    </tableColumn>
    <tableColumn id="1" uniqueName="1" name="BODEGAARCHIVOPERFIL" queryTableFieldId="49" dataDxfId="57">
      <calculatedColumnFormula>Bod_Ach_Per[[#This Row],[BODEGA]]&amp;Bod_Ach_Per[[#This Row],[ARCHIVO]]&amp;Bod_Ach_Per[[#This Row],[PERFIL]]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7" name="Bod_Ach" displayName="Bod_Ach" ref="X2:AA3" tableType="queryTable" totalsRowShown="0">
  <autoFilter ref="X2:AA3"/>
  <tableColumns count="4">
    <tableColumn id="7" uniqueName="7" name="BODEGA" queryTableFieldId="45"/>
    <tableColumn id="8" uniqueName="8" name="ARCHIVO" queryTableFieldId="46"/>
    <tableColumn id="1" uniqueName="1" name="PATH" queryTableFieldId="50"/>
    <tableColumn id="2" uniqueName="2" name="BODEGAARCHIVO" queryTableFieldId="51" dataDxfId="56">
      <calculatedColumnFormula>Bod_Ach[[#This Row],[BODEGA]]&amp;Bod_Ach[[#This Row],[ARCHIVO]]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Items_Faltan_Producto_Activo" displayName="Items_Faltan_Producto_Activo" ref="A2:Z10" tableType="queryTable" totalsRowShown="0" headerRowDxfId="50">
  <autoFilter ref="A2:Z10"/>
  <tableColumns count="26">
    <tableColumn id="5" uniqueName="5" name="EMPRESA" queryTableFieldId="38"/>
    <tableColumn id="9" uniqueName="9" name="BODEGA" queryTableFieldId="18" dataDxfId="49"/>
    <tableColumn id="8" uniqueName="8" name="PRODUCTO" queryTableFieldId="8" dataDxfId="48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HOJACB" queryTableFieldId="29" dataDxfId="47"/>
    <tableColumn id="20" uniqueName="20" name="PROVEEDOR" queryTableFieldId="30" dataDxfId="46"/>
    <tableColumn id="21" uniqueName="21" name="PERFIL" queryTableFieldId="31" dataDxfId="45"/>
    <tableColumn id="22" uniqueName="22" name="BUFFER" queryTableFieldId="32" dataDxfId="44"/>
    <tableColumn id="12" uniqueName="12" name="PEDIDO MÍNIMO" queryTableFieldId="54" dataDxfId="43"/>
    <tableColumn id="13" uniqueName="13" name="REDONDEO PEDIDO MÍNIMO" queryTableFieldId="53" dataDxfId="42"/>
    <tableColumn id="14" uniqueName="14" name="UNIDAD EMPAQUE" queryTableFieldId="52" dataDxfId="41"/>
    <tableColumn id="15" uniqueName="15" name="REDONDEO UNIDAD DE EMPAQUE" queryTableFieldId="51" dataDxfId="40"/>
    <tableColumn id="16" uniqueName="16" name="BUFFER MIN" queryTableFieldId="56" dataDxfId="39"/>
    <tableColumn id="17" uniqueName="17" name="BUFFER MAX" queryTableFieldId="55" dataDxfId="38"/>
    <tableColumn id="1" uniqueName="1" name="BODEGAARCHIVO" queryTableFieldId="33" dataDxfId="37">
      <calculatedColumnFormula>Items_Faltan_Producto_Activo[[#This Row],[BODEGA]]&amp;Items_Faltan_Producto_Activo[[#This Row],[HOJACB]]</calculatedColumnFormula>
    </tableColumn>
    <tableColumn id="2" uniqueName="2" name="ARCHIVOCOMPLETO" queryTableFieldId="35" dataDxfId="36">
      <calculatedColumnFormula>IFERROR(INDEX(Bod_Ach_Producto[PATH],MATCH(Items_Faltan_Producto_Activo[[#This Row],[HOJACB]],Bod_Ach_Producto[ARCHIVO],0))&amp;"\"&amp;Items_Faltan_Producto_Activo[[#This Row],[HOJACB]],"")</calculatedColumnFormula>
    </tableColumn>
    <tableColumn id="10" uniqueName="10" name="CORRECTO" queryTableFieldId="49" dataDxfId="35">
      <calculatedColumnFormula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calculatedColumnFormula>
    </tableColumn>
    <tableColumn id="3" uniqueName="3" name="Borrar" queryTableFieldId="36" dataDxfId="34"/>
  </tableColumns>
  <tableStyleInfo name="TableStyleDark10" showFirstColumn="0" showLastColumn="0" showRowStripes="1" showColumnStripes="0"/>
</table>
</file>

<file path=xl/tables/table7.xml><?xml version="1.0" encoding="utf-8"?>
<table xmlns="http://schemas.openxmlformats.org/spreadsheetml/2006/main" id="8" name="Bod_Pro_Producto" displayName="Bod_Pro_Producto" ref="AM2:AO72" tableType="queryTable" totalsRowShown="0" headerRowDxfId="33" dataDxfId="32">
  <autoFilter ref="AM2:AO72"/>
  <tableColumns count="3">
    <tableColumn id="1" uniqueName="1" name="BODEGA" queryTableFieldId="39" dataDxfId="31"/>
    <tableColumn id="3" uniqueName="3" name="PROVEEDOR" queryTableFieldId="41" dataDxfId="30"/>
    <tableColumn id="2" uniqueName="2" name="BODEGAPROVEEDOR" queryTableFieldId="42" dataDxfId="29">
      <calculatedColumnFormula>Bod_Pro_Producto[[#This Row],[BODEGA]]&amp;Bod_Pro_Producto[[#This Row],[PROVEEDOR]]</calculatedColumnFormula>
    </tableColumn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id="9" name="Bod_Ach_Per_Producto" displayName="Bod_Ach_Per_Producto" ref="AQ2:AU6" tableType="queryTable" totalsRowShown="0" headerRowDxfId="28" dataDxfId="27">
  <autoFilter ref="AQ2:AU6"/>
  <sortState ref="AQ3:AU6">
    <sortCondition ref="AT1:AT54"/>
  </sortState>
  <tableColumns count="5">
    <tableColumn id="7" uniqueName="7" name="BODEGA" queryTableFieldId="45" dataDxfId="26"/>
    <tableColumn id="8" uniqueName="8" name="ARCHIVO" queryTableFieldId="46" dataDxfId="25"/>
    <tableColumn id="9" uniqueName="9" name="PERFIL" queryTableFieldId="47" dataDxfId="24"/>
    <tableColumn id="10" uniqueName="10" name="BODEGAARCHIVO" queryTableFieldId="48" dataDxfId="23">
      <calculatedColumnFormula>Bod_Ach_Per_Producto[[#This Row],[BODEGA]]&amp;Bod_Ach_Per_Producto[[#This Row],[ARCHIVO]]</calculatedColumnFormula>
    </tableColumn>
    <tableColumn id="1" uniqueName="1" name="BODEGAARCHIVOPERFIL" queryTableFieldId="49" dataDxfId="22">
      <calculatedColumnFormula>Bod_Ach_Per_Producto[[#This Row],[BODEGA]]&amp;Bod_Ach_Per_Producto[[#This Row],[ARCHIVO]]&amp;Bod_Ach_Per_Producto[[#This Row],[PERFIL]]</calculatedColumnFormula>
    </tableColumn>
  </tableColumns>
  <tableStyleInfo name="TableStyleMedium11" showFirstColumn="0" showLastColumn="0" showRowStripes="1" showColumnStripes="0"/>
</table>
</file>

<file path=xl/tables/table9.xml><?xml version="1.0" encoding="utf-8"?>
<table xmlns="http://schemas.openxmlformats.org/spreadsheetml/2006/main" id="10" name="Bod_Ach_Producto" displayName="Bod_Ach_Producto" ref="AH2:AK5" tableType="queryTable" totalsRowShown="0" headerRowDxfId="21" dataDxfId="20">
  <autoFilter ref="AH2:AK5"/>
  <tableColumns count="4">
    <tableColumn id="7" uniqueName="7" name="BODEGA" queryTableFieldId="45" dataDxfId="19"/>
    <tableColumn id="8" uniqueName="8" name="ARCHIVO" queryTableFieldId="46" dataDxfId="18"/>
    <tableColumn id="1" uniqueName="1" name="PATH" queryTableFieldId="50" dataDxfId="17"/>
    <tableColumn id="2" uniqueName="2" name="BODEGAARCHIVO" queryTableFieldId="51" dataDxfId="16">
      <calculatedColumnFormula>Bod_Ach_Producto[[#This Row],[BODEGA]]&amp;Bod_Ach_Producto[[#This Row],[ARCHIVO]]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1" name="Emp_Bod_Producto" displayName="Emp_Bod_Producto" ref="AW2:AX109" tableType="queryTable" totalsRowShown="0" headerRowDxfId="15" dataDxfId="14">
  <autoFilter ref="AW2:AX109"/>
  <tableColumns count="2">
    <tableColumn id="1" uniqueName="1" name="EMPRESA" queryTableFieldId="52" dataDxfId="13"/>
    <tableColumn id="7" uniqueName="7" name="BODEGA" queryTableFieldId="45" dataDxfId="12"/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id="12" name="Formulas" displayName="Formulas" ref="AB2:AD3" totalsRowShown="0" headerRowDxfId="11" dataDxfId="10">
  <autoFilter ref="AB2:AD3"/>
  <tableColumns count="3">
    <tableColumn id="1" name="ARCHIVO" dataDxfId="9"/>
    <tableColumn id="2" name="PROVEEDOR" dataDxfId="8"/>
    <tableColumn id="3" name="PERFIL" dataDxfId="7"/>
  </tableColumns>
  <tableStyleInfo name="TableStyleMedium10" showFirstColumn="0" showLastColumn="0" showRowStripes="1" showColumnStripes="0"/>
</table>
</file>

<file path=xl/tables/table12.xml><?xml version="1.0" encoding="utf-8"?>
<table xmlns="http://schemas.openxmlformats.org/spreadsheetml/2006/main" id="13" name="RPM" displayName="RPM" ref="AZ2:AZ3" tableType="queryTable" totalsRowShown="0" headerRowDxfId="6" dataDxfId="5">
  <autoFilter ref="AZ2:AZ3"/>
  <tableColumns count="1">
    <tableColumn id="1" uniqueName="1" name="Redondeo Pedido Minimo" queryTableFieldId="54" dataDxfId="4"/>
  </tableColumns>
  <tableStyleInfo name="TableStyleLight17" showFirstColumn="0" showLastColumn="0" showRowStripes="1" showColumnStripes="0"/>
</table>
</file>

<file path=xl/tables/table13.xml><?xml version="1.0" encoding="utf-8"?>
<table xmlns="http://schemas.openxmlformats.org/spreadsheetml/2006/main" id="14" name="RUE" displayName="RUE" ref="BB2:BB5" totalsRowShown="0" headerRowDxfId="3" dataDxfId="2">
  <autoFilter ref="BB2:BB5"/>
  <tableColumns count="1">
    <tableColumn id="1" name="Redondeo Unidad de Empaque" dataDxfId="1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3" name="Producto" displayName="Producto" ref="A1:M2" tableType="queryTable" insertRow="1" totalsRowShown="0">
  <autoFilter ref="A1:M2"/>
  <tableColumns count="13">
    <tableColumn id="3" uniqueName="3" name="pro_descripcion" queryTableFieldId="3"/>
    <tableColumn id="4" uniqueName="4" name="pro_grupo" queryTableFieldId="4"/>
    <tableColumn id="5" uniqueName="5" name="pro_linea" queryTableFieldId="5"/>
    <tableColumn id="6" uniqueName="6" name="pro_sublinea" queryTableFieldId="6"/>
    <tableColumn id="7" uniqueName="7" name="pro_modelo" queryTableFieldId="7"/>
    <tableColumn id="8" uniqueName="8" name="pro_familia" queryTableFieldId="8"/>
    <tableColumn id="9" uniqueName="9" name="pro_subfamilia" queryTableFieldId="9"/>
    <tableColumn id="10" uniqueName="10" name="pro_categoria" queryTableFieldId="10"/>
    <tableColumn id="11" uniqueName="11" name="pro_tipo" queryTableFieldId="11"/>
    <tableColumn id="12" uniqueName="12" name="pro_marca" queryTableFieldId="12"/>
    <tableColumn id="13" uniqueName="13" name="pro_cat_management" queryTableFieldId="13"/>
    <tableColumn id="14" uniqueName="14" name="pro_empresa_id" queryTableFieldId="16"/>
    <tableColumn id="16" uniqueName="16" name="pro_codigo" queryTableFieldId="18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5" name="Lista_Archivos" displayName="Lista_Archivos" ref="A1:B2" tableType="queryTable" totalsRowShown="0">
  <autoFilter ref="A1:B2"/>
  <tableColumns count="2">
    <tableColumn id="1" uniqueName="1" name="ARCHIVOCOMPLETO" queryTableFieldId="1"/>
    <tableColumn id="2" uniqueName="2" name="ARCHIVO" queryTableFieldId="2" dataDxfId="0">
      <calculatedColumnFormula>IF(Lista_Archivos[[#This Row],[ARCHIVOCOMPLETO]]&lt;&gt;"",INDEX(Items_Faltan[ARCHIVO],MATCH(Lista_Archivos[[#This Row],[ARCHIVOCOMPLETO]],Items_Faltan[ARCHIVOCOMPLETO],0)),"")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4" name="Buffer_Empresa" displayName="Buffer_Empresa" ref="A1:C2" tableType="queryTable" insertRow="1" totalsRowShown="0">
  <autoFilter ref="A1:C2"/>
  <tableColumns count="3">
    <tableColumn id="1" uniqueName="1" name="BODEGA" queryTableFieldId="19"/>
    <tableColumn id="2" uniqueName="2" name="PRODUCTO" queryTableFieldId="20"/>
    <tableColumn id="3" uniqueName="3" name="BUFFER_EMPRESA" queryTableField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0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D3"/>
  <sheetViews>
    <sheetView showGridLines="0" workbookViewId="0">
      <selection activeCell="C6" sqref="C6"/>
    </sheetView>
  </sheetViews>
  <sheetFormatPr baseColWidth="10" defaultRowHeight="15" x14ac:dyDescent="0.25"/>
  <cols>
    <col min="1" max="1" width="10.85546875" bestFit="1" customWidth="1"/>
    <col min="2" max="2" width="32.140625" bestFit="1" customWidth="1"/>
    <col min="3" max="3" width="9.42578125" bestFit="1" customWidth="1"/>
    <col min="4" max="4" width="13.5703125" bestFit="1" customWidth="1"/>
  </cols>
  <sheetData>
    <row r="1" spans="1:4" x14ac:dyDescent="0.25">
      <c r="A1" t="s">
        <v>38</v>
      </c>
      <c r="B1" t="s">
        <v>1</v>
      </c>
      <c r="C1" t="s">
        <v>39</v>
      </c>
      <c r="D1" t="s">
        <v>0</v>
      </c>
    </row>
    <row r="2" spans="1:4" x14ac:dyDescent="0.25">
      <c r="A2" t="s">
        <v>40</v>
      </c>
      <c r="B2" t="s">
        <v>41</v>
      </c>
      <c r="C2" t="s">
        <v>42</v>
      </c>
      <c r="D2" t="s">
        <v>43</v>
      </c>
    </row>
    <row r="3" spans="1:4" x14ac:dyDescent="0.25">
      <c r="A3" t="s">
        <v>40</v>
      </c>
      <c r="B3" t="s">
        <v>41</v>
      </c>
      <c r="C3" t="s">
        <v>42</v>
      </c>
      <c r="D3" t="s">
        <v>43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</sheetPr>
  <dimension ref="A1:AL72"/>
  <sheetViews>
    <sheetView showGridLines="0" zoomScale="80" zoomScaleNormal="80" workbookViewId="0">
      <selection activeCell="M3" sqref="M3"/>
    </sheetView>
  </sheetViews>
  <sheetFormatPr baseColWidth="10" defaultRowHeight="15" x14ac:dyDescent="0.25"/>
  <cols>
    <col min="1" max="1" width="13.5703125" customWidth="1"/>
    <col min="2" max="2" width="36.42578125" style="2" customWidth="1"/>
    <col min="3" max="3" width="20.5703125" customWidth="1"/>
    <col min="4" max="12" width="20.5703125" style="2" customWidth="1"/>
    <col min="13" max="13" width="17.28515625" customWidth="1"/>
    <col min="14" max="14" width="11" customWidth="1"/>
    <col min="15" max="15" width="23.140625" bestFit="1" customWidth="1"/>
    <col min="16" max="16" width="24.42578125" bestFit="1" customWidth="1"/>
    <col min="17" max="17" width="34.28515625" hidden="1" customWidth="1"/>
    <col min="18" max="18" width="19.140625" hidden="1" customWidth="1"/>
    <col min="19" max="19" width="29.28515625" hidden="1" customWidth="1"/>
    <col min="20" max="20" width="81.140625" hidden="1" customWidth="1"/>
    <col min="21" max="22" width="11.42578125" hidden="1" customWidth="1"/>
    <col min="23" max="23" width="10" hidden="1" customWidth="1"/>
    <col min="24" max="24" width="12.85546875" hidden="1" customWidth="1"/>
    <col min="25" max="25" width="16.7109375" hidden="1" customWidth="1"/>
    <col min="26" max="26" width="8.85546875" hidden="1" customWidth="1"/>
    <col min="27" max="27" width="28.7109375" hidden="1" customWidth="1"/>
    <col min="28" max="28" width="9" hidden="1" customWidth="1"/>
    <col min="29" max="29" width="12.7109375" hidden="1" customWidth="1"/>
    <col min="30" max="30" width="40.140625" hidden="1" customWidth="1"/>
    <col min="31" max="31" width="52" hidden="1" customWidth="1"/>
    <col min="32" max="32" width="18" hidden="1" customWidth="1"/>
    <col min="33" max="33" width="12.7109375" hidden="1" customWidth="1"/>
    <col min="34" max="34" width="16.5703125" hidden="1" customWidth="1"/>
    <col min="35" max="35" width="24.85546875" hidden="1" customWidth="1"/>
    <col min="36" max="36" width="28.5703125" hidden="1" customWidth="1"/>
    <col min="37" max="37" width="50.7109375" hidden="1" customWidth="1"/>
    <col min="38" max="38" width="79.5703125" hidden="1" customWidth="1"/>
    <col min="39" max="39" width="1.5703125" customWidth="1"/>
    <col min="40" max="40" width="3.7109375" customWidth="1"/>
    <col min="41" max="41" width="23" bestFit="1" customWidth="1"/>
  </cols>
  <sheetData>
    <row r="1" spans="1:37" s="2" customFormat="1" x14ac:dyDescent="0.25"/>
    <row r="2" spans="1:37" x14ac:dyDescent="0.25">
      <c r="A2" s="4" t="s">
        <v>45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22</v>
      </c>
      <c r="J2" s="4" t="s">
        <v>23</v>
      </c>
      <c r="K2" s="4" t="s">
        <v>24</v>
      </c>
      <c r="L2" s="4" t="s">
        <v>25</v>
      </c>
      <c r="M2" s="5" t="s">
        <v>26</v>
      </c>
      <c r="N2" s="5" t="s">
        <v>27</v>
      </c>
      <c r="O2" s="5" t="s">
        <v>28</v>
      </c>
      <c r="P2" s="5" t="s">
        <v>29</v>
      </c>
      <c r="Q2" s="5" t="s">
        <v>30</v>
      </c>
      <c r="R2" s="5" t="s">
        <v>32</v>
      </c>
      <c r="S2" s="4" t="s">
        <v>36</v>
      </c>
      <c r="X2" s="2" t="s">
        <v>15</v>
      </c>
      <c r="Y2" s="2" t="s">
        <v>26</v>
      </c>
      <c r="Z2" s="2" t="s">
        <v>31</v>
      </c>
      <c r="AA2" s="2" t="s">
        <v>30</v>
      </c>
      <c r="AC2" t="s">
        <v>15</v>
      </c>
      <c r="AD2" t="s">
        <v>27</v>
      </c>
      <c r="AE2" t="s">
        <v>33</v>
      </c>
      <c r="AG2" t="s">
        <v>15</v>
      </c>
      <c r="AH2" t="s">
        <v>26</v>
      </c>
      <c r="AI2" t="s">
        <v>28</v>
      </c>
      <c r="AJ2" t="s">
        <v>30</v>
      </c>
      <c r="AK2" t="s">
        <v>34</v>
      </c>
    </row>
    <row r="3" spans="1:37" x14ac:dyDescent="0.25">
      <c r="A3" s="2"/>
      <c r="C3" s="2"/>
      <c r="M3" s="3"/>
      <c r="N3" s="3"/>
      <c r="O3" s="3"/>
      <c r="P3" s="3"/>
      <c r="Q3" s="3"/>
      <c r="R3" s="3"/>
      <c r="S3" s="3"/>
      <c r="X3" s="2" t="s">
        <v>47</v>
      </c>
      <c r="Y3" s="2" t="s">
        <v>48</v>
      </c>
      <c r="Z3" s="2" t="s">
        <v>37</v>
      </c>
      <c r="AA3" s="3" t="str">
        <f>Bod_Ach[[#This Row],[BODEGA]]&amp;Bod_Ach[[#This Row],[ARCHIVO]]</f>
        <v>Bodega Central AgrotaMaquinas ECHO - SHINDAIWA.xlsm</v>
      </c>
      <c r="AC3" t="s">
        <v>49</v>
      </c>
      <c r="AD3" t="s">
        <v>47</v>
      </c>
      <c r="AE3" s="1" t="str">
        <f>Bod_Pro[[#This Row],[BODEGA]]&amp;Bod_Pro[[#This Row],[PROVEEDOR]]</f>
        <v>AGROTA BODEGA  YAMABIKOBodega Central Agrota</v>
      </c>
      <c r="AG3" t="s">
        <v>47</v>
      </c>
      <c r="AH3" t="s">
        <v>48</v>
      </c>
      <c r="AI3" t="s">
        <v>100</v>
      </c>
      <c r="AJ3" s="1" t="str">
        <f>Bod_Ach_Per[[#This Row],[BODEGA]]&amp;Bod_Ach_Per[[#This Row],[ARCHIVO]]</f>
        <v>Bodega Central AgrotaMaquinas ECHO - SHINDAIWA.xlsm</v>
      </c>
      <c r="AK3" s="1" t="str">
        <f>Bod_Ach_Per[[#This Row],[BODEGA]]&amp;Bod_Ach_Per[[#This Row],[ARCHIVO]]&amp;Bod_Ach_Per[[#This Row],[PERFIL]]</f>
        <v>Bodega Central AgrotaMaquinas ECHO - SHINDAIWA.xlsmJAPON ECHO</v>
      </c>
    </row>
    <row r="4" spans="1:37" x14ac:dyDescent="0.25">
      <c r="AC4" t="s">
        <v>50</v>
      </c>
      <c r="AD4" t="s">
        <v>47</v>
      </c>
      <c r="AE4" s="1" t="str">
        <f>Bod_Pro[[#This Row],[BODEGA]]&amp;Bod_Pro[[#This Row],[PROVEEDOR]]</f>
        <v>AGROTA BODEGA INCOPBodega Central Agrota</v>
      </c>
      <c r="AG4" s="2" t="s">
        <v>47</v>
      </c>
      <c r="AH4" s="2" t="s">
        <v>48</v>
      </c>
      <c r="AI4" s="2" t="s">
        <v>101</v>
      </c>
      <c r="AJ4" s="3" t="str">
        <f>Bod_Ach_Per[[#This Row],[BODEGA]]&amp;Bod_Ach_Per[[#This Row],[ARCHIVO]]</f>
        <v>Bodega Central AgrotaMaquinas ECHO - SHINDAIWA.xlsm</v>
      </c>
      <c r="AK4" s="3" t="str">
        <f>Bod_Ach_Per[[#This Row],[BODEGA]]&amp;Bod_Ach_Per[[#This Row],[ARCHIVO]]&amp;Bod_Ach_Per[[#This Row],[PERFIL]]</f>
        <v>Bodega Central AgrotaMaquinas ECHO - SHINDAIWA.xlsmUSA ECHO</v>
      </c>
    </row>
    <row r="5" spans="1:37" x14ac:dyDescent="0.25">
      <c r="AC5" t="s">
        <v>51</v>
      </c>
      <c r="AD5" t="s">
        <v>47</v>
      </c>
      <c r="AE5" s="1" t="str">
        <f>Bod_Pro[[#This Row],[BODEGA]]&amp;Bod_Pro[[#This Row],[PROVEEDOR]]</f>
        <v>AGROTA SUKAMPO FERIA LIBREBodega Central Agrota</v>
      </c>
    </row>
    <row r="6" spans="1:37" x14ac:dyDescent="0.25">
      <c r="AC6" t="s">
        <v>51</v>
      </c>
      <c r="AD6" t="s">
        <v>52</v>
      </c>
      <c r="AE6" s="1" t="str">
        <f>Bod_Pro[[#This Row],[BODEGA]]&amp;Bod_Pro[[#This Row],[PROVEEDOR]]</f>
        <v>AGROTA SUKAMPO FERIA LIBREBODEGA CENTRAL MAQUINAS</v>
      </c>
    </row>
    <row r="7" spans="1:37" x14ac:dyDescent="0.25">
      <c r="AC7" t="s">
        <v>53</v>
      </c>
      <c r="AD7" t="s">
        <v>54</v>
      </c>
      <c r="AE7" s="1" t="str">
        <f>Bod_Pro[[#This Row],[BODEGA]]&amp;Bod_Pro[[#This Row],[PROVEEDOR]]</f>
        <v>AGROTA SUKAMPO GUAYAQUILBODEGA CENTRAL</v>
      </c>
    </row>
    <row r="8" spans="1:37" x14ac:dyDescent="0.25">
      <c r="AC8" t="s">
        <v>53</v>
      </c>
      <c r="AD8" t="s">
        <v>47</v>
      </c>
      <c r="AE8" s="1" t="str">
        <f>Bod_Pro[[#This Row],[BODEGA]]&amp;Bod_Pro[[#This Row],[PROVEEDOR]]</f>
        <v>AGROTA SUKAMPO GUAYAQUILBodega Central Agrota</v>
      </c>
    </row>
    <row r="9" spans="1:37" x14ac:dyDescent="0.25">
      <c r="AC9" t="s">
        <v>53</v>
      </c>
      <c r="AD9" t="s">
        <v>52</v>
      </c>
      <c r="AE9" s="1" t="str">
        <f>Bod_Pro[[#This Row],[BODEGA]]&amp;Bod_Pro[[#This Row],[PROVEEDOR]]</f>
        <v>AGROTA SUKAMPO GUAYAQUILBODEGA CENTRAL MAQUINAS</v>
      </c>
    </row>
    <row r="10" spans="1:37" x14ac:dyDescent="0.25">
      <c r="AC10" t="s">
        <v>55</v>
      </c>
      <c r="AD10" t="s">
        <v>47</v>
      </c>
      <c r="AE10" s="1" t="str">
        <f>Bod_Pro[[#This Row],[BODEGA]]&amp;Bod_Pro[[#This Row],[PROVEEDOR]]</f>
        <v>AGROTA SUKAMPO MILAGROBodega Central Agrota</v>
      </c>
    </row>
    <row r="11" spans="1:37" x14ac:dyDescent="0.25">
      <c r="AC11" t="s">
        <v>56</v>
      </c>
      <c r="AD11" t="s">
        <v>54</v>
      </c>
      <c r="AE11" s="1" t="str">
        <f>Bod_Pro[[#This Row],[BODEGA]]&amp;Bod_Pro[[#This Row],[PROVEEDOR]]</f>
        <v>AGROTA SUKAMPO UNIDAD NACIONALBODEGA CENTRAL</v>
      </c>
    </row>
    <row r="12" spans="1:37" x14ac:dyDescent="0.25">
      <c r="AC12" t="s">
        <v>56</v>
      </c>
      <c r="AD12" t="s">
        <v>47</v>
      </c>
      <c r="AE12" s="1" t="str">
        <f>Bod_Pro[[#This Row],[BODEGA]]&amp;Bod_Pro[[#This Row],[PROVEEDOR]]</f>
        <v>AGROTA SUKAMPO UNIDAD NACIONALBodega Central Agrota</v>
      </c>
    </row>
    <row r="13" spans="1:37" x14ac:dyDescent="0.25">
      <c r="AC13" t="s">
        <v>57</v>
      </c>
      <c r="AD13" t="s">
        <v>47</v>
      </c>
      <c r="AE13" s="1" t="str">
        <f>Bod_Pro[[#This Row],[BODEGA]]&amp;Bod_Pro[[#This Row],[PROVEEDOR]]</f>
        <v>AGROTA TALLER SUKAMPO MILAGROBodega Central Agrota</v>
      </c>
    </row>
    <row r="14" spans="1:37" x14ac:dyDescent="0.25">
      <c r="AC14" t="s">
        <v>58</v>
      </c>
      <c r="AD14" t="s">
        <v>47</v>
      </c>
      <c r="AE14" s="1" t="str">
        <f>Bod_Pro[[#This Row],[BODEGA]]&amp;Bod_Pro[[#This Row],[PROVEEDOR]]</f>
        <v>AGROTA TALLER SUKAMPO QUEVEDOBodega Central Agrota</v>
      </c>
    </row>
    <row r="15" spans="1:37" x14ac:dyDescent="0.25">
      <c r="AC15" t="s">
        <v>59</v>
      </c>
      <c r="AD15" t="s">
        <v>54</v>
      </c>
      <c r="AE15" s="1" t="str">
        <f>Bod_Pro[[#This Row],[BODEGA]]&amp;Bod_Pro[[#This Row],[PROVEEDOR]]</f>
        <v>AGROTA TALLER SUKAMPO UNIDAD NACIONALBODEGA CENTRAL</v>
      </c>
    </row>
    <row r="16" spans="1:37" x14ac:dyDescent="0.25">
      <c r="AC16" t="s">
        <v>59</v>
      </c>
      <c r="AD16" t="s">
        <v>47</v>
      </c>
      <c r="AE16" s="1" t="str">
        <f>Bod_Pro[[#This Row],[BODEGA]]&amp;Bod_Pro[[#This Row],[PROVEEDOR]]</f>
        <v>AGROTA TALLER SUKAMPO UNIDAD NACIONALBodega Central Agrota</v>
      </c>
    </row>
    <row r="17" spans="29:31" x14ac:dyDescent="0.25">
      <c r="AC17" t="s">
        <v>47</v>
      </c>
      <c r="AD17" t="s">
        <v>60</v>
      </c>
      <c r="AE17" s="1" t="str">
        <f>Bod_Pro[[#This Row],[BODEGA]]&amp;Bod_Pro[[#This Row],[PROVEEDOR]]</f>
        <v>Bodega Central AgrotaBCS</v>
      </c>
    </row>
    <row r="18" spans="29:31" x14ac:dyDescent="0.25">
      <c r="AC18" t="s">
        <v>47</v>
      </c>
      <c r="AD18" t="s">
        <v>61</v>
      </c>
      <c r="AE18" s="1" t="str">
        <f>Bod_Pro[[#This Row],[BODEGA]]&amp;Bod_Pro[[#This Row],[PROVEEDOR]]</f>
        <v>Bodega Central AgrotaBODEGA CENTRAL MATERIA PRIMA</v>
      </c>
    </row>
    <row r="19" spans="29:31" x14ac:dyDescent="0.25">
      <c r="AC19" t="s">
        <v>47</v>
      </c>
      <c r="AD19" t="s">
        <v>62</v>
      </c>
      <c r="AE19" s="1" t="str">
        <f>Bod_Pro[[#This Row],[BODEGA]]&amp;Bod_Pro[[#This Row],[PROVEEDOR]]</f>
        <v>Bodega Central AgrotaBORALSAN</v>
      </c>
    </row>
    <row r="20" spans="29:31" x14ac:dyDescent="0.25">
      <c r="AC20" t="s">
        <v>47</v>
      </c>
      <c r="AD20" t="s">
        <v>63</v>
      </c>
      <c r="AE20" s="1" t="str">
        <f>Bod_Pro[[#This Row],[BODEGA]]&amp;Bod_Pro[[#This Row],[PROVEEDOR]]</f>
        <v>Bodega Central AgrotaChatani</v>
      </c>
    </row>
    <row r="21" spans="29:31" x14ac:dyDescent="0.25">
      <c r="AC21" t="s">
        <v>47</v>
      </c>
      <c r="AD21" t="s">
        <v>64</v>
      </c>
      <c r="AE21" s="1" t="str">
        <f>Bod_Pro[[#This Row],[BODEGA]]&amp;Bod_Pro[[#This Row],[PROVEEDOR]]</f>
        <v>Bodega Central AgrotaCOMERCIAL KYWI</v>
      </c>
    </row>
    <row r="22" spans="29:31" x14ac:dyDescent="0.25">
      <c r="AC22" t="s">
        <v>47</v>
      </c>
      <c r="AD22" t="s">
        <v>65</v>
      </c>
      <c r="AE22" s="1" t="str">
        <f>Bod_Pro[[#This Row],[BODEGA]]&amp;Bod_Pro[[#This Row],[PROVEEDOR]]</f>
        <v>Bodega Central AgrotaCompra Local Maquinas</v>
      </c>
    </row>
    <row r="23" spans="29:31" x14ac:dyDescent="0.25">
      <c r="AC23" t="s">
        <v>47</v>
      </c>
      <c r="AD23" t="s">
        <v>66</v>
      </c>
      <c r="AE23" s="1" t="str">
        <f>Bod_Pro[[#This Row],[BODEGA]]&amp;Bod_Pro[[#This Row],[PROVEEDOR]]</f>
        <v>Bodega Central AgrotaDuaja</v>
      </c>
    </row>
    <row r="24" spans="29:31" x14ac:dyDescent="0.25">
      <c r="AC24" t="s">
        <v>47</v>
      </c>
      <c r="AD24" t="s">
        <v>67</v>
      </c>
      <c r="AE24" s="1" t="str">
        <f>Bod_Pro[[#This Row],[BODEGA]]&amp;Bod_Pro[[#This Row],[PROVEEDOR]]</f>
        <v>Bodega Central AgrotaEcho</v>
      </c>
    </row>
    <row r="25" spans="29:31" x14ac:dyDescent="0.25">
      <c r="AC25" t="s">
        <v>47</v>
      </c>
      <c r="AD25" t="s">
        <v>68</v>
      </c>
      <c r="AE25" s="1" t="str">
        <f>Bod_Pro[[#This Row],[BODEGA]]&amp;Bod_Pro[[#This Row],[PROVEEDOR]]</f>
        <v>Bodega Central AgrotaEUROLATTE</v>
      </c>
    </row>
    <row r="26" spans="29:31" x14ac:dyDescent="0.25">
      <c r="AC26" s="2" t="s">
        <v>47</v>
      </c>
      <c r="AD26" s="2" t="s">
        <v>69</v>
      </c>
      <c r="AE26" s="3" t="str">
        <f>Bod_Pro[[#This Row],[BODEGA]]&amp;Bod_Pro[[#This Row],[PROVEEDOR]]</f>
        <v>Bodega Central AgrotaFORD</v>
      </c>
    </row>
    <row r="27" spans="29:31" x14ac:dyDescent="0.25">
      <c r="AC27" s="2" t="s">
        <v>47</v>
      </c>
      <c r="AD27" s="2" t="s">
        <v>70</v>
      </c>
      <c r="AE27" s="3" t="str">
        <f>Bod_Pro[[#This Row],[BODEGA]]&amp;Bod_Pro[[#This Row],[PROVEEDOR]]</f>
        <v>Bodega Central AgrotaIkra</v>
      </c>
    </row>
    <row r="28" spans="29:31" x14ac:dyDescent="0.25">
      <c r="AC28" s="2" t="s">
        <v>47</v>
      </c>
      <c r="AD28" s="2" t="s">
        <v>71</v>
      </c>
      <c r="AE28" s="3" t="str">
        <f>Bod_Pro[[#This Row],[BODEGA]]&amp;Bod_Pro[[#This Row],[PROVEEDOR]]</f>
        <v>Bodega Central AgrotaINCOMAGRI</v>
      </c>
    </row>
    <row r="29" spans="29:31" x14ac:dyDescent="0.25">
      <c r="AC29" s="2" t="s">
        <v>47</v>
      </c>
      <c r="AD29" s="2" t="s">
        <v>72</v>
      </c>
      <c r="AE29" s="3" t="str">
        <f>Bod_Pro[[#This Row],[BODEGA]]&amp;Bod_Pro[[#This Row],[PROVEEDOR]]</f>
        <v>Bodega Central AgrotaJf</v>
      </c>
    </row>
    <row r="30" spans="29:31" x14ac:dyDescent="0.25">
      <c r="AC30" s="2" t="s">
        <v>47</v>
      </c>
      <c r="AD30" s="2" t="s">
        <v>73</v>
      </c>
      <c r="AE30" s="3" t="str">
        <f>Bod_Pro[[#This Row],[BODEGA]]&amp;Bod_Pro[[#This Row],[PROVEEDOR]]</f>
        <v>Bodega Central AgrotaJM ESTRADA</v>
      </c>
    </row>
    <row r="31" spans="29:31" x14ac:dyDescent="0.25">
      <c r="AC31" s="2" t="s">
        <v>47</v>
      </c>
      <c r="AD31" s="2" t="s">
        <v>74</v>
      </c>
      <c r="AE31" s="3" t="str">
        <f>Bod_Pro[[#This Row],[BODEGA]]&amp;Bod_Pro[[#This Row],[PROVEEDOR]]</f>
        <v>Bodega Central AgrotaMFW</v>
      </c>
    </row>
    <row r="32" spans="29:31" x14ac:dyDescent="0.25">
      <c r="AC32" s="2" t="s">
        <v>47</v>
      </c>
      <c r="AD32" s="2" t="s">
        <v>75</v>
      </c>
      <c r="AE32" s="3" t="str">
        <f>Bod_Pro[[#This Row],[BODEGA]]&amp;Bod_Pro[[#This Row],[PROVEEDOR]]</f>
        <v>Bodega Central AgrotaMIRAL</v>
      </c>
    </row>
    <row r="33" spans="29:31" x14ac:dyDescent="0.25">
      <c r="AC33" s="2" t="s">
        <v>47</v>
      </c>
      <c r="AD33" s="2" t="s">
        <v>76</v>
      </c>
      <c r="AE33" s="3" t="str">
        <f>Bod_Pro[[#This Row],[BODEGA]]&amp;Bod_Pro[[#This Row],[PROVEEDOR]]</f>
        <v>Bodega Central AgrotaPatriot</v>
      </c>
    </row>
    <row r="34" spans="29:31" x14ac:dyDescent="0.25">
      <c r="AC34" s="2" t="s">
        <v>47</v>
      </c>
      <c r="AD34" s="2" t="s">
        <v>77</v>
      </c>
      <c r="AE34" s="3" t="str">
        <f>Bod_Pro[[#This Row],[BODEGA]]&amp;Bod_Pro[[#This Row],[PROVEEDOR]]</f>
        <v>Bodega Central AgrotaSirfran</v>
      </c>
    </row>
    <row r="35" spans="29:31" x14ac:dyDescent="0.25">
      <c r="AC35" s="2" t="s">
        <v>52</v>
      </c>
      <c r="AD35" s="2" t="s">
        <v>60</v>
      </c>
      <c r="AE35" s="3" t="str">
        <f>Bod_Pro[[#This Row],[BODEGA]]&amp;Bod_Pro[[#This Row],[PROVEEDOR]]</f>
        <v>BODEGA CENTRAL MAQUINASBCS</v>
      </c>
    </row>
    <row r="36" spans="29:31" x14ac:dyDescent="0.25">
      <c r="AC36" s="2" t="s">
        <v>52</v>
      </c>
      <c r="AD36" s="2" t="s">
        <v>63</v>
      </c>
      <c r="AE36" s="3" t="str">
        <f>Bod_Pro[[#This Row],[BODEGA]]&amp;Bod_Pro[[#This Row],[PROVEEDOR]]</f>
        <v>BODEGA CENTRAL MAQUINASChatani</v>
      </c>
    </row>
    <row r="37" spans="29:31" x14ac:dyDescent="0.25">
      <c r="AC37" s="2" t="s">
        <v>52</v>
      </c>
      <c r="AD37" s="2" t="s">
        <v>65</v>
      </c>
      <c r="AE37" s="3" t="str">
        <f>Bod_Pro[[#This Row],[BODEGA]]&amp;Bod_Pro[[#This Row],[PROVEEDOR]]</f>
        <v>BODEGA CENTRAL MAQUINASCompra Local Maquinas</v>
      </c>
    </row>
    <row r="38" spans="29:31" x14ac:dyDescent="0.25">
      <c r="AC38" s="2" t="s">
        <v>52</v>
      </c>
      <c r="AD38" s="2" t="s">
        <v>78</v>
      </c>
      <c r="AE38" s="3" t="str">
        <f>Bod_Pro[[#This Row],[BODEGA]]&amp;Bod_Pro[[#This Row],[PROVEEDOR]]</f>
        <v>BODEGA CENTRAL MAQUINASCompra Local Quimicos</v>
      </c>
    </row>
    <row r="39" spans="29:31" x14ac:dyDescent="0.25">
      <c r="AC39" s="2" t="s">
        <v>52</v>
      </c>
      <c r="AD39" s="2" t="s">
        <v>67</v>
      </c>
      <c r="AE39" s="3" t="str">
        <f>Bod_Pro[[#This Row],[BODEGA]]&amp;Bod_Pro[[#This Row],[PROVEEDOR]]</f>
        <v>BODEGA CENTRAL MAQUINASEcho</v>
      </c>
    </row>
    <row r="40" spans="29:31" x14ac:dyDescent="0.25">
      <c r="AC40" s="2" t="s">
        <v>52</v>
      </c>
      <c r="AD40" s="2" t="s">
        <v>70</v>
      </c>
      <c r="AE40" s="3" t="str">
        <f>Bod_Pro[[#This Row],[BODEGA]]&amp;Bod_Pro[[#This Row],[PROVEEDOR]]</f>
        <v>BODEGA CENTRAL MAQUINASIkra</v>
      </c>
    </row>
    <row r="41" spans="29:31" x14ac:dyDescent="0.25">
      <c r="AC41" s="2" t="s">
        <v>52</v>
      </c>
      <c r="AD41" s="2" t="s">
        <v>72</v>
      </c>
      <c r="AE41" s="3" t="str">
        <f>Bod_Pro[[#This Row],[BODEGA]]&amp;Bod_Pro[[#This Row],[PROVEEDOR]]</f>
        <v>BODEGA CENTRAL MAQUINASJf</v>
      </c>
    </row>
    <row r="42" spans="29:31" x14ac:dyDescent="0.25">
      <c r="AC42" s="2" t="s">
        <v>52</v>
      </c>
      <c r="AD42" s="2" t="s">
        <v>79</v>
      </c>
      <c r="AE42" s="3" t="str">
        <f>Bod_Pro[[#This Row],[BODEGA]]&amp;Bod_Pro[[#This Row],[PROVEEDOR]]</f>
        <v>BODEGA CENTRAL MAQUINASMATERIA PRIMA</v>
      </c>
    </row>
    <row r="43" spans="29:31" x14ac:dyDescent="0.25">
      <c r="AC43" s="2" t="s">
        <v>52</v>
      </c>
      <c r="AD43" s="2" t="s">
        <v>80</v>
      </c>
      <c r="AE43" s="3" t="str">
        <f>Bod_Pro[[#This Row],[BODEGA]]&amp;Bod_Pro[[#This Row],[PROVEEDOR]]</f>
        <v>BODEGA CENTRAL MAQUINASSinochem</v>
      </c>
    </row>
    <row r="44" spans="29:31" x14ac:dyDescent="0.25">
      <c r="AC44" s="2" t="s">
        <v>61</v>
      </c>
      <c r="AD44" s="2" t="s">
        <v>78</v>
      </c>
      <c r="AE44" s="3" t="str">
        <f>Bod_Pro[[#This Row],[BODEGA]]&amp;Bod_Pro[[#This Row],[PROVEEDOR]]</f>
        <v>BODEGA CENTRAL MATERIA PRIMACompra Local Quimicos</v>
      </c>
    </row>
    <row r="45" spans="29:31" x14ac:dyDescent="0.25">
      <c r="AC45" s="2" t="s">
        <v>81</v>
      </c>
      <c r="AD45" s="2" t="s">
        <v>47</v>
      </c>
      <c r="AE45" s="3" t="str">
        <f>Bod_Pro[[#This Row],[BODEGA]]&amp;Bod_Pro[[#This Row],[PROVEEDOR]]</f>
        <v>BODEGA DUPOCSA ARENALBodega Central Agrota</v>
      </c>
    </row>
    <row r="46" spans="29:31" x14ac:dyDescent="0.25">
      <c r="AC46" s="2" t="s">
        <v>82</v>
      </c>
      <c r="AD46" s="2" t="s">
        <v>47</v>
      </c>
      <c r="AE46" s="3" t="str">
        <f>Bod_Pro[[#This Row],[BODEGA]]&amp;Bod_Pro[[#This Row],[PROVEEDOR]]</f>
        <v>BODEGA DUPOCSA CONCORDIABodega Central Agrota</v>
      </c>
    </row>
    <row r="47" spans="29:31" x14ac:dyDescent="0.25">
      <c r="AC47" s="2" t="s">
        <v>83</v>
      </c>
      <c r="AD47" s="2" t="s">
        <v>47</v>
      </c>
      <c r="AE47" s="3" t="str">
        <f>Bod_Pro[[#This Row],[BODEGA]]&amp;Bod_Pro[[#This Row],[PROVEEDOR]]</f>
        <v>BODEGA DUPOCSA QUEVEDOBodega Central Agrota</v>
      </c>
    </row>
    <row r="48" spans="29:31" x14ac:dyDescent="0.25">
      <c r="AC48" s="2" t="s">
        <v>84</v>
      </c>
      <c r="AD48" s="2" t="s">
        <v>61</v>
      </c>
      <c r="AE48" s="3" t="str">
        <f>Bod_Pro[[#This Row],[BODEGA]]&amp;Bod_Pro[[#This Row],[PROVEEDOR]]</f>
        <v>BODEGA MERCALIMSABODEGA CENTRAL MATERIA PRIMA</v>
      </c>
    </row>
    <row r="49" spans="29:31" x14ac:dyDescent="0.25">
      <c r="AC49" s="2" t="s">
        <v>84</v>
      </c>
      <c r="AD49" s="2" t="s">
        <v>78</v>
      </c>
      <c r="AE49" s="3" t="str">
        <f>Bod_Pro[[#This Row],[BODEGA]]&amp;Bod_Pro[[#This Row],[PROVEEDOR]]</f>
        <v>BODEGA MERCALIMSACompra Local Quimicos</v>
      </c>
    </row>
    <row r="50" spans="29:31" x14ac:dyDescent="0.25">
      <c r="AC50" s="2" t="s">
        <v>84</v>
      </c>
      <c r="AD50" s="2" t="s">
        <v>79</v>
      </c>
      <c r="AE50" s="3" t="str">
        <f>Bod_Pro[[#This Row],[BODEGA]]&amp;Bod_Pro[[#This Row],[PROVEEDOR]]</f>
        <v>BODEGA MERCALIMSAMATERIA PRIMA</v>
      </c>
    </row>
    <row r="51" spans="29:31" x14ac:dyDescent="0.25">
      <c r="AC51" s="2" t="s">
        <v>85</v>
      </c>
      <c r="AD51" s="2" t="s">
        <v>47</v>
      </c>
      <c r="AE51" s="3" t="str">
        <f>Bod_Pro[[#This Row],[BODEGA]]&amp;Bod_Pro[[#This Row],[PROVEEDOR]]</f>
        <v>BODEGA SATELITE AGROINSUMOS RIERABodega Central Agrota</v>
      </c>
    </row>
    <row r="52" spans="29:31" x14ac:dyDescent="0.25">
      <c r="AC52" s="2" t="s">
        <v>86</v>
      </c>
      <c r="AD52" s="2" t="s">
        <v>47</v>
      </c>
      <c r="AE52" s="3" t="str">
        <f>Bod_Pro[[#This Row],[BODEGA]]&amp;Bod_Pro[[#This Row],[PROVEEDOR]]</f>
        <v>BODEGA SATELITE COMERCIAL COCABodega Central Agrota</v>
      </c>
    </row>
    <row r="53" spans="29:31" x14ac:dyDescent="0.25">
      <c r="AC53" s="2" t="s">
        <v>87</v>
      </c>
      <c r="AD53" s="2" t="s">
        <v>47</v>
      </c>
      <c r="AE53" s="3" t="str">
        <f>Bod_Pro[[#This Row],[BODEGA]]&amp;Bod_Pro[[#This Row],[PROVEEDOR]]</f>
        <v>BODEGA SUKAMPOBodega Central Agrota</v>
      </c>
    </row>
    <row r="54" spans="29:31" x14ac:dyDescent="0.25">
      <c r="AC54" s="2" t="s">
        <v>88</v>
      </c>
      <c r="AD54" s="2" t="s">
        <v>47</v>
      </c>
      <c r="AE54" s="3" t="str">
        <f>Bod_Pro[[#This Row],[BODEGA]]&amp;Bod_Pro[[#This Row],[PROVEEDOR]]</f>
        <v>GUAYAQUIL SUKAMPOBodega Central Agrota</v>
      </c>
    </row>
    <row r="55" spans="29:31" x14ac:dyDescent="0.25">
      <c r="AC55" s="2" t="s">
        <v>89</v>
      </c>
      <c r="AD55" s="2" t="s">
        <v>47</v>
      </c>
      <c r="AE55" s="3" t="str">
        <f>Bod_Pro[[#This Row],[BODEGA]]&amp;Bod_Pro[[#This Row],[PROVEEDOR]]</f>
        <v>JAHER REGIONAL CDR BABAHOYOBodega Central Agrota</v>
      </c>
    </row>
    <row r="56" spans="29:31" x14ac:dyDescent="0.25">
      <c r="AC56" s="2" t="s">
        <v>90</v>
      </c>
      <c r="AD56" s="2" t="s">
        <v>47</v>
      </c>
      <c r="AE56" s="3" t="str">
        <f>Bod_Pro[[#This Row],[BODEGA]]&amp;Bod_Pro[[#This Row],[PROVEEDOR]]</f>
        <v>JAHER REGIONAL CDR. CUENCABodega Central Agrota</v>
      </c>
    </row>
    <row r="57" spans="29:31" x14ac:dyDescent="0.25">
      <c r="AC57" s="2" t="s">
        <v>91</v>
      </c>
      <c r="AD57" s="2" t="s">
        <v>47</v>
      </c>
      <c r="AE57" s="3" t="str">
        <f>Bod_Pro[[#This Row],[BODEGA]]&amp;Bod_Pro[[#This Row],[PROVEEDOR]]</f>
        <v>MARCIMEX REGIONAL CUENCABodega Central Agrota</v>
      </c>
    </row>
    <row r="58" spans="29:31" x14ac:dyDescent="0.25">
      <c r="AC58" s="2" t="s">
        <v>79</v>
      </c>
      <c r="AD58" s="2" t="s">
        <v>92</v>
      </c>
      <c r="AE58" s="3" t="str">
        <f>Bod_Pro[[#This Row],[BODEGA]]&amp;Bod_Pro[[#This Row],[PROVEEDOR]]</f>
        <v>MATERIA PRIMAAgroenzimas</v>
      </c>
    </row>
    <row r="59" spans="29:31" x14ac:dyDescent="0.25">
      <c r="AC59" s="2" t="s">
        <v>79</v>
      </c>
      <c r="AD59" s="2" t="s">
        <v>61</v>
      </c>
      <c r="AE59" s="3" t="str">
        <f>Bod_Pro[[#This Row],[BODEGA]]&amp;Bod_Pro[[#This Row],[PROVEEDOR]]</f>
        <v>MATERIA PRIMABODEGA CENTRAL MATERIA PRIMA</v>
      </c>
    </row>
    <row r="60" spans="29:31" x14ac:dyDescent="0.25">
      <c r="AC60" s="2" t="s">
        <v>79</v>
      </c>
      <c r="AD60" s="2" t="s">
        <v>78</v>
      </c>
      <c r="AE60" s="3" t="str">
        <f>Bod_Pro[[#This Row],[BODEGA]]&amp;Bod_Pro[[#This Row],[PROVEEDOR]]</f>
        <v>MATERIA PRIMACompra Local Quimicos</v>
      </c>
    </row>
    <row r="61" spans="29:31" x14ac:dyDescent="0.25">
      <c r="AC61" s="2" t="s">
        <v>79</v>
      </c>
      <c r="AD61" s="2" t="s">
        <v>66</v>
      </c>
      <c r="AE61" s="3" t="str">
        <f>Bod_Pro[[#This Row],[BODEGA]]&amp;Bod_Pro[[#This Row],[PROVEEDOR]]</f>
        <v>MATERIA PRIMADuaja</v>
      </c>
    </row>
    <row r="62" spans="29:31" x14ac:dyDescent="0.25">
      <c r="AC62" s="2" t="s">
        <v>79</v>
      </c>
      <c r="AD62" s="2" t="s">
        <v>93</v>
      </c>
      <c r="AE62" s="3" t="str">
        <f>Bod_Pro[[#This Row],[BODEGA]]&amp;Bod_Pro[[#This Row],[PROVEEDOR]]</f>
        <v>MATERIA PRIMAMercalimsa</v>
      </c>
    </row>
    <row r="63" spans="29:31" x14ac:dyDescent="0.25">
      <c r="AC63" s="2" t="s">
        <v>79</v>
      </c>
      <c r="AD63" s="2" t="s">
        <v>94</v>
      </c>
      <c r="AE63" s="3" t="str">
        <f>Bod_Pro[[#This Row],[BODEGA]]&amp;Bod_Pro[[#This Row],[PROVEEDOR]]</f>
        <v xml:space="preserve">MATERIA PRIMAMIO CHEMICAL </v>
      </c>
    </row>
    <row r="64" spans="29:31" x14ac:dyDescent="0.25">
      <c r="AC64" s="2" t="s">
        <v>79</v>
      </c>
      <c r="AD64" s="2" t="s">
        <v>95</v>
      </c>
      <c r="AE64" s="3" t="str">
        <f>Bod_Pro[[#This Row],[BODEGA]]&amp;Bod_Pro[[#This Row],[PROVEEDOR]]</f>
        <v>MATERIA PRIMASHARDA</v>
      </c>
    </row>
    <row r="65" spans="29:31" x14ac:dyDescent="0.25">
      <c r="AC65" s="2" t="s">
        <v>79</v>
      </c>
      <c r="AD65" s="2" t="s">
        <v>80</v>
      </c>
      <c r="AE65" s="3" t="str">
        <f>Bod_Pro[[#This Row],[BODEGA]]&amp;Bod_Pro[[#This Row],[PROVEEDOR]]</f>
        <v>MATERIA PRIMASinochem</v>
      </c>
    </row>
    <row r="66" spans="29:31" x14ac:dyDescent="0.25">
      <c r="AC66" s="2" t="s">
        <v>96</v>
      </c>
      <c r="AD66" s="2" t="s">
        <v>97</v>
      </c>
      <c r="AE66" s="3" t="str">
        <f>Bod_Pro[[#This Row],[BODEGA]]&amp;Bod_Pro[[#This Row],[PROVEEDOR]]</f>
        <v>PRODUCTO TERMINADOAgroprocesos</v>
      </c>
    </row>
    <row r="67" spans="29:31" x14ac:dyDescent="0.25">
      <c r="AC67" s="2" t="s">
        <v>96</v>
      </c>
      <c r="AD67" s="2" t="s">
        <v>98</v>
      </c>
      <c r="AE67" s="3" t="str">
        <f>Bod_Pro[[#This Row],[BODEGA]]&amp;Bod_Pro[[#This Row],[PROVEEDOR]]</f>
        <v>PRODUCTO TERMINADOAgrosad</v>
      </c>
    </row>
    <row r="68" spans="29:31" x14ac:dyDescent="0.25">
      <c r="AC68" s="2" t="s">
        <v>96</v>
      </c>
      <c r="AD68" s="2" t="s">
        <v>99</v>
      </c>
      <c r="AE68" s="3" t="str">
        <f>Bod_Pro[[#This Row],[BODEGA]]&amp;Bod_Pro[[#This Row],[PROVEEDOR]]</f>
        <v>PRODUCTO TERMINADOARS</v>
      </c>
    </row>
    <row r="69" spans="29:31" x14ac:dyDescent="0.25">
      <c r="AC69" s="2" t="s">
        <v>96</v>
      </c>
      <c r="AD69" s="2" t="s">
        <v>52</v>
      </c>
      <c r="AE69" s="3" t="str">
        <f>Bod_Pro[[#This Row],[BODEGA]]&amp;Bod_Pro[[#This Row],[PROVEEDOR]]</f>
        <v>PRODUCTO TERMINADOBODEGA CENTRAL MAQUINAS</v>
      </c>
    </row>
    <row r="70" spans="29:31" x14ac:dyDescent="0.25">
      <c r="AC70" s="2" t="s">
        <v>96</v>
      </c>
      <c r="AD70" s="2" t="s">
        <v>67</v>
      </c>
      <c r="AE70" s="3" t="str">
        <f>Bod_Pro[[#This Row],[BODEGA]]&amp;Bod_Pro[[#This Row],[PROVEEDOR]]</f>
        <v>PRODUCTO TERMINADOEcho</v>
      </c>
    </row>
    <row r="71" spans="29:31" x14ac:dyDescent="0.25">
      <c r="AC71" s="2" t="s">
        <v>96</v>
      </c>
      <c r="AD71" s="2" t="s">
        <v>79</v>
      </c>
      <c r="AE71" s="3" t="str">
        <f>Bod_Pro[[#This Row],[BODEGA]]&amp;Bod_Pro[[#This Row],[PROVEEDOR]]</f>
        <v>PRODUCTO TERMINADOMATERIA PRIMA</v>
      </c>
    </row>
    <row r="72" spans="29:31" x14ac:dyDescent="0.25">
      <c r="AC72" s="2" t="s">
        <v>96</v>
      </c>
      <c r="AD72" s="2" t="s">
        <v>93</v>
      </c>
      <c r="AE72" s="3" t="str">
        <f>Bod_Pro[[#This Row],[BODEGA]]&amp;Bod_Pro[[#This Row],[PROVEEDOR]]</f>
        <v>PRODUCTO TERMINADOMercalimsa</v>
      </c>
    </row>
  </sheetData>
  <sheetProtection sort="0" autoFilter="0"/>
  <conditionalFormatting sqref="P3">
    <cfRule type="expression" dxfId="71" priority="6">
      <formula>AND(ISTEXT($M3),ISTEXT($N3),ISTEXT($O3),ISBLANK($P3))</formula>
    </cfRule>
  </conditionalFormatting>
  <conditionalFormatting sqref="M3">
    <cfRule type="expression" dxfId="70" priority="82">
      <formula>IF(OR(IFERROR(MATCH($B3&amp;$M3,$AA$3:$AA$53,0),0)&gt;0,ISBLANK($M3)),0,1)</formula>
    </cfRule>
  </conditionalFormatting>
  <conditionalFormatting sqref="N3:O3">
    <cfRule type="expression" dxfId="69" priority="84">
      <formula>IF(OR(IFERROR(MATCH($B3&amp;$N3,$AE$3:$AE$72,0),0)&gt;0,ISBLANK($N3)),0,1)</formula>
    </cfRule>
  </conditionalFormatting>
  <conditionalFormatting sqref="O3">
    <cfRule type="expression" dxfId="68" priority="85">
      <formula>IF(OR(IFERROR(MATCH($B3&amp;$M3&amp;$O3,$AK$3:$AK$4,0),0)&gt;0,ISBLANK($O3)),0,1)</formula>
    </cfRule>
  </conditionalFormatting>
  <dataValidations count="3">
    <dataValidation type="list" allowBlank="1" showInputMessage="1" showErrorMessage="1" sqref="M3">
      <formula1>OFFSET($Y$2,MATCH($B3,$X$3:$X$53,0),0,COUNTIF($X$3:$X$53,"="&amp;$B3),1)</formula1>
    </dataValidation>
    <dataValidation type="list" allowBlank="1" showInputMessage="1" showErrorMessage="1" sqref="N3">
      <formula1>OFFSET($AD$2,MATCH($B3,$AC$3:$AC$72,0),0,COUNTIF($AC$3:$AC$72,"="&amp;$B3),1)</formula1>
    </dataValidation>
    <dataValidation type="list" allowBlank="1" showInputMessage="1" showErrorMessage="1" sqref="O3">
      <formula1>OFFSET($AI$3,MATCH($Q3,$AJ$3:$AJ$4,0)-1,0,COUNTIF($AJ$3:$AJ$4,"="&amp;$Q3),1)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mdInsertarItems">
          <controlPr defaultSize="0" print="0" autoLine="0" r:id="rId5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0</xdr:col>
                <xdr:colOff>733425</xdr:colOff>
                <xdr:row>0</xdr:row>
                <xdr:rowOff>161925</xdr:rowOff>
              </to>
            </anchor>
          </controlPr>
        </control>
      </mc:Choice>
      <mc:Fallback>
        <control shapeId="1035" r:id="rId4" name="cmdInsertarItems"/>
      </mc:Fallback>
    </mc:AlternateContent>
  </controls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BC109"/>
  <sheetViews>
    <sheetView showGridLines="0" tabSelected="1" zoomScale="80" zoomScaleNormal="80" workbookViewId="0">
      <selection activeCell="A2" sqref="A2"/>
    </sheetView>
  </sheetViews>
  <sheetFormatPr baseColWidth="10" defaultRowHeight="15" x14ac:dyDescent="0.25"/>
  <cols>
    <col min="1" max="1" width="15.5703125" style="2" bestFit="1" customWidth="1"/>
    <col min="2" max="2" width="36.42578125" style="2" customWidth="1"/>
    <col min="3" max="6" width="20.5703125" style="2" customWidth="1"/>
    <col min="7" max="8" width="20.5703125" style="2" hidden="1" customWidth="1"/>
    <col min="9" max="11" width="20.5703125" style="2" customWidth="1"/>
    <col min="12" max="12" width="20.5703125" style="2" hidden="1" customWidth="1"/>
    <col min="13" max="13" width="17.28515625" style="2" customWidth="1"/>
    <col min="14" max="14" width="18.140625" style="2" customWidth="1"/>
    <col min="15" max="15" width="23.140625" style="2" bestFit="1" customWidth="1"/>
    <col min="16" max="17" width="13.85546875" style="2" customWidth="1"/>
    <col min="18" max="18" width="18.28515625" style="2" customWidth="1"/>
    <col min="19" max="19" width="12.140625" style="2" customWidth="1"/>
    <col min="20" max="20" width="18.28515625" style="2" customWidth="1"/>
    <col min="21" max="21" width="11.28515625" style="2" customWidth="1"/>
    <col min="22" max="22" width="12.42578125" style="2" customWidth="1"/>
    <col min="23" max="23" width="18.28515625" style="2" hidden="1" customWidth="1"/>
    <col min="24" max="24" width="34.28515625" style="2" hidden="1" customWidth="1"/>
    <col min="25" max="25" width="19.140625" style="2" hidden="1" customWidth="1"/>
    <col min="26" max="26" width="29.28515625" style="2" hidden="1" customWidth="1"/>
    <col min="27" max="27" width="29.7109375" style="2" hidden="1" customWidth="1"/>
    <col min="28" max="31" width="11.42578125" style="12" hidden="1" customWidth="1"/>
    <col min="32" max="33" width="10" style="12" hidden="1" customWidth="1"/>
    <col min="34" max="34" width="23.28515625" style="12" hidden="1" customWidth="1"/>
    <col min="35" max="35" width="35.42578125" style="12" hidden="1" customWidth="1"/>
    <col min="36" max="36" width="8.85546875" style="12" hidden="1" customWidth="1"/>
    <col min="37" max="37" width="57.85546875" style="12" hidden="1" customWidth="1"/>
    <col min="38" max="38" width="9" style="12" hidden="1" customWidth="1"/>
    <col min="39" max="39" width="44.5703125" style="12" hidden="1" customWidth="1"/>
    <col min="40" max="40" width="33.7109375" style="12" hidden="1" customWidth="1"/>
    <col min="41" max="41" width="67" style="12" hidden="1" customWidth="1"/>
    <col min="42" max="42" width="18" style="12" hidden="1" customWidth="1"/>
    <col min="43" max="43" width="23.140625" style="12" hidden="1" customWidth="1"/>
    <col min="44" max="44" width="35.28515625" style="12" hidden="1" customWidth="1"/>
    <col min="45" max="45" width="12.7109375" style="12" hidden="1" customWidth="1"/>
    <col min="46" max="46" width="57.7109375" style="12" hidden="1" customWidth="1"/>
    <col min="47" max="47" width="69.42578125" style="12" hidden="1" customWidth="1"/>
    <col min="48" max="48" width="14" style="12" hidden="1" customWidth="1"/>
    <col min="49" max="49" width="12.7109375" style="12" hidden="1" customWidth="1"/>
    <col min="50" max="50" width="57.42578125" style="12" hidden="1" customWidth="1"/>
    <col min="51" max="52" width="23" style="12" hidden="1" customWidth="1"/>
    <col min="53" max="53" width="11.42578125" style="12" hidden="1" customWidth="1"/>
    <col min="54" max="54" width="30.140625" style="12" hidden="1" customWidth="1"/>
    <col min="55" max="55" width="14.42578125" style="12" hidden="1" customWidth="1"/>
    <col min="56" max="16384" width="11.42578125" style="2"/>
  </cols>
  <sheetData>
    <row r="1" spans="1:54" ht="24.75" customHeight="1" x14ac:dyDescent="0.25">
      <c r="AB1" s="14" t="s">
        <v>186</v>
      </c>
      <c r="AH1" s="12" t="s">
        <v>192</v>
      </c>
      <c r="AM1" s="12" t="s">
        <v>193</v>
      </c>
      <c r="AQ1" s="12" t="s">
        <v>194</v>
      </c>
      <c r="AW1" s="12" t="s">
        <v>195</v>
      </c>
      <c r="AZ1" s="12" t="s">
        <v>207</v>
      </c>
    </row>
    <row r="2" spans="1:54" ht="45" x14ac:dyDescent="0.25">
      <c r="A2" s="8" t="s">
        <v>45</v>
      </c>
      <c r="B2" s="8" t="s">
        <v>15</v>
      </c>
      <c r="C2" s="8" t="s">
        <v>16</v>
      </c>
      <c r="D2" s="8" t="s">
        <v>17</v>
      </c>
      <c r="E2" s="8" t="s">
        <v>18</v>
      </c>
      <c r="F2" s="8" t="s">
        <v>19</v>
      </c>
      <c r="G2" s="8" t="s">
        <v>20</v>
      </c>
      <c r="H2" s="8" t="s">
        <v>21</v>
      </c>
      <c r="I2" s="8" t="s">
        <v>22</v>
      </c>
      <c r="J2" s="8" t="s">
        <v>23</v>
      </c>
      <c r="K2" s="8" t="s">
        <v>24</v>
      </c>
      <c r="L2" s="8" t="s">
        <v>25</v>
      </c>
      <c r="M2" s="13" t="s">
        <v>191</v>
      </c>
      <c r="N2" s="13" t="s">
        <v>27</v>
      </c>
      <c r="O2" s="13" t="s">
        <v>28</v>
      </c>
      <c r="P2" s="13" t="s">
        <v>29</v>
      </c>
      <c r="Q2" s="13" t="s">
        <v>199</v>
      </c>
      <c r="R2" s="13" t="s">
        <v>200</v>
      </c>
      <c r="S2" s="13" t="s">
        <v>201</v>
      </c>
      <c r="T2" s="13" t="s">
        <v>202</v>
      </c>
      <c r="U2" s="13" t="s">
        <v>203</v>
      </c>
      <c r="V2" s="13" t="s">
        <v>204</v>
      </c>
      <c r="W2" s="9" t="s">
        <v>30</v>
      </c>
      <c r="X2" s="9" t="s">
        <v>32</v>
      </c>
      <c r="Y2" s="9" t="s">
        <v>197</v>
      </c>
      <c r="Z2" s="8" t="s">
        <v>36</v>
      </c>
      <c r="AB2" s="15" t="s">
        <v>26</v>
      </c>
      <c r="AC2" s="15" t="s">
        <v>27</v>
      </c>
      <c r="AD2" s="15" t="s">
        <v>28</v>
      </c>
      <c r="AH2" s="12" t="s">
        <v>15</v>
      </c>
      <c r="AI2" s="12" t="s">
        <v>26</v>
      </c>
      <c r="AJ2" s="12" t="s">
        <v>31</v>
      </c>
      <c r="AK2" s="12" t="s">
        <v>30</v>
      </c>
      <c r="AM2" s="12" t="s">
        <v>15</v>
      </c>
      <c r="AN2" s="12" t="s">
        <v>27</v>
      </c>
      <c r="AO2" s="12" t="s">
        <v>33</v>
      </c>
      <c r="AQ2" s="12" t="s">
        <v>15</v>
      </c>
      <c r="AR2" s="12" t="s">
        <v>26</v>
      </c>
      <c r="AS2" s="12" t="s">
        <v>28</v>
      </c>
      <c r="AT2" s="12" t="s">
        <v>30</v>
      </c>
      <c r="AU2" s="12" t="s">
        <v>34</v>
      </c>
      <c r="AW2" s="12" t="s">
        <v>45</v>
      </c>
      <c r="AX2" s="12" t="s">
        <v>15</v>
      </c>
      <c r="AZ2" s="12" t="s">
        <v>205</v>
      </c>
      <c r="BB2" s="12" t="s">
        <v>208</v>
      </c>
    </row>
    <row r="3" spans="1:54" x14ac:dyDescent="0.25">
      <c r="A3" s="2" t="s">
        <v>102</v>
      </c>
      <c r="B3" s="12" t="s">
        <v>46</v>
      </c>
      <c r="C3" s="7" t="s">
        <v>212</v>
      </c>
      <c r="D3" s="2" t="s">
        <v>213</v>
      </c>
      <c r="E3" s="2" t="s">
        <v>214</v>
      </c>
      <c r="F3" s="2" t="s">
        <v>215</v>
      </c>
      <c r="G3" s="2" t="s">
        <v>46</v>
      </c>
      <c r="H3" s="2" t="s">
        <v>46</v>
      </c>
      <c r="I3" s="2" t="s">
        <v>216</v>
      </c>
      <c r="J3" s="2" t="s">
        <v>46</v>
      </c>
      <c r="K3" s="2" t="s">
        <v>217</v>
      </c>
      <c r="L3" s="2" t="s">
        <v>46</v>
      </c>
      <c r="M3" s="11" t="s">
        <v>48</v>
      </c>
      <c r="N3" s="11" t="s">
        <v>62</v>
      </c>
      <c r="O3" s="11" t="s">
        <v>100</v>
      </c>
      <c r="P3" s="10">
        <v>10</v>
      </c>
      <c r="Q3" s="10">
        <v>1</v>
      </c>
      <c r="R3" s="10" t="s">
        <v>206</v>
      </c>
      <c r="S3" s="10">
        <v>1</v>
      </c>
      <c r="T3" s="10" t="s">
        <v>209</v>
      </c>
      <c r="U3" s="10"/>
      <c r="V3" s="10"/>
      <c r="W3" s="3" t="str">
        <f>Items_Faltan_Producto_Activo[[#This Row],[BODEGA]]&amp;Items_Faltan_Producto_Activo[[#This Row],[HOJACB]]</f>
        <v>Maquinas ECHO - SHINDAIWA.xlsm</v>
      </c>
      <c r="X3" s="3" t="str">
        <f>IFERROR(INDEX(Bod_Ach_Producto[PATH],MATCH(Items_Faltan_Producto_Activo[[#This Row],[HOJACB]],Bod_Ach_Producto[ARCHIVO],0))&amp;"\"&amp;Items_Faltan_Producto_Activo[[#This Row],[HOJACB]],"")</f>
        <v>O:\Maquinas ECHO - SHINDAIWA.xlsm</v>
      </c>
      <c r="Y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3" s="3"/>
      <c r="AB3" s="16" t="s">
        <v>188</v>
      </c>
      <c r="AC3" s="16" t="s">
        <v>189</v>
      </c>
      <c r="AD3" s="16" t="s">
        <v>190</v>
      </c>
      <c r="AH3" s="12" t="s">
        <v>55</v>
      </c>
      <c r="AI3" s="12" t="s">
        <v>228</v>
      </c>
      <c r="AJ3" s="12" t="s">
        <v>37</v>
      </c>
      <c r="AK3" s="11" t="str">
        <f>Bod_Ach_Producto[[#This Row],[BODEGA]]&amp;Bod_Ach_Producto[[#This Row],[ARCHIVO]]</f>
        <v>AGROTA SUKAMPO MILAGROMilagro Sukampo.xlsm</v>
      </c>
      <c r="AM3" s="12" t="s">
        <v>49</v>
      </c>
      <c r="AN3" s="12" t="s">
        <v>47</v>
      </c>
      <c r="AO3" s="11" t="str">
        <f>Bod_Pro_Producto[[#This Row],[BODEGA]]&amp;Bod_Pro_Producto[[#This Row],[PROVEEDOR]]</f>
        <v>AGROTA BODEGA  YAMABIKOBodega Central Agrota</v>
      </c>
      <c r="AQ3" s="12" t="s">
        <v>55</v>
      </c>
      <c r="AR3" s="12" t="s">
        <v>228</v>
      </c>
      <c r="AS3" s="12" t="s">
        <v>227</v>
      </c>
      <c r="AT3" s="11" t="str">
        <f>Bod_Ach_Per_Producto[[#This Row],[BODEGA]]&amp;Bod_Ach_Per_Producto[[#This Row],[ARCHIVO]]</f>
        <v>AGROTA SUKAMPO MILAGROMilagro Sukampo.xlsm</v>
      </c>
      <c r="AU3" s="11" t="str">
        <f>Bod_Ach_Per_Producto[[#This Row],[BODEGA]]&amp;Bod_Ach_Per_Producto[[#This Row],[ARCHIVO]]&amp;Bod_Ach_Per_Producto[[#This Row],[PERFIL]]</f>
        <v>AGROTA SUKAMPO MILAGROMilagro Sukampo.xlsmLOCAL</v>
      </c>
      <c r="AW3" s="12" t="s">
        <v>102</v>
      </c>
      <c r="AX3" s="12" t="s">
        <v>103</v>
      </c>
      <c r="AZ3" s="12" t="s">
        <v>206</v>
      </c>
      <c r="BB3" s="12" t="s">
        <v>209</v>
      </c>
    </row>
    <row r="4" spans="1:54" x14ac:dyDescent="0.25">
      <c r="A4" s="2" t="s">
        <v>102</v>
      </c>
      <c r="B4" s="12" t="s">
        <v>46</v>
      </c>
      <c r="C4" s="7" t="s">
        <v>218</v>
      </c>
      <c r="D4" s="2" t="s">
        <v>219</v>
      </c>
      <c r="E4" s="2" t="s">
        <v>220</v>
      </c>
      <c r="F4" s="2" t="s">
        <v>221</v>
      </c>
      <c r="G4" s="2" t="s">
        <v>46</v>
      </c>
      <c r="H4" s="2" t="s">
        <v>46</v>
      </c>
      <c r="I4" s="2" t="s">
        <v>222</v>
      </c>
      <c r="J4" s="2" t="s">
        <v>46</v>
      </c>
      <c r="K4" s="2" t="s">
        <v>217</v>
      </c>
      <c r="L4" s="2" t="s">
        <v>46</v>
      </c>
      <c r="M4" s="11"/>
      <c r="N4" s="11"/>
      <c r="O4" s="11"/>
      <c r="P4" s="10"/>
      <c r="Q4" s="10"/>
      <c r="R4" s="10"/>
      <c r="S4" s="10"/>
      <c r="T4" s="10"/>
      <c r="U4" s="10"/>
      <c r="V4" s="10"/>
      <c r="W4" s="3" t="str">
        <f>Items_Faltan_Producto_Activo[[#This Row],[BODEGA]]&amp;Items_Faltan_Producto_Activo[[#This Row],[HOJACB]]</f>
        <v/>
      </c>
      <c r="X4" s="3" t="str">
        <f>IFERROR(INDEX(Bod_Ach_Producto[PATH],MATCH(Items_Faltan_Producto_Activo[[#This Row],[HOJACB]],Bod_Ach_Producto[ARCHIVO],0))&amp;"\"&amp;Items_Faltan_Producto_Activo[[#This Row],[HOJACB]],"")</f>
        <v/>
      </c>
      <c r="Y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" s="3"/>
      <c r="AH4" s="12" t="s">
        <v>57</v>
      </c>
      <c r="AI4" s="12" t="s">
        <v>228</v>
      </c>
      <c r="AJ4" s="12" t="s">
        <v>37</v>
      </c>
      <c r="AK4" s="11" t="str">
        <f>Bod_Ach_Producto[[#This Row],[BODEGA]]&amp;Bod_Ach_Producto[[#This Row],[ARCHIVO]]</f>
        <v>AGROTA TALLER SUKAMPO MILAGROMilagro Sukampo.xlsm</v>
      </c>
      <c r="AM4" s="12" t="s">
        <v>50</v>
      </c>
      <c r="AN4" s="12" t="s">
        <v>47</v>
      </c>
      <c r="AO4" s="11" t="str">
        <f>Bod_Pro_Producto[[#This Row],[BODEGA]]&amp;Bod_Pro_Producto[[#This Row],[PROVEEDOR]]</f>
        <v>AGROTA BODEGA INCOPBodega Central Agrota</v>
      </c>
      <c r="AQ4" s="12" t="s">
        <v>57</v>
      </c>
      <c r="AR4" s="12" t="s">
        <v>228</v>
      </c>
      <c r="AS4" s="12" t="s">
        <v>227</v>
      </c>
      <c r="AT4" s="11" t="str">
        <f>Bod_Ach_Per_Producto[[#This Row],[BODEGA]]&amp;Bod_Ach_Per_Producto[[#This Row],[ARCHIVO]]</f>
        <v>AGROTA TALLER SUKAMPO MILAGROMilagro Sukampo.xlsm</v>
      </c>
      <c r="AU4" s="11" t="str">
        <f>Bod_Ach_Per_Producto[[#This Row],[BODEGA]]&amp;Bod_Ach_Per_Producto[[#This Row],[ARCHIVO]]&amp;Bod_Ach_Per_Producto[[#This Row],[PERFIL]]</f>
        <v>AGROTA TALLER SUKAMPO MILAGROMilagro Sukampo.xlsmLOCAL</v>
      </c>
      <c r="AW4" s="12" t="s">
        <v>102</v>
      </c>
      <c r="AX4" s="12" t="s">
        <v>104</v>
      </c>
      <c r="BB4" s="12" t="s">
        <v>210</v>
      </c>
    </row>
    <row r="5" spans="1:54" x14ac:dyDescent="0.25">
      <c r="A5" s="2" t="s">
        <v>102</v>
      </c>
      <c r="B5" s="12" t="s">
        <v>46</v>
      </c>
      <c r="C5" s="7" t="s">
        <v>223</v>
      </c>
      <c r="D5" s="2" t="s">
        <v>224</v>
      </c>
      <c r="E5" s="2" t="s">
        <v>220</v>
      </c>
      <c r="F5" s="2" t="s">
        <v>221</v>
      </c>
      <c r="G5" s="2" t="s">
        <v>46</v>
      </c>
      <c r="H5" s="2" t="s">
        <v>46</v>
      </c>
      <c r="I5" s="2" t="s">
        <v>222</v>
      </c>
      <c r="J5" s="2" t="s">
        <v>46</v>
      </c>
      <c r="K5" s="2" t="s">
        <v>217</v>
      </c>
      <c r="L5" s="2" t="s">
        <v>46</v>
      </c>
      <c r="M5" s="11"/>
      <c r="N5" s="11"/>
      <c r="O5" s="11"/>
      <c r="P5" s="10"/>
      <c r="Q5" s="10"/>
      <c r="R5" s="10"/>
      <c r="S5" s="10"/>
      <c r="T5" s="10"/>
      <c r="U5" s="10"/>
      <c r="V5" s="10"/>
      <c r="W5" s="3" t="str">
        <f>Items_Faltan_Producto_Activo[[#This Row],[BODEGA]]&amp;Items_Faltan_Producto_Activo[[#This Row],[HOJACB]]</f>
        <v/>
      </c>
      <c r="X5" s="3" t="str">
        <f>IFERROR(INDEX(Bod_Ach_Producto[PATH],MATCH(Items_Faltan_Producto_Activo[[#This Row],[HOJACB]],Bod_Ach_Producto[ARCHIVO],0))&amp;"\"&amp;Items_Faltan_Producto_Activo[[#This Row],[HOJACB]],"")</f>
        <v/>
      </c>
      <c r="Y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" s="3"/>
      <c r="AH5" s="12" t="s">
        <v>47</v>
      </c>
      <c r="AI5" s="12" t="s">
        <v>48</v>
      </c>
      <c r="AJ5" s="12" t="s">
        <v>37</v>
      </c>
      <c r="AK5" s="11" t="str">
        <f>Bod_Ach_Producto[[#This Row],[BODEGA]]&amp;Bod_Ach_Producto[[#This Row],[ARCHIVO]]</f>
        <v>Bodega Central AgrotaMaquinas ECHO - SHINDAIWA.xlsm</v>
      </c>
      <c r="AM5" s="12" t="s">
        <v>51</v>
      </c>
      <c r="AN5" s="12" t="s">
        <v>47</v>
      </c>
      <c r="AO5" s="11" t="str">
        <f>Bod_Pro_Producto[[#This Row],[BODEGA]]&amp;Bod_Pro_Producto[[#This Row],[PROVEEDOR]]</f>
        <v>AGROTA SUKAMPO FERIA LIBREBodega Central Agrota</v>
      </c>
      <c r="AQ5" s="12" t="s">
        <v>47</v>
      </c>
      <c r="AR5" s="12" t="s">
        <v>48</v>
      </c>
      <c r="AS5" s="12" t="s">
        <v>100</v>
      </c>
      <c r="AT5" s="11" t="str">
        <f>Bod_Ach_Per_Producto[[#This Row],[BODEGA]]&amp;Bod_Ach_Per_Producto[[#This Row],[ARCHIVO]]</f>
        <v>Bodega Central AgrotaMaquinas ECHO - SHINDAIWA.xlsm</v>
      </c>
      <c r="AU5" s="11" t="str">
        <f>Bod_Ach_Per_Producto[[#This Row],[BODEGA]]&amp;Bod_Ach_Per_Producto[[#This Row],[ARCHIVO]]&amp;Bod_Ach_Per_Producto[[#This Row],[PERFIL]]</f>
        <v>Bodega Central AgrotaMaquinas ECHO - SHINDAIWA.xlsmJAPON ECHO</v>
      </c>
      <c r="AW5" s="12" t="s">
        <v>102</v>
      </c>
      <c r="AX5" s="12" t="s">
        <v>49</v>
      </c>
      <c r="BB5" s="12" t="s">
        <v>211</v>
      </c>
    </row>
    <row r="6" spans="1:54" x14ac:dyDescent="0.25">
      <c r="A6" s="2" t="s">
        <v>102</v>
      </c>
      <c r="B6" s="12" t="s">
        <v>46</v>
      </c>
      <c r="C6" s="7" t="s">
        <v>225</v>
      </c>
      <c r="D6" s="2" t="s">
        <v>226</v>
      </c>
      <c r="E6" s="2" t="s">
        <v>220</v>
      </c>
      <c r="F6" s="2" t="s">
        <v>221</v>
      </c>
      <c r="G6" s="2" t="s">
        <v>46</v>
      </c>
      <c r="H6" s="2" t="s">
        <v>46</v>
      </c>
      <c r="I6" s="2" t="s">
        <v>222</v>
      </c>
      <c r="J6" s="2" t="s">
        <v>46</v>
      </c>
      <c r="K6" s="2" t="s">
        <v>217</v>
      </c>
      <c r="L6" s="2" t="s">
        <v>46</v>
      </c>
      <c r="M6" s="11"/>
      <c r="N6" s="11"/>
      <c r="O6" s="11"/>
      <c r="P6" s="10"/>
      <c r="Q6" s="10"/>
      <c r="R6" s="10"/>
      <c r="S6" s="10"/>
      <c r="T6" s="10"/>
      <c r="U6" s="10"/>
      <c r="V6" s="10"/>
      <c r="W6" s="3" t="str">
        <f>Items_Faltan_Producto_Activo[[#This Row],[BODEGA]]&amp;Items_Faltan_Producto_Activo[[#This Row],[HOJACB]]</f>
        <v/>
      </c>
      <c r="X6" s="3" t="str">
        <f>IFERROR(INDEX(Bod_Ach_Producto[PATH],MATCH(Items_Faltan_Producto_Activo[[#This Row],[HOJACB]],Bod_Ach_Producto[ARCHIVO],0))&amp;"\"&amp;Items_Faltan_Producto_Activo[[#This Row],[HOJACB]],"")</f>
        <v/>
      </c>
      <c r="Y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" s="3"/>
      <c r="AM6" s="12" t="s">
        <v>51</v>
      </c>
      <c r="AN6" s="12" t="s">
        <v>52</v>
      </c>
      <c r="AO6" s="11" t="str">
        <f>Bod_Pro_Producto[[#This Row],[BODEGA]]&amp;Bod_Pro_Producto[[#This Row],[PROVEEDOR]]</f>
        <v>AGROTA SUKAMPO FERIA LIBREBODEGA CENTRAL MAQUINAS</v>
      </c>
      <c r="AQ6" s="12" t="s">
        <v>47</v>
      </c>
      <c r="AR6" s="12" t="s">
        <v>48</v>
      </c>
      <c r="AS6" s="12" t="s">
        <v>101</v>
      </c>
      <c r="AT6" s="11" t="str">
        <f>Bod_Ach_Per_Producto[[#This Row],[BODEGA]]&amp;Bod_Ach_Per_Producto[[#This Row],[ARCHIVO]]</f>
        <v>Bodega Central AgrotaMaquinas ECHO - SHINDAIWA.xlsm</v>
      </c>
      <c r="AU6" s="11" t="str">
        <f>Bod_Ach_Per_Producto[[#This Row],[BODEGA]]&amp;Bod_Ach_Per_Producto[[#This Row],[ARCHIVO]]&amp;Bod_Ach_Per_Producto[[#This Row],[PERFIL]]</f>
        <v>Bodega Central AgrotaMaquinas ECHO - SHINDAIWA.xlsmUSA ECHO</v>
      </c>
      <c r="AW6" s="12" t="s">
        <v>102</v>
      </c>
      <c r="AX6" s="12" t="s">
        <v>105</v>
      </c>
    </row>
    <row r="7" spans="1:54" x14ac:dyDescent="0.25">
      <c r="A7" s="2" t="s">
        <v>102</v>
      </c>
      <c r="B7" s="12" t="s">
        <v>46</v>
      </c>
      <c r="C7" s="7" t="s">
        <v>229</v>
      </c>
      <c r="D7" s="2" t="s">
        <v>230</v>
      </c>
      <c r="E7" s="2" t="s">
        <v>220</v>
      </c>
      <c r="F7" s="2" t="s">
        <v>221</v>
      </c>
      <c r="G7" s="2" t="s">
        <v>46</v>
      </c>
      <c r="H7" s="2" t="s">
        <v>46</v>
      </c>
      <c r="I7" s="2" t="s">
        <v>222</v>
      </c>
      <c r="J7" s="2" t="s">
        <v>46</v>
      </c>
      <c r="K7" s="2" t="s">
        <v>217</v>
      </c>
      <c r="L7" s="2" t="s">
        <v>46</v>
      </c>
      <c r="M7" s="11"/>
      <c r="N7" s="11"/>
      <c r="O7" s="11"/>
      <c r="P7" s="10"/>
      <c r="Q7" s="10"/>
      <c r="R7" s="10"/>
      <c r="S7" s="10"/>
      <c r="T7" s="10"/>
      <c r="U7" s="10"/>
      <c r="V7" s="10"/>
      <c r="W7" s="3" t="str">
        <f>Items_Faltan_Producto_Activo[[#This Row],[BODEGA]]&amp;Items_Faltan_Producto_Activo[[#This Row],[HOJACB]]</f>
        <v/>
      </c>
      <c r="X7" s="3" t="str">
        <f>IFERROR(INDEX(Bod_Ach_Producto[PATH],MATCH(Items_Faltan_Producto_Activo[[#This Row],[HOJACB]],Bod_Ach_Producto[ARCHIVO],0))&amp;"\"&amp;Items_Faltan_Producto_Activo[[#This Row],[HOJACB]],"")</f>
        <v/>
      </c>
      <c r="Y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" s="3"/>
      <c r="AM7" s="12" t="s">
        <v>53</v>
      </c>
      <c r="AN7" s="12" t="s">
        <v>54</v>
      </c>
      <c r="AO7" s="11" t="str">
        <f>Bod_Pro_Producto[[#This Row],[BODEGA]]&amp;Bod_Pro_Producto[[#This Row],[PROVEEDOR]]</f>
        <v>AGROTA SUKAMPO GUAYAQUILBODEGA CENTRAL</v>
      </c>
      <c r="AW7" s="12" t="s">
        <v>102</v>
      </c>
      <c r="AX7" s="12" t="s">
        <v>106</v>
      </c>
    </row>
    <row r="8" spans="1:54" x14ac:dyDescent="0.25">
      <c r="A8" s="2" t="s">
        <v>102</v>
      </c>
      <c r="B8" s="12" t="s">
        <v>46</v>
      </c>
      <c r="C8" s="7" t="s">
        <v>231</v>
      </c>
      <c r="D8" s="2" t="s">
        <v>232</v>
      </c>
      <c r="E8" s="2" t="s">
        <v>220</v>
      </c>
      <c r="F8" s="2" t="s">
        <v>221</v>
      </c>
      <c r="G8" s="2" t="s">
        <v>46</v>
      </c>
      <c r="H8" s="2" t="s">
        <v>46</v>
      </c>
      <c r="I8" s="2" t="s">
        <v>222</v>
      </c>
      <c r="J8" s="2" t="s">
        <v>46</v>
      </c>
      <c r="K8" s="2" t="s">
        <v>217</v>
      </c>
      <c r="L8" s="2" t="s">
        <v>46</v>
      </c>
      <c r="M8" s="11"/>
      <c r="N8" s="11"/>
      <c r="O8" s="11"/>
      <c r="P8" s="10"/>
      <c r="Q8" s="10"/>
      <c r="R8" s="10"/>
      <c r="S8" s="10"/>
      <c r="T8" s="10"/>
      <c r="U8" s="10"/>
      <c r="V8" s="10"/>
      <c r="W8" s="3" t="str">
        <f>Items_Faltan_Producto_Activo[[#This Row],[BODEGA]]&amp;Items_Faltan_Producto_Activo[[#This Row],[HOJACB]]</f>
        <v/>
      </c>
      <c r="X8" s="3" t="str">
        <f>IFERROR(INDEX(Bod_Ach_Producto[PATH],MATCH(Items_Faltan_Producto_Activo[[#This Row],[HOJACB]],Bod_Ach_Producto[ARCHIVO],0))&amp;"\"&amp;Items_Faltan_Producto_Activo[[#This Row],[HOJACB]],"")</f>
        <v/>
      </c>
      <c r="Y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" s="3"/>
      <c r="AM8" s="12" t="s">
        <v>53</v>
      </c>
      <c r="AN8" s="12" t="s">
        <v>47</v>
      </c>
      <c r="AO8" s="11" t="str">
        <f>Bod_Pro_Producto[[#This Row],[BODEGA]]&amp;Bod_Pro_Producto[[#This Row],[PROVEEDOR]]</f>
        <v>AGROTA SUKAMPO GUAYAQUILBodega Central Agrota</v>
      </c>
      <c r="AW8" s="12" t="s">
        <v>102</v>
      </c>
      <c r="AX8" s="12" t="s">
        <v>107</v>
      </c>
    </row>
    <row r="9" spans="1:54" x14ac:dyDescent="0.25">
      <c r="A9" s="2" t="s">
        <v>102</v>
      </c>
      <c r="B9" s="12" t="s">
        <v>46</v>
      </c>
      <c r="C9" s="7" t="s">
        <v>233</v>
      </c>
      <c r="D9" s="2" t="s">
        <v>234</v>
      </c>
      <c r="E9" s="2" t="s">
        <v>220</v>
      </c>
      <c r="F9" s="2" t="s">
        <v>221</v>
      </c>
      <c r="G9" s="2" t="s">
        <v>46</v>
      </c>
      <c r="H9" s="2" t="s">
        <v>46</v>
      </c>
      <c r="I9" s="2" t="s">
        <v>222</v>
      </c>
      <c r="J9" s="2" t="s">
        <v>46</v>
      </c>
      <c r="K9" s="2" t="s">
        <v>217</v>
      </c>
      <c r="L9" s="2" t="s">
        <v>46</v>
      </c>
      <c r="M9" s="11"/>
      <c r="N9" s="11"/>
      <c r="O9" s="11"/>
      <c r="P9" s="10"/>
      <c r="Q9" s="10"/>
      <c r="R9" s="10"/>
      <c r="S9" s="10"/>
      <c r="T9" s="10"/>
      <c r="U9" s="10"/>
      <c r="V9" s="10"/>
      <c r="W9" s="3" t="str">
        <f>Items_Faltan_Producto_Activo[[#This Row],[BODEGA]]&amp;Items_Faltan_Producto_Activo[[#This Row],[HOJACB]]</f>
        <v/>
      </c>
      <c r="X9" s="3" t="str">
        <f>IFERROR(INDEX(Bod_Ach_Producto[PATH],MATCH(Items_Faltan_Producto_Activo[[#This Row],[HOJACB]],Bod_Ach_Producto[ARCHIVO],0))&amp;"\"&amp;Items_Faltan_Producto_Activo[[#This Row],[HOJACB]],"")</f>
        <v/>
      </c>
      <c r="Y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" s="3"/>
      <c r="AM9" s="12" t="s">
        <v>53</v>
      </c>
      <c r="AN9" s="12" t="s">
        <v>52</v>
      </c>
      <c r="AO9" s="11" t="str">
        <f>Bod_Pro_Producto[[#This Row],[BODEGA]]&amp;Bod_Pro_Producto[[#This Row],[PROVEEDOR]]</f>
        <v>AGROTA SUKAMPO GUAYAQUILBODEGA CENTRAL MAQUINAS</v>
      </c>
      <c r="AW9" s="12" t="s">
        <v>102</v>
      </c>
      <c r="AX9" s="12" t="s">
        <v>108</v>
      </c>
    </row>
    <row r="10" spans="1:54" x14ac:dyDescent="0.25">
      <c r="A10" s="2" t="s">
        <v>102</v>
      </c>
      <c r="B10" s="12" t="s">
        <v>46</v>
      </c>
      <c r="C10" s="7" t="s">
        <v>235</v>
      </c>
      <c r="D10" s="2" t="s">
        <v>236</v>
      </c>
      <c r="E10" s="2" t="s">
        <v>220</v>
      </c>
      <c r="F10" s="2" t="s">
        <v>221</v>
      </c>
      <c r="G10" s="2" t="s">
        <v>46</v>
      </c>
      <c r="H10" s="2" t="s">
        <v>46</v>
      </c>
      <c r="I10" s="2" t="s">
        <v>222</v>
      </c>
      <c r="J10" s="2" t="s">
        <v>46</v>
      </c>
      <c r="K10" s="2" t="s">
        <v>217</v>
      </c>
      <c r="L10" s="2" t="s">
        <v>46</v>
      </c>
      <c r="M10" s="11"/>
      <c r="N10" s="11"/>
      <c r="O10" s="11"/>
      <c r="P10" s="10"/>
      <c r="Q10" s="10"/>
      <c r="R10" s="10"/>
      <c r="S10" s="10"/>
      <c r="T10" s="10"/>
      <c r="U10" s="10"/>
      <c r="V10" s="10"/>
      <c r="W10" s="3" t="str">
        <f>Items_Faltan_Producto_Activo[[#This Row],[BODEGA]]&amp;Items_Faltan_Producto_Activo[[#This Row],[HOJACB]]</f>
        <v/>
      </c>
      <c r="X10" s="3" t="str">
        <f>IFERROR(INDEX(Bod_Ach_Producto[PATH],MATCH(Items_Faltan_Producto_Activo[[#This Row],[HOJACB]],Bod_Ach_Producto[ARCHIVO],0))&amp;"\"&amp;Items_Faltan_Producto_Activo[[#This Row],[HOJACB]],"")</f>
        <v/>
      </c>
      <c r="Y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" s="3"/>
      <c r="AM10" s="12" t="s">
        <v>55</v>
      </c>
      <c r="AN10" s="12" t="s">
        <v>47</v>
      </c>
      <c r="AO10" s="11" t="str">
        <f>Bod_Pro_Producto[[#This Row],[BODEGA]]&amp;Bod_Pro_Producto[[#This Row],[PROVEEDOR]]</f>
        <v>AGROTA SUKAMPO MILAGROBodega Central Agrota</v>
      </c>
      <c r="AW10" s="12" t="s">
        <v>102</v>
      </c>
      <c r="AX10" s="12" t="s">
        <v>109</v>
      </c>
    </row>
    <row r="11" spans="1:54" x14ac:dyDescent="0.25">
      <c r="AM11" s="12" t="s">
        <v>56</v>
      </c>
      <c r="AN11" s="12" t="s">
        <v>54</v>
      </c>
      <c r="AO11" s="11" t="str">
        <f>Bod_Pro_Producto[[#This Row],[BODEGA]]&amp;Bod_Pro_Producto[[#This Row],[PROVEEDOR]]</f>
        <v>AGROTA SUKAMPO UNIDAD NACIONALBODEGA CENTRAL</v>
      </c>
      <c r="AW11" s="12" t="s">
        <v>102</v>
      </c>
      <c r="AX11" s="12" t="s">
        <v>110</v>
      </c>
    </row>
    <row r="12" spans="1:54" x14ac:dyDescent="0.25">
      <c r="AM12" s="12" t="s">
        <v>56</v>
      </c>
      <c r="AN12" s="12" t="s">
        <v>47</v>
      </c>
      <c r="AO12" s="11" t="str">
        <f>Bod_Pro_Producto[[#This Row],[BODEGA]]&amp;Bod_Pro_Producto[[#This Row],[PROVEEDOR]]</f>
        <v>AGROTA SUKAMPO UNIDAD NACIONALBodega Central Agrota</v>
      </c>
      <c r="AW12" s="12" t="s">
        <v>102</v>
      </c>
      <c r="AX12" s="12" t="s">
        <v>111</v>
      </c>
    </row>
    <row r="13" spans="1:54" x14ac:dyDescent="0.25">
      <c r="AM13" s="12" t="s">
        <v>57</v>
      </c>
      <c r="AN13" s="12" t="s">
        <v>47</v>
      </c>
      <c r="AO13" s="11" t="str">
        <f>Bod_Pro_Producto[[#This Row],[BODEGA]]&amp;Bod_Pro_Producto[[#This Row],[PROVEEDOR]]</f>
        <v>AGROTA TALLER SUKAMPO MILAGROBodega Central Agrota</v>
      </c>
      <c r="AW13" s="12" t="s">
        <v>102</v>
      </c>
      <c r="AX13" s="12" t="s">
        <v>51</v>
      </c>
    </row>
    <row r="14" spans="1:54" x14ac:dyDescent="0.25">
      <c r="AM14" s="12" t="s">
        <v>58</v>
      </c>
      <c r="AN14" s="12" t="s">
        <v>47</v>
      </c>
      <c r="AO14" s="11" t="str">
        <f>Bod_Pro_Producto[[#This Row],[BODEGA]]&amp;Bod_Pro_Producto[[#This Row],[PROVEEDOR]]</f>
        <v>AGROTA TALLER SUKAMPO QUEVEDOBodega Central Agrota</v>
      </c>
      <c r="AW14" s="12" t="s">
        <v>102</v>
      </c>
      <c r="AX14" s="12" t="s">
        <v>53</v>
      </c>
    </row>
    <row r="15" spans="1:54" x14ac:dyDescent="0.25">
      <c r="AM15" s="12" t="s">
        <v>59</v>
      </c>
      <c r="AN15" s="12" t="s">
        <v>54</v>
      </c>
      <c r="AO15" s="11" t="str">
        <f>Bod_Pro_Producto[[#This Row],[BODEGA]]&amp;Bod_Pro_Producto[[#This Row],[PROVEEDOR]]</f>
        <v>AGROTA TALLER SUKAMPO UNIDAD NACIONALBODEGA CENTRAL</v>
      </c>
      <c r="AW15" s="12" t="s">
        <v>102</v>
      </c>
      <c r="AX15" s="12" t="s">
        <v>55</v>
      </c>
    </row>
    <row r="16" spans="1:54" x14ac:dyDescent="0.25">
      <c r="AM16" s="12" t="s">
        <v>59</v>
      </c>
      <c r="AN16" s="12" t="s">
        <v>47</v>
      </c>
      <c r="AO16" s="11" t="str">
        <f>Bod_Pro_Producto[[#This Row],[BODEGA]]&amp;Bod_Pro_Producto[[#This Row],[PROVEEDOR]]</f>
        <v>AGROTA TALLER SUKAMPO UNIDAD NACIONALBodega Central Agrota</v>
      </c>
      <c r="AW16" s="12" t="s">
        <v>102</v>
      </c>
      <c r="AX16" s="12" t="s">
        <v>56</v>
      </c>
    </row>
    <row r="17" spans="39:50" x14ac:dyDescent="0.25">
      <c r="AM17" s="12" t="s">
        <v>47</v>
      </c>
      <c r="AN17" s="12" t="s">
        <v>60</v>
      </c>
      <c r="AO17" s="11" t="str">
        <f>Bod_Pro_Producto[[#This Row],[BODEGA]]&amp;Bod_Pro_Producto[[#This Row],[PROVEEDOR]]</f>
        <v>Bodega Central AgrotaBCS</v>
      </c>
      <c r="AW17" s="12" t="s">
        <v>102</v>
      </c>
      <c r="AX17" s="12" t="s">
        <v>112</v>
      </c>
    </row>
    <row r="18" spans="39:50" x14ac:dyDescent="0.25">
      <c r="AM18" s="12" t="s">
        <v>47</v>
      </c>
      <c r="AN18" s="12" t="s">
        <v>61</v>
      </c>
      <c r="AO18" s="11" t="str">
        <f>Bod_Pro_Producto[[#This Row],[BODEGA]]&amp;Bod_Pro_Producto[[#This Row],[PROVEEDOR]]</f>
        <v>Bodega Central AgrotaBODEGA CENTRAL MATERIA PRIMA</v>
      </c>
      <c r="AW18" s="12" t="s">
        <v>102</v>
      </c>
      <c r="AX18" s="12" t="s">
        <v>57</v>
      </c>
    </row>
    <row r="19" spans="39:50" x14ac:dyDescent="0.25">
      <c r="AM19" s="12" t="s">
        <v>47</v>
      </c>
      <c r="AN19" s="12" t="s">
        <v>62</v>
      </c>
      <c r="AO19" s="11" t="str">
        <f>Bod_Pro_Producto[[#This Row],[BODEGA]]&amp;Bod_Pro_Producto[[#This Row],[PROVEEDOR]]</f>
        <v>Bodega Central AgrotaBORALSAN</v>
      </c>
      <c r="AW19" s="12" t="s">
        <v>102</v>
      </c>
      <c r="AX19" s="12" t="s">
        <v>58</v>
      </c>
    </row>
    <row r="20" spans="39:50" x14ac:dyDescent="0.25">
      <c r="AM20" s="12" t="s">
        <v>47</v>
      </c>
      <c r="AN20" s="12" t="s">
        <v>63</v>
      </c>
      <c r="AO20" s="11" t="str">
        <f>Bod_Pro_Producto[[#This Row],[BODEGA]]&amp;Bod_Pro_Producto[[#This Row],[PROVEEDOR]]</f>
        <v>Bodega Central AgrotaChatani</v>
      </c>
      <c r="AW20" s="12" t="s">
        <v>102</v>
      </c>
      <c r="AX20" s="12" t="s">
        <v>113</v>
      </c>
    </row>
    <row r="21" spans="39:50" x14ac:dyDescent="0.25">
      <c r="AM21" s="12" t="s">
        <v>47</v>
      </c>
      <c r="AN21" s="12" t="s">
        <v>64</v>
      </c>
      <c r="AO21" s="11" t="str">
        <f>Bod_Pro_Producto[[#This Row],[BODEGA]]&amp;Bod_Pro_Producto[[#This Row],[PROVEEDOR]]</f>
        <v>Bodega Central AgrotaCOMERCIAL KYWI</v>
      </c>
      <c r="AW21" s="12" t="s">
        <v>102</v>
      </c>
      <c r="AX21" s="12" t="s">
        <v>59</v>
      </c>
    </row>
    <row r="22" spans="39:50" x14ac:dyDescent="0.25">
      <c r="AM22" s="12" t="s">
        <v>47</v>
      </c>
      <c r="AN22" s="12" t="s">
        <v>65</v>
      </c>
      <c r="AO22" s="11" t="str">
        <f>Bod_Pro_Producto[[#This Row],[BODEGA]]&amp;Bod_Pro_Producto[[#This Row],[PROVEEDOR]]</f>
        <v>Bodega Central AgrotaCompra Local Maquinas</v>
      </c>
      <c r="AW22" s="12" t="s">
        <v>102</v>
      </c>
      <c r="AX22" s="12" t="s">
        <v>114</v>
      </c>
    </row>
    <row r="23" spans="39:50" x14ac:dyDescent="0.25">
      <c r="AM23" s="12" t="s">
        <v>47</v>
      </c>
      <c r="AN23" s="12" t="s">
        <v>66</v>
      </c>
      <c r="AO23" s="11" t="str">
        <f>Bod_Pro_Producto[[#This Row],[BODEGA]]&amp;Bod_Pro_Producto[[#This Row],[PROVEEDOR]]</f>
        <v>Bodega Central AgrotaDuaja</v>
      </c>
      <c r="AW23" s="12" t="s">
        <v>102</v>
      </c>
      <c r="AX23" s="12" t="s">
        <v>115</v>
      </c>
    </row>
    <row r="24" spans="39:50" x14ac:dyDescent="0.25">
      <c r="AM24" s="12" t="s">
        <v>47</v>
      </c>
      <c r="AN24" s="12" t="s">
        <v>67</v>
      </c>
      <c r="AO24" s="11" t="str">
        <f>Bod_Pro_Producto[[#This Row],[BODEGA]]&amp;Bod_Pro_Producto[[#This Row],[PROVEEDOR]]</f>
        <v>Bodega Central AgrotaEcho</v>
      </c>
      <c r="AW24" s="12" t="s">
        <v>102</v>
      </c>
      <c r="AX24" s="12" t="s">
        <v>116</v>
      </c>
    </row>
    <row r="25" spans="39:50" x14ac:dyDescent="0.25">
      <c r="AM25" s="12" t="s">
        <v>47</v>
      </c>
      <c r="AN25" s="12" t="s">
        <v>68</v>
      </c>
      <c r="AO25" s="11" t="str">
        <f>Bod_Pro_Producto[[#This Row],[BODEGA]]&amp;Bod_Pro_Producto[[#This Row],[PROVEEDOR]]</f>
        <v>Bodega Central AgrotaEUROLATTE</v>
      </c>
      <c r="AW25" s="12" t="s">
        <v>102</v>
      </c>
      <c r="AX25" s="12" t="s">
        <v>47</v>
      </c>
    </row>
    <row r="26" spans="39:50" x14ac:dyDescent="0.25">
      <c r="AM26" s="12" t="s">
        <v>47</v>
      </c>
      <c r="AN26" s="12" t="s">
        <v>69</v>
      </c>
      <c r="AO26" s="11" t="str">
        <f>Bod_Pro_Producto[[#This Row],[BODEGA]]&amp;Bod_Pro_Producto[[#This Row],[PROVEEDOR]]</f>
        <v>Bodega Central AgrotaFORD</v>
      </c>
      <c r="AW26" s="12" t="s">
        <v>102</v>
      </c>
      <c r="AX26" s="12" t="s">
        <v>52</v>
      </c>
    </row>
    <row r="27" spans="39:50" x14ac:dyDescent="0.25">
      <c r="AM27" s="12" t="s">
        <v>47</v>
      </c>
      <c r="AN27" s="12" t="s">
        <v>70</v>
      </c>
      <c r="AO27" s="11" t="str">
        <f>Bod_Pro_Producto[[#This Row],[BODEGA]]&amp;Bod_Pro_Producto[[#This Row],[PROVEEDOR]]</f>
        <v>Bodega Central AgrotaIkra</v>
      </c>
      <c r="AW27" s="12" t="s">
        <v>102</v>
      </c>
      <c r="AX27" s="12" t="s">
        <v>61</v>
      </c>
    </row>
    <row r="28" spans="39:50" x14ac:dyDescent="0.25">
      <c r="AM28" s="12" t="s">
        <v>47</v>
      </c>
      <c r="AN28" s="12" t="s">
        <v>71</v>
      </c>
      <c r="AO28" s="11" t="str">
        <f>Bod_Pro_Producto[[#This Row],[BODEGA]]&amp;Bod_Pro_Producto[[#This Row],[PROVEEDOR]]</f>
        <v>Bodega Central AgrotaINCOMAGRI</v>
      </c>
      <c r="AW28" s="12" t="s">
        <v>102</v>
      </c>
      <c r="AX28" s="12" t="s">
        <v>81</v>
      </c>
    </row>
    <row r="29" spans="39:50" x14ac:dyDescent="0.25">
      <c r="AM29" s="12" t="s">
        <v>47</v>
      </c>
      <c r="AN29" s="12" t="s">
        <v>72</v>
      </c>
      <c r="AO29" s="11" t="str">
        <f>Bod_Pro_Producto[[#This Row],[BODEGA]]&amp;Bod_Pro_Producto[[#This Row],[PROVEEDOR]]</f>
        <v>Bodega Central AgrotaJf</v>
      </c>
      <c r="AW29" s="12" t="s">
        <v>102</v>
      </c>
      <c r="AX29" s="12" t="s">
        <v>82</v>
      </c>
    </row>
    <row r="30" spans="39:50" x14ac:dyDescent="0.25">
      <c r="AM30" s="12" t="s">
        <v>47</v>
      </c>
      <c r="AN30" s="12" t="s">
        <v>73</v>
      </c>
      <c r="AO30" s="11" t="str">
        <f>Bod_Pro_Producto[[#This Row],[BODEGA]]&amp;Bod_Pro_Producto[[#This Row],[PROVEEDOR]]</f>
        <v>Bodega Central AgrotaJM ESTRADA</v>
      </c>
      <c r="AW30" s="12" t="s">
        <v>102</v>
      </c>
      <c r="AX30" s="12" t="s">
        <v>83</v>
      </c>
    </row>
    <row r="31" spans="39:50" x14ac:dyDescent="0.25">
      <c r="AM31" s="12" t="s">
        <v>47</v>
      </c>
      <c r="AN31" s="12" t="s">
        <v>74</v>
      </c>
      <c r="AO31" s="11" t="str">
        <f>Bod_Pro_Producto[[#This Row],[BODEGA]]&amp;Bod_Pro_Producto[[#This Row],[PROVEEDOR]]</f>
        <v>Bodega Central AgrotaMFW</v>
      </c>
      <c r="AW31" s="12" t="s">
        <v>102</v>
      </c>
      <c r="AX31" s="12" t="s">
        <v>117</v>
      </c>
    </row>
    <row r="32" spans="39:50" x14ac:dyDescent="0.25">
      <c r="AM32" s="12" t="s">
        <v>47</v>
      </c>
      <c r="AN32" s="12" t="s">
        <v>75</v>
      </c>
      <c r="AO32" s="11" t="str">
        <f>Bod_Pro_Producto[[#This Row],[BODEGA]]&amp;Bod_Pro_Producto[[#This Row],[PROVEEDOR]]</f>
        <v>Bodega Central AgrotaMIRAL</v>
      </c>
      <c r="AW32" s="12" t="s">
        <v>102</v>
      </c>
      <c r="AX32" s="12" t="s">
        <v>84</v>
      </c>
    </row>
    <row r="33" spans="39:50" x14ac:dyDescent="0.25">
      <c r="AM33" s="12" t="s">
        <v>47</v>
      </c>
      <c r="AN33" s="12" t="s">
        <v>76</v>
      </c>
      <c r="AO33" s="11" t="str">
        <f>Bod_Pro_Producto[[#This Row],[BODEGA]]&amp;Bod_Pro_Producto[[#This Row],[PROVEEDOR]]</f>
        <v>Bodega Central AgrotaPatriot</v>
      </c>
      <c r="AW33" s="12" t="s">
        <v>102</v>
      </c>
      <c r="AX33" s="12" t="s">
        <v>85</v>
      </c>
    </row>
    <row r="34" spans="39:50" x14ac:dyDescent="0.25">
      <c r="AM34" s="12" t="s">
        <v>47</v>
      </c>
      <c r="AN34" s="12" t="s">
        <v>77</v>
      </c>
      <c r="AO34" s="11" t="str">
        <f>Bod_Pro_Producto[[#This Row],[BODEGA]]&amp;Bod_Pro_Producto[[#This Row],[PROVEEDOR]]</f>
        <v>Bodega Central AgrotaSirfran</v>
      </c>
      <c r="AW34" s="12" t="s">
        <v>102</v>
      </c>
      <c r="AX34" s="12" t="s">
        <v>86</v>
      </c>
    </row>
    <row r="35" spans="39:50" x14ac:dyDescent="0.25">
      <c r="AM35" s="12" t="s">
        <v>52</v>
      </c>
      <c r="AN35" s="12" t="s">
        <v>60</v>
      </c>
      <c r="AO35" s="11" t="str">
        <f>Bod_Pro_Producto[[#This Row],[BODEGA]]&amp;Bod_Pro_Producto[[#This Row],[PROVEEDOR]]</f>
        <v>BODEGA CENTRAL MAQUINASBCS</v>
      </c>
      <c r="AW35" s="12" t="s">
        <v>102</v>
      </c>
      <c r="AX35" s="12" t="s">
        <v>87</v>
      </c>
    </row>
    <row r="36" spans="39:50" x14ac:dyDescent="0.25">
      <c r="AM36" s="12" t="s">
        <v>52</v>
      </c>
      <c r="AN36" s="12" t="s">
        <v>63</v>
      </c>
      <c r="AO36" s="11" t="str">
        <f>Bod_Pro_Producto[[#This Row],[BODEGA]]&amp;Bod_Pro_Producto[[#This Row],[PROVEEDOR]]</f>
        <v>BODEGA CENTRAL MAQUINASChatani</v>
      </c>
      <c r="AW36" s="12" t="s">
        <v>102</v>
      </c>
      <c r="AX36" s="12" t="s">
        <v>118</v>
      </c>
    </row>
    <row r="37" spans="39:50" x14ac:dyDescent="0.25">
      <c r="AM37" s="12" t="s">
        <v>52</v>
      </c>
      <c r="AN37" s="12" t="s">
        <v>65</v>
      </c>
      <c r="AO37" s="11" t="str">
        <f>Bod_Pro_Producto[[#This Row],[BODEGA]]&amp;Bod_Pro_Producto[[#This Row],[PROVEEDOR]]</f>
        <v>BODEGA CENTRAL MAQUINASCompra Local Maquinas</v>
      </c>
      <c r="AW37" s="12" t="s">
        <v>102</v>
      </c>
      <c r="AX37" s="12" t="s">
        <v>119</v>
      </c>
    </row>
    <row r="38" spans="39:50" x14ac:dyDescent="0.25">
      <c r="AM38" s="12" t="s">
        <v>52</v>
      </c>
      <c r="AN38" s="12" t="s">
        <v>78</v>
      </c>
      <c r="AO38" s="11" t="str">
        <f>Bod_Pro_Producto[[#This Row],[BODEGA]]&amp;Bod_Pro_Producto[[#This Row],[PROVEEDOR]]</f>
        <v>BODEGA CENTRAL MAQUINASCompra Local Quimicos</v>
      </c>
      <c r="AW38" s="12" t="s">
        <v>102</v>
      </c>
      <c r="AX38" s="12" t="s">
        <v>120</v>
      </c>
    </row>
    <row r="39" spans="39:50" x14ac:dyDescent="0.25">
      <c r="AM39" s="12" t="s">
        <v>52</v>
      </c>
      <c r="AN39" s="12" t="s">
        <v>67</v>
      </c>
      <c r="AO39" s="11" t="str">
        <f>Bod_Pro_Producto[[#This Row],[BODEGA]]&amp;Bod_Pro_Producto[[#This Row],[PROVEEDOR]]</f>
        <v>BODEGA CENTRAL MAQUINASEcho</v>
      </c>
      <c r="AW39" s="12" t="s">
        <v>102</v>
      </c>
      <c r="AX39" s="12" t="s">
        <v>121</v>
      </c>
    </row>
    <row r="40" spans="39:50" x14ac:dyDescent="0.25">
      <c r="AM40" s="12" t="s">
        <v>52</v>
      </c>
      <c r="AN40" s="12" t="s">
        <v>70</v>
      </c>
      <c r="AO40" s="11" t="str">
        <f>Bod_Pro_Producto[[#This Row],[BODEGA]]&amp;Bod_Pro_Producto[[#This Row],[PROVEEDOR]]</f>
        <v>BODEGA CENTRAL MAQUINASIkra</v>
      </c>
      <c r="AW40" s="12" t="s">
        <v>102</v>
      </c>
      <c r="AX40" s="12" t="s">
        <v>122</v>
      </c>
    </row>
    <row r="41" spans="39:50" x14ac:dyDescent="0.25">
      <c r="AM41" s="12" t="s">
        <v>52</v>
      </c>
      <c r="AN41" s="12" t="s">
        <v>72</v>
      </c>
      <c r="AO41" s="11" t="str">
        <f>Bod_Pro_Producto[[#This Row],[BODEGA]]&amp;Bod_Pro_Producto[[#This Row],[PROVEEDOR]]</f>
        <v>BODEGA CENTRAL MAQUINASJf</v>
      </c>
      <c r="AW41" s="12" t="s">
        <v>102</v>
      </c>
      <c r="AX41" s="12" t="s">
        <v>123</v>
      </c>
    </row>
    <row r="42" spans="39:50" x14ac:dyDescent="0.25">
      <c r="AM42" s="12" t="s">
        <v>52</v>
      </c>
      <c r="AN42" s="12" t="s">
        <v>79</v>
      </c>
      <c r="AO42" s="11" t="str">
        <f>Bod_Pro_Producto[[#This Row],[BODEGA]]&amp;Bod_Pro_Producto[[#This Row],[PROVEEDOR]]</f>
        <v>BODEGA CENTRAL MAQUINASMATERIA PRIMA</v>
      </c>
      <c r="AW42" s="12" t="s">
        <v>102</v>
      </c>
      <c r="AX42" s="12" t="s">
        <v>124</v>
      </c>
    </row>
    <row r="43" spans="39:50" x14ac:dyDescent="0.25">
      <c r="AM43" s="12" t="s">
        <v>52</v>
      </c>
      <c r="AN43" s="12" t="s">
        <v>80</v>
      </c>
      <c r="AO43" s="11" t="str">
        <f>Bod_Pro_Producto[[#This Row],[BODEGA]]&amp;Bod_Pro_Producto[[#This Row],[PROVEEDOR]]</f>
        <v>BODEGA CENTRAL MAQUINASSinochem</v>
      </c>
      <c r="AW43" s="12" t="s">
        <v>102</v>
      </c>
      <c r="AX43" s="12" t="s">
        <v>88</v>
      </c>
    </row>
    <row r="44" spans="39:50" x14ac:dyDescent="0.25">
      <c r="AM44" s="12" t="s">
        <v>61</v>
      </c>
      <c r="AN44" s="12" t="s">
        <v>78</v>
      </c>
      <c r="AO44" s="11" t="str">
        <f>Bod_Pro_Producto[[#This Row],[BODEGA]]&amp;Bod_Pro_Producto[[#This Row],[PROVEEDOR]]</f>
        <v>BODEGA CENTRAL MATERIA PRIMACompra Local Quimicos</v>
      </c>
      <c r="AW44" s="12" t="s">
        <v>102</v>
      </c>
      <c r="AX44" s="12" t="s">
        <v>125</v>
      </c>
    </row>
    <row r="45" spans="39:50" x14ac:dyDescent="0.25">
      <c r="AM45" s="12" t="s">
        <v>81</v>
      </c>
      <c r="AN45" s="12" t="s">
        <v>47</v>
      </c>
      <c r="AO45" s="11" t="str">
        <f>Bod_Pro_Producto[[#This Row],[BODEGA]]&amp;Bod_Pro_Producto[[#This Row],[PROVEEDOR]]</f>
        <v>BODEGA DUPOCSA ARENALBodega Central Agrota</v>
      </c>
      <c r="AW45" s="12" t="s">
        <v>102</v>
      </c>
      <c r="AX45" s="12" t="s">
        <v>89</v>
      </c>
    </row>
    <row r="46" spans="39:50" x14ac:dyDescent="0.25">
      <c r="AM46" s="12" t="s">
        <v>82</v>
      </c>
      <c r="AN46" s="12" t="s">
        <v>47</v>
      </c>
      <c r="AO46" s="11" t="str">
        <f>Bod_Pro_Producto[[#This Row],[BODEGA]]&amp;Bod_Pro_Producto[[#This Row],[PROVEEDOR]]</f>
        <v>BODEGA DUPOCSA CONCORDIABodega Central Agrota</v>
      </c>
      <c r="AW46" s="12" t="s">
        <v>102</v>
      </c>
      <c r="AX46" s="12" t="s">
        <v>90</v>
      </c>
    </row>
    <row r="47" spans="39:50" x14ac:dyDescent="0.25">
      <c r="AM47" s="12" t="s">
        <v>83</v>
      </c>
      <c r="AN47" s="12" t="s">
        <v>47</v>
      </c>
      <c r="AO47" s="11" t="str">
        <f>Bod_Pro_Producto[[#This Row],[BODEGA]]&amp;Bod_Pro_Producto[[#This Row],[PROVEEDOR]]</f>
        <v>BODEGA DUPOCSA QUEVEDOBodega Central Agrota</v>
      </c>
      <c r="AW47" s="12" t="s">
        <v>102</v>
      </c>
      <c r="AX47" s="12" t="s">
        <v>126</v>
      </c>
    </row>
    <row r="48" spans="39:50" x14ac:dyDescent="0.25">
      <c r="AM48" s="12" t="s">
        <v>84</v>
      </c>
      <c r="AN48" s="12" t="s">
        <v>61</v>
      </c>
      <c r="AO48" s="11" t="str">
        <f>Bod_Pro_Producto[[#This Row],[BODEGA]]&amp;Bod_Pro_Producto[[#This Row],[PROVEEDOR]]</f>
        <v>BODEGA MERCALIMSABODEGA CENTRAL MATERIA PRIMA</v>
      </c>
      <c r="AW48" s="12" t="s">
        <v>102</v>
      </c>
      <c r="AX48" s="12" t="s">
        <v>127</v>
      </c>
    </row>
    <row r="49" spans="39:50" x14ac:dyDescent="0.25">
      <c r="AM49" s="12" t="s">
        <v>84</v>
      </c>
      <c r="AN49" s="12" t="s">
        <v>78</v>
      </c>
      <c r="AO49" s="11" t="str">
        <f>Bod_Pro_Producto[[#This Row],[BODEGA]]&amp;Bod_Pro_Producto[[#This Row],[PROVEEDOR]]</f>
        <v>BODEGA MERCALIMSACompra Local Quimicos</v>
      </c>
      <c r="AW49" s="12" t="s">
        <v>102</v>
      </c>
      <c r="AX49" s="12" t="s">
        <v>128</v>
      </c>
    </row>
    <row r="50" spans="39:50" x14ac:dyDescent="0.25">
      <c r="AM50" s="12" t="s">
        <v>84</v>
      </c>
      <c r="AN50" s="12" t="s">
        <v>79</v>
      </c>
      <c r="AO50" s="11" t="str">
        <f>Bod_Pro_Producto[[#This Row],[BODEGA]]&amp;Bod_Pro_Producto[[#This Row],[PROVEEDOR]]</f>
        <v>BODEGA MERCALIMSAMATERIA PRIMA</v>
      </c>
      <c r="AW50" s="12" t="s">
        <v>102</v>
      </c>
      <c r="AX50" s="12" t="s">
        <v>129</v>
      </c>
    </row>
    <row r="51" spans="39:50" x14ac:dyDescent="0.25">
      <c r="AM51" s="12" t="s">
        <v>85</v>
      </c>
      <c r="AN51" s="12" t="s">
        <v>47</v>
      </c>
      <c r="AO51" s="11" t="str">
        <f>Bod_Pro_Producto[[#This Row],[BODEGA]]&amp;Bod_Pro_Producto[[#This Row],[PROVEEDOR]]</f>
        <v>BODEGA SATELITE AGROINSUMOS RIERABodega Central Agrota</v>
      </c>
      <c r="AW51" s="12" t="s">
        <v>102</v>
      </c>
      <c r="AX51" s="12" t="s">
        <v>91</v>
      </c>
    </row>
    <row r="52" spans="39:50" x14ac:dyDescent="0.25">
      <c r="AM52" s="12" t="s">
        <v>86</v>
      </c>
      <c r="AN52" s="12" t="s">
        <v>47</v>
      </c>
      <c r="AO52" s="11" t="str">
        <f>Bod_Pro_Producto[[#This Row],[BODEGA]]&amp;Bod_Pro_Producto[[#This Row],[PROVEEDOR]]</f>
        <v>BODEGA SATELITE COMERCIAL COCABodega Central Agrota</v>
      </c>
      <c r="AW52" s="12" t="s">
        <v>102</v>
      </c>
      <c r="AX52" s="12" t="s">
        <v>130</v>
      </c>
    </row>
    <row r="53" spans="39:50" x14ac:dyDescent="0.25">
      <c r="AM53" s="12" t="s">
        <v>87</v>
      </c>
      <c r="AN53" s="12" t="s">
        <v>47</v>
      </c>
      <c r="AO53" s="11" t="str">
        <f>Bod_Pro_Producto[[#This Row],[BODEGA]]&amp;Bod_Pro_Producto[[#This Row],[PROVEEDOR]]</f>
        <v>BODEGA SUKAMPOBodega Central Agrota</v>
      </c>
      <c r="AW53" s="12" t="s">
        <v>102</v>
      </c>
      <c r="AX53" s="12" t="s">
        <v>131</v>
      </c>
    </row>
    <row r="54" spans="39:50" x14ac:dyDescent="0.25">
      <c r="AM54" s="12" t="s">
        <v>88</v>
      </c>
      <c r="AN54" s="12" t="s">
        <v>47</v>
      </c>
      <c r="AO54" s="11" t="str">
        <f>Bod_Pro_Producto[[#This Row],[BODEGA]]&amp;Bod_Pro_Producto[[#This Row],[PROVEEDOR]]</f>
        <v>GUAYAQUIL SUKAMPOBodega Central Agrota</v>
      </c>
      <c r="AW54" s="12" t="s">
        <v>102</v>
      </c>
      <c r="AX54" s="12" t="s">
        <v>132</v>
      </c>
    </row>
    <row r="55" spans="39:50" x14ac:dyDescent="0.25">
      <c r="AM55" s="12" t="s">
        <v>89</v>
      </c>
      <c r="AN55" s="12" t="s">
        <v>47</v>
      </c>
      <c r="AO55" s="11" t="str">
        <f>Bod_Pro_Producto[[#This Row],[BODEGA]]&amp;Bod_Pro_Producto[[#This Row],[PROVEEDOR]]</f>
        <v>JAHER REGIONAL CDR BABAHOYOBodega Central Agrota</v>
      </c>
      <c r="AW55" s="12" t="s">
        <v>102</v>
      </c>
      <c r="AX55" s="12" t="s">
        <v>133</v>
      </c>
    </row>
    <row r="56" spans="39:50" x14ac:dyDescent="0.25">
      <c r="AM56" s="12" t="s">
        <v>90</v>
      </c>
      <c r="AN56" s="12" t="s">
        <v>47</v>
      </c>
      <c r="AO56" s="11" t="str">
        <f>Bod_Pro_Producto[[#This Row],[BODEGA]]&amp;Bod_Pro_Producto[[#This Row],[PROVEEDOR]]</f>
        <v>JAHER REGIONAL CDR. CUENCABodega Central Agrota</v>
      </c>
      <c r="AW56" s="12" t="s">
        <v>102</v>
      </c>
      <c r="AX56" s="12" t="s">
        <v>134</v>
      </c>
    </row>
    <row r="57" spans="39:50" x14ac:dyDescent="0.25">
      <c r="AM57" s="12" t="s">
        <v>91</v>
      </c>
      <c r="AN57" s="12" t="s">
        <v>47</v>
      </c>
      <c r="AO57" s="11" t="str">
        <f>Bod_Pro_Producto[[#This Row],[BODEGA]]&amp;Bod_Pro_Producto[[#This Row],[PROVEEDOR]]</f>
        <v>MARCIMEX REGIONAL CUENCABodega Central Agrota</v>
      </c>
      <c r="AW57" s="12" t="s">
        <v>102</v>
      </c>
      <c r="AX57" s="12" t="s">
        <v>135</v>
      </c>
    </row>
    <row r="58" spans="39:50" x14ac:dyDescent="0.25">
      <c r="AM58" s="12" t="s">
        <v>79</v>
      </c>
      <c r="AN58" s="12" t="s">
        <v>92</v>
      </c>
      <c r="AO58" s="11" t="str">
        <f>Bod_Pro_Producto[[#This Row],[BODEGA]]&amp;Bod_Pro_Producto[[#This Row],[PROVEEDOR]]</f>
        <v>MATERIA PRIMAAgroenzimas</v>
      </c>
      <c r="AW58" s="12" t="s">
        <v>102</v>
      </c>
      <c r="AX58" s="12" t="s">
        <v>136</v>
      </c>
    </row>
    <row r="59" spans="39:50" x14ac:dyDescent="0.25">
      <c r="AM59" s="12" t="s">
        <v>79</v>
      </c>
      <c r="AN59" s="12" t="s">
        <v>61</v>
      </c>
      <c r="AO59" s="11" t="str">
        <f>Bod_Pro_Producto[[#This Row],[BODEGA]]&amp;Bod_Pro_Producto[[#This Row],[PROVEEDOR]]</f>
        <v>MATERIA PRIMABODEGA CENTRAL MATERIA PRIMA</v>
      </c>
      <c r="AW59" s="12" t="s">
        <v>102</v>
      </c>
      <c r="AX59" s="12" t="s">
        <v>137</v>
      </c>
    </row>
    <row r="60" spans="39:50" x14ac:dyDescent="0.25">
      <c r="AM60" s="12" t="s">
        <v>79</v>
      </c>
      <c r="AN60" s="12" t="s">
        <v>78</v>
      </c>
      <c r="AO60" s="11" t="str">
        <f>Bod_Pro_Producto[[#This Row],[BODEGA]]&amp;Bod_Pro_Producto[[#This Row],[PROVEEDOR]]</f>
        <v>MATERIA PRIMACompra Local Quimicos</v>
      </c>
      <c r="AW60" s="12" t="s">
        <v>102</v>
      </c>
      <c r="AX60" s="12" t="s">
        <v>138</v>
      </c>
    </row>
    <row r="61" spans="39:50" x14ac:dyDescent="0.25">
      <c r="AM61" s="12" t="s">
        <v>79</v>
      </c>
      <c r="AN61" s="12" t="s">
        <v>66</v>
      </c>
      <c r="AO61" s="11" t="str">
        <f>Bod_Pro_Producto[[#This Row],[BODEGA]]&amp;Bod_Pro_Producto[[#This Row],[PROVEEDOR]]</f>
        <v>MATERIA PRIMADuaja</v>
      </c>
      <c r="AW61" s="12" t="s">
        <v>102</v>
      </c>
      <c r="AX61" s="12" t="s">
        <v>139</v>
      </c>
    </row>
    <row r="62" spans="39:50" x14ac:dyDescent="0.25">
      <c r="AM62" s="12" t="s">
        <v>79</v>
      </c>
      <c r="AN62" s="12" t="s">
        <v>93</v>
      </c>
      <c r="AO62" s="11" t="str">
        <f>Bod_Pro_Producto[[#This Row],[BODEGA]]&amp;Bod_Pro_Producto[[#This Row],[PROVEEDOR]]</f>
        <v>MATERIA PRIMAMercalimsa</v>
      </c>
      <c r="AW62" s="12" t="s">
        <v>102</v>
      </c>
      <c r="AX62" s="12" t="s">
        <v>140</v>
      </c>
    </row>
    <row r="63" spans="39:50" x14ac:dyDescent="0.25">
      <c r="AM63" s="12" t="s">
        <v>79</v>
      </c>
      <c r="AN63" s="12" t="s">
        <v>94</v>
      </c>
      <c r="AO63" s="11" t="str">
        <f>Bod_Pro_Producto[[#This Row],[BODEGA]]&amp;Bod_Pro_Producto[[#This Row],[PROVEEDOR]]</f>
        <v xml:space="preserve">MATERIA PRIMAMIO CHEMICAL </v>
      </c>
      <c r="AW63" s="12" t="s">
        <v>102</v>
      </c>
      <c r="AX63" s="12" t="s">
        <v>141</v>
      </c>
    </row>
    <row r="64" spans="39:50" x14ac:dyDescent="0.25">
      <c r="AM64" s="12" t="s">
        <v>79</v>
      </c>
      <c r="AN64" s="12" t="s">
        <v>95</v>
      </c>
      <c r="AO64" s="11" t="str">
        <f>Bod_Pro_Producto[[#This Row],[BODEGA]]&amp;Bod_Pro_Producto[[#This Row],[PROVEEDOR]]</f>
        <v>MATERIA PRIMASHARDA</v>
      </c>
      <c r="AW64" s="12" t="s">
        <v>102</v>
      </c>
      <c r="AX64" s="12" t="s">
        <v>142</v>
      </c>
    </row>
    <row r="65" spans="39:50" x14ac:dyDescent="0.25">
      <c r="AM65" s="12" t="s">
        <v>79</v>
      </c>
      <c r="AN65" s="12" t="s">
        <v>80</v>
      </c>
      <c r="AO65" s="11" t="str">
        <f>Bod_Pro_Producto[[#This Row],[BODEGA]]&amp;Bod_Pro_Producto[[#This Row],[PROVEEDOR]]</f>
        <v>MATERIA PRIMASinochem</v>
      </c>
      <c r="AW65" s="12" t="s">
        <v>102</v>
      </c>
      <c r="AX65" s="12" t="s">
        <v>143</v>
      </c>
    </row>
    <row r="66" spans="39:50" x14ac:dyDescent="0.25">
      <c r="AM66" s="12" t="s">
        <v>96</v>
      </c>
      <c r="AN66" s="12" t="s">
        <v>97</v>
      </c>
      <c r="AO66" s="11" t="str">
        <f>Bod_Pro_Producto[[#This Row],[BODEGA]]&amp;Bod_Pro_Producto[[#This Row],[PROVEEDOR]]</f>
        <v>PRODUCTO TERMINADOAgroprocesos</v>
      </c>
      <c r="AW66" s="12" t="s">
        <v>102</v>
      </c>
      <c r="AX66" s="12" t="s">
        <v>144</v>
      </c>
    </row>
    <row r="67" spans="39:50" x14ac:dyDescent="0.25">
      <c r="AM67" s="12" t="s">
        <v>96</v>
      </c>
      <c r="AN67" s="12" t="s">
        <v>98</v>
      </c>
      <c r="AO67" s="11" t="str">
        <f>Bod_Pro_Producto[[#This Row],[BODEGA]]&amp;Bod_Pro_Producto[[#This Row],[PROVEEDOR]]</f>
        <v>PRODUCTO TERMINADOAgrosad</v>
      </c>
      <c r="AW67" s="12" t="s">
        <v>102</v>
      </c>
      <c r="AX67" s="12" t="s">
        <v>145</v>
      </c>
    </row>
    <row r="68" spans="39:50" x14ac:dyDescent="0.25">
      <c r="AM68" s="12" t="s">
        <v>96</v>
      </c>
      <c r="AN68" s="12" t="s">
        <v>99</v>
      </c>
      <c r="AO68" s="11" t="str">
        <f>Bod_Pro_Producto[[#This Row],[BODEGA]]&amp;Bod_Pro_Producto[[#This Row],[PROVEEDOR]]</f>
        <v>PRODUCTO TERMINADOARS</v>
      </c>
      <c r="AW68" s="12" t="s">
        <v>102</v>
      </c>
      <c r="AX68" s="12" t="s">
        <v>146</v>
      </c>
    </row>
    <row r="69" spans="39:50" x14ac:dyDescent="0.25">
      <c r="AM69" s="12" t="s">
        <v>96</v>
      </c>
      <c r="AN69" s="12" t="s">
        <v>52</v>
      </c>
      <c r="AO69" s="11" t="str">
        <f>Bod_Pro_Producto[[#This Row],[BODEGA]]&amp;Bod_Pro_Producto[[#This Row],[PROVEEDOR]]</f>
        <v>PRODUCTO TERMINADOBODEGA CENTRAL MAQUINAS</v>
      </c>
      <c r="AW69" s="12" t="s">
        <v>102</v>
      </c>
      <c r="AX69" s="12" t="s">
        <v>147</v>
      </c>
    </row>
    <row r="70" spans="39:50" x14ac:dyDescent="0.25">
      <c r="AM70" s="12" t="s">
        <v>96</v>
      </c>
      <c r="AN70" s="12" t="s">
        <v>67</v>
      </c>
      <c r="AO70" s="11" t="str">
        <f>Bod_Pro_Producto[[#This Row],[BODEGA]]&amp;Bod_Pro_Producto[[#This Row],[PROVEEDOR]]</f>
        <v>PRODUCTO TERMINADOEcho</v>
      </c>
      <c r="AW70" s="12" t="s">
        <v>102</v>
      </c>
      <c r="AX70" s="12" t="s">
        <v>148</v>
      </c>
    </row>
    <row r="71" spans="39:50" x14ac:dyDescent="0.25">
      <c r="AM71" s="12" t="s">
        <v>96</v>
      </c>
      <c r="AN71" s="12" t="s">
        <v>79</v>
      </c>
      <c r="AO71" s="11" t="str">
        <f>Bod_Pro_Producto[[#This Row],[BODEGA]]&amp;Bod_Pro_Producto[[#This Row],[PROVEEDOR]]</f>
        <v>PRODUCTO TERMINADOMATERIA PRIMA</v>
      </c>
      <c r="AW71" s="12" t="s">
        <v>102</v>
      </c>
      <c r="AX71" s="12" t="s">
        <v>149</v>
      </c>
    </row>
    <row r="72" spans="39:50" x14ac:dyDescent="0.25">
      <c r="AM72" s="12" t="s">
        <v>96</v>
      </c>
      <c r="AN72" s="12" t="s">
        <v>93</v>
      </c>
      <c r="AO72" s="11" t="str">
        <f>Bod_Pro_Producto[[#This Row],[BODEGA]]&amp;Bod_Pro_Producto[[#This Row],[PROVEEDOR]]</f>
        <v>PRODUCTO TERMINADOMercalimsa</v>
      </c>
      <c r="AW72" s="12" t="s">
        <v>102</v>
      </c>
      <c r="AX72" s="12" t="s">
        <v>150</v>
      </c>
    </row>
    <row r="73" spans="39:50" x14ac:dyDescent="0.25">
      <c r="AW73" s="12" t="s">
        <v>102</v>
      </c>
      <c r="AX73" s="12" t="s">
        <v>151</v>
      </c>
    </row>
    <row r="74" spans="39:50" x14ac:dyDescent="0.25">
      <c r="AW74" s="12" t="s">
        <v>102</v>
      </c>
      <c r="AX74" s="12" t="s">
        <v>152</v>
      </c>
    </row>
    <row r="75" spans="39:50" x14ac:dyDescent="0.25">
      <c r="AW75" s="12" t="s">
        <v>102</v>
      </c>
      <c r="AX75" s="12" t="s">
        <v>153</v>
      </c>
    </row>
    <row r="76" spans="39:50" x14ac:dyDescent="0.25">
      <c r="AW76" s="12" t="s">
        <v>102</v>
      </c>
      <c r="AX76" s="12" t="s">
        <v>154</v>
      </c>
    </row>
    <row r="77" spans="39:50" x14ac:dyDescent="0.25">
      <c r="AW77" s="12" t="s">
        <v>102</v>
      </c>
      <c r="AX77" s="12" t="s">
        <v>79</v>
      </c>
    </row>
    <row r="78" spans="39:50" x14ac:dyDescent="0.25">
      <c r="AW78" s="12" t="s">
        <v>102</v>
      </c>
      <c r="AX78" s="12" t="s">
        <v>155</v>
      </c>
    </row>
    <row r="79" spans="39:50" x14ac:dyDescent="0.25">
      <c r="AW79" s="12" t="s">
        <v>102</v>
      </c>
      <c r="AX79" s="12" t="s">
        <v>156</v>
      </c>
    </row>
    <row r="80" spans="39:50" x14ac:dyDescent="0.25">
      <c r="AW80" s="12" t="s">
        <v>102</v>
      </c>
      <c r="AX80" s="12" t="s">
        <v>157</v>
      </c>
    </row>
    <row r="81" spans="49:50" x14ac:dyDescent="0.25">
      <c r="AW81" s="12" t="s">
        <v>102</v>
      </c>
      <c r="AX81" s="12" t="s">
        <v>158</v>
      </c>
    </row>
    <row r="82" spans="49:50" x14ac:dyDescent="0.25">
      <c r="AW82" s="12" t="s">
        <v>102</v>
      </c>
      <c r="AX82" s="12" t="s">
        <v>159</v>
      </c>
    </row>
    <row r="83" spans="49:50" x14ac:dyDescent="0.25">
      <c r="AW83" s="12" t="s">
        <v>102</v>
      </c>
      <c r="AX83" s="12" t="s">
        <v>160</v>
      </c>
    </row>
    <row r="84" spans="49:50" x14ac:dyDescent="0.25">
      <c r="AW84" s="12" t="s">
        <v>102</v>
      </c>
      <c r="AX84" s="12" t="s">
        <v>161</v>
      </c>
    </row>
    <row r="85" spans="49:50" x14ac:dyDescent="0.25">
      <c r="AW85" s="12" t="s">
        <v>102</v>
      </c>
      <c r="AX85" s="12" t="s">
        <v>162</v>
      </c>
    </row>
    <row r="86" spans="49:50" x14ac:dyDescent="0.25">
      <c r="AW86" s="12" t="s">
        <v>102</v>
      </c>
      <c r="AX86" s="12" t="s">
        <v>163</v>
      </c>
    </row>
    <row r="87" spans="49:50" x14ac:dyDescent="0.25">
      <c r="AW87" s="12" t="s">
        <v>102</v>
      </c>
      <c r="AX87" s="12" t="s">
        <v>164</v>
      </c>
    </row>
    <row r="88" spans="49:50" x14ac:dyDescent="0.25">
      <c r="AW88" s="12" t="s">
        <v>102</v>
      </c>
      <c r="AX88" s="12" t="s">
        <v>96</v>
      </c>
    </row>
    <row r="89" spans="49:50" x14ac:dyDescent="0.25">
      <c r="AW89" s="12" t="s">
        <v>102</v>
      </c>
      <c r="AX89" s="12" t="s">
        <v>165</v>
      </c>
    </row>
    <row r="90" spans="49:50" x14ac:dyDescent="0.25">
      <c r="AW90" s="12" t="s">
        <v>166</v>
      </c>
      <c r="AX90" s="12" t="s">
        <v>167</v>
      </c>
    </row>
    <row r="91" spans="49:50" x14ac:dyDescent="0.25">
      <c r="AW91" s="12" t="s">
        <v>166</v>
      </c>
      <c r="AX91" s="12" t="s">
        <v>168</v>
      </c>
    </row>
    <row r="92" spans="49:50" x14ac:dyDescent="0.25">
      <c r="AW92" s="12" t="s">
        <v>166</v>
      </c>
      <c r="AX92" s="12" t="s">
        <v>50</v>
      </c>
    </row>
    <row r="93" spans="49:50" x14ac:dyDescent="0.25">
      <c r="AW93" s="12" t="s">
        <v>166</v>
      </c>
      <c r="AX93" s="12" t="s">
        <v>169</v>
      </c>
    </row>
    <row r="94" spans="49:50" x14ac:dyDescent="0.25">
      <c r="AW94" s="12" t="s">
        <v>166</v>
      </c>
      <c r="AX94" s="12" t="s">
        <v>170</v>
      </c>
    </row>
    <row r="95" spans="49:50" x14ac:dyDescent="0.25">
      <c r="AW95" s="12" t="s">
        <v>166</v>
      </c>
      <c r="AX95" s="12" t="s">
        <v>171</v>
      </c>
    </row>
    <row r="96" spans="49:50" x14ac:dyDescent="0.25">
      <c r="AW96" s="12" t="s">
        <v>166</v>
      </c>
      <c r="AX96" s="12" t="s">
        <v>172</v>
      </c>
    </row>
    <row r="97" spans="49:50" x14ac:dyDescent="0.25">
      <c r="AW97" s="12" t="s">
        <v>166</v>
      </c>
      <c r="AX97" s="12" t="s">
        <v>173</v>
      </c>
    </row>
    <row r="98" spans="49:50" x14ac:dyDescent="0.25">
      <c r="AW98" s="12" t="s">
        <v>166</v>
      </c>
      <c r="AX98" s="12" t="s">
        <v>174</v>
      </c>
    </row>
    <row r="99" spans="49:50" x14ac:dyDescent="0.25">
      <c r="AW99" s="12" t="s">
        <v>166</v>
      </c>
      <c r="AX99" s="12" t="s">
        <v>175</v>
      </c>
    </row>
    <row r="100" spans="49:50" x14ac:dyDescent="0.25">
      <c r="AW100" s="12" t="s">
        <v>166</v>
      </c>
      <c r="AX100" s="12" t="s">
        <v>176</v>
      </c>
    </row>
    <row r="101" spans="49:50" x14ac:dyDescent="0.25">
      <c r="AW101" s="12" t="s">
        <v>166</v>
      </c>
      <c r="AX101" s="12" t="s">
        <v>177</v>
      </c>
    </row>
    <row r="102" spans="49:50" x14ac:dyDescent="0.25">
      <c r="AW102" s="12" t="s">
        <v>166</v>
      </c>
      <c r="AX102" s="12" t="s">
        <v>178</v>
      </c>
    </row>
    <row r="103" spans="49:50" x14ac:dyDescent="0.25">
      <c r="AW103" s="12" t="s">
        <v>166</v>
      </c>
      <c r="AX103" s="12" t="s">
        <v>179</v>
      </c>
    </row>
    <row r="104" spans="49:50" x14ac:dyDescent="0.25">
      <c r="AW104" s="12" t="s">
        <v>166</v>
      </c>
      <c r="AX104" s="12" t="s">
        <v>180</v>
      </c>
    </row>
    <row r="105" spans="49:50" x14ac:dyDescent="0.25">
      <c r="AW105" s="12" t="s">
        <v>166</v>
      </c>
      <c r="AX105" s="12" t="s">
        <v>181</v>
      </c>
    </row>
    <row r="106" spans="49:50" x14ac:dyDescent="0.25">
      <c r="AW106" s="12" t="s">
        <v>166</v>
      </c>
      <c r="AX106" s="12" t="s">
        <v>182</v>
      </c>
    </row>
    <row r="107" spans="49:50" x14ac:dyDescent="0.25">
      <c r="AW107" s="12" t="s">
        <v>166</v>
      </c>
      <c r="AX107" s="12" t="s">
        <v>183</v>
      </c>
    </row>
    <row r="108" spans="49:50" x14ac:dyDescent="0.25">
      <c r="AW108" s="12" t="s">
        <v>166</v>
      </c>
      <c r="AX108" s="12" t="s">
        <v>184</v>
      </c>
    </row>
    <row r="109" spans="49:50" x14ac:dyDescent="0.25">
      <c r="AW109" s="12" t="s">
        <v>166</v>
      </c>
      <c r="AX109" s="12" t="s">
        <v>185</v>
      </c>
    </row>
  </sheetData>
  <sheetProtection algorithmName="SHA-512" hashValue="ClWBZQ4MIHnMF63P3uxHEvHJhclxg08DQYfyBEtFmuI6cyfsr8qF5lKjLM7dxnJoTCZu2daaotrwgFJ2bEuZRw==" saltValue="sCXp1p5CbSFrpILHOoQVNA==" spinCount="100000" sheet="1" objects="1" scenarios="1" sort="0" autoFilter="0"/>
  <conditionalFormatting sqref="M3:M10">
    <cfRule type="expression" dxfId="55" priority="6">
      <formula>IF(OR(IFERROR(MATCH($B3&amp;$M3,BodegaArchivo,0),0)&gt;0,ISBLANK($M3)),0,1)</formula>
    </cfRule>
  </conditionalFormatting>
  <conditionalFormatting sqref="O3:O10">
    <cfRule type="expression" dxfId="54" priority="7">
      <formula>IF(OR(IFERROR(MATCH($B3&amp;$M3&amp;$O3,BodegaArchivoPerfil,0),0)&gt;0,ISBLANK($O3)),0,1)</formula>
    </cfRule>
  </conditionalFormatting>
  <conditionalFormatting sqref="N3:N10">
    <cfRule type="expression" dxfId="53" priority="4">
      <formula>IF(OR(IFERROR(MATCH($B3&amp;$N3,BodegaProveedor,0),0)&gt;0,ISBLANK($N3)),0,1)</formula>
    </cfRule>
  </conditionalFormatting>
  <conditionalFormatting sqref="B3:B10">
    <cfRule type="expression" dxfId="52" priority="3">
      <formula>$B3=""</formula>
    </cfRule>
  </conditionalFormatting>
  <conditionalFormatting sqref="A3:Z10">
    <cfRule type="expression" dxfId="51" priority="1">
      <formula>AND(NOT($Y3),$B3&lt;&gt;"")</formula>
    </cfRule>
  </conditionalFormatting>
  <dataValidations count="7">
    <dataValidation type="whole" operator="greaterThanOrEqual" allowBlank="1" showInputMessage="1" showErrorMessage="1" sqref="U3:V10 Y3:Y10 P3:Q10 S3:S10">
      <formula1>0</formula1>
    </dataValidation>
    <dataValidation type="list" operator="greaterThanOrEqual" allowBlank="1" showInputMessage="1" showErrorMessage="1" sqref="R3:R10">
      <formula1>Redondeo_Pedido_Minimo</formula1>
    </dataValidation>
    <dataValidation type="list" operator="greaterThanOrEqual" allowBlank="1" showInputMessage="1" showErrorMessage="1" sqref="T3:T10">
      <formula1>Redondeo_Unidad_Empaque</formula1>
    </dataValidation>
    <dataValidation type="list" allowBlank="1" showInputMessage="1" showErrorMessage="1" sqref="M3:M10">
      <formula1>OFFSET($AI$2,MATCH($B3,Bodega_Bodega_Archivo,0),0,COUNTIF(Bodega_Bodega_Archivo,"="&amp;$B3),1)</formula1>
    </dataValidation>
    <dataValidation type="list" allowBlank="1" showInputMessage="1" showErrorMessage="1" sqref="N3:N10">
      <formula1>OFFSET($AN$2,MATCH($B3,Bodega_Bodega_Proveedor,0),0,COUNTIF(Bodega_Bodega_Proveedor,"="&amp;$B3),1)</formula1>
    </dataValidation>
    <dataValidation type="list" allowBlank="1" showInputMessage="1" showErrorMessage="1" sqref="O3:O10">
      <formula1>OFFSET($AS$3,MATCH($W3,BodegaArchivo_ABP,0)-1,0,COUNTIF(BodegaArchivo_ABP,"="&amp;$W3),1)</formula1>
    </dataValidation>
    <dataValidation type="list" allowBlank="1" showInputMessage="1" showErrorMessage="1" sqref="B3:B10">
      <formula1>OFFSET($AX$2,MATCH($A3,Empresa_Empresa_Bodega,0),0,COUNTIF(Empresa_Empresa_Bodega,"="&amp;$A3),1)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cmd_Inserta_Items_Activos">
              <controlPr defaultSize="0" print="0" autoFill="0" autoPict="0" macro="[0]!Inserta_Items_Activos">
                <anchor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628650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cmd_Cancelar">
              <controlPr defaultSize="0" print="0" autoFill="0" autoPict="0" macro="[0]!Cancelar">
                <anchor>
                  <from>
                    <xdr:col>1</xdr:col>
                    <xdr:colOff>647700</xdr:colOff>
                    <xdr:row>0</xdr:row>
                    <xdr:rowOff>9525</xdr:rowOff>
                  </from>
                  <to>
                    <xdr:col>1</xdr:col>
                    <xdr:colOff>1247775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8"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/>
  </sheetViews>
  <sheetFormatPr baseColWidth="10" defaultRowHeight="15" x14ac:dyDescent="0.25"/>
  <sheetData>
    <row r="1" spans="1:1" x14ac:dyDescent="0.25">
      <c r="A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M1"/>
  <sheetViews>
    <sheetView workbookViewId="0">
      <selection activeCell="A2" sqref="A2:A10194"/>
    </sheetView>
  </sheetViews>
  <sheetFormatPr baseColWidth="10" defaultRowHeight="15" x14ac:dyDescent="0.25"/>
  <cols>
    <col min="1" max="1" width="81.140625" bestFit="1" customWidth="1"/>
    <col min="2" max="2" width="46.5703125" bestFit="1" customWidth="1"/>
    <col min="3" max="3" width="37.28515625" bestFit="1" customWidth="1"/>
    <col min="4" max="4" width="16.140625" bestFit="1" customWidth="1"/>
    <col min="5" max="5" width="14.140625" bestFit="1" customWidth="1"/>
    <col min="6" max="6" width="13.42578125" bestFit="1" customWidth="1"/>
    <col min="7" max="7" width="16.5703125" bestFit="1" customWidth="1"/>
    <col min="8" max="9" width="44.7109375" bestFit="1" customWidth="1"/>
    <col min="10" max="10" width="24.5703125" bestFit="1" customWidth="1"/>
    <col min="11" max="11" width="22.7109375" bestFit="1" customWidth="1"/>
    <col min="12" max="12" width="17.7109375" bestFit="1" customWidth="1"/>
    <col min="13" max="13" width="16.140625" bestFit="1" customWidth="1"/>
    <col min="14" max="14" width="13.7109375" bestFit="1" customWidth="1"/>
    <col min="15" max="15" width="38.42578125" bestFit="1" customWidth="1"/>
    <col min="16" max="16" width="33.85546875" bestFit="1" customWidth="1"/>
    <col min="17" max="17" width="12.5703125" bestFit="1" customWidth="1"/>
    <col min="18" max="18" width="22.7109375" bestFit="1" customWidth="1"/>
  </cols>
  <sheetData>
    <row r="1" spans="1:13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2</v>
      </c>
      <c r="M1" t="s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3"/>
  <sheetViews>
    <sheetView showGridLines="0" workbookViewId="0">
      <selection activeCell="E2" sqref="E2:E3"/>
      <pivotSelection pane="bottomRight" showHeader="1" click="1" r:id="rId1">
        <pivotArea dataOnly="0" labelOnly="1" outline="0" fieldPosition="0">
          <references count="1">
            <reference field="12" count="0"/>
          </references>
        </pivotArea>
      </pivotSelection>
    </sheetView>
  </sheetViews>
  <sheetFormatPr baseColWidth="10" defaultRowHeight="15" x14ac:dyDescent="0.25"/>
  <cols>
    <col min="1" max="1" width="21.42578125" bestFit="1" customWidth="1"/>
    <col min="2" max="2" width="11.42578125" bestFit="1" customWidth="1"/>
    <col min="4" max="4" width="35.140625" bestFit="1" customWidth="1"/>
    <col min="5" max="5" width="15.140625" customWidth="1"/>
    <col min="6" max="6" width="21.5703125" bestFit="1" customWidth="1"/>
    <col min="7" max="7" width="11.42578125" bestFit="1" customWidth="1"/>
  </cols>
  <sheetData>
    <row r="1" spans="1:7" x14ac:dyDescent="0.25">
      <c r="A1" t="s">
        <v>32</v>
      </c>
      <c r="B1" t="s">
        <v>26</v>
      </c>
      <c r="D1" s="6" t="s">
        <v>32</v>
      </c>
      <c r="E1" s="6" t="s">
        <v>191</v>
      </c>
      <c r="G1" s="2"/>
    </row>
    <row r="2" spans="1:7" x14ac:dyDescent="0.25">
      <c r="A2" s="2" t="s">
        <v>46</v>
      </c>
      <c r="B2" s="3" t="str">
        <f>IF(Lista_Archivos[[#This Row],[ARCHIVOCOMPLETO]]&lt;&gt;"",INDEX(Items_Faltan[ARCHIVO],MATCH(Lista_Archivos[[#This Row],[ARCHIVOCOMPLETO]],Items_Faltan[ARCHIVOCOMPLETO],0)),"")</f>
        <v/>
      </c>
      <c r="D2" s="2" t="s">
        <v>46</v>
      </c>
      <c r="E2" s="2" t="s">
        <v>196</v>
      </c>
      <c r="G2" s="3"/>
    </row>
    <row r="3" spans="1:7" x14ac:dyDescent="0.25">
      <c r="D3" s="2" t="s">
        <v>198</v>
      </c>
      <c r="E3" s="2" t="s">
        <v>187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1"/>
  <sheetViews>
    <sheetView workbookViewId="0">
      <selection activeCell="C2" sqref="C2"/>
    </sheetView>
  </sheetViews>
  <sheetFormatPr baseColWidth="10" defaultRowHeight="15" x14ac:dyDescent="0.25"/>
  <cols>
    <col min="1" max="1" width="10.85546875" style="2" customWidth="1"/>
    <col min="2" max="2" width="13.28515625" style="2" customWidth="1"/>
    <col min="3" max="3" width="19.5703125" style="2" bestFit="1" customWidth="1"/>
  </cols>
  <sheetData>
    <row r="1" spans="1:3" x14ac:dyDescent="0.25">
      <c r="A1" s="2" t="s">
        <v>15</v>
      </c>
      <c r="B1" s="2" t="s">
        <v>16</v>
      </c>
      <c r="C1" s="2" t="s">
        <v>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10</vt:i4>
      </vt:variant>
    </vt:vector>
  </HeadingPairs>
  <TitlesOfParts>
    <vt:vector size="16" baseType="lpstr">
      <vt:lpstr>ItemsRepetidos</vt:lpstr>
      <vt:lpstr>ItemsFaltan</vt:lpstr>
      <vt:lpstr>ItemsFaltanProducto</vt:lpstr>
      <vt:lpstr>Producto</vt:lpstr>
      <vt:lpstr>Archivos</vt:lpstr>
      <vt:lpstr>Buffer_Empresa</vt:lpstr>
      <vt:lpstr>Bodega_Bodega_Archivo</vt:lpstr>
      <vt:lpstr>Bodega_Bodega_Proveedor</vt:lpstr>
      <vt:lpstr>BodegaArchivo</vt:lpstr>
      <vt:lpstr>BodegaArchivo_ABP</vt:lpstr>
      <vt:lpstr>BodegaArchivoPerfil</vt:lpstr>
      <vt:lpstr>BodegaProveedor</vt:lpstr>
      <vt:lpstr>Empresa_Empresa_Bodega</vt:lpstr>
      <vt:lpstr>Redondeo_Pedido_Minimo</vt:lpstr>
      <vt:lpstr>Redondeo_Unidad_Empaque</vt:lpstr>
      <vt:lpstr>US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RAMCAS</cp:lastModifiedBy>
  <dcterms:created xsi:type="dcterms:W3CDTF">2011-11-30T17:34:04Z</dcterms:created>
  <dcterms:modified xsi:type="dcterms:W3CDTF">2018-06-01T20:49:22Z</dcterms:modified>
</cp:coreProperties>
</file>