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45" windowWidth="15480" windowHeight="7995"/>
  </bookViews>
  <sheets>
    <sheet name="EFECTIVO" sheetId="1" r:id="rId1"/>
    <sheet name="DATOS" sheetId="4" r:id="rId2"/>
  </sheets>
  <definedNames>
    <definedName name="Consulta_desde_ODBC_MySQL_en_AGROTA" localSheetId="1" hidden="1">DATOS!$A$1:$A$106</definedName>
    <definedName name="Consulta_desde_ODBC_MySQL_en_AGROTA_1" localSheetId="1">DATOS!#REF!</definedName>
    <definedName name="Consulta_desde_ODBC_MySQL_en_AGROTA_2" localSheetId="1" hidden="1">DATOS!$C$1:$C$12</definedName>
  </definedNames>
  <calcPr calcId="125725" calcOnSave="0"/>
</workbook>
</file>

<file path=xl/calcChain.xml><?xml version="1.0" encoding="utf-8"?>
<calcChain xmlns="http://schemas.openxmlformats.org/spreadsheetml/2006/main">
  <c r="H8" i="1"/>
  <c r="H9"/>
  <c r="H10"/>
  <c r="H11"/>
  <c r="H12"/>
  <c r="H13"/>
  <c r="H14"/>
  <c r="H15"/>
  <c r="H16"/>
  <c r="H17"/>
  <c r="H18"/>
  <c r="H19"/>
  <c r="H20"/>
  <c r="H21"/>
  <c r="H22"/>
  <c r="H4"/>
  <c r="H5"/>
  <c r="H6"/>
  <c r="H7"/>
  <c r="H2"/>
  <c r="H3"/>
</calcChain>
</file>

<file path=xl/connections.xml><?xml version="1.0" encoding="utf-8"?>
<connections xmlns="http://schemas.openxmlformats.org/spreadsheetml/2006/main">
  <connection id="1" name="Consulta desde ODBC MySQL en AGROTA" type="1" refreshedVersion="3" background="1" saveData="1">
    <dbPr connection="DSN=ODBC MySQL en AGROTA;" command="SELECT DISTINCT grupos_0.NombreGrupo_x000d__x000a_FROM baseevolution.grupos grupos_0_x000d__x000a_ORDER BY grupos_0.NombreGrupo"/>
  </connection>
  <connection id="2" name="Consulta desde ODBC MySQL en AGROTA1" type="1" refreshedVersion="3" background="1" saveData="1">
    <dbPr connection="DSN=ODBC MySQL en AGROTA;" command="SELECT DISTINCT lineas_0.NombreLinea_x000d__x000a_FROM baseevolution.lineas lineas_0_x000d__x000a_ORDER BY lineas_0.NombreLinea"/>
  </connection>
</connections>
</file>

<file path=xl/sharedStrings.xml><?xml version="1.0" encoding="utf-8"?>
<sst xmlns="http://schemas.openxmlformats.org/spreadsheetml/2006/main" count="168" uniqueCount="147">
  <si>
    <t>ECHO</t>
  </si>
  <si>
    <t>Plazo Proveedor</t>
  </si>
  <si>
    <t>Dias MP</t>
  </si>
  <si>
    <t>T Suministro</t>
  </si>
  <si>
    <t>Dias PT</t>
  </si>
  <si>
    <t>Plazo Cobro</t>
  </si>
  <si>
    <t>Ciclo Efectivo</t>
  </si>
  <si>
    <t>Empresa</t>
  </si>
  <si>
    <t>NombreGrupo</t>
  </si>
  <si>
    <t>AA (No Aplica)</t>
  </si>
  <si>
    <t>ACCESORIOS</t>
  </si>
  <si>
    <t>ACCESORIOS BOMBA DE AGUA</t>
  </si>
  <si>
    <t>ACCESORIOS BOMBA DE FUMIGACION</t>
  </si>
  <si>
    <t xml:space="preserve">ACCESORIOS BOMBAS DE AGUA </t>
  </si>
  <si>
    <t>ACCESORIOS BOMBAS ZM</t>
  </si>
  <si>
    <t>ACCESORIOS CABEZAL</t>
  </si>
  <si>
    <t xml:space="preserve">ACCESORIOS CORTASETOS </t>
  </si>
  <si>
    <t>ACCESORIOS COSECHADORAS</t>
  </si>
  <si>
    <t>ACCESORIOS DESGRANADORAS</t>
  </si>
  <si>
    <t>ACCESORIOS DESMALEZADORA</t>
  </si>
  <si>
    <t xml:space="preserve">ACCESORIOS ENSILADORAS </t>
  </si>
  <si>
    <t>ACCESORIOS ESPARCIDORAS</t>
  </si>
  <si>
    <t>ACCESORIOS MAQ . MULTIUSOS</t>
  </si>
  <si>
    <t xml:space="preserve">ACCESORIOS MEZCLADORAS </t>
  </si>
  <si>
    <t xml:space="preserve">ACCESORIOS MOLINOS PICADORES </t>
  </si>
  <si>
    <t xml:space="preserve">ACCESORIOS MOTOCULTORES </t>
  </si>
  <si>
    <t xml:space="preserve">ACCESORIOS MOTORES </t>
  </si>
  <si>
    <t>ACCESORIOS MOTOSIERRAS</t>
  </si>
  <si>
    <t>ACCESORIOS NEBULIZADORA. PULVERIZADORA Y ESPOLVEADORA</t>
  </si>
  <si>
    <t>ACCESORIOS ORDENOS MECANICOS</t>
  </si>
  <si>
    <t xml:space="preserve">ACCESORIOS PICADORA </t>
  </si>
  <si>
    <t xml:space="preserve">ACCESORIOS PODADORAS DE ALTURA </t>
  </si>
  <si>
    <t xml:space="preserve">ACCESORIOS SOPLADORAS </t>
  </si>
  <si>
    <t>ACCESORIOS TALADRO MOTORIZADO</t>
  </si>
  <si>
    <t xml:space="preserve">ACCESORIOS TRAPICHES </t>
  </si>
  <si>
    <t xml:space="preserve">ACCESORIOS TRITURADORES </t>
  </si>
  <si>
    <t>ACEITES</t>
  </si>
  <si>
    <t>ACEITES Y GRASA</t>
  </si>
  <si>
    <t>BOMBA DE FUMIGACION</t>
  </si>
  <si>
    <t>BOMBAS DE AGUA</t>
  </si>
  <si>
    <t>BOMBAS ZM</t>
  </si>
  <si>
    <t>CABEZAL</t>
  </si>
  <si>
    <t>COMPUTADORA</t>
  </si>
  <si>
    <t xml:space="preserve">CORTASETOS </t>
  </si>
  <si>
    <t>COSECHADORAS</t>
  </si>
  <si>
    <t>CPU</t>
  </si>
  <si>
    <t>DESGRANADORAS</t>
  </si>
  <si>
    <t>DESMALEZADORA</t>
  </si>
  <si>
    <t>ENSILADORAS</t>
  </si>
  <si>
    <t xml:space="preserve">ESPARCIDORAS </t>
  </si>
  <si>
    <t>GRASAS</t>
  </si>
  <si>
    <t>HERRAMIENTAS DE TALLER</t>
  </si>
  <si>
    <t xml:space="preserve">HERRAMIENTAS VENTA </t>
  </si>
  <si>
    <t xml:space="preserve">IMPLEMENTOS </t>
  </si>
  <si>
    <t>IMPRESORA</t>
  </si>
  <si>
    <t>IMPRESORAS</t>
  </si>
  <si>
    <t>LECTOR CODIGO BARRAS</t>
  </si>
  <si>
    <t>LUV DMAX CAMIONETA</t>
  </si>
  <si>
    <t>MAQ MULTIUSOS</t>
  </si>
  <si>
    <t xml:space="preserve">MAQUINA DE TALLER </t>
  </si>
  <si>
    <t>MAQUINARIA</t>
  </si>
  <si>
    <t>MAQUINARIA HUESO</t>
  </si>
  <si>
    <t>MATERIA PRIMA</t>
  </si>
  <si>
    <t>MEZCLADORAS</t>
  </si>
  <si>
    <t xml:space="preserve">MOLINOS PICADORES </t>
  </si>
  <si>
    <t xml:space="preserve">MOTOCULTORES </t>
  </si>
  <si>
    <t>MOTOR DIESEL</t>
  </si>
  <si>
    <t>MOTOR ELETRICO</t>
  </si>
  <si>
    <t>MOTOR GASOLINA</t>
  </si>
  <si>
    <t xml:space="preserve">MOTORES </t>
  </si>
  <si>
    <t>MOTOSIERRAS</t>
  </si>
  <si>
    <t>NEBULIZADORA. PULVERIZADORA Y ESPOLVEADORA</t>
  </si>
  <si>
    <t xml:space="preserve">ORDENOS MECANICOS </t>
  </si>
  <si>
    <t>OTROS</t>
  </si>
  <si>
    <t>PAPELERIA</t>
  </si>
  <si>
    <t>PC</t>
  </si>
  <si>
    <t xml:space="preserve">PICADORA </t>
  </si>
  <si>
    <t xml:space="preserve">PODADORAS DE ALTURA </t>
  </si>
  <si>
    <t>PORTATIL</t>
  </si>
  <si>
    <t>PUBLICIDAD</t>
  </si>
  <si>
    <t>REPUESTO BOMBA DE FUMIGACION</t>
  </si>
  <si>
    <t>REPUESTOS BOMBAS DE AGUA</t>
  </si>
  <si>
    <t>REPUESTOS BOMBAS ZM</t>
  </si>
  <si>
    <t>REPUESTOS CABEZAL</t>
  </si>
  <si>
    <t xml:space="preserve">REPUESTOS CORTASETOS </t>
  </si>
  <si>
    <t>REPUESTOS COSECHADORAS</t>
  </si>
  <si>
    <t>REPUESTOS DESGRANADORAS</t>
  </si>
  <si>
    <t>REPUESTOS DESMALEZADORA</t>
  </si>
  <si>
    <t xml:space="preserve">REPUESTOS ENSILADORAS </t>
  </si>
  <si>
    <t xml:space="preserve">REPUESTOS ESPARCIDORAS </t>
  </si>
  <si>
    <t>REPUESTOS MAQ MULTIUSOS</t>
  </si>
  <si>
    <t xml:space="preserve">REPUESTOS MEZCLADORAS </t>
  </si>
  <si>
    <t xml:space="preserve">REPUESTOS MOLINOS PICADORES </t>
  </si>
  <si>
    <t xml:space="preserve">REPUESTOS MOTOCULTORES </t>
  </si>
  <si>
    <t xml:space="preserve">REPUESTOS MOTORES </t>
  </si>
  <si>
    <t xml:space="preserve">REPUESTOS MOTOSIERRAS </t>
  </si>
  <si>
    <t>REPUESTOS NEBULIZADORA. PULVERIZADORA Y ESPOLVEADORA</t>
  </si>
  <si>
    <t xml:space="preserve">REPUESTOS ORDENOS MECANICOS </t>
  </si>
  <si>
    <t xml:space="preserve">REPUESTOS PICADORA </t>
  </si>
  <si>
    <t xml:space="preserve">REPUESTOS PODADORAS DE ALTURA </t>
  </si>
  <si>
    <t xml:space="preserve">REPUESTOS SOPLADORAS </t>
  </si>
  <si>
    <t>REPUESTOS TALADRO MOTORIZADO</t>
  </si>
  <si>
    <t>REPUESTOS TRACTORES</t>
  </si>
  <si>
    <t xml:space="preserve">REPUESTOS TRAPICHES </t>
  </si>
  <si>
    <t xml:space="preserve">REPUESTOS TRITURADORES </t>
  </si>
  <si>
    <t>SERVICIOS</t>
  </si>
  <si>
    <t>SOPLADORAS</t>
  </si>
  <si>
    <t>TALADRO MOTORIZADO</t>
  </si>
  <si>
    <t>TERMINADO</t>
  </si>
  <si>
    <t xml:space="preserve">TRACTORES </t>
  </si>
  <si>
    <t xml:space="preserve">TRAPICHES </t>
  </si>
  <si>
    <t xml:space="preserve">TRITURADORES </t>
  </si>
  <si>
    <t>VEHICULO</t>
  </si>
  <si>
    <t>VEHICULOS</t>
  </si>
  <si>
    <t>Agrota</t>
  </si>
  <si>
    <t>NombreLinea</t>
  </si>
  <si>
    <t>ACTIVO FIJO</t>
  </si>
  <si>
    <t>AGROFORESTAL</t>
  </si>
  <si>
    <t>AGROPECUARIA</t>
  </si>
  <si>
    <t>FIJADORES</t>
  </si>
  <si>
    <t>FUNGICIDAS</t>
  </si>
  <si>
    <t>HERBICIDAS</t>
  </si>
  <si>
    <t>INSECTICIDAS</t>
  </si>
  <si>
    <t>NUTRICIONAL</t>
  </si>
  <si>
    <t>PRODUCCION</t>
  </si>
  <si>
    <t>Proveedor</t>
  </si>
  <si>
    <t>CREMASCO</t>
  </si>
  <si>
    <t>ZM</t>
  </si>
  <si>
    <t>INCOMAGRI</t>
  </si>
  <si>
    <t>BEAR CAT</t>
  </si>
  <si>
    <t>Agroinsumos</t>
  </si>
  <si>
    <t>JF MAQUINAS AGRICOLAS</t>
  </si>
  <si>
    <t>SINOCHEM NINGO IMP.</t>
  </si>
  <si>
    <t>NEDERAGRO S.A.</t>
  </si>
  <si>
    <t>MERCALIMSA S.A.</t>
  </si>
  <si>
    <t>AGARISMAL S.A</t>
  </si>
  <si>
    <t>GRAFICAS HERNANDEZ CIA. LTDA.</t>
  </si>
  <si>
    <t>GRAFISUM CIA. LTDA.</t>
  </si>
  <si>
    <t>LAQUINSA ANIDNA S.A.</t>
  </si>
  <si>
    <t>FORMAS Y ACCESORIOS FORMAC S.A</t>
  </si>
  <si>
    <t>VINDELPO CIA. LTDA.</t>
  </si>
  <si>
    <t>TECNOPLAST DEL ECUADOR CIA. LTDA.</t>
  </si>
  <si>
    <t>LATIENVASES S.A.</t>
  </si>
  <si>
    <t>GLOBAL ORGANICS CIA. LTDA.</t>
  </si>
  <si>
    <t>DUAJA DEL ECUADOR S.A.</t>
  </si>
  <si>
    <t>PROFIANDINA S.A.</t>
  </si>
  <si>
    <t>SUPRAPLAST S.A.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</si>
</sst>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Border="1"/>
    <xf numFmtId="0" fontId="0" fillId="0" borderId="0" xfId="0" applyNumberFormat="1"/>
    <xf numFmtId="0" fontId="0" fillId="0" borderId="0" xfId="0" applyNumberFormat="1" applyBorder="1"/>
  </cellXfs>
  <cellStyles count="1">
    <cellStyle name="Normal" xfId="0" builtinId="0"/>
  </cellStyles>
  <dxfs count="1">
    <dxf>
      <numFmt numFmtId="0" formatCode="General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queryTables/queryTable1.xml><?xml version="1.0" encoding="utf-8"?>
<queryTable xmlns="http://schemas.openxmlformats.org/spreadsheetml/2006/main" name="Consulta desde ODBC MySQL en AGROTA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NombreGrupo" tableColumnId="1"/>
    </queryTableFields>
  </queryTableRefresh>
</queryTable>
</file>

<file path=xl/queryTables/queryTable2.xml><?xml version="1.0" encoding="utf-8"?>
<queryTable xmlns="http://schemas.openxmlformats.org/spreadsheetml/2006/main" name="Consulta desde ODBC MySQL en AGROTA_2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NombreLinea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a_Ciclo_Efectivo" displayName="Tabla_Ciclo_Efectivo" ref="A1:H22" totalsRowShown="0">
  <autoFilter ref="A1:H22">
    <filterColumn colId="0"/>
    <filterColumn colId="1"/>
  </autoFilter>
  <tableColumns count="8">
    <tableColumn id="7" name="Empresa"/>
    <tableColumn id="8" name="Proveedor"/>
    <tableColumn id="1" name="T Suministro"/>
    <tableColumn id="2" name="Dias MP"/>
    <tableColumn id="3" name="Dias PT"/>
    <tableColumn id="4" name="Plazo Cobro"/>
    <tableColumn id="5" name="Plazo Proveedor"/>
    <tableColumn id="6" name="Ciclo Efectivo" dataDxfId="0">
      <calculatedColumnFormula>SUM(Tabla_Ciclo_Efectivo[[#This Row],[T Suministro]:[Plazo Cobro]])-Tabla_Ciclo_Efectivo[[#This Row],[Plazo Proveedor]]</calculatedColumnFormula>
    </tableColumn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2" name="Tabla_Consulta_desde_ODBC_MySQL_en_AGROTA" displayName="Tabla_Consulta_desde_ODBC_MySQL_en_AGROTA" ref="A1:A106" tableType="queryTable" totalsRowShown="0">
  <autoFilter ref="A1:A106"/>
  <tableColumns count="1">
    <tableColumn id="1" uniqueName="1" name="NombreGrupo" queryTableFieldId="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Tabla_Consulta_desde_ODBC_MySQL_en_AGROTA_2" displayName="Tabla_Consulta_desde_ODBC_MySQL_en_AGROTA_2" ref="C1:C12" tableType="queryTable" totalsRowShown="0">
  <autoFilter ref="C1:C12"/>
  <tableColumns count="1">
    <tableColumn id="1" uniqueName="1" name="NombreLinea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H22"/>
  <sheetViews>
    <sheetView showGridLines="0" tabSelected="1" zoomScale="85" zoomScaleNormal="85" workbookViewId="0">
      <selection activeCell="B19" sqref="B19"/>
    </sheetView>
  </sheetViews>
  <sheetFormatPr baseColWidth="10" defaultRowHeight="15"/>
  <cols>
    <col min="1" max="1" width="15.7109375" customWidth="1"/>
    <col min="2" max="2" width="34.85546875" bestFit="1" customWidth="1"/>
    <col min="3" max="7" width="15.7109375" customWidth="1"/>
    <col min="8" max="8" width="18.28515625" bestFit="1" customWidth="1"/>
    <col min="9" max="9" width="15.7109375" bestFit="1" customWidth="1"/>
    <col min="10" max="10" width="13.5703125" customWidth="1"/>
    <col min="11" max="11" width="17.5703125" customWidth="1"/>
    <col min="12" max="12" width="12" customWidth="1"/>
  </cols>
  <sheetData>
    <row r="1" spans="1:8">
      <c r="A1" t="s">
        <v>7</v>
      </c>
      <c r="B1" t="s">
        <v>125</v>
      </c>
      <c r="C1" t="s">
        <v>3</v>
      </c>
      <c r="D1" t="s">
        <v>2</v>
      </c>
      <c r="E1" t="s">
        <v>4</v>
      </c>
      <c r="F1" t="s">
        <v>5</v>
      </c>
      <c r="G1" t="s">
        <v>1</v>
      </c>
      <c r="H1" t="s">
        <v>6</v>
      </c>
    </row>
    <row r="2" spans="1:8">
      <c r="A2" s="1" t="s">
        <v>114</v>
      </c>
      <c r="B2" s="1" t="s">
        <v>0</v>
      </c>
      <c r="C2">
        <v>25</v>
      </c>
      <c r="D2">
        <v>0</v>
      </c>
      <c r="E2">
        <v>60</v>
      </c>
      <c r="F2">
        <v>90</v>
      </c>
      <c r="G2" s="1">
        <v>120</v>
      </c>
      <c r="H2" s="3">
        <f>SUM(Tabla_Ciclo_Efectivo[[#This Row],[T Suministro]:[Plazo Cobro]])-Tabla_Ciclo_Efectivo[[#This Row],[Plazo Proveedor]]</f>
        <v>55</v>
      </c>
    </row>
    <row r="3" spans="1:8">
      <c r="A3" s="1" t="s">
        <v>114</v>
      </c>
      <c r="B3" s="1" t="s">
        <v>131</v>
      </c>
      <c r="C3">
        <v>40</v>
      </c>
      <c r="D3">
        <v>0</v>
      </c>
      <c r="E3">
        <v>90</v>
      </c>
      <c r="F3">
        <v>90</v>
      </c>
      <c r="G3" s="1">
        <v>150</v>
      </c>
      <c r="H3" s="3">
        <f>SUM(Tabla_Ciclo_Efectivo[[#This Row],[T Suministro]:[Plazo Cobro]])-Tabla_Ciclo_Efectivo[[#This Row],[Plazo Proveedor]]</f>
        <v>70</v>
      </c>
    </row>
    <row r="4" spans="1:8">
      <c r="A4" t="s">
        <v>114</v>
      </c>
      <c r="B4" t="s">
        <v>126</v>
      </c>
      <c r="C4">
        <v>120</v>
      </c>
      <c r="D4">
        <v>0</v>
      </c>
      <c r="E4">
        <v>90</v>
      </c>
      <c r="F4">
        <v>90</v>
      </c>
      <c r="G4">
        <v>90</v>
      </c>
      <c r="H4" s="2">
        <f>SUM(Tabla_Ciclo_Efectivo[[#This Row],[T Suministro]:[Plazo Cobro]])-Tabla_Ciclo_Efectivo[[#This Row],[Plazo Proveedor]]</f>
        <v>210</v>
      </c>
    </row>
    <row r="5" spans="1:8">
      <c r="A5" t="s">
        <v>114</v>
      </c>
      <c r="B5" t="s">
        <v>127</v>
      </c>
      <c r="C5">
        <v>40</v>
      </c>
      <c r="D5">
        <v>0</v>
      </c>
      <c r="E5">
        <v>120</v>
      </c>
      <c r="F5">
        <v>90</v>
      </c>
      <c r="G5">
        <v>0</v>
      </c>
      <c r="H5" s="2">
        <f>SUM(Tabla_Ciclo_Efectivo[[#This Row],[T Suministro]:[Plazo Cobro]])-Tabla_Ciclo_Efectivo[[#This Row],[Plazo Proveedor]]</f>
        <v>250</v>
      </c>
    </row>
    <row r="6" spans="1:8">
      <c r="A6" t="s">
        <v>114</v>
      </c>
      <c r="B6" t="s">
        <v>128</v>
      </c>
      <c r="C6">
        <v>40</v>
      </c>
      <c r="D6">
        <v>0</v>
      </c>
      <c r="E6">
        <v>120</v>
      </c>
      <c r="F6">
        <v>90</v>
      </c>
      <c r="G6">
        <v>75</v>
      </c>
      <c r="H6" s="2">
        <f>SUM(Tabla_Ciclo_Efectivo[[#This Row],[T Suministro]:[Plazo Cobro]])-Tabla_Ciclo_Efectivo[[#This Row],[Plazo Proveedor]]</f>
        <v>175</v>
      </c>
    </row>
    <row r="7" spans="1:8">
      <c r="A7" t="s">
        <v>114</v>
      </c>
      <c r="B7" t="s">
        <v>129</v>
      </c>
      <c r="C7">
        <v>25</v>
      </c>
      <c r="D7">
        <v>0</v>
      </c>
      <c r="E7">
        <v>60</v>
      </c>
      <c r="F7">
        <v>90</v>
      </c>
      <c r="G7">
        <v>120</v>
      </c>
      <c r="H7" s="2">
        <f>SUM(Tabla_Ciclo_Efectivo[[#This Row],[T Suministro]:[Plazo Cobro]])-Tabla_Ciclo_Efectivo[[#This Row],[Plazo Proveedor]]</f>
        <v>55</v>
      </c>
    </row>
    <row r="8" spans="1:8">
      <c r="A8" t="s">
        <v>130</v>
      </c>
      <c r="B8" t="s">
        <v>132</v>
      </c>
      <c r="C8">
        <v>45</v>
      </c>
      <c r="D8">
        <v>90</v>
      </c>
      <c r="E8">
        <v>30</v>
      </c>
      <c r="F8">
        <v>120</v>
      </c>
      <c r="G8">
        <v>180</v>
      </c>
      <c r="H8" s="2">
        <f>SUM(Tabla_Ciclo_Efectivo[[#This Row],[T Suministro]:[Plazo Cobro]])-Tabla_Ciclo_Efectivo[[#This Row],[Plazo Proveedor]]</f>
        <v>105</v>
      </c>
    </row>
    <row r="9" spans="1:8">
      <c r="A9" t="s">
        <v>130</v>
      </c>
      <c r="B9" t="s">
        <v>144</v>
      </c>
      <c r="C9">
        <v>45</v>
      </c>
      <c r="D9">
        <v>90</v>
      </c>
      <c r="E9">
        <v>30</v>
      </c>
      <c r="F9">
        <v>120</v>
      </c>
      <c r="G9">
        <v>180</v>
      </c>
      <c r="H9" s="2">
        <f>SUM(Tabla_Ciclo_Efectivo[[#This Row],[T Suministro]:[Plazo Cobro]])-Tabla_Ciclo_Efectivo[[#This Row],[Plazo Proveedor]]</f>
        <v>105</v>
      </c>
    </row>
    <row r="10" spans="1:8">
      <c r="A10" t="s">
        <v>130</v>
      </c>
      <c r="B10" t="s">
        <v>133</v>
      </c>
      <c r="C10">
        <v>7</v>
      </c>
      <c r="D10">
        <v>30</v>
      </c>
      <c r="E10">
        <v>15</v>
      </c>
      <c r="F10">
        <v>90</v>
      </c>
      <c r="G10">
        <v>120</v>
      </c>
      <c r="H10" s="2">
        <f>SUM(Tabla_Ciclo_Efectivo[[#This Row],[T Suministro]:[Plazo Cobro]])-Tabla_Ciclo_Efectivo[[#This Row],[Plazo Proveedor]]</f>
        <v>22</v>
      </c>
    </row>
    <row r="11" spans="1:8">
      <c r="A11" t="s">
        <v>130</v>
      </c>
      <c r="B11" t="s">
        <v>134</v>
      </c>
      <c r="C11">
        <v>10</v>
      </c>
      <c r="D11">
        <v>30</v>
      </c>
      <c r="E11">
        <v>15</v>
      </c>
      <c r="F11">
        <v>90</v>
      </c>
      <c r="G11">
        <v>30</v>
      </c>
      <c r="H11" s="2">
        <f>SUM(Tabla_Ciclo_Efectivo[[#This Row],[T Suministro]:[Plazo Cobro]])-Tabla_Ciclo_Efectivo[[#This Row],[Plazo Proveedor]]</f>
        <v>115</v>
      </c>
    </row>
    <row r="12" spans="1:8">
      <c r="A12" t="s">
        <v>130</v>
      </c>
      <c r="B12" t="s">
        <v>135</v>
      </c>
      <c r="C12">
        <v>20</v>
      </c>
      <c r="D12">
        <v>90</v>
      </c>
      <c r="E12">
        <v>30</v>
      </c>
      <c r="F12">
        <v>90</v>
      </c>
      <c r="G12">
        <v>90</v>
      </c>
      <c r="H12" s="2">
        <f>SUM(Tabla_Ciclo_Efectivo[[#This Row],[T Suministro]:[Plazo Cobro]])-Tabla_Ciclo_Efectivo[[#This Row],[Plazo Proveedor]]</f>
        <v>140</v>
      </c>
    </row>
    <row r="13" spans="1:8">
      <c r="A13" t="s">
        <v>130</v>
      </c>
      <c r="B13" t="s">
        <v>136</v>
      </c>
      <c r="C13">
        <v>5</v>
      </c>
      <c r="D13">
        <v>30</v>
      </c>
      <c r="E13">
        <v>30</v>
      </c>
      <c r="F13">
        <v>90</v>
      </c>
      <c r="G13">
        <v>30</v>
      </c>
      <c r="H13" s="2">
        <f>SUM(Tabla_Ciclo_Efectivo[[#This Row],[T Suministro]:[Plazo Cobro]])-Tabla_Ciclo_Efectivo[[#This Row],[Plazo Proveedor]]</f>
        <v>125</v>
      </c>
    </row>
    <row r="14" spans="1:8">
      <c r="A14" t="s">
        <v>130</v>
      </c>
      <c r="B14" t="s">
        <v>137</v>
      </c>
      <c r="C14">
        <v>5</v>
      </c>
      <c r="D14">
        <v>30</v>
      </c>
      <c r="E14">
        <v>30</v>
      </c>
      <c r="F14">
        <v>90</v>
      </c>
      <c r="G14">
        <v>45</v>
      </c>
      <c r="H14" s="2">
        <f>SUM(Tabla_Ciclo_Efectivo[[#This Row],[T Suministro]:[Plazo Cobro]])-Tabla_Ciclo_Efectivo[[#This Row],[Plazo Proveedor]]</f>
        <v>110</v>
      </c>
    </row>
    <row r="15" spans="1:8">
      <c r="A15" t="s">
        <v>130</v>
      </c>
      <c r="B15" t="s">
        <v>145</v>
      </c>
      <c r="C15">
        <v>7</v>
      </c>
      <c r="D15">
        <v>30</v>
      </c>
      <c r="E15">
        <v>15</v>
      </c>
      <c r="F15">
        <v>90</v>
      </c>
      <c r="G15">
        <v>120</v>
      </c>
      <c r="H15" s="2">
        <f>SUM(Tabla_Ciclo_Efectivo[[#This Row],[T Suministro]:[Plazo Cobro]])-Tabla_Ciclo_Efectivo[[#This Row],[Plazo Proveedor]]</f>
        <v>22</v>
      </c>
    </row>
    <row r="16" spans="1:8">
      <c r="A16" t="s">
        <v>130</v>
      </c>
      <c r="B16" t="s">
        <v>138</v>
      </c>
      <c r="C16">
        <v>10</v>
      </c>
      <c r="D16">
        <v>60</v>
      </c>
      <c r="E16">
        <v>30</v>
      </c>
      <c r="F16">
        <v>90</v>
      </c>
      <c r="G16">
        <v>90</v>
      </c>
      <c r="H16" s="2">
        <f>SUM(Tabla_Ciclo_Efectivo[[#This Row],[T Suministro]:[Plazo Cobro]])-Tabla_Ciclo_Efectivo[[#This Row],[Plazo Proveedor]]</f>
        <v>100</v>
      </c>
    </row>
    <row r="17" spans="1:8">
      <c r="A17" t="s">
        <v>130</v>
      </c>
      <c r="B17" t="s">
        <v>139</v>
      </c>
      <c r="C17">
        <v>30</v>
      </c>
      <c r="D17">
        <v>90</v>
      </c>
      <c r="E17">
        <v>10</v>
      </c>
      <c r="F17">
        <v>90</v>
      </c>
      <c r="G17">
        <v>60</v>
      </c>
      <c r="H17" s="2">
        <f>SUM(Tabla_Ciclo_Efectivo[[#This Row],[T Suministro]:[Plazo Cobro]])-Tabla_Ciclo_Efectivo[[#This Row],[Plazo Proveedor]]</f>
        <v>160</v>
      </c>
    </row>
    <row r="18" spans="1:8">
      <c r="A18" t="s">
        <v>130</v>
      </c>
      <c r="B18" t="s">
        <v>146</v>
      </c>
      <c r="C18">
        <v>20</v>
      </c>
      <c r="F18">
        <v>90</v>
      </c>
      <c r="G18">
        <v>0</v>
      </c>
      <c r="H18" s="2">
        <f>SUM(Tabla_Ciclo_Efectivo[[#This Row],[T Suministro]:[Plazo Cobro]])-Tabla_Ciclo_Efectivo[[#This Row],[Plazo Proveedor]]</f>
        <v>110</v>
      </c>
    </row>
    <row r="19" spans="1:8">
      <c r="A19" t="s">
        <v>130</v>
      </c>
      <c r="B19" t="s">
        <v>140</v>
      </c>
      <c r="C19">
        <v>30</v>
      </c>
      <c r="D19">
        <v>120</v>
      </c>
      <c r="E19">
        <v>60</v>
      </c>
      <c r="F19">
        <v>90</v>
      </c>
      <c r="G19">
        <v>30</v>
      </c>
      <c r="H19" s="2">
        <f>SUM(Tabla_Ciclo_Efectivo[[#This Row],[T Suministro]:[Plazo Cobro]])-Tabla_Ciclo_Efectivo[[#This Row],[Plazo Proveedor]]</f>
        <v>270</v>
      </c>
    </row>
    <row r="20" spans="1:8">
      <c r="A20" t="s">
        <v>130</v>
      </c>
      <c r="B20" t="s">
        <v>141</v>
      </c>
      <c r="C20">
        <v>10</v>
      </c>
      <c r="D20">
        <v>60</v>
      </c>
      <c r="E20">
        <v>30</v>
      </c>
      <c r="F20">
        <v>90</v>
      </c>
      <c r="G20">
        <v>30</v>
      </c>
      <c r="H20" s="2">
        <f>SUM(Tabla_Ciclo_Efectivo[[#This Row],[T Suministro]:[Plazo Cobro]])-Tabla_Ciclo_Efectivo[[#This Row],[Plazo Proveedor]]</f>
        <v>160</v>
      </c>
    </row>
    <row r="21" spans="1:8">
      <c r="A21" t="s">
        <v>130</v>
      </c>
      <c r="B21" t="s">
        <v>142</v>
      </c>
      <c r="C21">
        <v>10</v>
      </c>
      <c r="D21">
        <v>60</v>
      </c>
      <c r="E21">
        <v>30</v>
      </c>
      <c r="F21">
        <v>90</v>
      </c>
      <c r="G21">
        <v>0</v>
      </c>
      <c r="H21" s="2">
        <f>SUM(Tabla_Ciclo_Efectivo[[#This Row],[T Suministro]:[Plazo Cobro]])-Tabla_Ciclo_Efectivo[[#This Row],[Plazo Proveedor]]</f>
        <v>190</v>
      </c>
    </row>
    <row r="22" spans="1:8">
      <c r="A22" s="1" t="s">
        <v>130</v>
      </c>
      <c r="B22" t="s">
        <v>143</v>
      </c>
      <c r="C22" s="1">
        <v>10</v>
      </c>
      <c r="D22" s="1">
        <v>60</v>
      </c>
      <c r="E22" s="1">
        <v>30</v>
      </c>
      <c r="F22" s="1">
        <v>90</v>
      </c>
      <c r="G22" s="1">
        <v>30</v>
      </c>
      <c r="H22" s="3">
        <f>SUM(Tabla_Ciclo_Efectivo[[#This Row],[T Suministro]:[Plazo Cobro]])-Tabla_Ciclo_Efectivo[[#This Row],[Plazo Proveedor]]</f>
        <v>160</v>
      </c>
    </row>
  </sheetData>
  <pageMargins left="0.7" right="0.7" top="0.75" bottom="0.75" header="0.3" footer="0.3"/>
  <pageSetup orientation="portrait" r:id="rId1"/>
  <legacyDrawing r:id="rId2"/>
  <controls>
    <control shapeId="1025" r:id="rId3" name="cmdGuardar"/>
    <control shapeId="1026" r:id="rId4" name="cmdCancelar"/>
  </control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C106"/>
  <sheetViews>
    <sheetView showGridLines="0" zoomScale="85" zoomScaleNormal="85" workbookViewId="0">
      <selection activeCell="A11" sqref="A11"/>
    </sheetView>
  </sheetViews>
  <sheetFormatPr baseColWidth="10" defaultRowHeight="15"/>
  <cols>
    <col min="1" max="1" width="59.28515625" bestFit="1" customWidth="1"/>
    <col min="3" max="3" width="15.28515625" customWidth="1"/>
  </cols>
  <sheetData>
    <row r="1" spans="1:3">
      <c r="A1" t="s">
        <v>8</v>
      </c>
      <c r="C1" t="s">
        <v>115</v>
      </c>
    </row>
    <row r="2" spans="1:3">
      <c r="A2" t="s">
        <v>9</v>
      </c>
      <c r="C2" t="s">
        <v>9</v>
      </c>
    </row>
    <row r="3" spans="1:3">
      <c r="A3" t="s">
        <v>10</v>
      </c>
      <c r="C3" t="s">
        <v>116</v>
      </c>
    </row>
    <row r="4" spans="1:3">
      <c r="A4" t="s">
        <v>11</v>
      </c>
      <c r="C4" t="s">
        <v>117</v>
      </c>
    </row>
    <row r="5" spans="1:3">
      <c r="A5" t="s">
        <v>12</v>
      </c>
      <c r="C5" t="s">
        <v>118</v>
      </c>
    </row>
    <row r="6" spans="1:3">
      <c r="A6" t="s">
        <v>13</v>
      </c>
      <c r="C6" t="s">
        <v>119</v>
      </c>
    </row>
    <row r="7" spans="1:3">
      <c r="A7" t="s">
        <v>14</v>
      </c>
      <c r="C7" t="s">
        <v>120</v>
      </c>
    </row>
    <row r="8" spans="1:3">
      <c r="A8" t="s">
        <v>15</v>
      </c>
      <c r="C8" t="s">
        <v>121</v>
      </c>
    </row>
    <row r="9" spans="1:3">
      <c r="A9" t="s">
        <v>16</v>
      </c>
      <c r="C9" t="s">
        <v>122</v>
      </c>
    </row>
    <row r="10" spans="1:3">
      <c r="A10" t="s">
        <v>17</v>
      </c>
      <c r="C10" t="s">
        <v>123</v>
      </c>
    </row>
    <row r="11" spans="1:3">
      <c r="A11" t="s">
        <v>18</v>
      </c>
      <c r="C11" t="s">
        <v>73</v>
      </c>
    </row>
    <row r="12" spans="1:3">
      <c r="A12" t="s">
        <v>19</v>
      </c>
      <c r="C12" t="s">
        <v>124</v>
      </c>
    </row>
    <row r="13" spans="1:3">
      <c r="A13" t="s">
        <v>20</v>
      </c>
    </row>
    <row r="14" spans="1:3">
      <c r="A14" t="s">
        <v>21</v>
      </c>
    </row>
    <row r="15" spans="1:3">
      <c r="A15" t="s">
        <v>22</v>
      </c>
    </row>
    <row r="16" spans="1:3">
      <c r="A16" t="s">
        <v>23</v>
      </c>
    </row>
    <row r="17" spans="1:1">
      <c r="A17" t="s">
        <v>24</v>
      </c>
    </row>
    <row r="18" spans="1:1">
      <c r="A18" t="s">
        <v>25</v>
      </c>
    </row>
    <row r="19" spans="1:1">
      <c r="A19" t="s">
        <v>26</v>
      </c>
    </row>
    <row r="20" spans="1:1">
      <c r="A20" t="s">
        <v>27</v>
      </c>
    </row>
    <row r="21" spans="1:1">
      <c r="A21" t="s">
        <v>28</v>
      </c>
    </row>
    <row r="22" spans="1:1">
      <c r="A22" t="s">
        <v>29</v>
      </c>
    </row>
    <row r="23" spans="1:1">
      <c r="A23" t="s">
        <v>30</v>
      </c>
    </row>
    <row r="24" spans="1:1">
      <c r="A24" t="s">
        <v>31</v>
      </c>
    </row>
    <row r="25" spans="1:1">
      <c r="A25" t="s">
        <v>32</v>
      </c>
    </row>
    <row r="26" spans="1:1">
      <c r="A26" t="s">
        <v>33</v>
      </c>
    </row>
    <row r="27" spans="1:1">
      <c r="A27" t="s">
        <v>34</v>
      </c>
    </row>
    <row r="28" spans="1:1">
      <c r="A28" t="s">
        <v>35</v>
      </c>
    </row>
    <row r="29" spans="1:1">
      <c r="A29" t="s">
        <v>36</v>
      </c>
    </row>
    <row r="30" spans="1:1">
      <c r="A30" t="s">
        <v>37</v>
      </c>
    </row>
    <row r="31" spans="1:1">
      <c r="A31" t="s">
        <v>38</v>
      </c>
    </row>
    <row r="32" spans="1:1">
      <c r="A32" t="s">
        <v>39</v>
      </c>
    </row>
    <row r="33" spans="1:1">
      <c r="A33" t="s">
        <v>40</v>
      </c>
    </row>
    <row r="34" spans="1:1">
      <c r="A34" t="s">
        <v>41</v>
      </c>
    </row>
    <row r="35" spans="1:1">
      <c r="A35" t="s">
        <v>42</v>
      </c>
    </row>
    <row r="36" spans="1:1">
      <c r="A36" t="s">
        <v>43</v>
      </c>
    </row>
    <row r="37" spans="1:1">
      <c r="A37" t="s">
        <v>44</v>
      </c>
    </row>
    <row r="38" spans="1:1">
      <c r="A38" t="s">
        <v>45</v>
      </c>
    </row>
    <row r="39" spans="1:1">
      <c r="A39" t="s">
        <v>46</v>
      </c>
    </row>
    <row r="40" spans="1:1">
      <c r="A40" t="s">
        <v>47</v>
      </c>
    </row>
    <row r="41" spans="1:1">
      <c r="A41" t="s">
        <v>48</v>
      </c>
    </row>
    <row r="42" spans="1:1">
      <c r="A42" t="s">
        <v>49</v>
      </c>
    </row>
    <row r="43" spans="1:1">
      <c r="A43" t="s">
        <v>50</v>
      </c>
    </row>
    <row r="44" spans="1:1">
      <c r="A44" t="s">
        <v>51</v>
      </c>
    </row>
    <row r="45" spans="1:1">
      <c r="A45" t="s">
        <v>52</v>
      </c>
    </row>
    <row r="46" spans="1:1">
      <c r="A46" t="s">
        <v>53</v>
      </c>
    </row>
    <row r="47" spans="1:1">
      <c r="A47" t="s">
        <v>54</v>
      </c>
    </row>
    <row r="48" spans="1:1">
      <c r="A48" t="s">
        <v>55</v>
      </c>
    </row>
    <row r="49" spans="1:1">
      <c r="A49" t="s">
        <v>56</v>
      </c>
    </row>
    <row r="50" spans="1:1">
      <c r="A50" t="s">
        <v>57</v>
      </c>
    </row>
    <row r="51" spans="1:1">
      <c r="A51" t="s">
        <v>58</v>
      </c>
    </row>
    <row r="52" spans="1:1">
      <c r="A52" t="s">
        <v>59</v>
      </c>
    </row>
    <row r="53" spans="1:1">
      <c r="A53" t="s">
        <v>60</v>
      </c>
    </row>
    <row r="54" spans="1:1">
      <c r="A54" t="s">
        <v>61</v>
      </c>
    </row>
    <row r="55" spans="1:1">
      <c r="A55" t="s">
        <v>62</v>
      </c>
    </row>
    <row r="56" spans="1:1">
      <c r="A56" t="s">
        <v>63</v>
      </c>
    </row>
    <row r="57" spans="1:1">
      <c r="A57" t="s">
        <v>64</v>
      </c>
    </row>
    <row r="58" spans="1:1">
      <c r="A58" t="s">
        <v>65</v>
      </c>
    </row>
    <row r="59" spans="1:1">
      <c r="A59" t="s">
        <v>66</v>
      </c>
    </row>
    <row r="60" spans="1:1">
      <c r="A60" t="s">
        <v>67</v>
      </c>
    </row>
    <row r="61" spans="1:1">
      <c r="A61" t="s">
        <v>68</v>
      </c>
    </row>
    <row r="62" spans="1:1">
      <c r="A62" t="s">
        <v>69</v>
      </c>
    </row>
    <row r="63" spans="1:1">
      <c r="A63" t="s">
        <v>70</v>
      </c>
    </row>
    <row r="64" spans="1:1">
      <c r="A64" t="s">
        <v>71</v>
      </c>
    </row>
    <row r="65" spans="1:1">
      <c r="A65" t="s">
        <v>72</v>
      </c>
    </row>
    <row r="66" spans="1:1">
      <c r="A66" t="s">
        <v>73</v>
      </c>
    </row>
    <row r="67" spans="1:1">
      <c r="A67" t="s">
        <v>74</v>
      </c>
    </row>
    <row r="68" spans="1:1">
      <c r="A68" t="s">
        <v>75</v>
      </c>
    </row>
    <row r="69" spans="1:1">
      <c r="A69" t="s">
        <v>76</v>
      </c>
    </row>
    <row r="70" spans="1:1">
      <c r="A70" t="s">
        <v>77</v>
      </c>
    </row>
    <row r="71" spans="1:1">
      <c r="A71" t="s">
        <v>78</v>
      </c>
    </row>
    <row r="72" spans="1:1">
      <c r="A72" t="s">
        <v>79</v>
      </c>
    </row>
    <row r="73" spans="1:1">
      <c r="A73" t="s">
        <v>80</v>
      </c>
    </row>
    <row r="74" spans="1:1">
      <c r="A74" t="s">
        <v>81</v>
      </c>
    </row>
    <row r="75" spans="1:1">
      <c r="A75" t="s">
        <v>82</v>
      </c>
    </row>
    <row r="76" spans="1:1">
      <c r="A76" t="s">
        <v>83</v>
      </c>
    </row>
    <row r="77" spans="1:1">
      <c r="A77" t="s">
        <v>84</v>
      </c>
    </row>
    <row r="78" spans="1:1">
      <c r="A78" t="s">
        <v>85</v>
      </c>
    </row>
    <row r="79" spans="1:1">
      <c r="A79" t="s">
        <v>86</v>
      </c>
    </row>
    <row r="80" spans="1:1">
      <c r="A80" t="s">
        <v>87</v>
      </c>
    </row>
    <row r="81" spans="1:1">
      <c r="A81" t="s">
        <v>88</v>
      </c>
    </row>
    <row r="82" spans="1:1">
      <c r="A82" t="s">
        <v>89</v>
      </c>
    </row>
    <row r="83" spans="1:1">
      <c r="A83" t="s">
        <v>90</v>
      </c>
    </row>
    <row r="84" spans="1:1">
      <c r="A84" t="s">
        <v>91</v>
      </c>
    </row>
    <row r="85" spans="1:1">
      <c r="A85" t="s">
        <v>92</v>
      </c>
    </row>
    <row r="86" spans="1:1">
      <c r="A86" t="s">
        <v>93</v>
      </c>
    </row>
    <row r="87" spans="1:1">
      <c r="A87" t="s">
        <v>94</v>
      </c>
    </row>
    <row r="88" spans="1:1">
      <c r="A88" t="s">
        <v>95</v>
      </c>
    </row>
    <row r="89" spans="1:1">
      <c r="A89" t="s">
        <v>96</v>
      </c>
    </row>
    <row r="90" spans="1:1">
      <c r="A90" t="s">
        <v>97</v>
      </c>
    </row>
    <row r="91" spans="1:1">
      <c r="A91" t="s">
        <v>98</v>
      </c>
    </row>
    <row r="92" spans="1:1">
      <c r="A92" t="s">
        <v>99</v>
      </c>
    </row>
    <row r="93" spans="1:1">
      <c r="A93" t="s">
        <v>100</v>
      </c>
    </row>
    <row r="94" spans="1:1">
      <c r="A94" t="s">
        <v>101</v>
      </c>
    </row>
    <row r="95" spans="1:1">
      <c r="A95" t="s">
        <v>102</v>
      </c>
    </row>
    <row r="96" spans="1:1">
      <c r="A96" t="s">
        <v>103</v>
      </c>
    </row>
    <row r="97" spans="1:1">
      <c r="A97" t="s">
        <v>104</v>
      </c>
    </row>
    <row r="98" spans="1:1">
      <c r="A98" t="s">
        <v>105</v>
      </c>
    </row>
    <row r="99" spans="1:1">
      <c r="A99" t="s">
        <v>106</v>
      </c>
    </row>
    <row r="100" spans="1:1">
      <c r="A100" t="s">
        <v>107</v>
      </c>
    </row>
    <row r="101" spans="1:1">
      <c r="A101" t="s">
        <v>108</v>
      </c>
    </row>
    <row r="102" spans="1:1">
      <c r="A102" t="s">
        <v>109</v>
      </c>
    </row>
    <row r="103" spans="1:1">
      <c r="A103" t="s">
        <v>110</v>
      </c>
    </row>
    <row r="104" spans="1:1">
      <c r="A104" t="s">
        <v>111</v>
      </c>
    </row>
    <row r="105" spans="1:1">
      <c r="A105" t="s">
        <v>112</v>
      </c>
    </row>
    <row r="106" spans="1:1">
      <c r="A106" t="s">
        <v>113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EFECTIVO</vt:lpstr>
      <vt:lpstr>DATOS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danieltoral</dc:creator>
  <cp:lastModifiedBy>Usuario</cp:lastModifiedBy>
  <dcterms:created xsi:type="dcterms:W3CDTF">2011-05-12T22:59:09Z</dcterms:created>
  <dcterms:modified xsi:type="dcterms:W3CDTF">2011-07-13T20:34:50Z</dcterms:modified>
</cp:coreProperties>
</file>