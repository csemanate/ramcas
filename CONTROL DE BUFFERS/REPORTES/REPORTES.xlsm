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tables/table23.xml" ContentType="application/vnd.openxmlformats-officedocument.spreadsheetml.table+xml"/>
  <Override PartName="/xl/comments1.xml" ContentType="application/vnd.openxmlformats-officedocument.spreadsheetml.comments+xml"/>
  <Override PartName="/xl/tables/table24.xml" ContentType="application/vnd.openxmlformats-officedocument.spreadsheetml.table+xml"/>
  <Override PartName="/xl/queryTables/queryTable2.xml" ContentType="application/vnd.openxmlformats-officedocument.spreadsheetml.queryTable+xml"/>
  <Override PartName="/xl/tables/table25.xml" ContentType="application/vnd.openxmlformats-officedocument.spreadsheetml.table+xml"/>
  <Override PartName="/xl/queryTables/queryTable3.xml" ContentType="application/vnd.openxmlformats-officedocument.spreadsheetml.queryTable+xml"/>
  <Override PartName="/xl/tables/table26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5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27.xml" ContentType="application/vnd.openxmlformats-officedocument.spreadsheetml.table+xml"/>
  <Override PartName="/xl/comments2.xml" ContentType="application/vnd.openxmlformats-officedocument.spreadsheetml.comment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charts/chart1.xml" ContentType="application/vnd.openxmlformats-officedocument.drawingml.chart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 RAMCAS\RAM CAS\MEJORA CONTINUA\CONTROL DE BUFFERS\REPORTES\"/>
    </mc:Choice>
  </mc:AlternateContent>
  <bookViews>
    <workbookView xWindow="240" yWindow="0" windowWidth="11640" windowHeight="5370"/>
  </bookViews>
  <sheets>
    <sheet name="SELECCION" sheetId="11" r:id="rId1"/>
    <sheet name="Aux" sheetId="24" state="veryHidden" r:id="rId2"/>
    <sheet name="Combos" sheetId="23" state="veryHidden" r:id="rId3"/>
    <sheet name="SELECCION1" sheetId="14" state="hidden" r:id="rId4"/>
    <sheet name="TESPECIAL" sheetId="15" state="hidden" r:id="rId5"/>
    <sheet name="CONSOLIDADO" sheetId="3" state="hidden" r:id="rId6"/>
    <sheet name="DECISION_COMPRA" sheetId="18" state="hidden" r:id="rId7"/>
    <sheet name="TIPOCOMPRA" sheetId="8" state="hidden" r:id="rId8"/>
    <sheet name="RELACION_BUFFERS" sheetId="20" state="hidden" r:id="rId9"/>
    <sheet name="BUFFER_POR_COLOR" sheetId="19" state="hidden" r:id="rId10"/>
    <sheet name="PROVEEDORES" sheetId="21" state="hidden" r:id="rId11"/>
    <sheet name="EMPRESAS" sheetId="22" state="hidden" r:id="rId12"/>
  </sheets>
  <functionGroups builtInGroupCount="18"/>
  <externalReferences>
    <externalReference r:id="rId13"/>
    <externalReference r:id="rId14"/>
  </externalReferences>
  <definedNames>
    <definedName name="_cmdCancelar_Range" localSheetId="0" hidden="1">{26.25,328.5,TRUE,3,325.5,57}</definedName>
    <definedName name="_cmdFiltrar_Range" localSheetId="0" hidden="1">{26.25,328.5,TRUE,3,296.25,57}</definedName>
    <definedName name="_xlnm._FilterDatabase" localSheetId="5" hidden="1">CONSOLIDADO!$A$2:$CE$2</definedName>
    <definedName name="_lstBodega_Range" localSheetId="0" hidden="1">{231,1233,TRUE,3,39.75,300}</definedName>
    <definedName name="_lstProveedor_Range" localSheetId="0" hidden="1">{231,1544.25,TRUE,3,38.25,300}</definedName>
    <definedName name="_optEscasez_Range" localSheetId="0" hidden="1">{20.25,117,TRUE,2,315,163.5}</definedName>
    <definedName name="_optNoEscasez_Range" localSheetId="0" hidden="1">{20.25,10.5,TRUE,2,315,126.75}</definedName>
    <definedName name="BODEGA">#REF!</definedName>
    <definedName name="bodega_seleccionada">Combos!$G$2</definedName>
    <definedName name="BODEGABASE">DECISION_COMPRA!$B$3</definedName>
    <definedName name="BODEGABASE1">RELACION_BUFFERS!$B$3</definedName>
    <definedName name="BODEGATRANSFER">SELECCION!$B$3</definedName>
    <definedName name="calendarioe_seleccionada">Combos!$BS$2</definedName>
    <definedName name="categoria_seleccionada">Combos!$AQ$2</definedName>
    <definedName name="chk_calendarioe">Combos!$BZ$17</definedName>
    <definedName name="chk_categoria">Combos!$BZ$12</definedName>
    <definedName name="chk_clasificacion">Combos!$BZ$4</definedName>
    <definedName name="chk_color">Combos!$BZ$16</definedName>
    <definedName name="chk_estatus">Combos!$BZ$3</definedName>
    <definedName name="chk_familia">Combos!$BZ$10</definedName>
    <definedName name="chk_grupo">Combos!$BZ$6</definedName>
    <definedName name="chk_hojacb">Combos!$BZ$2</definedName>
    <definedName name="chk_linea">Combos!$BZ$7</definedName>
    <definedName name="chk_marca">Combos!$BZ$14</definedName>
    <definedName name="chk_modelo">Combos!$BZ$9</definedName>
    <definedName name="chk_perfil">Combos!$BZ$15</definedName>
    <definedName name="chk_responsable">Combos!$BZ$5</definedName>
    <definedName name="chk_subfamilia">Combos!$BZ$11</definedName>
    <definedName name="chk_sublinea">Combos!$BZ$8</definedName>
    <definedName name="chk_tipo">Combos!$BZ$13</definedName>
    <definedName name="clasificacion_seleccionada">Combos!$BC$2</definedName>
    <definedName name="color_seleccionada">Combos!$BO$2</definedName>
    <definedName name="Consulta_desde_Buffers_Agroinsumos" localSheetId="7" hidden="1">TIPOCOMPRA!#REF!</definedName>
    <definedName name="Consulta_desde_Buffers_Agrota" localSheetId="7" hidden="1">TIPOCOMPRA!$A$1:$C$2293</definedName>
    <definedName name="Consulta_desde_BUFFERS_AGROTA_1" localSheetId="7" hidden="1">TIPOCOMPRA!#REF!</definedName>
    <definedName name="Consulta_desde_BUFFERS_SUKAMPO" localSheetId="7" hidden="1">TIPOCOMPRA!$I$1:$K$2293</definedName>
    <definedName name="Consulta_desde_HHH" localSheetId="7" hidden="1">TIPOCOMPRA!$E$1:$G$445</definedName>
    <definedName name="Consulta_desde_HHH_1" localSheetId="7" hidden="1">TIPOCOMPRA!#REF!</definedName>
    <definedName name="Consulta_desde_jjdk" localSheetId="0" hidden="1">SELECCION!$I$1:$I$2</definedName>
    <definedName name="Consulta_desde_jjjj" localSheetId="0" hidden="1">SELECCION!#REF!</definedName>
    <definedName name="DESTINO">SELECCION1!$C$5</definedName>
    <definedName name="empresa_seleccionada">Combos!$C$2</definedName>
    <definedName name="estatus_seleccionada">Combos!$AY$2</definedName>
    <definedName name="familia_seleccionada">Combos!$AI$2</definedName>
    <definedName name="grupo_seleccionada">Combos!$S$2</definedName>
    <definedName name="hojacb_seleccionada">Combos!$BW$2</definedName>
    <definedName name="INICIO">[1]PEDIDOS!$A$8</definedName>
    <definedName name="INICIOTRANSFER">[2]!TRANSFERENCIAFILTRADA[[#Headers],[Empresa]]</definedName>
    <definedName name="linea_seleccionada">Combos!$W$2</definedName>
    <definedName name="listaEmpresas">tbl_empresa[Nombre]</definedName>
    <definedName name="marca_seleccionada">Combos!$O$2</definedName>
    <definedName name="modelo_seleccionada">Combos!$AE$2</definedName>
    <definedName name="num_bodega_seleccionada">Combos!$G$1</definedName>
    <definedName name="num_calendarioe_seleccionada">Combos!$BS$1</definedName>
    <definedName name="num_categoria_seleccionada">Combos!$AQ$1</definedName>
    <definedName name="num_clasificacion_seleccionada">Combos!$BC$1</definedName>
    <definedName name="num_color_seleccionada">Combos!$BO$1</definedName>
    <definedName name="num_empresa_seleccionada">Combos!$C$1</definedName>
    <definedName name="num_estatus_seleccionada">Combos!$AY$1</definedName>
    <definedName name="num_familia_seleccionada">Combos!$AI$1</definedName>
    <definedName name="num_grupo_seleccionada">Combos!$S$1</definedName>
    <definedName name="num_hojacb_seleccionada">Combos!$BW$1</definedName>
    <definedName name="num_linea_seleccionada">Combos!$W$1</definedName>
    <definedName name="num_marca_seleccionada">Combos!$O$1</definedName>
    <definedName name="num_modelo_seleccionada">Combos!$AE$1</definedName>
    <definedName name="num_perfil_seleccionada">Combos!$BK$1</definedName>
    <definedName name="num_proveedor_seleccionada">Combos!$K$1</definedName>
    <definedName name="num_responsable_seleccionada">Combos!$BG$1</definedName>
    <definedName name="num_subfamilia_seleccionada">Combos!$AM$1</definedName>
    <definedName name="num_sublinea_seleccionada">Combos!$AA$1</definedName>
    <definedName name="num_tipo_seleccionada">Combos!$AU$1</definedName>
    <definedName name="ORIGEN">SELECCION1!$C$10</definedName>
    <definedName name="perfil_seleccionada">Combos!$BK$2</definedName>
    <definedName name="PROVEEDOR">#REF!</definedName>
    <definedName name="proveedor_seleccionada">Combos!$K$2</definedName>
    <definedName name="PROVEEDORTRANSFER">SELECCION!$B$4</definedName>
    <definedName name="RANGOPEDIDOS">OFFSET(CONSOLIDADO!$A$1,0,0,COUNTA(CONSOLIDADO!$A:$A),COUNTA(CONSOLIDADO!$1:$1))</definedName>
    <definedName name="RELACION">SELECCION!$D$3</definedName>
    <definedName name="responsable_seleccionada">Combos!$BG$2</definedName>
    <definedName name="Ser">Aux!$A$1</definedName>
    <definedName name="subfamilia_seleccionada">Combos!$AM$2</definedName>
    <definedName name="sublinea_seleccionada">Combos!$AA$2</definedName>
    <definedName name="tipo_seleccionada">Combos!$AU$2</definedName>
    <definedName name="VERIFICA_DESTINO">SELECCION1!$C$4</definedName>
    <definedName name="VERIFICA_ORIGEN">SELECCION1!$C$9</definedName>
    <definedName name="visualiza_requerim">Combos!$CB$2</definedName>
    <definedName name="YACALCULADO">SELECCION!$D$1</definedName>
  </definedNames>
  <calcPr calcId="152511"/>
  <pivotCaches>
    <pivotCache cacheId="0" r:id="rId15"/>
    <pivotCache cacheId="1" r:id="rId16"/>
  </pivotCaches>
</workbook>
</file>

<file path=xl/calcChain.xml><?xml version="1.0" encoding="utf-8"?>
<calcChain xmlns="http://schemas.openxmlformats.org/spreadsheetml/2006/main">
  <c r="BW2" i="23" l="1"/>
  <c r="BS2" i="23"/>
  <c r="BO2" i="23"/>
  <c r="BK2" i="23"/>
  <c r="BG2" i="23" l="1"/>
  <c r="BC2" i="23"/>
  <c r="AY2" i="23"/>
  <c r="AU2" i="23"/>
  <c r="AQ2" i="23"/>
  <c r="AM2" i="23"/>
  <c r="AI2" i="23"/>
  <c r="AE2" i="23"/>
  <c r="AA2" i="23"/>
  <c r="W2" i="23"/>
  <c r="S2" i="23"/>
  <c r="O2" i="23"/>
  <c r="K2" i="23" l="1"/>
  <c r="G2" i="23"/>
  <c r="C2" i="23"/>
  <c r="H6" i="18" l="1" a="1"/>
  <c r="H6" i="18" s="1"/>
  <c r="H7" i="18" a="1"/>
  <c r="H7" i="18" s="1"/>
  <c r="H8" i="18" a="1"/>
  <c r="H8" i="18" s="1"/>
  <c r="H9" i="18" a="1"/>
  <c r="H9" i="18" s="1"/>
  <c r="H10" i="18" a="1"/>
  <c r="H10" i="18" s="1"/>
  <c r="H11" i="18" a="1"/>
  <c r="H11" i="18" s="1"/>
  <c r="H12" i="18" a="1"/>
  <c r="H12" i="18" s="1"/>
  <c r="H13" i="18" a="1"/>
  <c r="H13" i="18" s="1"/>
  <c r="H14" i="18" a="1"/>
  <c r="H14" i="18" s="1"/>
  <c r="H15" i="18" a="1"/>
  <c r="H15" i="18" s="1"/>
  <c r="H16" i="18" a="1"/>
  <c r="H16" i="18" s="1"/>
  <c r="H17" i="18" a="1"/>
  <c r="H17" i="18" s="1"/>
  <c r="I6" i="18" a="1"/>
  <c r="I6" i="18" s="1"/>
  <c r="I7" i="18" a="1"/>
  <c r="I7" i="18" s="1"/>
  <c r="I8" i="18" a="1"/>
  <c r="I8" i="18" s="1"/>
  <c r="I9" i="18" a="1"/>
  <c r="I9" i="18" s="1"/>
  <c r="I10" i="18" a="1"/>
  <c r="I10" i="18" s="1"/>
  <c r="I11" i="18" a="1"/>
  <c r="I11" i="18" s="1"/>
  <c r="I12" i="18" a="1"/>
  <c r="I12" i="18" s="1"/>
  <c r="I13" i="18" a="1"/>
  <c r="I13" i="18" s="1"/>
  <c r="I14" i="18" a="1"/>
  <c r="I14" i="18" s="1"/>
  <c r="I15" i="18" a="1"/>
  <c r="I15" i="18" s="1"/>
  <c r="I16" i="18" a="1"/>
  <c r="I16" i="18" s="1"/>
  <c r="I17" i="18" a="1"/>
  <c r="I17" i="18" s="1"/>
  <c r="J14" i="18" l="1"/>
  <c r="J8" i="18"/>
  <c r="J16" i="18"/>
  <c r="J13" i="18"/>
  <c r="J17" i="18"/>
  <c r="J9" i="18"/>
  <c r="J12" i="18"/>
  <c r="J15" i="18"/>
  <c r="J7" i="18"/>
  <c r="J10" i="18"/>
  <c r="J6" i="18"/>
  <c r="J11" i="18"/>
  <c r="D3" i="11" a="1"/>
  <c r="D3" i="11" s="1"/>
  <c r="C5" i="14"/>
  <c r="C10" i="14"/>
  <c r="E2" i="15" l="1"/>
  <c r="G2" i="15"/>
  <c r="I2" i="15"/>
  <c r="L2" i="15"/>
  <c r="N2" i="15"/>
  <c r="F2" i="15"/>
  <c r="H2" i="15"/>
  <c r="J2" i="15"/>
  <c r="M2" i="15"/>
  <c r="C4" i="14"/>
  <c r="C9" i="14"/>
</calcChain>
</file>

<file path=xl/comments1.xml><?xml version="1.0" encoding="utf-8"?>
<comments xmlns="http://schemas.openxmlformats.org/spreadsheetml/2006/main">
  <authors>
    <author>CAS</author>
  </authors>
  <commentList>
    <comment ref="E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Buffer del item en la Bodega Central.</t>
        </r>
      </text>
    </comment>
    <comment ref="F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Inventario Físico del ítem en la Bodega Central.</t>
        </r>
      </text>
    </comment>
    <comment ref="G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Cantidad que se requiere adquirir del item en la Bodega Central.</t>
        </r>
      </text>
    </comment>
    <comment ref="H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Suma de los buffers de las sucursales que atiende la Bodega Central.</t>
        </r>
      </text>
    </comment>
    <comment ref="I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Suma de los Inventarios Físicos de las sucursales que atiende la Bodega Central.</t>
        </r>
      </text>
    </comment>
    <comment ref="J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Cantidad de inventario de las sucursales mayor que los buffers de sucursales. Es inventario que ya está en el sistema, y deberíamos considerar comprar menos para la Bodega Central, ya que ese inventario ya se encuentra en la tubería.</t>
        </r>
      </text>
    </comment>
  </commentList>
</comments>
</file>

<file path=xl/comments2.xml><?xml version="1.0" encoding="utf-8"?>
<comments xmlns="http://schemas.openxmlformats.org/spreadsheetml/2006/main">
  <authors>
    <author>CAS</author>
  </authors>
  <commentList>
    <comment ref="E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Buffer del item en la Bodega Central.</t>
        </r>
      </text>
    </comment>
    <comment ref="F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Inventario Físico del ítem en la Bodega Central.</t>
        </r>
      </text>
    </comment>
    <comment ref="G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Suma de los Buffers del ítem en las sucursales que atiende la Bodega Central.</t>
        </r>
      </text>
    </comment>
    <comment ref="H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Suma de los Inventarios físicos del ítem en las sucursales que atiende la Bodega Central.</t>
        </r>
      </text>
    </comment>
    <comment ref="I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División entre Buffer Central para Buffers Sucursales que representa la relación de tamaño entre los dos. A mayor número, más grande es el Buffer de la Central con respecto al de las sucursales.</t>
        </r>
      </text>
    </comment>
    <comment ref="J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División entre Inv Fis Central para Inv Fis Sucursales que representa la relación de tamaño entre los dos. A mayor número, más grande es el Inv Fis de la Central con respecto al de las sucursales.</t>
        </r>
      </text>
    </comment>
  </commentList>
</comments>
</file>

<file path=xl/connections.xml><?xml version="1.0" encoding="utf-8"?>
<connections xmlns="http://schemas.openxmlformats.org/spreadsheetml/2006/main">
  <connection id="1" name="Consulta desde Buffers Agrota" type="1" refreshedVersion="3" saveData="1">
    <dbPr connection="DBQ=C:\RAM CAS\MEJORA CONTINUA\INVENTARIOS\PATRÓN DE ITEMS\AGROTA\BUFFERS AGROTA.xlsm;DefaultDir=C:\RAM CAS\MEJORA CONTINUA\INVENTARIOS\PATRÓN DE ITEMS\AGROTA;Driver={Microsoft Excel Driver (*.xls, *.xlsx, *.xlsm, *.xlsb)};DriverId=1046;FIL=excel 12.0;MaxBufferSize=2048;MaxScanRows=8;PageTimeout=5;ReadOnly=1;SafeTransactions=0;Threads=3;UserCommitSync=Yes;" command="SELECT `'FALTANTES O SOBRANTES$'`.`CODIGO `, `'FALTANTES O SOBRANTES$'`.COMPRA, round(`'FALTANTES O SOBRANTES$'`.`PEDIDOS PROMEDIO` , 2) AS [PED PROM]_x000d__x000a_FROM `'FALTANTES O SOBRANTES$'` `'FALTANTES O SOBRANTES$'`"/>
  </connection>
  <connection id="2" name="Consulta desde BUFFERS SUKAMPO" type="1" refreshedVersion="3" background="1" saveData="1">
    <dbPr connection="DBQ=C:\RAM CAS\MEJORA CONTINUA\INVENTARIOS\PATRÓN DE ITEMS\SUKAMPO\BUFFERS SUKAMPO.xlsm;DefaultDir=C:\RAM CAS\MEJORA CONTINUA\INVENTARIOS\PATRÓN DE ITEMS\SUKAMPO;Driver={Microsoft Excel Driver (*.xls, *.xlsx, *.xlsm, *.xlsb)};DriverId=1046;FIL=excel 12.0;MaxBufferSize=2048;MaxScanRows=8;PageTimeout=5;ReadOnly=1;SafeTransactions=0;Threads=3;UID=admin;UserCommitSync=Yes;" command="SELECT `'FALTANTES O SOBRANTES$'`.`CODIGO `, `'FALTANTES O SOBRANTES$'`.COMPRA, `'FALTANTES O SOBRANTES$'`.`PEDIDOS PROMEDIO`_x000d__x000a_FROM `'FALTANTES O SOBRANTES$'` `'FALTANTES O SOBRANTES$'`_x000d__x000a_ORDER BY `'FALTANTES O SOBRANTES$'`.`CODIGO `"/>
  </connection>
  <connection id="3" name="Consulta desde HHH" type="1" refreshedVersion="3" background="1" saveData="1">
    <dbPr connection="DBQ=C:\RAM CAS\MEJORA CONTINUA\INVENTARIOS\PATRÓN DE ITEMS\AGROINSUMOS\BUFFERS AGROINSUMOS.xlsm;DefaultDir=C:\RAM CAS\MEJORA CONTINUA\INVENTARIOS\PATRÓN DE ITEMS\AGROINSUMOS;Driver={Microsoft Excel Driver (*.xls, *.xlsx, *.xlsm, *.xlsb)};DriverId=1046;FIL=excel 12.0;MaxBufferSize=2048;MaxScanRows=8;PageTimeout=5;ReadOnly=1;SafeTransactions=0;Threads=3;UID=admin;UserCommitSync=Yes;" command="SELECT `'FALTANTES Y SOBRANTES$'`.`CODIGO `, `'FALTANTES Y SOBRANTES$'`.COMPRA, ROUND(`'FALTANTES Y SOBRANTES$'`.`PEDIDO PROMEDIO`,2) AS [PED PROM]_x000d__x000a_FROM `'FALTANTES Y SOBRANTES$'` `'FALTANTES Y SOBRANTES$'`"/>
  </connection>
  <connection id="4" name="Consulta desde jjdk" type="1" refreshedVersion="5" saveData="1">
    <dbPr connection="DBQ=C:\RAM CAS\MEJORA CONTINUA\CONTROL DE BUFFERS\REPORTES\CALCULO.xlsm;DefaultDir=C:\RAM CAS\MEJORA CONTINUA\CONTROL DE BUFFERS\REPORTES;Driver={Microsoft Excel Driver (*.xls, *.xlsx, *.xlsm, *.xlsb)};DriverId=1046;FIL=excel 12.0;MaxBufferSize=2048;MaxScanRows=8;PageTimeout=5;ReadOnly=1;SafeTransactions=0;Threads=3;UID=admin;UserCommitSync=Yes;" command="SELECT DISTINCT `FILTRADO$`.TipoCompra_x000d__x000a_FROM `FILTRADO$` `FILTRADO$`_x000d__x000a_WHERE (`FILTRADO$`.TipoCompra Is Not Null)"/>
  </connection>
</connections>
</file>

<file path=xl/sharedStrings.xml><?xml version="1.0" encoding="utf-8"?>
<sst xmlns="http://schemas.openxmlformats.org/spreadsheetml/2006/main" count="13226" uniqueCount="3483">
  <si>
    <t>Bodega</t>
  </si>
  <si>
    <t>Proveedor</t>
  </si>
  <si>
    <t>Empresa</t>
  </si>
  <si>
    <t>Comprom</t>
  </si>
  <si>
    <t>Backorders</t>
  </si>
  <si>
    <t>Codigo</t>
  </si>
  <si>
    <t>Descripcion</t>
  </si>
  <si>
    <t>Grupo</t>
  </si>
  <si>
    <t>Linea</t>
  </si>
  <si>
    <t>Buff Act</t>
  </si>
  <si>
    <t>Inv Fís Act</t>
  </si>
  <si>
    <t>Estado Buffer</t>
  </si>
  <si>
    <t>Tráns Act</t>
  </si>
  <si>
    <t>Inv Proy Act</t>
  </si>
  <si>
    <t>Rentabilid</t>
  </si>
  <si>
    <t>SH-01014-06100</t>
  </si>
  <si>
    <t>JF-020</t>
  </si>
  <si>
    <t>JF-283</t>
  </si>
  <si>
    <t>JF-008</t>
  </si>
  <si>
    <t>JF-014</t>
  </si>
  <si>
    <t>JF-011</t>
  </si>
  <si>
    <t>JF-012</t>
  </si>
  <si>
    <t>JF-021</t>
  </si>
  <si>
    <t>JF-022</t>
  </si>
  <si>
    <t>JF-017</t>
  </si>
  <si>
    <t>JF-034</t>
  </si>
  <si>
    <t>JF-018</t>
  </si>
  <si>
    <t>JF-019</t>
  </si>
  <si>
    <t>JF-277</t>
  </si>
  <si>
    <t>JF-025</t>
  </si>
  <si>
    <t>JF-029</t>
  </si>
  <si>
    <t>MP-006</t>
  </si>
  <si>
    <t>MP-002</t>
  </si>
  <si>
    <t>MP-004</t>
  </si>
  <si>
    <t>MP-262</t>
  </si>
  <si>
    <t>MP-003</t>
  </si>
  <si>
    <t>MP-001</t>
  </si>
  <si>
    <t>MP-011</t>
  </si>
  <si>
    <t>G-005</t>
  </si>
  <si>
    <t>MP-022</t>
  </si>
  <si>
    <t>G-003</t>
  </si>
  <si>
    <t>G-006</t>
  </si>
  <si>
    <t>P-006</t>
  </si>
  <si>
    <t>P-007</t>
  </si>
  <si>
    <t>P-005</t>
  </si>
  <si>
    <t>P-004</t>
  </si>
  <si>
    <t>P-003</t>
  </si>
  <si>
    <t>P-001</t>
  </si>
  <si>
    <t>MP-020</t>
  </si>
  <si>
    <t>MP-029</t>
  </si>
  <si>
    <t>MP-403</t>
  </si>
  <si>
    <t>MP-382</t>
  </si>
  <si>
    <t>MP-221</t>
  </si>
  <si>
    <t>MP-222</t>
  </si>
  <si>
    <t>MP-220</t>
  </si>
  <si>
    <t>P-008</t>
  </si>
  <si>
    <t>MP-219</t>
  </si>
  <si>
    <t>MP-223</t>
  </si>
  <si>
    <t>MP-218</t>
  </si>
  <si>
    <t>MP-217</t>
  </si>
  <si>
    <t>MP-216</t>
  </si>
  <si>
    <t>MP-283</t>
  </si>
  <si>
    <t>G-002</t>
  </si>
  <si>
    <t>MP-015</t>
  </si>
  <si>
    <t>MP-049</t>
  </si>
  <si>
    <t>MP-048</t>
  </si>
  <si>
    <t>MP - 063</t>
  </si>
  <si>
    <t>MP - 269</t>
  </si>
  <si>
    <t>MP - 064</t>
  </si>
  <si>
    <t>MP-017</t>
  </si>
  <si>
    <t>MP-059</t>
  </si>
  <si>
    <t>MP-058</t>
  </si>
  <si>
    <t>G-004</t>
  </si>
  <si>
    <t>MP-041</t>
  </si>
  <si>
    <t>MP-019</t>
  </si>
  <si>
    <t>MP-047</t>
  </si>
  <si>
    <t>MP-062</t>
  </si>
  <si>
    <t>MP-407</t>
  </si>
  <si>
    <t>MP-408</t>
  </si>
  <si>
    <t>MP-409</t>
  </si>
  <si>
    <t>C-007</t>
  </si>
  <si>
    <t>C-009</t>
  </si>
  <si>
    <t>C-0010</t>
  </si>
  <si>
    <t>C-008</t>
  </si>
  <si>
    <t>MP-0101</t>
  </si>
  <si>
    <t>MP-186</t>
  </si>
  <si>
    <t>MP-109</t>
  </si>
  <si>
    <t>MP-108</t>
  </si>
  <si>
    <t>MP-106</t>
  </si>
  <si>
    <t>MP-107</t>
  </si>
  <si>
    <t>MP-083</t>
  </si>
  <si>
    <t>MP-098</t>
  </si>
  <si>
    <t>MP-097</t>
  </si>
  <si>
    <t>MP-084</t>
  </si>
  <si>
    <t>MP-100</t>
  </si>
  <si>
    <t>MP-089</t>
  </si>
  <si>
    <t>MP-104</t>
  </si>
  <si>
    <t>MP-105</t>
  </si>
  <si>
    <t>MP-103</t>
  </si>
  <si>
    <t>MP-273</t>
  </si>
  <si>
    <t>MP-285</t>
  </si>
  <si>
    <t>MP-191</t>
  </si>
  <si>
    <t>MP-393</t>
  </si>
  <si>
    <t>MP-394</t>
  </si>
  <si>
    <t>MP-190</t>
  </si>
  <si>
    <t>MP-350</t>
  </si>
  <si>
    <t>MP-164</t>
  </si>
  <si>
    <t>MP-163</t>
  </si>
  <si>
    <t>MP-162</t>
  </si>
  <si>
    <t>MP-2891</t>
  </si>
  <si>
    <t>MP-388</t>
  </si>
  <si>
    <t>MP-389</t>
  </si>
  <si>
    <t>MP-387</t>
  </si>
  <si>
    <t>MP-289</t>
  </si>
  <si>
    <t>MP-284</t>
  </si>
  <si>
    <t>MP-207</t>
  </si>
  <si>
    <t>MP-206</t>
  </si>
  <si>
    <t>MP-353</t>
  </si>
  <si>
    <t>MP-321</t>
  </si>
  <si>
    <t>MP-325</t>
  </si>
  <si>
    <t>MP-319</t>
  </si>
  <si>
    <t>MP-208</t>
  </si>
  <si>
    <t>MP-26</t>
  </si>
  <si>
    <t>MP-166</t>
  </si>
  <si>
    <t>MP-167</t>
  </si>
  <si>
    <t>MP-168</t>
  </si>
  <si>
    <t>MP-391</t>
  </si>
  <si>
    <t>MP-390</t>
  </si>
  <si>
    <t>MP-181</t>
  </si>
  <si>
    <t>MP-182</t>
  </si>
  <si>
    <t>MP-180</t>
  </si>
  <si>
    <t>MP-125</t>
  </si>
  <si>
    <t>MP-124</t>
  </si>
  <si>
    <t>MP-123</t>
  </si>
  <si>
    <t>MP-241</t>
  </si>
  <si>
    <t>MP-114</t>
  </si>
  <si>
    <t>MP-248</t>
  </si>
  <si>
    <t>MP-113</t>
  </si>
  <si>
    <t>MP-318</t>
  </si>
  <si>
    <t>MP-322</t>
  </si>
  <si>
    <t>MP-317</t>
  </si>
  <si>
    <t>MP-320</t>
  </si>
  <si>
    <t>MP-395</t>
  </si>
  <si>
    <t>MP-261</t>
  </si>
  <si>
    <t>MP-135</t>
  </si>
  <si>
    <t>MP-134</t>
  </si>
  <si>
    <t>MP-133</t>
  </si>
  <si>
    <t>MP-254</t>
  </si>
  <si>
    <t>MP-246</t>
  </si>
  <si>
    <t>MP-141</t>
  </si>
  <si>
    <t>MP-140</t>
  </si>
  <si>
    <t>MP-122</t>
  </si>
  <si>
    <t>MP-121</t>
  </si>
  <si>
    <t>MP-150</t>
  </si>
  <si>
    <t>MP-279</t>
  </si>
  <si>
    <t>MP-363</t>
  </si>
  <si>
    <t>MP-151</t>
  </si>
  <si>
    <t>MP-148</t>
  </si>
  <si>
    <t>MP-149</t>
  </si>
  <si>
    <t>MP-211</t>
  </si>
  <si>
    <t>MP-212</t>
  </si>
  <si>
    <t>MP-213</t>
  </si>
  <si>
    <t>MP-214</t>
  </si>
  <si>
    <t>MP-0176</t>
  </si>
  <si>
    <t>MP-400</t>
  </si>
  <si>
    <t>MP-392</t>
  </si>
  <si>
    <t>MP-352</t>
  </si>
  <si>
    <t>MP-351</t>
  </si>
  <si>
    <t>MP-255</t>
  </si>
  <si>
    <t>MP-251</t>
  </si>
  <si>
    <t>MP-256</t>
  </si>
  <si>
    <t>MP-257</t>
  </si>
  <si>
    <t>MP-402</t>
  </si>
  <si>
    <t>MP-026</t>
  </si>
  <si>
    <t>MP-025</t>
  </si>
  <si>
    <t>MP-370</t>
  </si>
  <si>
    <t>MP-0056</t>
  </si>
  <si>
    <t>MP-037</t>
  </si>
  <si>
    <t>MP-040</t>
  </si>
  <si>
    <t>MP-267</t>
  </si>
  <si>
    <t>MP-039</t>
  </si>
  <si>
    <t>MP-038</t>
  </si>
  <si>
    <t>MP-364</t>
  </si>
  <si>
    <t>MP-072</t>
  </si>
  <si>
    <t>MP-071</t>
  </si>
  <si>
    <t>MP-073</t>
  </si>
  <si>
    <t>MP-079</t>
  </si>
  <si>
    <t>MP-064</t>
  </si>
  <si>
    <t>MP-315</t>
  </si>
  <si>
    <t>MP-316</t>
  </si>
  <si>
    <t>MP-292</t>
  </si>
  <si>
    <t>MP-225</t>
  </si>
  <si>
    <t>MP-459</t>
  </si>
  <si>
    <t>MP-361</t>
  </si>
  <si>
    <t>MP-249</t>
  </si>
  <si>
    <t>MP-265</t>
  </si>
  <si>
    <t>MP-310</t>
  </si>
  <si>
    <t>MP-033</t>
  </si>
  <si>
    <t>MP-313</t>
  </si>
  <si>
    <t>MP-023</t>
  </si>
  <si>
    <t>MP-075</t>
  </si>
  <si>
    <t>MP-323</t>
  </si>
  <si>
    <t>MP-074</t>
  </si>
  <si>
    <t>MP-076</t>
  </si>
  <si>
    <t>MP-374</t>
  </si>
  <si>
    <t>MP-373</t>
  </si>
  <si>
    <t>MP-372</t>
  </si>
  <si>
    <t>MP-358</t>
  </si>
  <si>
    <t>MP-024</t>
  </si>
  <si>
    <t>Valores</t>
  </si>
  <si>
    <t>BUFFER</t>
  </si>
  <si>
    <t>REQUERIM</t>
  </si>
  <si>
    <t xml:space="preserve">CODIGO </t>
  </si>
  <si>
    <t>COMPRA</t>
  </si>
  <si>
    <t>IMPORTACIÓN</t>
  </si>
  <si>
    <t>JF-009</t>
  </si>
  <si>
    <t>JF-010</t>
  </si>
  <si>
    <t>JF-027</t>
  </si>
  <si>
    <t>JF-024</t>
  </si>
  <si>
    <t>JF-030</t>
  </si>
  <si>
    <t>JF-281</t>
  </si>
  <si>
    <t>JF-282</t>
  </si>
  <si>
    <t>JF-285</t>
  </si>
  <si>
    <t>JF-016</t>
  </si>
  <si>
    <t>JF-023</t>
  </si>
  <si>
    <t>JF-026</t>
  </si>
  <si>
    <t>JF-028</t>
  </si>
  <si>
    <t>JF-284</t>
  </si>
  <si>
    <t>JF-275</t>
  </si>
  <si>
    <t>JF-265</t>
  </si>
  <si>
    <t>JF-232</t>
  </si>
  <si>
    <t>JF-233</t>
  </si>
  <si>
    <t>JF-267</t>
  </si>
  <si>
    <t>OT-02002-06001</t>
  </si>
  <si>
    <t>OT-02006-06000</t>
  </si>
  <si>
    <t>SH-02006-06002</t>
  </si>
  <si>
    <t>SH-02030-06202</t>
  </si>
  <si>
    <t>OT-02030-06202</t>
  </si>
  <si>
    <t>SH-02432-32120</t>
  </si>
  <si>
    <t>SH-02432-40170</t>
  </si>
  <si>
    <t>JF-279</t>
  </si>
  <si>
    <t>JF-280</t>
  </si>
  <si>
    <t>JF-276</t>
  </si>
  <si>
    <t>JF-278</t>
  </si>
  <si>
    <t>CR-0123</t>
  </si>
  <si>
    <t>JF-286</t>
  </si>
  <si>
    <t>JF-272</t>
  </si>
  <si>
    <t>JF-273</t>
  </si>
  <si>
    <t>JF-013</t>
  </si>
  <si>
    <t>JF-270</t>
  </si>
  <si>
    <t>JF-269</t>
  </si>
  <si>
    <t>JF-266</t>
  </si>
  <si>
    <t>JF-268</t>
  </si>
  <si>
    <t>LOCAL</t>
  </si>
  <si>
    <t>JF-271</t>
  </si>
  <si>
    <t>JF-289</t>
  </si>
  <si>
    <t>JF-015</t>
  </si>
  <si>
    <t>JF-288</t>
  </si>
  <si>
    <t>JF-287</t>
  </si>
  <si>
    <t>SH-09026-03001</t>
  </si>
  <si>
    <t>SH-09026-04001</t>
  </si>
  <si>
    <t>CR-123</t>
  </si>
  <si>
    <t>EC-10000043231</t>
  </si>
  <si>
    <t>EC-10000060931</t>
  </si>
  <si>
    <t>EC-10001101110</t>
  </si>
  <si>
    <t>EC-10001108360</t>
  </si>
  <si>
    <t>EC-10001110530</t>
  </si>
  <si>
    <t>EC-10001142230</t>
  </si>
  <si>
    <t>EC-10001143230</t>
  </si>
  <si>
    <t>SH-1001101</t>
  </si>
  <si>
    <t>SH-1001141</t>
  </si>
  <si>
    <t>EC-10101006211</t>
  </si>
  <si>
    <t>EC-10101042231</t>
  </si>
  <si>
    <t>EC-10101055430</t>
  </si>
  <si>
    <t>EC-10101056030</t>
  </si>
  <si>
    <t>EC-10101147530</t>
  </si>
  <si>
    <t>EC-10103456532</t>
  </si>
  <si>
    <t>SH-10504</t>
  </si>
  <si>
    <t>SH-108636-10</t>
  </si>
  <si>
    <t>SH-108642-24</t>
  </si>
  <si>
    <t>SH-108644-30</t>
  </si>
  <si>
    <t>SH-11022-05160</t>
  </si>
  <si>
    <t>SH-1123300</t>
  </si>
  <si>
    <t>EC-12300047532</t>
  </si>
  <si>
    <t>EC-12300055630</t>
  </si>
  <si>
    <t>EC-12300057731</t>
  </si>
  <si>
    <t>EC-12300060930</t>
  </si>
  <si>
    <t>EC-12311824430</t>
  </si>
  <si>
    <t>EC-12312009560</t>
  </si>
  <si>
    <t>EC-12312203660</t>
  </si>
  <si>
    <t>EC-12312338330</t>
  </si>
  <si>
    <t>EC-12312509560</t>
  </si>
  <si>
    <t>EC-12313704260</t>
  </si>
  <si>
    <t>EC-12314103930</t>
  </si>
  <si>
    <t>EC-12318140630</t>
  </si>
  <si>
    <t>EC-12532308260</t>
  </si>
  <si>
    <t>EC-12533708260</t>
  </si>
  <si>
    <t>EC-12534107360</t>
  </si>
  <si>
    <t>EC-12538108660</t>
  </si>
  <si>
    <t>SH-12900-62020</t>
  </si>
  <si>
    <t>EC-13000739930</t>
  </si>
  <si>
    <t>EC-13000739932</t>
  </si>
  <si>
    <t>EC-13001743130</t>
  </si>
  <si>
    <t>EC-13001755630</t>
  </si>
  <si>
    <t>EC-13001756431</t>
  </si>
  <si>
    <t>EC-13030039730</t>
  </si>
  <si>
    <t>EC-13031002910</t>
  </si>
  <si>
    <t>EC-13031006230</t>
  </si>
  <si>
    <t>EC-13031051730</t>
  </si>
  <si>
    <t>EC-13031051830</t>
  </si>
  <si>
    <t>EC-15262655430</t>
  </si>
  <si>
    <t>EC-15262656032</t>
  </si>
  <si>
    <t>EC-15660106211</t>
  </si>
  <si>
    <t>EC-15660112920</t>
  </si>
  <si>
    <t>EC-15660132632</t>
  </si>
  <si>
    <t>EC-15662660930</t>
  </si>
  <si>
    <t>EC-17500543130</t>
  </si>
  <si>
    <t>EC-17500549930</t>
  </si>
  <si>
    <t>EC-17500555930</t>
  </si>
  <si>
    <t>EC-17500942231</t>
  </si>
  <si>
    <t>EC-17500955931</t>
  </si>
  <si>
    <t>EC-17501805533</t>
  </si>
  <si>
    <t>EC-17501842230</t>
  </si>
  <si>
    <t>EC-17501849932</t>
  </si>
  <si>
    <t>EC-17504606230</t>
  </si>
  <si>
    <t>EC-17510532431</t>
  </si>
  <si>
    <t>EC-17720006210</t>
  </si>
  <si>
    <t>EC-17720055631</t>
  </si>
  <si>
    <t>EC-17720055931</t>
  </si>
  <si>
    <t>EC-17720360930</t>
  </si>
  <si>
    <t>EC-17721532330</t>
  </si>
  <si>
    <t>EC-17721560930</t>
  </si>
  <si>
    <t>EC-17722002834</t>
  </si>
  <si>
    <t>EC-17800143230</t>
  </si>
  <si>
    <t>EC-17800147530</t>
  </si>
  <si>
    <t>EC-17800159230</t>
  </si>
  <si>
    <t>SH-18500-50100</t>
  </si>
  <si>
    <t>SH-18500-50102</t>
  </si>
  <si>
    <t>SH-18500-90001</t>
  </si>
  <si>
    <t>SH-18500-90002</t>
  </si>
  <si>
    <t>SH-18500-90003</t>
  </si>
  <si>
    <t>CR-125</t>
  </si>
  <si>
    <t>SHDW-019</t>
  </si>
  <si>
    <t>SH-20000-21211</t>
  </si>
  <si>
    <t>SH-20000-41210</t>
  </si>
  <si>
    <t>SH-20000-72230</t>
  </si>
  <si>
    <t>SH-20000-72241</t>
  </si>
  <si>
    <t>SH-20000-75130</t>
  </si>
  <si>
    <t>SH-20000-75150</t>
  </si>
  <si>
    <t>SH-20000-81150</t>
  </si>
  <si>
    <t>SH-20000-81310</t>
  </si>
  <si>
    <t>SH-20000-81330</t>
  </si>
  <si>
    <t>SH-20000-81340</t>
  </si>
  <si>
    <t>SH-20000-81441</t>
  </si>
  <si>
    <t>SH-20000-81740</t>
  </si>
  <si>
    <t>SH-20000-85201</t>
  </si>
  <si>
    <t>SH-20000-85500</t>
  </si>
  <si>
    <t>SH-20000-85511</t>
  </si>
  <si>
    <t>SH-20000-96104</t>
  </si>
  <si>
    <t>SH-20000-96411</t>
  </si>
  <si>
    <t>SH-20010-12121</t>
  </si>
  <si>
    <t>SH-20010-12211</t>
  </si>
  <si>
    <t>SH-20010-21211</t>
  </si>
  <si>
    <t>SH-20010-41210</t>
  </si>
  <si>
    <t>SH-20010-41330</t>
  </si>
  <si>
    <t>SH-20010-42002</t>
  </si>
  <si>
    <t>SH-20010-71631</t>
  </si>
  <si>
    <t>SH-20010-71650</t>
  </si>
  <si>
    <t>SH-20010-72221</t>
  </si>
  <si>
    <t>SH-20010-75190</t>
  </si>
  <si>
    <t>SH-20010-81711</t>
  </si>
  <si>
    <t>SH-20010-81760</t>
  </si>
  <si>
    <t>SH-20010-81771</t>
  </si>
  <si>
    <t>SH-20010-81781</t>
  </si>
  <si>
    <t>SH-20010-86130</t>
  </si>
  <si>
    <t>SH-20011-12220</t>
  </si>
  <si>
    <t>SH-20011-31200</t>
  </si>
  <si>
    <t>SH-20011-31230</t>
  </si>
  <si>
    <t>SH-20011-35110</t>
  </si>
  <si>
    <t>SH-20011-35141</t>
  </si>
  <si>
    <t>SH-20011-35151</t>
  </si>
  <si>
    <t>SH-20011-71611</t>
  </si>
  <si>
    <t>SH-20011-81021</t>
  </si>
  <si>
    <t>SH-20011-81140</t>
  </si>
  <si>
    <t>SH-20011-81360</t>
  </si>
  <si>
    <t>SH-20011-81451</t>
  </si>
  <si>
    <t>SH-20011-81550</t>
  </si>
  <si>
    <t>SH-20011-81680</t>
  </si>
  <si>
    <t>SH-20011-85401</t>
  </si>
  <si>
    <t>SH-20011-86120</t>
  </si>
  <si>
    <t>SH-20016-12112</t>
  </si>
  <si>
    <t>SH-20016-12120</t>
  </si>
  <si>
    <t>SH-20016-12222</t>
  </si>
  <si>
    <t>SH-20016-15123</t>
  </si>
  <si>
    <t>SH-20016-21100</t>
  </si>
  <si>
    <t>SH-20016-21200</t>
  </si>
  <si>
    <t>SH-20016-42002</t>
  </si>
  <si>
    <t>SH-20016-71200</t>
  </si>
  <si>
    <t>SH-20016-71601</t>
  </si>
  <si>
    <t>SH-20016-81021</t>
  </si>
  <si>
    <t>SH-20016-81180</t>
  </si>
  <si>
    <t>SH-20016-85003</t>
  </si>
  <si>
    <t>SH-20016-85400</t>
  </si>
  <si>
    <t>SH-20018-31251</t>
  </si>
  <si>
    <t>SH-20018-31260</t>
  </si>
  <si>
    <t>SH-20018-31270</t>
  </si>
  <si>
    <t>SH-20018-81750</t>
  </si>
  <si>
    <t>SH-20019-81440</t>
  </si>
  <si>
    <t>SH-20020-51112</t>
  </si>
  <si>
    <t>SH-20020-51121</t>
  </si>
  <si>
    <t>SH-20020-51131</t>
  </si>
  <si>
    <t>SH-20020-75120</t>
  </si>
  <si>
    <t>SH-20020-75140</t>
  </si>
  <si>
    <t>SH-20020-75180</t>
  </si>
  <si>
    <t>SH-20020-81140</t>
  </si>
  <si>
    <t>SH-20020-81150</t>
  </si>
  <si>
    <t>SH-20020-86140</t>
  </si>
  <si>
    <t>SH-20021-31200</t>
  </si>
  <si>
    <t>SH-20021-41210</t>
  </si>
  <si>
    <t>SH-20021-41330</t>
  </si>
  <si>
    <t>SH-20021-42002</t>
  </si>
  <si>
    <t>SH-20021-51102</t>
  </si>
  <si>
    <t>SH-20021-51120</t>
  </si>
  <si>
    <t>SH-20021-81021</t>
  </si>
  <si>
    <t>SH-20021-81121</t>
  </si>
  <si>
    <t>SH-20021-81180</t>
  </si>
  <si>
    <t>SH-20021-81560</t>
  </si>
  <si>
    <t>SH-20021-81700</t>
  </si>
  <si>
    <t>SH-20021-81920</t>
  </si>
  <si>
    <t>SH-20021-83411</t>
  </si>
  <si>
    <t>SH-20021-86110</t>
  </si>
  <si>
    <t>SH-20021-96420</t>
  </si>
  <si>
    <t>SH-20021-96601</t>
  </si>
  <si>
    <t>SH-20024-41210</t>
  </si>
  <si>
    <t>SH-20024-71610</t>
  </si>
  <si>
    <t>SH-20024-75130</t>
  </si>
  <si>
    <t>SH-20024-75220</t>
  </si>
  <si>
    <t>SH-20024-75230</t>
  </si>
  <si>
    <t>SH-20024-75240</t>
  </si>
  <si>
    <t>SH-20024-81790</t>
  </si>
  <si>
    <t>SH-20035-21100</t>
  </si>
  <si>
    <t>SH-20035-75200</t>
  </si>
  <si>
    <t>SH-20036-81670</t>
  </si>
  <si>
    <t>SH-20037-82130</t>
  </si>
  <si>
    <t>SH-20040-81430</t>
  </si>
  <si>
    <t>SH-20040-81680</t>
  </si>
  <si>
    <t>SH-20055-81004</t>
  </si>
  <si>
    <t>SH-20055-81120</t>
  </si>
  <si>
    <t>SH-20056-81740</t>
  </si>
  <si>
    <t>SH-20060-12210</t>
  </si>
  <si>
    <t>SH-20060-81760</t>
  </si>
  <si>
    <t>SH-20060-81781</t>
  </si>
  <si>
    <t>SH-20070-81350</t>
  </si>
  <si>
    <t>SH-20075-41111</t>
  </si>
  <si>
    <t>SH-20087-31210</t>
  </si>
  <si>
    <t>SH-20087-81531</t>
  </si>
  <si>
    <t>SH-20087-81820</t>
  </si>
  <si>
    <t>SH-20112-81530</t>
  </si>
  <si>
    <t>JF-071</t>
  </si>
  <si>
    <t>SH-20140-12210</t>
  </si>
  <si>
    <t>SH-20140-12220</t>
  </si>
  <si>
    <t>SH-20140-12221</t>
  </si>
  <si>
    <t>SH-20140-75100</t>
  </si>
  <si>
    <t>SH-20140-75130</t>
  </si>
  <si>
    <t>SH-20140-82210</t>
  </si>
  <si>
    <t>SH-20142-12110</t>
  </si>
  <si>
    <t>SH-20142-41110</t>
  </si>
  <si>
    <t>SH-20142-41210</t>
  </si>
  <si>
    <t>SH-20870-33120</t>
  </si>
  <si>
    <t>SH-22000-12413</t>
  </si>
  <si>
    <t>SH-22000-13241</t>
  </si>
  <si>
    <t>SH-22000-13252</t>
  </si>
  <si>
    <t>SH-22000-13290</t>
  </si>
  <si>
    <t>SH-22000-13410</t>
  </si>
  <si>
    <t>SH-22000-13512</t>
  </si>
  <si>
    <t>SH-22000-13513</t>
  </si>
  <si>
    <t>SH-22000-92167</t>
  </si>
  <si>
    <t>SH-22000-92812</t>
  </si>
  <si>
    <t>SH-22015-11501</t>
  </si>
  <si>
    <t>SH-22015-12120</t>
  </si>
  <si>
    <t>SH-22015-13120</t>
  </si>
  <si>
    <t>SH-22015-13210</t>
  </si>
  <si>
    <t>SH-22015-13220</t>
  </si>
  <si>
    <t>SH-22015-13230</t>
  </si>
  <si>
    <t>SH-22015-13241</t>
  </si>
  <si>
    <t>SH-22015-13251</t>
  </si>
  <si>
    <t>SH-22015-13261</t>
  </si>
  <si>
    <t>SH-22015-13270</t>
  </si>
  <si>
    <t>SH-22015-13290</t>
  </si>
  <si>
    <t>SH-22015-13390</t>
  </si>
  <si>
    <t>SH-22015-13410</t>
  </si>
  <si>
    <t>SH-22015-13420</t>
  </si>
  <si>
    <t>SH-22015-14301</t>
  </si>
  <si>
    <t>SH-22015-14331</t>
  </si>
  <si>
    <t>SH-22015-96500</t>
  </si>
  <si>
    <t>SH-22015-96600</t>
  </si>
  <si>
    <t>SH-22017-12210</t>
  </si>
  <si>
    <t>SH-22017-12410</t>
  </si>
  <si>
    <t>SH-22019-11313</t>
  </si>
  <si>
    <t>SH-22019-17110</t>
  </si>
  <si>
    <t>SH-22020-11110</t>
  </si>
  <si>
    <t>SH-22020-14200</t>
  </si>
  <si>
    <t>SH-22021-12120</t>
  </si>
  <si>
    <t>SH-22021-12400</t>
  </si>
  <si>
    <t>SH-22021-13390</t>
  </si>
  <si>
    <t>SH-22035-13140</t>
  </si>
  <si>
    <t>SH-22035-13220</t>
  </si>
  <si>
    <t>SH-22035-13242</t>
  </si>
  <si>
    <t>SH-22035-13271</t>
  </si>
  <si>
    <t>SH-22035-13290</t>
  </si>
  <si>
    <t>SH-22035-13391</t>
  </si>
  <si>
    <t>SH-22050-12100</t>
  </si>
  <si>
    <t>SH-22050-12411</t>
  </si>
  <si>
    <t>SH-22051-11903</t>
  </si>
  <si>
    <t>SH-22051-11920</t>
  </si>
  <si>
    <t>SH-22051-11922</t>
  </si>
  <si>
    <t>SH-22070-12410</t>
  </si>
  <si>
    <t>SH-22100-41230</t>
  </si>
  <si>
    <t>SH-22102-72220</t>
  </si>
  <si>
    <t>SH-22150-12152</t>
  </si>
  <si>
    <t>SH-22150-12180</t>
  </si>
  <si>
    <t>SH-22150-15412</t>
  </si>
  <si>
    <t>SH-22150-21250</t>
  </si>
  <si>
    <t>SH-22150-41280</t>
  </si>
  <si>
    <t>SH-22150-42002</t>
  </si>
  <si>
    <t>SH-22150-51230</t>
  </si>
  <si>
    <t>SH-22150-51310</t>
  </si>
  <si>
    <t>SH-22150-51520</t>
  </si>
  <si>
    <t>SH-22150-52411</t>
  </si>
  <si>
    <t>SH-22150-52440</t>
  </si>
  <si>
    <t>SH-22150-71120</t>
  </si>
  <si>
    <t>SH-22150-75520</t>
  </si>
  <si>
    <t>SH-22152-12111</t>
  </si>
  <si>
    <t>SH-22152-21501</t>
  </si>
  <si>
    <t>SH-22152-41210</t>
  </si>
  <si>
    <t>SH-22152-41231</t>
  </si>
  <si>
    <t>SH-22154-52410</t>
  </si>
  <si>
    <t>SH-22154-55110</t>
  </si>
  <si>
    <t>SH-22154-85540</t>
  </si>
  <si>
    <t>SH-22155-21630</t>
  </si>
  <si>
    <t>SH-22155-51200</t>
  </si>
  <si>
    <t>SH-22155-51500</t>
  </si>
  <si>
    <t>SH-22155-55110</t>
  </si>
  <si>
    <t>SH-22155-71130</t>
  </si>
  <si>
    <t>SH-22155-75410</t>
  </si>
  <si>
    <t>SH-22155-91580</t>
  </si>
  <si>
    <t>SH-22155-96521</t>
  </si>
  <si>
    <t>SH-22155-96531</t>
  </si>
  <si>
    <t>SH-22155-96540</t>
  </si>
  <si>
    <t>SH-22155-97610</t>
  </si>
  <si>
    <t>SH-22155-97620</t>
  </si>
  <si>
    <t>SH-22157-12110</t>
  </si>
  <si>
    <t>SH-22157-41112</t>
  </si>
  <si>
    <t>SH-22157-41210</t>
  </si>
  <si>
    <t>SH-22160-12150</t>
  </si>
  <si>
    <t>SH-22160-33801</t>
  </si>
  <si>
    <t>SH-22160-33821</t>
  </si>
  <si>
    <t>SH-22160-51200</t>
  </si>
  <si>
    <t>SH-22160-51220</t>
  </si>
  <si>
    <t>SH-22160-51230</t>
  </si>
  <si>
    <t>SH-22160-51501</t>
  </si>
  <si>
    <t>SH-22160-55200</t>
  </si>
  <si>
    <t>SH-22160-71511</t>
  </si>
  <si>
    <t>SH-22160-75100</t>
  </si>
  <si>
    <t>SH-22169-12111</t>
  </si>
  <si>
    <t>SH-22169-12120</t>
  </si>
  <si>
    <t>SH-22169-15113</t>
  </si>
  <si>
    <t>SH-22169-15170</t>
  </si>
  <si>
    <t>SH-22169-15212</t>
  </si>
  <si>
    <t>SH-22169-21202</t>
  </si>
  <si>
    <t>SH-22169-21203</t>
  </si>
  <si>
    <t>SH-22169-21300</t>
  </si>
  <si>
    <t>SH-22169-21501</t>
  </si>
  <si>
    <t>SH-22169-21503</t>
  </si>
  <si>
    <t>SH-22169-21512</t>
  </si>
  <si>
    <t>SH-22169-21520</t>
  </si>
  <si>
    <t>SH-22169-21630</t>
  </si>
  <si>
    <t>SH-22169-31110</t>
  </si>
  <si>
    <t>SH-22169-32110</t>
  </si>
  <si>
    <t>SH-22169-33100</t>
  </si>
  <si>
    <t>SH-22169-35400</t>
  </si>
  <si>
    <t>SH-22169-41210</t>
  </si>
  <si>
    <t>SH-22169-42000</t>
  </si>
  <si>
    <t>SH-22169-51100</t>
  </si>
  <si>
    <t>SH-22169-51110</t>
  </si>
  <si>
    <t>SH-22169-51130</t>
  </si>
  <si>
    <t>SH-22169-51140</t>
  </si>
  <si>
    <t>SH-22169-51200</t>
  </si>
  <si>
    <t>SH-22169-52460</t>
  </si>
  <si>
    <t>SH-22169-53111</t>
  </si>
  <si>
    <t>SH-22169-53120</t>
  </si>
  <si>
    <t>SH-22169-54630</t>
  </si>
  <si>
    <t>SH-22169-55110</t>
  </si>
  <si>
    <t>SH-22169-55130</t>
  </si>
  <si>
    <t>SH-22169-55200</t>
  </si>
  <si>
    <t>SH-22169-55310</t>
  </si>
  <si>
    <t>SH-22169-57360</t>
  </si>
  <si>
    <t>SH-22169-71510</t>
  </si>
  <si>
    <t>SH-22169-71700</t>
  </si>
  <si>
    <t>SH-22169-72220</t>
  </si>
  <si>
    <t>SH-22155-72280</t>
  </si>
  <si>
    <t>SH-22169-75101</t>
  </si>
  <si>
    <t>SH-22169-81000</t>
  </si>
  <si>
    <t>SH-22169-82251</t>
  </si>
  <si>
    <t>SH-22169-82310</t>
  </si>
  <si>
    <t>SH-22169-54102</t>
  </si>
  <si>
    <t>SH-22169-96580</t>
  </si>
  <si>
    <t>SH-22175-12140</t>
  </si>
  <si>
    <t>SH-22175-21200</t>
  </si>
  <si>
    <t>SH-22175-71110</t>
  </si>
  <si>
    <t>SH-22175-81000</t>
  </si>
  <si>
    <t>SH-22175-82310</t>
  </si>
  <si>
    <t>SH-22175-82320</t>
  </si>
  <si>
    <t>SH-22175-82340</t>
  </si>
  <si>
    <t>SH-22175-82510</t>
  </si>
  <si>
    <t>SH-22175-82520</t>
  </si>
  <si>
    <t>SH-22182-41210</t>
  </si>
  <si>
    <t>SH-22197-33960</t>
  </si>
  <si>
    <t>SH-22197-55201</t>
  </si>
  <si>
    <t>SH-22410-13210</t>
  </si>
  <si>
    <t>SH-22410-13251</t>
  </si>
  <si>
    <t>SH-22410-13530</t>
  </si>
  <si>
    <t>SH-22410-14302</t>
  </si>
  <si>
    <t>SH-22411-14500</t>
  </si>
  <si>
    <t>SH-22901-31000</t>
  </si>
  <si>
    <t>SH-28820-07340</t>
  </si>
  <si>
    <t>SH-28820-08000</t>
  </si>
  <si>
    <t>SH-3013172</t>
  </si>
  <si>
    <t>SH-3014111</t>
  </si>
  <si>
    <t>SH-33SL0-72X</t>
  </si>
  <si>
    <t>SH-37019-63170</t>
  </si>
  <si>
    <t>SH-38490-18</t>
  </si>
  <si>
    <t>SH-38500-32010</t>
  </si>
  <si>
    <t>SH-38500-71020</t>
  </si>
  <si>
    <t>SH-38500-71110</t>
  </si>
  <si>
    <t>SH-38500-82110</t>
  </si>
  <si>
    <t>SH-38500-82120</t>
  </si>
  <si>
    <t>SH-38500-82130</t>
  </si>
  <si>
    <t>SH-4037771</t>
  </si>
  <si>
    <t>SH-4042881</t>
  </si>
  <si>
    <t>SH-4042941</t>
  </si>
  <si>
    <t>SH-4044211</t>
  </si>
  <si>
    <t>SH-4044231</t>
  </si>
  <si>
    <t>SH-4050771</t>
  </si>
  <si>
    <t>SH-4070981</t>
  </si>
  <si>
    <t>SH-4073281</t>
  </si>
  <si>
    <t>SH-4502640</t>
  </si>
  <si>
    <t>SH-4515030</t>
  </si>
  <si>
    <t>SH-4517530</t>
  </si>
  <si>
    <t>SH-4525920</t>
  </si>
  <si>
    <t>SH-4527270</t>
  </si>
  <si>
    <t>SH-4527890</t>
  </si>
  <si>
    <t>SH-4529110</t>
  </si>
  <si>
    <t>SH-4534630</t>
  </si>
  <si>
    <t>SH-4550460</t>
  </si>
  <si>
    <t>SH-4551800</t>
  </si>
  <si>
    <t>SH-4552760</t>
  </si>
  <si>
    <t>SH-4555310</t>
  </si>
  <si>
    <t>SH-4557850</t>
  </si>
  <si>
    <t>SH-4562530</t>
  </si>
  <si>
    <t>SH-4567930</t>
  </si>
  <si>
    <t>SH-4568020</t>
  </si>
  <si>
    <t>SH-4573040</t>
  </si>
  <si>
    <t>SH-4573060</t>
  </si>
  <si>
    <t>SH-4573110</t>
  </si>
  <si>
    <t>SH-4574920</t>
  </si>
  <si>
    <t>SH-4575060</t>
  </si>
  <si>
    <t>SH-4575700</t>
  </si>
  <si>
    <t>SH4575740</t>
  </si>
  <si>
    <t>SH-4576340</t>
  </si>
  <si>
    <t>SH-4579070</t>
  </si>
  <si>
    <t>SH-60018-98310</t>
  </si>
  <si>
    <t>SH-60020-98310</t>
  </si>
  <si>
    <t>SH-60023-98031</t>
  </si>
  <si>
    <t>SH-60035-98030</t>
  </si>
  <si>
    <t>SH-60035-98040</t>
  </si>
  <si>
    <t>SH-60035-98061</t>
  </si>
  <si>
    <t>SH-60035-98070</t>
  </si>
  <si>
    <t>SH-60035-98310</t>
  </si>
  <si>
    <t>SH-60059-98310</t>
  </si>
  <si>
    <t>SH-60119-98310</t>
  </si>
  <si>
    <t>SH-60876</t>
  </si>
  <si>
    <t>SH-62022-15100</t>
  </si>
  <si>
    <t>SH-62035-12111</t>
  </si>
  <si>
    <t>SH-62035-12120</t>
  </si>
  <si>
    <t>SH-62035-12210</t>
  </si>
  <si>
    <t>SH-62035-12220</t>
  </si>
  <si>
    <t>SH-62035-15012</t>
  </si>
  <si>
    <t>SH-62035-15210</t>
  </si>
  <si>
    <t>SH-62035-21010</t>
  </si>
  <si>
    <t>SH-62035-21020</t>
  </si>
  <si>
    <t>SH-62035-31212</t>
  </si>
  <si>
    <t>SH-62035-32112</t>
  </si>
  <si>
    <t>SH-62035-32310</t>
  </si>
  <si>
    <t>SH-62035-32320</t>
  </si>
  <si>
    <t>SH-62035-32331</t>
  </si>
  <si>
    <t>SH-62035-33110</t>
  </si>
  <si>
    <t>SH-62035-41110</t>
  </si>
  <si>
    <t>SH-62035-41120</t>
  </si>
  <si>
    <t>SH-62035-41210</t>
  </si>
  <si>
    <t>SH-62035-42010</t>
  </si>
  <si>
    <t>SH-62035-71020</t>
  </si>
  <si>
    <t>SH-62035-71110</t>
  </si>
  <si>
    <t>SH-62035-75010</t>
  </si>
  <si>
    <t>SH-62035-75020</t>
  </si>
  <si>
    <t>SH-62035-75120</t>
  </si>
  <si>
    <t>SH-62035-75130</t>
  </si>
  <si>
    <t>SH-62035-75310</t>
  </si>
  <si>
    <t>SH-62035-81013</t>
  </si>
  <si>
    <t>SH-62035-81310</t>
  </si>
  <si>
    <t>SH-62035-81360</t>
  </si>
  <si>
    <t>SH-62035-82121</t>
  </si>
  <si>
    <t>SH-62035-82330</t>
  </si>
  <si>
    <t>SH-62035-82340</t>
  </si>
  <si>
    <t>SH-62035-83111</t>
  </si>
  <si>
    <t>SH-62035-85013</t>
  </si>
  <si>
    <t>SH-62035-85031</t>
  </si>
  <si>
    <t>SH-62035-85341</t>
  </si>
  <si>
    <t>SH-62035-85351</t>
  </si>
  <si>
    <t>SH-62035-85360</t>
  </si>
  <si>
    <t>SH-62064-81011</t>
  </si>
  <si>
    <t>SH-62074-12120</t>
  </si>
  <si>
    <t>SH-62083-81310</t>
  </si>
  <si>
    <t>SH-62104-15210</t>
  </si>
  <si>
    <t>SH-62104-32321</t>
  </si>
  <si>
    <t>SH-62113-83010</t>
  </si>
  <si>
    <t>SH-62809-12111</t>
  </si>
  <si>
    <t>SH-62903-66111</t>
  </si>
  <si>
    <t>SH-63019-12102</t>
  </si>
  <si>
    <t>SH-63019-63010</t>
  </si>
  <si>
    <t>SH-63019-63130</t>
  </si>
  <si>
    <t>SH-63019-63310</t>
  </si>
  <si>
    <t>SH-63020-63111</t>
  </si>
  <si>
    <t>SH-63840-61011</t>
  </si>
  <si>
    <t>SH-63901-63022</t>
  </si>
  <si>
    <t>SH-64000-66311</t>
  </si>
  <si>
    <t>SH-64007-64253</t>
  </si>
  <si>
    <t>SH-64007-64310</t>
  </si>
  <si>
    <t>SH-64007-64320</t>
  </si>
  <si>
    <t>SH-64007-67011</t>
  </si>
  <si>
    <t>SH-64112-66330</t>
  </si>
  <si>
    <t>SH-67000-41230</t>
  </si>
  <si>
    <t>SH-67000-42010</t>
  </si>
  <si>
    <t>SH-67000-51011</t>
  </si>
  <si>
    <t>SH-67000-81010</t>
  </si>
  <si>
    <t>SH-67001-62211</t>
  </si>
  <si>
    <t>SH-68501-12210</t>
  </si>
  <si>
    <t>SH-68501-81010</t>
  </si>
  <si>
    <t>SH-68501-81340</t>
  </si>
  <si>
    <t>SH-68501-81360</t>
  </si>
  <si>
    <t>SH-68501-81460</t>
  </si>
  <si>
    <t>SH-68501-81490</t>
  </si>
  <si>
    <t>SH-68501-98010</t>
  </si>
  <si>
    <t>SH-69008-98310</t>
  </si>
  <si>
    <t>SH-69011-98310</t>
  </si>
  <si>
    <t>SH-69012-98310</t>
  </si>
  <si>
    <t>SH-70000-75230</t>
  </si>
  <si>
    <t>SH-70005-86131</t>
  </si>
  <si>
    <t>SH-70012-31111</t>
  </si>
  <si>
    <t>SH-70012-35130</t>
  </si>
  <si>
    <t>SH-70014-74120</t>
  </si>
  <si>
    <t>SH-70020-75100</t>
  </si>
  <si>
    <t>SH-70030-31120</t>
  </si>
  <si>
    <t>SH-70030-71620</t>
  </si>
  <si>
    <t>SH-70036-75100</t>
  </si>
  <si>
    <t>SH-70043-85201</t>
  </si>
  <si>
    <t>SH-70064-75190</t>
  </si>
  <si>
    <t>SH-70131-75100</t>
  </si>
  <si>
    <t>SH-70131-75110</t>
  </si>
  <si>
    <t>SH-70131-75120</t>
  </si>
  <si>
    <t>SH-70131-75200</t>
  </si>
  <si>
    <t>SH-70131-81180</t>
  </si>
  <si>
    <t>SH-70135-15100</t>
  </si>
  <si>
    <t>SH-70140-32104</t>
  </si>
  <si>
    <t>SH-70140-51220</t>
  </si>
  <si>
    <t>SH-70140-81710</t>
  </si>
  <si>
    <t>SH-70140-81760</t>
  </si>
  <si>
    <t>SH-70157-51101</t>
  </si>
  <si>
    <t>SH-70162-75100</t>
  </si>
  <si>
    <t>SH-70196-12110</t>
  </si>
  <si>
    <t>SH-70198-12110</t>
  </si>
  <si>
    <t>SH-70200-15101</t>
  </si>
  <si>
    <t>SH-70200-33112</t>
  </si>
  <si>
    <t>SH-70200-71200</t>
  </si>
  <si>
    <t>SH-70200-71610</t>
  </si>
  <si>
    <t>SH-70200-85001</t>
  </si>
  <si>
    <t>SH-70200-85320</t>
  </si>
  <si>
    <t>SH-70203-81020</t>
  </si>
  <si>
    <t>SH-70210-12111</t>
  </si>
  <si>
    <t>SH-70210-15212</t>
  </si>
  <si>
    <t>SH-70210-15311</t>
  </si>
  <si>
    <t>SH-70210-41110</t>
  </si>
  <si>
    <t>SH-70210-42001</t>
  </si>
  <si>
    <t>SH-70210-51100</t>
  </si>
  <si>
    <t>SH-70210-81022</t>
  </si>
  <si>
    <t>SH-70210-81451</t>
  </si>
  <si>
    <t>SH-70210-83110</t>
  </si>
  <si>
    <t>SH-70234-98010</t>
  </si>
  <si>
    <t>SH-70234-98011</t>
  </si>
  <si>
    <t>SH-70244-98040</t>
  </si>
  <si>
    <t>SH-70244-98050</t>
  </si>
  <si>
    <t>SH-70870-98020</t>
  </si>
  <si>
    <t>SH-70870-98030</t>
  </si>
  <si>
    <t>SH-70871-81100</t>
  </si>
  <si>
    <t>CR-122</t>
  </si>
  <si>
    <t>CR-121</t>
  </si>
  <si>
    <t>SH-72005-92630</t>
  </si>
  <si>
    <t>SH-72017-13013</t>
  </si>
  <si>
    <t>SH-72017-14100</t>
  </si>
  <si>
    <t>SH-72017-16130</t>
  </si>
  <si>
    <t>SH-72030-13140</t>
  </si>
  <si>
    <t>SH-72030-13151</t>
  </si>
  <si>
    <t>SH-72051-98011</t>
  </si>
  <si>
    <t>SH-72051-98310</t>
  </si>
  <si>
    <t>SH-72080-13013</t>
  </si>
  <si>
    <t>SH-72080-98011</t>
  </si>
  <si>
    <t>SH-72080-98020</t>
  </si>
  <si>
    <t>SH-72080-98320</t>
  </si>
  <si>
    <t>SH-72174-99200</t>
  </si>
  <si>
    <t>SH-72231-54511</t>
  </si>
  <si>
    <t>SH-72282-15101</t>
  </si>
  <si>
    <t>SH-72282-15310</t>
  </si>
  <si>
    <t>SH-72312-21520</t>
  </si>
  <si>
    <t>SH-72316-53310</t>
  </si>
  <si>
    <t>SH-72330-33710</t>
  </si>
  <si>
    <t>SH-72330-54651</t>
  </si>
  <si>
    <t>SH-72330-82320</t>
  </si>
  <si>
    <t>SH-72330-98010</t>
  </si>
  <si>
    <t>SH-72334-98010</t>
  </si>
  <si>
    <t>SH-72365-98011</t>
  </si>
  <si>
    <t>SH-72432-13230</t>
  </si>
  <si>
    <t>SH-72432-13240</t>
  </si>
  <si>
    <t>SH-72441-12100</t>
  </si>
  <si>
    <t>SH-72441-16003</t>
  </si>
  <si>
    <t>SH-72447-13121</t>
  </si>
  <si>
    <t>SH-72447-13240</t>
  </si>
  <si>
    <t>SH-72451-14502</t>
  </si>
  <si>
    <t>SH-72451-14570</t>
  </si>
  <si>
    <t>SH-72481-14200</t>
  </si>
  <si>
    <t>SH-72481-98310</t>
  </si>
  <si>
    <t>SH-72514-14100</t>
  </si>
  <si>
    <t>SH-72518-91180</t>
  </si>
  <si>
    <t>SH-72540-12410</t>
  </si>
  <si>
    <t>SH-72550-12102</t>
  </si>
  <si>
    <t>SH-72550-12400</t>
  </si>
  <si>
    <t>SH-72550-14200</t>
  </si>
  <si>
    <t>SH-72550-14531</t>
  </si>
  <si>
    <t>SH-72550-82120</t>
  </si>
  <si>
    <t>SH-72551-12101</t>
  </si>
  <si>
    <t>SH-72555-14100</t>
  </si>
  <si>
    <t>SH-72920-71711</t>
  </si>
  <si>
    <t>SH-72920-81820</t>
  </si>
  <si>
    <t>SH-72930-14210</t>
  </si>
  <si>
    <t>SH-72933-75140</t>
  </si>
  <si>
    <t>SH-72933-75900</t>
  </si>
  <si>
    <t>SH-72935-63210</t>
  </si>
  <si>
    <t>SH-73DP-84X</t>
  </si>
  <si>
    <t>SH-73DP-98X</t>
  </si>
  <si>
    <t>SH-8000142</t>
  </si>
  <si>
    <t>SH-80023</t>
  </si>
  <si>
    <t>SH-80025</t>
  </si>
  <si>
    <t>SH-80187</t>
  </si>
  <si>
    <t>SH-80247</t>
  </si>
  <si>
    <t>SH-80250</t>
  </si>
  <si>
    <t>SH-80253</t>
  </si>
  <si>
    <t>SH-80255</t>
  </si>
  <si>
    <t>SH-80256</t>
  </si>
  <si>
    <t>SH-80387</t>
  </si>
  <si>
    <t>SH-80405</t>
  </si>
  <si>
    <t>SH-80423</t>
  </si>
  <si>
    <t>SH-80424</t>
  </si>
  <si>
    <t>SH-80550</t>
  </si>
  <si>
    <t>SH-80551</t>
  </si>
  <si>
    <t>SH-80676</t>
  </si>
  <si>
    <t>SH-80677</t>
  </si>
  <si>
    <t>SH-80771</t>
  </si>
  <si>
    <t>SH-80794</t>
  </si>
  <si>
    <t>SH-80863</t>
  </si>
  <si>
    <t>SH-81593</t>
  </si>
  <si>
    <t>SH-81630</t>
  </si>
  <si>
    <t>SH-82002</t>
  </si>
  <si>
    <t>SH-82003</t>
  </si>
  <si>
    <t>SH-82067</t>
  </si>
  <si>
    <t>SH-88051</t>
  </si>
  <si>
    <t>SH-88054</t>
  </si>
  <si>
    <t>SH-88056</t>
  </si>
  <si>
    <t>SH-88057</t>
  </si>
  <si>
    <t>SH-88102</t>
  </si>
  <si>
    <t>SH-88198-S</t>
  </si>
  <si>
    <t>SH-88421</t>
  </si>
  <si>
    <t>SH-8890802</t>
  </si>
  <si>
    <t>SH-90SG-039X</t>
  </si>
  <si>
    <t>SH-9701201</t>
  </si>
  <si>
    <t>SH-99909-12212</t>
  </si>
  <si>
    <t>SH-99909-156</t>
  </si>
  <si>
    <t>SH-99909-159</t>
  </si>
  <si>
    <t>SH-99909-160</t>
  </si>
  <si>
    <t>SH-99909-207</t>
  </si>
  <si>
    <t>SH-99909-229</t>
  </si>
  <si>
    <t>SH-99909-306</t>
  </si>
  <si>
    <t>SH-99909-307</t>
  </si>
  <si>
    <t>SH-99909-4</t>
  </si>
  <si>
    <t>SH-99909-450</t>
  </si>
  <si>
    <t>SH-99909-451</t>
  </si>
  <si>
    <t>SH-99909-453</t>
  </si>
  <si>
    <t>EC-A021000990</t>
  </si>
  <si>
    <t>EC-A021000681</t>
  </si>
  <si>
    <t>EC-A021001680</t>
  </si>
  <si>
    <t>EC-A051000070</t>
  </si>
  <si>
    <t>EC-A051000170</t>
  </si>
  <si>
    <t>EC-A056000010</t>
  </si>
  <si>
    <t>EC-A056000050</t>
  </si>
  <si>
    <t>EC-A101000010</t>
  </si>
  <si>
    <t>EC-A101000150</t>
  </si>
  <si>
    <t>EC-A101000160</t>
  </si>
  <si>
    <t>EC-A130000111</t>
  </si>
  <si>
    <t>EC-A130000172</t>
  </si>
  <si>
    <t>EC-A130000292</t>
  </si>
  <si>
    <t>EC-A130000601</t>
  </si>
  <si>
    <t>EC-A200000140</t>
  </si>
  <si>
    <t>EC-A202000011</t>
  </si>
  <si>
    <t>EC-A226000020</t>
  </si>
  <si>
    <t>EC-A226000070</t>
  </si>
  <si>
    <t>EC-A411000050</t>
  </si>
  <si>
    <t>EC-A411000264</t>
  </si>
  <si>
    <t>EC-A506000080</t>
  </si>
  <si>
    <t>EC-A553000000</t>
  </si>
  <si>
    <t>EC-A556000181</t>
  </si>
  <si>
    <t>EC-A556000480</t>
  </si>
  <si>
    <t>SH-22045-14101</t>
  </si>
  <si>
    <t>SH-65003</t>
  </si>
  <si>
    <t>SH-80265</t>
  </si>
  <si>
    <t>SH-65001</t>
  </si>
  <si>
    <t>SH-65002</t>
  </si>
  <si>
    <t>OT-997</t>
  </si>
  <si>
    <t>OR-65789</t>
  </si>
  <si>
    <t>SH-01600-04101</t>
  </si>
  <si>
    <t>OR-206045</t>
  </si>
  <si>
    <t>IMP-271</t>
  </si>
  <si>
    <t>EC-SHP 800</t>
  </si>
  <si>
    <t>SHDW-011</t>
  </si>
  <si>
    <t>TB-1715538</t>
  </si>
  <si>
    <t>JF-005</t>
  </si>
  <si>
    <t>CR-DPTECT</t>
  </si>
  <si>
    <t>CR-CARCUSTOM</t>
  </si>
  <si>
    <t>CR-042</t>
  </si>
  <si>
    <t>CR-035</t>
  </si>
  <si>
    <t>CR-999</t>
  </si>
  <si>
    <t>CR-048</t>
  </si>
  <si>
    <t>CR-036</t>
  </si>
  <si>
    <t>CR-026</t>
  </si>
  <si>
    <t>CR-027</t>
  </si>
  <si>
    <t>SH-22160-41240</t>
  </si>
  <si>
    <t>CR-093</t>
  </si>
  <si>
    <t>CR-094</t>
  </si>
  <si>
    <t>CR-100</t>
  </si>
  <si>
    <t>CR-013</t>
  </si>
  <si>
    <t>CR-017</t>
  </si>
  <si>
    <t>CR-089</t>
  </si>
  <si>
    <t>CR-088</t>
  </si>
  <si>
    <t>CR-102</t>
  </si>
  <si>
    <t>CR-021</t>
  </si>
  <si>
    <t>CRE-082</t>
  </si>
  <si>
    <t>JF-041</t>
  </si>
  <si>
    <t>CRE-267</t>
  </si>
  <si>
    <t>CR-025</t>
  </si>
  <si>
    <t>SH-HT230/40</t>
  </si>
  <si>
    <t>CR-092</t>
  </si>
  <si>
    <t>JF-004</t>
  </si>
  <si>
    <t>SHDW-036</t>
  </si>
  <si>
    <t>CRE-857</t>
  </si>
  <si>
    <t>JF-274</t>
  </si>
  <si>
    <t>CR-1002</t>
  </si>
  <si>
    <t>CR-095</t>
  </si>
  <si>
    <t>CRE-023</t>
  </si>
  <si>
    <t>CR-079</t>
  </si>
  <si>
    <t>CR-101</t>
  </si>
  <si>
    <t>OT-71</t>
  </si>
  <si>
    <t>OT-72</t>
  </si>
  <si>
    <t>SHDW-044</t>
  </si>
  <si>
    <t>SHDW-006</t>
  </si>
  <si>
    <t>EC-SRM 270</t>
  </si>
  <si>
    <t>EC-SRM 3605</t>
  </si>
  <si>
    <t>EC-SRM 4605</t>
  </si>
  <si>
    <t>OR-205963</t>
  </si>
  <si>
    <t>OR-238337</t>
  </si>
  <si>
    <t>SHDW-016</t>
  </si>
  <si>
    <t>SHDW-037</t>
  </si>
  <si>
    <t>SHDW-038</t>
  </si>
  <si>
    <t>CR-0100</t>
  </si>
  <si>
    <t>CR-01001</t>
  </si>
  <si>
    <t>CR-EC4000</t>
  </si>
  <si>
    <t>CR-523</t>
  </si>
  <si>
    <t>CR-EC4500</t>
  </si>
  <si>
    <t>CR-001</t>
  </si>
  <si>
    <t>CR-054</t>
  </si>
  <si>
    <t>CR-039</t>
  </si>
  <si>
    <t>JF-003</t>
  </si>
  <si>
    <t>JF-033</t>
  </si>
  <si>
    <t>JF-002</t>
  </si>
  <si>
    <t>JF-035</t>
  </si>
  <si>
    <t>JF-125</t>
  </si>
  <si>
    <t>CRE-127</t>
  </si>
  <si>
    <t>CR-096</t>
  </si>
  <si>
    <t>CR-097</t>
  </si>
  <si>
    <t>CR-098</t>
  </si>
  <si>
    <t>SHDW-045</t>
  </si>
  <si>
    <t>SHDW-012</t>
  </si>
  <si>
    <t>SHDW-013</t>
  </si>
  <si>
    <t>SHDW-014</t>
  </si>
  <si>
    <t>CR-099</t>
  </si>
  <si>
    <t>CR-065</t>
  </si>
  <si>
    <t>CR-011</t>
  </si>
  <si>
    <t>CR-012</t>
  </si>
  <si>
    <t>CR-080</t>
  </si>
  <si>
    <t>CR-066</t>
  </si>
  <si>
    <t>CRE-010</t>
  </si>
  <si>
    <t>CRE-005</t>
  </si>
  <si>
    <t>CRE-006</t>
  </si>
  <si>
    <t>CRE-253</t>
  </si>
  <si>
    <t>CR-067</t>
  </si>
  <si>
    <t>CR-014</t>
  </si>
  <si>
    <t>CR-018</t>
  </si>
  <si>
    <t>CRE-004</t>
  </si>
  <si>
    <t>CRE-125</t>
  </si>
  <si>
    <t>CR-015</t>
  </si>
  <si>
    <t>CRE-016</t>
  </si>
  <si>
    <t>CR-019</t>
  </si>
  <si>
    <t>CRE-003</t>
  </si>
  <si>
    <t>CRE-079</t>
  </si>
  <si>
    <t>CR-016</t>
  </si>
  <si>
    <t>CR-020</t>
  </si>
  <si>
    <t>JF-086</t>
  </si>
  <si>
    <t>CRE-856</t>
  </si>
  <si>
    <t>JF-085</t>
  </si>
  <si>
    <t>JF-082</t>
  </si>
  <si>
    <t>JF-084</t>
  </si>
  <si>
    <t>JF-083</t>
  </si>
  <si>
    <t>IMP-251</t>
  </si>
  <si>
    <t>SH-M230</t>
  </si>
  <si>
    <t>CR-119</t>
  </si>
  <si>
    <t>CR-117</t>
  </si>
  <si>
    <t>CR-DPF</t>
  </si>
  <si>
    <t>CR-DP1</t>
  </si>
  <si>
    <t>CR-DP2*</t>
  </si>
  <si>
    <t>CR-DP4*</t>
  </si>
  <si>
    <t>CR-052</t>
  </si>
  <si>
    <t>JF-007</t>
  </si>
  <si>
    <t>JF-038</t>
  </si>
  <si>
    <t>JF-040</t>
  </si>
  <si>
    <t>JF-031</t>
  </si>
  <si>
    <t>JF-006</t>
  </si>
  <si>
    <t>JF-039</t>
  </si>
  <si>
    <t>CR-082</t>
  </si>
  <si>
    <t>MOT-053</t>
  </si>
  <si>
    <t>CR-120</t>
  </si>
  <si>
    <t>OT-015</t>
  </si>
  <si>
    <t>OT-227</t>
  </si>
  <si>
    <t>OT-701</t>
  </si>
  <si>
    <t>CR-140</t>
  </si>
  <si>
    <t>PR-002</t>
  </si>
  <si>
    <t>MOT-15</t>
  </si>
  <si>
    <t>MOT-156</t>
  </si>
  <si>
    <t>COR-002</t>
  </si>
  <si>
    <t>COR-001</t>
  </si>
  <si>
    <t>CR-049</t>
  </si>
  <si>
    <t>CR-032</t>
  </si>
  <si>
    <t>PRO-001</t>
  </si>
  <si>
    <t>MOT-003</t>
  </si>
  <si>
    <t>MOT-004</t>
  </si>
  <si>
    <t>OT-113</t>
  </si>
  <si>
    <t>OT-107</t>
  </si>
  <si>
    <t>MOT-157</t>
  </si>
  <si>
    <t>CR-115</t>
  </si>
  <si>
    <t>CR-033</t>
  </si>
  <si>
    <t>SHDW-008</t>
  </si>
  <si>
    <t>SHDW-009</t>
  </si>
  <si>
    <t>EC-CS 680S</t>
  </si>
  <si>
    <t>OT-2356</t>
  </si>
  <si>
    <t>EC-P005001080</t>
  </si>
  <si>
    <t>EC-P005001130</t>
  </si>
  <si>
    <t>EC-P005001150</t>
  </si>
  <si>
    <t>EC-P005001160</t>
  </si>
  <si>
    <t>EC-P021000371</t>
  </si>
  <si>
    <t>EC-P021000803</t>
  </si>
  <si>
    <t>EC-P021001820</t>
  </si>
  <si>
    <t>EC-P021002461</t>
  </si>
  <si>
    <t>EC-P021006200</t>
  </si>
  <si>
    <t>EC-P021010210</t>
  </si>
  <si>
    <t>EC-P021010574</t>
  </si>
  <si>
    <t>EC-P021010581</t>
  </si>
  <si>
    <t>EC-P021012590</t>
  </si>
  <si>
    <t>EC-P021012600</t>
  </si>
  <si>
    <t>EC-P021015290</t>
  </si>
  <si>
    <t>EC-P021015780</t>
  </si>
  <si>
    <t>EC-P022006910</t>
  </si>
  <si>
    <t>EC-P022007041</t>
  </si>
  <si>
    <t>EC-P022007430</t>
  </si>
  <si>
    <t>EC-P022010440</t>
  </si>
  <si>
    <t>CR-126</t>
  </si>
  <si>
    <t>OT-55</t>
  </si>
  <si>
    <t>ALEN 4X20</t>
  </si>
  <si>
    <t>ALEN 5X16</t>
  </si>
  <si>
    <t>ALEN 5X25</t>
  </si>
  <si>
    <t>ALEN 5X16 CC</t>
  </si>
  <si>
    <t>ALEN 5X30</t>
  </si>
  <si>
    <t>ALEN 5X40</t>
  </si>
  <si>
    <t>ALEN 6X20</t>
  </si>
  <si>
    <t>CR-PP3</t>
  </si>
  <si>
    <t>CR-023</t>
  </si>
  <si>
    <t>SHDW-050</t>
  </si>
  <si>
    <t>SHDW-046</t>
  </si>
  <si>
    <t>SHDW-025</t>
  </si>
  <si>
    <t>SHDW-026</t>
  </si>
  <si>
    <t>SHDW-028</t>
  </si>
  <si>
    <t>EC-ES-255</t>
  </si>
  <si>
    <t>EC-SRAH-205</t>
  </si>
  <si>
    <t>IMP-254</t>
  </si>
  <si>
    <t>CRE-033</t>
  </si>
  <si>
    <t>CRE-034</t>
  </si>
  <si>
    <t>CRE-032</t>
  </si>
  <si>
    <t>CR-159</t>
  </si>
  <si>
    <t>CR-160</t>
  </si>
  <si>
    <t>CR-TMC4</t>
  </si>
  <si>
    <t>SHDW-018</t>
  </si>
  <si>
    <t>EC-V100000040</t>
  </si>
  <si>
    <t>EC-V430001330</t>
  </si>
  <si>
    <t>EC-X405000001</t>
  </si>
  <si>
    <t>EC-X405000011</t>
  </si>
  <si>
    <t>CR-062</t>
  </si>
  <si>
    <t>CR-063</t>
  </si>
  <si>
    <t>CR-064</t>
  </si>
  <si>
    <t>CR-056</t>
  </si>
  <si>
    <t>CR-057</t>
  </si>
  <si>
    <t>CR-060</t>
  </si>
  <si>
    <t>CR-061</t>
  </si>
  <si>
    <t>CR-058</t>
  </si>
  <si>
    <t>CR-059</t>
  </si>
  <si>
    <t>TipoCompra</t>
  </si>
  <si>
    <t>OT-694</t>
  </si>
  <si>
    <t>MOT-005</t>
  </si>
  <si>
    <t>Archivo</t>
  </si>
  <si>
    <t xml:space="preserve">MP-1266        </t>
  </si>
  <si>
    <t>MP-1262</t>
  </si>
  <si>
    <t>MP-460</t>
  </si>
  <si>
    <t>MP-465</t>
  </si>
  <si>
    <t>MP-890</t>
  </si>
  <si>
    <t>RENTABILIDAD</t>
  </si>
  <si>
    <t>Consumo</t>
  </si>
  <si>
    <t>CONS BUFF</t>
  </si>
  <si>
    <t>Nuevo Buff Sug</t>
  </si>
  <si>
    <t>Nuevo Buff Real</t>
  </si>
  <si>
    <t>Observaciones</t>
  </si>
  <si>
    <t>Tipo</t>
  </si>
  <si>
    <t>PEDIDCalc</t>
  </si>
  <si>
    <t>PEDID Real</t>
  </si>
  <si>
    <t>Inv Proveed</t>
  </si>
  <si>
    <t>PED PROM</t>
  </si>
  <si>
    <t>Ped Prom</t>
  </si>
  <si>
    <t>MP-034</t>
  </si>
  <si>
    <t>MP-259</t>
  </si>
  <si>
    <t>FIN</t>
  </si>
  <si>
    <t>SELECCIÓN DE TRANSFERENCIA</t>
  </si>
  <si>
    <t>REQ TOTAL</t>
  </si>
  <si>
    <t>CTV</t>
  </si>
  <si>
    <t>PV</t>
  </si>
  <si>
    <t>MOT-052</t>
  </si>
  <si>
    <t>SH-78890-14000</t>
  </si>
  <si>
    <t>EC-P021014320</t>
  </si>
  <si>
    <t>MP-2621</t>
  </si>
  <si>
    <t>MP-6610</t>
  </si>
  <si>
    <t>MP-667</t>
  </si>
  <si>
    <t>MP-6614</t>
  </si>
  <si>
    <t>MP-6613</t>
  </si>
  <si>
    <t>MP-6612</t>
  </si>
  <si>
    <t>MP791</t>
  </si>
  <si>
    <t>N-OO1</t>
  </si>
  <si>
    <t xml:space="preserve">Bodega </t>
  </si>
  <si>
    <t>BODEGA   -   DESTINO</t>
  </si>
  <si>
    <t>PROVEEDOR    -    ORIGEN</t>
  </si>
  <si>
    <t>PVP</t>
  </si>
  <si>
    <t>EC-001107</t>
  </si>
  <si>
    <t>BUFFER SUCUR</t>
  </si>
  <si>
    <t>INV FIS SUCUR</t>
  </si>
  <si>
    <t>SOBREINVENTARIO</t>
  </si>
  <si>
    <t>BODEGA</t>
  </si>
  <si>
    <t>INV FIS</t>
  </si>
  <si>
    <t>P-0013</t>
  </si>
  <si>
    <t>P-009</t>
  </si>
  <si>
    <t>MP-578</t>
  </si>
  <si>
    <t>MP-136</t>
  </si>
  <si>
    <t>MP-224</t>
  </si>
  <si>
    <t>RELACIÓN BUFFER</t>
  </si>
  <si>
    <t>RELACIÓN INV FIS</t>
  </si>
  <si>
    <t>(Todas)</t>
  </si>
  <si>
    <t>Color</t>
  </si>
  <si>
    <t>N</t>
  </si>
  <si>
    <t>Num</t>
  </si>
  <si>
    <t>Porc</t>
  </si>
  <si>
    <t>Cuenta de Color</t>
  </si>
  <si>
    <t>MP-558</t>
  </si>
  <si>
    <t>MP.0302</t>
  </si>
  <si>
    <t>MP-767</t>
  </si>
  <si>
    <t>SH-02432-28120</t>
  </si>
  <si>
    <t>EC-10000039130</t>
  </si>
  <si>
    <t>EC-10001130831</t>
  </si>
  <si>
    <t>EC-10001132431</t>
  </si>
  <si>
    <t>EC-10001139731</t>
  </si>
  <si>
    <t>EC-10001146430</t>
  </si>
  <si>
    <t>EC-10010030830</t>
  </si>
  <si>
    <t>EC-10010043130</t>
  </si>
  <si>
    <t>EC-10010055430</t>
  </si>
  <si>
    <t>EC-10010160931</t>
  </si>
  <si>
    <t>EC-10014212330</t>
  </si>
  <si>
    <t>EC-10020442230</t>
  </si>
  <si>
    <t>EC-10020455430</t>
  </si>
  <si>
    <t>EC-10020456232</t>
  </si>
  <si>
    <t>EC-10024242230</t>
  </si>
  <si>
    <t>EC-10024255430</t>
  </si>
  <si>
    <t>EC-10091532530</t>
  </si>
  <si>
    <t>EC-10092138330</t>
  </si>
  <si>
    <t>EC-10101030830</t>
  </si>
  <si>
    <t>EC-10101032431</t>
  </si>
  <si>
    <t>EC-10101161230</t>
  </si>
  <si>
    <t>EC-12300038832</t>
  </si>
  <si>
    <t>EC-12300060131</t>
  </si>
  <si>
    <t>EC-12318139130</t>
  </si>
  <si>
    <t>EC-12411405530</t>
  </si>
  <si>
    <t>EC-12411505530</t>
  </si>
  <si>
    <t>EC-12411605530</t>
  </si>
  <si>
    <t>EC-12412215310</t>
  </si>
  <si>
    <t>EC-12420013220</t>
  </si>
  <si>
    <t>EC-12431749930</t>
  </si>
  <si>
    <t>EC-12435550130</t>
  </si>
  <si>
    <t>EC-12436212710</t>
  </si>
  <si>
    <t>EC-12436312710</t>
  </si>
  <si>
    <t>EC-12438055430</t>
  </si>
  <si>
    <t>EC-12532508360</t>
  </si>
  <si>
    <t>EC-13000039131</t>
  </si>
  <si>
    <t>EC-13001038330</t>
  </si>
  <si>
    <t>EC-13002151530</t>
  </si>
  <si>
    <t>EC-13030013411</t>
  </si>
  <si>
    <t>EC-13030252131</t>
  </si>
  <si>
    <t>EC-13030747533</t>
  </si>
  <si>
    <t>EC-13031013410</t>
  </si>
  <si>
    <t>EC-13031306230</t>
  </si>
  <si>
    <t>EC-13031357030</t>
  </si>
  <si>
    <t>EC-13040652131</t>
  </si>
  <si>
    <t>EC-13051030830</t>
  </si>
  <si>
    <t>EC-13051039932</t>
  </si>
  <si>
    <t>EC-13100455530</t>
  </si>
  <si>
    <t>EC-13101064931</t>
  </si>
  <si>
    <t>EC-13120519831</t>
  </si>
  <si>
    <t>EC-13191043130</t>
  </si>
  <si>
    <t>EC-13192055430</t>
  </si>
  <si>
    <t>EC-13201035430</t>
  </si>
  <si>
    <t>EC-13211544330</t>
  </si>
  <si>
    <t>EC-13211555930</t>
  </si>
  <si>
    <t>EC-14551055932</t>
  </si>
  <si>
    <t>EC-15262655932</t>
  </si>
  <si>
    <t>EC-15660130832</t>
  </si>
  <si>
    <t>EC-15662639130</t>
  </si>
  <si>
    <t>EC-15680142230</t>
  </si>
  <si>
    <t>EC-17500030832</t>
  </si>
  <si>
    <t>EC-17504646430</t>
  </si>
  <si>
    <t>EC-17504656030</t>
  </si>
  <si>
    <t>EC-17504803920</t>
  </si>
  <si>
    <t>EC-17504805530</t>
  </si>
  <si>
    <t>EC-17504903920</t>
  </si>
  <si>
    <t>EC-17510530831</t>
  </si>
  <si>
    <t>EC-17720241030</t>
  </si>
  <si>
    <t>EC-17721535632</t>
  </si>
  <si>
    <t>EC-17721538330</t>
  </si>
  <si>
    <t>EC-17721540630</t>
  </si>
  <si>
    <t>EC-17722006310</t>
  </si>
  <si>
    <t>EC-17722040630</t>
  </si>
  <si>
    <t>EC-17722135631</t>
  </si>
  <si>
    <t>EC-17722138330</t>
  </si>
  <si>
    <t>EC-17722827030</t>
  </si>
  <si>
    <t>EC-17723440630</t>
  </si>
  <si>
    <t>EC-17812743230</t>
  </si>
  <si>
    <t>SH-20015-93200</t>
  </si>
  <si>
    <t>SH-22104-75420</t>
  </si>
  <si>
    <t>SH-22169-33740</t>
  </si>
  <si>
    <t>SH-22169-51170</t>
  </si>
  <si>
    <t>EC-25021111610</t>
  </si>
  <si>
    <t>EC-30100156831</t>
  </si>
  <si>
    <t>EC-30511055630</t>
  </si>
  <si>
    <t>EC-35101052931</t>
  </si>
  <si>
    <t>EC-35110247530</t>
  </si>
  <si>
    <t>EC-35121452931</t>
  </si>
  <si>
    <t>EC-35131122431</t>
  </si>
  <si>
    <t>EC-43101230831</t>
  </si>
  <si>
    <t>EC-43721015130</t>
  </si>
  <si>
    <t>EC-61001106230</t>
  </si>
  <si>
    <t>EC-61001125530</t>
  </si>
  <si>
    <t>EC-61020623030</t>
  </si>
  <si>
    <t>EC-61020643130</t>
  </si>
  <si>
    <t>EC-61020656930</t>
  </si>
  <si>
    <t>EC-61031005730</t>
  </si>
  <si>
    <t>EC-61031307132</t>
  </si>
  <si>
    <t>EC-61031421231</t>
  </si>
  <si>
    <t>EC-61032027430</t>
  </si>
  <si>
    <t>EC-61032052130</t>
  </si>
  <si>
    <t>EC-61043450031</t>
  </si>
  <si>
    <t>SH-63019-63170</t>
  </si>
  <si>
    <t>EC-69922956830</t>
  </si>
  <si>
    <t>SH-70210-32111</t>
  </si>
  <si>
    <t>EC-70602018220</t>
  </si>
  <si>
    <t>EC-70602034770</t>
  </si>
  <si>
    <t>EC-70602035911</t>
  </si>
  <si>
    <t>EC-70602042040</t>
  </si>
  <si>
    <t>EC-70602046780</t>
  </si>
  <si>
    <t>EC-70602047412</t>
  </si>
  <si>
    <t>EC-70602048970</t>
  </si>
  <si>
    <t>EC-70602049A20</t>
  </si>
  <si>
    <t>EC-70602060A22</t>
  </si>
  <si>
    <t>EC-70604001A61</t>
  </si>
  <si>
    <t>EC-70604003770</t>
  </si>
  <si>
    <t>EC-70613005230</t>
  </si>
  <si>
    <t>EC-70615050520</t>
  </si>
  <si>
    <t>EC-70616002061</t>
  </si>
  <si>
    <t>EC-70617038721</t>
  </si>
  <si>
    <t>CR-71.064.10</t>
  </si>
  <si>
    <t>SH-72547-91100</t>
  </si>
  <si>
    <t>SH-8003009</t>
  </si>
  <si>
    <t>EC-90016205050</t>
  </si>
  <si>
    <t>EC-90016205057</t>
  </si>
  <si>
    <t>SH-900302</t>
  </si>
  <si>
    <t>EC-9007200012</t>
  </si>
  <si>
    <t>SH-91032</t>
  </si>
  <si>
    <t>SH-9701401</t>
  </si>
  <si>
    <t>SH-9711151</t>
  </si>
  <si>
    <t>SH-9720135</t>
  </si>
  <si>
    <t>EC-9922956830</t>
  </si>
  <si>
    <t>EC-A011000120</t>
  </si>
  <si>
    <t>EC-A011000250</t>
  </si>
  <si>
    <t>EC-A011000810</t>
  </si>
  <si>
    <t>EC-A021000220</t>
  </si>
  <si>
    <t>EC-A021000290</t>
  </si>
  <si>
    <t>EC-A052000030</t>
  </si>
  <si>
    <t>EC-A052000380</t>
  </si>
  <si>
    <t>EC-A057000011</t>
  </si>
  <si>
    <t>EC-A101000000</t>
  </si>
  <si>
    <t>EC-A130000870</t>
  </si>
  <si>
    <t>EC-A202000060</t>
  </si>
  <si>
    <t>EC-A225000400</t>
  </si>
  <si>
    <t>EC-A235000220</t>
  </si>
  <si>
    <t>EC-A350000131</t>
  </si>
  <si>
    <t>EC-A393000050</t>
  </si>
  <si>
    <t>EC-A409000520</t>
  </si>
  <si>
    <t>EC-A411000031</t>
  </si>
  <si>
    <t>EC-A426000000</t>
  </si>
  <si>
    <t>EC-A427000000</t>
  </si>
  <si>
    <t>EC-A556000021</t>
  </si>
  <si>
    <t>EC-V304000010</t>
  </si>
  <si>
    <t>EC-V451000040</t>
  </si>
  <si>
    <t>EC-C400000211</t>
  </si>
  <si>
    <t>EC-C535000001</t>
  </si>
  <si>
    <t>EC-C536000030</t>
  </si>
  <si>
    <t>SH-CAB.- BUJIA</t>
  </si>
  <si>
    <t>SHDW-048</t>
  </si>
  <si>
    <t>EC-P003000240</t>
  </si>
  <si>
    <t>EC-P003000250</t>
  </si>
  <si>
    <t>EC-P005001110</t>
  </si>
  <si>
    <t>EC-P021002471</t>
  </si>
  <si>
    <t>EC-P021002791</t>
  </si>
  <si>
    <t>EC-P021004090</t>
  </si>
  <si>
    <t>EC-P021005410</t>
  </si>
  <si>
    <t>EC-P021005420</t>
  </si>
  <si>
    <t>EC-P021005900</t>
  </si>
  <si>
    <t>EC-P021005911</t>
  </si>
  <si>
    <t>EC-P021006153</t>
  </si>
  <si>
    <t>EC-P021006290</t>
  </si>
  <si>
    <t>EC-P021010582</t>
  </si>
  <si>
    <t>EC-P021012620</t>
  </si>
  <si>
    <t>EC-P021012830</t>
  </si>
  <si>
    <t>EC-P021012920</t>
  </si>
  <si>
    <t>EC-P021013620</t>
  </si>
  <si>
    <t>EC-P021014440</t>
  </si>
  <si>
    <t>EC-P021027040</t>
  </si>
  <si>
    <t>EC-P021029730</t>
  </si>
  <si>
    <t>EC-P022002080</t>
  </si>
  <si>
    <t>EC-P022006970</t>
  </si>
  <si>
    <t>EC-P022006980</t>
  </si>
  <si>
    <t>EC-P022007020</t>
  </si>
  <si>
    <t>EC-P022007030</t>
  </si>
  <si>
    <t>EC-P022007081</t>
  </si>
  <si>
    <t>EC-P022007090</t>
  </si>
  <si>
    <t>EC-P022007100</t>
  </si>
  <si>
    <t>EC-P022007131</t>
  </si>
  <si>
    <t>EC-P022007151</t>
  </si>
  <si>
    <t>EC-P022007160</t>
  </si>
  <si>
    <t>EC-P022007230</t>
  </si>
  <si>
    <t>EC-P022007460</t>
  </si>
  <si>
    <t>EC-V043000560</t>
  </si>
  <si>
    <t>EC-V102000001</t>
  </si>
  <si>
    <t>EC-V104000210</t>
  </si>
  <si>
    <t>EC-V430002910</t>
  </si>
  <si>
    <t>AGROTACENTRAL</t>
  </si>
  <si>
    <t>REPUESTOS DESMALEZADORA</t>
  </si>
  <si>
    <t>AGROFORESTAL</t>
  </si>
  <si>
    <t>REPUESTO BOMBA DE FUMIGACION</t>
  </si>
  <si>
    <t>EC-14587143130</t>
  </si>
  <si>
    <t>EC-90050000005</t>
  </si>
  <si>
    <t>EC-90024205057</t>
  </si>
  <si>
    <t>EC-90016205025</t>
  </si>
  <si>
    <t>EC-61020543131</t>
  </si>
  <si>
    <t>EC-P022024750</t>
  </si>
  <si>
    <t>EC-P022007120</t>
  </si>
  <si>
    <t>EC-13192443130</t>
  </si>
  <si>
    <t>EC-P022007060</t>
  </si>
  <si>
    <t>EC-61031507130</t>
  </si>
  <si>
    <t>EC-61023904130</t>
  </si>
  <si>
    <t>EC-P022007050</t>
  </si>
  <si>
    <t>OT-1131</t>
  </si>
  <si>
    <t>EC-17721543130</t>
  </si>
  <si>
    <t>EC-12415905530</t>
  </si>
  <si>
    <t>EC-P022007110</t>
  </si>
  <si>
    <t>EC-70602004970</t>
  </si>
  <si>
    <t>EC-A033000010</t>
  </si>
  <si>
    <t>EC-70602031A13</t>
  </si>
  <si>
    <t>EC-12436412710</t>
  </si>
  <si>
    <t>EC-12436112710</t>
  </si>
  <si>
    <t>EC-P021035430</t>
  </si>
  <si>
    <t>EC-12411411120</t>
  </si>
  <si>
    <t>EC-A232000940</t>
  </si>
  <si>
    <t>EC-A030000120</t>
  </si>
  <si>
    <t>EC-A052000370</t>
  </si>
  <si>
    <t>EC-A175000150</t>
  </si>
  <si>
    <t>EC-A130001820</t>
  </si>
  <si>
    <t>EC-A575000410</t>
  </si>
  <si>
    <t>EC-22169-53310</t>
  </si>
  <si>
    <t>EC-13001642231</t>
  </si>
  <si>
    <t>EC-A232000840</t>
  </si>
  <si>
    <t>EC-C534000600</t>
  </si>
  <si>
    <t>EC-V420002400</t>
  </si>
  <si>
    <t>REPUESTOS NEBULIZADORA. PULVERIZADORA Y ESPOLVEADORA</t>
  </si>
  <si>
    <t>EC-P004000440</t>
  </si>
  <si>
    <t>EC-12436721330</t>
  </si>
  <si>
    <t>EC-A556000650</t>
  </si>
  <si>
    <t>EC-A409000730</t>
  </si>
  <si>
    <t>EC-12311605160</t>
  </si>
  <si>
    <t>EC-A038000430</t>
  </si>
  <si>
    <t>EC-V299000420</t>
  </si>
  <si>
    <t>EC-12411511120</t>
  </si>
  <si>
    <t>EC-A101000330</t>
  </si>
  <si>
    <t>EC-A506000230</t>
  </si>
  <si>
    <t>EC-V583000140</t>
  </si>
  <si>
    <t>EC-A052000430</t>
  </si>
  <si>
    <t>EC-V304000180</t>
  </si>
  <si>
    <t>EC-63019-63170</t>
  </si>
  <si>
    <t>EC-V651000690</t>
  </si>
  <si>
    <t>EC-C050001920</t>
  </si>
  <si>
    <t>EC-V508000080</t>
  </si>
  <si>
    <t>EC-A033000230</t>
  </si>
  <si>
    <t>MOTOSIERRAS</t>
  </si>
  <si>
    <t>EC-V225000180</t>
  </si>
  <si>
    <t>EC-X475000050</t>
  </si>
  <si>
    <t>EC-450095060</t>
  </si>
  <si>
    <t>EC-4555310</t>
  </si>
  <si>
    <t>EC-A030000270</t>
  </si>
  <si>
    <t>EC-A058000010</t>
  </si>
  <si>
    <t>EC-A409000650</t>
  </si>
  <si>
    <t>EC-V471002660</t>
  </si>
  <si>
    <t>EC-P021030550</t>
  </si>
  <si>
    <t>EC-P021012781</t>
  </si>
  <si>
    <t>EC-A393000190</t>
  </si>
  <si>
    <t>EC-P021012791</t>
  </si>
  <si>
    <t>EC-P021021240</t>
  </si>
  <si>
    <t>EC-61028222360</t>
  </si>
  <si>
    <t>EC-61028222460</t>
  </si>
  <si>
    <t>EC-C510000120</t>
  </si>
  <si>
    <t>EC-13001316431</t>
  </si>
  <si>
    <t>EC-61029822360</t>
  </si>
  <si>
    <t>EC-P004000930</t>
  </si>
  <si>
    <t>EC-P004002860</t>
  </si>
  <si>
    <t>EC-A200000640</t>
  </si>
  <si>
    <t>EC-V353000430</t>
  </si>
  <si>
    <t>EC-V352000140</t>
  </si>
  <si>
    <t>EC-V322000040</t>
  </si>
  <si>
    <t>EC-A200000500</t>
  </si>
  <si>
    <t>EC-13001742031</t>
  </si>
  <si>
    <t>EC-V401000430</t>
  </si>
  <si>
    <t>EC-V420002390</t>
  </si>
  <si>
    <t>EC-V420000530</t>
  </si>
  <si>
    <t>EC-10091730830</t>
  </si>
  <si>
    <t>EC-10091716430</t>
  </si>
  <si>
    <t>EC-10091030830</t>
  </si>
  <si>
    <t>EC-10091016430</t>
  </si>
  <si>
    <t>EC-10092230830</t>
  </si>
  <si>
    <t>EC-61091051830</t>
  </si>
  <si>
    <t>EC-V420002520</t>
  </si>
  <si>
    <t>EC-13051630830</t>
  </si>
  <si>
    <t>EC-V580000100</t>
  </si>
  <si>
    <t>EC-A101000210</t>
  </si>
  <si>
    <t>EC-A101000370</t>
  </si>
  <si>
    <t>EC-10001116431</t>
  </si>
  <si>
    <t>EC-10001121230</t>
  </si>
  <si>
    <t>EC-9242435000</t>
  </si>
  <si>
    <t>EC-V580000110</t>
  </si>
  <si>
    <t>EC-A101000250</t>
  </si>
  <si>
    <t>EC-90060300005</t>
  </si>
  <si>
    <t>EC-C062000340</t>
  </si>
  <si>
    <t>EC-17720042033</t>
  </si>
  <si>
    <t>EC-A050000240</t>
  </si>
  <si>
    <t>EC-A051002010</t>
  </si>
  <si>
    <t>EC-A050000200</t>
  </si>
  <si>
    <t>EC-P021015160</t>
  </si>
  <si>
    <t>EC-17720016431</t>
  </si>
  <si>
    <t>EC-17720030831</t>
  </si>
  <si>
    <t>EC-A051001860</t>
  </si>
  <si>
    <t>EC-A392000060</t>
  </si>
  <si>
    <t>EC-12A0CD3744</t>
  </si>
  <si>
    <t>EC-X114000000</t>
  </si>
  <si>
    <t>EC-43021531733</t>
  </si>
  <si>
    <t>EC-A175000180</t>
  </si>
  <si>
    <t>EC-17722107060</t>
  </si>
  <si>
    <t>EC-17724214730</t>
  </si>
  <si>
    <t>EC-17724230830</t>
  </si>
  <si>
    <t>EC-A023000230</t>
  </si>
  <si>
    <t>EC-A410000010</t>
  </si>
  <si>
    <t>EC-A410000030</t>
  </si>
  <si>
    <t>EC-A411000780</t>
  </si>
  <si>
    <t>EC-A411000820</t>
  </si>
  <si>
    <t>EC-A411000880</t>
  </si>
  <si>
    <t>EC-A411000910</t>
  </si>
  <si>
    <t>EC-A411000790</t>
  </si>
  <si>
    <t>EC-15262660730</t>
  </si>
  <si>
    <t>EC-A411000450</t>
  </si>
  <si>
    <t>EC-15662652730</t>
  </si>
  <si>
    <t>NEBULIZADORA. PULVERIZADORA Y ESPOLVEADORA</t>
  </si>
  <si>
    <t>EC-A411001080</t>
  </si>
  <si>
    <t>EC-12438012710</t>
  </si>
  <si>
    <t>EC-43710016430</t>
  </si>
  <si>
    <t>EC-43710019832</t>
  </si>
  <si>
    <t>EC-A206000010</t>
  </si>
  <si>
    <t>EC-C501000070</t>
  </si>
  <si>
    <t>EC-P021023260</t>
  </si>
  <si>
    <t>EC-V430002930</t>
  </si>
  <si>
    <t>EC-V043000540</t>
  </si>
  <si>
    <t>EC-P022025180</t>
  </si>
  <si>
    <t>EC-V043000530</t>
  </si>
  <si>
    <t>EC-P022007440</t>
  </si>
  <si>
    <t>EC-V430002900</t>
  </si>
  <si>
    <t>EC-17800151030</t>
  </si>
  <si>
    <t>EC-91VX44CQ</t>
  </si>
  <si>
    <t>EC-C051000680</t>
  </si>
  <si>
    <t>EC-C531000600</t>
  </si>
  <si>
    <t>EC-C051000600</t>
  </si>
  <si>
    <t>EC-P021012591</t>
  </si>
  <si>
    <t>EC-P021028810</t>
  </si>
  <si>
    <t>EC-P021010232</t>
  </si>
  <si>
    <t>EC-A427000090</t>
  </si>
  <si>
    <t>EC-A021002120</t>
  </si>
  <si>
    <t>EC-A021002540</t>
  </si>
  <si>
    <t>EC-A021002520</t>
  </si>
  <si>
    <t>EC-A021002190</t>
  </si>
  <si>
    <t>EC-A021002570</t>
  </si>
  <si>
    <t>EC-A020000080</t>
  </si>
  <si>
    <t>EC-A021002140</t>
  </si>
  <si>
    <t>EC-A021001660</t>
  </si>
  <si>
    <t>EC-A021003180</t>
  </si>
  <si>
    <t>EC-12200032930</t>
  </si>
  <si>
    <t>EC-A021002690</t>
  </si>
  <si>
    <t>EC-12300052133</t>
  </si>
  <si>
    <t>EC-C051000120</t>
  </si>
  <si>
    <t>EC-C531000030</t>
  </si>
  <si>
    <t>EC-10020416430</t>
  </si>
  <si>
    <t>EC-P021015132</t>
  </si>
  <si>
    <t>EC-10020452132</t>
  </si>
  <si>
    <t>SHDW-051</t>
  </si>
  <si>
    <t>EC-A011000840</t>
  </si>
  <si>
    <t>EC-10010060731</t>
  </si>
  <si>
    <t>EC-A011000540</t>
  </si>
  <si>
    <t>EC-A011000101</t>
  </si>
  <si>
    <t>EC-A130001150</t>
  </si>
  <si>
    <t>EC-A130001340</t>
  </si>
  <si>
    <t>EC-A130001750</t>
  </si>
  <si>
    <t>EC-A130001330</t>
  </si>
  <si>
    <t>EC-A130001780</t>
  </si>
  <si>
    <t>EC-A130001390</t>
  </si>
  <si>
    <t>EC-A130001380</t>
  </si>
  <si>
    <t>EC-A130001370</t>
  </si>
  <si>
    <t>EC-10101160730</t>
  </si>
  <si>
    <t>EC-A130000910</t>
  </si>
  <si>
    <t>EC-10101108961</t>
  </si>
  <si>
    <t>EC-V358000130</t>
  </si>
  <si>
    <t>EC-V360000060</t>
  </si>
  <si>
    <t>EC-C482000070</t>
  </si>
  <si>
    <t>EC-61001222361</t>
  </si>
  <si>
    <t>EC-A429000120</t>
  </si>
  <si>
    <t>EC-A429000110</t>
  </si>
  <si>
    <t>EC-A160001650</t>
  </si>
  <si>
    <t>EC-P021030360</t>
  </si>
  <si>
    <t>EC-A160002240</t>
  </si>
  <si>
    <t>EC-43302116430</t>
  </si>
  <si>
    <t>EC-A172001270</t>
  </si>
  <si>
    <t>EC-A172001300</t>
  </si>
  <si>
    <t>EC-A232000710</t>
  </si>
  <si>
    <t>EC-A320000760</t>
  </si>
  <si>
    <t>EC-A320000080</t>
  </si>
  <si>
    <t>EC-X411000960</t>
  </si>
  <si>
    <t>EC-X411001150</t>
  </si>
  <si>
    <t>EC-X411000950</t>
  </si>
  <si>
    <t>EC-X411000940</t>
  </si>
  <si>
    <t>EC-A509000320</t>
  </si>
  <si>
    <t>EC-A509000190</t>
  </si>
  <si>
    <t>EC-12211200230</t>
  </si>
  <si>
    <t>EC-12314116131</t>
  </si>
  <si>
    <t>EC-12311212330</t>
  </si>
  <si>
    <t>EC-12214100230</t>
  </si>
  <si>
    <t>EC-C504000740</t>
  </si>
  <si>
    <t>EC-C504000500</t>
  </si>
  <si>
    <t>EC-C504000620</t>
  </si>
  <si>
    <t>EC-C504000690</t>
  </si>
  <si>
    <t>EC-C504000700</t>
  </si>
  <si>
    <t>EC-C534000590</t>
  </si>
  <si>
    <t>EC-C534000680</t>
  </si>
  <si>
    <t>EC-61001122460</t>
  </si>
  <si>
    <t>EC-C506000160</t>
  </si>
  <si>
    <t>EC-C506000200</t>
  </si>
  <si>
    <t>EC-61031056931</t>
  </si>
  <si>
    <t>EC-61001122061</t>
  </si>
  <si>
    <t>EC-A056000640</t>
  </si>
  <si>
    <t>EC-A056000450</t>
  </si>
  <si>
    <t>EC-P021017990</t>
  </si>
  <si>
    <t>EC-A056000620</t>
  </si>
  <si>
    <t>EC-A056000220</t>
  </si>
  <si>
    <t>EC-A056000170</t>
  </si>
  <si>
    <t>EC-17500056831</t>
  </si>
  <si>
    <t>EC-8003009</t>
  </si>
  <si>
    <t>EC-13001005960</t>
  </si>
  <si>
    <t>EC-V103001040</t>
  </si>
  <si>
    <t>EC-V103000070</t>
  </si>
  <si>
    <t>EC-V103000950</t>
  </si>
  <si>
    <t>EC-V103001200</t>
  </si>
  <si>
    <t>EC-V103001030</t>
  </si>
  <si>
    <t>EC-70602038720</t>
  </si>
  <si>
    <t>EC-V103000850</t>
  </si>
  <si>
    <t>EC-V103001080</t>
  </si>
  <si>
    <t>EC-10024230830</t>
  </si>
  <si>
    <t>EC-V102000060</t>
  </si>
  <si>
    <t>EC-10024232430</t>
  </si>
  <si>
    <t>EC-10024242030</t>
  </si>
  <si>
    <t>EC-V100000490</t>
  </si>
  <si>
    <t>EC-V100000450</t>
  </si>
  <si>
    <t>EC-V100000410</t>
  </si>
  <si>
    <t>EC-V100000270</t>
  </si>
  <si>
    <t>EC-V100000470</t>
  </si>
  <si>
    <t>EC-10101016431</t>
  </si>
  <si>
    <t>EC-10101044332</t>
  </si>
  <si>
    <t>EC-12314016131</t>
  </si>
  <si>
    <t>EC-12312512330</t>
  </si>
  <si>
    <t>EC-12314016130</t>
  </si>
  <si>
    <t>EC-12214000230</t>
  </si>
  <si>
    <t>SH-224127-13710</t>
  </si>
  <si>
    <t>EC-V104000920</t>
  </si>
  <si>
    <t>EC-V104000910</t>
  </si>
  <si>
    <t>EC-V307000230</t>
  </si>
  <si>
    <t>EC-V104001330</t>
  </si>
  <si>
    <t>DESMALEZADORA</t>
  </si>
  <si>
    <t>EC-V104001500</t>
  </si>
  <si>
    <t>EC-14551030830</t>
  </si>
  <si>
    <t>EC-12212500230</t>
  </si>
  <si>
    <t>EC-13001606232</t>
  </si>
  <si>
    <t>EC-V103000490</t>
  </si>
  <si>
    <t>EC-V103001010</t>
  </si>
  <si>
    <t>EC-V652000170</t>
  </si>
  <si>
    <t>EC-V652000190</t>
  </si>
  <si>
    <t>EC-43700237530</t>
  </si>
  <si>
    <t>EC-43301116430</t>
  </si>
  <si>
    <t>EC-A226000580</t>
  </si>
  <si>
    <t>EC-A226000670</t>
  </si>
  <si>
    <t>EC-A226000660</t>
  </si>
  <si>
    <t>EC-A226000740</t>
  </si>
  <si>
    <t>EC-A226000650</t>
  </si>
  <si>
    <t>EC-A226000300</t>
  </si>
  <si>
    <t>EC-A226000310</t>
  </si>
  <si>
    <t>EC-A369000100</t>
  </si>
  <si>
    <t>EC-A369000070</t>
  </si>
  <si>
    <t>EC-A037000000</t>
  </si>
  <si>
    <t>EC-A225000490</t>
  </si>
  <si>
    <t>EC-13030516430</t>
  </si>
  <si>
    <t>EC-P021016370</t>
  </si>
  <si>
    <t>EC-13030330831</t>
  </si>
  <si>
    <t>EC-A226001410</t>
  </si>
  <si>
    <t>EC-13031043130</t>
  </si>
  <si>
    <t>EC-13120507320</t>
  </si>
  <si>
    <t>EC-400442310</t>
  </si>
  <si>
    <t>EC-22169-54103</t>
  </si>
  <si>
    <t>EC-C450000042</t>
  </si>
  <si>
    <t>EC-17801022560</t>
  </si>
  <si>
    <t>EC-A510000110</t>
  </si>
  <si>
    <t>EC-C316000010</t>
  </si>
  <si>
    <t>EC-16340032430</t>
  </si>
  <si>
    <t>EC-A101000560</t>
  </si>
  <si>
    <t>EC-A101000520</t>
  </si>
  <si>
    <t>EC-A101000350</t>
  </si>
  <si>
    <t>EC-A101000400</t>
  </si>
  <si>
    <t>EC-A101000380</t>
  </si>
  <si>
    <t>EC-A101000360</t>
  </si>
  <si>
    <t>EC-70602040771</t>
  </si>
  <si>
    <t>EC-V651000550</t>
  </si>
  <si>
    <t>EC-P021011610</t>
  </si>
  <si>
    <t>EC-P021015190</t>
  </si>
  <si>
    <t>EC-10000052130</t>
  </si>
  <si>
    <t>EC-12310052130</t>
  </si>
  <si>
    <t>EC-P021027280</t>
  </si>
  <si>
    <t>EC-P021027030</t>
  </si>
  <si>
    <t>EC-P021027100</t>
  </si>
  <si>
    <t>EC-P021032910</t>
  </si>
  <si>
    <t>EC-P021036100</t>
  </si>
  <si>
    <t>EC-P021031650</t>
  </si>
  <si>
    <t>EC-89757005560</t>
  </si>
  <si>
    <t>EC-60405105560</t>
  </si>
  <si>
    <t>EC-A202000180</t>
  </si>
  <si>
    <t>EC-V475004810</t>
  </si>
  <si>
    <t>EC-13051016431</t>
  </si>
  <si>
    <t>EC-A202000080</t>
  </si>
  <si>
    <t>EC-A511000160</t>
  </si>
  <si>
    <t>EC-35110022362</t>
  </si>
  <si>
    <t>EC-P021016250</t>
  </si>
  <si>
    <t>EC-81630</t>
  </si>
  <si>
    <t>EC-70604060762</t>
  </si>
  <si>
    <t>EC-A356000030</t>
  </si>
  <si>
    <t>EC-90072000012</t>
  </si>
  <si>
    <t>EC-V138000020</t>
  </si>
  <si>
    <t>EC-C044000880</t>
  </si>
  <si>
    <t>EC-12312318330</t>
  </si>
  <si>
    <t>EC-P004001340</t>
  </si>
  <si>
    <t>EC-12212300230</t>
  </si>
  <si>
    <t>EC-17809037930</t>
  </si>
  <si>
    <t>EC-V299000410</t>
  </si>
  <si>
    <t>EC-V205000480</t>
  </si>
  <si>
    <t>EC-V206000230</t>
  </si>
  <si>
    <t>EC-V206000220</t>
  </si>
  <si>
    <t>EC-V216000040</t>
  </si>
  <si>
    <t>EC-90016205014</t>
  </si>
  <si>
    <t>EC-V205000400</t>
  </si>
  <si>
    <t>EC-10091516430</t>
  </si>
  <si>
    <t>EC-V651000700</t>
  </si>
  <si>
    <t>EC-V651000520</t>
  </si>
  <si>
    <t>EC-V651000540</t>
  </si>
  <si>
    <t>EC-682100</t>
  </si>
  <si>
    <t>EC-P021032610</t>
  </si>
  <si>
    <t>EC-P021031630</t>
  </si>
  <si>
    <t>EC-P021027090</t>
  </si>
  <si>
    <t>EC-P021030570</t>
  </si>
  <si>
    <t>EC-P021031560</t>
  </si>
  <si>
    <t>EC-P021033470</t>
  </si>
  <si>
    <t>EC-P021014260</t>
  </si>
  <si>
    <t>EC-P021015770</t>
  </si>
  <si>
    <t>EC-C53500850</t>
  </si>
  <si>
    <t>EC-13051214731</t>
  </si>
  <si>
    <t>EC-C305000040</t>
  </si>
  <si>
    <t>EC-43301330830</t>
  </si>
  <si>
    <t>EC-A570000200</t>
  </si>
  <si>
    <t>EC-A244000180</t>
  </si>
  <si>
    <t>EC-A200000870</t>
  </si>
  <si>
    <t>EC-A520000170</t>
  </si>
  <si>
    <t>EC-17720212220</t>
  </si>
  <si>
    <t>EC-A226000520</t>
  </si>
  <si>
    <t>EC-P021028900</t>
  </si>
  <si>
    <t>EC-C535000630</t>
  </si>
  <si>
    <t>EC-C535000530</t>
  </si>
  <si>
    <t>EC-A175000200</t>
  </si>
  <si>
    <t>EC-A175000210</t>
  </si>
  <si>
    <t>EC-30511042030</t>
  </si>
  <si>
    <t>EC-C535000790</t>
  </si>
  <si>
    <t>EC-A504000140</t>
  </si>
  <si>
    <t>EC-A504000060</t>
  </si>
  <si>
    <t>EC-A504000130</t>
  </si>
  <si>
    <t>EC-A426000050</t>
  </si>
  <si>
    <t>EC-17722010631</t>
  </si>
  <si>
    <t>EC-17723412220</t>
  </si>
  <si>
    <t>EC-17722042030</t>
  </si>
  <si>
    <t>EC-12312232630</t>
  </si>
  <si>
    <t>EC-10494022560</t>
  </si>
  <si>
    <t>EC-V452000550</t>
  </si>
  <si>
    <t>EC-V450000150</t>
  </si>
  <si>
    <t>EC-17723419832</t>
  </si>
  <si>
    <t>EC-17723430830</t>
  </si>
  <si>
    <t>EC-A566000130</t>
  </si>
  <si>
    <t>EC-A566000150</t>
  </si>
  <si>
    <t>EC-A566000200</t>
  </si>
  <si>
    <t>EC-P022007310</t>
  </si>
  <si>
    <t>EC-P004000890</t>
  </si>
  <si>
    <t>EC-17722035430</t>
  </si>
  <si>
    <t>EC-V452000520</t>
  </si>
  <si>
    <t>EC-V452000560</t>
  </si>
  <si>
    <t>EC-V509000000</t>
  </si>
  <si>
    <t>EC-V505000080</t>
  </si>
  <si>
    <t>EC-V508000050</t>
  </si>
  <si>
    <t>EC-V513000000</t>
  </si>
  <si>
    <t>EC-10021300310</t>
  </si>
  <si>
    <t>EC-10021305530</t>
  </si>
  <si>
    <t>EC-61041307130</t>
  </si>
  <si>
    <t>EC-10021302830</t>
  </si>
  <si>
    <t>EC-10021227930</t>
  </si>
  <si>
    <t>EC-A300000781</t>
  </si>
  <si>
    <t>EC-C535000510</t>
  </si>
  <si>
    <t>EC-C535000850</t>
  </si>
  <si>
    <t>EC-C535000520</t>
  </si>
  <si>
    <t>EC-61010522360</t>
  </si>
  <si>
    <t>EC-V641000140</t>
  </si>
  <si>
    <t>EC-V490000530</t>
  </si>
  <si>
    <t>EC-A506000270</t>
  </si>
  <si>
    <t>EC-A506000260</t>
  </si>
  <si>
    <t>EC-A506000150</t>
  </si>
  <si>
    <t>EC-A506000120</t>
  </si>
  <si>
    <t>EC-A506000110</t>
  </si>
  <si>
    <t>EC-17720614330</t>
  </si>
  <si>
    <t>EC-17721544430</t>
  </si>
  <si>
    <t>EC-A556000890</t>
  </si>
  <si>
    <t>EC-17500660730</t>
  </si>
  <si>
    <t>EC-A055000020</t>
  </si>
  <si>
    <t>EC-A556000870</t>
  </si>
  <si>
    <t>EC-A556000960</t>
  </si>
  <si>
    <t>EC-A055000000</t>
  </si>
  <si>
    <t>EC-A055000100</t>
  </si>
  <si>
    <t>EC-17500542030</t>
  </si>
  <si>
    <t>EC-13100546831</t>
  </si>
  <si>
    <t>EC-A033000070</t>
  </si>
  <si>
    <t>EC-P021003540</t>
  </si>
  <si>
    <t>EC-P004000700</t>
  </si>
  <si>
    <t>EC-9103006010</t>
  </si>
  <si>
    <t>EC-4575740</t>
  </si>
  <si>
    <t>EC-43301416430</t>
  </si>
  <si>
    <t>EC-P004000880</t>
  </si>
  <si>
    <t>EC-17809022560</t>
  </si>
  <si>
    <t>EC-A514000130</t>
  </si>
  <si>
    <t>EC-A514000080</t>
  </si>
  <si>
    <t>EC-A518000010</t>
  </si>
  <si>
    <t>EC-17721832631</t>
  </si>
  <si>
    <t>EC-17721844330</t>
  </si>
  <si>
    <t>EC-17721830830</t>
  </si>
  <si>
    <t>EC-C050001880</t>
  </si>
  <si>
    <t>EC-P021032670</t>
  </si>
  <si>
    <t>EC-P021028610</t>
  </si>
  <si>
    <t>EC-61022222360</t>
  </si>
  <si>
    <t>EC-61021022461</t>
  </si>
  <si>
    <t>EC-43301616430</t>
  </si>
  <si>
    <t>EC-V265000250</t>
  </si>
  <si>
    <t>EC-43301910631</t>
  </si>
  <si>
    <t>EC-A416000000</t>
  </si>
  <si>
    <t>EC-A039000020</t>
  </si>
  <si>
    <t>EC-A356000050</t>
  </si>
  <si>
    <t>EC-12437455430</t>
  </si>
  <si>
    <t>EC-P004001660</t>
  </si>
  <si>
    <t>EC-12213700230</t>
  </si>
  <si>
    <t>EC-C454000181</t>
  </si>
  <si>
    <t>EC-A409000640</t>
  </si>
  <si>
    <t>EC-80250</t>
  </si>
  <si>
    <t>EC-A555000130</t>
  </si>
  <si>
    <t>EC-A056000330</t>
  </si>
  <si>
    <t>EC-CS-680S-50STD</t>
  </si>
  <si>
    <t>EC-CS-3500-40EUSTD</t>
  </si>
  <si>
    <t>EC-90SG-39X</t>
  </si>
  <si>
    <t>EC-CS-8002-80EUSTD</t>
  </si>
  <si>
    <t>SH-99909-55133</t>
  </si>
  <si>
    <t>EC-43052737333</t>
  </si>
  <si>
    <t>EC-43021330833</t>
  </si>
  <si>
    <t>EC-43021530833</t>
  </si>
  <si>
    <t>EC-43021531731</t>
  </si>
  <si>
    <t>EC-GP450INTL</t>
  </si>
  <si>
    <t>BOMBA DE FUMIGACION</t>
  </si>
  <si>
    <t>EC-WP-1000</t>
  </si>
  <si>
    <t>EC-SHP-800EUSTD</t>
  </si>
  <si>
    <t>EC-ES726</t>
  </si>
  <si>
    <t>BOMBA DE FUMIGAR A MOTOR ES726</t>
  </si>
  <si>
    <t>EC-SP30BPE</t>
  </si>
  <si>
    <t>EC-SP40BPS</t>
  </si>
  <si>
    <t>EC-SP45BPE</t>
  </si>
  <si>
    <t>EC-SP20HPS</t>
  </si>
  <si>
    <t>EC-80794A</t>
  </si>
  <si>
    <t>EC-80786</t>
  </si>
  <si>
    <t>EC-43171730230</t>
  </si>
  <si>
    <t>EC-43101330831</t>
  </si>
  <si>
    <t>EC-43113516431</t>
  </si>
  <si>
    <t>EC-22CINTL</t>
  </si>
  <si>
    <t>EC-B450EMC</t>
  </si>
  <si>
    <t>EC-B450/AUS</t>
  </si>
  <si>
    <t>DESMALEZADORA B450 AUS</t>
  </si>
  <si>
    <t>EC-B530INTL</t>
  </si>
  <si>
    <t>EC-BP35INTL</t>
  </si>
  <si>
    <t>EC-C230INTL</t>
  </si>
  <si>
    <t>EC-C350INTL</t>
  </si>
  <si>
    <t>EC-GT-22GES</t>
  </si>
  <si>
    <t>EC-SRM-270UEU</t>
  </si>
  <si>
    <t>EC-SRM-3605UEU</t>
  </si>
  <si>
    <t>EC-SRM-4300F</t>
  </si>
  <si>
    <t>EC-SRM-4300R</t>
  </si>
  <si>
    <t>EC-SRM-4605UEU</t>
  </si>
  <si>
    <t>EC-SRM-22GUES</t>
  </si>
  <si>
    <t>EC-T230XREMC</t>
  </si>
  <si>
    <t>EC-102922452</t>
  </si>
  <si>
    <t>EC-M230/EMC</t>
  </si>
  <si>
    <t>EC-C062000430</t>
  </si>
  <si>
    <t>EC-488-50EMC</t>
  </si>
  <si>
    <t>EC-577-60INTL</t>
  </si>
  <si>
    <t>EC-757-70INTL</t>
  </si>
  <si>
    <t>EC-CS-1201-90EUSTD</t>
  </si>
  <si>
    <t>EC-CS-3000-30EUSTD</t>
  </si>
  <si>
    <t>EC-CS-3500-35EUSTD</t>
  </si>
  <si>
    <t>EC-CS-420ES-45EU</t>
  </si>
  <si>
    <t>EC-CS-510-50EU</t>
  </si>
  <si>
    <t>EC-CS-600-50EUSTD</t>
  </si>
  <si>
    <t>EC-CS-680S-70EUSTD</t>
  </si>
  <si>
    <t>EC-DM-6110-13EUSTD</t>
  </si>
  <si>
    <t xml:space="preserve">PODADORAS DE ALTURA </t>
  </si>
  <si>
    <t>EC-PPT-2400STD</t>
  </si>
  <si>
    <t>PODADORA DE EXTENSION 2400STD</t>
  </si>
  <si>
    <t>EC-EB500/EC1</t>
  </si>
  <si>
    <t>EC-EDR-210</t>
  </si>
  <si>
    <t>INCO-9661970</t>
  </si>
  <si>
    <t>INCO-9061910</t>
  </si>
  <si>
    <t>INCO-9031910</t>
  </si>
  <si>
    <t>INCO-9051910</t>
  </si>
  <si>
    <t>INCO-9511900</t>
  </si>
  <si>
    <t>OT-A48</t>
  </si>
  <si>
    <t>IB-007</t>
  </si>
  <si>
    <t>OT-B48</t>
  </si>
  <si>
    <t>OT-B83</t>
  </si>
  <si>
    <t>OT-B87</t>
  </si>
  <si>
    <t>OT-B95</t>
  </si>
  <si>
    <t>RULIT-009</t>
  </si>
  <si>
    <t>CR-DPC4</t>
  </si>
  <si>
    <t>CR-DPFSR</t>
  </si>
  <si>
    <t>CR-PPC3</t>
  </si>
  <si>
    <t>OT-478</t>
  </si>
  <si>
    <t>OT-481</t>
  </si>
  <si>
    <t>OT-653</t>
  </si>
  <si>
    <t>CR-241</t>
  </si>
  <si>
    <t>CR-240</t>
  </si>
  <si>
    <t>OT-11</t>
  </si>
  <si>
    <t>OT-479</t>
  </si>
  <si>
    <t>CR-ECO2000</t>
  </si>
  <si>
    <t>CR-114</t>
  </si>
  <si>
    <t>CR-85.021.05</t>
  </si>
  <si>
    <t>EC-13-58</t>
  </si>
  <si>
    <t>EC-P022002100</t>
  </si>
  <si>
    <t>EC-70617051631</t>
  </si>
  <si>
    <t>EC-70617052970</t>
  </si>
  <si>
    <t>EC-70617047620</t>
  </si>
  <si>
    <t>EC-V505000140</t>
  </si>
  <si>
    <t>EC-A011001060</t>
  </si>
  <si>
    <t>EC-V420002510</t>
  </si>
  <si>
    <t>EC-V043000550</t>
  </si>
  <si>
    <t>EC-A011000830</t>
  </si>
  <si>
    <t>EC-P021032390</t>
  </si>
  <si>
    <t>EC-P021032440</t>
  </si>
  <si>
    <t>EC-V420002500</t>
  </si>
  <si>
    <t>EC-9311503010</t>
  </si>
  <si>
    <t>EC-A011000720</t>
  </si>
  <si>
    <t>EC-A320000890</t>
  </si>
  <si>
    <t>EC-A232000820</t>
  </si>
  <si>
    <t>EC-P021027031</t>
  </si>
  <si>
    <t>EC-A055000140</t>
  </si>
  <si>
    <t>EC-70617050720</t>
  </si>
  <si>
    <t>EC-70604062621</t>
  </si>
  <si>
    <t>EC-P004002680</t>
  </si>
  <si>
    <t>EC-A409000620</t>
  </si>
  <si>
    <t>EC-P021022590</t>
  </si>
  <si>
    <t>EC-73LGX72X</t>
  </si>
  <si>
    <t>EC-73LGX84X</t>
  </si>
  <si>
    <t>EC-82002</t>
  </si>
  <si>
    <t>EC-82003</t>
  </si>
  <si>
    <t>EC-82067A</t>
  </si>
  <si>
    <t>EC-65003</t>
  </si>
  <si>
    <t>EC-65001</t>
  </si>
  <si>
    <t>EC-65002</t>
  </si>
  <si>
    <t>EC-SHP-800-2</t>
  </si>
  <si>
    <t>EC-HC-150STD</t>
  </si>
  <si>
    <t>DESMALEZADORA B450</t>
  </si>
  <si>
    <t>EC-C270EMC</t>
  </si>
  <si>
    <t>EC-CS-8002-60EUSTD</t>
  </si>
  <si>
    <t>EC-CS-8002-70EUSTD</t>
  </si>
  <si>
    <t>EC-DM6110EUSTD</t>
  </si>
  <si>
    <t>NEBULIZADORA, PULVERIZADORA 23LITROS</t>
  </si>
  <si>
    <t>SH-90SG-033X</t>
  </si>
  <si>
    <t>L</t>
  </si>
  <si>
    <t>A</t>
  </si>
  <si>
    <t>R</t>
  </si>
  <si>
    <t>PEDID Prom</t>
  </si>
  <si>
    <t>T$D</t>
  </si>
  <si>
    <t>I$D</t>
  </si>
  <si>
    <t>Vel Efect</t>
  </si>
  <si>
    <t>Servicio</t>
  </si>
  <si>
    <t>Ult Cambio</t>
  </si>
  <si>
    <t>VEL EFECT</t>
  </si>
  <si>
    <t>SERVICIO</t>
  </si>
  <si>
    <t>P-0014</t>
  </si>
  <si>
    <t>P-0012</t>
  </si>
  <si>
    <t>P-0011</t>
  </si>
  <si>
    <t>MP-01245</t>
  </si>
  <si>
    <t>MP-1266</t>
  </si>
  <si>
    <t>MP-194589</t>
  </si>
  <si>
    <t>MP-065</t>
  </si>
  <si>
    <t>MP-371</t>
  </si>
  <si>
    <t>P-0010</t>
  </si>
  <si>
    <t>MP-2681</t>
  </si>
  <si>
    <t>MP-268</t>
  </si>
  <si>
    <t>MP-187</t>
  </si>
  <si>
    <t>MP-19457</t>
  </si>
  <si>
    <t>MP-19452</t>
  </si>
  <si>
    <t>MP-19456</t>
  </si>
  <si>
    <t>MP-19460</t>
  </si>
  <si>
    <t>MP-19453</t>
  </si>
  <si>
    <t>MP-19458</t>
  </si>
  <si>
    <t>MP-19459</t>
  </si>
  <si>
    <t>MP-856</t>
  </si>
  <si>
    <t>MP-3611</t>
  </si>
  <si>
    <t>MP-3612</t>
  </si>
  <si>
    <t>MP-2611</t>
  </si>
  <si>
    <t>MP-19454</t>
  </si>
  <si>
    <t>MP-19451</t>
  </si>
  <si>
    <t>MP-19455</t>
  </si>
  <si>
    <t>MP-1234</t>
  </si>
  <si>
    <t>MP-1323</t>
  </si>
  <si>
    <t>MP-791</t>
  </si>
  <si>
    <t>MP-2022</t>
  </si>
  <si>
    <t>MP-2023</t>
  </si>
  <si>
    <t>MP-2021</t>
  </si>
  <si>
    <t>MP-0471</t>
  </si>
  <si>
    <t>MP-790</t>
  </si>
  <si>
    <t>MP-7911</t>
  </si>
  <si>
    <t>MP-1945</t>
  </si>
  <si>
    <t>MP-0381</t>
  </si>
  <si>
    <t>MP-1946</t>
  </si>
  <si>
    <t>MP-0641</t>
  </si>
  <si>
    <t>MP-0291</t>
  </si>
  <si>
    <t>MP-0292</t>
  </si>
  <si>
    <t>MP-800</t>
  </si>
  <si>
    <t>MP-803</t>
  </si>
  <si>
    <t>MP-802</t>
  </si>
  <si>
    <t>MP-801</t>
  </si>
  <si>
    <t>MP-0241</t>
  </si>
  <si>
    <t>MP-0242</t>
  </si>
  <si>
    <t xml:space="preserve">IN-6615        </t>
  </si>
  <si>
    <t>MP-060</t>
  </si>
  <si>
    <t>G-0041</t>
  </si>
  <si>
    <t>EC-X605000090</t>
  </si>
  <si>
    <t>EC-X600000111</t>
  </si>
  <si>
    <t>SH-22000-92157</t>
  </si>
  <si>
    <t>SH-40084-20</t>
  </si>
  <si>
    <t>EC-73LGX92X</t>
  </si>
  <si>
    <t>SH-713545</t>
  </si>
  <si>
    <t>EC-P021033200</t>
  </si>
  <si>
    <t>SH-72LG0-105X</t>
  </si>
  <si>
    <t>SH-72LG0-84X</t>
  </si>
  <si>
    <t>EC-80425</t>
  </si>
  <si>
    <t>EC-80426</t>
  </si>
  <si>
    <t>SH-80728</t>
  </si>
  <si>
    <t>EC-88102</t>
  </si>
  <si>
    <t>SH-99909-55130</t>
  </si>
  <si>
    <t>EC-6450107</t>
  </si>
  <si>
    <t>EC-83003</t>
  </si>
  <si>
    <t>OT-SRAH-ADAP</t>
  </si>
  <si>
    <t>EC-80678</t>
  </si>
  <si>
    <t>EC-901018</t>
  </si>
  <si>
    <t>EC-108636-10</t>
  </si>
  <si>
    <t>SH-9214D-24</t>
  </si>
  <si>
    <t>SH-9216D-32</t>
  </si>
  <si>
    <t>EC-20D8TW3872</t>
  </si>
  <si>
    <t>EC-24D8TW3884</t>
  </si>
  <si>
    <t>EC-28D8TW3892</t>
  </si>
  <si>
    <t>EC-43052737332</t>
  </si>
  <si>
    <t>EC-43021113432</t>
  </si>
  <si>
    <t>EC-E025000260</t>
  </si>
  <si>
    <t>FUM-002</t>
  </si>
  <si>
    <t>EC-99944900040</t>
  </si>
  <si>
    <t>SH-78890-11000</t>
  </si>
  <si>
    <t>EC-99944200904</t>
  </si>
  <si>
    <t>EC-72LPX60CQ</t>
  </si>
  <si>
    <t>EC-91VX57X</t>
  </si>
  <si>
    <t>SHDW-021</t>
  </si>
  <si>
    <t>EC-88056</t>
  </si>
  <si>
    <t>EC-88057</t>
  </si>
  <si>
    <t>EC-88051</t>
  </si>
  <si>
    <t>EC-88054</t>
  </si>
  <si>
    <t>SHDW-015</t>
  </si>
  <si>
    <t>OT-687</t>
  </si>
  <si>
    <t>EC-61031056831</t>
  </si>
  <si>
    <t>EC-4525920</t>
  </si>
  <si>
    <t>EC-4517530</t>
  </si>
  <si>
    <t>EC-99946400023</t>
  </si>
  <si>
    <t>OT-658</t>
  </si>
  <si>
    <t>EC-91032</t>
  </si>
  <si>
    <t>EC-900302</t>
  </si>
  <si>
    <t>OT-00404</t>
  </si>
  <si>
    <t>OT-00040</t>
  </si>
  <si>
    <t>EC-4529110</t>
  </si>
  <si>
    <t>EC-X602000150</t>
  </si>
  <si>
    <t>EC-91046</t>
  </si>
  <si>
    <t>EC-4527270</t>
  </si>
  <si>
    <t>MOT-640</t>
  </si>
  <si>
    <t>MOT-365</t>
  </si>
  <si>
    <t>MOT-159</t>
  </si>
  <si>
    <t>MOT-53</t>
  </si>
  <si>
    <t>MOT-0023</t>
  </si>
  <si>
    <t>SH-810502</t>
  </si>
  <si>
    <t>EC-13010</t>
  </si>
  <si>
    <t>EC-315105055</t>
  </si>
  <si>
    <t>SH-813010</t>
  </si>
  <si>
    <t>SH-PBN22301</t>
  </si>
  <si>
    <t>EC-313105055</t>
  </si>
  <si>
    <t>EC-10503</t>
  </si>
  <si>
    <t>EC-10505</t>
  </si>
  <si>
    <t>OT-0001</t>
  </si>
  <si>
    <t>EC-6450009</t>
  </si>
  <si>
    <t>EC-UN10</t>
  </si>
  <si>
    <t>EC-X602000020</t>
  </si>
  <si>
    <t>EC-70602039720</t>
  </si>
  <si>
    <t>EC-10010055931</t>
  </si>
  <si>
    <t>EC-17721840630</t>
  </si>
  <si>
    <t>EC-90024205025</t>
  </si>
  <si>
    <t>EC-21040001110</t>
  </si>
  <si>
    <t>EC-21040701110</t>
  </si>
  <si>
    <t>EC-13201119831</t>
  </si>
  <si>
    <t>EC-12313719830</t>
  </si>
  <si>
    <t>EC-P022006940</t>
  </si>
  <si>
    <t>EC-A101000090</t>
  </si>
  <si>
    <t>EC-10001105330</t>
  </si>
  <si>
    <t>EC-9006030005</t>
  </si>
  <si>
    <t>EC-A411000130</t>
  </si>
  <si>
    <t>EC-70602066011</t>
  </si>
  <si>
    <t>EC-43710038832</t>
  </si>
  <si>
    <t>EC-P050008390</t>
  </si>
  <si>
    <t>EC-A021000740</t>
  </si>
  <si>
    <t>EC-10010006210</t>
  </si>
  <si>
    <t>EC-A130000980</t>
  </si>
  <si>
    <t>EC-A130001070</t>
  </si>
  <si>
    <t>EC-P022006990</t>
  </si>
  <si>
    <t>EC-70102005510</t>
  </si>
  <si>
    <t>EC-P022006870</t>
  </si>
  <si>
    <t>EC-17722601110</t>
  </si>
  <si>
    <t>EC-14586130830</t>
  </si>
  <si>
    <t>EC-14551006211</t>
  </si>
  <si>
    <t>EC-25001102011</t>
  </si>
  <si>
    <t>EC-14551206211</t>
  </si>
  <si>
    <t>EC-V651000011</t>
  </si>
  <si>
    <t>EC-V651000001</t>
  </si>
  <si>
    <t>EC-43301119830</t>
  </si>
  <si>
    <t>EC-P022007260</t>
  </si>
  <si>
    <t>EC-90072000125</t>
  </si>
  <si>
    <t>EC-17722811120</t>
  </si>
  <si>
    <t>EC-V203000110</t>
  </si>
  <si>
    <t>EC-4331116430</t>
  </si>
  <si>
    <t>EC-C309000030</t>
  </si>
  <si>
    <t>EC-61030056930</t>
  </si>
  <si>
    <t>EC-10000060730</t>
  </si>
  <si>
    <t>EC-17720206210</t>
  </si>
  <si>
    <t>EC-A052000160</t>
  </si>
  <si>
    <t>EC-A230000000</t>
  </si>
  <si>
    <t>EC-P022007320</t>
  </si>
  <si>
    <t>EC-P022002090</t>
  </si>
  <si>
    <t>EC-70602032010</t>
  </si>
  <si>
    <t>EC-70602016970</t>
  </si>
  <si>
    <t>EC-70602028970</t>
  </si>
  <si>
    <t>EC-70602067820</t>
  </si>
  <si>
    <t>EC-P022006900</t>
  </si>
  <si>
    <t>EC-61031452130</t>
  </si>
  <si>
    <t>EC-35791100111</t>
  </si>
  <si>
    <t>EC-A052000011</t>
  </si>
  <si>
    <t>EC-17721510632</t>
  </si>
  <si>
    <t>EC-70602013250</t>
  </si>
  <si>
    <t>EC-17500539133</t>
  </si>
  <si>
    <t>EC-25001708012</t>
  </si>
  <si>
    <t>EC-70617005560</t>
  </si>
  <si>
    <t>EC-70602009970</t>
  </si>
  <si>
    <t>EC-12534408560</t>
  </si>
  <si>
    <t>EC-P022007270</t>
  </si>
  <si>
    <t>EC-21001304111</t>
  </si>
  <si>
    <t>EC-43301903933</t>
  </si>
  <si>
    <t>EC-43301912330</t>
  </si>
  <si>
    <t>EC-70602050000</t>
  </si>
  <si>
    <t>EC-70602033710</t>
  </si>
  <si>
    <t>EC-70617027722</t>
  </si>
  <si>
    <t>EC-70615001951</t>
  </si>
  <si>
    <t>EC-17500905131</t>
  </si>
  <si>
    <t>SH-70011-83101</t>
  </si>
  <si>
    <t>SH-70102-81710</t>
  </si>
  <si>
    <t>SH-70030-75120</t>
  </si>
  <si>
    <t>EC-90060500004</t>
  </si>
  <si>
    <t>EC-90080206002</t>
  </si>
  <si>
    <t>EC-9242422000</t>
  </si>
  <si>
    <t>EC-9242426000</t>
  </si>
  <si>
    <t>EC-9242428000</t>
  </si>
  <si>
    <t>EC-9242440000</t>
  </si>
  <si>
    <t>EC-X605000100</t>
  </si>
  <si>
    <t>EC-V204000410</t>
  </si>
  <si>
    <t>EC-A518000050</t>
  </si>
  <si>
    <t>SH-20000-75160</t>
  </si>
  <si>
    <t>SH-20000-75220</t>
  </si>
  <si>
    <t>EC-A362000000</t>
  </si>
  <si>
    <t>SH-20000-85579</t>
  </si>
  <si>
    <t>EC-A201000030</t>
  </si>
  <si>
    <t>EC-A011000860</t>
  </si>
  <si>
    <t>EC-V302000010</t>
  </si>
  <si>
    <t>EC-A225000500</t>
  </si>
  <si>
    <t>EC-V583000181</t>
  </si>
  <si>
    <t>EC-A575000400</t>
  </si>
  <si>
    <t>EC-A575000420</t>
  </si>
  <si>
    <t>EC-A021003490</t>
  </si>
  <si>
    <t>EC-12435521330</t>
  </si>
  <si>
    <t>EC-P004001360</t>
  </si>
  <si>
    <t>EC-C044000480</t>
  </si>
  <si>
    <t>EC-P021017910</t>
  </si>
  <si>
    <t>EC-P021017920</t>
  </si>
  <si>
    <t>EC-V490000680</t>
  </si>
  <si>
    <t>EC-A552000120</t>
  </si>
  <si>
    <t>EC-17722005730</t>
  </si>
  <si>
    <t>EC-V556000020</t>
  </si>
  <si>
    <t>EC-P004001890</t>
  </si>
  <si>
    <t>EC-P004001920</t>
  </si>
  <si>
    <t>EC-AP004001950</t>
  </si>
  <si>
    <t>EC-A393000180</t>
  </si>
  <si>
    <t>EC-A011000770</t>
  </si>
  <si>
    <t>SH-20024-81023</t>
  </si>
  <si>
    <t>SH-20024-83410</t>
  </si>
  <si>
    <t>EC-12433149930</t>
  </si>
  <si>
    <t>EC-P004000430</t>
  </si>
  <si>
    <t>EC-12435412710</t>
  </si>
  <si>
    <t>EC-A100000730</t>
  </si>
  <si>
    <t>EC-A556000700</t>
  </si>
  <si>
    <t>EC-P004002520</t>
  </si>
  <si>
    <t>EC-A200000470</t>
  </si>
  <si>
    <t>EC-V103000720</t>
  </si>
  <si>
    <t>EC-P021035261</t>
  </si>
  <si>
    <t>EC-A504000110</t>
  </si>
  <si>
    <t>EC-A101000300</t>
  </si>
  <si>
    <t>EC-C535001010</t>
  </si>
  <si>
    <t>EC-C450000510</t>
  </si>
  <si>
    <t>EC-C063000030</t>
  </si>
  <si>
    <t>EC-C624000070</t>
  </si>
  <si>
    <t>EC-C501000080</t>
  </si>
  <si>
    <t>EC-C504000720</t>
  </si>
  <si>
    <t>SH-22024-13291</t>
  </si>
  <si>
    <t>EC-C423000790</t>
  </si>
  <si>
    <t>EC-P021021540</t>
  </si>
  <si>
    <t>EC-C504000770</t>
  </si>
  <si>
    <t>SH-22100-81230</t>
  </si>
  <si>
    <t>EC-A511000210</t>
  </si>
  <si>
    <t>EC-A565000070</t>
  </si>
  <si>
    <t>EC-V204000640</t>
  </si>
  <si>
    <t>EC-V556000030</t>
  </si>
  <si>
    <t>EC-A011001050</t>
  </si>
  <si>
    <t>EC-V558000000</t>
  </si>
  <si>
    <t>EC-17503314731</t>
  </si>
  <si>
    <t>EC-V265000230</t>
  </si>
  <si>
    <t>EC-C309000110</t>
  </si>
  <si>
    <t>EC-A514000230</t>
  </si>
  <si>
    <t>EC-A511000250</t>
  </si>
  <si>
    <t>EC-P021021910</t>
  </si>
  <si>
    <t>EC-A101000550</t>
  </si>
  <si>
    <t>EC-V490000720</t>
  </si>
  <si>
    <t>EC-V652000180</t>
  </si>
  <si>
    <t>EC-V452000960</t>
  </si>
  <si>
    <t>EC-V475005280</t>
  </si>
  <si>
    <t>EC-X640000150</t>
  </si>
  <si>
    <t>EC-X602000210</t>
  </si>
  <si>
    <t>EC-X602000230</t>
  </si>
  <si>
    <t>EC-C305000350</t>
  </si>
  <si>
    <t>EC-C305000360</t>
  </si>
  <si>
    <t>EC-A100000960</t>
  </si>
  <si>
    <t>EC-A202000160</t>
  </si>
  <si>
    <t>EC-A011001030</t>
  </si>
  <si>
    <t>EC-V451000940</t>
  </si>
  <si>
    <t>EC-C022000130</t>
  </si>
  <si>
    <t>SH-22160-72220</t>
  </si>
  <si>
    <t>EC-A130001670</t>
  </si>
  <si>
    <t>EC-V100000570</t>
  </si>
  <si>
    <t>EC-A030000610</t>
  </si>
  <si>
    <t>EC-A313001590</t>
  </si>
  <si>
    <t>EC-V104001610</t>
  </si>
  <si>
    <t>EC-P021022520</t>
  </si>
  <si>
    <t>EC-C020000070</t>
  </si>
  <si>
    <t>EC-A120000730</t>
  </si>
  <si>
    <t>EC-V510000030</t>
  </si>
  <si>
    <t>EC-P021022550</t>
  </si>
  <si>
    <t>EC-V401000390</t>
  </si>
  <si>
    <t>EC-P021022560</t>
  </si>
  <si>
    <t>EC-A556001170</t>
  </si>
  <si>
    <t>EC-V309000080</t>
  </si>
  <si>
    <t>EC-V582000200</t>
  </si>
  <si>
    <t>EC-V265000240</t>
  </si>
  <si>
    <t>EC-C305000370</t>
  </si>
  <si>
    <t>EC-C300000740</t>
  </si>
  <si>
    <t>EC-C305000380</t>
  </si>
  <si>
    <t>EC-P021022580</t>
  </si>
  <si>
    <t>EC-V452000950</t>
  </si>
  <si>
    <t>EC-C320000370</t>
  </si>
  <si>
    <t>EC-V358000140</t>
  </si>
  <si>
    <t>EC-V470001600</t>
  </si>
  <si>
    <t>EC-C209000080</t>
  </si>
  <si>
    <t>EC-A427000150</t>
  </si>
  <si>
    <t>EC-A051002100</t>
  </si>
  <si>
    <t>EC-A225000530</t>
  </si>
  <si>
    <t>EC-P021022570</t>
  </si>
  <si>
    <t>EC-V100000560</t>
  </si>
  <si>
    <t>EC-P021022720</t>
  </si>
  <si>
    <t>EC-A409000960</t>
  </si>
  <si>
    <t>EC-A021003110</t>
  </si>
  <si>
    <t>EC-A226001220</t>
  </si>
  <si>
    <t>EC-A023000240</t>
  </si>
  <si>
    <t>EC-A232001250</t>
  </si>
  <si>
    <t>EC-A235000300</t>
  </si>
  <si>
    <t>EC-P021023230</t>
  </si>
  <si>
    <t>EC-C044000540</t>
  </si>
  <si>
    <t>EC-A411000650</t>
  </si>
  <si>
    <t>EC-P004002640</t>
  </si>
  <si>
    <t>EC-A226000620</t>
  </si>
  <si>
    <t>EC-22412713710</t>
  </si>
  <si>
    <t>EC-452009480</t>
  </si>
  <si>
    <t>EC-99944100473</t>
  </si>
  <si>
    <t>EC-99944100475</t>
  </si>
  <si>
    <t>EC-99944100480</t>
  </si>
  <si>
    <t>EC-99944100484</t>
  </si>
  <si>
    <t>EC-99944100485</t>
  </si>
  <si>
    <t>EC-99944100486</t>
  </si>
  <si>
    <t>EC-P021036030</t>
  </si>
  <si>
    <t>EC-A030000260</t>
  </si>
  <si>
    <t>EC-A200000680</t>
  </si>
  <si>
    <t>EC-V103001020</t>
  </si>
  <si>
    <t>EC-V104001360</t>
  </si>
  <si>
    <t>EC-P021027760</t>
  </si>
  <si>
    <t>EC-P021027770</t>
  </si>
  <si>
    <t>SH-62035-31110</t>
  </si>
  <si>
    <t>SH-62035-31310</t>
  </si>
  <si>
    <t>EC-V299000390</t>
  </si>
  <si>
    <t>EC-A320000790</t>
  </si>
  <si>
    <t>EC-A575000440</t>
  </si>
  <si>
    <t>EC-A100000680</t>
  </si>
  <si>
    <t>EC-V609000050</t>
  </si>
  <si>
    <t>EC-12436755430</t>
  </si>
  <si>
    <t>EC-A038000330</t>
  </si>
  <si>
    <t>EC-P021034560</t>
  </si>
  <si>
    <t>EC-12411305910</t>
  </si>
  <si>
    <t>EC-C550000430</t>
  </si>
  <si>
    <t>EC-C535000990</t>
  </si>
  <si>
    <t>EC-C020000010</t>
  </si>
  <si>
    <t>EC-C504000560</t>
  </si>
  <si>
    <t>EC-V430003240</t>
  </si>
  <si>
    <t>EC-C551000070</t>
  </si>
  <si>
    <t>EC-V553000100</t>
  </si>
  <si>
    <t>EC-P004002820</t>
  </si>
  <si>
    <t>EC-P021035221</t>
  </si>
  <si>
    <t>EC-A439000510</t>
  </si>
  <si>
    <t>EC-A556000660</t>
  </si>
  <si>
    <t>EC-A520000080</t>
  </si>
  <si>
    <t>EC-A566000120</t>
  </si>
  <si>
    <t>EC-P021035720</t>
  </si>
  <si>
    <t>EC-A500000840</t>
  </si>
  <si>
    <t>EC-P004002900</t>
  </si>
  <si>
    <t>EC-A056000520</t>
  </si>
  <si>
    <t>EC-A051001660</t>
  </si>
  <si>
    <t>EC-A033000330</t>
  </si>
  <si>
    <t>EC-A130001371</t>
  </si>
  <si>
    <t>EC-A030000240</t>
  </si>
  <si>
    <t>EC-P021036460</t>
  </si>
  <si>
    <t>EC-A021002500</t>
  </si>
  <si>
    <t>EC-A030000250</t>
  </si>
  <si>
    <t>EC-A160001640</t>
  </si>
  <si>
    <t>EC-A100000670</t>
  </si>
  <si>
    <t>EC-P004003010</t>
  </si>
  <si>
    <t>EC-A021003440</t>
  </si>
  <si>
    <t>EC-C051000560</t>
  </si>
  <si>
    <t>EC-C551000110</t>
  </si>
  <si>
    <t>EC-V357000180</t>
  </si>
  <si>
    <t>EC-C535000480</t>
  </si>
  <si>
    <t>EC-P021031570</t>
  </si>
  <si>
    <t>EC-A030000590</t>
  </si>
  <si>
    <t>EC-A314000020</t>
  </si>
  <si>
    <t>EC-V225000160</t>
  </si>
  <si>
    <t>EC-V255000030</t>
  </si>
  <si>
    <t>EC-A226001260</t>
  </si>
  <si>
    <t>EC-P021036090</t>
  </si>
  <si>
    <t>EC-V356000490</t>
  </si>
  <si>
    <t>EC-C535000500</t>
  </si>
  <si>
    <t>EC-P021032700</t>
  </si>
  <si>
    <t>EC-C535000770</t>
  </si>
  <si>
    <t>EC-C044000870</t>
  </si>
  <si>
    <t>EC-P021033070</t>
  </si>
  <si>
    <t>EC-P021033230</t>
  </si>
  <si>
    <t>EC-P021033250</t>
  </si>
  <si>
    <t>EC-12416011120</t>
  </si>
  <si>
    <t>EC-A045000340</t>
  </si>
  <si>
    <t>EC-A051001861</t>
  </si>
  <si>
    <t>EC-E164000100</t>
  </si>
  <si>
    <t>EC-80677</t>
  </si>
  <si>
    <t>EC-99909-450</t>
  </si>
  <si>
    <t>EC-P021012780</t>
  </si>
  <si>
    <t>EC-A575000430</t>
  </si>
  <si>
    <t>EC-P021012790</t>
  </si>
  <si>
    <t>EC-80676</t>
  </si>
  <si>
    <t>EC-99909-156</t>
  </si>
  <si>
    <t>EC-99909-453</t>
  </si>
  <si>
    <t>EC-99909-160</t>
  </si>
  <si>
    <t>EC-80256</t>
  </si>
  <si>
    <t>EC-A200000560</t>
  </si>
  <si>
    <t>EC-P021002800</t>
  </si>
  <si>
    <t>EC-8890802</t>
  </si>
  <si>
    <t>EC-9242432000</t>
  </si>
  <si>
    <t>EC-9701201</t>
  </si>
  <si>
    <t>EC-569020</t>
  </si>
  <si>
    <t>SH-02432-35150</t>
  </si>
  <si>
    <t>EC-1001101</t>
  </si>
  <si>
    <t>SH-22410-17202</t>
  </si>
  <si>
    <t>EC-4048451</t>
  </si>
  <si>
    <t>EC-4573110</t>
  </si>
  <si>
    <t>EC-4070981</t>
  </si>
  <si>
    <t>EC-A411000550</t>
  </si>
  <si>
    <t>EC-4573040</t>
  </si>
  <si>
    <t>EC-4550460</t>
  </si>
  <si>
    <t>EC-99944100483</t>
  </si>
  <si>
    <t>EC-A427000100</t>
  </si>
  <si>
    <t>EC-C022000120</t>
  </si>
  <si>
    <t>EC-4562530</t>
  </si>
  <si>
    <t>EC-A232000312</t>
  </si>
  <si>
    <t>SH-12211200230</t>
  </si>
  <si>
    <t>V103001040</t>
  </si>
  <si>
    <t>SH-72005-13010</t>
  </si>
  <si>
    <t>EC-C051000480</t>
  </si>
  <si>
    <t>EC-4567930</t>
  </si>
  <si>
    <t>EC-569028</t>
  </si>
  <si>
    <t>EC-A427000060</t>
  </si>
  <si>
    <t>EC-A021002470</t>
  </si>
  <si>
    <t>EC-A021002010</t>
  </si>
  <si>
    <t>EC-C05100600</t>
  </si>
  <si>
    <t>EC-P021022530</t>
  </si>
  <si>
    <t>EC-99909-307</t>
  </si>
  <si>
    <t>EC-99909-306</t>
  </si>
  <si>
    <t>EC-6045105560</t>
  </si>
  <si>
    <t>EC-A130001660</t>
  </si>
  <si>
    <t>SH-21001-304111</t>
  </si>
  <si>
    <t>EC-V555000090</t>
  </si>
  <si>
    <t>EC-V592000290</t>
  </si>
  <si>
    <t>EC-81593</t>
  </si>
  <si>
    <t>EC-V555000140</t>
  </si>
  <si>
    <t>EC-450093990</t>
  </si>
  <si>
    <t>EC-C044000410</t>
  </si>
  <si>
    <t>EC-A160002110</t>
  </si>
  <si>
    <t>EC-A43302116430</t>
  </si>
  <si>
    <t>EC-A023000160</t>
  </si>
  <si>
    <t>EC-A320000770</t>
  </si>
  <si>
    <t>SH-12311215030</t>
  </si>
  <si>
    <t>EC-C504000550</t>
  </si>
  <si>
    <t>EC-C057000070</t>
  </si>
  <si>
    <t>EC-4042881</t>
  </si>
  <si>
    <t>EC-A056000650</t>
  </si>
  <si>
    <t>EC-20019-83410</t>
  </si>
  <si>
    <t>EC-V107000080</t>
  </si>
  <si>
    <t>EC-V104001620</t>
  </si>
  <si>
    <t>EC-80551</t>
  </si>
  <si>
    <t>EC-80550</t>
  </si>
  <si>
    <t>SH-70036-98020</t>
  </si>
  <si>
    <t>EC-99909-159</t>
  </si>
  <si>
    <t>EC-80255</t>
  </si>
  <si>
    <t>EC-99909-451</t>
  </si>
  <si>
    <t>sh-63880-62310</t>
  </si>
  <si>
    <t>EC-A226000600</t>
  </si>
  <si>
    <t>EC-4044231</t>
  </si>
  <si>
    <t>EC-A230000040</t>
  </si>
  <si>
    <t>EC-4576340</t>
  </si>
  <si>
    <t>EC-8890150</t>
  </si>
  <si>
    <t>EC-4573060</t>
  </si>
  <si>
    <t>EC-99909-229</t>
  </si>
  <si>
    <t>EC-P021030500</t>
  </si>
  <si>
    <t>EC-4574920</t>
  </si>
  <si>
    <t>EC-4575060</t>
  </si>
  <si>
    <t>EC-80187</t>
  </si>
  <si>
    <t>SH-20024-81931</t>
  </si>
  <si>
    <t>EC-80405</t>
  </si>
  <si>
    <t>EC-80253</t>
  </si>
  <si>
    <t>EC-99944100471</t>
  </si>
  <si>
    <t>EC-4557850</t>
  </si>
  <si>
    <t>EC-4502640</t>
  </si>
  <si>
    <t>EC-P021035490</t>
  </si>
  <si>
    <t>EC-C320000350</t>
  </si>
  <si>
    <t>EC-569007</t>
  </si>
  <si>
    <t>EC-60876</t>
  </si>
  <si>
    <t>SH-72051-14101</t>
  </si>
  <si>
    <t>SH-72450-14200</t>
  </si>
  <si>
    <t>EC-P021035440</t>
  </si>
  <si>
    <t>EC-89852017130</t>
  </si>
  <si>
    <t>EC-V13800020</t>
  </si>
  <si>
    <t>EC-9720135</t>
  </si>
  <si>
    <t>EC-9711151</t>
  </si>
  <si>
    <t>EC-9701401</t>
  </si>
  <si>
    <t>EC-P021012831</t>
  </si>
  <si>
    <t>EC-P021027130</t>
  </si>
  <si>
    <t>EC-P021028790</t>
  </si>
  <si>
    <t>EC-C044000830</t>
  </si>
  <si>
    <t>EC-P004001940</t>
  </si>
  <si>
    <t>SH-22000-13530</t>
  </si>
  <si>
    <t>EC-V206000250</t>
  </si>
  <si>
    <t>EC-V652000090</t>
  </si>
  <si>
    <t>EC-569024</t>
  </si>
  <si>
    <t>EC-P021007772</t>
  </si>
  <si>
    <t>EC-C535000860</t>
  </si>
  <si>
    <t>EC-A504000190</t>
  </si>
  <si>
    <t>EC-A566000210</t>
  </si>
  <si>
    <t>EC-P005000790</t>
  </si>
  <si>
    <t>EC-V641000150</t>
  </si>
  <si>
    <t>EC-V582000100</t>
  </si>
  <si>
    <t>EC-8000142</t>
  </si>
  <si>
    <t>EC-P021008630</t>
  </si>
  <si>
    <t>EC-C535000640</t>
  </si>
  <si>
    <t>EC-C535000650</t>
  </si>
  <si>
    <t>SH-22024-13912</t>
  </si>
  <si>
    <t>SH-72435-13920</t>
  </si>
  <si>
    <t>EC-4073281</t>
  </si>
  <si>
    <t>SH-25090206310</t>
  </si>
  <si>
    <t>SH-72933-75120</t>
  </si>
  <si>
    <t>SH-70051-31210</t>
  </si>
  <si>
    <t>EC-4037771</t>
  </si>
  <si>
    <t>EC-P021022060</t>
  </si>
  <si>
    <t>EC-80221</t>
  </si>
  <si>
    <t>EC-1001141</t>
  </si>
  <si>
    <t>EC-88198-S</t>
  </si>
  <si>
    <t>EC-4575700</t>
  </si>
  <si>
    <t>EC-13031303710</t>
  </si>
  <si>
    <t>SH-12534408560</t>
  </si>
  <si>
    <t>EC-80247</t>
  </si>
  <si>
    <t>EC-80025</t>
  </si>
  <si>
    <t>EC-80023</t>
  </si>
  <si>
    <t>EC-569006</t>
  </si>
  <si>
    <t>EC-4579070</t>
  </si>
  <si>
    <t>EC-99909-207</t>
  </si>
  <si>
    <t>EC-4552760</t>
  </si>
  <si>
    <t>EC-569023</t>
  </si>
  <si>
    <t>EC-99944100477</t>
  </si>
  <si>
    <t>EC-A555000220</t>
  </si>
  <si>
    <t>EC-488/EMC</t>
  </si>
  <si>
    <t>EC-CS-680S-50EUSTD</t>
  </si>
  <si>
    <t>EC-CS-680S-60EUSTD</t>
  </si>
  <si>
    <t>EC-CS 8002EUSTD</t>
  </si>
  <si>
    <t>SH-P230/EC1</t>
  </si>
  <si>
    <t>OT-A20</t>
  </si>
  <si>
    <t>OT-A30</t>
  </si>
  <si>
    <t>OT-A36</t>
  </si>
  <si>
    <t>OT-A40</t>
  </si>
  <si>
    <t>OT-A45</t>
  </si>
  <si>
    <t>OT-A54</t>
  </si>
  <si>
    <t>OT-A56</t>
  </si>
  <si>
    <t>OT-A75</t>
  </si>
  <si>
    <t>RULIT-00102</t>
  </si>
  <si>
    <t>RULIT-007</t>
  </si>
  <si>
    <t>OT-B66</t>
  </si>
  <si>
    <t>OT-B67</t>
  </si>
  <si>
    <t>OT-B70</t>
  </si>
  <si>
    <t>OT-B71</t>
  </si>
  <si>
    <t>OT-B72</t>
  </si>
  <si>
    <t>OT-B75</t>
  </si>
  <si>
    <t>OT-B79</t>
  </si>
  <si>
    <t>OT-B80</t>
  </si>
  <si>
    <t>OT-B98</t>
  </si>
  <si>
    <t>RULIT-006</t>
  </si>
  <si>
    <t>RULIT-004</t>
  </si>
  <si>
    <t>RULIT-005</t>
  </si>
  <si>
    <t>INCO-9661990</t>
  </si>
  <si>
    <t>CR-85.021.10</t>
  </si>
  <si>
    <t>OT-480</t>
  </si>
  <si>
    <t>CR-ECO3000</t>
  </si>
  <si>
    <t>CR-03.144.05</t>
  </si>
  <si>
    <t>CR-524</t>
  </si>
  <si>
    <t>CR-70.224.01</t>
  </si>
  <si>
    <t>EC-1772260110</t>
  </si>
  <si>
    <t>EC-20087-31211</t>
  </si>
  <si>
    <t>EC-224127-13710</t>
  </si>
  <si>
    <t>EC-270EMC</t>
  </si>
  <si>
    <t>EC-3581000111</t>
  </si>
  <si>
    <t>EC-450EMC</t>
  </si>
  <si>
    <t>EC-4568020</t>
  </si>
  <si>
    <t>EC-61031056930</t>
  </si>
  <si>
    <t>EC-A027000090</t>
  </si>
  <si>
    <t>EC-A100000860</t>
  </si>
  <si>
    <t>EC-A16001650</t>
  </si>
  <si>
    <t>EC-A232000870</t>
  </si>
  <si>
    <t>EC-A238000060</t>
  </si>
  <si>
    <t>EC-CS-420-45EU</t>
  </si>
  <si>
    <t>EC-SHP 800-2</t>
  </si>
  <si>
    <t>EC-SRM-22GES</t>
  </si>
  <si>
    <t>EC-V224000030</t>
  </si>
  <si>
    <t>EC-V347000030</t>
  </si>
  <si>
    <t>EC-X602000140</t>
  </si>
  <si>
    <t xml:space="preserve">IB-007   </t>
  </si>
  <si>
    <t>MOT-155</t>
  </si>
  <si>
    <t xml:space="preserve">OT-B48  </t>
  </si>
  <si>
    <t xml:space="preserve">OT-B83 </t>
  </si>
  <si>
    <t xml:space="preserve">OT-B93   </t>
  </si>
  <si>
    <t xml:space="preserve">RULIT-009      </t>
  </si>
  <si>
    <t>SH-02000-00608</t>
  </si>
  <si>
    <t>SH-02432-22100</t>
  </si>
  <si>
    <t>SH-02432-26120</t>
  </si>
  <si>
    <t>SH-20011-12221</t>
  </si>
  <si>
    <t>SH-20016-31212</t>
  </si>
  <si>
    <t>SH-20024-75120</t>
  </si>
  <si>
    <t>SH-20051-83900</t>
  </si>
  <si>
    <t>SH-22044-14120</t>
  </si>
  <si>
    <t>SH-22160-42002</t>
  </si>
  <si>
    <t>SH-22169-33102</t>
  </si>
  <si>
    <t>SH-22175-12121</t>
  </si>
  <si>
    <t>SH-22410-14100</t>
  </si>
  <si>
    <t>SH-4048451</t>
  </si>
  <si>
    <t>SH-62035-33010</t>
  </si>
  <si>
    <t>SH-62035-33130</t>
  </si>
  <si>
    <t>SH-62035-82011</t>
  </si>
  <si>
    <t>SH-62035-82131</t>
  </si>
  <si>
    <t>SH-63840-61111</t>
  </si>
  <si>
    <t>SH-63880-62390</t>
  </si>
  <si>
    <t>SH-63880-62391</t>
  </si>
  <si>
    <t>SH-70102-51220</t>
  </si>
  <si>
    <t>SH-70103-86130</t>
  </si>
  <si>
    <t>SH-70168-85201</t>
  </si>
  <si>
    <t>SH-70210-15102</t>
  </si>
  <si>
    <t>V104000920</t>
  </si>
  <si>
    <t>V401000430</t>
  </si>
  <si>
    <t>OT-AG001</t>
  </si>
  <si>
    <t>MP-1130</t>
  </si>
  <si>
    <t>P-0016</t>
  </si>
  <si>
    <t>MP-01945</t>
  </si>
  <si>
    <t>MP-000100</t>
  </si>
  <si>
    <t>MP-6687</t>
  </si>
  <si>
    <t>MP-01131</t>
  </si>
  <si>
    <t>MP-01130</t>
  </si>
  <si>
    <t>JA-001</t>
  </si>
  <si>
    <t>MP - 0631</t>
  </si>
  <si>
    <t>MP-543</t>
  </si>
  <si>
    <t>EC-DM-6110EUSTD</t>
  </si>
  <si>
    <t>EC-43706319930</t>
  </si>
  <si>
    <t>EC-17801005960</t>
  </si>
  <si>
    <t>EC-90034540030</t>
  </si>
  <si>
    <t>EC-17500544331</t>
  </si>
  <si>
    <t>EC-17801205960</t>
  </si>
  <si>
    <t>EC-C051000610</t>
  </si>
  <si>
    <t>MP-281</t>
  </si>
  <si>
    <t>MP-282</t>
  </si>
  <si>
    <t>MP-0221</t>
  </si>
  <si>
    <t>MP-101</t>
  </si>
  <si>
    <t>MP-280</t>
  </si>
  <si>
    <t>IMPORTACIÓN-LOCAL</t>
  </si>
  <si>
    <t>IN-0042</t>
  </si>
  <si>
    <t>IN-0028</t>
  </si>
  <si>
    <t>IN-34</t>
  </si>
  <si>
    <t>IN-32</t>
  </si>
  <si>
    <t>IN-35</t>
  </si>
  <si>
    <t>IN-33</t>
  </si>
  <si>
    <t>IN-104</t>
  </si>
  <si>
    <t>IN-092</t>
  </si>
  <si>
    <t>IN - 126</t>
  </si>
  <si>
    <t>IN-0008</t>
  </si>
  <si>
    <t>IN-043</t>
  </si>
  <si>
    <t>IN-048</t>
  </si>
  <si>
    <t>IN-00102</t>
  </si>
  <si>
    <t>IN-30</t>
  </si>
  <si>
    <t>IN-139</t>
  </si>
  <si>
    <t>IN-140</t>
  </si>
  <si>
    <t>IN-141</t>
  </si>
  <si>
    <t>QUIM-011</t>
  </si>
  <si>
    <t>QUIM-010</t>
  </si>
  <si>
    <t>IN-0012</t>
  </si>
  <si>
    <t>IN-0011</t>
  </si>
  <si>
    <t>IN-1441</t>
  </si>
  <si>
    <t>F-011</t>
  </si>
  <si>
    <t>F-005</t>
  </si>
  <si>
    <t>IN-81</t>
  </si>
  <si>
    <t>01-00102</t>
  </si>
  <si>
    <t>IN-378</t>
  </si>
  <si>
    <t>QUIM-022</t>
  </si>
  <si>
    <t>IN-6669</t>
  </si>
  <si>
    <t>IN - 127</t>
  </si>
  <si>
    <t>IN-6611</t>
  </si>
  <si>
    <t>IN-040</t>
  </si>
  <si>
    <t>IN-037</t>
  </si>
  <si>
    <t>QUIM-008</t>
  </si>
  <si>
    <t>INT-010</t>
  </si>
  <si>
    <t>QUIM-005</t>
  </si>
  <si>
    <t>QUIM-024</t>
  </si>
  <si>
    <t>IN-038</t>
  </si>
  <si>
    <t>IN-352</t>
  </si>
  <si>
    <t>QUIM-015</t>
  </si>
  <si>
    <t>QUIM-013</t>
  </si>
  <si>
    <t>IN-00126</t>
  </si>
  <si>
    <t>G-0010</t>
  </si>
  <si>
    <t>IN-130</t>
  </si>
  <si>
    <t>IN-129</t>
  </si>
  <si>
    <t>IN-358</t>
  </si>
  <si>
    <t>QUIM-021</t>
  </si>
  <si>
    <t>IN-102</t>
  </si>
  <si>
    <t>IN-0019</t>
  </si>
  <si>
    <t>QUIM-019</t>
  </si>
  <si>
    <t>IN-039</t>
  </si>
  <si>
    <t>IN-086</t>
  </si>
  <si>
    <t>QUIM-014</t>
  </si>
  <si>
    <t>IN-1235</t>
  </si>
  <si>
    <t>IN-0029</t>
  </si>
  <si>
    <t>IN-041.</t>
  </si>
  <si>
    <t>IN-62</t>
  </si>
  <si>
    <t>IN-0007</t>
  </si>
  <si>
    <t>IN-0102</t>
  </si>
  <si>
    <t>IN-0081</t>
  </si>
  <si>
    <t>IN-0004</t>
  </si>
  <si>
    <t>IN-0005</t>
  </si>
  <si>
    <t>IN-0006</t>
  </si>
  <si>
    <t>PT-010</t>
  </si>
  <si>
    <t>IN-768</t>
  </si>
  <si>
    <t>IN-1410</t>
  </si>
  <si>
    <t>G-001</t>
  </si>
  <si>
    <t>QU-012</t>
  </si>
  <si>
    <t>QU-013</t>
  </si>
  <si>
    <t>IN-48</t>
  </si>
  <si>
    <t>G-0015</t>
  </si>
  <si>
    <t>IN-668</t>
  </si>
  <si>
    <t>G-0014</t>
  </si>
  <si>
    <t>G-008</t>
  </si>
  <si>
    <t>IN-00173</t>
  </si>
  <si>
    <t>IN-00172</t>
  </si>
  <si>
    <t>IN-00171</t>
  </si>
  <si>
    <t>IN-00174</t>
  </si>
  <si>
    <t>IN-5422</t>
  </si>
  <si>
    <t>IN-0014</t>
  </si>
  <si>
    <t>IN-669</t>
  </si>
  <si>
    <t>IN-1442</t>
  </si>
  <si>
    <t>IN-144</t>
  </si>
  <si>
    <t>IN-667</t>
  </si>
  <si>
    <t>F-0015</t>
  </si>
  <si>
    <t>CO-005</t>
  </si>
  <si>
    <t>CO-0010</t>
  </si>
  <si>
    <t>CO-006</t>
  </si>
  <si>
    <t>QUIM-020</t>
  </si>
  <si>
    <t>G-0012</t>
  </si>
  <si>
    <t>IN-0976</t>
  </si>
  <si>
    <t>IN-0977</t>
  </si>
  <si>
    <t>IN-0987</t>
  </si>
  <si>
    <t>QUIM-003</t>
  </si>
  <si>
    <t>IN-066</t>
  </si>
  <si>
    <t>IN-065</t>
  </si>
  <si>
    <t>IN-045</t>
  </si>
  <si>
    <t>INT-006</t>
  </si>
  <si>
    <t>IN-1945</t>
  </si>
  <si>
    <t>PT-J001</t>
  </si>
  <si>
    <t>IN-123</t>
  </si>
  <si>
    <t>IN-0016</t>
  </si>
  <si>
    <t>IN-00103</t>
  </si>
  <si>
    <t>IN-2047</t>
  </si>
  <si>
    <t>QUIM-018</t>
  </si>
  <si>
    <t>QUIM-002</t>
  </si>
  <si>
    <t>QUIM-001</t>
  </si>
  <si>
    <t>QUIM-0181</t>
  </si>
  <si>
    <t>AM-001</t>
  </si>
  <si>
    <t>IN-362</t>
  </si>
  <si>
    <t>IN-127</t>
  </si>
  <si>
    <t>IN-55</t>
  </si>
  <si>
    <t>OT-693</t>
  </si>
  <si>
    <t>IN-375</t>
  </si>
  <si>
    <t>QUIM-023</t>
  </si>
  <si>
    <t>IN-6610</t>
  </si>
  <si>
    <t>F-018</t>
  </si>
  <si>
    <t>IN - 1271</t>
  </si>
  <si>
    <t>PT-019</t>
  </si>
  <si>
    <t>IN-5421</t>
  </si>
  <si>
    <t>IN-6614</t>
  </si>
  <si>
    <t>IN-6613</t>
  </si>
  <si>
    <t>IN-6612</t>
  </si>
  <si>
    <t>IN-380</t>
  </si>
  <si>
    <t>IN-036</t>
  </si>
  <si>
    <t>PT-018</t>
  </si>
  <si>
    <t>IN-035</t>
  </si>
  <si>
    <t>PT-012</t>
  </si>
  <si>
    <t>QUIM-007</t>
  </si>
  <si>
    <t>QUIM-004</t>
  </si>
  <si>
    <t>IN-033</t>
  </si>
  <si>
    <t>IN-1234</t>
  </si>
  <si>
    <t>IN-031</t>
  </si>
  <si>
    <t>IN-128</t>
  </si>
  <si>
    <t>QUIM-016</t>
  </si>
  <si>
    <t>IN-1130</t>
  </si>
  <si>
    <t>IN-1131</t>
  </si>
  <si>
    <t>IN-000127</t>
  </si>
  <si>
    <t>F-007</t>
  </si>
  <si>
    <t>F-014</t>
  </si>
  <si>
    <t>F-013</t>
  </si>
  <si>
    <t>G-0011</t>
  </si>
  <si>
    <t>MP-7092</t>
  </si>
  <si>
    <t>MP-09877</t>
  </si>
  <si>
    <t>MP-7091</t>
  </si>
  <si>
    <t>MP-376</t>
  </si>
  <si>
    <t/>
  </si>
  <si>
    <t>F-021</t>
  </si>
  <si>
    <t>PT-008</t>
  </si>
  <si>
    <t>IN-20413</t>
  </si>
  <si>
    <t>IN-20414</t>
  </si>
  <si>
    <t>G-0013</t>
  </si>
  <si>
    <t>IN-20415</t>
  </si>
  <si>
    <t>IN-20416</t>
  </si>
  <si>
    <t>IN-20411</t>
  </si>
  <si>
    <t>IN-20412</t>
  </si>
  <si>
    <t>IN-20417</t>
  </si>
  <si>
    <t>PT-005</t>
  </si>
  <si>
    <t>PT-007</t>
  </si>
  <si>
    <t>PT-003</t>
  </si>
  <si>
    <t>IN-2044</t>
  </si>
  <si>
    <t>IN-2045</t>
  </si>
  <si>
    <t>IN-2046</t>
  </si>
  <si>
    <t>IN-2043</t>
  </si>
  <si>
    <t>IN-2048</t>
  </si>
  <si>
    <t>IN-2049</t>
  </si>
  <si>
    <t>IN-20410</t>
  </si>
  <si>
    <t>IN-133</t>
  </si>
  <si>
    <t>IN-132</t>
  </si>
  <si>
    <t>IN-131</t>
  </si>
  <si>
    <t>IN-134</t>
  </si>
  <si>
    <t>IN-2042</t>
  </si>
  <si>
    <t>IN-2041</t>
  </si>
  <si>
    <t>PT-002</t>
  </si>
  <si>
    <t>PT-006</t>
  </si>
  <si>
    <t>PT-001</t>
  </si>
  <si>
    <t>PT-004</t>
  </si>
  <si>
    <t xml:space="preserve">IN-6617   </t>
  </si>
  <si>
    <t>PEDIDOS PROMEDIO</t>
  </si>
  <si>
    <t>#REF!</t>
  </si>
  <si>
    <t>0</t>
  </si>
  <si>
    <t>V</t>
  </si>
  <si>
    <t>AGROINSUMOSLAFINCA</t>
  </si>
  <si>
    <t>EMPRESA</t>
  </si>
  <si>
    <t>Prioridad</t>
  </si>
  <si>
    <t>EC-CS-600-60EUSTD</t>
  </si>
  <si>
    <t>MOTOSIERRA CS-420-45 CON BARRA Y CADENA</t>
  </si>
  <si>
    <t>PODADORA HOME GT-22GES</t>
  </si>
  <si>
    <t>MOTOSIERRA CS-600-60 CON BARRA Y CADENA</t>
  </si>
  <si>
    <t>EC-21003204110</t>
  </si>
  <si>
    <t>OBTURADOR TUBO RECTO DM6110</t>
  </si>
  <si>
    <t>EC-70602019230</t>
  </si>
  <si>
    <t>CIGUEÑAL DEL MECANISMO BOMBA SHP800</t>
  </si>
  <si>
    <t>REJILLA FILTRO AIRE SRM4300</t>
  </si>
  <si>
    <t>EC-P022033110</t>
  </si>
  <si>
    <t>CARCAZA DE LA CAJA DE ENGRANAJE SRM4300</t>
  </si>
  <si>
    <t>JAHERCENTRAL</t>
  </si>
  <si>
    <t>Total general</t>
  </si>
  <si>
    <t>CODIGO GENERICO</t>
  </si>
  <si>
    <t>CODIGO VINCULADO</t>
  </si>
  <si>
    <t>PEDID Min</t>
  </si>
  <si>
    <t>PEDID Min Grupo</t>
  </si>
  <si>
    <t>Unidad Empaque</t>
  </si>
  <si>
    <t>Porc Aten</t>
  </si>
  <si>
    <t>Perfil</t>
  </si>
  <si>
    <t>Negociación</t>
  </si>
  <si>
    <t>Producción</t>
  </si>
  <si>
    <t>Embarcado</t>
  </si>
  <si>
    <t>GDB</t>
  </si>
  <si>
    <t>Cam</t>
  </si>
  <si>
    <t>Comportamiento</t>
  </si>
  <si>
    <t>Buff Calc</t>
  </si>
  <si>
    <t>Cobertura Buffer</t>
  </si>
  <si>
    <t>Cobertura Inv Proy</t>
  </si>
  <si>
    <t>Cobertura Ped Min</t>
  </si>
  <si>
    <t>Días Desabastecimiento</t>
  </si>
  <si>
    <t>Buff Min</t>
  </si>
  <si>
    <t>Buff Max</t>
  </si>
  <si>
    <t>Impacto Faltante</t>
  </si>
  <si>
    <t>Zona Amar</t>
  </si>
  <si>
    <t>Zona Roja</t>
  </si>
  <si>
    <t>Color1</t>
  </si>
  <si>
    <t>Ult Buffer</t>
  </si>
  <si>
    <t>Buff Ant Estacion</t>
  </si>
  <si>
    <t>Buff Estacional</t>
  </si>
  <si>
    <t>Estado Buffer Proy</t>
  </si>
  <si>
    <t>Calendario Estacional</t>
  </si>
  <si>
    <t>Acción Estacional</t>
  </si>
  <si>
    <t>Etapa Estacional</t>
  </si>
  <si>
    <t>Rentabilidad Proy</t>
  </si>
  <si>
    <t>Inicio Per</t>
  </si>
  <si>
    <t>Fin Per</t>
  </si>
  <si>
    <t>Var</t>
  </si>
  <si>
    <t>Rojo Acum</t>
  </si>
  <si>
    <t>Negro</t>
  </si>
  <si>
    <t>Rojo</t>
  </si>
  <si>
    <t>Amarillo</t>
  </si>
  <si>
    <t>Verde</t>
  </si>
  <si>
    <t>Lila</t>
  </si>
  <si>
    <t>Consumo1</t>
  </si>
  <si>
    <t>Ingresos</t>
  </si>
  <si>
    <t>Egresos</t>
  </si>
  <si>
    <t>Posponer BUF</t>
  </si>
  <si>
    <t>Posponer RED</t>
  </si>
  <si>
    <t>Posponer GDB</t>
  </si>
  <si>
    <t>Estatus</t>
  </si>
  <si>
    <t>Ult Transfer Inicial</t>
  </si>
  <si>
    <t>Ult Transfer Final</t>
  </si>
  <si>
    <t>Etiquetas de columna</t>
  </si>
  <si>
    <t>Etiquetas de fila</t>
  </si>
  <si>
    <t>BDG. DE PRODUCTO TERMI PLANTA</t>
  </si>
  <si>
    <t>Nombre</t>
  </si>
  <si>
    <t>Checkboxes</t>
  </si>
  <si>
    <t>Clasificación</t>
  </si>
  <si>
    <t>Responsable</t>
  </si>
  <si>
    <t>Línea</t>
  </si>
  <si>
    <t>Sublínea</t>
  </si>
  <si>
    <t>Modelo</t>
  </si>
  <si>
    <t>Familia</t>
  </si>
  <si>
    <t>Subfamilia</t>
  </si>
  <si>
    <t>Categoría</t>
  </si>
  <si>
    <t>Marca</t>
  </si>
  <si>
    <t>CalendarioE</t>
  </si>
  <si>
    <t>G</t>
  </si>
  <si>
    <t>Hoja CB</t>
  </si>
  <si>
    <t>Visualiza Requerimiento</t>
  </si>
  <si>
    <t>METREX</t>
  </si>
  <si>
    <t>ACCESORIOS</t>
  </si>
  <si>
    <t>AGROTA</t>
  </si>
  <si>
    <t>AGROTA BODEGA  YAMABIKO</t>
  </si>
  <si>
    <t>AGROTA SUKAMPO FERIA LIBRE</t>
  </si>
  <si>
    <t>AGROTA SUKAMPO GUAYAQUIL</t>
  </si>
  <si>
    <t>AGROTA SUKAMPO MILAGRO</t>
  </si>
  <si>
    <t>AGROTA SUKAMPO UNIDAD NACIONAL</t>
  </si>
  <si>
    <t>AGROTA TALLER SUKAMPO MILAGRO</t>
  </si>
  <si>
    <t>AGROTA TALLER SUKAMPO QUEVEDO</t>
  </si>
  <si>
    <t>AGROTA TALLER SUKAMPO UNIDAD NACIONAL</t>
  </si>
  <si>
    <t>Bodega Central Agrota</t>
  </si>
  <si>
    <t>BODEGA CENTRAL MAQUINAS</t>
  </si>
  <si>
    <t>BODEGA CENTRAL MATERIA PRIMA</t>
  </si>
  <si>
    <t>BODEGA DUPOCSA ARENAL</t>
  </si>
  <si>
    <t>BODEGA DUPOCSA CONCORDIA</t>
  </si>
  <si>
    <t>BODEGA DUPOCSA QUEVEDO</t>
  </si>
  <si>
    <t>BODEGA SATELITE AGROINSUMOS RIERA</t>
  </si>
  <si>
    <t>BODEGA SATELITE COMERCIAL COCA</t>
  </si>
  <si>
    <t>BODEGA SUKAMPO</t>
  </si>
  <si>
    <t>GUAYAQUIL SUKAMPO</t>
  </si>
  <si>
    <t>JAHER REGIONAL CDR BABAHOYO</t>
  </si>
  <si>
    <t>JAHER REGIONAL CDR. CUENCA</t>
  </si>
  <si>
    <t>MARCIMEX REGIONAL CUENCA</t>
  </si>
  <si>
    <t>MATERIA PRIMA</t>
  </si>
  <si>
    <t>PRODUCTO TERMINADO</t>
  </si>
  <si>
    <t>Maquinas ECHO - SHINDAIWA.xlsm</t>
  </si>
  <si>
    <t>0-20-55</t>
  </si>
  <si>
    <t xml:space="preserve">02050 GR </t>
  </si>
  <si>
    <t>1 4D AMINA 720G/L</t>
  </si>
  <si>
    <t>104511 GR</t>
  </si>
  <si>
    <t>13640 MICROELEMENTOS GR</t>
  </si>
  <si>
    <t>153015 MICROELEMENTOS GR</t>
  </si>
  <si>
    <t>161612 SC</t>
  </si>
  <si>
    <t>2 4D AMINA 720G/L</t>
  </si>
  <si>
    <t>24D160G/L+PICLORAM 80 G/L</t>
  </si>
  <si>
    <t>251010 MICROELEMENTOS GR</t>
  </si>
  <si>
    <t>3 4D AMINA 720G/L</t>
  </si>
  <si>
    <t>352520 MICROELEMENTOS GR</t>
  </si>
  <si>
    <t>AA (No Aplica)</t>
  </si>
  <si>
    <t xml:space="preserve">ABAMECTIN 2.0% Ec </t>
  </si>
  <si>
    <t>ACCERORIO PICADORA</t>
  </si>
  <si>
    <t>ACCESORIOS ASABA</t>
  </si>
  <si>
    <t>ACCESORIOS EQUIPOS 2T</t>
  </si>
  <si>
    <t>ACCESORIOS EQUIPOS 4T</t>
  </si>
  <si>
    <t>ACCESORIOS EQUIPOS BATERIA</t>
  </si>
  <si>
    <t>ACCESORIOS EQUIPOS MANUALES</t>
  </si>
  <si>
    <t>ACCESORIOS MOTOAZADA</t>
  </si>
  <si>
    <t>ACCESORIOS MOTOCULTORES</t>
  </si>
  <si>
    <t>ACCESORIOS TRACTORES</t>
  </si>
  <si>
    <t>ACEFATO 75</t>
  </si>
  <si>
    <t>ACEITE</t>
  </si>
  <si>
    <t>ACEITES</t>
  </si>
  <si>
    <t>ACIDO GIBELERICO</t>
  </si>
  <si>
    <t>ACIDOS HUMICOS SL</t>
  </si>
  <si>
    <t>Acidos Organicos/humicos</t>
  </si>
  <si>
    <t>Agente Tensoactivo</t>
  </si>
  <si>
    <t>AIREADORES</t>
  </si>
  <si>
    <t xml:space="preserve">AISLADORES </t>
  </si>
  <si>
    <t>ALIMENTOS GANADO</t>
  </si>
  <si>
    <t>ALIMENTOS MASCOTAS</t>
  </si>
  <si>
    <t xml:space="preserve">AMINOACIDOS 6% + GIBERELINAS 25PPM SL </t>
  </si>
  <si>
    <t>ANTIBIOTICOS</t>
  </si>
  <si>
    <t>ANTIPARASITARIOS</t>
  </si>
  <si>
    <t>ANTISEPTICOS</t>
  </si>
  <si>
    <t>ARRIENDO DE LOCALES</t>
  </si>
  <si>
    <t>ATRAPRIN 90WG</t>
  </si>
  <si>
    <t>ATRAZINA 90%</t>
  </si>
  <si>
    <t>AZOXYSTROBIN 12% + TEBUCONAZOLE 20%</t>
  </si>
  <si>
    <t>AZOZISTROBINA 250G/L</t>
  </si>
  <si>
    <t>BANDAS</t>
  </si>
  <si>
    <t>BEBEDEROS</t>
  </si>
  <si>
    <t>BENALAXYL 8%+MANCOZEB 65% WP</t>
  </si>
  <si>
    <t>Bioestimulante 243 ppm</t>
  </si>
  <si>
    <t>BISPIRIBAC SODIUM 48%</t>
  </si>
  <si>
    <t>BOMBAS AGUA</t>
  </si>
  <si>
    <t>BOMBAS DE AGUA 2T</t>
  </si>
  <si>
    <t>BOMBAS DE AGUA DE CAUDAL</t>
  </si>
  <si>
    <t>BOMBAS DE AGUA DE PRESION</t>
  </si>
  <si>
    <t>Boro Molibdeno</t>
  </si>
  <si>
    <t>BUTACLOR</t>
  </si>
  <si>
    <t>CAFE</t>
  </si>
  <si>
    <t>CAJAS</t>
  </si>
  <si>
    <t>CALCIO 6% BORO 3% SL</t>
  </si>
  <si>
    <t>Calcio Nitrogeno</t>
  </si>
  <si>
    <t>Camaras</t>
  </si>
  <si>
    <t xml:space="preserve">CANTARAS </t>
  </si>
  <si>
    <t>CARBENDAZIM 50% SC</t>
  </si>
  <si>
    <t>CARBENDAZIM 50% WP</t>
  </si>
  <si>
    <t>Carboxilato de cobre/aminoglycoside</t>
  </si>
  <si>
    <t>Carboxilato de cobre/Fe</t>
  </si>
  <si>
    <t>Carboxilato de Cu/Fe/Al/Amino</t>
  </si>
  <si>
    <t>CARTAP 50% SP</t>
  </si>
  <si>
    <t>CEDAZO</t>
  </si>
  <si>
    <t>CEREZA</t>
  </si>
  <si>
    <t>CHIPPER/SHEDDERS</t>
  </si>
  <si>
    <t>CHLOROTALONIL 72% SC</t>
  </si>
  <si>
    <t>CITOQUININAS 110 PPM SL</t>
  </si>
  <si>
    <t>CLOFENTAZINE 50 % SC</t>
  </si>
  <si>
    <t>CLOROTALONIL 8% + DIMETOMORF 40%</t>
  </si>
  <si>
    <t>CLORPIRIFOS 480 G/L</t>
  </si>
  <si>
    <t>CLORPIRIFOS 500 CIPERMETRINA 50 550G/L</t>
  </si>
  <si>
    <t>COADYUVANTE</t>
  </si>
  <si>
    <t>COLMENAS</t>
  </si>
  <si>
    <t>CONDUCTORES</t>
  </si>
  <si>
    <t>COPIADORA</t>
  </si>
  <si>
    <t>CORTACESPED 4T</t>
  </si>
  <si>
    <t>CORTASETOS 2T</t>
  </si>
  <si>
    <t>CORTASETOS BATERIA</t>
  </si>
  <si>
    <t>COSECHADORA</t>
  </si>
  <si>
    <t>CYHALOFOP</t>
  </si>
  <si>
    <t>CYROMAZINA 75% WP</t>
  </si>
  <si>
    <t>DELTAMETRINA 2.5% EC</t>
  </si>
  <si>
    <t>Desgranadora</t>
  </si>
  <si>
    <t>DESMALEZADORA BATERIA</t>
  </si>
  <si>
    <t>DESMALEZADORAS 2T</t>
  </si>
  <si>
    <t>DESPULPADORA</t>
  </si>
  <si>
    <t>DIAFENTHIURON 25% EC</t>
  </si>
  <si>
    <t>DIAZINON 40%</t>
  </si>
  <si>
    <t>DIFENOCONAZOLE 25% EC</t>
  </si>
  <si>
    <t>DIMETOATO</t>
  </si>
  <si>
    <t>DIMETOMORPH 9% + MANCOZEB 60%</t>
  </si>
  <si>
    <t>Dioctil sulfosuccinato</t>
  </si>
  <si>
    <t>Dioctil Sulfosuccinato + indicador</t>
  </si>
  <si>
    <t>DISCO DURO</t>
  </si>
  <si>
    <t>DIURON</t>
  </si>
  <si>
    <t>ELECTRODOMESTICOS</t>
  </si>
  <si>
    <t xml:space="preserve">ENERGIZADORES </t>
  </si>
  <si>
    <t>ENSILADORAS</t>
  </si>
  <si>
    <t>ENVASES</t>
  </si>
  <si>
    <t>EPOXICONAZOLE 7.5%</t>
  </si>
  <si>
    <t>EQUIPOS ELECTRONICOS</t>
  </si>
  <si>
    <t>ETIQUETAS</t>
  </si>
  <si>
    <t>FERTILIZANTES EDAFICOS</t>
  </si>
  <si>
    <t>FIPRONIL</t>
  </si>
  <si>
    <t>Fitohormonas + Vitaminas</t>
  </si>
  <si>
    <t>FITOHORMONAS 170 ppm SL</t>
  </si>
  <si>
    <t>FOSETYL ALUMINIO 80% WP</t>
  </si>
  <si>
    <t>FOSFONATO POTASICO 70% SL</t>
  </si>
  <si>
    <t>Fosforo + Hormonas</t>
  </si>
  <si>
    <t>FOTOCOPIADORA</t>
  </si>
  <si>
    <t>FUMIGACION ESTACIONARIA</t>
  </si>
  <si>
    <t>FUMIGACION MANUAL</t>
  </si>
  <si>
    <t>FUNDAS</t>
  </si>
  <si>
    <t>GENERADORES</t>
  </si>
  <si>
    <t>GLIFOSATO 48% SL</t>
  </si>
  <si>
    <t>HERRAMIENTAS</t>
  </si>
  <si>
    <t>Herramientas Agricolas</t>
  </si>
  <si>
    <t>HERRAMIENTAS DE TALLER</t>
  </si>
  <si>
    <t>HEXYTHIAZOX 5% EC</t>
  </si>
  <si>
    <t>HIDROLAVADORAS ELECTRICAS</t>
  </si>
  <si>
    <t>HIDROLAVADORAS Y BOMBAS HIDROMECANICA</t>
  </si>
  <si>
    <t>IMIDACLOPRID 25% WP</t>
  </si>
  <si>
    <t>IMIDACLOPRID 42%+LAMBDA-CYHALOTHRIN 6%WP</t>
  </si>
  <si>
    <t xml:space="preserve">IMPLEMENTOS </t>
  </si>
  <si>
    <t>IMPRESORAS</t>
  </si>
  <si>
    <t>IVA PRODUCCION</t>
  </si>
  <si>
    <t>LAMBDACIHALOTRINA 2.5% EC</t>
  </si>
  <si>
    <t>LECHEROS</t>
  </si>
  <si>
    <t>LICENCIAS</t>
  </si>
  <si>
    <t>LOCALIZADOR</t>
  </si>
  <si>
    <t>LUV DMAX CAMIONETA</t>
  </si>
  <si>
    <t>Magnecio Hierro Zinc</t>
  </si>
  <si>
    <t>MANTENIMIENTO</t>
  </si>
  <si>
    <t xml:space="preserve">MAQUINA DE TALLER </t>
  </si>
  <si>
    <t>MAQUINA MULTIUSOS</t>
  </si>
  <si>
    <t>MAQUINARIA DE CONSTRUCCIÓN</t>
  </si>
  <si>
    <t>MAQUINARIA HUESO</t>
  </si>
  <si>
    <t>MAQUINARIA Y EQUIPO</t>
  </si>
  <si>
    <t>MARCAS Y PATENTES</t>
  </si>
  <si>
    <t>Medidor</t>
  </si>
  <si>
    <t>METALDEHIDO</t>
  </si>
  <si>
    <t>METALOSATO DE CALCIO 23% SL</t>
  </si>
  <si>
    <t>METSULFURON METHYL 60% WP</t>
  </si>
  <si>
    <t>MEZCLADORAS</t>
  </si>
  <si>
    <t>MICROELEMENTOS SOLUBLES GR</t>
  </si>
  <si>
    <t>MOLINOS PICADORES</t>
  </si>
  <si>
    <t>MONITOR</t>
  </si>
  <si>
    <t>MOTOAZADA</t>
  </si>
  <si>
    <t>MOTOCULTORES</t>
  </si>
  <si>
    <t>MOTORES 4T</t>
  </si>
  <si>
    <t>MOTORES ELECTRICOS</t>
  </si>
  <si>
    <t>MOTOSIERRAS 2T</t>
  </si>
  <si>
    <t>MOTOSIERRAS BATERIA</t>
  </si>
  <si>
    <t>MUEBLES</t>
  </si>
  <si>
    <t>MYCLOBUTANIL 12.5% EC</t>
  </si>
  <si>
    <t>NEBULIZADORA 2T</t>
  </si>
  <si>
    <t>NICOSULFURON</t>
  </si>
  <si>
    <t>NPK + Microelementos</t>
  </si>
  <si>
    <t>NUTRICIONAL AGROENCIMAS</t>
  </si>
  <si>
    <t xml:space="preserve">ORDENOS MECANICOS </t>
  </si>
  <si>
    <t>ORTOFOSFATO 20% SL</t>
  </si>
  <si>
    <t>OTROS EQUIPOS</t>
  </si>
  <si>
    <t>OXIDO DE POTASIO 40% SL</t>
  </si>
  <si>
    <t>PARAQUAT 270 G/L</t>
  </si>
  <si>
    <t>PARTES Y PIEZAS</t>
  </si>
  <si>
    <t>PC</t>
  </si>
  <si>
    <t>PEMETRINA</t>
  </si>
  <si>
    <t>PENDIMETALINA</t>
  </si>
  <si>
    <t>PERSA</t>
  </si>
  <si>
    <t>PICLORAM</t>
  </si>
  <si>
    <t>PIRIMETANIL 60%</t>
  </si>
  <si>
    <t>PODADORA BATERIA</t>
  </si>
  <si>
    <t>PODADORA ELECTRICA</t>
  </si>
  <si>
    <t xml:space="preserve">PODADORAS DE ALTURA 2T </t>
  </si>
  <si>
    <t>PODADORAS DE ALTURA MANUAL</t>
  </si>
  <si>
    <t>PORTATIL</t>
  </si>
  <si>
    <t>PROCHLORAZ 45% EC</t>
  </si>
  <si>
    <t>PROFENOFOS</t>
  </si>
  <si>
    <t>PROPICONAZOLE 25% EC</t>
  </si>
  <si>
    <t>Proyector</t>
  </si>
  <si>
    <t>PUBLICIDAD</t>
  </si>
  <si>
    <t>PULVERIZADORA 2T</t>
  </si>
  <si>
    <t>PULVERIZADORA BATERIA</t>
  </si>
  <si>
    <t>QUELATO DE HIERRO 5% SL</t>
  </si>
  <si>
    <t>QUELATO DE ZINC 11% SL</t>
  </si>
  <si>
    <t>RATICIDA</t>
  </si>
  <si>
    <t>REPUESTOS</t>
  </si>
  <si>
    <t>REPUESTOS 2T</t>
  </si>
  <si>
    <t>REPUESTOS 4T</t>
  </si>
  <si>
    <t>REPUESTOS BOMBA E HIDROLAVADORAS</t>
  </si>
  <si>
    <t>REPUESTOS BOMBAS DE AGUA</t>
  </si>
  <si>
    <t>REPUESTOS ENSILADORAS Y MOLINOS</t>
  </si>
  <si>
    <t>REPUESTOS EQUIPOS ELECTRICOS</t>
  </si>
  <si>
    <t>REPUESTOS EQUIPOS MANUALES</t>
  </si>
  <si>
    <t>REPUESTOS MOTOCULTORES</t>
  </si>
  <si>
    <t>REPUESTOS OTROS EQUIPOS</t>
  </si>
  <si>
    <t xml:space="preserve">REPUESTOS PICADORA </t>
  </si>
  <si>
    <t>REPUESTOS TRACTORES</t>
  </si>
  <si>
    <t>REPUESTOS ULTILITARIOS</t>
  </si>
  <si>
    <t>ROUTER</t>
  </si>
  <si>
    <t>SEMBRADORA ESPARCIDORA</t>
  </si>
  <si>
    <t>SEMILLAS FLORES</t>
  </si>
  <si>
    <t>SERRUCHOS</t>
  </si>
  <si>
    <t>SERVICIO TECNICO</t>
  </si>
  <si>
    <t>SERVICIOS</t>
  </si>
  <si>
    <t>SILICATO DE POTACIO</t>
  </si>
  <si>
    <t>Silicato de potasio</t>
  </si>
  <si>
    <t>Sistema de Vigilancia</t>
  </si>
  <si>
    <t>SISTEMAS</t>
  </si>
  <si>
    <t>SOPLADORA BATERIA</t>
  </si>
  <si>
    <t>SOPLADORAS 2T</t>
  </si>
  <si>
    <t>SPINETORAM</t>
  </si>
  <si>
    <t>SUELDOS Y SALARIOS</t>
  </si>
  <si>
    <t>SULFATO DE COBRE 24% AMINOACIDOS 5% SL</t>
  </si>
  <si>
    <t>SULFATO DE COBRE 24% SL</t>
  </si>
  <si>
    <t>TALADRO MOTORIZADO</t>
  </si>
  <si>
    <t>TALCO MEDICADO</t>
  </si>
  <si>
    <t>TEBUCONAZOL 25% EC</t>
  </si>
  <si>
    <t>Tebuconazole 25%</t>
  </si>
  <si>
    <t>TELEFONOS</t>
  </si>
  <si>
    <t>TERMINADO</t>
  </si>
  <si>
    <t>THIAMETOXAM</t>
  </si>
  <si>
    <t>TIJERAS</t>
  </si>
  <si>
    <t>TOSTADO</t>
  </si>
  <si>
    <t xml:space="preserve">TRACTORES </t>
  </si>
  <si>
    <t>TRANSPORTE</t>
  </si>
  <si>
    <t>TRIDEMORF 86 OL</t>
  </si>
  <si>
    <t>TRILLADORA</t>
  </si>
  <si>
    <t>UTILITARIOS 2T</t>
  </si>
  <si>
    <t>VEHICULOS</t>
  </si>
  <si>
    <t>VERDE</t>
  </si>
  <si>
    <t>VETERINARIO</t>
  </si>
  <si>
    <t>VITAMINAS Y MINERALES</t>
  </si>
  <si>
    <t>ACTIVO FIJO</t>
  </si>
  <si>
    <t>AGROPECUARIA</t>
  </si>
  <si>
    <t>ALIMENTOS</t>
  </si>
  <si>
    <t>APICULTURA</t>
  </si>
  <si>
    <t>GSM LOCALIZADOR</t>
  </si>
  <si>
    <t>HARDWARE</t>
  </si>
  <si>
    <t>INDUSTRIAL</t>
  </si>
  <si>
    <t>LABRANZA</t>
  </si>
  <si>
    <t>NUTRICIONAL</t>
  </si>
  <si>
    <t>NUTRICIONAL ANIMAL</t>
  </si>
  <si>
    <t>OTROS AGROQUIMICOS</t>
  </si>
  <si>
    <t>OTROS MAQUINARIA</t>
  </si>
  <si>
    <t>OTROS SUKAMPO</t>
  </si>
  <si>
    <t>PLAGUICIDAS CONVENCIONALES</t>
  </si>
  <si>
    <t>PLAGUICIDAS ORGANICOS</t>
  </si>
  <si>
    <t>PRODUCCION</t>
  </si>
  <si>
    <t>SOFTWARE</t>
  </si>
  <si>
    <t>TALLERES</t>
  </si>
  <si>
    <t>ACCESORIO DE ARMADO</t>
  </si>
  <si>
    <t>ARRIENDOS</t>
  </si>
  <si>
    <t>BALANCEADO</t>
  </si>
  <si>
    <t>BIOESTIMULANTES</t>
  </si>
  <si>
    <t>BOMBAS DE AGUA 4T</t>
  </si>
  <si>
    <t>BOMBAS HIDROMECANICAS</t>
  </si>
  <si>
    <t>CA ACCESORIOS LUBRICANTES</t>
  </si>
  <si>
    <t>CA HERBICIDA</t>
  </si>
  <si>
    <t>CA MOTORES Y BOMBAS OTRAS MARCAS</t>
  </si>
  <si>
    <t>CA OTROS EQUIPOS AGROFORESTALES</t>
  </si>
  <si>
    <t>CANTARAS</t>
  </si>
  <si>
    <t>CERCAS ELECTRICAS</t>
  </si>
  <si>
    <t>CHIPEADORAS</t>
  </si>
  <si>
    <t>COADYUVANTES</t>
  </si>
  <si>
    <t xml:space="preserve">CONVENCIONAL </t>
  </si>
  <si>
    <t>CORTACESPED</t>
  </si>
  <si>
    <t>CORTASETOS</t>
  </si>
  <si>
    <t>DESMALEZADORAS</t>
  </si>
  <si>
    <t>ENSILADORAS Y PICADORAS DE PASTO</t>
  </si>
  <si>
    <t xml:space="preserve">ENVASES </t>
  </si>
  <si>
    <t>EQUIPO DE COMPUTACION</t>
  </si>
  <si>
    <t>EQUIPOS</t>
  </si>
  <si>
    <t>EQUIPOS DE OFICINA</t>
  </si>
  <si>
    <t>EQUIPOS PARA CAFE</t>
  </si>
  <si>
    <t xml:space="preserve">ETIQUETAS </t>
  </si>
  <si>
    <t>FERTILIZANTE FOLIAR</t>
  </si>
  <si>
    <t>FUMIGACION</t>
  </si>
  <si>
    <t>FUNDAS PREIMPRESAS</t>
  </si>
  <si>
    <t>FUNGICIDA</t>
  </si>
  <si>
    <t>FUNGICIDAS ORGANICOS</t>
  </si>
  <si>
    <t>HERBICIDA</t>
  </si>
  <si>
    <t>HERRAMIENTAS PODA MANUAL</t>
  </si>
  <si>
    <t>HIDROLAVADORAS</t>
  </si>
  <si>
    <t>IMPLEMENTOS</t>
  </si>
  <si>
    <t>INSECTICIDA</t>
  </si>
  <si>
    <t>INSECTICIDAS ORGANICOS</t>
  </si>
  <si>
    <t>LUBRICANTE</t>
  </si>
  <si>
    <t>LUBRICANTES</t>
  </si>
  <si>
    <t>MAQUINA DE TALLER</t>
  </si>
  <si>
    <t>MAQUINARIA</t>
  </si>
  <si>
    <t>MEDICAMENTOS</t>
  </si>
  <si>
    <t>MUEBLES Y ENSERES</t>
  </si>
  <si>
    <t>NUTRICIONAL AGROENZIMAS</t>
  </si>
  <si>
    <t>ORDENOS</t>
  </si>
  <si>
    <t>OTROS</t>
  </si>
  <si>
    <t>OTROS VARIOS AGROQUIMICOS</t>
  </si>
  <si>
    <t xml:space="preserve">PODADORA </t>
  </si>
  <si>
    <t>PUBLICIDAD ECHO SHINDAIWA</t>
  </si>
  <si>
    <t>SEMILLAS</t>
  </si>
  <si>
    <t>SOPLADORAS</t>
  </si>
  <si>
    <t>TRACTORES</t>
  </si>
  <si>
    <t>UTILITARIOS</t>
  </si>
  <si>
    <t xml:space="preserve">VEHICULOS </t>
  </si>
  <si>
    <t>ACER</t>
  </si>
  <si>
    <t>ACTIVOS FIJOS</t>
  </si>
  <si>
    <t>AGROCHEM</t>
  </si>
  <si>
    <t>AGROCHEM POR LIQUIDAR</t>
  </si>
  <si>
    <t>AGROENZYMAS</t>
  </si>
  <si>
    <t>Agroquímicos</t>
  </si>
  <si>
    <t>AGSO CUENCA</t>
  </si>
  <si>
    <t>ALCON</t>
  </si>
  <si>
    <t>ARS</t>
  </si>
  <si>
    <t>ASABA</t>
  </si>
  <si>
    <t>ASO. GANADEROS</t>
  </si>
  <si>
    <t>BALDAN</t>
  </si>
  <si>
    <t>BALSECA &amp; BALSECA</t>
  </si>
  <si>
    <t>BARNEL</t>
  </si>
  <si>
    <t>BEAR CAT</t>
  </si>
  <si>
    <t>BELLOTA</t>
  </si>
  <si>
    <t>BENQ</t>
  </si>
  <si>
    <t>Boralsan</t>
  </si>
  <si>
    <t>BRIGGS-STRATTON</t>
  </si>
  <si>
    <t>BRIGSS</t>
  </si>
  <si>
    <t>BRISTOL</t>
  </si>
  <si>
    <t>BRUDDEN</t>
  </si>
  <si>
    <t>BUENCAN</t>
  </si>
  <si>
    <t>CAFE 1200</t>
  </si>
  <si>
    <t>CASIO</t>
  </si>
  <si>
    <t>CHANGFA</t>
  </si>
  <si>
    <t>CHEVROLET</t>
  </si>
  <si>
    <t>CHICKY</t>
  </si>
  <si>
    <t>CIFARELLI</t>
  </si>
  <si>
    <t>CIVEMASA</t>
  </si>
  <si>
    <t>COMPA</t>
  </si>
  <si>
    <t>Craftfman</t>
  </si>
  <si>
    <t>CREMASCO</t>
  </si>
  <si>
    <t>CRIBOS</t>
  </si>
  <si>
    <t>DOG</t>
  </si>
  <si>
    <t>DOGSTAR</t>
  </si>
  <si>
    <t>DON FENG</t>
  </si>
  <si>
    <t>DUAJA</t>
  </si>
  <si>
    <t>DUCATI</t>
  </si>
  <si>
    <t>DURAPLAST</t>
  </si>
  <si>
    <t>EBERLE</t>
  </si>
  <si>
    <t>ECHO</t>
  </si>
  <si>
    <t>ECUAQUIMICA</t>
  </si>
  <si>
    <t>EL VALLE</t>
  </si>
  <si>
    <t>EPSON</t>
  </si>
  <si>
    <t>EUROLAC</t>
  </si>
  <si>
    <t>EuroLatte</t>
  </si>
  <si>
    <t>FARBIOVET</t>
  </si>
  <si>
    <t>FERGUZ</t>
  </si>
  <si>
    <t>FERRARI</t>
  </si>
  <si>
    <t>FLETE</t>
  </si>
  <si>
    <t>FLOW</t>
  </si>
  <si>
    <t>FORD</t>
  </si>
  <si>
    <t>GASTOS ADMINISTRATIVOS</t>
  </si>
  <si>
    <t>GLOBAL</t>
  </si>
  <si>
    <t>GOLDEN BEAR</t>
  </si>
  <si>
    <t xml:space="preserve">GOLDONI </t>
  </si>
  <si>
    <t>GRAFICAS HERNANDEZ</t>
  </si>
  <si>
    <t>GREENCORP</t>
  </si>
  <si>
    <t>GREENLEAF</t>
  </si>
  <si>
    <t>GROWAY</t>
  </si>
  <si>
    <t>HALLEY</t>
  </si>
  <si>
    <t>HANCHANG</t>
  </si>
  <si>
    <t>HONDA</t>
  </si>
  <si>
    <t>HP</t>
  </si>
  <si>
    <t>HUSQVARNA</t>
  </si>
  <si>
    <t>IKRA</t>
  </si>
  <si>
    <t>INCOMAGRI</t>
  </si>
  <si>
    <t>INTEL CORE DUO</t>
  </si>
  <si>
    <t>INTEROC</t>
  </si>
  <si>
    <t>INTERPUMP</t>
  </si>
  <si>
    <t>ITALCAN</t>
  </si>
  <si>
    <t>IVAN BOHMAN C.A.</t>
  </si>
  <si>
    <t>Jacto</t>
  </si>
  <si>
    <t>JACTO CLEAN</t>
  </si>
  <si>
    <t>JET</t>
  </si>
  <si>
    <t>JF</t>
  </si>
  <si>
    <t>JINMA</t>
  </si>
  <si>
    <t>JM. ESTRADA</t>
  </si>
  <si>
    <t>KITS</t>
  </si>
  <si>
    <t>LAMBORGINI</t>
  </si>
  <si>
    <t>LANDINI</t>
  </si>
  <si>
    <t>LAVRALE</t>
  </si>
  <si>
    <t>LECHERO</t>
  </si>
  <si>
    <t>LG</t>
  </si>
  <si>
    <t>LIRYS</t>
  </si>
  <si>
    <t>MAQTRON</t>
  </si>
  <si>
    <t>MARUYAMA</t>
  </si>
  <si>
    <t>MFW</t>
  </si>
  <si>
    <t>MICHU</t>
  </si>
  <si>
    <t>MICROSOFT</t>
  </si>
  <si>
    <t>MIO CHEMICAL</t>
  </si>
  <si>
    <t>MITSUBOSHI</t>
  </si>
  <si>
    <t>MURRAY</t>
  </si>
  <si>
    <t>NEYPLEX</t>
  </si>
  <si>
    <t>NOVOFARMS</t>
  </si>
  <si>
    <t>NUTRAPRO</t>
  </si>
  <si>
    <t>NUTRIL</t>
  </si>
  <si>
    <t>OLEO MAC</t>
  </si>
  <si>
    <t>OREGON</t>
  </si>
  <si>
    <t>OSORIO</t>
  </si>
  <si>
    <t>PAL</t>
  </si>
  <si>
    <t>PATRIOT</t>
  </si>
  <si>
    <t>PLASTLIT</t>
  </si>
  <si>
    <t>PRIMAX</t>
  </si>
  <si>
    <t>PROCAN</t>
  </si>
  <si>
    <t>PROCAT</t>
  </si>
  <si>
    <t>PRODUCTOS HACIENDA</t>
  </si>
  <si>
    <t>PROMIX</t>
  </si>
  <si>
    <t>PRONACA</t>
  </si>
  <si>
    <t>SAMSUNG</t>
  </si>
  <si>
    <t>SANYO</t>
  </si>
  <si>
    <t>SERVICIOS COMERCIALES</t>
  </si>
  <si>
    <t>SHARDA</t>
  </si>
  <si>
    <t>SHINDAIWA</t>
  </si>
  <si>
    <t>SHIVA</t>
  </si>
  <si>
    <t>SIEMENS</t>
  </si>
  <si>
    <t>SINOCHEM</t>
  </si>
  <si>
    <t>SIRFRAN</t>
  </si>
  <si>
    <t>SISTEC</t>
  </si>
  <si>
    <t>SITREX</t>
  </si>
  <si>
    <t>SKEKURA</t>
  </si>
  <si>
    <t>SOLO DEL ECUADOR</t>
  </si>
  <si>
    <t>SOLO JARDIN</t>
  </si>
  <si>
    <t>STAFOR</t>
  </si>
  <si>
    <t>STANLEY</t>
  </si>
  <si>
    <t>STHIL</t>
  </si>
  <si>
    <t>Subaru</t>
  </si>
  <si>
    <t>SUNJOY</t>
  </si>
  <si>
    <t>SUPERCAN</t>
  </si>
  <si>
    <t>SUPERELLI</t>
  </si>
  <si>
    <t>SUPRAPLAST</t>
  </si>
  <si>
    <t>SWISSOIL</t>
  </si>
  <si>
    <t>TATU</t>
  </si>
  <si>
    <t>TECNOPLAS</t>
  </si>
  <si>
    <t>TEMCO</t>
  </si>
  <si>
    <t>TRUPER</t>
  </si>
  <si>
    <t>VALDIS</t>
  </si>
  <si>
    <t>VARIOS</t>
  </si>
  <si>
    <t>VINVELPLO</t>
  </si>
  <si>
    <t>VITASAL</t>
  </si>
  <si>
    <t>VOCAGRO</t>
  </si>
  <si>
    <t>WEG</t>
  </si>
  <si>
    <t>XEROX</t>
  </si>
  <si>
    <t>YAMAMOTOR</t>
  </si>
  <si>
    <t>ZM</t>
  </si>
  <si>
    <t>CHINA SUNJOY</t>
  </si>
  <si>
    <t>MEXICO</t>
  </si>
  <si>
    <t>Jaher</t>
  </si>
  <si>
    <t>BRASIL</t>
  </si>
  <si>
    <t>USA ECHO</t>
  </si>
  <si>
    <t>JAPON CHATANI</t>
  </si>
  <si>
    <t>BRASIL EUROLATTE</t>
  </si>
  <si>
    <t>NUEVA ZELANDA PATRIOT</t>
  </si>
  <si>
    <t>ESPAÑA BCS</t>
  </si>
  <si>
    <t>TURKIA BORALSAN</t>
  </si>
  <si>
    <t>CHINA MIRAL</t>
  </si>
  <si>
    <t>ESPAÑA SIRFRAN</t>
  </si>
  <si>
    <t>MERCALIMSA MATERIA PRIMA</t>
  </si>
  <si>
    <t>AUSTROBOX</t>
  </si>
  <si>
    <t>VALDIVIESO TORRES</t>
  </si>
  <si>
    <t>PLASLIT</t>
  </si>
  <si>
    <t>SUKAMPO</t>
  </si>
  <si>
    <t>Activos Agrota Feria Libre</t>
  </si>
  <si>
    <t>Activos Agrota Matriz</t>
  </si>
  <si>
    <t>AGROTA BODEGA FALTANTES DE IMPORTACION Y COMPRAS</t>
  </si>
  <si>
    <t>AGROTA BODEGA GARANTIAS AGROPECUARIA</t>
  </si>
  <si>
    <t>AGROTA BODEGA IPS Jose Mora</t>
  </si>
  <si>
    <t>AGROTA BODEGA LICITACIONES</t>
  </si>
  <si>
    <t>AGROTA BODEGA MAQUINAS ARMADAS</t>
  </si>
  <si>
    <t>AGROTA MAQUINAS PARA PRUEBA</t>
  </si>
  <si>
    <t>AGROTA PRODUCCION EUROLATTE</t>
  </si>
  <si>
    <t>AGROTA TALLER SUKAMPO FERIA LIBRE</t>
  </si>
  <si>
    <t>AGROTA TALLER SUKAMPO SUCRE</t>
  </si>
  <si>
    <t>BODEGA AGROPROCESOS</t>
  </si>
  <si>
    <t>BODEGA AGROSAD</t>
  </si>
  <si>
    <t>Bodega Almacen (Su Campo)</t>
  </si>
  <si>
    <t>BODEGA MAQUINAS PERDIDAS TRANSPORTE</t>
  </si>
  <si>
    <t>BODEGA MERCALIMSA</t>
  </si>
  <si>
    <t>BODEGA TALLER SUKAMPO</t>
  </si>
  <si>
    <t>CONSIGNACION AGROINSUMOS</t>
  </si>
  <si>
    <t>Consignacion agrota</t>
  </si>
  <si>
    <t>El Molino</t>
  </si>
  <si>
    <t>FACTUTARACION IP</t>
  </si>
  <si>
    <t>FALTANTES REPUESTOS</t>
  </si>
  <si>
    <t>Feria Libre</t>
  </si>
  <si>
    <t>HACIENDA CHUQUIPATA</t>
  </si>
  <si>
    <t>Loja</t>
  </si>
  <si>
    <t>Maquinas desarmadas</t>
  </si>
  <si>
    <t>MAQUINAS DESARMADAS FAUSTO</t>
  </si>
  <si>
    <t>MAQUINAS USADAS SUKAMPO</t>
  </si>
  <si>
    <t>MARCIMEX TIENDA  El EMPALME</t>
  </si>
  <si>
    <t>MARCIMEX TIENDA  EL GUABO</t>
  </si>
  <si>
    <t>MARCIMEX TIENDA  EL TRIUNFO</t>
  </si>
  <si>
    <t>MARCIMEX TIENDA  MILAGRO 1</t>
  </si>
  <si>
    <t>MARCIMEX TIENDA  NARANJAL</t>
  </si>
  <si>
    <t>MARCIMEX TIENDA  NARANJITO</t>
  </si>
  <si>
    <t>MARCIMEX TIENDA  PONCE  ENRIQUEZ</t>
  </si>
  <si>
    <t>MARCIMEX TIENDA  STA. ROSA</t>
  </si>
  <si>
    <t>MARCIMEX TIENDA BABAHOYO</t>
  </si>
  <si>
    <t>MARCIMEX TIENDA BUENA FE</t>
  </si>
  <si>
    <t>MARCIMEX TIENDA EL CARMEN</t>
  </si>
  <si>
    <t>MARCIMEX TIENDA LA CONCORDIA</t>
  </si>
  <si>
    <t>MARCIMEX TIENDA LA MANA</t>
  </si>
  <si>
    <t>MARCIMEX TIENDA LA TRONCAL</t>
  </si>
  <si>
    <t>MARCIMEX TIENDA LAS GOLONDRINAS</t>
  </si>
  <si>
    <t>MARCIMEX TIENDA MACHALA  ROCAFURETE</t>
  </si>
  <si>
    <t>MARCIMEX TIENDA PATRICIA PILAR</t>
  </si>
  <si>
    <t>MARCIMEX TIENDA PELILEO</t>
  </si>
  <si>
    <t>MARCIMEX TIENDA QUEVEDO 7 DE OCTUBRE</t>
  </si>
  <si>
    <t>MARCIMEX TIENDA QUEVEDO CALLE PRIMERA</t>
  </si>
  <si>
    <t xml:space="preserve">MARCIMEX TIENDA QUEVEDO SAN CAMILO </t>
  </si>
  <si>
    <t>MARCIMEX TIENDA QUININDE</t>
  </si>
  <si>
    <t>MARCIMEX TIENDA STO DOMINGO 29 DE MAYO</t>
  </si>
  <si>
    <t>MARCIMEX TIENDA STO. DOMINGO  CALLE QUITO</t>
  </si>
  <si>
    <t>MARCIMEX TIENDA VENTANAS</t>
  </si>
  <si>
    <t>MEGACENTRO EL CHACO</t>
  </si>
  <si>
    <t>MEGACENTRO LATACUNGA</t>
  </si>
  <si>
    <t>MEGACENTRO MACHACHI</t>
  </si>
  <si>
    <t>MEGACENTRO NANEGALITO</t>
  </si>
  <si>
    <t>MEGACENTRO PEDRO VICENTE MALDONADO</t>
  </si>
  <si>
    <t>Pendientes</t>
  </si>
  <si>
    <t>Plaza Carbon(Byron)</t>
  </si>
  <si>
    <t>Problemas Agrota</t>
  </si>
  <si>
    <t>PROBLEMAS MAQ. PRUEBA</t>
  </si>
  <si>
    <t>REPUESTOS PARA MAQUINAS SIN IP</t>
  </si>
  <si>
    <t>CIPERMETRINA</t>
  </si>
  <si>
    <t>DIFLUBENZURON+LAMBDA</t>
  </si>
  <si>
    <t>REPUESTOS ORDEÑOS</t>
  </si>
  <si>
    <t>REPUESTOS UTILITARIOS</t>
  </si>
  <si>
    <t>TABLET</t>
  </si>
  <si>
    <t>THIODICARB</t>
  </si>
  <si>
    <t>ALTUNA</t>
  </si>
  <si>
    <t>MERALDA</t>
  </si>
  <si>
    <t>JM COLOMBIA</t>
  </si>
  <si>
    <t>admin</t>
  </si>
  <si>
    <t xml:space="preserve">ACCESORIOS MEZCLADORAS </t>
  </si>
  <si>
    <t>AZUFRE MICRONIZADO</t>
  </si>
  <si>
    <t>LONCIN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</si>
</sst>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&quot;$&quot;\ #,##0.00"/>
  </numFmts>
  <fonts count="14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5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2"/>
      <color theme="0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4" tint="0.59999389629810485"/>
      <name val="Calibri"/>
      <family val="2"/>
      <scheme val="minor"/>
    </font>
    <font>
      <sz val="8"/>
      <color rgb="FF000000"/>
      <name val="Segoe UI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theme="8" tint="0.59999389629810485"/>
        <bgColor indexed="64"/>
      </patternFill>
    </fill>
  </fills>
  <borders count="9">
    <border>
      <left/>
      <right/>
      <top/>
      <bottom/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</borders>
  <cellStyleXfs count="1">
    <xf numFmtId="0" fontId="0" fillId="0" borderId="0"/>
  </cellStyleXfs>
  <cellXfs count="61">
    <xf numFmtId="0" fontId="0" fillId="0" borderId="0" xfId="0"/>
    <xf numFmtId="0" fontId="0" fillId="0" borderId="0" xfId="0" applyBorder="1"/>
    <xf numFmtId="9" fontId="0" fillId="0" borderId="0" xfId="0" applyNumberFormat="1" applyBorder="1"/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applyNumberFormat="1" applyBorder="1"/>
    <xf numFmtId="0" fontId="3" fillId="0" borderId="0" xfId="0" applyNumberFormat="1" applyFont="1" applyProtection="1"/>
    <xf numFmtId="0" fontId="0" fillId="0" borderId="0" xfId="0" applyNumberFormat="1" applyProtection="1"/>
    <xf numFmtId="0" fontId="1" fillId="0" borderId="0" xfId="0" pivotButton="1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0" fillId="2" borderId="0" xfId="0" applyNumberFormat="1" applyFill="1"/>
    <xf numFmtId="2" fontId="0" fillId="2" borderId="0" xfId="0" applyNumberFormat="1" applyFill="1"/>
    <xf numFmtId="0" fontId="2" fillId="0" borderId="0" xfId="0" applyFont="1"/>
    <xf numFmtId="0" fontId="0" fillId="0" borderId="0" xfId="0" applyNumberFormat="1" applyAlignment="1">
      <alignment horizontal="center"/>
    </xf>
    <xf numFmtId="0" fontId="0" fillId="0" borderId="0" xfId="0" pivotButton="1"/>
    <xf numFmtId="0" fontId="7" fillId="0" borderId="0" xfId="0" applyFont="1"/>
    <xf numFmtId="9" fontId="0" fillId="2" borderId="0" xfId="0" applyNumberFormat="1" applyFill="1"/>
    <xf numFmtId="0" fontId="4" fillId="3" borderId="0" xfId="0" applyFont="1" applyFill="1"/>
    <xf numFmtId="0" fontId="0" fillId="4" borderId="0" xfId="0" applyFill="1"/>
    <xf numFmtId="164" fontId="0" fillId="0" borderId="0" xfId="0" applyNumberFormat="1" applyAlignment="1">
      <alignment horizontal="center"/>
    </xf>
    <xf numFmtId="0" fontId="0" fillId="5" borderId="0" xfId="0" applyFill="1" applyAlignment="1">
      <alignment horizontal="centerContinuous"/>
    </xf>
    <xf numFmtId="0" fontId="0" fillId="5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Fill="1"/>
    <xf numFmtId="1" fontId="0" fillId="0" borderId="0" xfId="0" applyNumberFormat="1" applyFill="1" applyAlignment="1">
      <alignment horizontal="center"/>
    </xf>
    <xf numFmtId="0" fontId="0" fillId="0" borderId="0" xfId="0" applyBorder="1" applyAlignment="1">
      <alignment horizontal="center"/>
    </xf>
    <xf numFmtId="0" fontId="0" fillId="6" borderId="0" xfId="0" applyFill="1" applyAlignment="1">
      <alignment horizontal="centerContinuous"/>
    </xf>
    <xf numFmtId="0" fontId="10" fillId="7" borderId="0" xfId="0" applyFont="1" applyFill="1" applyAlignment="1">
      <alignment horizontal="centerContinuous"/>
    </xf>
    <xf numFmtId="0" fontId="0" fillId="8" borderId="0" xfId="0" applyFill="1" applyAlignment="1">
      <alignment horizontal="centerContinuous"/>
    </xf>
    <xf numFmtId="0" fontId="0" fillId="6" borderId="0" xfId="0" applyFill="1" applyAlignment="1">
      <alignment horizontal="center"/>
    </xf>
    <xf numFmtId="0" fontId="10" fillId="7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Continuous"/>
    </xf>
    <xf numFmtId="0" fontId="0" fillId="9" borderId="0" xfId="0" applyFill="1" applyAlignment="1">
      <alignment horizontal="center"/>
    </xf>
    <xf numFmtId="165" fontId="0" fillId="0" borderId="0" xfId="0" applyNumberFormat="1" applyBorder="1"/>
    <xf numFmtId="1" fontId="0" fillId="0" borderId="0" xfId="0" applyNumberFormat="1" applyBorder="1"/>
    <xf numFmtId="0" fontId="11" fillId="0" borderId="0" xfId="0" applyFont="1" applyAlignment="1">
      <alignment horizontal="center"/>
    </xf>
    <xf numFmtId="10" fontId="0" fillId="0" borderId="0" xfId="0" applyNumberFormat="1" applyBorder="1"/>
    <xf numFmtId="0" fontId="11" fillId="6" borderId="0" xfId="0" applyFont="1" applyFill="1" applyAlignment="1">
      <alignment horizontal="center"/>
    </xf>
    <xf numFmtId="14" fontId="0" fillId="0" borderId="0" xfId="0" applyNumberFormat="1" applyBorder="1"/>
    <xf numFmtId="0" fontId="0" fillId="0" borderId="0" xfId="0" applyNumberFormat="1" applyFill="1" applyProtection="1"/>
    <xf numFmtId="0" fontId="0" fillId="10" borderId="6" xfId="0" applyFill="1" applyBorder="1"/>
    <xf numFmtId="0" fontId="0" fillId="10" borderId="7" xfId="0" applyFill="1" applyBorder="1"/>
    <xf numFmtId="0" fontId="4" fillId="10" borderId="7" xfId="0" applyNumberFormat="1" applyFont="1" applyFill="1" applyBorder="1" applyProtection="1"/>
    <xf numFmtId="0" fontId="0" fillId="10" borderId="7" xfId="0" applyNumberFormat="1" applyFill="1" applyBorder="1" applyProtection="1"/>
    <xf numFmtId="0" fontId="0" fillId="10" borderId="8" xfId="0" applyNumberFormat="1" applyFill="1" applyBorder="1" applyProtection="1"/>
    <xf numFmtId="0" fontId="2" fillId="10" borderId="5" xfId="0" applyNumberFormat="1" applyFont="1" applyFill="1" applyBorder="1" applyProtection="1"/>
    <xf numFmtId="0" fontId="0" fillId="10" borderId="0" xfId="0" applyNumberFormat="1" applyFill="1" applyProtection="1"/>
    <xf numFmtId="0" fontId="0" fillId="10" borderId="1" xfId="0" applyNumberFormat="1" applyFill="1" applyBorder="1" applyProtection="1"/>
    <xf numFmtId="0" fontId="0" fillId="10" borderId="5" xfId="0" applyFill="1" applyBorder="1"/>
    <xf numFmtId="0" fontId="0" fillId="10" borderId="0" xfId="0" applyFill="1"/>
    <xf numFmtId="0" fontId="12" fillId="10" borderId="0" xfId="0" applyNumberFormat="1" applyFont="1" applyFill="1" applyProtection="1"/>
    <xf numFmtId="0" fontId="0" fillId="10" borderId="5" xfId="0" applyNumberFormat="1" applyFill="1" applyBorder="1" applyProtection="1"/>
    <xf numFmtId="0" fontId="6" fillId="10" borderId="0" xfId="0" applyNumberFormat="1" applyFont="1" applyFill="1" applyProtection="1"/>
    <xf numFmtId="0" fontId="0" fillId="10" borderId="4" xfId="0" applyNumberFormat="1" applyFill="1" applyBorder="1" applyProtection="1"/>
    <xf numFmtId="0" fontId="0" fillId="10" borderId="3" xfId="0" applyNumberFormat="1" applyFill="1" applyBorder="1" applyProtection="1"/>
    <xf numFmtId="0" fontId="0" fillId="10" borderId="2" xfId="0" applyNumberFormat="1" applyFill="1" applyBorder="1" applyProtection="1"/>
  </cellXfs>
  <cellStyles count="1">
    <cellStyle name="Normal" xfId="0" builtinId="0"/>
  </cellStyles>
  <dxfs count="96"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8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auto="1"/>
      </font>
    </dxf>
    <dxf>
      <fill>
        <patternFill>
          <bgColor theme="2" tint="-9.9978637043366805E-2"/>
        </patternFill>
      </fill>
    </dxf>
    <dxf>
      <fill>
        <patternFill>
          <bgColor theme="2" tint="-9.9978637043366805E-2"/>
        </patternFill>
      </fill>
    </dxf>
    <dxf>
      <fill>
        <patternFill patternType="solid">
          <bgColor theme="1" tint="0.34998626667073579"/>
        </patternFill>
      </fill>
    </dxf>
    <dxf>
      <fill>
        <patternFill patternType="solid">
          <bgColor theme="1" tint="0.34998626667073579"/>
        </patternFill>
      </fill>
    </dxf>
    <dxf>
      <alignment horizontal="center" readingOrder="0"/>
    </dxf>
    <dxf>
      <numFmt numFmtId="13" formatCode="0%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ill>
        <patternFill patternType="solid">
          <bgColor rgb="FF7030A0"/>
        </patternFill>
      </fill>
    </dxf>
    <dxf>
      <fill>
        <patternFill patternType="solid">
          <bgColor rgb="FF7030A0"/>
        </patternFill>
      </fill>
    </dxf>
    <dxf>
      <fill>
        <patternFill patternType="solid">
          <bgColor rgb="FF006600"/>
        </patternFill>
      </fill>
    </dxf>
    <dxf>
      <fill>
        <patternFill patternType="solid">
          <bgColor rgb="FF006600"/>
        </patternFill>
      </fill>
    </dxf>
    <dxf>
      <font>
        <color auto="1"/>
      </font>
    </dxf>
    <dxf>
      <font>
        <color auto="1"/>
      </font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 patternType="solid">
          <bgColor theme="1"/>
        </patternFill>
      </fill>
    </dxf>
    <dxf>
      <alignment horizontal="centerContinuous" readingOrder="0"/>
    </dxf>
    <dxf>
      <alignment horizontal="centerContinuous" readingOrder="0"/>
    </dxf>
    <dxf>
      <alignment horizontal="centerContinuous" readingOrder="0"/>
    </dxf>
    <dxf>
      <alignment horizontal="centerContinuous" readingOrder="0"/>
    </dxf>
    <dxf>
      <alignment horizontal="centerContinuous" readingOrder="0"/>
    </dxf>
    <dxf>
      <alignment horizontal="center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3" formatCode="0%"/>
    </dxf>
    <dxf>
      <numFmt numFmtId="0" formatCode="General"/>
    </dxf>
    <dxf>
      <numFmt numFmtId="166" formatCode="m/d/yyyy"/>
    </dxf>
    <dxf>
      <numFmt numFmtId="13" formatCode="0%"/>
    </dxf>
    <dxf>
      <numFmt numFmtId="14" formatCode="0.00%"/>
    </dxf>
    <dxf>
      <numFmt numFmtId="1" formatCode="0"/>
    </dxf>
    <dxf>
      <numFmt numFmtId="1" formatCode="0"/>
    </dxf>
    <dxf>
      <numFmt numFmtId="13" formatCode="0%"/>
    </dxf>
    <dxf>
      <alignment horizontal="center" vertical="bottom" textRotation="0" wrapText="0" indent="0" justifyLastLine="0" shrinkToFit="0" readingOrder="0"/>
    </dxf>
    <dxf>
      <numFmt numFmtId="13" formatCode="0%"/>
    </dxf>
    <dxf>
      <numFmt numFmtId="0" formatCode="General"/>
    </dxf>
    <dxf>
      <numFmt numFmtId="0" formatCode="General"/>
    </dxf>
    <dxf>
      <numFmt numFmtId="0" formatCode="General"/>
    </dxf>
    <dxf>
      <numFmt numFmtId="165" formatCode="&quot;$&quot;\ #,##0.00"/>
    </dxf>
    <dxf>
      <numFmt numFmtId="165" formatCode="&quot;$&quot;\ #,##0.00"/>
    </dxf>
    <dxf>
      <numFmt numFmtId="0" formatCode="General"/>
    </dxf>
    <dxf>
      <font>
        <b/>
        <i val="0"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3" tint="0.79998168889431442"/>
        </patternFill>
      </fill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fill>
        <patternFill patternType="solid">
          <fgColor indexed="64"/>
          <bgColor theme="3" tint="0.79998168889431442"/>
        </patternFill>
      </fill>
    </dxf>
    <dxf>
      <numFmt numFmtId="13" formatCode="0%"/>
      <fill>
        <patternFill patternType="solid">
          <fgColor indexed="64"/>
          <bgColor theme="3" tint="0.79998168889431442"/>
        </patternFill>
      </fill>
    </dxf>
    <dxf>
      <numFmt numFmtId="0" formatCode="General"/>
      <fill>
        <patternFill patternType="solid">
          <fgColor indexed="64"/>
          <bgColor theme="3" tint="0.79998168889431442"/>
        </patternFill>
      </fill>
    </dxf>
    <dxf>
      <numFmt numFmtId="0" formatCode="General"/>
      <fill>
        <patternFill patternType="solid">
          <fgColor indexed="64"/>
          <bgColor theme="3" tint="0.79998168889431442"/>
        </patternFill>
      </fill>
    </dxf>
    <dxf>
      <numFmt numFmtId="0" formatCode="General"/>
      <fill>
        <patternFill patternType="solid">
          <fgColor indexed="64"/>
          <bgColor theme="3" tint="0.79998168889431442"/>
        </patternFill>
      </fill>
    </dxf>
    <dxf>
      <numFmt numFmtId="0" formatCode="General"/>
      <fill>
        <patternFill patternType="solid">
          <fgColor indexed="64"/>
          <bgColor theme="3" tint="0.79998168889431442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0" formatCode="General"/>
      <fill>
        <patternFill patternType="solid">
          <fgColor indexed="64"/>
          <bgColor theme="8" tint="0.59999389629810485"/>
        </patternFill>
      </fill>
      <protection locked="1" hidden="0"/>
    </dxf>
    <dxf>
      <numFmt numFmtId="0" formatCode="General"/>
      <fill>
        <patternFill patternType="solid">
          <fgColor indexed="64"/>
          <bgColor theme="8" tint="0.59999389629810485"/>
        </patternFill>
      </fill>
      <protection locked="1" hidden="0"/>
    </dxf>
    <dxf>
      <numFmt numFmtId="0" formatCode="General"/>
      <fill>
        <patternFill patternType="solid">
          <fgColor indexed="64"/>
          <bgColor theme="8" tint="0.59999389629810485"/>
        </patternFill>
      </fill>
      <border diagonalUp="0" diagonalDown="0" outline="0">
        <left/>
        <right/>
        <top/>
        <bottom/>
      </border>
      <protection locked="1" hidden="0"/>
    </dxf>
  </dxfs>
  <tableStyles count="0" defaultTableStyle="TableStyleMedium9" defaultPivotStyle="PivotStyleLight16"/>
  <colors>
    <mruColors>
      <color rgb="FF008000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[REPORTES.xlsm]BUFFER_POR_COLOR!Tabla_Grafico_Buffer_por_Color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spPr>
          <a:solidFill>
            <a:srgbClr val="FFFF00"/>
          </a:solidFill>
        </c:spPr>
        <c:marker>
          <c:symbol val="none"/>
        </c:marker>
      </c:pivotFmt>
      <c:pivotFmt>
        <c:idx val="7"/>
        <c:spPr>
          <a:solidFill>
            <a:schemeClr val="tx1"/>
          </a:solidFill>
        </c:spPr>
        <c:marker>
          <c:symbol val="none"/>
        </c:marker>
      </c:pivotFmt>
      <c:pivotFmt>
        <c:idx val="8"/>
        <c:spPr>
          <a:solidFill>
            <a:srgbClr val="7030A0"/>
          </a:solidFill>
        </c:spPr>
        <c:marker>
          <c:symbol val="none"/>
        </c:marker>
      </c:pivotFmt>
      <c:pivotFmt>
        <c:idx val="9"/>
        <c:spPr>
          <a:solidFill>
            <a:srgbClr val="FF0000"/>
          </a:solidFill>
        </c:spPr>
        <c:marker>
          <c:symbol val="none"/>
        </c:marker>
      </c:pivotFmt>
      <c:pivotFmt>
        <c:idx val="10"/>
        <c:spPr>
          <a:solidFill>
            <a:srgbClr val="006600"/>
          </a:solidFill>
        </c:spPr>
        <c:marker>
          <c:symbol val="none"/>
        </c:marker>
      </c:pivotFmt>
      <c:pivotFmt>
        <c:idx val="11"/>
        <c:spPr>
          <a:solidFill>
            <a:schemeClr val="tx1">
              <a:lumMod val="50000"/>
              <a:lumOff val="50000"/>
            </a:schemeClr>
          </a:solidFill>
        </c:spPr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  <c:pivotFmt>
        <c:idx val="58"/>
        <c:marker>
          <c:symbol val="none"/>
        </c:marker>
      </c:pivotFmt>
      <c:pivotFmt>
        <c:idx val="59"/>
        <c:marker>
          <c:symbol val="none"/>
        </c:marker>
      </c:pivotFmt>
      <c:pivotFmt>
        <c:idx val="60"/>
        <c:marker>
          <c:symbol val="none"/>
        </c:marker>
      </c:pivotFmt>
      <c:pivotFmt>
        <c:idx val="61"/>
        <c:marker>
          <c:symbol val="none"/>
        </c:marker>
      </c:pivotFmt>
      <c:pivotFmt>
        <c:idx val="62"/>
        <c:marker>
          <c:symbol val="none"/>
        </c:marker>
      </c:pivotFmt>
      <c:pivotFmt>
        <c:idx val="63"/>
        <c:marker>
          <c:symbol val="none"/>
        </c:marker>
      </c:pivotFmt>
      <c:pivotFmt>
        <c:idx val="64"/>
        <c:marker>
          <c:symbol val="none"/>
        </c:marker>
      </c:pivotFmt>
      <c:pivotFmt>
        <c:idx val="65"/>
        <c:marker>
          <c:symbol val="none"/>
        </c:marker>
      </c:pivotFmt>
      <c:pivotFmt>
        <c:idx val="66"/>
        <c:marker>
          <c:symbol val="none"/>
        </c:marker>
      </c:pivotFmt>
      <c:pivotFmt>
        <c:idx val="67"/>
        <c:marker>
          <c:symbol val="none"/>
        </c:marker>
      </c:pivotFmt>
      <c:pivotFmt>
        <c:idx val="68"/>
        <c:marker>
          <c:symbol val="none"/>
        </c:marker>
      </c:pivotFmt>
      <c:pivotFmt>
        <c:idx val="69"/>
        <c:marker>
          <c:symbol val="none"/>
        </c:marker>
      </c:pivotFmt>
      <c:pivotFmt>
        <c:idx val="70"/>
        <c:marker>
          <c:symbol val="none"/>
        </c:marker>
      </c:pivotFmt>
      <c:pivotFmt>
        <c:idx val="71"/>
        <c:marker>
          <c:symbol val="none"/>
        </c:marker>
      </c:pivotFmt>
      <c:pivotFmt>
        <c:idx val="72"/>
        <c:marker>
          <c:symbol val="none"/>
        </c:marker>
      </c:pivotFmt>
      <c:pivotFmt>
        <c:idx val="73"/>
        <c:marker>
          <c:symbol val="none"/>
        </c:marker>
      </c:pivotFmt>
      <c:pivotFmt>
        <c:idx val="74"/>
        <c:marker>
          <c:symbol val="none"/>
        </c:marker>
      </c:pivotFmt>
      <c:pivotFmt>
        <c:idx val="75"/>
        <c:marker>
          <c:symbol val="none"/>
        </c:marker>
      </c:pivotFmt>
      <c:pivotFmt>
        <c:idx val="76"/>
        <c:marker>
          <c:symbol val="none"/>
        </c:marker>
      </c:pivotFmt>
      <c:pivotFmt>
        <c:idx val="77"/>
        <c:marker>
          <c:symbol val="none"/>
        </c:marker>
      </c:pivotFmt>
      <c:pivotFmt>
        <c:idx val="78"/>
        <c:marker>
          <c:symbol val="none"/>
        </c:marker>
      </c:pivotFmt>
      <c:pivotFmt>
        <c:idx val="79"/>
        <c:marker>
          <c:symbol val="none"/>
        </c:marker>
      </c:pivotFmt>
      <c:pivotFmt>
        <c:idx val="80"/>
        <c:marker>
          <c:symbol val="none"/>
        </c:marker>
      </c:pivotFmt>
      <c:pivotFmt>
        <c:idx val="81"/>
        <c:marker>
          <c:symbol val="none"/>
        </c:marker>
      </c:pivotFmt>
      <c:pivotFmt>
        <c:idx val="82"/>
        <c:marker>
          <c:symbol val="none"/>
        </c:marker>
      </c:pivotFmt>
      <c:pivotFmt>
        <c:idx val="83"/>
        <c:marker>
          <c:symbol val="none"/>
        </c:marker>
      </c:pivotFmt>
      <c:pivotFmt>
        <c:idx val="84"/>
        <c:marker>
          <c:symbol val="none"/>
        </c:marker>
      </c:pivotFmt>
      <c:pivotFmt>
        <c:idx val="85"/>
        <c:marker>
          <c:symbol val="none"/>
        </c:marker>
      </c:pivotFmt>
      <c:pivotFmt>
        <c:idx val="86"/>
        <c:marker>
          <c:symbol val="none"/>
        </c:marker>
      </c:pivotFmt>
      <c:pivotFmt>
        <c:idx val="87"/>
        <c:marker>
          <c:symbol val="none"/>
        </c:marker>
      </c:pivotFmt>
      <c:pivotFmt>
        <c:idx val="88"/>
        <c:marker>
          <c:symbol val="none"/>
        </c:marker>
      </c:pivotFmt>
      <c:pivotFmt>
        <c:idx val="89"/>
        <c:marker>
          <c:symbol val="none"/>
        </c:marker>
      </c:pivotFmt>
      <c:pivotFmt>
        <c:idx val="90"/>
        <c:marker>
          <c:symbol val="none"/>
        </c:marker>
      </c:pivotFmt>
      <c:pivotFmt>
        <c:idx val="91"/>
        <c:marker>
          <c:symbol val="none"/>
        </c:marker>
      </c:pivotFmt>
      <c:pivotFmt>
        <c:idx val="92"/>
        <c:marker>
          <c:symbol val="none"/>
        </c:marker>
      </c:pivotFmt>
      <c:pivotFmt>
        <c:idx val="93"/>
        <c:marker>
          <c:symbol val="none"/>
        </c:marker>
      </c:pivotFmt>
      <c:pivotFmt>
        <c:idx val="94"/>
        <c:marker>
          <c:symbol val="none"/>
        </c:marker>
      </c:pivotFmt>
      <c:pivotFmt>
        <c:idx val="95"/>
        <c:marker>
          <c:symbol val="none"/>
        </c:marker>
      </c:pivotFmt>
      <c:pivotFmt>
        <c:idx val="96"/>
        <c:marker>
          <c:symbol val="none"/>
        </c:marker>
      </c:pivotFmt>
      <c:pivotFmt>
        <c:idx val="97"/>
        <c:marker>
          <c:symbol val="none"/>
        </c:marker>
      </c:pivotFmt>
      <c:pivotFmt>
        <c:idx val="98"/>
        <c:marker>
          <c:symbol val="none"/>
        </c:marker>
      </c:pivotFmt>
      <c:pivotFmt>
        <c:idx val="99"/>
        <c:marker>
          <c:symbol val="none"/>
        </c:marker>
      </c:pivotFmt>
      <c:pivotFmt>
        <c:idx val="100"/>
        <c:marker>
          <c:symbol val="none"/>
        </c:marker>
      </c:pivotFmt>
      <c:pivotFmt>
        <c:idx val="101"/>
        <c:marker>
          <c:symbol val="none"/>
        </c:marker>
      </c:pivotFmt>
      <c:pivotFmt>
        <c:idx val="102"/>
        <c:marker>
          <c:symbol val="none"/>
        </c:marker>
      </c:pivotFmt>
      <c:pivotFmt>
        <c:idx val="103"/>
        <c:marker>
          <c:symbol val="none"/>
        </c:marker>
      </c:pivotFmt>
      <c:pivotFmt>
        <c:idx val="104"/>
        <c:marker>
          <c:symbol val="none"/>
        </c:marker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marker>
          <c:symbol val="none"/>
        </c:marker>
      </c:pivotFmt>
      <c:pivotFmt>
        <c:idx val="109"/>
        <c:marker>
          <c:symbol val="none"/>
        </c:marker>
      </c:pivotFmt>
      <c:pivotFmt>
        <c:idx val="110"/>
        <c:marker>
          <c:symbol val="none"/>
        </c:marker>
      </c:pivotFmt>
      <c:pivotFmt>
        <c:idx val="111"/>
        <c:marker>
          <c:symbol val="none"/>
        </c:marker>
      </c:pivotFmt>
      <c:pivotFmt>
        <c:idx val="112"/>
        <c:marker>
          <c:symbol val="none"/>
        </c:marker>
      </c:pivotFmt>
      <c:pivotFmt>
        <c:idx val="113"/>
        <c:marker>
          <c:symbol val="none"/>
        </c:marker>
      </c:pivotFmt>
      <c:pivotFmt>
        <c:idx val="114"/>
        <c:marker>
          <c:symbol val="none"/>
        </c:marker>
      </c:pivotFmt>
      <c:pivotFmt>
        <c:idx val="115"/>
        <c:marker>
          <c:symbol val="none"/>
        </c:marker>
      </c:pivotFmt>
      <c:pivotFmt>
        <c:idx val="116"/>
        <c:marker>
          <c:symbol val="none"/>
        </c:marker>
      </c:pivotFmt>
      <c:pivotFmt>
        <c:idx val="117"/>
        <c:marker>
          <c:symbol val="none"/>
        </c:marker>
      </c:pivotFmt>
      <c:pivotFmt>
        <c:idx val="118"/>
        <c:marker>
          <c:symbol val="none"/>
        </c:marker>
      </c:pivotFmt>
      <c:pivotFmt>
        <c:idx val="119"/>
        <c:marker>
          <c:symbol val="none"/>
        </c:marker>
      </c:pivotFmt>
      <c:pivotFmt>
        <c:idx val="120"/>
        <c:marker>
          <c:symbol val="none"/>
        </c:marker>
      </c:pivotFmt>
      <c:pivotFmt>
        <c:idx val="121"/>
        <c:marker>
          <c:symbol val="none"/>
        </c:marker>
      </c:pivotFmt>
      <c:pivotFmt>
        <c:idx val="122"/>
        <c:marker>
          <c:symbol val="none"/>
        </c:marker>
      </c:pivotFmt>
      <c:pivotFmt>
        <c:idx val="123"/>
        <c:marker>
          <c:symbol val="none"/>
        </c:marker>
      </c:pivotFmt>
      <c:pivotFmt>
        <c:idx val="124"/>
        <c:marker>
          <c:symbol val="none"/>
        </c:marker>
      </c:pivotFmt>
      <c:pivotFmt>
        <c:idx val="125"/>
        <c:marker>
          <c:symbol val="none"/>
        </c:marker>
      </c:pivotFmt>
      <c:pivotFmt>
        <c:idx val="126"/>
        <c:marker>
          <c:symbol val="none"/>
        </c:marker>
      </c:pivotFmt>
      <c:pivotFmt>
        <c:idx val="127"/>
        <c:marker>
          <c:symbol val="none"/>
        </c:marker>
      </c:pivotFmt>
      <c:pivotFmt>
        <c:idx val="128"/>
        <c:marker>
          <c:symbol val="none"/>
        </c:marker>
      </c:pivotFmt>
      <c:pivotFmt>
        <c:idx val="129"/>
        <c:marker>
          <c:symbol val="none"/>
        </c:marker>
      </c:pivotFmt>
      <c:pivotFmt>
        <c:idx val="130"/>
        <c:marker>
          <c:symbol val="none"/>
        </c:marker>
      </c:pivotFmt>
      <c:pivotFmt>
        <c:idx val="131"/>
        <c:marker>
          <c:symbol val="none"/>
        </c:marker>
      </c:pivotFmt>
      <c:pivotFmt>
        <c:idx val="132"/>
        <c:marker>
          <c:symbol val="none"/>
        </c:marker>
      </c:pivotFmt>
      <c:pivotFmt>
        <c:idx val="133"/>
        <c:marker>
          <c:symbol val="none"/>
        </c:marker>
      </c:pivotFmt>
      <c:pivotFmt>
        <c:idx val="134"/>
        <c:marker>
          <c:symbol val="none"/>
        </c:marker>
      </c:pivotFmt>
      <c:pivotFmt>
        <c:idx val="135"/>
        <c:marker>
          <c:symbol val="none"/>
        </c:marker>
      </c:pivotFmt>
      <c:pivotFmt>
        <c:idx val="136"/>
        <c:marker>
          <c:symbol val="none"/>
        </c:marker>
      </c:pivotFmt>
      <c:pivotFmt>
        <c:idx val="137"/>
        <c:marker>
          <c:symbol val="none"/>
        </c:marker>
      </c:pivotFmt>
      <c:pivotFmt>
        <c:idx val="138"/>
        <c:marker>
          <c:symbol val="none"/>
        </c:marker>
      </c:pivotFmt>
      <c:pivotFmt>
        <c:idx val="139"/>
        <c:marker>
          <c:symbol val="none"/>
        </c:marker>
      </c:pivotFmt>
      <c:pivotFmt>
        <c:idx val="140"/>
        <c:marker>
          <c:symbol val="none"/>
        </c:marker>
      </c:pivotFmt>
      <c:pivotFmt>
        <c:idx val="141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6.3446170791151099E-2"/>
          <c:y val="4.4588432470037714E-2"/>
          <c:w val="0.84758881702290001"/>
          <c:h val="0.70084621952394865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BUFFER_POR_COLOR!$U$2:$U$3</c:f>
              <c:strCache>
                <c:ptCount val="1"/>
                <c:pt idx="0">
                  <c:v>N</c:v>
                </c:pt>
              </c:strCache>
            </c:strRef>
          </c:tx>
          <c:spPr>
            <a:solidFill>
              <a:schemeClr val="tx1"/>
            </a:solidFill>
          </c:spPr>
          <c:invertIfNegative val="0"/>
          <c:cat>
            <c:strRef>
              <c:f>BUFFER_POR_COLOR!$T$4</c:f>
              <c:strCache>
                <c:ptCount val="1"/>
                <c:pt idx="0">
                  <c:v>BDG. DE PRODUCTO TERMI PLANTA</c:v>
                </c:pt>
              </c:strCache>
            </c:strRef>
          </c:cat>
          <c:val>
            <c:numRef>
              <c:f>BUFFER_POR_COLOR!$U$4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</c:ser>
        <c:ser>
          <c:idx val="1"/>
          <c:order val="1"/>
          <c:tx>
            <c:strRef>
              <c:f>BUFFER_POR_COLOR!$V$2:$V$3</c:f>
              <c:strCache>
                <c:ptCount val="1"/>
                <c:pt idx="0">
                  <c:v>R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BUFFER_POR_COLOR!$T$4</c:f>
              <c:strCache>
                <c:ptCount val="1"/>
                <c:pt idx="0">
                  <c:v>BDG. DE PRODUCTO TERMI PLANTA</c:v>
                </c:pt>
              </c:strCache>
            </c:strRef>
          </c:cat>
          <c:val>
            <c:numRef>
              <c:f>BUFFER_POR_COLOR!$V$4</c:f>
              <c:numCache>
                <c:formatCode>General</c:formatCode>
                <c:ptCount val="1"/>
                <c:pt idx="0">
                  <c:v>49</c:v>
                </c:pt>
              </c:numCache>
            </c:numRef>
          </c:val>
        </c:ser>
        <c:ser>
          <c:idx val="2"/>
          <c:order val="2"/>
          <c:tx>
            <c:strRef>
              <c:f>BUFFER_POR_COLOR!$W$2:$W$3</c:f>
              <c:strCache>
                <c:ptCount val="1"/>
                <c:pt idx="0">
                  <c:v>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Ref>
              <c:f>BUFFER_POR_COLOR!$T$4</c:f>
              <c:strCache>
                <c:ptCount val="1"/>
                <c:pt idx="0">
                  <c:v>BDG. DE PRODUCTO TERMI PLANTA</c:v>
                </c:pt>
              </c:strCache>
            </c:strRef>
          </c:cat>
          <c:val>
            <c:numRef>
              <c:f>BUFFER_POR_COLOR!$W$4</c:f>
              <c:numCache>
                <c:formatCode>General</c:formatCode>
                <c:ptCount val="1"/>
                <c:pt idx="0">
                  <c:v>45</c:v>
                </c:pt>
              </c:numCache>
            </c:numRef>
          </c:val>
        </c:ser>
        <c:ser>
          <c:idx val="3"/>
          <c:order val="3"/>
          <c:tx>
            <c:strRef>
              <c:f>BUFFER_POR_COLOR!$X$2:$X$3</c:f>
              <c:strCache>
                <c:ptCount val="1"/>
                <c:pt idx="0">
                  <c:v>V</c:v>
                </c:pt>
              </c:strCache>
            </c:strRef>
          </c:tx>
          <c:spPr>
            <a:solidFill>
              <a:srgbClr val="006600"/>
            </a:solidFill>
          </c:spPr>
          <c:invertIfNegative val="0"/>
          <c:cat>
            <c:strRef>
              <c:f>BUFFER_POR_COLOR!$T$4</c:f>
              <c:strCache>
                <c:ptCount val="1"/>
                <c:pt idx="0">
                  <c:v>BDG. DE PRODUCTO TERMI PLANTA</c:v>
                </c:pt>
              </c:strCache>
            </c:strRef>
          </c:cat>
          <c:val>
            <c:numRef>
              <c:f>BUFFER_POR_COLOR!$X$4</c:f>
              <c:numCache>
                <c:formatCode>General</c:formatCode>
                <c:ptCount val="1"/>
                <c:pt idx="0">
                  <c:v>19</c:v>
                </c:pt>
              </c:numCache>
            </c:numRef>
          </c:val>
        </c:ser>
        <c:ser>
          <c:idx val="4"/>
          <c:order val="4"/>
          <c:tx>
            <c:strRef>
              <c:f>BUFFER_POR_COLOR!$Y$2:$Y$3</c:f>
              <c:strCache>
                <c:ptCount val="1"/>
                <c:pt idx="0">
                  <c:v>L</c:v>
                </c:pt>
              </c:strCache>
            </c:strRef>
          </c:tx>
          <c:spPr>
            <a:solidFill>
              <a:srgbClr val="7030A0"/>
            </a:solidFill>
          </c:spPr>
          <c:invertIfNegative val="0"/>
          <c:cat>
            <c:strRef>
              <c:f>BUFFER_POR_COLOR!$T$4</c:f>
              <c:strCache>
                <c:ptCount val="1"/>
                <c:pt idx="0">
                  <c:v>BDG. DE PRODUCTO TERMI PLANTA</c:v>
                </c:pt>
              </c:strCache>
            </c:strRef>
          </c:cat>
          <c:val>
            <c:numRef>
              <c:f>BUFFER_POR_COLOR!$Y$4</c:f>
              <c:numCache>
                <c:formatCode>General</c:formatCode>
                <c:ptCount val="1"/>
                <c:pt idx="0">
                  <c:v>43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05604960"/>
        <c:axId val="805587040"/>
      </c:barChart>
      <c:catAx>
        <c:axId val="80560496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1260000"/>
          <a:lstStyle/>
          <a:p>
            <a:pPr>
              <a:defRPr/>
            </a:pPr>
            <a:endParaRPr lang="es-EC"/>
          </a:p>
        </c:txPr>
        <c:crossAx val="805587040"/>
        <c:crosses val="autoZero"/>
        <c:auto val="1"/>
        <c:lblAlgn val="ctr"/>
        <c:lblOffset val="100"/>
        <c:noMultiLvlLbl val="0"/>
      </c:catAx>
      <c:valAx>
        <c:axId val="80558704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8056049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Drop" dropStyle="combo" dx="16" fmlaLink="Combos!$C$1" fmlaRange="Combos!$A$2:$A$3" val="0"/>
</file>

<file path=xl/ctrlProps/ctrlProp2.xml><?xml version="1.0" encoding="utf-8"?>
<formControlPr xmlns="http://schemas.microsoft.com/office/spreadsheetml/2009/9/main" objectType="List" dx="22" fmlaLink="Combos!$G$1" fmlaRange="Combos!$E$2:$E$88" val="0"/>
</file>

<file path=xl/ctrlProps/ctrlProp3.xml><?xml version="1.0" encoding="utf-8"?>
<formControlPr xmlns="http://schemas.microsoft.com/office/spreadsheetml/2009/9/main" objectType="List" dx="22" fmlaLink="Combos!$K$1" fmlaRange="Combos!$I$2:$I$2" val="0"/>
</file>

<file path=xl/ctrlProps/ctrlProp4.xml><?xml version="1.0" encoding="utf-8"?>
<formControlPr xmlns="http://schemas.microsoft.com/office/spreadsheetml/2009/9/main" objectType="Drop" dropLines="20" dropStyle="combo" dx="16" fmlaLink="num_marca_seleccionada" fmlaRange="Combos!$M$2:$M$154" val="0"/>
</file>

<file path=xl/ctrlProps/ctrlProp5.xml><?xml version="1.0" encoding="utf-8"?>
<formControlPr xmlns="http://schemas.microsoft.com/office/spreadsheetml/2009/9/main" objectType="Label" lockText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Label" lockText="1"/>
</file>

<file path=xl/ctrlProps/ctrlProp9.xml><?xml version="1.0" encoding="utf-8"?>
<formControlPr xmlns="http://schemas.microsoft.com/office/spreadsheetml/2009/9/main" objectType="Label" lockText="1"/>
</file>

<file path=xl/ctrlProps/ctrlProp10.xml><?xml version="1.0" encoding="utf-8"?>
<formControlPr xmlns="http://schemas.microsoft.com/office/spreadsheetml/2009/9/main" objectType="Drop" dropLines="20" dropStyle="combo" dx="16" fmlaLink="num_grupo_seleccionada" fmlaRange="Combos!$Q$2:$Q$248" val="0"/>
</file>

<file path=xl/ctrlProps/ctrlProp11.xml><?xml version="1.0" encoding="utf-8"?>
<formControlPr xmlns="http://schemas.microsoft.com/office/spreadsheetml/2009/9/main" objectType="Label" lockText="1"/>
</file>

<file path=xl/ctrlProps/ctrlProp12.xml><?xml version="1.0" encoding="utf-8"?>
<formControlPr xmlns="http://schemas.microsoft.com/office/spreadsheetml/2009/9/main" objectType="Drop" dropLines="20" dropStyle="combo" dx="16" fmlaLink="num_linea_seleccionada" fmlaRange="Combos!$U$2:$U$24" val="0"/>
</file>

<file path=xl/ctrlProps/ctrlProp13.xml><?xml version="1.0" encoding="utf-8"?>
<formControlPr xmlns="http://schemas.microsoft.com/office/spreadsheetml/2009/9/main" objectType="Label" lockText="1"/>
</file>

<file path=xl/ctrlProps/ctrlProp14.xml><?xml version="1.0" encoding="utf-8"?>
<formControlPr xmlns="http://schemas.microsoft.com/office/spreadsheetml/2009/9/main" objectType="Drop" dropLines="20" dropStyle="combo" dx="16" fmlaLink="num_sublinea_seleccionada" fmlaRange="Combos!$Y$2:$Y$2" val="0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Drop" dropLines="20" dropStyle="combo" dx="16" fmlaLink="num_modelo_seleccionada" fmlaRange="Combos!$AC$2:$AC$2" val="0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Drop" dropLines="20" dropStyle="combo" dx="16" fmlaLink="num_familia_seleccionada" fmlaRange="Combos!$AG$2:$AG$2" val="0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Drop" dropLines="20" dropStyle="combo" dx="16" fmlaLink="num_subfamilia_seleccionada" fmlaRange="Combos!$AK$2:$AK$2" val="0"/>
</file>

<file path=xl/ctrlProps/ctrlProp21.xml><?xml version="1.0" encoding="utf-8"?>
<formControlPr xmlns="http://schemas.microsoft.com/office/spreadsheetml/2009/9/main" objectType="Label" lockText="1"/>
</file>

<file path=xl/ctrlProps/ctrlProp22.xml><?xml version="1.0" encoding="utf-8"?>
<formControlPr xmlns="http://schemas.microsoft.com/office/spreadsheetml/2009/9/main" objectType="Drop" dropLines="20" dropStyle="combo" dx="16" fmlaLink="num_categoria_seleccionada" fmlaRange="Combos!$AO$2:$AO$89" val="0"/>
</file>

<file path=xl/ctrlProps/ctrlProp23.xml><?xml version="1.0" encoding="utf-8"?>
<formControlPr xmlns="http://schemas.microsoft.com/office/spreadsheetml/2009/9/main" objectType="Label" lockText="1"/>
</file>

<file path=xl/ctrlProps/ctrlProp24.xml><?xml version="1.0" encoding="utf-8"?>
<formControlPr xmlns="http://schemas.microsoft.com/office/spreadsheetml/2009/9/main" objectType="Drop" dropLines="20" dropStyle="combo" dx="16" fmlaLink="num_tipo_seleccionada" fmlaRange="Combos!$AS$2:$AS$2" val="0"/>
</file>

<file path=xl/ctrlProps/ctrlProp25.xml><?xml version="1.0" encoding="utf-8"?>
<formControlPr xmlns="http://schemas.microsoft.com/office/spreadsheetml/2009/9/main" objectType="Label" lockText="1"/>
</file>

<file path=xl/ctrlProps/ctrlProp26.xml><?xml version="1.0" encoding="utf-8"?>
<formControlPr xmlns="http://schemas.microsoft.com/office/spreadsheetml/2009/9/main" objectType="Drop" dropLines="20" dropStyle="combo" dx="16" fmlaLink="num_estatus_seleccionada" fmlaRange="Combos!$AW$2:$AW$2" val="0"/>
</file>

<file path=xl/ctrlProps/ctrlProp27.xml><?xml version="1.0" encoding="utf-8"?>
<formControlPr xmlns="http://schemas.microsoft.com/office/spreadsheetml/2009/9/main" objectType="Label" lockText="1"/>
</file>

<file path=xl/ctrlProps/ctrlProp28.xml><?xml version="1.0" encoding="utf-8"?>
<formControlPr xmlns="http://schemas.microsoft.com/office/spreadsheetml/2009/9/main" objectType="Drop" dropLines="20" dropStyle="combo" dx="16" fmlaLink="num_clasificacion_seleccionada" fmlaRange="Combos!$BA$2:$BA$2" val="0"/>
</file>

<file path=xl/ctrlProps/ctrlProp29.xml><?xml version="1.0" encoding="utf-8"?>
<formControlPr xmlns="http://schemas.microsoft.com/office/spreadsheetml/2009/9/main" objectType="Label" lockText="1"/>
</file>

<file path=xl/ctrlProps/ctrlProp30.xml><?xml version="1.0" encoding="utf-8"?>
<formControlPr xmlns="http://schemas.microsoft.com/office/spreadsheetml/2009/9/main" objectType="Drop" dropLines="20" dropStyle="combo" dx="16" fmlaLink="num_responsable_seleccionada" fmlaRange="Combos!$BE$2:$BE$2" val="0"/>
</file>

<file path=xl/ctrlProps/ctrlProp31.xml><?xml version="1.0" encoding="utf-8"?>
<formControlPr xmlns="http://schemas.microsoft.com/office/spreadsheetml/2009/9/main" objectType="Label" lockText="1"/>
</file>

<file path=xl/ctrlProps/ctrlProp32.xml><?xml version="1.0" encoding="utf-8"?>
<formControlPr xmlns="http://schemas.microsoft.com/office/spreadsheetml/2009/9/main" objectType="CheckBox" fmlaLink="chk_estatus" lockText="1"/>
</file>

<file path=xl/ctrlProps/ctrlProp33.xml><?xml version="1.0" encoding="utf-8"?>
<formControlPr xmlns="http://schemas.microsoft.com/office/spreadsheetml/2009/9/main" objectType="CheckBox" fmlaLink="chk_clasificacion" lockText="1"/>
</file>

<file path=xl/ctrlProps/ctrlProp34.xml><?xml version="1.0" encoding="utf-8"?>
<formControlPr xmlns="http://schemas.microsoft.com/office/spreadsheetml/2009/9/main" objectType="CheckBox" fmlaLink="chk_responsable" lockText="1"/>
</file>

<file path=xl/ctrlProps/ctrlProp35.xml><?xml version="1.0" encoding="utf-8"?>
<formControlPr xmlns="http://schemas.microsoft.com/office/spreadsheetml/2009/9/main" objectType="CheckBox" fmlaLink="chk_grupo" lockText="1"/>
</file>

<file path=xl/ctrlProps/ctrlProp36.xml><?xml version="1.0" encoding="utf-8"?>
<formControlPr xmlns="http://schemas.microsoft.com/office/spreadsheetml/2009/9/main" objectType="CheckBox" fmlaLink="chk_linea" lockText="1"/>
</file>

<file path=xl/ctrlProps/ctrlProp37.xml><?xml version="1.0" encoding="utf-8"?>
<formControlPr xmlns="http://schemas.microsoft.com/office/spreadsheetml/2009/9/main" objectType="CheckBox" fmlaLink="chk_sublinea" lockText="1"/>
</file>

<file path=xl/ctrlProps/ctrlProp38.xml><?xml version="1.0" encoding="utf-8"?>
<formControlPr xmlns="http://schemas.microsoft.com/office/spreadsheetml/2009/9/main" objectType="CheckBox" fmlaLink="chk_modelo" lockText="1"/>
</file>

<file path=xl/ctrlProps/ctrlProp39.xml><?xml version="1.0" encoding="utf-8"?>
<formControlPr xmlns="http://schemas.microsoft.com/office/spreadsheetml/2009/9/main" objectType="CheckBox" fmlaLink="chk_familia" lockText="1"/>
</file>

<file path=xl/ctrlProps/ctrlProp40.xml><?xml version="1.0" encoding="utf-8"?>
<formControlPr xmlns="http://schemas.microsoft.com/office/spreadsheetml/2009/9/main" objectType="CheckBox" fmlaLink="chk_subfamilia" lockText="1"/>
</file>

<file path=xl/ctrlProps/ctrlProp41.xml><?xml version="1.0" encoding="utf-8"?>
<formControlPr xmlns="http://schemas.microsoft.com/office/spreadsheetml/2009/9/main" objectType="CheckBox" fmlaLink="chk_categoria" lockText="1"/>
</file>

<file path=xl/ctrlProps/ctrlProp42.xml><?xml version="1.0" encoding="utf-8"?>
<formControlPr xmlns="http://schemas.microsoft.com/office/spreadsheetml/2009/9/main" objectType="CheckBox" fmlaLink="chk_tipo" lockText="1"/>
</file>

<file path=xl/ctrlProps/ctrlProp43.xml><?xml version="1.0" encoding="utf-8"?>
<formControlPr xmlns="http://schemas.microsoft.com/office/spreadsheetml/2009/9/main" objectType="CheckBox" fmlaLink="chk_marca" lockText="1"/>
</file>

<file path=xl/ctrlProps/ctrlProp44.xml><?xml version="1.0" encoding="utf-8"?>
<formControlPr xmlns="http://schemas.microsoft.com/office/spreadsheetml/2009/9/main" objectType="Drop" dropLines="20" dropStyle="combo" dx="16" fmlaLink="num_calendarioe_seleccionada" fmlaRange="Combos!$BQ$2:$BQ$2" val="0"/>
</file>

<file path=xl/ctrlProps/ctrlProp45.xml><?xml version="1.0" encoding="utf-8"?>
<formControlPr xmlns="http://schemas.microsoft.com/office/spreadsheetml/2009/9/main" objectType="Label" lockText="1"/>
</file>

<file path=xl/ctrlProps/ctrlProp46.xml><?xml version="1.0" encoding="utf-8"?>
<formControlPr xmlns="http://schemas.microsoft.com/office/spreadsheetml/2009/9/main" objectType="Drop" dropLines="20" dropStyle="combo" dx="16" fmlaLink="num_perfil_seleccionada" fmlaRange="Combos!$BI$2:$BI$23" val="0"/>
</file>

<file path=xl/ctrlProps/ctrlProp47.xml><?xml version="1.0" encoding="utf-8"?>
<formControlPr xmlns="http://schemas.microsoft.com/office/spreadsheetml/2009/9/main" objectType="Label" lockText="1"/>
</file>

<file path=xl/ctrlProps/ctrlProp48.xml><?xml version="1.0" encoding="utf-8"?>
<formControlPr xmlns="http://schemas.microsoft.com/office/spreadsheetml/2009/9/main" objectType="Drop" dropLines="20" dropStyle="combo" dx="16" fmlaLink="num_color_seleccionada" fmlaRange="Combos!$BM$2:$BM$7" val="0"/>
</file>

<file path=xl/ctrlProps/ctrlProp49.xml><?xml version="1.0" encoding="utf-8"?>
<formControlPr xmlns="http://schemas.microsoft.com/office/spreadsheetml/2009/9/main" objectType="Label" lockText="1"/>
</file>

<file path=xl/ctrlProps/ctrlProp50.xml><?xml version="1.0" encoding="utf-8"?>
<formControlPr xmlns="http://schemas.microsoft.com/office/spreadsheetml/2009/9/main" objectType="CheckBox" fmlaLink="chk_perfil" lockText="1"/>
</file>

<file path=xl/ctrlProps/ctrlProp51.xml><?xml version="1.0" encoding="utf-8"?>
<formControlPr xmlns="http://schemas.microsoft.com/office/spreadsheetml/2009/9/main" objectType="CheckBox" fmlaLink="chk_color" lockText="1"/>
</file>

<file path=xl/ctrlProps/ctrlProp52.xml><?xml version="1.0" encoding="utf-8"?>
<formControlPr xmlns="http://schemas.microsoft.com/office/spreadsheetml/2009/9/main" objectType="CheckBox" fmlaLink="chk_calendarioe" lockText="1"/>
</file>

<file path=xl/ctrlProps/ctrlProp53.xml><?xml version="1.0" encoding="utf-8"?>
<formControlPr xmlns="http://schemas.microsoft.com/office/spreadsheetml/2009/9/main" objectType="Drop" dropLines="20" dropStyle="combo" dx="16" fmlaLink="num_hojacb_seleccionada" fmlaRange="Combos!$BU$2:$BU$2" val="0"/>
</file>

<file path=xl/ctrlProps/ctrlProp54.xml><?xml version="1.0" encoding="utf-8"?>
<formControlPr xmlns="http://schemas.microsoft.com/office/spreadsheetml/2009/9/main" objectType="Label" lockText="1"/>
</file>

<file path=xl/ctrlProps/ctrlProp55.xml><?xml version="1.0" encoding="utf-8"?>
<formControlPr xmlns="http://schemas.microsoft.com/office/spreadsheetml/2009/9/main" objectType="CheckBox" fmlaLink="chk_hojacb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CheckBox" checked="Checked" fmlaLink="visualiza_requerim" lockText="1"/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590550</xdr:colOff>
      <xdr:row>0</xdr:row>
      <xdr:rowOff>28575</xdr:rowOff>
    </xdr:from>
    <xdr:to>
      <xdr:col>3</xdr:col>
      <xdr:colOff>152400</xdr:colOff>
      <xdr:row>1</xdr:row>
      <xdr:rowOff>200025</xdr:rowOff>
    </xdr:to>
    <xdr:sp macro="[0]!Controles.Controles" textlink="">
      <xdr:nvSpPr>
        <xdr:cNvPr id="2" name="1 Rectángulo redondeado"/>
        <xdr:cNvSpPr/>
      </xdr:nvSpPr>
      <xdr:spPr>
        <a:xfrm>
          <a:off x="590550" y="28575"/>
          <a:ext cx="3600450" cy="371475"/>
        </a:xfrm>
        <a:prstGeom prst="roundRect">
          <a:avLst/>
        </a:prstGeom>
        <a:solidFill>
          <a:schemeClr val="accent1"/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s-ES" sz="2000" b="1"/>
            <a:t>SELECCIONAR TRANSFERENCIA</a:t>
          </a:r>
        </a:p>
      </xdr:txBody>
    </xdr:sp>
    <xdr:clientData/>
  </xdr:twoCellAnchor>
  <xdr:twoCellAnchor editAs="absolute">
    <xdr:from>
      <xdr:col>0</xdr:col>
      <xdr:colOff>604838</xdr:colOff>
      <xdr:row>2</xdr:row>
      <xdr:rowOff>76200</xdr:rowOff>
    </xdr:from>
    <xdr:to>
      <xdr:col>1</xdr:col>
      <xdr:colOff>852488</xdr:colOff>
      <xdr:row>4</xdr:row>
      <xdr:rowOff>66675</xdr:rowOff>
    </xdr:to>
    <xdr:sp macro="" textlink="">
      <xdr:nvSpPr>
        <xdr:cNvPr id="3" name="2 Rectángulo redondeado"/>
        <xdr:cNvSpPr/>
      </xdr:nvSpPr>
      <xdr:spPr>
        <a:xfrm>
          <a:off x="604838" y="542925"/>
          <a:ext cx="1209675" cy="371475"/>
        </a:xfrm>
        <a:prstGeom prst="roundRect">
          <a:avLst>
            <a:gd name="adj" fmla="val 50000"/>
          </a:avLst>
        </a:prstGeom>
        <a:solidFill>
          <a:schemeClr val="accent4">
            <a:lumMod val="75000"/>
          </a:schemeClr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s-ES" sz="1600" b="1"/>
            <a:t>HACIA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133350</xdr:colOff>
          <xdr:row>19</xdr:row>
          <xdr:rowOff>57150</xdr:rowOff>
        </xdr:from>
        <xdr:to>
          <xdr:col>4</xdr:col>
          <xdr:colOff>95250</xdr:colOff>
          <xdr:row>21</xdr:row>
          <xdr:rowOff>9525</xdr:rowOff>
        </xdr:to>
        <xdr:sp macro="" textlink="">
          <xdr:nvSpPr>
            <xdr:cNvPr id="2051" name="cmdFiltrar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628650</xdr:colOff>
          <xdr:row>2</xdr:row>
          <xdr:rowOff>38100</xdr:rowOff>
        </xdr:from>
        <xdr:to>
          <xdr:col>26</xdr:col>
          <xdr:colOff>95250</xdr:colOff>
          <xdr:row>21</xdr:row>
          <xdr:rowOff>123825</xdr:rowOff>
        </xdr:to>
        <xdr:sp macro="" textlink="">
          <xdr:nvSpPr>
            <xdr:cNvPr id="2052" name="lstBodega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9525</xdr:colOff>
          <xdr:row>2</xdr:row>
          <xdr:rowOff>19050</xdr:rowOff>
        </xdr:from>
        <xdr:to>
          <xdr:col>31</xdr:col>
          <xdr:colOff>238125</xdr:colOff>
          <xdr:row>21</xdr:row>
          <xdr:rowOff>104775</xdr:rowOff>
        </xdr:to>
        <xdr:sp macro="" textlink="">
          <xdr:nvSpPr>
            <xdr:cNvPr id="2053" name="lstProveedor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20</xdr:row>
          <xdr:rowOff>104775</xdr:rowOff>
        </xdr:from>
        <xdr:to>
          <xdr:col>1</xdr:col>
          <xdr:colOff>781050</xdr:colOff>
          <xdr:row>21</xdr:row>
          <xdr:rowOff>171450</xdr:rowOff>
        </xdr:to>
        <xdr:sp macro="" textlink="">
          <xdr:nvSpPr>
            <xdr:cNvPr id="2055" name="optNoEscasez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20</xdr:row>
          <xdr:rowOff>104775</xdr:rowOff>
        </xdr:from>
        <xdr:to>
          <xdr:col>2</xdr:col>
          <xdr:colOff>533400</xdr:colOff>
          <xdr:row>21</xdr:row>
          <xdr:rowOff>171450</xdr:rowOff>
        </xdr:to>
        <xdr:sp macro="" textlink="">
          <xdr:nvSpPr>
            <xdr:cNvPr id="2056" name="optEscasez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5</xdr:row>
          <xdr:rowOff>104775</xdr:rowOff>
        </xdr:from>
        <xdr:to>
          <xdr:col>1</xdr:col>
          <xdr:colOff>1190625</xdr:colOff>
          <xdr:row>7</xdr:row>
          <xdr:rowOff>9525</xdr:rowOff>
        </xdr:to>
        <xdr:sp macro="" textlink="">
          <xdr:nvSpPr>
            <xdr:cNvPr id="2058" name="lstEmpresa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9</xdr:row>
          <xdr:rowOff>0</xdr:rowOff>
        </xdr:from>
        <xdr:to>
          <xdr:col>1</xdr:col>
          <xdr:colOff>1390650</xdr:colOff>
          <xdr:row>18</xdr:row>
          <xdr:rowOff>76200</xdr:rowOff>
        </xdr:to>
        <xdr:sp macro="" textlink="">
          <xdr:nvSpPr>
            <xdr:cNvPr id="2060" name="cboBodegas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2114551</xdr:colOff>
      <xdr:row>2</xdr:row>
      <xdr:rowOff>76200</xdr:rowOff>
    </xdr:from>
    <xdr:to>
      <xdr:col>3</xdr:col>
      <xdr:colOff>247651</xdr:colOff>
      <xdr:row>4</xdr:row>
      <xdr:rowOff>66675</xdr:rowOff>
    </xdr:to>
    <xdr:sp macro="" textlink="">
      <xdr:nvSpPr>
        <xdr:cNvPr id="12" name="2 Rectángulo redondeado"/>
        <xdr:cNvSpPr/>
      </xdr:nvSpPr>
      <xdr:spPr>
        <a:xfrm>
          <a:off x="3076576" y="542925"/>
          <a:ext cx="1209675" cy="371475"/>
        </a:xfrm>
        <a:prstGeom prst="roundRect">
          <a:avLst>
            <a:gd name="adj" fmla="val 50000"/>
          </a:avLst>
        </a:prstGeom>
        <a:solidFill>
          <a:schemeClr val="accent4">
            <a:lumMod val="75000"/>
          </a:schemeClr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s-ES" sz="1600" b="1"/>
            <a:t>DESDE</a:t>
          </a:r>
        </a:p>
      </xdr:txBody>
    </xdr:sp>
    <xdr:clientData/>
  </xdr:twoCellAnchor>
  <xdr:twoCellAnchor>
    <xdr:from>
      <xdr:col>1</xdr:col>
      <xdr:colOff>1032273</xdr:colOff>
      <xdr:row>2</xdr:row>
      <xdr:rowOff>123825</xdr:rowOff>
    </xdr:from>
    <xdr:to>
      <xdr:col>1</xdr:col>
      <xdr:colOff>1934766</xdr:colOff>
      <xdr:row>4</xdr:row>
      <xdr:rowOff>47625</xdr:rowOff>
    </xdr:to>
    <xdr:sp macro="" textlink="">
      <xdr:nvSpPr>
        <xdr:cNvPr id="5" name="Flecha izquierda 4"/>
        <xdr:cNvSpPr/>
      </xdr:nvSpPr>
      <xdr:spPr>
        <a:xfrm>
          <a:off x="1994298" y="581025"/>
          <a:ext cx="902493" cy="304800"/>
        </a:xfrm>
        <a:prstGeom prst="leftArrow">
          <a:avLst>
            <a:gd name="adj1" fmla="val 50000"/>
            <a:gd name="adj2" fmla="val 118750"/>
          </a:avLst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1562100</xdr:colOff>
          <xdr:row>5</xdr:row>
          <xdr:rowOff>104775</xdr:rowOff>
        </xdr:from>
        <xdr:to>
          <xdr:col>4</xdr:col>
          <xdr:colOff>38100</xdr:colOff>
          <xdr:row>18</xdr:row>
          <xdr:rowOff>104775</xdr:rowOff>
        </xdr:to>
        <xdr:sp macro="" textlink="">
          <xdr:nvSpPr>
            <xdr:cNvPr id="2061" name="cboProveedores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18</xdr:row>
          <xdr:rowOff>104775</xdr:rowOff>
        </xdr:from>
        <xdr:to>
          <xdr:col>7</xdr:col>
          <xdr:colOff>619125</xdr:colOff>
          <xdr:row>19</xdr:row>
          <xdr:rowOff>114300</xdr:rowOff>
        </xdr:to>
        <xdr:sp macro="" textlink="">
          <xdr:nvSpPr>
            <xdr:cNvPr id="2063" name="lstMarca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542925</xdr:colOff>
          <xdr:row>18</xdr:row>
          <xdr:rowOff>123825</xdr:rowOff>
        </xdr:from>
        <xdr:to>
          <xdr:col>5</xdr:col>
          <xdr:colOff>104775</xdr:colOff>
          <xdr:row>19</xdr:row>
          <xdr:rowOff>95250</xdr:rowOff>
        </xdr:to>
        <xdr:sp macro="" textlink="">
          <xdr:nvSpPr>
            <xdr:cNvPr id="2065" name="Label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Marca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4</xdr:row>
          <xdr:rowOff>114300</xdr:rowOff>
        </xdr:from>
        <xdr:to>
          <xdr:col>0</xdr:col>
          <xdr:colOff>552450</xdr:colOff>
          <xdr:row>5</xdr:row>
          <xdr:rowOff>85725</xdr:rowOff>
        </xdr:to>
        <xdr:sp macro="" textlink="">
          <xdr:nvSpPr>
            <xdr:cNvPr id="2066" name="Label 18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EMPRESA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8</xdr:row>
          <xdr:rowOff>9525</xdr:rowOff>
        </xdr:from>
        <xdr:to>
          <xdr:col>0</xdr:col>
          <xdr:colOff>523875</xdr:colOff>
          <xdr:row>8</xdr:row>
          <xdr:rowOff>171450</xdr:rowOff>
        </xdr:to>
        <xdr:sp macro="" textlink="">
          <xdr:nvSpPr>
            <xdr:cNvPr id="2067" name="Label 19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BODEGA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1562100</xdr:colOff>
          <xdr:row>4</xdr:row>
          <xdr:rowOff>114300</xdr:rowOff>
        </xdr:from>
        <xdr:to>
          <xdr:col>1</xdr:col>
          <xdr:colOff>2209800</xdr:colOff>
          <xdr:row>5</xdr:row>
          <xdr:rowOff>85725</xdr:rowOff>
        </xdr:to>
        <xdr:sp macro="" textlink="">
          <xdr:nvSpPr>
            <xdr:cNvPr id="2068" name="Label 20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PROVEEDOR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133350</xdr:colOff>
          <xdr:row>19</xdr:row>
          <xdr:rowOff>66675</xdr:rowOff>
        </xdr:from>
        <xdr:to>
          <xdr:col>1</xdr:col>
          <xdr:colOff>161925</xdr:colOff>
          <xdr:row>20</xdr:row>
          <xdr:rowOff>38100</xdr:rowOff>
        </xdr:to>
        <xdr:sp macro="" textlink="">
          <xdr:nvSpPr>
            <xdr:cNvPr id="2071" name="Label 23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Tipo Requerimiento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7</xdr:row>
          <xdr:rowOff>114300</xdr:rowOff>
        </xdr:from>
        <xdr:to>
          <xdr:col>7</xdr:col>
          <xdr:colOff>619125</xdr:colOff>
          <xdr:row>8</xdr:row>
          <xdr:rowOff>123825</xdr:rowOff>
        </xdr:to>
        <xdr:sp macro="" textlink="">
          <xdr:nvSpPr>
            <xdr:cNvPr id="2072" name="lstGrupo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523875</xdr:colOff>
          <xdr:row>7</xdr:row>
          <xdr:rowOff>133350</xdr:rowOff>
        </xdr:from>
        <xdr:to>
          <xdr:col>5</xdr:col>
          <xdr:colOff>104775</xdr:colOff>
          <xdr:row>8</xdr:row>
          <xdr:rowOff>104775</xdr:rowOff>
        </xdr:to>
        <xdr:sp macro="" textlink="">
          <xdr:nvSpPr>
            <xdr:cNvPr id="2074" name="Label 26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Grupo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8</xdr:row>
          <xdr:rowOff>180975</xdr:rowOff>
        </xdr:from>
        <xdr:to>
          <xdr:col>7</xdr:col>
          <xdr:colOff>619125</xdr:colOff>
          <xdr:row>10</xdr:row>
          <xdr:rowOff>0</xdr:rowOff>
        </xdr:to>
        <xdr:sp macro="" textlink="">
          <xdr:nvSpPr>
            <xdr:cNvPr id="2075" name="lstLinea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581025</xdr:colOff>
          <xdr:row>9</xdr:row>
          <xdr:rowOff>9525</xdr:rowOff>
        </xdr:from>
        <xdr:to>
          <xdr:col>5</xdr:col>
          <xdr:colOff>104775</xdr:colOff>
          <xdr:row>9</xdr:row>
          <xdr:rowOff>171450</xdr:rowOff>
        </xdr:to>
        <xdr:sp macro="" textlink="">
          <xdr:nvSpPr>
            <xdr:cNvPr id="2077" name="Label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Línea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10</xdr:row>
          <xdr:rowOff>66675</xdr:rowOff>
        </xdr:from>
        <xdr:to>
          <xdr:col>7</xdr:col>
          <xdr:colOff>619125</xdr:colOff>
          <xdr:row>11</xdr:row>
          <xdr:rowOff>76200</xdr:rowOff>
        </xdr:to>
        <xdr:sp macro="" textlink="">
          <xdr:nvSpPr>
            <xdr:cNvPr id="2078" name="lstSublinea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409575</xdr:colOff>
          <xdr:row>10</xdr:row>
          <xdr:rowOff>76200</xdr:rowOff>
        </xdr:from>
        <xdr:to>
          <xdr:col>5</xdr:col>
          <xdr:colOff>104775</xdr:colOff>
          <xdr:row>11</xdr:row>
          <xdr:rowOff>47625</xdr:rowOff>
        </xdr:to>
        <xdr:sp macro="" textlink="">
          <xdr:nvSpPr>
            <xdr:cNvPr id="2080" name="Label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Sublínea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11</xdr:row>
          <xdr:rowOff>133350</xdr:rowOff>
        </xdr:from>
        <xdr:to>
          <xdr:col>7</xdr:col>
          <xdr:colOff>619125</xdr:colOff>
          <xdr:row>12</xdr:row>
          <xdr:rowOff>142875</xdr:rowOff>
        </xdr:to>
        <xdr:sp macro="" textlink="">
          <xdr:nvSpPr>
            <xdr:cNvPr id="2081" name="lstModelo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457200</xdr:colOff>
          <xdr:row>11</xdr:row>
          <xdr:rowOff>152400</xdr:rowOff>
        </xdr:from>
        <xdr:to>
          <xdr:col>5</xdr:col>
          <xdr:colOff>104775</xdr:colOff>
          <xdr:row>12</xdr:row>
          <xdr:rowOff>123825</xdr:rowOff>
        </xdr:to>
        <xdr:sp macro="" textlink="">
          <xdr:nvSpPr>
            <xdr:cNvPr id="2083" name="Label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Modelo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13</xdr:row>
          <xdr:rowOff>19050</xdr:rowOff>
        </xdr:from>
        <xdr:to>
          <xdr:col>7</xdr:col>
          <xdr:colOff>619125</xdr:colOff>
          <xdr:row>14</xdr:row>
          <xdr:rowOff>28575</xdr:rowOff>
        </xdr:to>
        <xdr:sp macro="" textlink="">
          <xdr:nvSpPr>
            <xdr:cNvPr id="2084" name="lstFamilia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495300</xdr:colOff>
          <xdr:row>13</xdr:row>
          <xdr:rowOff>28575</xdr:rowOff>
        </xdr:from>
        <xdr:to>
          <xdr:col>5</xdr:col>
          <xdr:colOff>104775</xdr:colOff>
          <xdr:row>14</xdr:row>
          <xdr:rowOff>0</xdr:rowOff>
        </xdr:to>
        <xdr:sp macro="" textlink="">
          <xdr:nvSpPr>
            <xdr:cNvPr id="2085" name="Label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Familia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14</xdr:row>
          <xdr:rowOff>85725</xdr:rowOff>
        </xdr:from>
        <xdr:to>
          <xdr:col>7</xdr:col>
          <xdr:colOff>619125</xdr:colOff>
          <xdr:row>15</xdr:row>
          <xdr:rowOff>95250</xdr:rowOff>
        </xdr:to>
        <xdr:sp macro="" textlink="">
          <xdr:nvSpPr>
            <xdr:cNvPr id="2086" name="lstSubfamilia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323850</xdr:colOff>
          <xdr:row>14</xdr:row>
          <xdr:rowOff>104775</xdr:rowOff>
        </xdr:from>
        <xdr:to>
          <xdr:col>5</xdr:col>
          <xdr:colOff>104775</xdr:colOff>
          <xdr:row>15</xdr:row>
          <xdr:rowOff>76200</xdr:rowOff>
        </xdr:to>
        <xdr:sp macro="" textlink="">
          <xdr:nvSpPr>
            <xdr:cNvPr id="2087" name="Label 39" hidden="1">
              <a:extLst>
                <a:ext uri="{63B3BB69-23CF-44E3-9099-C40C66FF867C}">
                  <a14:compatExt spid="_x0000_s2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Subfamilia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15</xdr:row>
          <xdr:rowOff>152400</xdr:rowOff>
        </xdr:from>
        <xdr:to>
          <xdr:col>7</xdr:col>
          <xdr:colOff>619125</xdr:colOff>
          <xdr:row>16</xdr:row>
          <xdr:rowOff>161925</xdr:rowOff>
        </xdr:to>
        <xdr:sp macro="" textlink="">
          <xdr:nvSpPr>
            <xdr:cNvPr id="2089" name="lstCategoria" hidden="1">
              <a:extLst>
                <a:ext uri="{63B3BB69-23CF-44E3-9099-C40C66FF867C}">
                  <a14:compatExt spid="_x0000_s2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361950</xdr:colOff>
          <xdr:row>15</xdr:row>
          <xdr:rowOff>171450</xdr:rowOff>
        </xdr:from>
        <xdr:to>
          <xdr:col>5</xdr:col>
          <xdr:colOff>104775</xdr:colOff>
          <xdr:row>16</xdr:row>
          <xdr:rowOff>142875</xdr:rowOff>
        </xdr:to>
        <xdr:sp macro="" textlink="">
          <xdr:nvSpPr>
            <xdr:cNvPr id="2090" name="Label 42" hidden="1">
              <a:extLst>
                <a:ext uri="{63B3BB69-23CF-44E3-9099-C40C66FF867C}">
                  <a14:compatExt spid="_x0000_s2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Categoría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17</xdr:row>
          <xdr:rowOff>38100</xdr:rowOff>
        </xdr:from>
        <xdr:to>
          <xdr:col>7</xdr:col>
          <xdr:colOff>619125</xdr:colOff>
          <xdr:row>18</xdr:row>
          <xdr:rowOff>47625</xdr:rowOff>
        </xdr:to>
        <xdr:sp macro="" textlink="">
          <xdr:nvSpPr>
            <xdr:cNvPr id="2091" name="lstTipo" hidden="1">
              <a:extLst>
                <a:ext uri="{63B3BB69-23CF-44E3-9099-C40C66FF867C}">
                  <a14:compatExt spid="_x0000_s2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628650</xdr:colOff>
          <xdr:row>17</xdr:row>
          <xdr:rowOff>57150</xdr:rowOff>
        </xdr:from>
        <xdr:to>
          <xdr:col>5</xdr:col>
          <xdr:colOff>104775</xdr:colOff>
          <xdr:row>18</xdr:row>
          <xdr:rowOff>28575</xdr:rowOff>
        </xdr:to>
        <xdr:sp macro="" textlink="">
          <xdr:nvSpPr>
            <xdr:cNvPr id="2092" name="Label 44" hidden="1">
              <a:extLst>
                <a:ext uri="{63B3BB69-23CF-44E3-9099-C40C66FF867C}">
                  <a14:compatExt spid="_x0000_s2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Tipo</a:t>
              </a:r>
            </a:p>
          </xdr:txBody>
        </xdr:sp>
        <xdr:clientData/>
      </xdr:twoCellAnchor>
    </mc:Choice>
    <mc:Fallback/>
  </mc:AlternateContent>
  <xdr:twoCellAnchor editAs="absolute">
    <xdr:from>
      <xdr:col>0</xdr:col>
      <xdr:colOff>28575</xdr:colOff>
      <xdr:row>2</xdr:row>
      <xdr:rowOff>19051</xdr:rowOff>
    </xdr:from>
    <xdr:to>
      <xdr:col>4</xdr:col>
      <xdr:colOff>95250</xdr:colOff>
      <xdr:row>19</xdr:row>
      <xdr:rowOff>0</xdr:rowOff>
    </xdr:to>
    <xdr:sp macro="" textlink="">
      <xdr:nvSpPr>
        <xdr:cNvPr id="7" name="Rectángulo redondeado 6"/>
        <xdr:cNvSpPr/>
      </xdr:nvSpPr>
      <xdr:spPr>
        <a:xfrm>
          <a:off x="28575" y="485776"/>
          <a:ext cx="4867275" cy="3219449"/>
        </a:xfrm>
        <a:prstGeom prst="roundRect">
          <a:avLst>
            <a:gd name="adj" fmla="val 1669"/>
          </a:avLst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3</xdr:row>
          <xdr:rowOff>28575</xdr:rowOff>
        </xdr:from>
        <xdr:to>
          <xdr:col>7</xdr:col>
          <xdr:colOff>619125</xdr:colOff>
          <xdr:row>4</xdr:row>
          <xdr:rowOff>38100</xdr:rowOff>
        </xdr:to>
        <xdr:sp macro="" textlink="">
          <xdr:nvSpPr>
            <xdr:cNvPr id="2093" name="lstEstatus" hidden="1">
              <a:extLst>
                <a:ext uri="{63B3BB69-23CF-44E3-9099-C40C66FF867C}">
                  <a14:compatExt spid="_x0000_s2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533400</xdr:colOff>
          <xdr:row>3</xdr:row>
          <xdr:rowOff>47625</xdr:rowOff>
        </xdr:from>
        <xdr:to>
          <xdr:col>5</xdr:col>
          <xdr:colOff>152400</xdr:colOff>
          <xdr:row>4</xdr:row>
          <xdr:rowOff>19050</xdr:rowOff>
        </xdr:to>
        <xdr:sp macro="" textlink="">
          <xdr:nvSpPr>
            <xdr:cNvPr id="2094" name="Label 46" hidden="1">
              <a:extLst>
                <a:ext uri="{63B3BB69-23CF-44E3-9099-C40C66FF867C}">
                  <a14:compatExt spid="_x0000_s2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Estatus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4</xdr:row>
          <xdr:rowOff>95250</xdr:rowOff>
        </xdr:from>
        <xdr:to>
          <xdr:col>7</xdr:col>
          <xdr:colOff>619125</xdr:colOff>
          <xdr:row>5</xdr:row>
          <xdr:rowOff>104775</xdr:rowOff>
        </xdr:to>
        <xdr:sp macro="" textlink="">
          <xdr:nvSpPr>
            <xdr:cNvPr id="2095" name="lstClasificacion" hidden="1">
              <a:extLst>
                <a:ext uri="{63B3BB69-23CF-44E3-9099-C40C66FF867C}">
                  <a14:compatExt spid="_x0000_s2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276225</xdr:colOff>
          <xdr:row>4</xdr:row>
          <xdr:rowOff>114300</xdr:rowOff>
        </xdr:from>
        <xdr:to>
          <xdr:col>5</xdr:col>
          <xdr:colOff>152400</xdr:colOff>
          <xdr:row>5</xdr:row>
          <xdr:rowOff>85725</xdr:rowOff>
        </xdr:to>
        <xdr:sp macro="" textlink="">
          <xdr:nvSpPr>
            <xdr:cNvPr id="2096" name="Label 48" hidden="1">
              <a:extLst>
                <a:ext uri="{63B3BB69-23CF-44E3-9099-C40C66FF867C}">
                  <a14:compatExt spid="_x0000_s2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Clasificación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5</xdr:row>
          <xdr:rowOff>161925</xdr:rowOff>
        </xdr:from>
        <xdr:to>
          <xdr:col>7</xdr:col>
          <xdr:colOff>619125</xdr:colOff>
          <xdr:row>6</xdr:row>
          <xdr:rowOff>171450</xdr:rowOff>
        </xdr:to>
        <xdr:sp macro="" textlink="">
          <xdr:nvSpPr>
            <xdr:cNvPr id="2097" name="lstResponsable" hidden="1">
              <a:extLst>
                <a:ext uri="{63B3BB69-23CF-44E3-9099-C40C66FF867C}">
                  <a14:compatExt spid="_x0000_s2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257175</xdr:colOff>
          <xdr:row>5</xdr:row>
          <xdr:rowOff>180975</xdr:rowOff>
        </xdr:from>
        <xdr:to>
          <xdr:col>5</xdr:col>
          <xdr:colOff>152400</xdr:colOff>
          <xdr:row>6</xdr:row>
          <xdr:rowOff>152400</xdr:rowOff>
        </xdr:to>
        <xdr:sp macro="" textlink="">
          <xdr:nvSpPr>
            <xdr:cNvPr id="2098" name="Label 50" hidden="1">
              <a:extLst>
                <a:ext uri="{63B3BB69-23CF-44E3-9099-C40C66FF867C}">
                  <a14:compatExt spid="_x0000_s2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Responsable</a:t>
              </a:r>
            </a:p>
          </xdr:txBody>
        </xdr:sp>
        <xdr:clientData/>
      </xdr:twoCellAnchor>
    </mc:Choice>
    <mc:Fallback/>
  </mc:AlternateContent>
  <xdr:twoCellAnchor editAs="absolute">
    <xdr:from>
      <xdr:col>5</xdr:col>
      <xdr:colOff>571500</xdr:colOff>
      <xdr:row>0</xdr:row>
      <xdr:rowOff>114300</xdr:rowOff>
    </xdr:from>
    <xdr:to>
      <xdr:col>6</xdr:col>
      <xdr:colOff>638176</xdr:colOff>
      <xdr:row>1</xdr:row>
      <xdr:rowOff>152400</xdr:rowOff>
    </xdr:to>
    <xdr:sp macro="[0]!setControlsOnSheet" textlink="">
      <xdr:nvSpPr>
        <xdr:cNvPr id="55" name="2 Rectángulo redondeado"/>
        <xdr:cNvSpPr/>
      </xdr:nvSpPr>
      <xdr:spPr>
        <a:xfrm>
          <a:off x="6134100" y="114300"/>
          <a:ext cx="828676" cy="238125"/>
        </a:xfrm>
        <a:prstGeom prst="roundRect">
          <a:avLst>
            <a:gd name="adj" fmla="val 50000"/>
          </a:avLst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s-ES" sz="1400" b="1"/>
            <a:t>Filtros</a:t>
          </a:r>
        </a:p>
      </xdr:txBody>
    </xdr:sp>
    <xdr:clientData/>
  </xdr:twoCellAnchor>
  <xdr:twoCellAnchor editAs="absolute">
    <xdr:from>
      <xdr:col>0</xdr:col>
      <xdr:colOff>28575</xdr:colOff>
      <xdr:row>19</xdr:row>
      <xdr:rowOff>57152</xdr:rowOff>
    </xdr:from>
    <xdr:to>
      <xdr:col>2</xdr:col>
      <xdr:colOff>581025</xdr:colOff>
      <xdr:row>23</xdr:row>
      <xdr:rowOff>133350</xdr:rowOff>
    </xdr:to>
    <xdr:sp macro="" textlink="">
      <xdr:nvSpPr>
        <xdr:cNvPr id="56" name="Rectángulo redondeado 55"/>
        <xdr:cNvSpPr/>
      </xdr:nvSpPr>
      <xdr:spPr>
        <a:xfrm>
          <a:off x="28575" y="3762377"/>
          <a:ext cx="3829050" cy="838198"/>
        </a:xfrm>
        <a:prstGeom prst="roundRect">
          <a:avLst>
            <a:gd name="adj" fmla="val 10598"/>
          </a:avLst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absolute">
    <xdr:from>
      <xdr:col>4</xdr:col>
      <xdr:colOff>219075</xdr:colOff>
      <xdr:row>0</xdr:row>
      <xdr:rowOff>57150</xdr:rowOff>
    </xdr:from>
    <xdr:to>
      <xdr:col>9</xdr:col>
      <xdr:colOff>200025</xdr:colOff>
      <xdr:row>24</xdr:row>
      <xdr:rowOff>142875</xdr:rowOff>
    </xdr:to>
    <xdr:sp macro="" textlink="">
      <xdr:nvSpPr>
        <xdr:cNvPr id="57" name="Rectángulo redondeado 56"/>
        <xdr:cNvSpPr/>
      </xdr:nvSpPr>
      <xdr:spPr>
        <a:xfrm>
          <a:off x="5019675" y="57150"/>
          <a:ext cx="3028950" cy="4743450"/>
        </a:xfrm>
        <a:prstGeom prst="roundRect">
          <a:avLst>
            <a:gd name="adj" fmla="val 2237"/>
          </a:avLst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3</xdr:row>
          <xdr:rowOff>38100</xdr:rowOff>
        </xdr:from>
        <xdr:to>
          <xdr:col>9</xdr:col>
          <xdr:colOff>114300</xdr:colOff>
          <xdr:row>4</xdr:row>
          <xdr:rowOff>47625</xdr:rowOff>
        </xdr:to>
        <xdr:sp macro="" textlink="">
          <xdr:nvSpPr>
            <xdr:cNvPr id="2099" name="Check Box 51" hidden="1">
              <a:extLst>
                <a:ext uri="{63B3BB69-23CF-44E3-9099-C40C66FF867C}">
                  <a14:compatExt spid="_x0000_s2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4</xdr:row>
          <xdr:rowOff>114300</xdr:rowOff>
        </xdr:from>
        <xdr:to>
          <xdr:col>9</xdr:col>
          <xdr:colOff>114300</xdr:colOff>
          <xdr:row>5</xdr:row>
          <xdr:rowOff>123825</xdr:rowOff>
        </xdr:to>
        <xdr:sp macro="" textlink="">
          <xdr:nvSpPr>
            <xdr:cNvPr id="2100" name="Check Box 52" hidden="1">
              <a:extLst>
                <a:ext uri="{63B3BB69-23CF-44E3-9099-C40C66FF867C}">
                  <a14:compatExt spid="_x0000_s2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6</xdr:row>
          <xdr:rowOff>0</xdr:rowOff>
        </xdr:from>
        <xdr:to>
          <xdr:col>9</xdr:col>
          <xdr:colOff>114300</xdr:colOff>
          <xdr:row>7</xdr:row>
          <xdr:rowOff>9525</xdr:rowOff>
        </xdr:to>
        <xdr:sp macro="" textlink="">
          <xdr:nvSpPr>
            <xdr:cNvPr id="2101" name="Check Box 53" hidden="1">
              <a:extLst>
                <a:ext uri="{63B3BB69-23CF-44E3-9099-C40C66FF867C}">
                  <a14:compatExt spid="_x0000_s2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7</xdr:row>
          <xdr:rowOff>76200</xdr:rowOff>
        </xdr:from>
        <xdr:to>
          <xdr:col>9</xdr:col>
          <xdr:colOff>114300</xdr:colOff>
          <xdr:row>8</xdr:row>
          <xdr:rowOff>85725</xdr:rowOff>
        </xdr:to>
        <xdr:sp macro="" textlink="">
          <xdr:nvSpPr>
            <xdr:cNvPr id="2102" name="Check Box 54" hidden="1">
              <a:extLst>
                <a:ext uri="{63B3BB69-23CF-44E3-9099-C40C66FF867C}">
                  <a14:compatExt spid="_x0000_s2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8</xdr:row>
          <xdr:rowOff>152400</xdr:rowOff>
        </xdr:from>
        <xdr:to>
          <xdr:col>9</xdr:col>
          <xdr:colOff>114300</xdr:colOff>
          <xdr:row>9</xdr:row>
          <xdr:rowOff>161925</xdr:rowOff>
        </xdr:to>
        <xdr:sp macro="" textlink="">
          <xdr:nvSpPr>
            <xdr:cNvPr id="2103" name="Check Box 55" hidden="1">
              <a:extLst>
                <a:ext uri="{63B3BB69-23CF-44E3-9099-C40C66FF867C}">
                  <a14:compatExt spid="_x0000_s2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10</xdr:row>
          <xdr:rowOff>38100</xdr:rowOff>
        </xdr:from>
        <xdr:to>
          <xdr:col>9</xdr:col>
          <xdr:colOff>114300</xdr:colOff>
          <xdr:row>11</xdr:row>
          <xdr:rowOff>47625</xdr:rowOff>
        </xdr:to>
        <xdr:sp macro="" textlink="">
          <xdr:nvSpPr>
            <xdr:cNvPr id="2104" name="Check Box 56" hidden="1">
              <a:extLst>
                <a:ext uri="{63B3BB69-23CF-44E3-9099-C40C66FF867C}">
                  <a14:compatExt spid="_x0000_s2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11</xdr:row>
          <xdr:rowOff>104775</xdr:rowOff>
        </xdr:from>
        <xdr:to>
          <xdr:col>9</xdr:col>
          <xdr:colOff>114300</xdr:colOff>
          <xdr:row>12</xdr:row>
          <xdr:rowOff>114300</xdr:rowOff>
        </xdr:to>
        <xdr:sp macro="" textlink="">
          <xdr:nvSpPr>
            <xdr:cNvPr id="2105" name="Check Box 57" hidden="1">
              <a:extLst>
                <a:ext uri="{63B3BB69-23CF-44E3-9099-C40C66FF867C}">
                  <a14:compatExt spid="_x0000_s2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12</xdr:row>
          <xdr:rowOff>180975</xdr:rowOff>
        </xdr:from>
        <xdr:to>
          <xdr:col>9</xdr:col>
          <xdr:colOff>114300</xdr:colOff>
          <xdr:row>14</xdr:row>
          <xdr:rowOff>0</xdr:rowOff>
        </xdr:to>
        <xdr:sp macro="" textlink="">
          <xdr:nvSpPr>
            <xdr:cNvPr id="2106" name="Check Box 58" hidden="1">
              <a:extLst>
                <a:ext uri="{63B3BB69-23CF-44E3-9099-C40C66FF867C}">
                  <a14:compatExt spid="_x0000_s2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14</xdr:row>
          <xdr:rowOff>66675</xdr:rowOff>
        </xdr:from>
        <xdr:to>
          <xdr:col>9</xdr:col>
          <xdr:colOff>114300</xdr:colOff>
          <xdr:row>15</xdr:row>
          <xdr:rowOff>76200</xdr:rowOff>
        </xdr:to>
        <xdr:sp macro="" textlink="">
          <xdr:nvSpPr>
            <xdr:cNvPr id="2107" name="Check Box 59" hidden="1">
              <a:extLst>
                <a:ext uri="{63B3BB69-23CF-44E3-9099-C40C66FF867C}">
                  <a14:compatExt spid="_x0000_s2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15</xdr:row>
          <xdr:rowOff>142875</xdr:rowOff>
        </xdr:from>
        <xdr:to>
          <xdr:col>9</xdr:col>
          <xdr:colOff>114300</xdr:colOff>
          <xdr:row>16</xdr:row>
          <xdr:rowOff>152400</xdr:rowOff>
        </xdr:to>
        <xdr:sp macro="" textlink="">
          <xdr:nvSpPr>
            <xdr:cNvPr id="2108" name="Check Box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17</xdr:row>
          <xdr:rowOff>28575</xdr:rowOff>
        </xdr:from>
        <xdr:to>
          <xdr:col>9</xdr:col>
          <xdr:colOff>114300</xdr:colOff>
          <xdr:row>18</xdr:row>
          <xdr:rowOff>38100</xdr:rowOff>
        </xdr:to>
        <xdr:sp macro="" textlink="">
          <xdr:nvSpPr>
            <xdr:cNvPr id="2109" name="Check Box 61" hidden="1">
              <a:extLst>
                <a:ext uri="{63B3BB69-23CF-44E3-9099-C40C66FF867C}">
                  <a14:compatExt spid="_x0000_s2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18</xdr:row>
          <xdr:rowOff>104775</xdr:rowOff>
        </xdr:from>
        <xdr:to>
          <xdr:col>9</xdr:col>
          <xdr:colOff>114300</xdr:colOff>
          <xdr:row>19</xdr:row>
          <xdr:rowOff>114300</xdr:rowOff>
        </xdr:to>
        <xdr:sp macro="" textlink="">
          <xdr:nvSpPr>
            <xdr:cNvPr id="2110" name="Check Box 62" hidden="1">
              <a:extLst>
                <a:ext uri="{63B3BB69-23CF-44E3-9099-C40C66FF867C}">
                  <a14:compatExt spid="_x0000_s2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133350</xdr:colOff>
          <xdr:row>21</xdr:row>
          <xdr:rowOff>47625</xdr:rowOff>
        </xdr:from>
        <xdr:to>
          <xdr:col>4</xdr:col>
          <xdr:colOff>95250</xdr:colOff>
          <xdr:row>23</xdr:row>
          <xdr:rowOff>0</xdr:rowOff>
        </xdr:to>
        <xdr:sp macro="" textlink="">
          <xdr:nvSpPr>
            <xdr:cNvPr id="2112" name="cmdCancelar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23</xdr:row>
          <xdr:rowOff>9525</xdr:rowOff>
        </xdr:from>
        <xdr:to>
          <xdr:col>7</xdr:col>
          <xdr:colOff>619125</xdr:colOff>
          <xdr:row>24</xdr:row>
          <xdr:rowOff>19050</xdr:rowOff>
        </xdr:to>
        <xdr:sp macro="" textlink="">
          <xdr:nvSpPr>
            <xdr:cNvPr id="2113" name="lstCalendarioe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333375</xdr:colOff>
          <xdr:row>22</xdr:row>
          <xdr:rowOff>180975</xdr:rowOff>
        </xdr:from>
        <xdr:to>
          <xdr:col>5</xdr:col>
          <xdr:colOff>133350</xdr:colOff>
          <xdr:row>24</xdr:row>
          <xdr:rowOff>95250</xdr:rowOff>
        </xdr:to>
        <xdr:sp macro="" textlink="">
          <xdr:nvSpPr>
            <xdr:cNvPr id="2114" name="Label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Calendario Estacional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20</xdr:row>
          <xdr:rowOff>57150</xdr:rowOff>
        </xdr:from>
        <xdr:to>
          <xdr:col>7</xdr:col>
          <xdr:colOff>619125</xdr:colOff>
          <xdr:row>21</xdr:row>
          <xdr:rowOff>66675</xdr:rowOff>
        </xdr:to>
        <xdr:sp macro="" textlink="">
          <xdr:nvSpPr>
            <xdr:cNvPr id="2115" name="lstPerfil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590550</xdr:colOff>
          <xdr:row>20</xdr:row>
          <xdr:rowOff>76200</xdr:rowOff>
        </xdr:from>
        <xdr:to>
          <xdr:col>5</xdr:col>
          <xdr:colOff>104775</xdr:colOff>
          <xdr:row>21</xdr:row>
          <xdr:rowOff>47625</xdr:rowOff>
        </xdr:to>
        <xdr:sp macro="" textlink="">
          <xdr:nvSpPr>
            <xdr:cNvPr id="2116" name="Label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Perfil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21</xdr:row>
          <xdr:rowOff>133350</xdr:rowOff>
        </xdr:from>
        <xdr:to>
          <xdr:col>7</xdr:col>
          <xdr:colOff>619125</xdr:colOff>
          <xdr:row>22</xdr:row>
          <xdr:rowOff>142875</xdr:rowOff>
        </xdr:to>
        <xdr:sp macro="" textlink="">
          <xdr:nvSpPr>
            <xdr:cNvPr id="2117" name="lstColor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571500</xdr:colOff>
          <xdr:row>21</xdr:row>
          <xdr:rowOff>152400</xdr:rowOff>
        </xdr:from>
        <xdr:to>
          <xdr:col>5</xdr:col>
          <xdr:colOff>104775</xdr:colOff>
          <xdr:row>22</xdr:row>
          <xdr:rowOff>123825</xdr:rowOff>
        </xdr:to>
        <xdr:sp macro="" textlink="">
          <xdr:nvSpPr>
            <xdr:cNvPr id="2118" name="Label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Color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20</xdr:row>
          <xdr:rowOff>47625</xdr:rowOff>
        </xdr:from>
        <xdr:to>
          <xdr:col>9</xdr:col>
          <xdr:colOff>114300</xdr:colOff>
          <xdr:row>21</xdr:row>
          <xdr:rowOff>57150</xdr:rowOff>
        </xdr:to>
        <xdr:sp macro="" textlink="">
          <xdr:nvSpPr>
            <xdr:cNvPr id="2119" name="Check Box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21</xdr:row>
          <xdr:rowOff>123825</xdr:rowOff>
        </xdr:from>
        <xdr:to>
          <xdr:col>9</xdr:col>
          <xdr:colOff>114300</xdr:colOff>
          <xdr:row>22</xdr:row>
          <xdr:rowOff>133350</xdr:rowOff>
        </xdr:to>
        <xdr:sp macro="" textlink="">
          <xdr:nvSpPr>
            <xdr:cNvPr id="2120" name="Check Box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23</xdr:row>
          <xdr:rowOff>9525</xdr:rowOff>
        </xdr:from>
        <xdr:to>
          <xdr:col>9</xdr:col>
          <xdr:colOff>114300</xdr:colOff>
          <xdr:row>24</xdr:row>
          <xdr:rowOff>19050</xdr:rowOff>
        </xdr:to>
        <xdr:sp macro="" textlink="">
          <xdr:nvSpPr>
            <xdr:cNvPr id="2121" name="Check Box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</xdr:row>
          <xdr:rowOff>238125</xdr:rowOff>
        </xdr:from>
        <xdr:to>
          <xdr:col>7</xdr:col>
          <xdr:colOff>619125</xdr:colOff>
          <xdr:row>2</xdr:row>
          <xdr:rowOff>171450</xdr:rowOff>
        </xdr:to>
        <xdr:sp macro="" textlink="">
          <xdr:nvSpPr>
            <xdr:cNvPr id="2122" name="lstHojaCB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495300</xdr:colOff>
          <xdr:row>1</xdr:row>
          <xdr:rowOff>257175</xdr:rowOff>
        </xdr:from>
        <xdr:to>
          <xdr:col>5</xdr:col>
          <xdr:colOff>152400</xdr:colOff>
          <xdr:row>2</xdr:row>
          <xdr:rowOff>152400</xdr:rowOff>
        </xdr:to>
        <xdr:sp macro="" textlink="">
          <xdr:nvSpPr>
            <xdr:cNvPr id="2123" name="Label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Hoja CB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</xdr:row>
          <xdr:rowOff>247650</xdr:rowOff>
        </xdr:from>
        <xdr:to>
          <xdr:col>9</xdr:col>
          <xdr:colOff>114300</xdr:colOff>
          <xdr:row>2</xdr:row>
          <xdr:rowOff>180975</xdr:rowOff>
        </xdr:to>
        <xdr:sp macro="" textlink="">
          <xdr:nvSpPr>
            <xdr:cNvPr id="2124" name="Check Box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4</xdr:col>
      <xdr:colOff>219075</xdr:colOff>
      <xdr:row>7</xdr:row>
      <xdr:rowOff>19050</xdr:rowOff>
    </xdr:from>
    <xdr:to>
      <xdr:col>9</xdr:col>
      <xdr:colOff>200025</xdr:colOff>
      <xdr:row>7</xdr:row>
      <xdr:rowOff>85725</xdr:rowOff>
    </xdr:to>
    <xdr:sp macro="" textlink="">
      <xdr:nvSpPr>
        <xdr:cNvPr id="74" name="Rectángulo redondeado 73"/>
        <xdr:cNvSpPr/>
      </xdr:nvSpPr>
      <xdr:spPr>
        <a:xfrm>
          <a:off x="5019675" y="1438275"/>
          <a:ext cx="3028950" cy="66675"/>
        </a:xfrm>
        <a:prstGeom prst="roundRect">
          <a:avLst>
            <a:gd name="adj" fmla="val 2237"/>
          </a:avLst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absolute">
    <xdr:from>
      <xdr:col>4</xdr:col>
      <xdr:colOff>219075</xdr:colOff>
      <xdr:row>19</xdr:row>
      <xdr:rowOff>152400</xdr:rowOff>
    </xdr:from>
    <xdr:to>
      <xdr:col>9</xdr:col>
      <xdr:colOff>200025</xdr:colOff>
      <xdr:row>20</xdr:row>
      <xdr:rowOff>28575</xdr:rowOff>
    </xdr:to>
    <xdr:sp macro="" textlink="">
      <xdr:nvSpPr>
        <xdr:cNvPr id="75" name="Rectángulo redondeado 74"/>
        <xdr:cNvSpPr/>
      </xdr:nvSpPr>
      <xdr:spPr>
        <a:xfrm>
          <a:off x="5019675" y="3857625"/>
          <a:ext cx="3028950" cy="66675"/>
        </a:xfrm>
        <a:prstGeom prst="roundRect">
          <a:avLst>
            <a:gd name="adj" fmla="val 2237"/>
          </a:avLst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1209675</xdr:colOff>
          <xdr:row>5</xdr:row>
          <xdr:rowOff>104775</xdr:rowOff>
        </xdr:from>
        <xdr:to>
          <xdr:col>1</xdr:col>
          <xdr:colOff>1390650</xdr:colOff>
          <xdr:row>7</xdr:row>
          <xdr:rowOff>9525</xdr:rowOff>
        </xdr:to>
        <xdr:sp macro="" textlink="">
          <xdr:nvSpPr>
            <xdr:cNvPr id="2125" name="cmdRefrescaDatos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s-EC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22</xdr:row>
          <xdr:rowOff>38100</xdr:rowOff>
        </xdr:from>
        <xdr:to>
          <xdr:col>1</xdr:col>
          <xdr:colOff>1009650</xdr:colOff>
          <xdr:row>23</xdr:row>
          <xdr:rowOff>123825</xdr:rowOff>
        </xdr:to>
        <xdr:sp macro="" textlink="">
          <xdr:nvSpPr>
            <xdr:cNvPr id="2126" name="Check Box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 Requerimiento en Transfencia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161925</xdr:rowOff>
        </xdr:from>
        <xdr:to>
          <xdr:col>5</xdr:col>
          <xdr:colOff>95250</xdr:colOff>
          <xdr:row>3</xdr:row>
          <xdr:rowOff>142875</xdr:rowOff>
        </xdr:to>
        <xdr:sp macro="" textlink="">
          <xdr:nvSpPr>
            <xdr:cNvPr id="4097" name="cmdFiltrar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0</xdr:row>
          <xdr:rowOff>57150</xdr:rowOff>
        </xdr:from>
        <xdr:to>
          <xdr:col>15</xdr:col>
          <xdr:colOff>19050</xdr:colOff>
          <xdr:row>1</xdr:row>
          <xdr:rowOff>123825</xdr:rowOff>
        </xdr:to>
        <xdr:sp macro="" textlink="">
          <xdr:nvSpPr>
            <xdr:cNvPr id="7169" name="cmdCrear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1</xdr:row>
          <xdr:rowOff>123825</xdr:rowOff>
        </xdr:from>
        <xdr:to>
          <xdr:col>15</xdr:col>
          <xdr:colOff>19050</xdr:colOff>
          <xdr:row>3</xdr:row>
          <xdr:rowOff>0</xdr:rowOff>
        </xdr:to>
        <xdr:sp macro="" textlink="">
          <xdr:nvSpPr>
            <xdr:cNvPr id="7170" name="cmdCancel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2628900</xdr:colOff>
      <xdr:row>1</xdr:row>
      <xdr:rowOff>114300</xdr:rowOff>
    </xdr:to>
    <xdr:sp macro="" textlink="">
      <xdr:nvSpPr>
        <xdr:cNvPr id="2" name="1 CuadroTexto"/>
        <xdr:cNvSpPr txBox="1"/>
      </xdr:nvSpPr>
      <xdr:spPr>
        <a:xfrm>
          <a:off x="0" y="0"/>
          <a:ext cx="3609975" cy="304800"/>
        </a:xfrm>
        <a:prstGeom prst="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wrap="square" rtlCol="0" anchor="ctr" anchorCtr="0"/>
        <a:lstStyle/>
        <a:p>
          <a:pPr algn="l"/>
          <a:r>
            <a:rPr lang="en-US" sz="2000"/>
            <a:t>REPORTE</a:t>
          </a:r>
          <a:r>
            <a:rPr lang="en-US" sz="2000" baseline="0"/>
            <a:t> DECISIÓN DE COMPRA</a:t>
          </a:r>
          <a:endParaRPr lang="en-US" sz="20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47625</xdr:rowOff>
        </xdr:from>
        <xdr:to>
          <xdr:col>2</xdr:col>
          <xdr:colOff>752475</xdr:colOff>
          <xdr:row>1</xdr:row>
          <xdr:rowOff>114300</xdr:rowOff>
        </xdr:to>
        <xdr:sp macro="" textlink="">
          <xdr:nvSpPr>
            <xdr:cNvPr id="9217" name="cmdVolver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28575</xdr:rowOff>
    </xdr:from>
    <xdr:to>
      <xdr:col>1</xdr:col>
      <xdr:colOff>2628900</xdr:colOff>
      <xdr:row>1</xdr:row>
      <xdr:rowOff>142875</xdr:rowOff>
    </xdr:to>
    <xdr:sp macro="" textlink="">
      <xdr:nvSpPr>
        <xdr:cNvPr id="2" name="1 CuadroTexto"/>
        <xdr:cNvSpPr txBox="1"/>
      </xdr:nvSpPr>
      <xdr:spPr>
        <a:xfrm>
          <a:off x="0" y="28575"/>
          <a:ext cx="3609975" cy="304800"/>
        </a:xfrm>
        <a:prstGeom prst="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wrap="square" rtlCol="0" anchor="ctr" anchorCtr="0"/>
        <a:lstStyle/>
        <a:p>
          <a:pPr algn="l"/>
          <a:r>
            <a:rPr lang="en-US" sz="2000">
              <a:solidFill>
                <a:schemeClr val="tx1"/>
              </a:solidFill>
            </a:rPr>
            <a:t>REPORTE</a:t>
          </a:r>
          <a:r>
            <a:rPr lang="en-US" sz="2000" baseline="0">
              <a:solidFill>
                <a:schemeClr val="tx1"/>
              </a:solidFill>
            </a:rPr>
            <a:t> RELACIÓN DE BUFFERS</a:t>
          </a:r>
          <a:endParaRPr lang="en-US" sz="20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</xdr:colOff>
          <xdr:row>0</xdr:row>
          <xdr:rowOff>47625</xdr:rowOff>
        </xdr:from>
        <xdr:to>
          <xdr:col>2</xdr:col>
          <xdr:colOff>752475</xdr:colOff>
          <xdr:row>1</xdr:row>
          <xdr:rowOff>114300</xdr:rowOff>
        </xdr:to>
        <xdr:sp macro="" textlink="">
          <xdr:nvSpPr>
            <xdr:cNvPr id="10241" name="cmdVolver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</xdr:col>
      <xdr:colOff>86783</xdr:colOff>
      <xdr:row>1</xdr:row>
      <xdr:rowOff>114300</xdr:rowOff>
    </xdr:to>
    <xdr:sp macro="" textlink="">
      <xdr:nvSpPr>
        <xdr:cNvPr id="2" name="1 CuadroTexto"/>
        <xdr:cNvSpPr txBox="1"/>
      </xdr:nvSpPr>
      <xdr:spPr>
        <a:xfrm>
          <a:off x="0" y="0"/>
          <a:ext cx="3971925" cy="30480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 anchorCtr="0"/>
        <a:lstStyle/>
        <a:p>
          <a:pPr algn="l"/>
          <a:r>
            <a:rPr lang="en-US" sz="2000">
              <a:solidFill>
                <a:schemeClr val="tx1"/>
              </a:solidFill>
            </a:rPr>
            <a:t>BUFFERS</a:t>
          </a:r>
          <a:r>
            <a:rPr lang="en-US" sz="2000" baseline="0">
              <a:solidFill>
                <a:schemeClr val="tx1"/>
              </a:solidFill>
            </a:rPr>
            <a:t> POR COLOR POR BODEGA</a:t>
          </a:r>
          <a:endParaRPr 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83607</xdr:colOff>
      <xdr:row>8</xdr:row>
      <xdr:rowOff>160866</xdr:rowOff>
    </xdr:from>
    <xdr:to>
      <xdr:col>13</xdr:col>
      <xdr:colOff>559857</xdr:colOff>
      <xdr:row>27</xdr:row>
      <xdr:rowOff>170391</xdr:rowOff>
    </xdr:to>
    <xdr:graphicFrame macro="">
      <xdr:nvGraphicFramePr>
        <xdr:cNvPr id="3" name="2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419100</xdr:colOff>
          <xdr:row>0</xdr:row>
          <xdr:rowOff>47625</xdr:rowOff>
        </xdr:from>
        <xdr:to>
          <xdr:col>5</xdr:col>
          <xdr:colOff>571500</xdr:colOff>
          <xdr:row>1</xdr:row>
          <xdr:rowOff>114300</xdr:rowOff>
        </xdr:to>
        <xdr:sp macro="" textlink="">
          <xdr:nvSpPr>
            <xdr:cNvPr id="11265" name="cmdVolver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PEDIDO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CALCUL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DIDOS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lculo_General"/>
      <sheetName val="Filtrado_General"/>
      <sheetName val="CALCULO"/>
      <sheetName val="FILTRADO"/>
      <sheetName val="TransferActiva"/>
      <sheetName val="TransferTodos"/>
    </sheetNames>
    <sheetDataSet>
      <sheetData sheetId="0" refreshError="1"/>
      <sheetData sheetId="1" refreshError="1"/>
      <sheetData sheetId="2"/>
      <sheetData sheetId="3"/>
      <sheetData sheetId="4" refreshError="1"/>
      <sheetData sheetId="5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AS" refreshedDate="40991.863634837966" createdVersion="3" refreshedVersion="3" minRefreshableVersion="3" recordCount="568">
  <cacheSource type="worksheet">
    <worksheetSource name="=RANGOPEDIDOSAGROTA"/>
  </cacheSource>
  <cacheFields count="36">
    <cacheField name="Empresa" numFmtId="0">
      <sharedItems count="3">
        <s v="AGROINSUMOS"/>
        <s v="SUKAMPO" u="1"/>
        <s v="AGROTA" u="1"/>
      </sharedItems>
    </cacheField>
    <cacheField name="Bodega" numFmtId="0">
      <sharedItems count="35">
        <s v="AGROINSUMOSMATERIAPRIMA"/>
        <s v="AGROINSUMOSCENTRAL"/>
        <s v="AGROINSUMOSAGRONUEVO"/>
        <s v="AGROINSUMOSAGROHERMANOSLEON"/>
        <s v="AGROINSUMOSMONCAYOLOPEZ"/>
        <s v="AGROINSUMOSLAFINCA"/>
        <s v="AGROINSUMOSEIGUANCHI"/>
        <s v="AGROINSUMOSCENTRALPROPIA" u="1"/>
        <s v="AGROTAQUITO" u="1"/>
        <s v="AGROINSUMOSESPINOZAORDONEZ" u="1"/>
        <s v="AGROTASTODOMINGO" u="1"/>
        <s v="AGROTALOJA" u="1"/>
        <s v="SUKAMPOSUCRE" u="1"/>
        <s v="AGROTAALMACEN" u="1"/>
        <s v="AGROINSUMOSAGROQUIMICOSSUR" u="1"/>
        <s v="AGROTAEIGUANCHI" u="1"/>
        <s v="AGROINSUMOSAGROMUNDO" u="1"/>
        <s v="SUKAMPONARANJAL" u="1"/>
        <s v="AGROTAMAXSTODOMINGO" u="1"/>
        <s v="AGROINSUMOSLOJA" u="1"/>
        <s v="AGROTACENTRAL" u="1"/>
        <s v="SUKAMPOCENTRALPROPIA" u="1"/>
        <s v="AGROINSUMOSSTODOMINGO" u="1"/>
        <s v="AGROTAPROMACOFI" u="1"/>
        <s v="AGROINSUMOSMACHALA" u="1"/>
        <s v="AGROTACENTRALPROPIA" u="1"/>
        <s v="AGROTAMARCIMEX" u="1"/>
        <s v="AGROTAMAXQUEVEDO" u="1"/>
        <s v="AGROTASUCRE" u="1"/>
        <s v="AGROTAMACHALA" u="1"/>
        <s v="AGROTAMAXGUAYAQUIL" u="1"/>
        <s v="AGROINSUMOSVERONICALEDESMA" u="1"/>
        <s v="SUKAMPOCENTRAL" u="1"/>
        <s v="AGROTAMOLINO" u="1"/>
        <s v="AGROINSUMOSQUITO" u="1"/>
      </sharedItems>
    </cacheField>
    <cacheField name="Proveedor" numFmtId="0">
      <sharedItems count="8">
        <s v="COMPRA"/>
        <s v="AGROINSUMOSMATERIAPRIMA"/>
        <s v="AGROINSUMOSCENTRAL"/>
        <s v="AGROINSUMOSQUITO" u="1"/>
        <s v="AGROTACENTRAL" u="1"/>
        <s v="AGROINSUMOSMACHALA" u="1"/>
        <s v="SUKAMPOCENTRAL" u="1"/>
        <s v="AGROINSUMOSSTODOMINGO" u="1"/>
      </sharedItems>
    </cacheField>
    <cacheField name="Archivo" numFmtId="0">
      <sharedItems/>
    </cacheField>
    <cacheField name="Codigo" numFmtId="0">
      <sharedItems/>
    </cacheField>
    <cacheField name="Descripcion" numFmtId="0">
      <sharedItems/>
    </cacheField>
    <cacheField name="Grupo" numFmtId="0">
      <sharedItems/>
    </cacheField>
    <cacheField name="Linea" numFmtId="0">
      <sharedItems/>
    </cacheField>
    <cacheField name="Nuevo Buff Sug" numFmtId="0">
      <sharedItems containsString="0" containsBlank="1" containsNumber="1" containsInteger="1" minValue="67" maxValue="9310"/>
    </cacheField>
    <cacheField name="Nuevo Buff Real" numFmtId="0">
      <sharedItems containsString="0" containsBlank="1" containsNumber="1" containsInteger="1" minValue="-10" maxValue="2"/>
    </cacheField>
    <cacheField name="Observaciones" numFmtId="0">
      <sharedItems containsBlank="1"/>
    </cacheField>
    <cacheField name="Tipo" numFmtId="0">
      <sharedItems containsNonDate="0" containsString="0" containsBlank="1"/>
    </cacheField>
    <cacheField name="CTV" numFmtId="0">
      <sharedItems containsSemiMixedTypes="0" containsString="0" containsNumber="1" minValue="0" maxValue="20001"/>
    </cacheField>
    <cacheField name="PV" numFmtId="0">
      <sharedItems containsSemiMixedTypes="0" containsString="0" containsNumber="1" minValue="0" maxValue="1120"/>
    </cacheField>
    <cacheField name="Inv Proveed" numFmtId="0">
      <sharedItems containsSemiMixedTypes="0" containsString="0" containsNumber="1" containsInteger="1" minValue="0" maxValue="1000000000"/>
    </cacheField>
    <cacheField name="Buff Act" numFmtId="0">
      <sharedItems containsString="0" containsBlank="1" containsNumber="1" containsInteger="1" minValue="0" maxValue="11321"/>
    </cacheField>
    <cacheField name="Inv Fís Act" numFmtId="0">
      <sharedItems containsSemiMixedTypes="0" containsString="0" containsNumber="1" minValue="-1878" maxValue="34639"/>
    </cacheField>
    <cacheField name="Color" numFmtId="0">
      <sharedItems containsBlank="1" count="10">
        <s v="R"/>
        <s v="G"/>
        <s v="N"/>
        <s v="A"/>
        <s v="V"/>
        <s v="L"/>
        <s v="E"/>
        <m u="1"/>
        <s v="FALSE" u="1"/>
        <s v="FALSO" u="1"/>
      </sharedItems>
    </cacheField>
    <cacheField name="Estado Buffer" numFmtId="9">
      <sharedItems containsSemiMixedTypes="0" containsString="0" containsNumber="1" minValue="-71.16" maxValue="1.26"/>
    </cacheField>
    <cacheField name="Tráns Act" numFmtId="0">
      <sharedItems containsSemiMixedTypes="0" containsString="0" containsNumber="1" containsInteger="1" minValue="0" maxValue="0"/>
    </cacheField>
    <cacheField name="Comprom" numFmtId="0">
      <sharedItems containsNonDate="0" containsString="0" containsBlank="1"/>
    </cacheField>
    <cacheField name="Backorders" numFmtId="0">
      <sharedItems containsSemiMixedTypes="0" containsString="0" containsNumber="1" containsInteger="1" minValue="0" maxValue="0"/>
    </cacheField>
    <cacheField name="Inv Proy Act" numFmtId="0">
      <sharedItems containsSemiMixedTypes="0" containsString="0" containsNumber="1" minValue="-1878" maxValue="34639"/>
    </cacheField>
    <cacheField name="PEDIDCalc" numFmtId="0">
      <sharedItems containsSemiMixedTypes="0" containsString="0" containsNumber="1" minValue="0" maxValue="6968"/>
    </cacheField>
    <cacheField name="PEDID Real" numFmtId="0">
      <sharedItems containsString="0" containsBlank="1" containsNumber="1" containsInteger="1" minValue="0" maxValue="5200"/>
    </cacheField>
    <cacheField name="PEDID Prom" numFmtId="0">
      <sharedItems containsSemiMixedTypes="0" containsString="0" containsNumber="1" containsInteger="1" minValue="0" maxValue="8501"/>
    </cacheField>
    <cacheField name="T$D" numFmtId="0">
      <sharedItems containsSemiMixedTypes="0" containsString="0" containsNumber="1" minValue="-14400" maxValue="7209.3600000000006"/>
    </cacheField>
    <cacheField name="I$D" numFmtId="0">
      <sharedItems containsSemiMixedTypes="0" containsString="0" containsNumber="1" minValue="0" maxValue="28431.505149999997"/>
    </cacheField>
    <cacheField name="Rentabilid" numFmtId="0">
      <sharedItems containsSemiMixedTypes="0" containsString="0" containsNumber="1" minValue="-14.73" maxValue="1407.99"/>
    </cacheField>
    <cacheField name="Vel Efect" numFmtId="0">
      <sharedItems containsSemiMixedTypes="0" containsString="0" containsNumber="1" minValue="-45.71" maxValue="9.69"/>
    </cacheField>
    <cacheField name="Servicio" numFmtId="0">
      <sharedItems containsSemiMixedTypes="0" containsString="0" containsNumber="1" minValue="0" maxValue="311.37290322580645"/>
    </cacheField>
    <cacheField name="Ult Cambio" numFmtId="14">
      <sharedItems containsSemiMixedTypes="0" containsNonDate="0" containsDate="1" containsString="0" minDate="1899-12-30T00:00:00" maxDate="2012-02-16T00:00:00"/>
    </cacheField>
    <cacheField name="TipoCompra" numFmtId="0">
      <sharedItems containsMixedTypes="1" containsNumber="1" containsInteger="1" minValue="0" maxValue="0" count="7">
        <s v="LOCAL"/>
        <e v="#N/A"/>
        <s v="IMPORTACIÓN"/>
        <s v="IMPORTACIÓN-LOCAL"/>
        <s v="AGROINSUMOSMATERIAPRIMA"/>
        <s v="AGROINSUMOSCENTRAL"/>
        <n v="0" u="1"/>
      </sharedItems>
    </cacheField>
    <cacheField name="Consumo" numFmtId="9">
      <sharedItems containsMixedTypes="1" containsNumber="1" minValue="-71.16458333333334" maxValue="1.2608695652173914"/>
    </cacheField>
    <cacheField name="Ped Prom" numFmtId="0">
      <sharedItems containsMixedTypes="1" containsNumber="1" minValue="0" maxValue="187.5"/>
    </cacheField>
    <cacheField name="FIN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CAS" refreshedDate="42160.51596759259" createdVersion="3" refreshedVersion="5" minRefreshableVersion="3" recordCount="161">
  <cacheSource type="worksheet">
    <worksheetSource name="=tablaconsolidada"/>
  </cacheSource>
  <cacheFields count="83">
    <cacheField name="Empresa" numFmtId="0">
      <sharedItems/>
    </cacheField>
    <cacheField name="Archivo" numFmtId="0">
      <sharedItems/>
    </cacheField>
    <cacheField name="Bodega" numFmtId="0">
      <sharedItems count="58">
        <s v="BDG. DE PRODUCTO TERMI PLANTA"/>
        <s v="CDC.Daule" u="1"/>
        <s v="GYE.Duran III" u="1"/>
        <s v="UIO.Recreo" u="1"/>
        <s v="CDC.La Troncal" u="1"/>
        <s v="MAC.Machala" u="1"/>
        <s v="Bogota comercio" u="1"/>
        <s v="CDC.La Libertad" u="1"/>
        <s v="GYE.9 de Octubre II" u="1"/>
        <s v="BBH.Montalvo" u="1"/>
        <s v="MAC.Pasaje" u="1"/>
        <s v="GYE.Portete III" u="1"/>
        <s v="AMB.Riobamba" u="1"/>
        <s v="CDR.CUENCA" u="1"/>
        <s v="AGROTAEIGUANCHI" u="1"/>
        <s v="BP-MATRIZ" u="1"/>
        <s v="CDC CALIFORNIA" u="1"/>
        <s v="BBH.Quevedo" u="1"/>
        <s v="UIO.Santo Domingo" u="1"/>
        <s v="CUE.Lamar" u="1"/>
        <s v="UIO.Recreo III" u="1"/>
        <s v="UIO.Santo Domingo 3" u="1"/>
        <s v="AMB.Salcedo" u="1"/>
        <s v="CDC.Guasmo III" u="1"/>
        <s v="UIO.La Prensa 2" u="1"/>
        <s v="MAN.Mega" u="1"/>
        <s v="CDR.BABAHOYO" u="1"/>
        <s v="AGROTACENTRAL" u="1"/>
        <s v="AGROTAPROMACOFI" u="1"/>
        <s v="UIO.Naciones Unidas" u="1"/>
        <s v="UIO.Mayoreo" u="1"/>
        <s v="CUE.El Arenal" u="1"/>
        <s v="CDR.AMBATO" u="1"/>
        <s v="MAN.Rocafuerte" u="1"/>
        <s v="CDC.Mall del Sur" u="1"/>
        <s v="BBH.Ventanas" u="1"/>
        <s v="BBH:Babahoyo" u="1"/>
        <s v="MAN.Tarqui II" u="1"/>
        <s v="CUE.El Arenal 2" u="1"/>
        <s v="CDR GUAYAQUIL 25" u="1"/>
        <s v="CDC.Florida II" u="1"/>
        <s v="CDC.Alborada II" u="1"/>
        <s v="AMB.Tena" u="1"/>
        <s v="BBH.Guaranda" u="1"/>
        <s v="GYE.Mayoreo" u="1"/>
        <s v="MAN.Portoviejo II" u="1"/>
        <s v="UIO.Sangolquí" u="1"/>
        <s v="AMB.Puyo" u="1"/>
        <s v="AGROTAMAXGUAYAQUIL" u="1"/>
        <s v="CDR.MACHALA" u="1"/>
        <s v="AMB.Cevallos" u="1"/>
        <s v="CDC.Trinitaria" u="1"/>
        <s v="CDC.Milagro" u="1"/>
        <s v="CDR.QUITO" u="1"/>
        <s v="CDC.California" u="1"/>
        <s v="CDR.MANABI" u="1"/>
        <s v="CUE.Luis Cordero" u="1"/>
        <s v="CUE.Mall del Rio" u="1"/>
      </sharedItems>
    </cacheField>
    <cacheField name="Proveedor" numFmtId="0">
      <sharedItems/>
    </cacheField>
    <cacheField name="Perfil" numFmtId="0">
      <sharedItems/>
    </cacheField>
    <cacheField name="Codigo" numFmtId="0">
      <sharedItems/>
    </cacheField>
    <cacheField name="CODIGO GENERICO" numFmtId="0">
      <sharedItems/>
    </cacheField>
    <cacheField name="CODIGO VINCULADO" numFmtId="0">
      <sharedItems/>
    </cacheField>
    <cacheField name="GDB" numFmtId="0">
      <sharedItems containsSemiMixedTypes="0" containsString="0" containsNumber="1" containsInteger="1" minValue="1" maxValue="1"/>
    </cacheField>
    <cacheField name="Cam" numFmtId="0">
      <sharedItems containsBlank="1"/>
    </cacheField>
    <cacheField name="Comportamiento" numFmtId="0">
      <sharedItems containsBlank="1"/>
    </cacheField>
    <cacheField name="Consumo1" numFmtId="0">
      <sharedItems containsSemiMixedTypes="0" containsString="0" containsNumber="1" minValue="0" maxValue="14105.5"/>
    </cacheField>
    <cacheField name="Buff Calc" numFmtId="0">
      <sharedItems containsSemiMixedTypes="0" containsString="0" containsNumber="1" containsInteger="1" minValue="0" maxValue="338532"/>
    </cacheField>
    <cacheField name="Cobertura Buffer" numFmtId="0">
      <sharedItems containsSemiMixedTypes="0" containsString="0" containsNumber="1" minValue="0" maxValue="622.72727272727263"/>
    </cacheField>
    <cacheField name="Cobertura Inv Proy" numFmtId="0">
      <sharedItems containsSemiMixedTypes="0" containsString="0" containsNumber="1" minValue="0" maxValue="2645.454545454545"/>
    </cacheField>
    <cacheField name="Cobertura Ped Min" numFmtId="0">
      <sharedItems containsSemiMixedTypes="0" containsString="0" containsNumber="1" containsInteger="1" minValue="0" maxValue="0"/>
    </cacheField>
    <cacheField name="Días Desabastecimiento" numFmtId="0">
      <sharedItems containsSemiMixedTypes="0" containsString="0" containsNumber="1" containsInteger="1" minValue="0" maxValue="42"/>
    </cacheField>
    <cacheField name="Buff Min" numFmtId="0">
      <sharedItems containsNonDate="0" containsString="0" containsBlank="1"/>
    </cacheField>
    <cacheField name="Buff Max" numFmtId="0">
      <sharedItems containsNonDate="0" containsString="0" containsBlank="1"/>
    </cacheField>
    <cacheField name="Impacto Faltante" numFmtId="0">
      <sharedItems containsNonDate="0" containsString="0" containsBlank="1"/>
    </cacheField>
    <cacheField name="Zona Amar" numFmtId="0">
      <sharedItems containsSemiMixedTypes="0" containsString="0" containsNumber="1" containsInteger="1" minValue="14" maxValue="122220"/>
    </cacheField>
    <cacheField name="Zona Roja" numFmtId="0">
      <sharedItems containsSemiMixedTypes="0" containsString="0" containsNumber="1" containsInteger="1" minValue="7" maxValue="60651"/>
    </cacheField>
    <cacheField name="Color1" numFmtId="0">
      <sharedItems/>
    </cacheField>
    <cacheField name="Ult Buffer" numFmtId="0">
      <sharedItems containsString="0" containsBlank="1" containsNumber="1" containsInteger="1" minValue="27" maxValue="279703"/>
    </cacheField>
    <cacheField name="Buff Ant Estacion" numFmtId="0">
      <sharedItems containsNonDate="0" containsString="0" containsBlank="1"/>
    </cacheField>
    <cacheField name="Buff Estacional" numFmtId="0">
      <sharedItems containsNonDate="0" containsString="0" containsBlank="1"/>
    </cacheField>
    <cacheField name="Estado Buffer Proy" numFmtId="0">
      <sharedItems containsSemiMixedTypes="0" containsString="0" containsNumber="1" minValue="-14.18" maxValue="0"/>
    </cacheField>
    <cacheField name="Calendario Estacional" numFmtId="0">
      <sharedItems containsNonDate="0" containsString="0" containsBlank="1"/>
    </cacheField>
    <cacheField name="Acción Estacional" numFmtId="0">
      <sharedItems containsNonDate="0" containsString="0" containsBlank="1"/>
    </cacheField>
    <cacheField name="Etapa Estacional" numFmtId="0">
      <sharedItems containsNonDate="0" containsString="0" containsBlank="1"/>
    </cacheField>
    <cacheField name="Rentabilidad Proy" numFmtId="0">
      <sharedItems containsSemiMixedTypes="0" containsString="0" containsNumber="1" minValue="-3" maxValue="15.45882352941177"/>
    </cacheField>
    <cacheField name="Inicio Per" numFmtId="0">
      <sharedItems/>
    </cacheField>
    <cacheField name="Fin Per" numFmtId="0">
      <sharedItems/>
    </cacheField>
    <cacheField name="Var" numFmtId="0">
      <sharedItems containsSemiMixedTypes="0" containsString="0" containsNumber="1" minValue="0" maxValue="1.1832159566199232"/>
    </cacheField>
    <cacheField name="Rojo Acum" numFmtId="0">
      <sharedItems containsSemiMixedTypes="0" containsString="0" containsNumber="1" containsInteger="1" minValue="0" maxValue="0"/>
    </cacheField>
    <cacheField name="Negro" numFmtId="0">
      <sharedItems containsSemiMixedTypes="0" containsString="0" containsNumber="1" minValue="0" maxValue="0.2413793103448276"/>
    </cacheField>
    <cacheField name="Rojo" numFmtId="0">
      <sharedItems containsSemiMixedTypes="0" containsString="0" containsNumber="1" minValue="0" maxValue="0.2413793103448276"/>
    </cacheField>
    <cacheField name="Amarillo" numFmtId="0">
      <sharedItems containsSemiMixedTypes="0" containsString="0" containsNumber="1" minValue="0" maxValue="0.2413793103448276"/>
    </cacheField>
    <cacheField name="Verde" numFmtId="0">
      <sharedItems containsSemiMixedTypes="0" containsString="0" containsNumber="1" minValue="0" maxValue="0.2413793103448276"/>
    </cacheField>
    <cacheField name="Lila" numFmtId="0">
      <sharedItems containsSemiMixedTypes="0" containsString="0" containsNumber="1" minValue="0" maxValue="0.2413793103448276"/>
    </cacheField>
    <cacheField name="Ingresos" numFmtId="0">
      <sharedItems containsSemiMixedTypes="0" containsString="0" containsNumber="1" containsInteger="1" minValue="0" maxValue="0"/>
    </cacheField>
    <cacheField name="Egresos" numFmtId="0">
      <sharedItems containsSemiMixedTypes="0" containsString="0" containsNumber="1" containsInteger="1" minValue="0" maxValue="0"/>
    </cacheField>
    <cacheField name="Posponer BUF" numFmtId="0">
      <sharedItems containsBlank="1"/>
    </cacheField>
    <cacheField name="Posponer RED" numFmtId="0">
      <sharedItems containsNonDate="0" containsString="0" containsBlank="1"/>
    </cacheField>
    <cacheField name="Posponer GDB" numFmtId="0">
      <sharedItems containsBlank="1"/>
    </cacheField>
    <cacheField name="Estatus" numFmtId="0">
      <sharedItems containsNonDate="0" containsString="0" containsBlank="1"/>
    </cacheField>
    <cacheField name="Ult Transfer Inicial" numFmtId="0">
      <sharedItems containsBlank="1"/>
    </cacheField>
    <cacheField name="Ult Transfer Final" numFmtId="0">
      <sharedItems containsBlank="1"/>
    </cacheField>
    <cacheField name="Nuevo Buff Sug" numFmtId="0">
      <sharedItems containsNonDate="0" containsString="0" containsBlank="1"/>
    </cacheField>
    <cacheField name="Nuevo Buff Real" numFmtId="0">
      <sharedItems containsNonDate="0" containsString="0" containsBlank="1"/>
    </cacheField>
    <cacheField name="Observaciones" numFmtId="0">
      <sharedItems containsNonDate="0" containsString="0" containsBlank="1"/>
    </cacheField>
    <cacheField name="Tipo" numFmtId="0">
      <sharedItems/>
    </cacheField>
    <cacheField name="CTV" numFmtId="165">
      <sharedItems containsSemiMixedTypes="0" containsString="0" containsNumber="1" minValue="0.13" maxValue="17.79"/>
    </cacheField>
    <cacheField name="PV" numFmtId="165">
      <sharedItems containsSemiMixedTypes="0" containsString="0" containsNumber="1" minValue="0" maxValue="30.71"/>
    </cacheField>
    <cacheField name="PEDID Min" numFmtId="0">
      <sharedItems containsNonDate="0" containsString="0" containsBlank="1"/>
    </cacheField>
    <cacheField name="PEDID Min Grupo" numFmtId="0">
      <sharedItems containsNonDate="0" containsString="0" containsBlank="1"/>
    </cacheField>
    <cacheField name="Unidad Empaque" numFmtId="0">
      <sharedItems containsString="0" containsBlank="1" containsNumber="1" containsInteger="1" minValue="1" maxValue="144"/>
    </cacheField>
    <cacheField name="Porc Aten" numFmtId="9">
      <sharedItems containsSemiMixedTypes="0" containsString="0" containsNumber="1" containsInteger="1" minValue="1" maxValue="1"/>
    </cacheField>
    <cacheField name="Inv Proveed" numFmtId="0">
      <sharedItems containsSemiMixedTypes="0" containsString="0" containsNumber="1" containsInteger="1" minValue="10000000000" maxValue="10000000000"/>
    </cacheField>
    <cacheField name="Buff Act" numFmtId="0">
      <sharedItems containsSemiMixedTypes="0" containsString="0" containsNumber="1" containsInteger="1" minValue="21" maxValue="183790"/>
    </cacheField>
    <cacheField name="Inv Fís Act" numFmtId="0">
      <sharedItems containsSemiMixedTypes="0" containsString="0" containsNumber="1" containsInteger="1" minValue="0" maxValue="188959"/>
    </cacheField>
    <cacheField name="Color" numFmtId="0">
      <sharedItems count="7">
        <s v="A"/>
        <s v="R"/>
        <s v="L"/>
        <s v="V"/>
        <s v="N"/>
        <s v="G" u="1"/>
        <s v="E" u="1"/>
      </sharedItems>
    </cacheField>
    <cacheField name="Estado Buffer" numFmtId="9">
      <sharedItems containsSemiMixedTypes="0" containsString="0" containsNumber="1" minValue="-14.18" maxValue="1"/>
    </cacheField>
    <cacheField name="Tráns Act" numFmtId="0">
      <sharedItems containsSemiMixedTypes="0" containsString="0" containsNumber="1" containsInteger="1" minValue="0" maxValue="711927"/>
    </cacheField>
    <cacheField name="Negociación" numFmtId="0">
      <sharedItems containsSemiMixedTypes="0" containsString="0" containsNumber="1" containsInteger="1" minValue="0" maxValue="0"/>
    </cacheField>
    <cacheField name="Producción" numFmtId="0">
      <sharedItems containsSemiMixedTypes="0" containsString="0" containsNumber="1" containsInteger="1" minValue="0" maxValue="0"/>
    </cacheField>
    <cacheField name="Embarcado" numFmtId="0">
      <sharedItems containsSemiMixedTypes="0" containsString="0" containsNumber="1" containsInteger="1" minValue="0" maxValue="0"/>
    </cacheField>
    <cacheField name="Comprom" numFmtId="0">
      <sharedItems containsSemiMixedTypes="0" containsString="0" containsNumber="1" containsInteger="1" minValue="0" maxValue="0"/>
    </cacheField>
    <cacheField name="Backorders" numFmtId="0">
      <sharedItems containsSemiMixedTypes="0" containsString="0" containsNumber="1" containsInteger="1" minValue="0" maxValue="608"/>
    </cacheField>
    <cacheField name="Inv Proy Act" numFmtId="0">
      <sharedItems containsSemiMixedTypes="0" containsString="0" containsNumber="1" containsInteger="1" minValue="169" maxValue="754321"/>
    </cacheField>
    <cacheField name="PEDIDCalc" numFmtId="0">
      <sharedItems containsSemiMixedTypes="0" containsString="0" containsNumber="1" containsInteger="1" minValue="0" maxValue="0"/>
    </cacheField>
    <cacheField name="PEDID Real" numFmtId="0">
      <sharedItems containsNonDate="0" containsString="0" containsBlank="1"/>
    </cacheField>
    <cacheField name="PEDID Prom" numFmtId="0">
      <sharedItems containsSemiMixedTypes="0" containsString="0" containsNumber="1" containsInteger="1" minValue="5" maxValue="45948"/>
    </cacheField>
    <cacheField name="T$D" numFmtId="1">
      <sharedItems containsSemiMixedTypes="0" containsString="0" containsNumber="1" minValue="-277.76" maxValue="17087.46"/>
    </cacheField>
    <cacheField name="I$D" numFmtId="1">
      <sharedItems containsSemiMixedTypes="0" containsString="0" containsNumber="1" minValue="0" maxValue="85931.520000000004"/>
    </cacheField>
    <cacheField name="Rentabilid" numFmtId="10">
      <sharedItems containsSemiMixedTypes="0" containsString="0" containsNumber="1" minValue="0" maxValue="8.3778050000000004"/>
    </cacheField>
    <cacheField name="Vel Efect" numFmtId="0">
      <sharedItems containsSemiMixedTypes="0" containsString="0" containsNumber="1" containsInteger="1" minValue="0" maxValue="0"/>
    </cacheField>
    <cacheField name="Servicio" numFmtId="9">
      <sharedItems containsSemiMixedTypes="0" containsString="0" containsNumber="1" containsInteger="1" minValue="1" maxValue="1"/>
    </cacheField>
    <cacheField name="Ult Cambio" numFmtId="0">
      <sharedItems/>
    </cacheField>
    <cacheField name="TipoCompra" numFmtId="0">
      <sharedItems/>
    </cacheField>
    <cacheField name="Consumo" numFmtId="9">
      <sharedItems containsSemiMixedTypes="0" containsString="0" containsNumber="1" minValue="-14.178681771369721" maxValue="1"/>
    </cacheField>
    <cacheField name="Ped Prom" numFmtId="0">
      <sharedItems containsSemiMixedTypes="0" containsString="0" containsNumber="1" containsInteger="1" minValue="0" maxValue="0"/>
    </cacheField>
    <cacheField name="FIN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68">
  <r>
    <x v="0"/>
    <x v="0"/>
    <x v="0"/>
    <s v="COMPRAS-LOCALES.xlsm"/>
    <s v="MP-1130"/>
    <s v="0-20-50 TIPO K-FOL"/>
    <s v="MATERIA PRIMA "/>
    <s v="NUTRICIONAL"/>
    <n v="320"/>
    <m/>
    <m/>
    <m/>
    <n v="1.76"/>
    <n v="0"/>
    <n v="1000000000"/>
    <n v="240"/>
    <n v="50"/>
    <x v="0"/>
    <n v="0.79"/>
    <n v="0"/>
    <m/>
    <n v="0"/>
    <n v="50"/>
    <n v="190"/>
    <m/>
    <n v="241"/>
    <n v="-52.8"/>
    <n v="0"/>
    <n v="0.47"/>
    <n v="-0.02"/>
    <n v="0.80808080808080807"/>
    <d v="2011-10-25T00:00:00"/>
    <x v="0"/>
    <n v="0.79166666666666663"/>
    <n v="0"/>
    <m/>
  </r>
  <r>
    <x v="0"/>
    <x v="0"/>
    <x v="0"/>
    <s v="COMPRAS-LOCALES.xlsm"/>
    <s v="MP-006"/>
    <s v="10 - 15 - 30 - 5 + MICROELEMENTOS  500 G"/>
    <s v="MATERIA PRIMA "/>
    <s v="NUTRICIONAL"/>
    <m/>
    <m/>
    <m/>
    <m/>
    <n v="1.57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02"/>
    <s v="10 - 15 - 30 - 5 + MICROELEMENTOS X KG"/>
    <s v="MATERIA PRIMA "/>
    <s v="NUTRICIONAL"/>
    <m/>
    <m/>
    <m/>
    <m/>
    <n v="1.3"/>
    <n v="0"/>
    <n v="1000000000"/>
    <n v="1064"/>
    <n v="0"/>
    <x v="2"/>
    <n v="1"/>
    <n v="0"/>
    <m/>
    <n v="0"/>
    <n v="0"/>
    <n v="1064"/>
    <m/>
    <n v="1065"/>
    <n v="-461.5"/>
    <n v="0"/>
    <n v="0"/>
    <n v="0"/>
    <n v="2"/>
    <d v="2012-02-10T00:00:00"/>
    <x v="0"/>
    <n v="1"/>
    <n v="0"/>
    <m/>
  </r>
  <r>
    <x v="0"/>
    <x v="0"/>
    <x v="0"/>
    <s v="COMPRAS-LOCALES.xlsm"/>
    <s v="MP-004"/>
    <s v="15 - 40 - 15 - 1 + MICROELEMENTOS X KG"/>
    <s v="MATERIA PRIMA "/>
    <s v="NUTRICIONAL"/>
    <m/>
    <m/>
    <m/>
    <m/>
    <n v="1.5"/>
    <n v="0"/>
    <n v="1000000000"/>
    <n v="800"/>
    <n v="0"/>
    <x v="2"/>
    <n v="1"/>
    <n v="0"/>
    <m/>
    <n v="0"/>
    <n v="0"/>
    <n v="800"/>
    <m/>
    <n v="801"/>
    <n v="-400.5"/>
    <n v="0"/>
    <n v="0"/>
    <n v="-0.01"/>
    <n v="1.4482758620689655"/>
    <d v="2012-01-20T00:00:00"/>
    <x v="0"/>
    <n v="1"/>
    <n v="0"/>
    <m/>
  </r>
  <r>
    <x v="0"/>
    <x v="0"/>
    <x v="0"/>
    <s v="COMPRAS-LOCALES.xlsm"/>
    <s v="MP-262"/>
    <s v="16-16-12 -1B x 500 ml"/>
    <s v="MATERIA PRIMA "/>
    <s v="NUTRICIONAL"/>
    <m/>
    <m/>
    <m/>
    <m/>
    <n v="1.86"/>
    <n v="0"/>
    <n v="1000000000"/>
    <n v="0"/>
    <n v="0"/>
    <x v="1"/>
    <n v="0"/>
    <n v="0"/>
    <m/>
    <n v="0"/>
    <n v="0"/>
    <n v="0"/>
    <n v="0"/>
    <n v="1"/>
    <n v="0"/>
    <n v="0"/>
    <n v="0"/>
    <n v="-0.08"/>
    <n v="0"/>
    <d v="1899-12-30T00:00:00"/>
    <x v="0"/>
    <s v=""/>
    <n v="0"/>
    <m/>
  </r>
  <r>
    <x v="0"/>
    <x v="0"/>
    <x v="0"/>
    <s v="COMPRAS-LOCALES.xlsm"/>
    <s v="MP-578"/>
    <s v="16-16-12+ 1B X 5 GALO"/>
    <s v="MATERIA PRIMA "/>
    <s v="NUTRICIONAL"/>
    <m/>
    <m/>
    <m/>
    <m/>
    <n v="60.31"/>
    <n v="0.01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621"/>
    <s v="16-16-12+ B X LT"/>
    <s v="MATERIA PRIMA "/>
    <s v="NUTRICIONAL"/>
    <m/>
    <m/>
    <m/>
    <m/>
    <n v="2.6"/>
    <n v="0"/>
    <n v="1000000000"/>
    <n v="798"/>
    <n v="316.5"/>
    <x v="3"/>
    <n v="0.6"/>
    <n v="0"/>
    <m/>
    <n v="0"/>
    <n v="316.5"/>
    <n v="481.5"/>
    <m/>
    <n v="799"/>
    <n v="0"/>
    <n v="0"/>
    <n v="3.65"/>
    <n v="-0.02"/>
    <n v="1.0797477211739399"/>
    <d v="2012-02-01T00:00:00"/>
    <x v="0"/>
    <n v="0.60338345864661658"/>
    <n v="0"/>
    <m/>
  </r>
  <r>
    <x v="0"/>
    <x v="0"/>
    <x v="0"/>
    <s v="COMPRAS-LOCALES.xlsm"/>
    <s v="MP-1266"/>
    <s v="16-16-12+1B X GALON"/>
    <s v="MATERIA PRIMA "/>
    <s v="NUTRICIONAL"/>
    <m/>
    <m/>
    <m/>
    <m/>
    <n v="11.7"/>
    <n v="0"/>
    <n v="1000000000"/>
    <n v="0"/>
    <n v="20"/>
    <x v="1"/>
    <n v="0"/>
    <n v="0"/>
    <m/>
    <n v="0"/>
    <n v="2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03"/>
    <s v="20 - 20 - 20 - 1 + MICROELEMENTOS X KG"/>
    <s v="MATERIA PRIMA "/>
    <s v="NUTRICIONAL"/>
    <n v="1064"/>
    <m/>
    <m/>
    <m/>
    <n v="1.56"/>
    <n v="0"/>
    <n v="1000000000"/>
    <n v="800"/>
    <n v="1"/>
    <x v="0"/>
    <n v="1"/>
    <n v="0"/>
    <m/>
    <n v="0"/>
    <n v="1"/>
    <n v="799"/>
    <m/>
    <n v="801"/>
    <n v="-414.96000000000004"/>
    <n v="0"/>
    <n v="0"/>
    <n v="-7.0000000000000007E-2"/>
    <n v="1.0012515644555695"/>
    <d v="2012-01-20T00:00:00"/>
    <x v="0"/>
    <n v="0.99875000000000003"/>
    <n v="0"/>
    <m/>
  </r>
  <r>
    <x v="0"/>
    <x v="0"/>
    <x v="0"/>
    <s v="COMPRAS-LOCALES.xlsm"/>
    <s v="MP-001"/>
    <s v="30 - 10 - 10 - 2 + MICROELEMENTOS X KG"/>
    <s v="MATERIA PRIMA "/>
    <s v="NUTRICIONAL"/>
    <n v="1064"/>
    <m/>
    <m/>
    <m/>
    <n v="1.3"/>
    <n v="0"/>
    <n v="1000000000"/>
    <n v="800"/>
    <n v="0"/>
    <x v="2"/>
    <n v="1"/>
    <n v="0"/>
    <m/>
    <n v="0"/>
    <n v="0"/>
    <n v="800"/>
    <n v="0"/>
    <n v="801"/>
    <n v="-347.1"/>
    <n v="0"/>
    <n v="0"/>
    <n v="0"/>
    <n v="1.875"/>
    <d v="2012-01-20T00:00:00"/>
    <x v="0"/>
    <n v="1"/>
    <n v="0"/>
    <m/>
  </r>
  <r>
    <x v="0"/>
    <x v="0"/>
    <x v="0"/>
    <s v="COMPRAS-LOCALES.xlsm"/>
    <s v="MP-011"/>
    <s v="35 -  25 - 20 + MICRO + GA3 + AUXINAS + VITAMINAS"/>
    <s v="MATERIA PRIMA "/>
    <s v="NUTRICIONAL"/>
    <m/>
    <m/>
    <m/>
    <m/>
    <n v="1.56"/>
    <n v="0"/>
    <n v="1000000000"/>
    <n v="0"/>
    <n v="0.1"/>
    <x v="1"/>
    <n v="0"/>
    <n v="0"/>
    <m/>
    <n v="0"/>
    <n v="0.1"/>
    <n v="0"/>
    <n v="0"/>
    <n v="1"/>
    <n v="0"/>
    <n v="0"/>
    <n v="0"/>
    <n v="-7.0000000000000007E-2"/>
    <n v="0"/>
    <d v="1899-12-30T00:00:00"/>
    <x v="0"/>
    <s v=""/>
    <n v="0"/>
    <m/>
  </r>
  <r>
    <x v="0"/>
    <x v="0"/>
    <x v="0"/>
    <s v="COMPRAS-LOCALES.xlsm"/>
    <s v="G-005"/>
    <s v="ABUNDANCE PLUS X LITRO"/>
    <s v="MATERIA PRIMA "/>
    <s v="NUTRICIONAL"/>
    <m/>
    <m/>
    <m/>
    <m/>
    <n v="37.57"/>
    <n v="0"/>
    <n v="1000000000"/>
    <n v="0"/>
    <n v="30"/>
    <x v="1"/>
    <n v="0"/>
    <n v="0"/>
    <m/>
    <n v="0"/>
    <n v="3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94589"/>
    <s v="ACIDO GIBERELICO X KILO"/>
    <s v="MATERIA PRIMA "/>
    <s v="NUTRICIONAL"/>
    <m/>
    <m/>
    <m/>
    <m/>
    <n v="49"/>
    <n v="0"/>
    <n v="1000000000"/>
    <n v="27"/>
    <n v="25"/>
    <x v="4"/>
    <n v="7.0000000000000007E-2"/>
    <n v="0"/>
    <m/>
    <n v="0"/>
    <n v="25"/>
    <n v="2"/>
    <m/>
    <n v="28"/>
    <n v="0"/>
    <n v="0"/>
    <n v="0"/>
    <n v="-0.43"/>
    <n v="0.57446225885510083"/>
    <d v="2012-02-10T00:00:00"/>
    <x v="0"/>
    <n v="7.407407407407407E-2"/>
    <n v="0"/>
    <m/>
  </r>
  <r>
    <x v="0"/>
    <x v="0"/>
    <x v="0"/>
    <s v="COMPRAS-LOCALES.xlsm"/>
    <s v="MP-022"/>
    <s v="ACIDOS HUMICOS , FULVICOS + AMINOACIDOS"/>
    <s v="MATERIA PRIMA "/>
    <s v="NUTRICIONAL"/>
    <m/>
    <m/>
    <m/>
    <m/>
    <n v="2.4"/>
    <n v="0"/>
    <n v="1000000000"/>
    <n v="235"/>
    <n v="174.8"/>
    <x v="4"/>
    <n v="0.26"/>
    <n v="0"/>
    <m/>
    <n v="0"/>
    <n v="174.8"/>
    <n v="60.2"/>
    <m/>
    <n v="236"/>
    <n v="0"/>
    <n v="0"/>
    <n v="6.62"/>
    <n v="0"/>
    <n v="0.98534234198269044"/>
    <d v="2012-01-12T00:00:00"/>
    <x v="0"/>
    <n v="0.25617021276595742"/>
    <n v="0"/>
    <m/>
  </r>
  <r>
    <x v="0"/>
    <x v="0"/>
    <x v="0"/>
    <s v="COMPRAS-LOCALES.xlsm"/>
    <s v="MP-0221"/>
    <s v="ACIDOS HUMICOS, FULVICOS + AMINOACIDOS X 20 LITROS"/>
    <s v="MATERIA PRIMA "/>
    <s v="NUTRICIONAL"/>
    <m/>
    <m/>
    <m/>
    <m/>
    <n v="48"/>
    <n v="0"/>
    <n v="1000000000"/>
    <n v="0"/>
    <n v="5"/>
    <x v="1"/>
    <n v="0"/>
    <n v="0"/>
    <m/>
    <n v="0"/>
    <n v="5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G-003"/>
    <s v="ALG - VIRABLOCK X LT"/>
    <s v="MATERIA PRIMA "/>
    <s v="NUTRICIONAL"/>
    <m/>
    <m/>
    <m/>
    <m/>
    <n v="62.27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71"/>
    <s v="BISPIRIBAC SODIUM 40% SC X 100 ML"/>
    <s v="TERMINADO "/>
    <s v="HERBICIDAS"/>
    <m/>
    <m/>
    <m/>
    <m/>
    <n v="13"/>
    <n v="0"/>
    <n v="1000000000"/>
    <n v="1769"/>
    <n v="0"/>
    <x v="2"/>
    <n v="1"/>
    <n v="0"/>
    <m/>
    <n v="0"/>
    <n v="0"/>
    <n v="1769"/>
    <m/>
    <n v="1770"/>
    <n v="-7670"/>
    <n v="0"/>
    <n v="0"/>
    <n v="-0.09"/>
    <n v="0.94881516587677728"/>
    <d v="2012-02-10T00:00:00"/>
    <x v="0"/>
    <n v="1"/>
    <n v="0"/>
    <m/>
  </r>
  <r>
    <x v="0"/>
    <x v="0"/>
    <x v="0"/>
    <s v="COMPRAS-LOCALES.xlsm"/>
    <s v="G-006"/>
    <s v="BSK 100 X 200 LT"/>
    <s v="MATERIA PRIMA "/>
    <s v="NUTRICIONAL"/>
    <m/>
    <m/>
    <m/>
    <m/>
    <n v="5100"/>
    <n v="0"/>
    <n v="1000000000"/>
    <n v="0"/>
    <n v="1.44"/>
    <x v="1"/>
    <n v="0"/>
    <n v="0"/>
    <m/>
    <n v="0"/>
    <n v="1.44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262"/>
    <s v="CA 16-16-12  + B"/>
    <s v="MATERIA PRIMA "/>
    <s v="NUTRICIONAL"/>
    <m/>
    <m/>
    <m/>
    <m/>
    <n v="3.28"/>
    <n v="0"/>
    <n v="1000000000"/>
    <n v="0"/>
    <n v="0"/>
    <x v="1"/>
    <n v="0"/>
    <n v="0"/>
    <m/>
    <n v="0"/>
    <n v="0"/>
    <n v="0"/>
    <n v="300"/>
    <n v="1"/>
    <n v="0"/>
    <n v="0"/>
    <n v="0"/>
    <n v="-0.15"/>
    <n v="0.40950157344432037"/>
    <d v="1899-12-30T00:00:00"/>
    <x v="0"/>
    <s v=""/>
    <n v="0"/>
    <m/>
  </r>
  <r>
    <x v="0"/>
    <x v="0"/>
    <x v="0"/>
    <s v="COMPRAS-LOCALES.xlsm"/>
    <s v="C-007"/>
    <s v="CAJA 100 ML"/>
    <s v="MATERIA PRIMA "/>
    <s v="PRODUCCION"/>
    <m/>
    <m/>
    <m/>
    <m/>
    <n v="0.35"/>
    <n v="0"/>
    <n v="1000000000"/>
    <n v="500"/>
    <n v="247"/>
    <x v="3"/>
    <n v="0.51"/>
    <n v="0"/>
    <m/>
    <n v="0"/>
    <n v="247"/>
    <n v="253"/>
    <m/>
    <n v="501"/>
    <n v="0"/>
    <n v="0"/>
    <n v="0"/>
    <n v="0"/>
    <n v="1.7668441964663113E-2"/>
    <d v="2011-12-20T00:00:00"/>
    <x v="0"/>
    <n v="0.50600000000000001"/>
    <n v="0"/>
    <m/>
  </r>
  <r>
    <x v="0"/>
    <x v="0"/>
    <x v="0"/>
    <s v="COMPRAS-LOCALES.xlsm"/>
    <s v="C-009"/>
    <s v="CAJA 250 ML"/>
    <s v="MATERIA PRIMA "/>
    <s v="PRODUCCION"/>
    <m/>
    <m/>
    <m/>
    <m/>
    <n v="0.5"/>
    <n v="0"/>
    <n v="1000000000"/>
    <n v="640"/>
    <n v="988"/>
    <x v="5"/>
    <n v="-0.54"/>
    <n v="0"/>
    <m/>
    <n v="0"/>
    <n v="988"/>
    <n v="0"/>
    <m/>
    <n v="641"/>
    <n v="0"/>
    <n v="174"/>
    <n v="0"/>
    <n v="0"/>
    <n v="0"/>
    <d v="2011-10-25T00:00:00"/>
    <x v="0"/>
    <n v="-0.54374999999999996"/>
    <n v="0"/>
    <m/>
  </r>
  <r>
    <x v="0"/>
    <x v="0"/>
    <x v="0"/>
    <s v="COMPRAS-LOCALES.xlsm"/>
    <s v="C-0010"/>
    <s v="CAJA 500 ML"/>
    <s v="MATERIA PRIMA "/>
    <s v="PRODUCCION"/>
    <m/>
    <m/>
    <m/>
    <m/>
    <n v="0.81"/>
    <n v="0"/>
    <n v="1000000000"/>
    <n v="640"/>
    <n v="1172"/>
    <x v="5"/>
    <n v="-0.83"/>
    <n v="0"/>
    <m/>
    <n v="0"/>
    <n v="1172"/>
    <n v="0"/>
    <m/>
    <n v="641"/>
    <n v="0"/>
    <n v="430.92"/>
    <n v="0"/>
    <n v="0"/>
    <n v="0"/>
    <d v="2011-10-25T00:00:00"/>
    <x v="0"/>
    <n v="-0.83125000000000004"/>
    <n v="0"/>
    <m/>
  </r>
  <r>
    <x v="0"/>
    <x v="0"/>
    <x v="0"/>
    <s v="COMPRAS-LOCALES.xlsm"/>
    <s v="P-007"/>
    <s v="CAJA COMBO ARROZ DESARROLLO"/>
    <s v="MATERIA PRIMA "/>
    <s v="PRODUCCION"/>
    <m/>
    <m/>
    <m/>
    <m/>
    <n v="0.75"/>
    <n v="0"/>
    <n v="1000000000"/>
    <n v="400"/>
    <n v="1645"/>
    <x v="5"/>
    <n v="-3.11"/>
    <n v="0"/>
    <m/>
    <n v="0"/>
    <n v="1645"/>
    <n v="0"/>
    <m/>
    <n v="401"/>
    <n v="0"/>
    <n v="933.75"/>
    <n v="0"/>
    <n v="0"/>
    <n v="0"/>
    <d v="2011-06-10T00:00:00"/>
    <x v="0"/>
    <n v="-3.1124999999999998"/>
    <n v="0"/>
    <m/>
  </r>
  <r>
    <x v="0"/>
    <x v="0"/>
    <x v="0"/>
    <s v="COMPRAS-LOCALES.xlsm"/>
    <s v="P-0014"/>
    <s v="CAJA COMBO ARROZ ENGROSE"/>
    <s v="MATERIA PRIMA "/>
    <s v="PRODUCCION"/>
    <m/>
    <m/>
    <m/>
    <m/>
    <n v="0.66"/>
    <n v="0"/>
    <n v="1000000000"/>
    <n v="480"/>
    <n v="551"/>
    <x v="5"/>
    <n v="-0.15"/>
    <n v="0"/>
    <m/>
    <n v="0"/>
    <n v="551"/>
    <n v="0"/>
    <m/>
    <n v="481"/>
    <n v="0"/>
    <n v="46.86"/>
    <n v="0"/>
    <n v="0"/>
    <n v="0"/>
    <d v="2011-10-25T00:00:00"/>
    <x v="0"/>
    <n v="-0.14791666666666667"/>
    <n v="0"/>
    <m/>
  </r>
  <r>
    <x v="0"/>
    <x v="0"/>
    <x v="0"/>
    <s v="COMPRAS-LOCALES.xlsm"/>
    <s v="P-0010"/>
    <s v="CAJA COMBO ARROZ INICIAL"/>
    <s v="MATERIA PRIMA "/>
    <s v="PRODUCCION"/>
    <m/>
    <m/>
    <m/>
    <m/>
    <n v="0.94"/>
    <n v="0"/>
    <n v="1000000000"/>
    <n v="800"/>
    <n v="1083"/>
    <x v="5"/>
    <n v="-0.35"/>
    <n v="0"/>
    <m/>
    <n v="0"/>
    <n v="1083"/>
    <n v="0"/>
    <m/>
    <n v="801"/>
    <n v="0"/>
    <n v="266.02"/>
    <n v="0"/>
    <n v="-0.01"/>
    <n v="0"/>
    <d v="2011-10-25T00:00:00"/>
    <x v="0"/>
    <n v="-0.35375000000000001"/>
    <n v="0"/>
    <m/>
  </r>
  <r>
    <x v="0"/>
    <x v="0"/>
    <x v="0"/>
    <s v="COMPRAS-LOCALES.xlsm"/>
    <s v="P-006"/>
    <s v="CAJA COMBO ARROZ TOTAL"/>
    <s v="MATERIA PRIMA "/>
    <s v="PRODUCCION"/>
    <m/>
    <m/>
    <m/>
    <m/>
    <n v="0.5"/>
    <n v="0"/>
    <n v="1000000000"/>
    <n v="800"/>
    <n v="3787"/>
    <x v="5"/>
    <n v="-3.73"/>
    <n v="0"/>
    <m/>
    <n v="0"/>
    <n v="3787"/>
    <n v="0"/>
    <m/>
    <n v="801"/>
    <n v="0"/>
    <n v="1493.5"/>
    <n v="0"/>
    <n v="0"/>
    <n v="0"/>
    <d v="2011-10-25T00:00:00"/>
    <x v="0"/>
    <n v="-3.7337500000000001"/>
    <n v="187.5"/>
    <m/>
  </r>
  <r>
    <x v="0"/>
    <x v="0"/>
    <x v="0"/>
    <s v="COMPRAS-LOCALES.xlsm"/>
    <s v="P-0012"/>
    <s v="CAJA COMBO CACAO FLORACION"/>
    <s v="MATERIA PRIMA "/>
    <s v="PRODUCCION"/>
    <m/>
    <m/>
    <m/>
    <m/>
    <n v="0.91"/>
    <n v="0"/>
    <n v="1000000000"/>
    <n v="1032"/>
    <n v="1630"/>
    <x v="5"/>
    <n v="-0.57999999999999996"/>
    <n v="0"/>
    <m/>
    <n v="0"/>
    <n v="1630"/>
    <n v="0"/>
    <m/>
    <n v="1033"/>
    <n v="0"/>
    <n v="544.18000000000006"/>
    <n v="0"/>
    <n v="-0.01"/>
    <n v="0.96832579185520362"/>
    <d v="2011-10-25T00:00:00"/>
    <x v="0"/>
    <n v="-0.5794573643410853"/>
    <n v="0"/>
    <m/>
  </r>
  <r>
    <x v="0"/>
    <x v="0"/>
    <x v="0"/>
    <s v="COMPRAS-LOCALES.xlsm"/>
    <s v="P-0016"/>
    <s v="CAJA COMBO CACAO INICIO"/>
    <s v="MATERIA PRIMA "/>
    <s v="PRODUCCION"/>
    <m/>
    <m/>
    <m/>
    <m/>
    <n v="0.91"/>
    <n v="0"/>
    <n v="1000000000"/>
    <n v="400"/>
    <n v="2305"/>
    <x v="5"/>
    <n v="-4.76"/>
    <n v="0"/>
    <m/>
    <n v="0"/>
    <n v="2305"/>
    <n v="0"/>
    <m/>
    <n v="401"/>
    <n v="0"/>
    <n v="1733.55"/>
    <n v="0"/>
    <n v="-0.01"/>
    <n v="2.471604938271605"/>
    <d v="2011-10-25T00:00:00"/>
    <x v="0"/>
    <n v="-4.7625000000000002"/>
    <n v="0"/>
    <m/>
  </r>
  <r>
    <x v="0"/>
    <x v="0"/>
    <x v="0"/>
    <s v="COMPRAS-LOCALES.xlsm"/>
    <s v="MP-558"/>
    <s v="CAJA COMBO FRESA"/>
    <s v="MATERIA PRIMA "/>
    <s v="PRODUCCION"/>
    <m/>
    <m/>
    <m/>
    <m/>
    <n v="0.98"/>
    <n v="0"/>
    <n v="1000000000"/>
    <n v="160"/>
    <n v="900"/>
    <x v="5"/>
    <n v="-4.63"/>
    <n v="0"/>
    <m/>
    <n v="0"/>
    <n v="900"/>
    <n v="0"/>
    <m/>
    <n v="161"/>
    <n v="0"/>
    <n v="725.19999999999993"/>
    <n v="0"/>
    <n v="0"/>
    <n v="0"/>
    <d v="2011-10-25T00:00:00"/>
    <x v="0"/>
    <n v="-4.625"/>
    <n v="25"/>
    <m/>
  </r>
  <r>
    <x v="0"/>
    <x v="0"/>
    <x v="0"/>
    <s v="COMPRAS-LOCALES.xlsm"/>
    <s v="P-005"/>
    <s v="CAJA COMBO INSECTICIDA"/>
    <s v="MATERIA PRIMA "/>
    <s v="PRODUCCION"/>
    <m/>
    <m/>
    <m/>
    <m/>
    <n v="0.66"/>
    <n v="0"/>
    <n v="1000000000"/>
    <n v="0"/>
    <n v="875"/>
    <x v="1"/>
    <n v="0"/>
    <n v="0"/>
    <m/>
    <n v="0"/>
    <n v="875"/>
    <n v="0"/>
    <m/>
    <n v="1"/>
    <n v="0"/>
    <n v="0"/>
    <n v="0"/>
    <n v="0"/>
    <n v="0"/>
    <d v="1899-12-30T00:00:00"/>
    <x v="0"/>
    <s v=""/>
    <n v="37.5"/>
    <m/>
  </r>
  <r>
    <x v="0"/>
    <x v="0"/>
    <x v="0"/>
    <s v="COMPRAS-LOCALES.xlsm"/>
    <s v="P-0013"/>
    <s v="CAJA COMBO MARACUYA"/>
    <s v="MATERIA PRIMA "/>
    <s v="PRODUCCION"/>
    <m/>
    <m/>
    <m/>
    <m/>
    <n v="0.74"/>
    <n v="0"/>
    <n v="1000000000"/>
    <n v="400"/>
    <n v="375"/>
    <x v="4"/>
    <n v="0.06"/>
    <n v="0"/>
    <m/>
    <n v="0"/>
    <n v="375"/>
    <n v="25"/>
    <m/>
    <n v="401"/>
    <n v="0"/>
    <n v="0"/>
    <n v="0"/>
    <n v="0"/>
    <n v="0.16666666666666666"/>
    <d v="2011-10-25T00:00:00"/>
    <x v="0"/>
    <n v="6.25E-2"/>
    <n v="75"/>
    <m/>
  </r>
  <r>
    <x v="0"/>
    <x v="0"/>
    <x v="0"/>
    <s v="COMPRAS-LOCALES.xlsm"/>
    <s v="P-004"/>
    <s v="CAJA COMBO MASTER ENGROSE"/>
    <s v="MATERIA PRIMA "/>
    <s v="PRODUCCION"/>
    <m/>
    <m/>
    <m/>
    <m/>
    <n v="0.86"/>
    <n v="0"/>
    <n v="1000000000"/>
    <n v="200"/>
    <n v="940"/>
    <x v="5"/>
    <n v="-3.7"/>
    <n v="0"/>
    <m/>
    <n v="0"/>
    <n v="940"/>
    <n v="0"/>
    <m/>
    <n v="201"/>
    <n v="0"/>
    <n v="636.4"/>
    <n v="0"/>
    <n v="0"/>
    <n v="0"/>
    <d v="2011-10-25T00:00:00"/>
    <x v="0"/>
    <n v="-3.7"/>
    <n v="0"/>
    <m/>
  </r>
  <r>
    <x v="0"/>
    <x v="0"/>
    <x v="0"/>
    <s v="COMPRAS-LOCALES.xlsm"/>
    <s v="P-003"/>
    <s v="CAJA COMBO MASTER INICIAL"/>
    <s v="MATERIA PRIMA "/>
    <s v="PRODUCCION"/>
    <m/>
    <m/>
    <m/>
    <m/>
    <n v="0.86"/>
    <n v="0"/>
    <n v="1000000000"/>
    <n v="108"/>
    <n v="124"/>
    <x v="5"/>
    <n v="-0.15"/>
    <n v="0"/>
    <m/>
    <n v="0"/>
    <n v="124"/>
    <n v="0"/>
    <m/>
    <n v="109"/>
    <n v="0"/>
    <n v="13.76"/>
    <n v="0"/>
    <n v="0"/>
    <n v="0.82857142857142851"/>
    <d v="2011-11-22T00:00:00"/>
    <x v="0"/>
    <n v="-0.14814814814814814"/>
    <n v="37.5"/>
    <m/>
  </r>
  <r>
    <x v="0"/>
    <x v="0"/>
    <x v="0"/>
    <s v="COMPRAS-LOCALES.xlsm"/>
    <s v="P-0011"/>
    <s v="CAJA COMBO MONILIA"/>
    <s v="MATERIA PRIMA "/>
    <s v="PRODUCCION"/>
    <m/>
    <m/>
    <m/>
    <m/>
    <n v="0.83"/>
    <n v="0"/>
    <n v="1000000000"/>
    <n v="1440"/>
    <n v="2545"/>
    <x v="5"/>
    <n v="-0.77"/>
    <n v="0"/>
    <m/>
    <n v="0"/>
    <n v="2545"/>
    <n v="0"/>
    <m/>
    <n v="2000"/>
    <n v="0"/>
    <n v="917.15"/>
    <n v="0"/>
    <n v="-0.01"/>
    <n v="0.91666666666666663"/>
    <d v="2011-11-22T00:00:00"/>
    <x v="0"/>
    <n v="-0.76736111111111116"/>
    <n v="0"/>
    <m/>
  </r>
  <r>
    <x v="0"/>
    <x v="0"/>
    <x v="0"/>
    <s v="COMPRAS-LOCALES.xlsm"/>
    <s v="P-009"/>
    <s v="CAJA COMBO PAPAYA"/>
    <s v="MATERIA PRIMA "/>
    <s v="PRODUCCION"/>
    <m/>
    <m/>
    <m/>
    <m/>
    <n v="0.88"/>
    <n v="0"/>
    <n v="1000000000"/>
    <n v="150"/>
    <n v="1925"/>
    <x v="5"/>
    <n v="-11.83"/>
    <n v="0"/>
    <m/>
    <n v="0"/>
    <n v="1925"/>
    <n v="0"/>
    <m/>
    <n v="151"/>
    <n v="0"/>
    <n v="1562"/>
    <n v="0"/>
    <n v="0"/>
    <n v="0"/>
    <d v="2011-10-25T00:00:00"/>
    <x v="0"/>
    <n v="-11.833333333333334"/>
    <n v="75"/>
    <m/>
  </r>
  <r>
    <x v="0"/>
    <x v="0"/>
    <x v="0"/>
    <s v="COMPRAS-LOCALES.xlsm"/>
    <s v="P-001"/>
    <s v="CAJA COMBO PRO"/>
    <s v="MATERIA PRIMA "/>
    <s v="PRODUCCION"/>
    <m/>
    <m/>
    <m/>
    <m/>
    <n v="1.1499999999999999"/>
    <n v="0"/>
    <n v="1000000000"/>
    <n v="250"/>
    <n v="750"/>
    <x v="5"/>
    <n v="-2"/>
    <n v="0"/>
    <m/>
    <n v="0"/>
    <n v="750"/>
    <n v="0"/>
    <m/>
    <n v="251"/>
    <n v="0"/>
    <n v="575"/>
    <n v="0"/>
    <n v="0"/>
    <n v="0"/>
    <d v="1899-12-30T00:00:00"/>
    <x v="0"/>
    <n v="-2"/>
    <n v="0"/>
    <m/>
  </r>
  <r>
    <x v="0"/>
    <x v="0"/>
    <x v="0"/>
    <s v="COMPRAS-LOCALES.xlsm"/>
    <s v="P-0015"/>
    <s v="CAJA COMBO RAIZ ROSADA"/>
    <s v="MATERIA PRIMA "/>
    <s v="PRODUCCION"/>
    <m/>
    <m/>
    <m/>
    <m/>
    <n v="0.64"/>
    <n v="7.0000000000000007E-2"/>
    <n v="1000000000"/>
    <n v="200"/>
    <n v="279"/>
    <x v="5"/>
    <n v="-0.4"/>
    <n v="0"/>
    <m/>
    <n v="0"/>
    <n v="279"/>
    <n v="0"/>
    <m/>
    <n v="201"/>
    <n v="0"/>
    <n v="50.56"/>
    <n v="0"/>
    <n v="0"/>
    <n v="0"/>
    <d v="1899-12-30T00:00:00"/>
    <x v="1"/>
    <n v="-0.39500000000000002"/>
    <e v="#N/A"/>
    <m/>
  </r>
  <r>
    <x v="0"/>
    <x v="0"/>
    <x v="0"/>
    <s v="COMPRAS-LOCALES.xlsm"/>
    <s v="MP-01945"/>
    <s v="CAJA GREEN GIBB X 15 UNID"/>
    <s v="MATERIA PRIMA "/>
    <s v="PRODUCCION"/>
    <m/>
    <m/>
    <m/>
    <m/>
    <n v="0.57999999999999996"/>
    <n v="0"/>
    <n v="1000000000"/>
    <n v="100"/>
    <n v="294"/>
    <x v="5"/>
    <n v="-1.94"/>
    <n v="0"/>
    <m/>
    <n v="0"/>
    <n v="294"/>
    <n v="0"/>
    <m/>
    <n v="101"/>
    <n v="0"/>
    <n v="112.52"/>
    <n v="0"/>
    <n v="-0.01"/>
    <n v="0"/>
    <d v="1899-12-30T00:00:00"/>
    <x v="0"/>
    <n v="-1.94"/>
    <n v="0"/>
    <m/>
  </r>
  <r>
    <x v="0"/>
    <x v="0"/>
    <x v="0"/>
    <s v="COMPRAS-LOCALES.xlsm"/>
    <s v="C-008"/>
    <s v="CAJA LITRO"/>
    <s v="MATERIA PRIMA "/>
    <s v="PRODUCCION"/>
    <m/>
    <m/>
    <m/>
    <m/>
    <n v="0.81"/>
    <n v="0"/>
    <n v="1000000000"/>
    <n v="800"/>
    <n v="706"/>
    <x v="4"/>
    <n v="0.12"/>
    <n v="0"/>
    <m/>
    <n v="0"/>
    <n v="706"/>
    <n v="94"/>
    <m/>
    <n v="801"/>
    <n v="0"/>
    <n v="0"/>
    <n v="0"/>
    <n v="0"/>
    <n v="1.0394736842105263"/>
    <d v="2011-10-25T00:00:00"/>
    <x v="0"/>
    <n v="0.11749999999999999"/>
    <n v="0"/>
    <m/>
  </r>
  <r>
    <x v="0"/>
    <x v="0"/>
    <x v="0"/>
    <s v="COMPRAS-LOCALES.xlsm"/>
    <s v="MP-020"/>
    <s v="CALCIO 6 % / BORO 3 %"/>
    <s v="MATERIA PRIMA "/>
    <s v="NUTRICIONAL"/>
    <m/>
    <m/>
    <m/>
    <m/>
    <n v="467.57"/>
    <n v="0"/>
    <n v="1000000000"/>
    <n v="3"/>
    <n v="2.0949"/>
    <x v="4"/>
    <n v="0.3"/>
    <n v="0"/>
    <m/>
    <n v="0"/>
    <n v="2.0949"/>
    <n v="0.91"/>
    <m/>
    <n v="4"/>
    <n v="0"/>
    <n v="0"/>
    <n v="7.26"/>
    <n v="-4.07"/>
    <n v="88.912439347154816"/>
    <d v="2012-01-12T00:00:00"/>
    <x v="0"/>
    <n v="0.30170000000000002"/>
    <n v="0"/>
    <m/>
  </r>
  <r>
    <x v="0"/>
    <x v="0"/>
    <x v="0"/>
    <s v="COMPRAS-LOCALES.xlsm"/>
    <s v="MP-034"/>
    <s v="CLOROTALONIL 72 % SC"/>
    <s v="MATERIA PRIMA "/>
    <s v="FUNGICIDAS"/>
    <m/>
    <m/>
    <m/>
    <m/>
    <n v="1200"/>
    <n v="0"/>
    <n v="1000000000"/>
    <n v="5"/>
    <n v="2.3635000000000002"/>
    <x v="3"/>
    <n v="0.53"/>
    <n v="0"/>
    <m/>
    <n v="0"/>
    <n v="2.3635000000000002"/>
    <n v="2.64"/>
    <m/>
    <n v="6"/>
    <n v="0"/>
    <n v="0"/>
    <n v="1.42"/>
    <n v="0"/>
    <n v="0.87825325325325332"/>
    <d v="2012-01-27T00:00:00"/>
    <x v="0"/>
    <n v="0.52729999999999999"/>
    <n v="0"/>
    <m/>
  </r>
  <r>
    <x v="0"/>
    <x v="0"/>
    <x v="0"/>
    <s v="COMPRAS-LOCALES.xlsm"/>
    <s v="MP-403"/>
    <s v="DIFENOCONAZOLE 25 % EC x 20 LT"/>
    <s v="MATERIA PRIMA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82"/>
    <s v="DIFENOCONAZOLE COEX x LT"/>
    <s v="MATERIA PRIMA "/>
    <s v="FUNGICIDAS"/>
    <m/>
    <m/>
    <m/>
    <m/>
    <n v="24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21"/>
    <s v="ENVASE AGROBALA 1/2 LITRO"/>
    <s v="MATERIA PRIMA "/>
    <s v="PRODUCCION"/>
    <m/>
    <m/>
    <m/>
    <m/>
    <n v="0.31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22"/>
    <s v="ENVASE AGROBALA 1/4 LITRO"/>
    <s v="MATERIA PRIMA "/>
    <s v="PRODUCCION"/>
    <m/>
    <m/>
    <m/>
    <m/>
    <n v="0.27"/>
    <n v="0"/>
    <n v="1000000000"/>
    <n v="0"/>
    <n v="1"/>
    <x v="1"/>
    <n v="0"/>
    <n v="0"/>
    <m/>
    <n v="0"/>
    <n v="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20"/>
    <s v="ENVASE AGROBALA LITRO"/>
    <s v="MATERIA PRIMA 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P-008"/>
    <s v="ENVASE AGROBALA VERDE X 500 ML"/>
    <s v="MATERIA PRIMA "/>
    <s v="PRODUCCION"/>
    <m/>
    <m/>
    <m/>
    <m/>
    <n v="0.37"/>
    <n v="0"/>
    <n v="1000000000"/>
    <n v="2128"/>
    <n v="3563"/>
    <x v="5"/>
    <n v="-0.67"/>
    <n v="0"/>
    <m/>
    <n v="0"/>
    <n v="3563"/>
    <n v="0"/>
    <m/>
    <n v="2129"/>
    <n v="0"/>
    <n v="530.95000000000005"/>
    <n v="28.94"/>
    <n v="0"/>
    <n v="2.030775075987842"/>
    <d v="2011-10-25T00:00:00"/>
    <x v="0"/>
    <n v="-0.67434210526315785"/>
    <n v="0"/>
    <m/>
  </r>
  <r>
    <x v="0"/>
    <x v="0"/>
    <x v="0"/>
    <s v="COMPRAS-LOCALES.xlsm"/>
    <s v="MP-250"/>
    <s v="ENVASE AGROBALA VERDE X LITRO"/>
    <s v="MATERIA PRIMA "/>
    <s v="PRODUCCION"/>
    <m/>
    <m/>
    <m/>
    <m/>
    <n v="0.64"/>
    <n v="0"/>
    <n v="1000000000"/>
    <n v="800"/>
    <n v="539"/>
    <x v="4"/>
    <n v="0.33"/>
    <n v="0"/>
    <m/>
    <n v="0"/>
    <n v="539"/>
    <n v="261"/>
    <m/>
    <n v="801"/>
    <n v="0"/>
    <n v="0"/>
    <n v="50.73"/>
    <n v="0"/>
    <n v="0"/>
    <d v="2011-10-25T00:00:00"/>
    <x v="1"/>
    <n v="0.32624999999999998"/>
    <e v="#N/A"/>
    <m/>
  </r>
  <r>
    <x v="0"/>
    <x v="0"/>
    <x v="0"/>
    <s v="COMPRAS-LOCALES.xlsm"/>
    <s v="MP-219"/>
    <s v="ENVASE AGROGALON"/>
    <s v="MATERIA PRIMA "/>
    <s v="PRODUCCION"/>
    <m/>
    <m/>
    <m/>
    <m/>
    <n v="1.1398999999999999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23"/>
    <s v="ENVASE FARMACEUTICO 120 ML"/>
    <s v="MATERIA PRIMA "/>
    <s v="PRODUCCION"/>
    <m/>
    <m/>
    <m/>
    <m/>
    <n v="0.15"/>
    <n v="0"/>
    <n v="1000000000"/>
    <n v="8500"/>
    <n v="4039"/>
    <x v="3"/>
    <n v="0.52"/>
    <n v="0"/>
    <m/>
    <n v="0"/>
    <n v="4039"/>
    <n v="4461"/>
    <m/>
    <n v="8501"/>
    <n v="0"/>
    <n v="0"/>
    <n v="14.39"/>
    <n v="0"/>
    <n v="0.75446515142396697"/>
    <d v="2011-10-25T00:00:00"/>
    <x v="0"/>
    <n v="0.52482352941176469"/>
    <n v="0"/>
    <m/>
  </r>
  <r>
    <x v="0"/>
    <x v="0"/>
    <x v="0"/>
    <s v="COMPRAS-LOCALES.xlsm"/>
    <s v="MP-224"/>
    <s v="ENVASE FARMACEUTICO 60 ML"/>
    <s v="MATERIA PRIMA "/>
    <s v="PRODUCCION"/>
    <m/>
    <m/>
    <m/>
    <m/>
    <n v="0.08"/>
    <n v="0"/>
    <n v="1000000000"/>
    <n v="0"/>
    <n v="1811"/>
    <x v="1"/>
    <n v="0"/>
    <n v="0"/>
    <m/>
    <n v="0"/>
    <n v="181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18"/>
    <s v="ENVASE PET 250 ML"/>
    <s v="MATERIA PRIMA "/>
    <s v="PRODUCCION"/>
    <m/>
    <m/>
    <m/>
    <m/>
    <n v="0.28000000000000003"/>
    <n v="0"/>
    <n v="1000000000"/>
    <n v="7200"/>
    <n v="3129"/>
    <x v="3"/>
    <n v="0.56999999999999995"/>
    <n v="0"/>
    <m/>
    <n v="0"/>
    <n v="3129"/>
    <n v="4071"/>
    <m/>
    <n v="7201"/>
    <n v="0"/>
    <n v="0"/>
    <n v="61.75"/>
    <n v="0"/>
    <n v="0.81227472554663849"/>
    <d v="2011-10-10T00:00:00"/>
    <x v="0"/>
    <n v="0.56541666666666668"/>
    <n v="0"/>
    <m/>
  </r>
  <r>
    <x v="0"/>
    <x v="0"/>
    <x v="0"/>
    <s v="COMPRAS-LOCALES.xlsm"/>
    <s v="MP-217"/>
    <s v="ENVASE PET 500 ML"/>
    <s v="MATERIA PRIMA "/>
    <s v="PRODUCCION"/>
    <m/>
    <m/>
    <m/>
    <m/>
    <n v="0.3"/>
    <n v="0"/>
    <n v="1000000000"/>
    <n v="1900"/>
    <n v="1016"/>
    <x v="3"/>
    <n v="0.47"/>
    <n v="0"/>
    <m/>
    <n v="0"/>
    <n v="1016"/>
    <n v="884"/>
    <m/>
    <n v="1901"/>
    <n v="0"/>
    <n v="0"/>
    <n v="26.14"/>
    <n v="0"/>
    <n v="0.72754972255999562"/>
    <d v="2011-10-25T00:00:00"/>
    <x v="0"/>
    <n v="0.46526315789473682"/>
    <n v="0"/>
    <m/>
  </r>
  <r>
    <x v="0"/>
    <x v="0"/>
    <x v="0"/>
    <s v="COMPRAS-LOCALES.xlsm"/>
    <s v="MP-216"/>
    <s v="ENVASE PET LITRO"/>
    <s v="MATERIA PRIMA "/>
    <s v="PRODUCCION"/>
    <m/>
    <m/>
    <m/>
    <m/>
    <n v="0.41"/>
    <n v="0"/>
    <n v="1000000000"/>
    <n v="2880"/>
    <n v="2019"/>
    <x v="4"/>
    <n v="0.3"/>
    <n v="0"/>
    <m/>
    <n v="0"/>
    <n v="2019"/>
    <n v="861"/>
    <m/>
    <n v="2881"/>
    <n v="0"/>
    <n v="0"/>
    <n v="12.42"/>
    <n v="0"/>
    <n v="0.55628542472129427"/>
    <d v="2011-11-22T00:00:00"/>
    <x v="0"/>
    <n v="0.29895833333333333"/>
    <n v="0"/>
    <m/>
  </r>
  <r>
    <x v="0"/>
    <x v="0"/>
    <x v="0"/>
    <s v="COMPRAS-LOCALES.xlsm"/>
    <s v="MP-283"/>
    <s v="ENVASE X CANECA 20 LITROS"/>
    <s v="MATERIA PRIMA "/>
    <s v="PRODUCCION"/>
    <m/>
    <m/>
    <m/>
    <m/>
    <n v="0"/>
    <n v="0"/>
    <n v="1000000000"/>
    <n v="0"/>
    <n v="0"/>
    <x v="1"/>
    <n v="0"/>
    <n v="0"/>
    <m/>
    <n v="0"/>
    <n v="0"/>
    <n v="0"/>
    <n v="19"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69"/>
    <s v="ETIQUETA AGROCARBOFURAN X LITRO"/>
    <s v="MATERIA PRIMA"/>
    <s v="PRODUCCION"/>
    <m/>
    <m/>
    <m/>
    <m/>
    <n v="0.18"/>
    <n v="0"/>
    <n v="1000000000"/>
    <n v="0"/>
    <n v="380"/>
    <x v="1"/>
    <n v="0"/>
    <n v="0"/>
    <m/>
    <n v="0"/>
    <n v="380"/>
    <n v="0"/>
    <m/>
    <n v="1"/>
    <n v="0"/>
    <n v="0"/>
    <n v="0"/>
    <n v="0"/>
    <n v="0"/>
    <d v="1899-12-30T00:00:00"/>
    <x v="1"/>
    <s v=""/>
    <e v="#N/A"/>
    <m/>
  </r>
  <r>
    <x v="0"/>
    <x v="0"/>
    <x v="0"/>
    <s v="COMPRAS-LOCALES.xlsm"/>
    <s v="MP-2681"/>
    <s v="ETIQUETA AGROTAFIX PLUS X 100 ML"/>
    <s v="MATERIA PRIMA"/>
    <s v="PRODUCCION"/>
    <m/>
    <m/>
    <m/>
    <m/>
    <n v="0.1"/>
    <n v="0"/>
    <n v="1000000000"/>
    <n v="1000"/>
    <n v="1095"/>
    <x v="5"/>
    <n v="-0.1"/>
    <n v="0"/>
    <m/>
    <n v="0"/>
    <n v="1095"/>
    <n v="0"/>
    <m/>
    <n v="1000"/>
    <n v="0"/>
    <n v="9.5"/>
    <n v="-12.43"/>
    <n v="0"/>
    <n v="1.5"/>
    <d v="1899-12-30T00:00:00"/>
    <x v="0"/>
    <n v="-9.5000000000000001E-2"/>
    <n v="0"/>
    <m/>
  </r>
  <r>
    <x v="0"/>
    <x v="0"/>
    <x v="0"/>
    <s v="COMPRAS-LOCALES.xlsm"/>
    <s v="MP-268"/>
    <s v="ETIQUETA AGROTAFIX X 100 ML"/>
    <s v="MATERIA PRIMA"/>
    <s v="PRODUCCION"/>
    <m/>
    <m/>
    <m/>
    <m/>
    <n v="0.05"/>
    <n v="0"/>
    <n v="1000000000"/>
    <n v="1000"/>
    <n v="876"/>
    <x v="4"/>
    <n v="0.12"/>
    <n v="0"/>
    <m/>
    <n v="0"/>
    <n v="876"/>
    <n v="0"/>
    <m/>
    <n v="1000"/>
    <n v="0"/>
    <n v="0"/>
    <n v="-2.84"/>
    <n v="0"/>
    <n v="0"/>
    <d v="1899-12-30T00:00:00"/>
    <x v="0"/>
    <n v="0.124"/>
    <n v="0"/>
    <m/>
  </r>
  <r>
    <x v="0"/>
    <x v="0"/>
    <x v="0"/>
    <s v="COMPRAS-LOCALES.xlsm"/>
    <s v="MP-187"/>
    <s v="ETIQUETA AGROTAFIX X 250 ML"/>
    <s v="MATERIA PRIMA"/>
    <s v="PRODUCCION"/>
    <m/>
    <m/>
    <m/>
    <m/>
    <n v="0.09"/>
    <n v="0"/>
    <n v="1000000000"/>
    <n v="600"/>
    <n v="1294"/>
    <x v="5"/>
    <n v="-1.1599999999999999"/>
    <n v="0"/>
    <m/>
    <n v="0"/>
    <n v="1294"/>
    <n v="0"/>
    <m/>
    <n v="600"/>
    <n v="0"/>
    <n v="62.46"/>
    <n v="-0.37"/>
    <n v="0"/>
    <n v="0"/>
    <d v="2011-10-25T00:00:00"/>
    <x v="0"/>
    <n v="-1.1566666666666667"/>
    <n v="0"/>
    <m/>
  </r>
  <r>
    <x v="0"/>
    <x v="0"/>
    <x v="0"/>
    <s v="COMPRAS-LOCALES.xlsm"/>
    <s v="MP-281"/>
    <s v="ETIQUETA AGROTAFIX X 500 ML"/>
    <s v="TERMINADO"/>
    <s v="FIJADORES"/>
    <m/>
    <m/>
    <m/>
    <m/>
    <n v="0.08"/>
    <n v="0"/>
    <n v="1000000000"/>
    <n v="500"/>
    <n v="1350"/>
    <x v="5"/>
    <n v="-1.7"/>
    <n v="0"/>
    <m/>
    <n v="0"/>
    <n v="1350"/>
    <n v="0"/>
    <m/>
    <n v="501"/>
    <n v="0"/>
    <n v="68"/>
    <n v="1.43"/>
    <n v="0"/>
    <n v="0"/>
    <d v="1899-12-30T00:00:00"/>
    <x v="0"/>
    <n v="-1.7"/>
    <n v="0"/>
    <m/>
  </r>
  <r>
    <x v="0"/>
    <x v="0"/>
    <x v="0"/>
    <s v="COMPRAS-LOCALES.xlsm"/>
    <s v="MP-186"/>
    <s v="ETIQUETA AGROTAFIX X LITRO"/>
    <s v="MATERIA PRIMA"/>
    <s v="PRODUCCION"/>
    <m/>
    <m/>
    <m/>
    <m/>
    <n v="0.14000000000000001"/>
    <n v="0"/>
    <n v="1000000000"/>
    <n v="639"/>
    <n v="271"/>
    <x v="3"/>
    <n v="0.57999999999999996"/>
    <n v="0"/>
    <m/>
    <n v="0"/>
    <n v="271"/>
    <n v="300"/>
    <m/>
    <n v="600"/>
    <n v="0"/>
    <n v="0"/>
    <n v="7.7"/>
    <n v="0"/>
    <n v="1.6666666666666667"/>
    <d v="2012-02-10T00:00:00"/>
    <x v="0"/>
    <n v="0.57589984350547729"/>
    <n v="0"/>
    <m/>
  </r>
  <r>
    <x v="0"/>
    <x v="0"/>
    <x v="0"/>
    <s v="COMPRAS-LOCALES.xlsm"/>
    <s v="MP-109"/>
    <s v="ETIQUETA AGROTAFOL BORO X 250 ML"/>
    <s v="MATERIA PRIMA"/>
    <s v="PRODUCCION"/>
    <m/>
    <m/>
    <m/>
    <m/>
    <n v="7.0000000000000007E-2"/>
    <n v="0"/>
    <n v="1000000000"/>
    <n v="1600"/>
    <n v="4378"/>
    <x v="5"/>
    <n v="-1.74"/>
    <n v="0"/>
    <m/>
    <n v="0"/>
    <n v="4378"/>
    <n v="0"/>
    <m/>
    <n v="1500"/>
    <n v="0"/>
    <n v="194.46"/>
    <n v="9.17"/>
    <n v="0"/>
    <n v="1.2826423844805159"/>
    <d v="2011-11-15T00:00:00"/>
    <x v="0"/>
    <n v="-1.7362500000000001"/>
    <n v="0"/>
    <m/>
  </r>
  <r>
    <x v="0"/>
    <x v="0"/>
    <x v="0"/>
    <s v="COMPRAS-LOCALES.xlsm"/>
    <s v="MP-108"/>
    <s v="ETIQUETA AGROTAFOL BORO X 500 ML"/>
    <s v="MATERIA PRIMA"/>
    <s v="PRODUCCION"/>
    <m/>
    <m/>
    <m/>
    <m/>
    <n v="0.23"/>
    <n v="0"/>
    <n v="1000000000"/>
    <n v="510"/>
    <n v="198"/>
    <x v="3"/>
    <n v="0.61"/>
    <n v="0"/>
    <m/>
    <n v="0"/>
    <n v="198"/>
    <n v="300"/>
    <m/>
    <n v="600"/>
    <n v="0"/>
    <n v="0"/>
    <n v="14.78"/>
    <n v="0"/>
    <n v="1"/>
    <d v="2011-11-22T00:00:00"/>
    <x v="0"/>
    <n v="0.61176470588235299"/>
    <n v="0"/>
    <m/>
  </r>
  <r>
    <x v="0"/>
    <x v="0"/>
    <x v="0"/>
    <s v="COMPRAS-LOCALES.xlsm"/>
    <s v="MP-107"/>
    <s v="ETIQUETA AGROTAFOL BORO X LITRO"/>
    <s v="MATERIA PRIMA"/>
    <s v="PRODUCCION"/>
    <m/>
    <m/>
    <m/>
    <m/>
    <n v="0.19"/>
    <n v="0"/>
    <n v="1000000000"/>
    <n v="510"/>
    <n v="685"/>
    <x v="5"/>
    <n v="-0.34"/>
    <n v="0"/>
    <m/>
    <n v="0"/>
    <n v="685"/>
    <n v="0"/>
    <m/>
    <n v="600"/>
    <n v="0"/>
    <n v="33.25"/>
    <n v="42.01"/>
    <n v="0"/>
    <n v="1"/>
    <d v="2011-11-22T00:00:00"/>
    <x v="0"/>
    <n v="-0.34313725490196079"/>
    <n v="0"/>
    <m/>
  </r>
  <r>
    <x v="0"/>
    <x v="0"/>
    <x v="0"/>
    <s v="COMPRAS-LOCALES.xlsm"/>
    <s v="MP-083"/>
    <s v="ETIQUETA AGROTAFOL FLORACION X KILO"/>
    <s v="MATERIA PRIMA"/>
    <s v="PRODUCCION"/>
    <m/>
    <m/>
    <m/>
    <m/>
    <n v="0.09"/>
    <n v="0"/>
    <n v="1000000000"/>
    <n v="0"/>
    <n v="1332"/>
    <x v="1"/>
    <n v="0"/>
    <n v="0"/>
    <m/>
    <n v="0"/>
    <n v="1332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00100"/>
    <s v="ETIQUETA AGROTAFOL FOSFITO X 250 ML"/>
    <s v="MATERIA PRIMA"/>
    <s v="PRODUCCION"/>
    <m/>
    <m/>
    <m/>
    <m/>
    <n v="0.09"/>
    <n v="0"/>
    <n v="1000000000"/>
    <n v="840"/>
    <n v="1521"/>
    <x v="5"/>
    <n v="-0.81"/>
    <n v="0"/>
    <m/>
    <n v="0"/>
    <n v="1521"/>
    <n v="0"/>
    <m/>
    <n v="1000"/>
    <n v="0"/>
    <n v="61.29"/>
    <n v="16.03"/>
    <n v="0"/>
    <n v="10.026"/>
    <d v="2011-12-20T00:00:00"/>
    <x v="0"/>
    <n v="-0.81071428571428572"/>
    <n v="0"/>
    <m/>
  </r>
  <r>
    <x v="0"/>
    <x v="0"/>
    <x v="0"/>
    <s v="COMPRAS-LOCALES.xlsm"/>
    <s v="MP-098"/>
    <s v="ETIQUETA AGROTAFOL FOSFITO X 500 ML"/>
    <s v="MATERIA PRIMA"/>
    <s v="PRODUCCION"/>
    <m/>
    <m/>
    <m/>
    <m/>
    <n v="0.06"/>
    <n v="0"/>
    <n v="1000000000"/>
    <n v="600"/>
    <n v="426"/>
    <x v="4"/>
    <n v="0.28999999999999998"/>
    <n v="0"/>
    <m/>
    <n v="0"/>
    <n v="426"/>
    <n v="300"/>
    <m/>
    <n v="600"/>
    <n v="0"/>
    <n v="0"/>
    <n v="66.53"/>
    <n v="0"/>
    <n v="1.0483333333333333"/>
    <d v="2011-10-25T00:00:00"/>
    <x v="0"/>
    <n v="0.28999999999999998"/>
    <n v="0"/>
    <m/>
  </r>
  <r>
    <x v="0"/>
    <x v="0"/>
    <x v="0"/>
    <s v="COMPRAS-LOCALES.xlsm"/>
    <s v="MP-097"/>
    <s v="ETIQUETA AGROTAFOL FOSFITO X LITRO"/>
    <s v="MATERIA PRIMA"/>
    <s v="PRODUCCION"/>
    <m/>
    <m/>
    <m/>
    <m/>
    <n v="0.1"/>
    <n v="0"/>
    <n v="1000000000"/>
    <n v="600"/>
    <n v="1082"/>
    <x v="5"/>
    <n v="-0.8"/>
    <n v="0"/>
    <m/>
    <n v="0"/>
    <n v="1082"/>
    <n v="0"/>
    <m/>
    <n v="600"/>
    <n v="0"/>
    <n v="48.2"/>
    <n v="37.74"/>
    <n v="0"/>
    <n v="1.0566666666666666"/>
    <d v="2011-10-25T00:00:00"/>
    <x v="0"/>
    <n v="-0.80333333333333334"/>
    <n v="0"/>
    <m/>
  </r>
  <r>
    <x v="0"/>
    <x v="0"/>
    <x v="0"/>
    <s v="COMPRAS-LOCALES.xlsm"/>
    <s v="MP-084"/>
    <s v="ETIQUETA AGROTAFOL INICIAL X KILO"/>
    <s v="MATERIA PRIMA"/>
    <s v="PRODUCCION"/>
    <m/>
    <m/>
    <m/>
    <m/>
    <n v="0.09"/>
    <n v="0"/>
    <n v="1000000000"/>
    <n v="0"/>
    <n v="1286"/>
    <x v="1"/>
    <n v="0"/>
    <n v="0"/>
    <m/>
    <n v="0"/>
    <n v="1286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01"/>
    <s v="ETIQUETA AGROTAFOL K PLUS X 500 ML"/>
    <s v="MATERIA PRIMA"/>
    <s v="PRODUCCION"/>
    <m/>
    <m/>
    <m/>
    <m/>
    <n v="7.0000000000000007E-2"/>
    <n v="0"/>
    <n v="1000000000"/>
    <n v="600"/>
    <n v="955"/>
    <x v="5"/>
    <n v="-0.59"/>
    <n v="0"/>
    <m/>
    <n v="0"/>
    <n v="955"/>
    <n v="0"/>
    <m/>
    <n v="600"/>
    <n v="0"/>
    <n v="24.85"/>
    <n v="9.15"/>
    <n v="0"/>
    <n v="0.5"/>
    <d v="2011-10-25T00:00:00"/>
    <x v="0"/>
    <n v="-0.59166666666666667"/>
    <n v="0"/>
    <m/>
  </r>
  <r>
    <x v="0"/>
    <x v="0"/>
    <x v="0"/>
    <s v="COMPRAS-LOCALES.xlsm"/>
    <s v="MP-100"/>
    <s v="ETIQUETA AGROTAFOL K PLUS X LITRO"/>
    <s v="MATERIA PRIMA"/>
    <s v="PRODUCCION"/>
    <m/>
    <m/>
    <m/>
    <m/>
    <n v="0.16"/>
    <n v="0"/>
    <n v="1000000000"/>
    <n v="600"/>
    <n v="928"/>
    <x v="5"/>
    <n v="-0.55000000000000004"/>
    <n v="0"/>
    <m/>
    <n v="0"/>
    <n v="928"/>
    <n v="0"/>
    <m/>
    <n v="600"/>
    <n v="0"/>
    <n v="52.480000000000004"/>
    <n v="66.540000000000006"/>
    <n v="0"/>
    <n v="1.3655555555555556"/>
    <d v="2011-10-25T00:00:00"/>
    <x v="0"/>
    <n v="-0.54666666666666663"/>
    <n v="0"/>
    <m/>
  </r>
  <r>
    <x v="0"/>
    <x v="0"/>
    <x v="0"/>
    <s v="COMPRAS-LOCALES.xlsm"/>
    <s v="MP-089"/>
    <s v="ETIQUETA AGROTAFOL SUPER"/>
    <s v="MATERIA PRIMA"/>
    <s v="PRODUCCION"/>
    <m/>
    <m/>
    <m/>
    <m/>
    <n v="0.18"/>
    <n v="0"/>
    <n v="1000000000"/>
    <n v="0"/>
    <n v="457.1"/>
    <x v="1"/>
    <n v="0"/>
    <n v="0"/>
    <m/>
    <n v="0"/>
    <n v="457.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04"/>
    <s v="ETIQUETA AGROTAFOL ZINC X 500 ML"/>
    <s v="MATERIA PRIMA"/>
    <s v="PRODUCCION"/>
    <m/>
    <m/>
    <m/>
    <m/>
    <n v="0.1"/>
    <n v="0"/>
    <n v="1000000000"/>
    <n v="600"/>
    <n v="765"/>
    <x v="5"/>
    <n v="-0.28000000000000003"/>
    <n v="0"/>
    <m/>
    <n v="0"/>
    <n v="765"/>
    <n v="0"/>
    <m/>
    <n v="600"/>
    <n v="0"/>
    <n v="16.5"/>
    <n v="0"/>
    <n v="0"/>
    <n v="1"/>
    <d v="2011-10-25T00:00:00"/>
    <x v="0"/>
    <n v="-0.27500000000000002"/>
    <n v="0"/>
    <m/>
  </r>
  <r>
    <x v="0"/>
    <x v="0"/>
    <x v="0"/>
    <s v="COMPRAS-LOCALES.xlsm"/>
    <s v="MP-103"/>
    <s v="ETIQUETA AGROTAFOL ZINC X LITRO"/>
    <s v="MATERIA PRIMA"/>
    <s v="PRODUCCION"/>
    <m/>
    <m/>
    <m/>
    <m/>
    <n v="0.12"/>
    <n v="0"/>
    <n v="1000000000"/>
    <n v="600"/>
    <n v="731"/>
    <x v="5"/>
    <n v="-0.22"/>
    <n v="0"/>
    <m/>
    <n v="0"/>
    <n v="731"/>
    <n v="0"/>
    <m/>
    <n v="600"/>
    <n v="0"/>
    <n v="15.719999999999999"/>
    <n v="7.22"/>
    <n v="0"/>
    <n v="1.6666666666666667"/>
    <d v="2011-10-25T00:00:00"/>
    <x v="0"/>
    <n v="-0.21833333333333332"/>
    <n v="0"/>
    <m/>
  </r>
  <r>
    <x v="0"/>
    <x v="0"/>
    <x v="0"/>
    <s v="COMPRAS-LOCALES.xlsm"/>
    <s v="MP-273"/>
    <s v="ETIQUETA AGROVERDOL X 500 ML"/>
    <s v="MATERIA PRIMA"/>
    <s v="PRODUCCION"/>
    <m/>
    <m/>
    <m/>
    <m/>
    <n v="7.0000000000000007E-2"/>
    <n v="0"/>
    <n v="1000000000"/>
    <n v="2100"/>
    <n v="2708"/>
    <x v="5"/>
    <n v="-0.28999999999999998"/>
    <n v="0"/>
    <m/>
    <n v="0"/>
    <n v="2708"/>
    <n v="0"/>
    <m/>
    <n v="2000"/>
    <n v="0"/>
    <n v="42.56"/>
    <n v="37.51"/>
    <n v="0"/>
    <n v="0.97336919263829558"/>
    <d v="2011-11-30T00:00:00"/>
    <x v="0"/>
    <n v="-0.28952380952380952"/>
    <n v="0"/>
    <m/>
  </r>
  <r>
    <x v="0"/>
    <x v="0"/>
    <x v="0"/>
    <s v="COMPRAS-LOCALES.xlsm"/>
    <s v="MP-285"/>
    <s v="ETIQUETA AGROVERDOL X LITRO"/>
    <s v="MATERIA PRIMA"/>
    <s v="PRODUCCION"/>
    <m/>
    <m/>
    <m/>
    <m/>
    <n v="0.13"/>
    <n v="0"/>
    <n v="1000000000"/>
    <n v="1000"/>
    <n v="1211"/>
    <x v="5"/>
    <n v="-0.21"/>
    <n v="0"/>
    <m/>
    <n v="0"/>
    <n v="1211"/>
    <n v="0"/>
    <m/>
    <n v="1000"/>
    <n v="0"/>
    <n v="27.43"/>
    <n v="15.67"/>
    <n v="0"/>
    <n v="0"/>
    <d v="2011-06-10T00:00:00"/>
    <x v="0"/>
    <n v="-0.21099999999999999"/>
    <n v="0"/>
    <m/>
  </r>
  <r>
    <x v="0"/>
    <x v="0"/>
    <x v="0"/>
    <s v="COMPRAS-LOCALES.xlsm"/>
    <s v="MP-191"/>
    <s v="ETIQUETA ANIQUILADOR X 100 ML"/>
    <s v="MATERIA PRIMA"/>
    <s v="PRODUCCION"/>
    <m/>
    <m/>
    <m/>
    <m/>
    <n v="0.04"/>
    <n v="0"/>
    <n v="1000000000"/>
    <n v="2000"/>
    <n v="2764"/>
    <x v="5"/>
    <n v="-0.38"/>
    <n v="0"/>
    <m/>
    <n v="0"/>
    <n v="2764"/>
    <n v="0"/>
    <m/>
    <n v="2000"/>
    <n v="0"/>
    <n v="30.560000000000002"/>
    <n v="8.42"/>
    <n v="0"/>
    <n v="0.98591355734212882"/>
    <d v="2011-06-10T00:00:00"/>
    <x v="0"/>
    <n v="-0.38200000000000001"/>
    <n v="0"/>
    <m/>
  </r>
  <r>
    <x v="0"/>
    <x v="0"/>
    <x v="0"/>
    <s v="COMPRAS-LOCALES.xlsm"/>
    <s v="MP-393"/>
    <s v="ETIQUETA ANIQUILADOR X 250 ML"/>
    <s v="MATERIA PRIMA"/>
    <s v="PRODUCCION"/>
    <m/>
    <m/>
    <m/>
    <m/>
    <n v="0.08"/>
    <n v="0"/>
    <n v="1000000000"/>
    <n v="500"/>
    <n v="1003"/>
    <x v="5"/>
    <n v="-1.01"/>
    <n v="0"/>
    <m/>
    <n v="0"/>
    <n v="1003"/>
    <n v="0"/>
    <m/>
    <n v="600"/>
    <n v="0"/>
    <n v="40.24"/>
    <n v="19.45"/>
    <n v="0"/>
    <n v="0"/>
    <d v="2011-10-25T00:00:00"/>
    <x v="0"/>
    <n v="-1.006"/>
    <n v="0"/>
    <m/>
  </r>
  <r>
    <x v="0"/>
    <x v="0"/>
    <x v="0"/>
    <s v="COMPRAS-LOCALES.xlsm"/>
    <s v="MP-394"/>
    <s v="ETIQUETA ANIQUILADOR X 500 ML"/>
    <s v="MATERIA PRIMA"/>
    <s v="PRODUCCION"/>
    <m/>
    <m/>
    <m/>
    <m/>
    <n v="0.27"/>
    <n v="0"/>
    <n v="1000000000"/>
    <n v="400"/>
    <n v="394"/>
    <x v="4"/>
    <n v="0.02"/>
    <n v="0"/>
    <m/>
    <n v="0"/>
    <n v="394"/>
    <n v="0"/>
    <m/>
    <n v="300"/>
    <n v="0"/>
    <n v="0"/>
    <n v="4.21"/>
    <n v="0"/>
    <n v="0"/>
    <d v="2011-11-22T00:00:00"/>
    <x v="0"/>
    <n v="1.4999999999999999E-2"/>
    <n v="0"/>
    <m/>
  </r>
  <r>
    <x v="0"/>
    <x v="0"/>
    <x v="0"/>
    <s v="COMPRAS-LOCALES.xlsm"/>
    <s v="MP-190"/>
    <s v="ETIQUETA ANIQUILADOR X LITRO"/>
    <s v="MATERIA PRIMA"/>
    <s v="PRODUCCION"/>
    <m/>
    <m/>
    <m/>
    <m/>
    <n v="0.15"/>
    <n v="0"/>
    <n v="1000000000"/>
    <n v="500"/>
    <n v="937"/>
    <x v="5"/>
    <n v="-0.87"/>
    <n v="0"/>
    <m/>
    <n v="0"/>
    <n v="937"/>
    <n v="0"/>
    <m/>
    <n v="600"/>
    <n v="0"/>
    <n v="65.55"/>
    <n v="77.66"/>
    <n v="0"/>
    <n v="1.6666666666666667"/>
    <d v="1899-12-30T00:00:00"/>
    <x v="0"/>
    <n v="-0.874"/>
    <n v="0"/>
    <m/>
  </r>
  <r>
    <x v="0"/>
    <x v="0"/>
    <x v="0"/>
    <s v="COMPRAS-LOCALES.xlsm"/>
    <s v="MP-350"/>
    <s v="ETIQUETA BIOBAN LITRO GALON 5 GL"/>
    <s v="MATERIA PRIMA"/>
    <s v="PRODUCCION"/>
    <m/>
    <m/>
    <m/>
    <m/>
    <n v="0.15"/>
    <n v="0"/>
    <n v="1000000000"/>
    <n v="500"/>
    <n v="722"/>
    <x v="5"/>
    <n v="-0.44"/>
    <n v="0"/>
    <m/>
    <n v="0"/>
    <n v="722"/>
    <n v="0"/>
    <m/>
    <n v="600"/>
    <n v="0"/>
    <n v="33.299999999999997"/>
    <n v="0"/>
    <n v="0"/>
    <n v="0"/>
    <d v="1899-12-30T00:00:00"/>
    <x v="0"/>
    <n v="-0.44400000000000001"/>
    <n v="0"/>
    <m/>
  </r>
  <r>
    <x v="0"/>
    <x v="0"/>
    <x v="0"/>
    <s v="COMPRAS-LOCALES.xlsm"/>
    <s v="MP-6687"/>
    <s v="ETIQUETA BIOBAN X 250 ML"/>
    <s v="MATERIA PRIMA"/>
    <s v="PRODUCCION"/>
    <m/>
    <m/>
    <m/>
    <m/>
    <n v="0.1"/>
    <n v="0"/>
    <n v="1000000000"/>
    <n v="500"/>
    <n v="608"/>
    <x v="5"/>
    <n v="-0.22"/>
    <n v="0"/>
    <m/>
    <n v="0"/>
    <n v="608"/>
    <n v="0"/>
    <m/>
    <n v="600"/>
    <n v="0"/>
    <n v="10.8"/>
    <n v="0"/>
    <n v="0"/>
    <n v="0"/>
    <d v="1899-12-30T00:00:00"/>
    <x v="0"/>
    <n v="-0.216"/>
    <n v="0"/>
    <m/>
  </r>
  <r>
    <x v="0"/>
    <x v="0"/>
    <x v="0"/>
    <s v="COMPRAS-LOCALES.xlsm"/>
    <s v="MP-19457"/>
    <s v="ETIQUETA BUCANER FORTE X 100 ML"/>
    <s v="MATERIA PRIMA"/>
    <s v="PRODUCCION"/>
    <m/>
    <m/>
    <m/>
    <m/>
    <n v="0.11"/>
    <n v="0"/>
    <n v="1000000000"/>
    <n v="850"/>
    <n v="1630"/>
    <x v="5"/>
    <n v="-0.92"/>
    <n v="0"/>
    <m/>
    <n v="0"/>
    <n v="1630"/>
    <n v="0"/>
    <m/>
    <n v="1000"/>
    <n v="0"/>
    <n v="85.8"/>
    <n v="1.23"/>
    <n v="0"/>
    <n v="1"/>
    <d v="2011-11-22T00:00:00"/>
    <x v="0"/>
    <n v="-0.91764705882352937"/>
    <n v="0"/>
    <m/>
  </r>
  <r>
    <x v="0"/>
    <x v="0"/>
    <x v="0"/>
    <s v="COMPRAS-LOCALES.xlsm"/>
    <s v="MP-19452"/>
    <s v="ETIQUETA BUCANER FORTE X 250 ML"/>
    <s v="MATERIA PRIMA"/>
    <s v="PRODUCCION"/>
    <m/>
    <m/>
    <m/>
    <m/>
    <n v="0.1"/>
    <n v="0"/>
    <n v="1000000000"/>
    <n v="800"/>
    <n v="1952"/>
    <x v="5"/>
    <n v="-1.44"/>
    <n v="0"/>
    <m/>
    <n v="0"/>
    <n v="1952"/>
    <n v="0"/>
    <m/>
    <n v="1000"/>
    <n v="0"/>
    <n v="115.2"/>
    <n v="40.29"/>
    <n v="0"/>
    <n v="2"/>
    <d v="2011-11-22T00:00:00"/>
    <x v="0"/>
    <n v="-1.44"/>
    <n v="0"/>
    <m/>
  </r>
  <r>
    <x v="0"/>
    <x v="0"/>
    <x v="0"/>
    <s v="COMPRAS-LOCALES.xlsm"/>
    <s v="MP-19456"/>
    <s v="ETIQUETA BUCANER FORTE X 500 ML"/>
    <s v="MATERIA PRIMA"/>
    <s v="PRODUCCION"/>
    <m/>
    <m/>
    <m/>
    <m/>
    <n v="0.1"/>
    <n v="0"/>
    <n v="1000000000"/>
    <n v="1000"/>
    <n v="1112"/>
    <x v="5"/>
    <n v="-0.11"/>
    <n v="0"/>
    <m/>
    <n v="0"/>
    <n v="1112"/>
    <n v="0"/>
    <m/>
    <n v="1000"/>
    <n v="0"/>
    <n v="11.200000000000001"/>
    <n v="44.29"/>
    <n v="0"/>
    <n v="0"/>
    <d v="2011-10-25T00:00:00"/>
    <x v="0"/>
    <n v="-0.112"/>
    <n v="0"/>
    <m/>
  </r>
  <r>
    <x v="0"/>
    <x v="0"/>
    <x v="0"/>
    <s v="COMPRAS-LOCALES.xlsm"/>
    <s v="MP-19460"/>
    <s v="ETIQUETA BUCANER FORTE X LITRO"/>
    <s v="MATERIA PRIMA"/>
    <s v="PRODUCCION"/>
    <m/>
    <m/>
    <m/>
    <m/>
    <n v="0.19"/>
    <n v="0"/>
    <n v="1000000000"/>
    <n v="500"/>
    <n v="426"/>
    <x v="4"/>
    <n v="0.15"/>
    <n v="0"/>
    <m/>
    <n v="0"/>
    <n v="426"/>
    <n v="0"/>
    <m/>
    <n v="600"/>
    <n v="0"/>
    <n v="0"/>
    <n v="2.84"/>
    <n v="0"/>
    <n v="0"/>
    <d v="1899-12-30T00:00:00"/>
    <x v="0"/>
    <n v="0.14799999999999999"/>
    <n v="0"/>
    <m/>
  </r>
  <r>
    <x v="0"/>
    <x v="0"/>
    <x v="0"/>
    <s v="COMPRAS-LOCALES.xlsm"/>
    <s v="MP-19453"/>
    <s v="ETIQUETA BUCANER X 100 ML"/>
    <s v="MATERIA PRIMA"/>
    <s v="PRODUCCION"/>
    <m/>
    <m/>
    <m/>
    <m/>
    <n v="0.09"/>
    <n v="0"/>
    <n v="1000000000"/>
    <n v="500"/>
    <n v="1976"/>
    <x v="5"/>
    <n v="-2.95"/>
    <n v="0"/>
    <m/>
    <n v="0"/>
    <n v="1976"/>
    <n v="0"/>
    <m/>
    <n v="600"/>
    <n v="0"/>
    <n v="132.84"/>
    <n v="1.1000000000000001"/>
    <n v="0"/>
    <n v="0"/>
    <d v="1899-12-30T00:00:00"/>
    <x v="0"/>
    <n v="-2.952"/>
    <n v="0"/>
    <m/>
  </r>
  <r>
    <x v="0"/>
    <x v="0"/>
    <x v="0"/>
    <s v="COMPRAS-LOCALES.xlsm"/>
    <s v="MP-164"/>
    <s v="ETIQUETA BUCANER X 250 ML"/>
    <s v="MATERIA PRIMA"/>
    <s v="PRODUCCION"/>
    <m/>
    <m/>
    <m/>
    <m/>
    <n v="7.0000000000000007E-2"/>
    <n v="0"/>
    <n v="1000000000"/>
    <n v="2200"/>
    <n v="2818"/>
    <x v="5"/>
    <n v="-0.28000000000000003"/>
    <n v="0"/>
    <m/>
    <n v="0"/>
    <n v="2818"/>
    <n v="0"/>
    <m/>
    <n v="2000"/>
    <n v="0"/>
    <n v="43.260000000000005"/>
    <n v="27.34"/>
    <n v="0"/>
    <n v="0.74504345674430117"/>
    <d v="2011-11-15T00:00:00"/>
    <x v="0"/>
    <n v="-0.28090909090909089"/>
    <n v="0"/>
    <m/>
  </r>
  <r>
    <x v="0"/>
    <x v="0"/>
    <x v="0"/>
    <s v="COMPRAS-LOCALES.xlsm"/>
    <s v="MP-163"/>
    <s v="ETIQUETA BUCANER X 500 ML"/>
    <s v="MATERIA PRIMA"/>
    <s v="PRODUCCION"/>
    <m/>
    <m/>
    <m/>
    <m/>
    <n v="0.13"/>
    <n v="0"/>
    <n v="1000000000"/>
    <n v="850"/>
    <n v="665"/>
    <x v="4"/>
    <n v="0.22"/>
    <n v="0"/>
    <m/>
    <n v="0"/>
    <n v="665"/>
    <n v="0"/>
    <m/>
    <n v="1000"/>
    <n v="0"/>
    <n v="0"/>
    <n v="8.48"/>
    <n v="0"/>
    <n v="1"/>
    <d v="2011-11-22T00:00:00"/>
    <x v="0"/>
    <n v="0.21764705882352942"/>
    <n v="0"/>
    <m/>
  </r>
  <r>
    <x v="0"/>
    <x v="0"/>
    <x v="0"/>
    <s v="COMPRAS-LOCALES.xlsm"/>
    <s v="MP-162"/>
    <s v="ETIQUETA BUCANER X LITRO"/>
    <s v="MATERIA PRIMA"/>
    <s v="PRODUCCION"/>
    <m/>
    <m/>
    <m/>
    <m/>
    <n v="0.08"/>
    <n v="0"/>
    <n v="1000000000"/>
    <n v="1000"/>
    <n v="1484"/>
    <x v="5"/>
    <n v="-0.48"/>
    <n v="0"/>
    <m/>
    <n v="0"/>
    <n v="1484"/>
    <n v="0"/>
    <m/>
    <n v="1000"/>
    <n v="0"/>
    <n v="38.72"/>
    <n v="90.11"/>
    <n v="0"/>
    <n v="1.0349999999999999"/>
    <d v="2011-10-25T00:00:00"/>
    <x v="0"/>
    <n v="-0.48399999999999999"/>
    <n v="0"/>
    <m/>
  </r>
  <r>
    <x v="0"/>
    <x v="0"/>
    <x v="0"/>
    <s v="COMPRAS-LOCALES.xlsm"/>
    <s v="MP-2891"/>
    <s v="ETIQUETA CIROMAZINA  50 GRS AGROMAC ( DEL)"/>
    <s v="MATERIA PRIMA"/>
    <s v="PRODUCCION"/>
    <m/>
    <m/>
    <m/>
    <m/>
    <n v="7.0000000000000007E-2"/>
    <n v="0"/>
    <n v="1000000000"/>
    <n v="0"/>
    <n v="1046"/>
    <x v="1"/>
    <n v="0"/>
    <n v="0"/>
    <m/>
    <n v="0"/>
    <n v="1046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88"/>
    <s v="ETIQUETA CIROMAZINA 50 GRS POST (AGROTA)"/>
    <s v="MATERIA PRIMA"/>
    <s v="PRODUCCION"/>
    <m/>
    <m/>
    <m/>
    <m/>
    <n v="0.19"/>
    <n v="0"/>
    <n v="1000000000"/>
    <n v="0"/>
    <n v="1568"/>
    <x v="1"/>
    <n v="0"/>
    <n v="0"/>
    <m/>
    <n v="0"/>
    <n v="1568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89"/>
    <s v="ETIQUETA CIROMAZINA 50 GRS POST (F.A)"/>
    <s v="MATERIA PRIMA"/>
    <s v="PRODUCCION"/>
    <m/>
    <m/>
    <m/>
    <m/>
    <n v="0.08"/>
    <n v="0"/>
    <n v="1000000000"/>
    <n v="0"/>
    <n v="438"/>
    <x v="1"/>
    <n v="0"/>
    <n v="0"/>
    <m/>
    <n v="0"/>
    <n v="438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87"/>
    <s v="ETIQUETA CIROMAZINA X 50 GMS  DEL (AGROTA)"/>
    <s v="MATERIA PRIMA"/>
    <s v="PRODUCCION"/>
    <m/>
    <m/>
    <m/>
    <m/>
    <n v="0.14000000000000001"/>
    <n v="0"/>
    <n v="1000000000"/>
    <n v="0"/>
    <n v="900"/>
    <x v="1"/>
    <n v="0"/>
    <n v="0"/>
    <m/>
    <n v="0"/>
    <n v="90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89"/>
    <s v="ETIQUETA CIROMAZINA X 50 GMS DEL  (F. A.)"/>
    <s v="MATERIA PRIMA"/>
    <s v="PRODUCCION"/>
    <m/>
    <m/>
    <m/>
    <m/>
    <n v="0.09"/>
    <n v="0"/>
    <n v="1000000000"/>
    <n v="0"/>
    <n v="520"/>
    <x v="1"/>
    <n v="0"/>
    <n v="0"/>
    <m/>
    <n v="0"/>
    <n v="52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84"/>
    <s v="ETIQUETA CITOQMAX X LITRO"/>
    <s v="MATERIA PRIMA"/>
    <s v="PRODUCCION"/>
    <m/>
    <m/>
    <m/>
    <m/>
    <n v="0.25"/>
    <n v="0"/>
    <n v="1000000000"/>
    <n v="0"/>
    <n v="441"/>
    <x v="1"/>
    <n v="0"/>
    <n v="0"/>
    <m/>
    <n v="0"/>
    <n v="44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07"/>
    <s v="ETIQUETA DEPREDADOR X 100 GRS"/>
    <s v="MATERIA PRIMA"/>
    <s v="PRODUCCION"/>
    <m/>
    <m/>
    <m/>
    <m/>
    <n v="0.06"/>
    <n v="0"/>
    <n v="1000000000"/>
    <n v="0"/>
    <n v="1397"/>
    <x v="1"/>
    <n v="0"/>
    <n v="0"/>
    <m/>
    <n v="0"/>
    <n v="1397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06"/>
    <s v="ETIQUETA DEPREDADOR X 300 GRS"/>
    <s v="MATERIA PRIMA"/>
    <s v="PRODUCCION"/>
    <m/>
    <m/>
    <m/>
    <m/>
    <n v="0.14000000000000001"/>
    <n v="0"/>
    <n v="1000000000"/>
    <n v="1000"/>
    <n v="1778"/>
    <x v="5"/>
    <n v="-0.78"/>
    <n v="0"/>
    <m/>
    <n v="0"/>
    <n v="1778"/>
    <n v="0"/>
    <m/>
    <n v="1000"/>
    <n v="0"/>
    <n v="108.92000000000002"/>
    <n v="24.34"/>
    <n v="0"/>
    <n v="1.462"/>
    <d v="2011-10-25T00:00:00"/>
    <x v="0"/>
    <n v="-0.77800000000000002"/>
    <n v="0"/>
    <m/>
  </r>
  <r>
    <x v="0"/>
    <x v="0"/>
    <x v="0"/>
    <s v="COMPRAS-LOCALES.xlsm"/>
    <s v="MP-353"/>
    <s v="ETIQUETA ESTAMPIDA ORGANICO X LITRO"/>
    <s v="MATERIA PRIMA"/>
    <s v="PRODUCCION"/>
    <m/>
    <m/>
    <m/>
    <m/>
    <n v="0.14000000000000001"/>
    <n v="0"/>
    <n v="1000000000"/>
    <n v="0"/>
    <n v="288"/>
    <x v="1"/>
    <n v="0"/>
    <n v="0"/>
    <m/>
    <n v="0"/>
    <n v="288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7092"/>
    <s v="ETIQUETA FEGADAZIM X 250 ML"/>
    <s v="MATERIA PRIMA"/>
    <s v="PRODUCCION"/>
    <m/>
    <m/>
    <m/>
    <m/>
    <n v="0.14000000000000001"/>
    <n v="0"/>
    <n v="1000000000"/>
    <n v="1000"/>
    <n v="1870"/>
    <x v="5"/>
    <n v="-0.87"/>
    <n v="0"/>
    <m/>
    <n v="0"/>
    <n v="1870"/>
    <n v="0"/>
    <m/>
    <n v="1001"/>
    <n v="0"/>
    <n v="121.80000000000001"/>
    <n v="0"/>
    <n v="0"/>
    <n v="0"/>
    <d v="1899-12-30T00:00:00"/>
    <x v="0"/>
    <n v="-0.87"/>
    <n v="0"/>
    <m/>
  </r>
  <r>
    <x v="0"/>
    <x v="0"/>
    <x v="0"/>
    <s v="COMPRAS-LOCALES.xlsm"/>
    <s v="MP-09877"/>
    <s v="ETIQUETA FEGADAZIM X 500 ML"/>
    <s v="MATERIA PRIMA"/>
    <s v="PRODUCCION"/>
    <m/>
    <m/>
    <m/>
    <m/>
    <n v="7.0000000000000007E-2"/>
    <n v="0"/>
    <n v="1000000000"/>
    <n v="1000"/>
    <n v="2274"/>
    <x v="5"/>
    <n v="-1.27"/>
    <n v="0"/>
    <m/>
    <n v="0"/>
    <n v="2274"/>
    <n v="0"/>
    <m/>
    <n v="1001"/>
    <n v="0"/>
    <n v="89.18"/>
    <n v="0"/>
    <n v="0"/>
    <n v="1.1599999999999999"/>
    <d v="1899-12-30T00:00:00"/>
    <x v="0"/>
    <n v="-1.274"/>
    <n v="0"/>
    <m/>
  </r>
  <r>
    <x v="0"/>
    <x v="0"/>
    <x v="0"/>
    <s v="COMPRAS-LOCALES.xlsm"/>
    <s v="MP-7091"/>
    <s v="ETIQUETA FEGADAZIM X LITRO"/>
    <s v="MATERIA PRIMA"/>
    <s v="PRODUCCION"/>
    <m/>
    <m/>
    <m/>
    <m/>
    <n v="0.08"/>
    <n v="0"/>
    <n v="1000000000"/>
    <n v="1000"/>
    <n v="979"/>
    <x v="4"/>
    <n v="0.02"/>
    <n v="0"/>
    <m/>
    <n v="0"/>
    <n v="979"/>
    <n v="21"/>
    <m/>
    <n v="1001"/>
    <n v="0"/>
    <n v="0"/>
    <n v="4.4400000000000004"/>
    <n v="0"/>
    <n v="1.1320166320166321"/>
    <d v="1899-12-30T00:00:00"/>
    <x v="0"/>
    <n v="2.1000000000000001E-2"/>
    <n v="0"/>
    <m/>
  </r>
  <r>
    <x v="0"/>
    <x v="0"/>
    <x v="0"/>
    <s v="COMPRAS-LOCALES.xlsm"/>
    <s v="MP-321"/>
    <s v="ETIQUETA FERTILIFE PLUS X 250 ML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25"/>
    <s v="ETIQUETA FERTILIFE PLUS X 500 ML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19"/>
    <s v="ETIQUETA FERTILIFE X LITRO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08"/>
    <s v="ETIQUETA FULMINANTE  X 50 GRS / DELANTER"/>
    <s v="MATERIA PRIMA"/>
    <s v="PRODUCCION"/>
    <m/>
    <m/>
    <m/>
    <m/>
    <n v="0.09"/>
    <n v="0"/>
    <n v="1000000000"/>
    <n v="1700"/>
    <n v="1972"/>
    <x v="5"/>
    <n v="-0.16"/>
    <n v="0"/>
    <m/>
    <n v="0"/>
    <n v="1972"/>
    <n v="0"/>
    <m/>
    <n v="2000"/>
    <n v="0"/>
    <n v="24.48"/>
    <n v="7.09"/>
    <n v="0"/>
    <n v="1"/>
    <d v="2011-11-22T00:00:00"/>
    <x v="0"/>
    <n v="-0.16"/>
    <n v="0"/>
    <m/>
  </r>
  <r>
    <x v="0"/>
    <x v="0"/>
    <x v="0"/>
    <s v="COMPRAS-LOCALES.xlsm"/>
    <s v="MP-26"/>
    <s v="ETIQUETA FULMINANTE X 50 GMS / TRASERA"/>
    <s v="MATERIA PRIMA"/>
    <s v="PRODUCCION"/>
    <m/>
    <m/>
    <m/>
    <m/>
    <n v="0.09"/>
    <n v="0"/>
    <n v="1000000000"/>
    <n v="1950"/>
    <n v="1830"/>
    <x v="4"/>
    <n v="0.06"/>
    <n v="0"/>
    <m/>
    <n v="0"/>
    <n v="1830"/>
    <n v="0"/>
    <m/>
    <n v="2000"/>
    <n v="0"/>
    <n v="0"/>
    <n v="7.09"/>
    <n v="0"/>
    <n v="1"/>
    <d v="2011-12-20T00:00:00"/>
    <x v="0"/>
    <n v="6.1538461538461542E-2"/>
    <n v="0"/>
    <m/>
  </r>
  <r>
    <x v="0"/>
    <x v="0"/>
    <x v="0"/>
    <s v="COMPRAS-LOCALES.xlsm"/>
    <s v="MP-166"/>
    <s v="ETIQUETA GLIFOSATO X 20 LITROS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67"/>
    <s v="ETIQUETA GLIFOSATO X GALON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68"/>
    <s v="ETIQUETA GLIFOSATO X LITRO"/>
    <s v="MATERIA PRIMA "/>
    <s v="PRODUCCION"/>
    <m/>
    <m/>
    <m/>
    <m/>
    <n v="0.15"/>
    <n v="0"/>
    <n v="1000000000"/>
    <n v="0"/>
    <n v="970"/>
    <x v="1"/>
    <n v="0"/>
    <n v="0"/>
    <m/>
    <n v="0"/>
    <n v="97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9458"/>
    <s v="ETIQUETA GREEN GIBB DELANTERA"/>
    <s v="MATERIA PRIMA"/>
    <s v="PRODUCCION"/>
    <m/>
    <m/>
    <m/>
    <m/>
    <n v="0.05"/>
    <n v="0"/>
    <n v="1000000000"/>
    <n v="850"/>
    <n v="837"/>
    <x v="4"/>
    <n v="0.02"/>
    <n v="0"/>
    <m/>
    <n v="0"/>
    <n v="837"/>
    <n v="0"/>
    <m/>
    <n v="1000"/>
    <n v="0"/>
    <n v="0"/>
    <n v="12.32"/>
    <n v="0"/>
    <n v="1"/>
    <d v="2011-11-22T00:00:00"/>
    <x v="0"/>
    <n v="1.5294117647058824E-2"/>
    <n v="0"/>
    <m/>
  </r>
  <r>
    <x v="0"/>
    <x v="0"/>
    <x v="0"/>
    <s v="COMPRAS-LOCALES.xlsm"/>
    <s v="MP-19459"/>
    <s v="ETIQUETA GREEN GIBB POSTERIOR"/>
    <s v="MATERIA PRIMA"/>
    <s v="PRODUCCION"/>
    <m/>
    <m/>
    <m/>
    <m/>
    <n v="0.05"/>
    <n v="0"/>
    <n v="1000000000"/>
    <n v="850"/>
    <n v="837"/>
    <x v="4"/>
    <n v="0.02"/>
    <n v="0"/>
    <m/>
    <n v="0"/>
    <n v="837"/>
    <n v="0"/>
    <m/>
    <n v="1000"/>
    <n v="0"/>
    <n v="0"/>
    <n v="12.32"/>
    <n v="0"/>
    <n v="1"/>
    <d v="2011-11-22T00:00:00"/>
    <x v="0"/>
    <n v="1.5294117647058824E-2"/>
    <n v="0"/>
    <m/>
  </r>
  <r>
    <x v="0"/>
    <x v="0"/>
    <x v="0"/>
    <s v="COMPRAS-LOCALES.xlsm"/>
    <s v="MP-282"/>
    <s v="ETIQUETA IMPULMAX X 100 ML"/>
    <s v="AA (No Aplica)"/>
    <s v="AA (No Aplica)"/>
    <m/>
    <m/>
    <m/>
    <m/>
    <n v="7.0000000000000007E-2"/>
    <n v="0"/>
    <n v="1000000000"/>
    <n v="500"/>
    <n v="1521"/>
    <x v="5"/>
    <n v="-2.04"/>
    <n v="0"/>
    <m/>
    <n v="0"/>
    <n v="1521"/>
    <n v="0"/>
    <m/>
    <n v="501"/>
    <n v="0"/>
    <n v="71.470000000000013"/>
    <n v="0.31"/>
    <n v="0"/>
    <n v="0"/>
    <d v="1899-12-30T00:00:00"/>
    <x v="0"/>
    <n v="-2.0419999999999998"/>
    <n v="0"/>
    <m/>
  </r>
  <r>
    <x v="0"/>
    <x v="0"/>
    <x v="0"/>
    <s v="COMPRAS-LOCALES.xlsm"/>
    <s v="MP-391"/>
    <s v="ETIQUETA IMPULMAX X 250 ML"/>
    <s v="MATERIA PRIMA"/>
    <s v="PRODUCCION"/>
    <m/>
    <m/>
    <m/>
    <m/>
    <n v="7.0000000000000007E-2"/>
    <n v="0"/>
    <n v="1000000000"/>
    <n v="1600"/>
    <n v="3589"/>
    <x v="5"/>
    <n v="-1.24"/>
    <n v="0"/>
    <m/>
    <n v="0"/>
    <n v="3589"/>
    <n v="0"/>
    <m/>
    <n v="2000"/>
    <n v="0"/>
    <n v="139.23000000000002"/>
    <n v="-14.73"/>
    <n v="0"/>
    <n v="1.2830488729451359"/>
    <d v="2011-12-20T00:00:00"/>
    <x v="0"/>
    <n v="-1.243125"/>
    <n v="0"/>
    <m/>
  </r>
  <r>
    <x v="0"/>
    <x v="0"/>
    <x v="0"/>
    <s v="COMPRAS-LOCALES.xlsm"/>
    <s v="MP-390"/>
    <s v="ETIQUETA IMPULMAX X LITRO"/>
    <s v="MATERIA PRIMA"/>
    <s v="PRODUCCION"/>
    <m/>
    <m/>
    <m/>
    <m/>
    <n v="0.18"/>
    <n v="38.56"/>
    <n v="1000000000"/>
    <n v="1000"/>
    <n v="1094"/>
    <x v="5"/>
    <n v="-0.09"/>
    <n v="0"/>
    <m/>
    <n v="0"/>
    <n v="1094"/>
    <n v="0"/>
    <m/>
    <n v="1000"/>
    <n v="0"/>
    <n v="16.919999999999998"/>
    <n v="4.1100000000000003"/>
    <n v="0.31"/>
    <n v="0"/>
    <d v="2011-10-25T00:00:00"/>
    <x v="0"/>
    <n v="-9.4E-2"/>
    <n v="0"/>
    <m/>
  </r>
  <r>
    <x v="0"/>
    <x v="0"/>
    <x v="0"/>
    <s v="COMPRAS-LOCALES.xlsm"/>
    <s v="MP-181"/>
    <s v="ETIQUETA KEMADOR X GALON"/>
    <s v="MATERIA PRIMA"/>
    <s v="PRODUCCION"/>
    <m/>
    <m/>
    <m/>
    <m/>
    <n v="0.15"/>
    <n v="0"/>
    <n v="1000000000"/>
    <n v="0"/>
    <n v="50"/>
    <x v="1"/>
    <n v="0"/>
    <n v="0"/>
    <m/>
    <n v="0"/>
    <n v="5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80"/>
    <s v="ETIQUETA KEMADOR X LITRO"/>
    <s v="MATERIA PRIMA"/>
    <s v="PRODUCCION"/>
    <m/>
    <m/>
    <m/>
    <m/>
    <n v="0.16"/>
    <n v="0"/>
    <n v="1000000000"/>
    <n v="500"/>
    <n v="802"/>
    <x v="5"/>
    <n v="-0.6"/>
    <n v="0"/>
    <m/>
    <n v="0"/>
    <n v="802"/>
    <n v="0"/>
    <m/>
    <n v="600"/>
    <n v="0"/>
    <n v="48.32"/>
    <n v="33.33"/>
    <n v="0"/>
    <n v="2.2133333333333334"/>
    <d v="1899-12-30T00:00:00"/>
    <x v="0"/>
    <n v="-0.60399999999999998"/>
    <n v="0"/>
    <m/>
  </r>
  <r>
    <x v="0"/>
    <x v="0"/>
    <x v="0"/>
    <s v="COMPRAS-LOCALES.xlsm"/>
    <s v="MP-125"/>
    <s v="ETIQUETA LETAL X 100 ML"/>
    <s v="MATERIA PRIMA"/>
    <s v="PRODUCCION"/>
    <m/>
    <m/>
    <m/>
    <m/>
    <n v="7.0000000000000007E-2"/>
    <n v="0"/>
    <n v="1000000000"/>
    <n v="1600"/>
    <n v="1836"/>
    <x v="5"/>
    <n v="-0.15"/>
    <n v="0"/>
    <m/>
    <n v="0"/>
    <n v="1836"/>
    <n v="0"/>
    <m/>
    <n v="2000"/>
    <n v="0"/>
    <n v="16.520000000000003"/>
    <n v="21.67"/>
    <n v="0"/>
    <n v="1"/>
    <d v="2011-11-22T00:00:00"/>
    <x v="0"/>
    <n v="-0.14749999999999999"/>
    <n v="0"/>
    <m/>
  </r>
  <r>
    <x v="0"/>
    <x v="0"/>
    <x v="0"/>
    <s v="COMPRAS-LOCALES.xlsm"/>
    <s v="MP-124"/>
    <s v="ETIQUETA LETAL X 250 ML"/>
    <s v="MATERIA PRIMA"/>
    <s v="PRODUCCION"/>
    <m/>
    <m/>
    <m/>
    <m/>
    <n v="7.0000000000000007E-2"/>
    <n v="0"/>
    <n v="1000000000"/>
    <n v="2000"/>
    <n v="2985"/>
    <x v="5"/>
    <n v="-0.49"/>
    <n v="0"/>
    <m/>
    <n v="0"/>
    <n v="2985"/>
    <n v="0"/>
    <m/>
    <n v="2000"/>
    <n v="0"/>
    <n v="68.95"/>
    <n v="77.75"/>
    <n v="0"/>
    <n v="1.6294999999999999"/>
    <d v="2011-10-25T00:00:00"/>
    <x v="0"/>
    <n v="-0.49249999999999999"/>
    <n v="0"/>
    <m/>
  </r>
  <r>
    <x v="0"/>
    <x v="0"/>
    <x v="0"/>
    <s v="COMPRAS-LOCALES.xlsm"/>
    <s v="MP-123"/>
    <s v="ETIQUETA LETAL X 500 ML"/>
    <s v="MATERIA PRIMA"/>
    <s v="PRODUCCION"/>
    <m/>
    <m/>
    <m/>
    <m/>
    <n v="0.09"/>
    <n v="0"/>
    <n v="1000000000"/>
    <n v="500"/>
    <n v="987"/>
    <x v="5"/>
    <n v="-0.97"/>
    <n v="0"/>
    <m/>
    <n v="0"/>
    <n v="987"/>
    <n v="0"/>
    <m/>
    <n v="600"/>
    <n v="0"/>
    <n v="43.83"/>
    <n v="6.62"/>
    <n v="0"/>
    <n v="0"/>
    <d v="1899-12-30T00:00:00"/>
    <x v="0"/>
    <n v="-0.97399999999999998"/>
    <n v="0"/>
    <m/>
  </r>
  <r>
    <x v="0"/>
    <x v="0"/>
    <x v="0"/>
    <s v="COMPRAS-LOCALES.xlsm"/>
    <s v="MP-897"/>
    <s v="ETIQUETA LETAL X LITRO"/>
    <s v="MATERIA PRIMA"/>
    <s v="PRODUCCION"/>
    <m/>
    <m/>
    <m/>
    <m/>
    <n v="0.14000000000000001"/>
    <n v="0"/>
    <n v="1000000000"/>
    <n v="500"/>
    <n v="428"/>
    <x v="4"/>
    <n v="0.14000000000000001"/>
    <n v="0"/>
    <m/>
    <n v="0"/>
    <n v="428"/>
    <n v="0"/>
    <m/>
    <n v="600"/>
    <n v="0"/>
    <n v="0"/>
    <n v="53.04"/>
    <n v="0"/>
    <n v="0"/>
    <d v="1899-12-30T00:00:00"/>
    <x v="1"/>
    <n v="0.14399999999999999"/>
    <e v="#N/A"/>
    <m/>
  </r>
  <r>
    <x v="0"/>
    <x v="0"/>
    <x v="0"/>
    <s v="COMPRAS-LOCALES.xlsm"/>
    <s v="MP-856"/>
    <s v="ETIQUETA MOSKAFIN 100G (DR. AGRO)POST."/>
    <s v="MATERIA PRIMA"/>
    <s v="PRODUCCION"/>
    <m/>
    <m/>
    <m/>
    <m/>
    <n v="0.06"/>
    <n v="0"/>
    <n v="1000000000"/>
    <n v="0"/>
    <n v="2171"/>
    <x v="1"/>
    <n v="0"/>
    <n v="0"/>
    <m/>
    <n v="0"/>
    <n v="217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41"/>
    <s v="ETIQUETA MOSKAFIN X 100 GMS DELANTERA"/>
    <s v="MATERIA PRIMA"/>
    <s v="PRODUCCION"/>
    <m/>
    <m/>
    <m/>
    <m/>
    <n v="0.06"/>
    <n v="0"/>
    <n v="1000000000"/>
    <n v="0"/>
    <n v="2238"/>
    <x v="1"/>
    <n v="0"/>
    <n v="0"/>
    <m/>
    <n v="0"/>
    <n v="2238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14"/>
    <s v="ETIQUETA ORGANIC POWER X 250 ML"/>
    <s v="MATERIA PRIMA"/>
    <s v="PRODUCCION"/>
    <m/>
    <m/>
    <m/>
    <m/>
    <n v="0.1"/>
    <n v="0"/>
    <n v="1000000000"/>
    <n v="500"/>
    <n v="751"/>
    <x v="5"/>
    <n v="-0.5"/>
    <n v="0"/>
    <m/>
    <n v="0"/>
    <n v="751"/>
    <n v="0"/>
    <m/>
    <n v="600"/>
    <n v="0"/>
    <n v="25.1"/>
    <n v="6.06"/>
    <n v="0"/>
    <n v="0"/>
    <d v="1899-12-30T00:00:00"/>
    <x v="0"/>
    <n v="-0.502"/>
    <n v="0"/>
    <m/>
  </r>
  <r>
    <x v="0"/>
    <x v="0"/>
    <x v="0"/>
    <s v="COMPRAS-LOCALES.xlsm"/>
    <s v="MP-248"/>
    <s v="ETIQUETA ORGANIC POWER X 500 ML"/>
    <s v="MATERIA PRIMA"/>
    <s v="PRODUCCION"/>
    <m/>
    <m/>
    <m/>
    <m/>
    <n v="0.16"/>
    <n v="0"/>
    <n v="1000000000"/>
    <n v="1000"/>
    <n v="1056"/>
    <x v="5"/>
    <n v="-0.06"/>
    <n v="0"/>
    <m/>
    <n v="0"/>
    <n v="1056"/>
    <n v="0"/>
    <n v="586"/>
    <n v="1000"/>
    <n v="0"/>
    <n v="8.9600000000000009"/>
    <n v="-7.75"/>
    <n v="0"/>
    <n v="0.84302815714044843"/>
    <d v="2011-10-25T00:00:00"/>
    <x v="0"/>
    <n v="-5.6000000000000001E-2"/>
    <n v="0"/>
    <m/>
  </r>
  <r>
    <x v="0"/>
    <x v="0"/>
    <x v="0"/>
    <s v="COMPRAS-LOCALES.xlsm"/>
    <s v="MP-113"/>
    <s v="ETIQUETA ORGANIC POWER X LITRO"/>
    <s v="MATERIA PRIMA"/>
    <s v="PRODUCCION"/>
    <m/>
    <m/>
    <m/>
    <m/>
    <n v="0.1"/>
    <n v="0"/>
    <n v="1000000000"/>
    <n v="500"/>
    <n v="946"/>
    <x v="5"/>
    <n v="-0.89"/>
    <n v="0"/>
    <m/>
    <n v="0"/>
    <n v="946"/>
    <n v="0"/>
    <m/>
    <n v="600"/>
    <n v="0"/>
    <n v="44.6"/>
    <n v="97.65"/>
    <n v="0"/>
    <n v="1.0566666666666666"/>
    <d v="1899-12-30T00:00:00"/>
    <x v="0"/>
    <n v="-0.89200000000000002"/>
    <n v="0"/>
    <m/>
  </r>
  <r>
    <x v="0"/>
    <x v="0"/>
    <x v="0"/>
    <s v="COMPRAS-LOCALES.xlsm"/>
    <s v="MP-3611"/>
    <s v="ETIQUETA PARALANCHA 250/500 GRS DELANTERA"/>
    <s v="MATERIA PRIMA"/>
    <s v="PRODUCCION"/>
    <m/>
    <m/>
    <m/>
    <m/>
    <n v="0.09"/>
    <n v="0"/>
    <n v="1000000000"/>
    <n v="1600"/>
    <n v="1798"/>
    <x v="5"/>
    <n v="-0.12"/>
    <n v="0"/>
    <m/>
    <n v="0"/>
    <n v="1798"/>
    <n v="0"/>
    <m/>
    <n v="2000"/>
    <n v="0"/>
    <n v="17.82"/>
    <n v="43.8"/>
    <n v="0"/>
    <n v="1"/>
    <d v="2011-11-22T00:00:00"/>
    <x v="0"/>
    <n v="-0.12375"/>
    <n v="0"/>
    <m/>
  </r>
  <r>
    <x v="0"/>
    <x v="0"/>
    <x v="0"/>
    <s v="COMPRAS-LOCALES.xlsm"/>
    <s v="MP-3612"/>
    <s v="ETIQUETA PARALANCHA 250/500 GRS POSTERIOR"/>
    <s v="MATERIA PRIMA"/>
    <s v="PRODUCCION"/>
    <m/>
    <m/>
    <m/>
    <m/>
    <n v="0.09"/>
    <n v="0"/>
    <n v="1000000000"/>
    <n v="1600"/>
    <n v="1801"/>
    <x v="5"/>
    <n v="-0.13"/>
    <n v="0"/>
    <m/>
    <n v="0"/>
    <n v="1801"/>
    <n v="0"/>
    <m/>
    <n v="2000"/>
    <n v="0"/>
    <n v="18.09"/>
    <n v="43.8"/>
    <n v="0"/>
    <n v="1"/>
    <d v="2011-11-22T00:00:00"/>
    <x v="0"/>
    <n v="-0.12562499999999999"/>
    <n v="0"/>
    <m/>
  </r>
  <r>
    <x v="0"/>
    <x v="0"/>
    <x v="0"/>
    <s v="COMPRAS-LOCALES.xlsm"/>
    <s v="MP-01131"/>
    <s v="ETIQUETA PROFESIONAL THICKER X KILO"/>
    <s v="MATERIA PRIMA"/>
    <s v="PRODUCCION"/>
    <m/>
    <m/>
    <m/>
    <m/>
    <n v="0.21"/>
    <n v="0"/>
    <n v="1000000000"/>
    <n v="500"/>
    <n v="659"/>
    <x v="5"/>
    <n v="-0.32"/>
    <n v="0"/>
    <m/>
    <n v="0"/>
    <n v="659"/>
    <n v="0"/>
    <m/>
    <n v="600"/>
    <n v="0"/>
    <n v="33.39"/>
    <n v="0.24"/>
    <n v="0"/>
    <n v="0.83333333333333337"/>
    <d v="1899-12-30T00:00:00"/>
    <x v="0"/>
    <n v="-0.318"/>
    <n v="0"/>
    <m/>
  </r>
  <r>
    <x v="0"/>
    <x v="0"/>
    <x v="0"/>
    <s v="COMPRAS-LOCALES.xlsm"/>
    <s v="MP-6610"/>
    <s v="ETIQUETA PROPILAQ POR 100ML"/>
    <s v="MATERIA PRIMA"/>
    <s v="PRODUCCION"/>
    <m/>
    <m/>
    <m/>
    <m/>
    <n v="0.05"/>
    <n v="0"/>
    <n v="1000000000"/>
    <n v="1100"/>
    <n v="2435"/>
    <x v="5"/>
    <n v="-1.21"/>
    <n v="0"/>
    <m/>
    <n v="0"/>
    <n v="2435"/>
    <n v="0"/>
    <m/>
    <n v="1000"/>
    <n v="0"/>
    <n v="66.75"/>
    <n v="4.3600000000000003"/>
    <n v="0"/>
    <n v="1"/>
    <d v="2011-11-30T00:00:00"/>
    <x v="0"/>
    <n v="-1.2136363636363636"/>
    <n v="0"/>
    <m/>
  </r>
  <r>
    <x v="0"/>
    <x v="0"/>
    <x v="0"/>
    <s v="COMPRAS-LOCALES.xlsm"/>
    <s v="MP-6615"/>
    <s v="ETIQUETA PROPILAQ X  250ML"/>
    <s v="MATERIA PRIMA"/>
    <s v="PRODUCCION"/>
    <m/>
    <m/>
    <m/>
    <m/>
    <n v="0.1"/>
    <n v="0"/>
    <n v="1000000000"/>
    <n v="500"/>
    <n v="251"/>
    <x v="3"/>
    <n v="0.5"/>
    <n v="0"/>
    <m/>
    <n v="0"/>
    <n v="251"/>
    <n v="300"/>
    <m/>
    <n v="600"/>
    <n v="0"/>
    <n v="0"/>
    <n v="3.46"/>
    <n v="0"/>
    <n v="0"/>
    <d v="1899-12-30T00:00:00"/>
    <x v="1"/>
    <n v="0.498"/>
    <e v="#N/A"/>
    <m/>
  </r>
  <r>
    <x v="0"/>
    <x v="0"/>
    <x v="0"/>
    <s v="COMPRAS-LOCALES.xlsm"/>
    <s v="MP-667"/>
    <s v="ETIQUETA PROPILAQ X LITRO"/>
    <s v="MATERIA PRIMA"/>
    <s v="PRODUCCION"/>
    <m/>
    <m/>
    <m/>
    <m/>
    <n v="0.09"/>
    <n v="0"/>
    <n v="1000000000"/>
    <n v="500"/>
    <n v="1024"/>
    <x v="5"/>
    <n v="-1.05"/>
    <n v="0"/>
    <m/>
    <n v="0"/>
    <n v="1024"/>
    <n v="0"/>
    <m/>
    <n v="600"/>
    <n v="0"/>
    <n v="47.16"/>
    <n v="26.55"/>
    <n v="0"/>
    <n v="1.0466666666666666"/>
    <d v="2011-10-25T00:00:00"/>
    <x v="0"/>
    <n v="-1.048"/>
    <n v="0"/>
    <m/>
  </r>
  <r>
    <x v="0"/>
    <x v="0"/>
    <x v="0"/>
    <s v="COMPRAS-LOCALES.xlsm"/>
    <s v="MP-318"/>
    <s v="ETIQUETA QUITA PLAGA X 100 ML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22"/>
    <s v="ETIQUETA QUITA PLAGA X 250 ML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17"/>
    <s v="ETIQUETA QUITA PLAGA X 500 ML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20"/>
    <s v="ETIQUETA QUITA PLAGA X LITRO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95"/>
    <s v="ETIQUETA RAIZ FORTE G X KILO"/>
    <s v="MATERIA PRIMA"/>
    <s v="PRODUCCION"/>
    <m/>
    <m/>
    <m/>
    <m/>
    <n v="0.11"/>
    <n v="6.93"/>
    <n v="1000000000"/>
    <n v="1500"/>
    <n v="2119"/>
    <x v="5"/>
    <n v="-0.41"/>
    <n v="0"/>
    <m/>
    <n v="0"/>
    <n v="2119"/>
    <n v="0"/>
    <m/>
    <n v="1400"/>
    <n v="0"/>
    <n v="68.09"/>
    <n v="24.2"/>
    <n v="0.05"/>
    <n v="1.4147619047619047"/>
    <d v="2011-10-25T00:00:00"/>
    <x v="0"/>
    <n v="-0.41266666666666668"/>
    <n v="0"/>
    <m/>
  </r>
  <r>
    <x v="0"/>
    <x v="0"/>
    <x v="0"/>
    <s v="COMPRAS-LOCALES.xlsm"/>
    <s v="MP-2611"/>
    <s v="ETIQUETA RAIZ FORTE X 500 ML"/>
    <s v="MATERIA PRIMA"/>
    <s v="PRODUCCION"/>
    <m/>
    <m/>
    <m/>
    <m/>
    <n v="0.09"/>
    <n v="0"/>
    <n v="1000000000"/>
    <n v="1000"/>
    <n v="1391"/>
    <x v="5"/>
    <n v="-0.39"/>
    <n v="0"/>
    <m/>
    <n v="0"/>
    <n v="1391"/>
    <n v="0"/>
    <m/>
    <n v="1000"/>
    <n v="0"/>
    <n v="35.19"/>
    <n v="10.58"/>
    <n v="0"/>
    <n v="1.254"/>
    <d v="2011-10-25T00:00:00"/>
    <x v="0"/>
    <n v="-0.39100000000000001"/>
    <n v="0"/>
    <m/>
  </r>
  <r>
    <x v="0"/>
    <x v="0"/>
    <x v="0"/>
    <s v="COMPRAS-LOCALES.xlsm"/>
    <s v="MP-261"/>
    <s v="ETIQUETA RAIZ FORTE X LITRO"/>
    <s v="MATERIA PRIMA"/>
    <s v="PRODUCCION"/>
    <m/>
    <m/>
    <m/>
    <m/>
    <n v="0.12"/>
    <n v="0"/>
    <n v="1000000000"/>
    <n v="500"/>
    <n v="868"/>
    <x v="5"/>
    <n v="-0.74"/>
    <n v="0"/>
    <m/>
    <n v="0"/>
    <n v="868"/>
    <n v="0"/>
    <m/>
    <n v="600"/>
    <n v="0"/>
    <n v="44.16"/>
    <n v="16.12"/>
    <n v="0"/>
    <n v="1.6666666666666667"/>
    <d v="2011-10-25T00:00:00"/>
    <x v="0"/>
    <n v="-0.73599999999999999"/>
    <n v="0"/>
    <m/>
  </r>
  <r>
    <x v="0"/>
    <x v="0"/>
    <x v="0"/>
    <s v="COMPRAS-LOCALES.xlsm"/>
    <s v="MP-19454"/>
    <s v="ETIQUETA RIDONATE X 100 ML"/>
    <s v="MATERIA PRIMA"/>
    <s v="PRODUCCION"/>
    <m/>
    <m/>
    <m/>
    <m/>
    <n v="0.13"/>
    <n v="0"/>
    <n v="1000000000"/>
    <n v="400"/>
    <n v="410"/>
    <x v="5"/>
    <n v="-0.03"/>
    <n v="0"/>
    <m/>
    <n v="0"/>
    <n v="410"/>
    <n v="0"/>
    <m/>
    <n v="300"/>
    <n v="0"/>
    <n v="1.3"/>
    <n v="0.64"/>
    <n v="0"/>
    <n v="1"/>
    <d v="2011-11-22T00:00:00"/>
    <x v="0"/>
    <n v="-2.5000000000000001E-2"/>
    <n v="0"/>
    <m/>
  </r>
  <r>
    <x v="0"/>
    <x v="0"/>
    <x v="0"/>
    <s v="COMPRAS-LOCALES.xlsm"/>
    <s v="MP-19451"/>
    <s v="ETIQUETA RIDONATE X 200 ML"/>
    <s v="MATERIA PRIMA"/>
    <s v="PRODUCCION"/>
    <m/>
    <m/>
    <m/>
    <m/>
    <n v="0.16"/>
    <n v="0"/>
    <n v="1000000000"/>
    <n v="500"/>
    <n v="820"/>
    <x v="5"/>
    <n v="-0.64"/>
    <n v="0"/>
    <m/>
    <n v="0"/>
    <n v="820"/>
    <n v="0"/>
    <m/>
    <n v="600"/>
    <n v="0"/>
    <n v="51.2"/>
    <n v="1.74"/>
    <n v="0"/>
    <n v="0.81526325444872505"/>
    <d v="1899-12-30T00:00:00"/>
    <x v="0"/>
    <n v="-0.64"/>
    <n v="0"/>
    <m/>
  </r>
  <r>
    <x v="0"/>
    <x v="0"/>
    <x v="0"/>
    <s v="COMPRAS-LOCALES.xlsm"/>
    <s v="MP-6614"/>
    <s v="ETIQUETA RIDONATE X 250 ML"/>
    <s v="MATERIA PRIMA"/>
    <s v="PRODUCCION"/>
    <m/>
    <m/>
    <m/>
    <m/>
    <n v="0.14000000000000001"/>
    <n v="0"/>
    <n v="1000000000"/>
    <n v="0"/>
    <n v="744"/>
    <x v="1"/>
    <n v="0"/>
    <n v="0"/>
    <m/>
    <n v="0"/>
    <n v="744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9455"/>
    <s v="ETIQUETA RIDONATE X 400 ML"/>
    <s v="MATERIA PRIMA"/>
    <s v="PRODUCCION"/>
    <m/>
    <m/>
    <m/>
    <m/>
    <n v="0.11"/>
    <n v="0"/>
    <n v="1000000000"/>
    <n v="500"/>
    <n v="130"/>
    <x v="0"/>
    <n v="0.74"/>
    <n v="0"/>
    <m/>
    <n v="0"/>
    <n v="130"/>
    <n v="300"/>
    <m/>
    <n v="600"/>
    <n v="-4.07"/>
    <n v="0"/>
    <n v="12.28"/>
    <n v="0"/>
    <n v="1.6329371816638372"/>
    <d v="2011-10-25T00:00:00"/>
    <x v="0"/>
    <n v="0.74"/>
    <n v="0"/>
    <m/>
  </r>
  <r>
    <x v="0"/>
    <x v="0"/>
    <x v="0"/>
    <s v="COMPRAS-LOCALES.xlsm"/>
    <s v="MP-6613"/>
    <s v="ETIQUETA RIDONATE X 500 ML"/>
    <s v="MATERIA PRIMA"/>
    <s v="PRODUCCION"/>
    <m/>
    <m/>
    <m/>
    <m/>
    <n v="0.12"/>
    <n v="0"/>
    <n v="1000000000"/>
    <n v="0"/>
    <n v="380"/>
    <x v="1"/>
    <n v="0"/>
    <n v="0"/>
    <m/>
    <n v="0"/>
    <n v="38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6612"/>
    <s v="ETIQUETA RIDONATE X LITRO"/>
    <s v="MATERIA PRIMA"/>
    <s v="PRODUCCION"/>
    <m/>
    <m/>
    <m/>
    <m/>
    <n v="0.14000000000000001"/>
    <n v="0"/>
    <n v="1000000000"/>
    <n v="500"/>
    <n v="739"/>
    <x v="5"/>
    <n v="-0.48"/>
    <n v="0"/>
    <m/>
    <n v="0"/>
    <n v="739"/>
    <n v="0"/>
    <m/>
    <n v="600"/>
    <n v="0"/>
    <n v="33.46"/>
    <n v="15.23"/>
    <n v="0"/>
    <n v="1.6666666666666667"/>
    <d v="1899-12-30T00:00:00"/>
    <x v="0"/>
    <n v="-0.47799999999999998"/>
    <n v="0"/>
    <m/>
  </r>
  <r>
    <x v="0"/>
    <x v="0"/>
    <x v="0"/>
    <s v="COMPRAS-LOCALES.xlsm"/>
    <s v="MP-135"/>
    <s v="ETIQUETA SCOBA X 100 ML"/>
    <s v="MATERIA PRIMA"/>
    <s v="PRODUCCION"/>
    <m/>
    <m/>
    <m/>
    <m/>
    <n v="0.05"/>
    <n v="0"/>
    <n v="1000000000"/>
    <n v="2261"/>
    <n v="2851"/>
    <x v="5"/>
    <n v="-0.26"/>
    <n v="0"/>
    <m/>
    <n v="0"/>
    <n v="2851"/>
    <n v="0"/>
    <n v="249"/>
    <n v="2000"/>
    <n v="0"/>
    <n v="29.5"/>
    <n v="55.79"/>
    <n v="0"/>
    <n v="1.1293393268613303"/>
    <d v="2012-02-10T00:00:00"/>
    <x v="0"/>
    <n v="-0.26094648385670055"/>
    <n v="0"/>
    <m/>
  </r>
  <r>
    <x v="0"/>
    <x v="0"/>
    <x v="0"/>
    <s v="COMPRAS-LOCALES.xlsm"/>
    <s v="MP-134"/>
    <s v="ETIQUETA SCOBA X 250 ML"/>
    <s v="MATERIA PRIMA"/>
    <s v="PRODUCCION"/>
    <m/>
    <m/>
    <m/>
    <m/>
    <n v="0.06"/>
    <n v="0"/>
    <n v="1000000000"/>
    <n v="2100"/>
    <n v="1212"/>
    <x v="3"/>
    <n v="0.42"/>
    <n v="0"/>
    <m/>
    <n v="0"/>
    <n v="1212"/>
    <n v="1000"/>
    <m/>
    <n v="2000"/>
    <n v="0"/>
    <n v="0"/>
    <n v="87.14"/>
    <n v="0"/>
    <n v="0.71275944076102626"/>
    <d v="2011-11-15T00:00:00"/>
    <x v="0"/>
    <n v="0.42285714285714288"/>
    <n v="0"/>
    <m/>
  </r>
  <r>
    <x v="0"/>
    <x v="0"/>
    <x v="0"/>
    <s v="COMPRAS-LOCALES.xlsm"/>
    <s v="MP-136"/>
    <s v="ETIQUETA SCOBA X 50 ML"/>
    <s v="MATERIA PRIMA"/>
    <s v="PRODUCCION"/>
    <m/>
    <m/>
    <m/>
    <m/>
    <n v="0.11"/>
    <n v="0"/>
    <n v="1000000000"/>
    <n v="500"/>
    <n v="467"/>
    <x v="4"/>
    <n v="7.0000000000000007E-2"/>
    <n v="0"/>
    <m/>
    <n v="0"/>
    <n v="467"/>
    <n v="0"/>
    <m/>
    <n v="600"/>
    <n v="0"/>
    <n v="0"/>
    <n v="26"/>
    <n v="0"/>
    <n v="0"/>
    <d v="2011-06-10T00:00:00"/>
    <x v="0"/>
    <n v="6.6000000000000003E-2"/>
    <n v="0"/>
    <m/>
  </r>
  <r>
    <x v="0"/>
    <x v="0"/>
    <x v="0"/>
    <s v="COMPRAS-LOCALES.xlsm"/>
    <s v="MP-133"/>
    <s v="ETIQUETA SCOBA X LITRO"/>
    <s v="MATERIA PRIMA"/>
    <s v="PRODUCCION"/>
    <m/>
    <m/>
    <m/>
    <m/>
    <n v="7.0000000000000007E-2"/>
    <n v="0"/>
    <n v="1000000000"/>
    <n v="2793"/>
    <n v="2658"/>
    <x v="4"/>
    <n v="0.05"/>
    <n v="0"/>
    <m/>
    <n v="0"/>
    <n v="2658"/>
    <n v="0"/>
    <m/>
    <n v="3000"/>
    <n v="0"/>
    <n v="0"/>
    <n v="1407.99"/>
    <n v="0"/>
    <n v="0.87091657539937306"/>
    <d v="2011-12-20T00:00:00"/>
    <x v="0"/>
    <n v="4.8335123523093451E-2"/>
    <n v="0"/>
    <m/>
  </r>
  <r>
    <x v="0"/>
    <x v="0"/>
    <x v="0"/>
    <s v="COMPRAS-LOCALES.xlsm"/>
    <s v="MP-254"/>
    <s v="ETIQUETA SINOPRID X 50 GMS"/>
    <s v="MATERIA PRIMA"/>
    <s v="PRODUCCION"/>
    <m/>
    <m/>
    <m/>
    <m/>
    <n v="0.11"/>
    <n v="0"/>
    <n v="1000000000"/>
    <n v="0"/>
    <n v="568"/>
    <x v="1"/>
    <n v="0"/>
    <n v="0"/>
    <m/>
    <n v="0"/>
    <n v="568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46"/>
    <s v="ETIQUETA SINOPRID X 500 GMS / DELANTERA"/>
    <s v="MATERIA PRIMA"/>
    <s v="PRODUCCION"/>
    <m/>
    <m/>
    <m/>
    <m/>
    <n v="0.24"/>
    <n v="0"/>
    <n v="1000000000"/>
    <n v="400"/>
    <n v="379"/>
    <x v="4"/>
    <n v="0.05"/>
    <n v="0"/>
    <m/>
    <n v="0"/>
    <n v="379"/>
    <n v="0"/>
    <m/>
    <n v="300"/>
    <n v="0"/>
    <n v="0"/>
    <n v="9.98"/>
    <n v="0"/>
    <n v="0"/>
    <d v="2011-11-22T00:00:00"/>
    <x v="0"/>
    <n v="5.2499999999999998E-2"/>
    <n v="0"/>
    <m/>
  </r>
  <r>
    <x v="0"/>
    <x v="0"/>
    <x v="0"/>
    <s v="COMPRAS-LOCALES.xlsm"/>
    <s v="MP-141"/>
    <s v="ETIQUETA SINOTYL X 500 GRS - DELANTERA"/>
    <s v="MATERIA PRIMA"/>
    <s v="PRODUCCION"/>
    <m/>
    <m/>
    <m/>
    <m/>
    <n v="0.18"/>
    <n v="0"/>
    <n v="1000000000"/>
    <n v="425"/>
    <n v="509"/>
    <x v="5"/>
    <n v="-0.2"/>
    <n v="0"/>
    <m/>
    <n v="0"/>
    <n v="509"/>
    <n v="0"/>
    <m/>
    <n v="600"/>
    <n v="0"/>
    <n v="15.12"/>
    <n v="21.64"/>
    <n v="0"/>
    <n v="0.92468856172140435"/>
    <d v="2011-11-22T00:00:00"/>
    <x v="0"/>
    <n v="-0.1976470588235294"/>
    <n v="0"/>
    <m/>
  </r>
  <r>
    <x v="0"/>
    <x v="0"/>
    <x v="0"/>
    <s v="COMPRAS-LOCALES.xlsm"/>
    <s v="MP-140"/>
    <s v="ETIQUETA SINOTYL X KILO"/>
    <s v="MATERIA PRIMA"/>
    <s v="PRODUCCION"/>
    <m/>
    <m/>
    <m/>
    <m/>
    <n v="0.13"/>
    <n v="0"/>
    <n v="1000000000"/>
    <n v="500"/>
    <n v="691"/>
    <x v="5"/>
    <n v="-0.38"/>
    <n v="0"/>
    <m/>
    <n v="0"/>
    <n v="691"/>
    <n v="0"/>
    <m/>
    <n v="600"/>
    <n v="0"/>
    <n v="24.830000000000002"/>
    <n v="81.33"/>
    <n v="0"/>
    <n v="0"/>
    <d v="1899-12-30T00:00:00"/>
    <x v="0"/>
    <n v="-0.38200000000000001"/>
    <n v="0"/>
    <m/>
  </r>
  <r>
    <x v="0"/>
    <x v="0"/>
    <x v="0"/>
    <s v="COMPRAS-LOCALES.xlsm"/>
    <s v="MP-122"/>
    <s v="ETIQUETA SINOZOX X 100 ML"/>
    <s v="MATERIA PRIMA"/>
    <s v="PRODUCCION"/>
    <m/>
    <m/>
    <m/>
    <m/>
    <n v="0.04"/>
    <n v="0"/>
    <n v="1000000000"/>
    <n v="2000"/>
    <n v="3819"/>
    <x v="5"/>
    <n v="-0.91"/>
    <n v="0"/>
    <m/>
    <n v="0"/>
    <n v="3819"/>
    <n v="0"/>
    <m/>
    <n v="2000"/>
    <n v="0"/>
    <n v="72.760000000000005"/>
    <n v="19"/>
    <n v="0"/>
    <n v="1.1054999999999999"/>
    <d v="2011-10-25T00:00:00"/>
    <x v="0"/>
    <n v="-0.90949999999999998"/>
    <n v="0"/>
    <m/>
  </r>
  <r>
    <x v="0"/>
    <x v="0"/>
    <x v="0"/>
    <s v="COMPRAS-LOCALES.xlsm"/>
    <s v="MP-121"/>
    <s v="ETIQUETA SINOZOX X 500 ML"/>
    <s v="MATERIA PRIMA"/>
    <s v="PRODUCCION"/>
    <m/>
    <m/>
    <m/>
    <m/>
    <n v="0.26"/>
    <n v="0"/>
    <n v="1000000000"/>
    <n v="500"/>
    <n v="683"/>
    <x v="5"/>
    <n v="-0.37"/>
    <n v="0"/>
    <m/>
    <n v="0"/>
    <n v="683"/>
    <n v="0"/>
    <m/>
    <n v="600"/>
    <n v="0"/>
    <n v="47.58"/>
    <n v="7.32"/>
    <n v="0"/>
    <n v="0"/>
    <d v="1899-12-30T00:00:00"/>
    <x v="0"/>
    <n v="-0.36599999999999999"/>
    <n v="0"/>
    <m/>
  </r>
  <r>
    <x v="0"/>
    <x v="0"/>
    <x v="0"/>
    <s v="COMPRAS-LOCALES.xlsm"/>
    <s v="MP-150"/>
    <s v="ETIQUETA SKEKURA X 100 ML"/>
    <s v="MATERIA PRIMA"/>
    <s v="PRODUCCION"/>
    <m/>
    <m/>
    <m/>
    <m/>
    <n v="0.05"/>
    <n v="0"/>
    <n v="1000000000"/>
    <n v="0"/>
    <n v="692"/>
    <x v="1"/>
    <n v="0"/>
    <n v="0"/>
    <m/>
    <n v="0"/>
    <n v="692"/>
    <n v="0"/>
    <m/>
    <n v="0"/>
    <n v="0"/>
    <n v="0"/>
    <n v="0"/>
    <n v="0"/>
    <n v="0.14512209235042242"/>
    <d v="1899-12-30T00:00:00"/>
    <x v="0"/>
    <s v=""/>
    <n v="0"/>
    <m/>
  </r>
  <r>
    <x v="0"/>
    <x v="0"/>
    <x v="0"/>
    <s v="COMPRAS-LOCALES.xlsm"/>
    <s v="MP-279"/>
    <s v="ETIQUETA SKEKURA X 200 GMS"/>
    <s v="MATERIA PRIMA"/>
    <s v="PRODUCCION"/>
    <m/>
    <m/>
    <m/>
    <m/>
    <n v="0.1"/>
    <n v="0"/>
    <n v="1000000000"/>
    <n v="0"/>
    <n v="592"/>
    <x v="1"/>
    <n v="0"/>
    <n v="0"/>
    <m/>
    <n v="0"/>
    <n v="592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49"/>
    <s v="ETIQUETA SKEKURA X 250 ML"/>
    <s v="MATERIA PRIMA"/>
    <s v="PRODUCCION"/>
    <m/>
    <m/>
    <m/>
    <m/>
    <n v="0.11"/>
    <n v="0"/>
    <n v="1000000000"/>
    <n v="0"/>
    <n v="1629"/>
    <x v="1"/>
    <n v="0"/>
    <n v="0"/>
    <m/>
    <n v="0"/>
    <n v="1629"/>
    <n v="0"/>
    <m/>
    <n v="0"/>
    <n v="0"/>
    <n v="0"/>
    <n v="0"/>
    <n v="0"/>
    <n v="1.8738203425375741"/>
    <d v="1899-12-30T00:00:00"/>
    <x v="0"/>
    <s v=""/>
    <n v="0"/>
    <m/>
  </r>
  <r>
    <x v="0"/>
    <x v="0"/>
    <x v="0"/>
    <s v="COMPRAS-LOCALES.xlsm"/>
    <s v="MP-1234"/>
    <s v="ETIQUETA SKEKURA X 500 GRS DEL"/>
    <s v="MATERIA PRIMA"/>
    <s v="PRODUCCION"/>
    <m/>
    <m/>
    <m/>
    <m/>
    <n v="0.11"/>
    <n v="0"/>
    <n v="1000000000"/>
    <n v="2000"/>
    <n v="1517"/>
    <x v="4"/>
    <n v="0.24"/>
    <n v="0"/>
    <m/>
    <n v="0"/>
    <n v="1517"/>
    <n v="1000"/>
    <m/>
    <n v="2000"/>
    <n v="0"/>
    <n v="0"/>
    <n v="48.74"/>
    <n v="0"/>
    <n v="1.0358941443665448"/>
    <d v="2011-10-25T00:00:00"/>
    <x v="0"/>
    <n v="0.24149999999999999"/>
    <n v="0"/>
    <m/>
  </r>
  <r>
    <x v="0"/>
    <x v="0"/>
    <x v="0"/>
    <s v="COMPRAS-LOCALES.xlsm"/>
    <s v="MP-1323"/>
    <s v="ETIQUETA SKEKURA X 500 GRS POST"/>
    <s v="MATERIA PRIMA"/>
    <s v="PRODUCCION"/>
    <m/>
    <m/>
    <m/>
    <m/>
    <n v="0.11"/>
    <n v="0"/>
    <n v="1000000000"/>
    <n v="2000"/>
    <n v="1589"/>
    <x v="4"/>
    <n v="0.21"/>
    <n v="0"/>
    <m/>
    <n v="0"/>
    <n v="1589"/>
    <n v="1000"/>
    <m/>
    <n v="2000"/>
    <n v="0"/>
    <n v="0"/>
    <n v="48.74"/>
    <n v="0"/>
    <n v="1.0768766627355257"/>
    <d v="2011-10-25T00:00:00"/>
    <x v="0"/>
    <n v="0.20549999999999999"/>
    <n v="0"/>
    <m/>
  </r>
  <r>
    <x v="0"/>
    <x v="0"/>
    <x v="0"/>
    <s v="COMPRAS-LOCALES.xlsm"/>
    <s v="MP-363"/>
    <s v="ETIQUETA SKEKURA X 500 ML"/>
    <s v="MATERIA PRIMA"/>
    <s v="PRODUCCION"/>
    <m/>
    <m/>
    <m/>
    <m/>
    <n v="0.1"/>
    <n v="0"/>
    <n v="1000000000"/>
    <n v="0"/>
    <n v="691"/>
    <x v="1"/>
    <n v="0"/>
    <n v="0"/>
    <m/>
    <n v="0"/>
    <n v="691"/>
    <n v="0"/>
    <m/>
    <n v="0"/>
    <n v="0"/>
    <n v="0"/>
    <n v="0"/>
    <n v="0"/>
    <n v="1"/>
    <d v="1899-12-30T00:00:00"/>
    <x v="0"/>
    <s v=""/>
    <n v="0"/>
    <m/>
  </r>
  <r>
    <x v="0"/>
    <x v="0"/>
    <x v="0"/>
    <s v="COMPRAS-LOCALES.xlsm"/>
    <s v="MP-151"/>
    <s v="ETIQUETA SKEKURA X KILO"/>
    <s v="MATERIA PRIMA"/>
    <s v="PRODUCCION"/>
    <m/>
    <m/>
    <m/>
    <m/>
    <n v="0.2"/>
    <n v="0"/>
    <n v="1000000000"/>
    <n v="0"/>
    <n v="553"/>
    <x v="1"/>
    <n v="0"/>
    <n v="0"/>
    <m/>
    <n v="0"/>
    <n v="553"/>
    <n v="0"/>
    <m/>
    <n v="1"/>
    <n v="0"/>
    <n v="0"/>
    <n v="0"/>
    <n v="0"/>
    <n v="1.6539753639417696"/>
    <d v="1899-12-30T00:00:00"/>
    <x v="0"/>
    <s v=""/>
    <n v="0"/>
    <m/>
  </r>
  <r>
    <x v="0"/>
    <x v="0"/>
    <x v="0"/>
    <s v="COMPRAS-LOCALES.xlsm"/>
    <s v="MP-148"/>
    <s v="ETIQUETA SKEKURA X LITRO"/>
    <s v="MATERIA PRIMA"/>
    <s v="PRODUCCION"/>
    <m/>
    <m/>
    <m/>
    <m/>
    <n v="7.0000000000000007E-2"/>
    <n v="0"/>
    <n v="1000000000"/>
    <n v="0"/>
    <n v="787"/>
    <x v="1"/>
    <n v="0"/>
    <n v="0"/>
    <m/>
    <n v="0"/>
    <n v="787"/>
    <n v="0"/>
    <m/>
    <n v="0"/>
    <n v="0"/>
    <n v="0"/>
    <n v="0"/>
    <n v="0"/>
    <n v="0"/>
    <d v="1899-12-30T00:00:00"/>
    <x v="0"/>
    <s v=""/>
    <n v="0"/>
    <m/>
  </r>
  <r>
    <x v="0"/>
    <x v="0"/>
    <x v="0"/>
    <s v="COMPRAS-LOCALES.xlsm"/>
    <s v="MP-211"/>
    <s v="ETIQUETA SKEMATA X 100 ML"/>
    <s v="MATERIA PRIMA"/>
    <s v="PRODUCCION"/>
    <m/>
    <m/>
    <m/>
    <m/>
    <n v="0.08"/>
    <n v="0"/>
    <n v="1000000000"/>
    <n v="2000"/>
    <n v="3449"/>
    <x v="5"/>
    <n v="-0.72"/>
    <n v="0"/>
    <m/>
    <n v="0"/>
    <n v="3449"/>
    <n v="0"/>
    <m/>
    <n v="2000"/>
    <n v="0"/>
    <n v="115.92"/>
    <n v="5.43"/>
    <n v="0"/>
    <n v="0.52700000000000002"/>
    <d v="2011-10-25T00:00:00"/>
    <x v="0"/>
    <n v="-0.72450000000000003"/>
    <n v="0"/>
    <m/>
  </r>
  <r>
    <x v="0"/>
    <x v="0"/>
    <x v="0"/>
    <s v="COMPRAS-LOCALES.xlsm"/>
    <s v="MP-212"/>
    <s v="ETIQUETA SKEMATA X 250 ML"/>
    <s v="MATERIA PRIMA"/>
    <s v="PRODUCCION"/>
    <m/>
    <m/>
    <m/>
    <m/>
    <n v="0.05"/>
    <n v="0"/>
    <n v="1000000000"/>
    <n v="3990"/>
    <n v="3407"/>
    <x v="4"/>
    <n v="0.15"/>
    <n v="0"/>
    <m/>
    <n v="0"/>
    <n v="3407"/>
    <n v="0"/>
    <m/>
    <n v="4500"/>
    <n v="0"/>
    <n v="0"/>
    <n v="14.18"/>
    <n v="0"/>
    <n v="0.99909902160084385"/>
    <d v="2012-02-10T00:00:00"/>
    <x v="0"/>
    <n v="0.14611528822055136"/>
    <n v="0"/>
    <m/>
  </r>
  <r>
    <x v="0"/>
    <x v="0"/>
    <x v="0"/>
    <s v="COMPRAS-LOCALES.xlsm"/>
    <s v="MP-213"/>
    <s v="ETIQUETA SKEMATA X 500 ML"/>
    <s v="MATERIA PRIMA"/>
    <s v="PRODUCCION"/>
    <m/>
    <m/>
    <m/>
    <m/>
    <n v="0.15"/>
    <n v="0"/>
    <n v="1000000000"/>
    <n v="1000"/>
    <n v="1945"/>
    <x v="5"/>
    <n v="-0.95"/>
    <n v="0"/>
    <m/>
    <n v="0"/>
    <n v="1945"/>
    <n v="0"/>
    <m/>
    <n v="1000"/>
    <n v="0"/>
    <n v="141.75"/>
    <n v="7.87"/>
    <n v="0"/>
    <n v="0"/>
    <d v="2011-10-25T00:00:00"/>
    <x v="0"/>
    <n v="-0.94499999999999995"/>
    <n v="0"/>
    <m/>
  </r>
  <r>
    <x v="0"/>
    <x v="0"/>
    <x v="0"/>
    <s v="COMPRAS-LOCALES.xlsm"/>
    <s v="MP-214"/>
    <s v="ETIQUETA SKEMATA X LITRO"/>
    <s v="MATERIA PRIMA"/>
    <s v="PRODUCCION"/>
    <m/>
    <m/>
    <m/>
    <m/>
    <n v="0.09"/>
    <n v="0"/>
    <n v="1000000000"/>
    <n v="1000"/>
    <n v="1246"/>
    <x v="5"/>
    <n v="-0.25"/>
    <n v="0"/>
    <m/>
    <n v="0"/>
    <n v="1246"/>
    <n v="0"/>
    <m/>
    <n v="1000"/>
    <n v="0"/>
    <n v="22.14"/>
    <n v="83.82"/>
    <n v="0"/>
    <n v="1"/>
    <d v="2011-10-25T00:00:00"/>
    <x v="0"/>
    <n v="-0.246"/>
    <n v="0"/>
    <m/>
  </r>
  <r>
    <x v="0"/>
    <x v="0"/>
    <x v="0"/>
    <s v="COMPRAS-LOCALES.xlsm"/>
    <s v="MP-01130"/>
    <s v="ETIQUETA SUPER VIVERO X KILO"/>
    <s v="MATERIA PRIMA "/>
    <s v="PRODUCCION"/>
    <m/>
    <m/>
    <m/>
    <m/>
    <n v="0.21"/>
    <n v="0"/>
    <n v="1000000000"/>
    <n v="850"/>
    <n v="1115"/>
    <x v="5"/>
    <n v="-0.31"/>
    <n v="0"/>
    <m/>
    <n v="0"/>
    <n v="1115"/>
    <n v="0"/>
    <m/>
    <n v="1000"/>
    <n v="0"/>
    <n v="55.65"/>
    <n v="0.71"/>
    <n v="0"/>
    <n v="1"/>
    <d v="2011-11-22T00:00:00"/>
    <x v="0"/>
    <n v="-0.31176470588235294"/>
    <n v="0"/>
    <m/>
  </r>
  <r>
    <x v="0"/>
    <x v="0"/>
    <x v="0"/>
    <s v="COMPRAS-LOCALES.xlsm"/>
    <s v="MP-0176"/>
    <s v="ETIQUETA TOKAL 400 X 100 ML"/>
    <s v="MATERIA PRIMA"/>
    <s v="PRODUCCION"/>
    <m/>
    <m/>
    <m/>
    <m/>
    <n v="7.0000000000000007E-2"/>
    <n v="0"/>
    <n v="1000000000"/>
    <n v="0"/>
    <n v="1689"/>
    <x v="1"/>
    <n v="0"/>
    <n v="0"/>
    <m/>
    <n v="0"/>
    <n v="1689"/>
    <n v="0"/>
    <m/>
    <n v="1"/>
    <n v="0"/>
    <n v="0"/>
    <n v="0"/>
    <n v="0"/>
    <n v="1"/>
    <d v="1899-12-30T00:00:00"/>
    <x v="0"/>
    <s v=""/>
    <n v="0"/>
    <m/>
  </r>
  <r>
    <x v="0"/>
    <x v="0"/>
    <x v="0"/>
    <s v="COMPRAS-LOCALES.xlsm"/>
    <s v="MP-400"/>
    <s v="ETIQUETA TOKAL 400 X 500ML"/>
    <s v="MATERIA PRIMA"/>
    <s v="PRODUCCION"/>
    <m/>
    <m/>
    <m/>
    <m/>
    <n v="0.22"/>
    <n v="0"/>
    <n v="1000000000"/>
    <n v="500"/>
    <n v="873"/>
    <x v="5"/>
    <n v="-0.75"/>
    <n v="0"/>
    <m/>
    <n v="0"/>
    <n v="873"/>
    <n v="0"/>
    <m/>
    <n v="600"/>
    <n v="0"/>
    <n v="82.06"/>
    <n v="0"/>
    <n v="0"/>
    <n v="0"/>
    <d v="2011-10-25T00:00:00"/>
    <x v="0"/>
    <n v="-0.746"/>
    <n v="0"/>
    <m/>
  </r>
  <r>
    <x v="0"/>
    <x v="0"/>
    <x v="0"/>
    <s v="COMPRAS-LOCALES.xlsm"/>
    <s v="MP-392"/>
    <s v="ETIQUETA UREUM LITRO-GALON-20 L"/>
    <s v="MATERIA PRIMA"/>
    <s v="PRODUCCION"/>
    <m/>
    <m/>
    <m/>
    <m/>
    <n v="0.13"/>
    <n v="0"/>
    <n v="1000000000"/>
    <n v="0"/>
    <n v="135"/>
    <x v="1"/>
    <n v="0"/>
    <n v="0"/>
    <m/>
    <n v="0"/>
    <n v="135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52"/>
    <s v="ETIQUETA VIRAFIN X 250 ML"/>
    <s v="MATERIA PRIMA"/>
    <s v="PRODUCCION"/>
    <m/>
    <m/>
    <m/>
    <m/>
    <n v="0.3"/>
    <n v="0"/>
    <n v="1000000000"/>
    <n v="100"/>
    <n v="478"/>
    <x v="5"/>
    <n v="-3.78"/>
    <n v="0"/>
    <m/>
    <n v="0"/>
    <n v="478"/>
    <n v="0"/>
    <m/>
    <n v="101"/>
    <n v="0"/>
    <n v="113.39999999999999"/>
    <n v="0"/>
    <n v="0"/>
    <n v="0"/>
    <d v="2011-06-10T00:00:00"/>
    <x v="0"/>
    <n v="-3.78"/>
    <n v="0"/>
    <m/>
  </r>
  <r>
    <x v="0"/>
    <x v="0"/>
    <x v="0"/>
    <s v="COMPRAS-LOCALES.xlsm"/>
    <s v="MP-351"/>
    <s v="ETIQUETA VIRAFIN X LT"/>
    <s v="MATERIA PRIMA"/>
    <s v="PRODUCCION"/>
    <m/>
    <m/>
    <m/>
    <m/>
    <n v="0.14000000000000001"/>
    <n v="0"/>
    <n v="1000000000"/>
    <n v="100"/>
    <n v="367"/>
    <x v="5"/>
    <n v="-2.67"/>
    <n v="0"/>
    <m/>
    <n v="0"/>
    <n v="367"/>
    <n v="0"/>
    <m/>
    <n v="101"/>
    <n v="0"/>
    <n v="37.380000000000003"/>
    <n v="0"/>
    <n v="0"/>
    <n v="0"/>
    <d v="2011-06-10T00:00:00"/>
    <x v="0"/>
    <n v="-2.67"/>
    <n v="0"/>
    <m/>
  </r>
  <r>
    <x v="0"/>
    <x v="0"/>
    <x v="0"/>
    <s v="COMPRAS-LOCALES.xlsm"/>
    <s v="MP-255"/>
    <s v="ETIQUETA YOGA X 100 ML"/>
    <s v="MATERIA PRIMA"/>
    <s v="PRODUCCION"/>
    <m/>
    <m/>
    <m/>
    <m/>
    <n v="0.05"/>
    <n v="0"/>
    <n v="1000000000"/>
    <n v="0"/>
    <n v="1712"/>
    <x v="1"/>
    <n v="0"/>
    <n v="0"/>
    <m/>
    <n v="0"/>
    <n v="1712"/>
    <n v="0"/>
    <m/>
    <n v="0"/>
    <n v="0"/>
    <n v="0"/>
    <n v="0"/>
    <n v="0"/>
    <n v="0.83389913823561046"/>
    <d v="1899-12-30T00:00:00"/>
    <x v="0"/>
    <s v=""/>
    <n v="0"/>
    <m/>
  </r>
  <r>
    <x v="0"/>
    <x v="0"/>
    <x v="0"/>
    <s v="COMPRAS-LOCALES.xlsm"/>
    <s v="MP-251"/>
    <s v="ETIQUETA YOGA X LITRO"/>
    <s v="MATERIA PRIMA"/>
    <s v="PRODUCCION"/>
    <m/>
    <m/>
    <m/>
    <m/>
    <n v="0.14000000000000001"/>
    <n v="0"/>
    <n v="1000000000"/>
    <n v="0"/>
    <n v="1040"/>
    <x v="1"/>
    <n v="0"/>
    <n v="0"/>
    <m/>
    <n v="0"/>
    <n v="1040"/>
    <n v="0"/>
    <m/>
    <n v="0"/>
    <n v="0"/>
    <n v="0"/>
    <n v="0"/>
    <n v="0"/>
    <n v="0.74048147515793061"/>
    <d v="1899-12-30T00:00:00"/>
    <x v="0"/>
    <s v=""/>
    <n v="0"/>
    <m/>
  </r>
  <r>
    <x v="0"/>
    <x v="0"/>
    <x v="0"/>
    <s v="COMPRAS-LOCALES.xlsm"/>
    <s v="G-002"/>
    <s v="EZCOBA OR X LITRO"/>
    <s v="TERMINADO "/>
    <s v="INSECTICIDAS"/>
    <m/>
    <m/>
    <m/>
    <m/>
    <n v="39.78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15"/>
    <s v="FOSFONATO POTASICO 70 %"/>
    <s v="MATERIA PRIMA "/>
    <s v="NUTRICIONAL"/>
    <m/>
    <m/>
    <m/>
    <m/>
    <n v="753.67989999999998"/>
    <n v="0"/>
    <n v="1000000000"/>
    <n v="3"/>
    <n v="3.3834"/>
    <x v="5"/>
    <n v="-0.13"/>
    <n v="0"/>
    <m/>
    <n v="0"/>
    <n v="3.3834"/>
    <n v="0"/>
    <m/>
    <n v="4"/>
    <n v="0"/>
    <n v="288.96091199999995"/>
    <n v="4.0599999999999996"/>
    <n v="-6.55"/>
    <n v="50.782359679266897"/>
    <d v="2011-12-27T00:00:00"/>
    <x v="0"/>
    <n v="-0.1278"/>
    <n v="0"/>
    <m/>
  </r>
  <r>
    <x v="0"/>
    <x v="0"/>
    <x v="0"/>
    <s v="COMPRAS-LOCALES.xlsm"/>
    <s v="MP-01245"/>
    <s v="FOSFONATO POTASICO 70 % X 20LITROS"/>
    <s v="MATERIA PRIMA "/>
    <s v="NUTRICIONAL"/>
    <m/>
    <m/>
    <m/>
    <m/>
    <n v="77.599999999999994"/>
    <n v="0"/>
    <n v="1000000000"/>
    <n v="3"/>
    <n v="3"/>
    <x v="4"/>
    <n v="0"/>
    <n v="0"/>
    <m/>
    <n v="0"/>
    <n v="3"/>
    <n v="0"/>
    <m/>
    <n v="4"/>
    <n v="0"/>
    <n v="0"/>
    <n v="0"/>
    <n v="-0.67"/>
    <n v="1"/>
    <d v="2011-12-22T00:00:00"/>
    <x v="0"/>
    <n v="0"/>
    <n v="0"/>
    <m/>
  </r>
  <r>
    <x v="0"/>
    <x v="0"/>
    <x v="0"/>
    <s v="COMPRAS-LOCALES.xlsm"/>
    <s v="MP-791"/>
    <s v="FOSFONATO POTASICO 70% X 500 ML"/>
    <s v="MATERIA PRIMA "/>
    <s v="NUTRICIONAL"/>
    <m/>
    <m/>
    <m/>
    <m/>
    <n v="1.96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022"/>
    <s v="FUNDA ALUMINIZADA 250/500 GRS "/>
    <s v="MATERIA PRIMA "/>
    <s v="PRODUCCION"/>
    <m/>
    <m/>
    <m/>
    <m/>
    <n v="0.18"/>
    <n v="0"/>
    <n v="1000000000"/>
    <n v="4000"/>
    <n v="10289"/>
    <x v="5"/>
    <n v="-1.57"/>
    <n v="0"/>
    <m/>
    <n v="0"/>
    <n v="10289"/>
    <n v="0"/>
    <m/>
    <n v="4001"/>
    <n v="0"/>
    <n v="1132.02"/>
    <n v="177.74"/>
    <n v="0"/>
    <n v="9.0909090909090917"/>
    <d v="2011-10-25T00:00:00"/>
    <x v="0"/>
    <n v="-1.5722499999999999"/>
    <n v="0"/>
    <m/>
  </r>
  <r>
    <x v="0"/>
    <x v="0"/>
    <x v="0"/>
    <s v="COMPRAS-LOCALES.xlsm"/>
    <s v="MP-2023"/>
    <s v="FUNDA ALUMINIZADA 300 GRS"/>
    <s v="MATERIA PRIMA "/>
    <s v="PRODUCCION"/>
    <n v="1596"/>
    <m/>
    <m/>
    <m/>
    <n v="0.09"/>
    <n v="0"/>
    <n v="1000000000"/>
    <n v="1200"/>
    <n v="0"/>
    <x v="2"/>
    <n v="1"/>
    <n v="0"/>
    <m/>
    <n v="0"/>
    <n v="0"/>
    <n v="1200"/>
    <m/>
    <n v="1201"/>
    <n v="-36"/>
    <n v="0"/>
    <n v="37.86"/>
    <n v="0"/>
    <n v="8.4245998315080026"/>
    <d v="2011-10-25T00:00:00"/>
    <x v="0"/>
    <n v="1"/>
    <n v="0"/>
    <m/>
  </r>
  <r>
    <x v="0"/>
    <x v="0"/>
    <x v="0"/>
    <s v="COMPRAS-LOCALES.xlsm"/>
    <s v="MP-2021"/>
    <s v="FUNDA GREENGIB"/>
    <s v="MATERIA PRIMA"/>
    <s v="PRODUCCION"/>
    <m/>
    <m/>
    <m/>
    <m/>
    <n v="0.03"/>
    <n v="26.38"/>
    <n v="1000000000"/>
    <n v="800"/>
    <n v="2003"/>
    <x v="5"/>
    <n v="-1.5"/>
    <n v="0"/>
    <m/>
    <n v="0"/>
    <n v="2003"/>
    <n v="0"/>
    <m/>
    <n v="801"/>
    <n v="0"/>
    <n v="36.089999999999996"/>
    <n v="20.53"/>
    <n v="0"/>
    <n v="0.23957834211787254"/>
    <d v="2011-10-25T00:00:00"/>
    <x v="0"/>
    <n v="-1.5037499999999999"/>
    <n v="0"/>
    <m/>
  </r>
  <r>
    <x v="0"/>
    <x v="0"/>
    <x v="0"/>
    <s v="COMPRAS-LOCALES.xlsm"/>
    <s v="MP-049"/>
    <s v="GLIFOSATO 48 % SC X 20 LT"/>
    <s v="AA (No Aplica)"/>
    <s v="AA (No Aplica)"/>
    <m/>
    <m/>
    <m/>
    <m/>
    <n v="56.54"/>
    <n v="0"/>
    <n v="1000000000"/>
    <n v="0"/>
    <n v="3"/>
    <x v="1"/>
    <n v="0"/>
    <n v="0"/>
    <m/>
    <n v="0"/>
    <n v="3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48"/>
    <s v="GLIFOSATO 48 % SC X 200 LT"/>
    <s v="AA (No Aplica)"/>
    <s v="AA (No Aplica)"/>
    <m/>
    <m/>
    <m/>
    <m/>
    <n v="5.22"/>
    <n v="0"/>
    <n v="1000000000"/>
    <n v="0"/>
    <n v="1"/>
    <x v="1"/>
    <n v="0"/>
    <n v="0"/>
    <m/>
    <n v="0"/>
    <n v="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PT-J001"/>
    <s v="JARRITA DOSIFICADORA COMBO X 250 cc "/>
    <s v="MATERIA PRIMA"/>
    <s v="OTROS"/>
    <m/>
    <m/>
    <m/>
    <m/>
    <n v="0"/>
    <n v="0.5"/>
    <n v="1000000000"/>
    <n v="1338"/>
    <n v="0"/>
    <x v="2"/>
    <n v="1"/>
    <n v="0"/>
    <m/>
    <n v="0"/>
    <n v="0"/>
    <n v="1338"/>
    <m/>
    <n v="1339"/>
    <n v="223"/>
    <n v="0"/>
    <n v="0"/>
    <n v="0"/>
    <n v="0"/>
    <d v="1899-12-30T00:00:00"/>
    <x v="0"/>
    <n v="1"/>
    <n v="0"/>
    <m/>
  </r>
  <r>
    <x v="0"/>
    <x v="0"/>
    <x v="0"/>
    <s v="COMPRAS-LOCALES.xlsm"/>
    <s v="JA-001"/>
    <s v="JARRITA DOSIFICADORA X 250 cc"/>
    <s v="MATERIA PRIMA"/>
    <s v="OTROS"/>
    <m/>
    <m/>
    <m/>
    <m/>
    <n v="0.5"/>
    <n v="0.65"/>
    <n v="1000000000"/>
    <n v="1500"/>
    <n v="2670"/>
    <x v="5"/>
    <n v="-0.78"/>
    <n v="0"/>
    <m/>
    <n v="0"/>
    <n v="2670"/>
    <n v="0"/>
    <m/>
    <n v="1501"/>
    <n v="0"/>
    <n v="585"/>
    <n v="0"/>
    <n v="0"/>
    <n v="0.75881012997454111"/>
    <d v="1899-12-30T00:00:00"/>
    <x v="0"/>
    <n v="-0.78"/>
    <n v="0"/>
    <m/>
  </r>
  <r>
    <x v="0"/>
    <x v="0"/>
    <x v="0"/>
    <s v="COMPRAS-LOCALES.xlsm"/>
    <s v="MP - 063"/>
    <s v="MICROELEEMENTOS SOLUBLES + AMINOACIDOS"/>
    <s v="MATERIA PRIMA "/>
    <s v="NUTRICIONAL"/>
    <m/>
    <m/>
    <m/>
    <m/>
    <n v="1.25"/>
    <n v="0"/>
    <n v="1000000000"/>
    <n v="0"/>
    <n v="0"/>
    <x v="1"/>
    <n v="0"/>
    <n v="0"/>
    <m/>
    <n v="0"/>
    <n v="0"/>
    <n v="0"/>
    <m/>
    <n v="1"/>
    <n v="0"/>
    <n v="0"/>
    <n v="0"/>
    <n v="-0.06"/>
    <n v="0"/>
    <d v="1899-12-30T00:00:00"/>
    <x v="0"/>
    <s v=""/>
    <n v="0"/>
    <m/>
  </r>
  <r>
    <x v="0"/>
    <x v="0"/>
    <x v="0"/>
    <s v="COMPRAS-LOCALES.xlsm"/>
    <s v="MP - 0631"/>
    <s v="MICROELEMENTOS SOLUBLES + AMINOACIDOS X KILO"/>
    <s v="TERMINADO"/>
    <s v="NUTRICIONAL"/>
    <m/>
    <m/>
    <m/>
    <m/>
    <n v="1.76"/>
    <n v="0"/>
    <n v="1000000000"/>
    <n v="240"/>
    <n v="250"/>
    <x v="5"/>
    <n v="-0.04"/>
    <n v="0"/>
    <m/>
    <n v="0"/>
    <n v="250"/>
    <n v="0"/>
    <m/>
    <n v="241"/>
    <n v="0"/>
    <n v="17.600000000000001"/>
    <n v="4.29"/>
    <n v="-0.02"/>
    <n v="0.96352002110957202"/>
    <d v="2011-10-25T00:00:00"/>
    <x v="0"/>
    <n v="-4.1666666666666664E-2"/>
    <n v="0"/>
    <m/>
  </r>
  <r>
    <x v="0"/>
    <x v="0"/>
    <x v="0"/>
    <s v="COMPRAS-LOCALES.xlsm"/>
    <s v="MP - 064"/>
    <s v="ORTOFOSFATO 20% + AMINO ACIDOS X LT"/>
    <s v="MATERIA PRIMA "/>
    <s v="NUTRICIONAL"/>
    <m/>
    <m/>
    <m/>
    <m/>
    <n v="2.0099"/>
    <n v="0"/>
    <n v="1000000000"/>
    <n v="942"/>
    <n v="100"/>
    <x v="0"/>
    <n v="0.89"/>
    <n v="0"/>
    <m/>
    <n v="0"/>
    <n v="100"/>
    <n v="842"/>
    <m/>
    <n v="943"/>
    <n v="-430.13999999999993"/>
    <n v="0"/>
    <n v="1.8"/>
    <n v="-0.02"/>
    <n v="1.0067240620876015"/>
    <d v="2012-02-15T00:00:00"/>
    <x v="0"/>
    <n v="0.89384288747346075"/>
    <n v="0"/>
    <m/>
  </r>
  <r>
    <x v="0"/>
    <x v="0"/>
    <x v="0"/>
    <s v="COMPRAS-LOCALES.xlsm"/>
    <s v="MP-017"/>
    <s v="OXIDO DE POTASIO 40 % QUELATADO"/>
    <s v="MATERIA PRIMA "/>
    <s v="NUTRICIONAL"/>
    <m/>
    <m/>
    <m/>
    <m/>
    <n v="521.47"/>
    <n v="0"/>
    <n v="1000000000"/>
    <n v="4"/>
    <n v="2.36"/>
    <x v="3"/>
    <n v="0.41"/>
    <n v="0"/>
    <m/>
    <n v="0"/>
    <n v="2.36"/>
    <n v="1.64"/>
    <m/>
    <n v="5"/>
    <n v="0"/>
    <n v="0"/>
    <n v="2.99"/>
    <n v="-4.53"/>
    <n v="1.074137931034483"/>
    <d v="2012-01-12T00:00:00"/>
    <x v="0"/>
    <n v="0.41000000000000003"/>
    <n v="0"/>
    <m/>
  </r>
  <r>
    <x v="0"/>
    <x v="0"/>
    <x v="0"/>
    <s v="COMPRAS-LOCALES.xlsm"/>
    <s v="MP-059"/>
    <s v="PARAQUAT 24 % SC 20 LT"/>
    <s v="MATERIA PRIMA "/>
    <s v="HERBICIDAS"/>
    <m/>
    <m/>
    <m/>
    <m/>
    <n v="59.72"/>
    <n v="0"/>
    <n v="1000000000"/>
    <n v="3"/>
    <n v="0"/>
    <x v="2"/>
    <n v="1"/>
    <n v="0"/>
    <m/>
    <n v="0"/>
    <n v="0"/>
    <n v="3"/>
    <m/>
    <n v="4"/>
    <n v="-59.72"/>
    <n v="0"/>
    <n v="0.02"/>
    <n v="0"/>
    <n v="0.21468926553672316"/>
    <d v="2011-11-22T00:00:00"/>
    <x v="0"/>
    <n v="1"/>
    <n v="0"/>
    <m/>
  </r>
  <r>
    <x v="0"/>
    <x v="0"/>
    <x v="0"/>
    <s v="COMPRAS-LOCALES.xlsm"/>
    <s v="MP-058"/>
    <s v="PARAQUAT 24 % SC 200 LT"/>
    <s v="MATERIA PRIMA "/>
    <s v="HERBICIDAS"/>
    <m/>
    <m/>
    <m/>
    <m/>
    <n v="518.01"/>
    <n v="0"/>
    <n v="1000000000"/>
    <n v="0"/>
    <n v="0"/>
    <x v="1"/>
    <n v="0"/>
    <n v="0"/>
    <m/>
    <n v="0"/>
    <n v="0"/>
    <n v="0"/>
    <m/>
    <n v="1"/>
    <n v="0"/>
    <n v="0"/>
    <n v="0"/>
    <n v="-23.55"/>
    <n v="0"/>
    <d v="1899-12-30T00:00:00"/>
    <x v="0"/>
    <s v=""/>
    <n v="0"/>
    <m/>
  </r>
  <r>
    <x v="0"/>
    <x v="0"/>
    <x v="0"/>
    <s v="COMPRAS-LOCALES.xlsm"/>
    <s v="MP-543"/>
    <s v="PARAQUAT X GALON"/>
    <s v="MATERIA PRIMA "/>
    <s v="HERBICIDAS"/>
    <m/>
    <m/>
    <m/>
    <m/>
    <n v="11.35"/>
    <n v="0"/>
    <n v="1000000000"/>
    <n v="19"/>
    <n v="0"/>
    <x v="2"/>
    <n v="1"/>
    <n v="0"/>
    <m/>
    <n v="0"/>
    <n v="0"/>
    <n v="19"/>
    <m/>
    <n v="20"/>
    <n v="-68.099999999999994"/>
    <n v="0"/>
    <n v="0.21"/>
    <n v="0"/>
    <n v="0.44067796610169491"/>
    <d v="2011-10-24T00:00:00"/>
    <x v="0"/>
    <n v="1"/>
    <n v="0"/>
    <m/>
  </r>
  <r>
    <x v="0"/>
    <x v="0"/>
    <x v="0"/>
    <s v="COMPRAS-LOCALES.xlsm"/>
    <s v="MP-060"/>
    <s v="PARAQUAT X LITRO"/>
    <s v="MATERIA PRIMA "/>
    <s v="HERBICIDAS"/>
    <m/>
    <m/>
    <m/>
    <m/>
    <n v="3.3"/>
    <n v="0"/>
    <n v="1000000000"/>
    <n v="320"/>
    <n v="140"/>
    <x v="3"/>
    <n v="0.56000000000000005"/>
    <n v="0"/>
    <m/>
    <n v="0"/>
    <n v="140"/>
    <n v="180"/>
    <m/>
    <n v="321"/>
    <n v="0"/>
    <n v="0"/>
    <n v="0"/>
    <n v="0"/>
    <n v="0.91800554016620495"/>
    <d v="2012-02-10T00:00:00"/>
    <x v="0"/>
    <n v="0.5625"/>
    <n v="0"/>
    <m/>
  </r>
  <r>
    <x v="0"/>
    <x v="0"/>
    <x v="0"/>
    <s v="COMPRAS-LOCALES.xlsm"/>
    <s v="G-004"/>
    <s v="PROLIFIC PLUS X LT"/>
    <s v="MATERIA PRIMA "/>
    <s v="NUTRICIONAL"/>
    <m/>
    <m/>
    <m/>
    <m/>
    <n v="14.24"/>
    <n v="38.58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G-0041"/>
    <s v="PROLIFIC TIPO BIOZYME X LITRO"/>
    <s v="MATERIA PRIMA "/>
    <s v="NUTRICIONAL"/>
    <m/>
    <m/>
    <m/>
    <m/>
    <n v="5.93"/>
    <n v="5.93"/>
    <n v="1000000000"/>
    <n v="600"/>
    <n v="631.85"/>
    <x v="5"/>
    <n v="-0.05"/>
    <n v="0"/>
    <m/>
    <n v="0"/>
    <n v="631.85"/>
    <n v="0"/>
    <m/>
    <n v="601"/>
    <n v="0"/>
    <n v="188.87050000000013"/>
    <n v="-0.72"/>
    <n v="0"/>
    <n v="1.0803758653061584"/>
    <d v="2011-10-25T00:00:00"/>
    <x v="0"/>
    <n v="-5.3083333333333371E-2"/>
    <n v="0"/>
    <m/>
  </r>
  <r>
    <x v="0"/>
    <x v="0"/>
    <x v="0"/>
    <s v="COMPRAS-LOCALES.xlsm"/>
    <s v="MP-259"/>
    <s v="PROPICONAZOL 25 % EC"/>
    <s v="MATERIA PRIMA "/>
    <s v="FUNGICIDAS"/>
    <m/>
    <m/>
    <m/>
    <m/>
    <n v="2400"/>
    <n v="0"/>
    <n v="1000000000"/>
    <n v="3"/>
    <n v="2.6507999999999998"/>
    <x v="4"/>
    <n v="0.12"/>
    <n v="0"/>
    <m/>
    <n v="0"/>
    <n v="2.6507999999999998"/>
    <n v="0.35"/>
    <m/>
    <n v="4"/>
    <n v="0"/>
    <n v="0"/>
    <n v="0.64"/>
    <n v="0"/>
    <n v="76.31578947368422"/>
    <d v="2011-12-20T00:00:00"/>
    <x v="0"/>
    <n v="0.11640000000000006"/>
    <n v="0"/>
    <m/>
  </r>
  <r>
    <x v="0"/>
    <x v="0"/>
    <x v="0"/>
    <s v="COMPRAS-LOCALES.xlsm"/>
    <s v="MP-041"/>
    <s v="PROPINEB 70 % + CIMOXANIL 6 %"/>
    <s v="AA (No Aplica)"/>
    <s v="AA (No Aplica)"/>
    <m/>
    <m/>
    <m/>
    <m/>
    <n v="4.5198999999999998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19"/>
    <s v="QUELATO DE ZN + AZUFRE + AC. HUMICOS X LT"/>
    <s v="MATERIA PRIMA "/>
    <s v="NUTRICIONAL"/>
    <m/>
    <m/>
    <m/>
    <m/>
    <n v="2.82"/>
    <n v="0"/>
    <n v="1000000000"/>
    <n v="400"/>
    <n v="202.4966"/>
    <x v="3"/>
    <n v="0.49"/>
    <n v="0"/>
    <m/>
    <n v="0"/>
    <n v="202.4966"/>
    <n v="197.5"/>
    <m/>
    <n v="401"/>
    <n v="0"/>
    <n v="0"/>
    <n v="0.18"/>
    <n v="-0.02"/>
    <n v="0.72791791079036683"/>
    <d v="2011-12-09T00:00:00"/>
    <x v="0"/>
    <n v="0.49375849999999999"/>
    <n v="0"/>
    <m/>
  </r>
  <r>
    <x v="0"/>
    <x v="0"/>
    <x v="0"/>
    <s v="COMPRAS-LOCALES.xlsm"/>
    <s v="N-OO1"/>
    <s v="RAICES 500"/>
    <s v="MATERIA PRIMA "/>
    <s v="NUTRICIONAL"/>
    <m/>
    <m/>
    <m/>
    <m/>
    <n v="2.6"/>
    <n v="0"/>
    <n v="1000000000"/>
    <n v="700"/>
    <n v="0"/>
    <x v="2"/>
    <n v="1"/>
    <n v="0"/>
    <m/>
    <n v="0"/>
    <n v="0"/>
    <n v="700"/>
    <m/>
    <n v="701"/>
    <n v="-605.80000000000007"/>
    <n v="0"/>
    <n v="2.09"/>
    <n v="-0.02"/>
    <n v="1.158213474640424"/>
    <d v="2012-01-27T00:00:00"/>
    <x v="0"/>
    <n v="1"/>
    <n v="0"/>
    <m/>
  </r>
  <r>
    <x v="0"/>
    <x v="0"/>
    <x v="0"/>
    <s v="COMPRAS-LOCALES.xlsm"/>
    <s v="MP.0302"/>
    <s v="STICKER PARALANCHA BLUE"/>
    <s v="MATERIA PRIMA"/>
    <s v="PRODUCCION"/>
    <m/>
    <m/>
    <m/>
    <m/>
    <n v="0.04"/>
    <n v="0"/>
    <n v="1000000000"/>
    <n v="400"/>
    <n v="286"/>
    <x v="4"/>
    <n v="0.28999999999999998"/>
    <n v="0"/>
    <m/>
    <n v="0"/>
    <n v="286"/>
    <n v="114"/>
    <m/>
    <n v="401"/>
    <n v="0"/>
    <n v="0"/>
    <n v="84.69"/>
    <n v="0"/>
    <n v="0"/>
    <d v="2011-10-25T00:00:00"/>
    <x v="0"/>
    <n v="0.28499999999999998"/>
    <n v="0"/>
    <m/>
  </r>
  <r>
    <x v="0"/>
    <x v="0"/>
    <x v="0"/>
    <s v="COMPRAS-LOCALES.xlsm"/>
    <s v="MP-0471"/>
    <s v="SULFATO DE COBRE + AMINOACIDOS X LT"/>
    <s v="MATERIA PRIMA "/>
    <s v="FUNGICIDAS"/>
    <m/>
    <m/>
    <m/>
    <m/>
    <n v="5.6"/>
    <n v="1120"/>
    <n v="1000000000"/>
    <n v="213"/>
    <n v="146.1"/>
    <x v="4"/>
    <n v="0.31"/>
    <n v="0"/>
    <m/>
    <n v="0"/>
    <n v="146.1"/>
    <n v="66.900000000000006"/>
    <m/>
    <n v="214"/>
    <n v="0"/>
    <n v="0"/>
    <n v="4.8"/>
    <n v="9.69"/>
    <n v="2.7724646277499718"/>
    <d v="2012-01-12T00:00:00"/>
    <x v="0"/>
    <n v="0.31408450704225355"/>
    <n v="0"/>
    <m/>
  </r>
  <r>
    <x v="0"/>
    <x v="0"/>
    <x v="0"/>
    <s v="COMPRAS-LOCALES.xlsm"/>
    <s v="MP-047"/>
    <s v="SULFATO DE COBRE 24%"/>
    <s v="MATERIA PRIMA "/>
    <s v="FUNGICIDAS"/>
    <m/>
    <m/>
    <m/>
    <m/>
    <n v="794.27"/>
    <n v="0"/>
    <n v="1000000000"/>
    <n v="3"/>
    <n v="1.6225000000000001"/>
    <x v="3"/>
    <n v="0.46"/>
    <n v="0"/>
    <m/>
    <n v="0"/>
    <n v="1.6225000000000001"/>
    <n v="1.38"/>
    <m/>
    <n v="4"/>
    <n v="0"/>
    <n v="0"/>
    <n v="4.55"/>
    <n v="-6.91"/>
    <n v="0.83342978395061729"/>
    <d v="2011-06-10T00:00:00"/>
    <x v="0"/>
    <n v="0.45916666666666667"/>
    <n v="0"/>
    <m/>
  </r>
  <r>
    <x v="0"/>
    <x v="0"/>
    <x v="0"/>
    <s v="COMPRAS-LOCALES.xlsm"/>
    <s v="MP-062"/>
    <s v="TENSOACTIVO HUMECTANTE"/>
    <s v="MATERIA PRIMA"/>
    <s v="FIJADORES"/>
    <m/>
    <m/>
    <m/>
    <m/>
    <n v="4.04"/>
    <n v="0"/>
    <n v="1000000000"/>
    <n v="600"/>
    <n v="188.1336"/>
    <x v="0"/>
    <n v="0.69"/>
    <n v="0"/>
    <m/>
    <n v="0"/>
    <n v="188.1336"/>
    <n v="411.87"/>
    <m/>
    <n v="601"/>
    <n v="-47.940255999999998"/>
    <n v="0"/>
    <n v="-0.33"/>
    <n v="0"/>
    <n v="311.37290322580645"/>
    <d v="2012-02-15T00:00:00"/>
    <x v="0"/>
    <n v="0.68644399999999994"/>
    <n v="0"/>
    <m/>
  </r>
  <r>
    <x v="0"/>
    <x v="0"/>
    <x v="0"/>
    <s v="COMPRAS-LOCALES.xlsm"/>
    <s v="MP-790"/>
    <s v="TENSOACTIVO HUMECTANTE  PLUS  X 100 ML"/>
    <s v="MATERIA PRIMA"/>
    <s v="FIJADORES"/>
    <m/>
    <m/>
    <m/>
    <m/>
    <n v="0.83"/>
    <n v="0"/>
    <n v="1000000000"/>
    <n v="1600"/>
    <n v="5"/>
    <x v="0"/>
    <n v="1"/>
    <n v="0"/>
    <m/>
    <n v="0"/>
    <n v="5"/>
    <n v="1595"/>
    <m/>
    <n v="1601"/>
    <n v="-438.23999999999995"/>
    <n v="0"/>
    <n v="-1.26"/>
    <n v="0"/>
    <n v="0.63158164704675435"/>
    <d v="2012-01-27T00:00:00"/>
    <x v="0"/>
    <n v="0.99687499999999996"/>
    <n v="0"/>
    <m/>
  </r>
  <r>
    <x v="0"/>
    <x v="0"/>
    <x v="0"/>
    <s v="COMPRAS-LOCALES.xlsm"/>
    <s v="MP-7911"/>
    <s v="TENSOACTIVO HUMECTANTE X 100 ML"/>
    <s v="MATERIA PRIMA "/>
    <s v="NUTRICIONAL"/>
    <m/>
    <m/>
    <m/>
    <m/>
    <n v="0.35"/>
    <n v="0"/>
    <n v="1000000000"/>
    <n v="0"/>
    <n v="0"/>
    <x v="1"/>
    <n v="0"/>
    <n v="0"/>
    <m/>
    <n v="0"/>
    <n v="0"/>
    <n v="0"/>
    <m/>
    <n v="1"/>
    <n v="0"/>
    <n v="0"/>
    <n v="0"/>
    <n v="-0.02"/>
    <n v="0"/>
    <d v="1899-12-30T00:00:00"/>
    <x v="0"/>
    <s v=""/>
    <n v="0"/>
    <m/>
  </r>
  <r>
    <x v="0"/>
    <x v="0"/>
    <x v="0"/>
    <s v="COMPRAS-LOCALES.xlsm"/>
    <s v="MP-280"/>
    <s v="TENSOACTIVO HUMECTANTE X 500ML"/>
    <s v="MATERIA PRIMA "/>
    <s v="NUTRICIONAL"/>
    <m/>
    <m/>
    <m/>
    <m/>
    <n v="1.0900000000000001"/>
    <n v="0"/>
    <n v="1000000000"/>
    <n v="0"/>
    <n v="0"/>
    <x v="1"/>
    <n v="0"/>
    <n v="0"/>
    <m/>
    <n v="0"/>
    <n v="0"/>
    <n v="0"/>
    <m/>
    <n v="1"/>
    <n v="0"/>
    <n v="0"/>
    <n v="0.14000000000000001"/>
    <n v="-0.05"/>
    <n v="0"/>
    <d v="1899-12-30T00:00:00"/>
    <x v="0"/>
    <s v=""/>
    <n v="0"/>
    <m/>
  </r>
  <r>
    <x v="0"/>
    <x v="0"/>
    <x v="0"/>
    <s v="COMPRAS-LOCALES.xlsm"/>
    <s v="MP-407"/>
    <s v="UREFOL X CANECA 20L"/>
    <s v="MATERIA PRIMA "/>
    <s v="NUTRICIONAL"/>
    <m/>
    <m/>
    <m/>
    <m/>
    <n v="123"/>
    <n v="0"/>
    <n v="1000000000"/>
    <n v="0"/>
    <n v="2"/>
    <x v="1"/>
    <n v="0"/>
    <n v="0"/>
    <m/>
    <n v="0"/>
    <n v="2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408"/>
    <s v="UREFOL X GL"/>
    <s v="MATERIA PRIMA "/>
    <s v="NUTRICIONAL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409"/>
    <s v="UREFOL X LT"/>
    <s v="MATERIA PRIMA "/>
    <s v="NUTRICIONAL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IMPORTACIONES.xlsm"/>
    <s v="MP-256"/>
    <s v="ABAMECTINA NEGRA 1.8 % X LITRO"/>
    <s v="MATERIA PRIMA 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IMPORTACIONES.xlsm"/>
    <s v="MP-257"/>
    <s v="ABAMECTINA NEGRA 1.8% X 100 ML"/>
    <s v="MATERIA PRIMA "/>
    <s v="INSECTICIDAS"/>
    <m/>
    <m/>
    <m/>
    <m/>
    <n v="1.1599999999999999"/>
    <n v="0"/>
    <n v="1000000000"/>
    <n v="4000"/>
    <n v="6210"/>
    <x v="5"/>
    <n v="-0.55000000000000004"/>
    <n v="0"/>
    <m/>
    <n v="0"/>
    <n v="6210"/>
    <n v="0"/>
    <m/>
    <n v="2463"/>
    <n v="0"/>
    <n v="2563.6"/>
    <n v="0"/>
    <n v="-0.01"/>
    <n v="0"/>
    <d v="2011-10-25T00:00:00"/>
    <x v="2"/>
    <n v="-0.55249999999999999"/>
    <n v="0"/>
    <m/>
  </r>
  <r>
    <x v="0"/>
    <x v="0"/>
    <x v="0"/>
    <s v="IMPORTACIONES.xlsm"/>
    <s v="MP-402"/>
    <s v="ABAMECTINA NEGRA 1.8% X 200L"/>
    <s v="MATERIA PRIMA "/>
    <s v="INSECTICIDAS"/>
    <m/>
    <m/>
    <m/>
    <m/>
    <n v="2812.19"/>
    <n v="0"/>
    <n v="1000000000"/>
    <n v="8"/>
    <n v="2.21"/>
    <x v="0"/>
    <n v="0.72"/>
    <n v="0"/>
    <m/>
    <n v="0"/>
    <n v="2.21"/>
    <n v="5.79"/>
    <m/>
    <n v="6"/>
    <n v="-2221.6301000000003"/>
    <n v="0"/>
    <n v="0"/>
    <n v="-26.78"/>
    <n v="0.31678986272439286"/>
    <d v="2011-11-15T00:00:00"/>
    <x v="3"/>
    <n v="0.72375"/>
    <n v="0"/>
    <m/>
  </r>
  <r>
    <x v="0"/>
    <x v="0"/>
    <x v="0"/>
    <s v="IMPORTACIONES.xlsm"/>
    <s v="MP-065"/>
    <s v="AMITRAZ 20 % EC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IMPORTACIONES.xlsm"/>
    <s v="MP-370"/>
    <s v="BENALAXIL + MANCOZEB BLUE X 25 KG"/>
    <s v="MATERIA PRIMA "/>
    <s v="FUNGICIDAS"/>
    <m/>
    <m/>
    <m/>
    <m/>
    <n v="217.96"/>
    <n v="0"/>
    <n v="1000000000"/>
    <n v="16"/>
    <n v="66.02"/>
    <x v="5"/>
    <n v="-3.13"/>
    <n v="0"/>
    <m/>
    <n v="0"/>
    <n v="66.02"/>
    <n v="0"/>
    <m/>
    <n v="11"/>
    <n v="0"/>
    <n v="10902.359199999999"/>
    <n v="1.55"/>
    <n v="-2.08"/>
    <n v="0"/>
    <d v="2011-10-25T00:00:00"/>
    <x v="2"/>
    <n v="-3.1262499999999998"/>
    <n v="0"/>
    <m/>
  </r>
  <r>
    <x v="0"/>
    <x v="0"/>
    <x v="0"/>
    <s v="IMPORTACIONES.xlsm"/>
    <s v="MP-026"/>
    <s v="BENALAXIL 8% + MANCOZEB 65 % WP 250 GR"/>
    <s v="MATERIA PRIMA "/>
    <s v="FUNGICIDAS"/>
    <m/>
    <m/>
    <m/>
    <m/>
    <n v="2.4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025"/>
    <s v="BENALAXIL 8% + MANCOZEB 65 % WP 500 GR"/>
    <s v="MATERIA PRIMA "/>
    <s v="FUNGICIDAS"/>
    <m/>
    <m/>
    <m/>
    <m/>
    <n v="4.6500000000000004"/>
    <n v="0"/>
    <n v="1000000000"/>
    <n v="1280"/>
    <n v="62"/>
    <x v="0"/>
    <n v="0.95"/>
    <n v="0"/>
    <m/>
    <n v="0"/>
    <n v="62"/>
    <n v="1218"/>
    <m/>
    <n v="789"/>
    <n v="-1697.2500000000002"/>
    <n v="0"/>
    <n v="0.96"/>
    <n v="0"/>
    <n v="0"/>
    <d v="2011-10-25T00:00:00"/>
    <x v="2"/>
    <n v="0.95156249999999998"/>
    <n v="0"/>
    <m/>
  </r>
  <r>
    <x v="0"/>
    <x v="0"/>
    <x v="0"/>
    <s v="IMPORTACIONES.xlsm"/>
    <s v="MP-1945"/>
    <s v="BENALAXYL + MANCOZEB  BLUE X 500 G"/>
    <s v="MATERIA PRIMA "/>
    <s v="FUNGICIDAS"/>
    <m/>
    <m/>
    <m/>
    <m/>
    <n v="4.7300000000000004"/>
    <n v="0"/>
    <n v="1000000000"/>
    <n v="1600"/>
    <n v="1280"/>
    <x v="4"/>
    <n v="0.2"/>
    <n v="0"/>
    <m/>
    <n v="0"/>
    <n v="1280"/>
    <n v="320"/>
    <m/>
    <n v="986"/>
    <n v="0"/>
    <n v="0"/>
    <n v="0.87"/>
    <n v="0"/>
    <n v="0"/>
    <d v="2011-10-25T00:00:00"/>
    <x v="2"/>
    <n v="0.2"/>
    <n v="0"/>
    <m/>
  </r>
  <r>
    <x v="0"/>
    <x v="0"/>
    <x v="0"/>
    <s v="IMPORTACIONES.xlsm"/>
    <s v="MP-890"/>
    <s v="BENALAXYL + MANCOZEB CREMA X 25 KILOS"/>
    <s v="MATERIA PRIMA "/>
    <s v="FUNGICIDAS"/>
    <m/>
    <m/>
    <m/>
    <m/>
    <n v="205.63"/>
    <n v="0"/>
    <n v="1000000000"/>
    <n v="60"/>
    <n v="7.12"/>
    <x v="0"/>
    <n v="0.88"/>
    <n v="0"/>
    <m/>
    <n v="0"/>
    <n v="7.12"/>
    <n v="52.88"/>
    <m/>
    <n v="38"/>
    <n v="-2648.5143999999996"/>
    <n v="0"/>
    <n v="1.18"/>
    <n v="-1.96"/>
    <n v="0.40816326530612246"/>
    <d v="2012-01-24T00:00:00"/>
    <x v="2"/>
    <n v="0.88133333333333341"/>
    <n v="0"/>
    <m/>
  </r>
  <r>
    <x v="0"/>
    <x v="0"/>
    <x v="0"/>
    <s v="IMPORTACIONES.xlsm"/>
    <s v="MP-0056"/>
    <s v="BISPIRIBAC SODIO 40%"/>
    <s v="MATERIA PRIMA "/>
    <s v="HERBICIDAS"/>
    <m/>
    <m/>
    <m/>
    <m/>
    <n v="20001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IMPORTACIONES.xlsm"/>
    <s v="MP-037"/>
    <s v="CARBENDAZIM 50 % SC 200L"/>
    <s v="MATERIA PRIMA "/>
    <s v="FUNGICIDAS"/>
    <m/>
    <m/>
    <m/>
    <m/>
    <n v="1577.03"/>
    <n v="0"/>
    <n v="1000000000"/>
    <n v="8"/>
    <n v="7.3545999999999996"/>
    <x v="4"/>
    <n v="0.08"/>
    <n v="0"/>
    <m/>
    <n v="0"/>
    <n v="7.3545999999999996"/>
    <n v="0.65"/>
    <m/>
    <n v="6"/>
    <n v="0"/>
    <n v="0"/>
    <n v="0"/>
    <n v="-15.02"/>
    <n v="0"/>
    <d v="2011-10-25T00:00:00"/>
    <x v="2"/>
    <n v="8.0675000000000052E-2"/>
    <n v="0"/>
    <m/>
  </r>
  <r>
    <x v="0"/>
    <x v="0"/>
    <x v="0"/>
    <s v="IMPORTACIONES.xlsm"/>
    <s v="MP-040"/>
    <s v="CARBENDAZIM 50 % WP 100 GR"/>
    <s v="MATERIA PRIMA "/>
    <s v="FUNGICIDAS"/>
    <m/>
    <m/>
    <m/>
    <m/>
    <n v="0.72"/>
    <n v="0"/>
    <n v="1000000000"/>
    <n v="3200"/>
    <n v="1000"/>
    <x v="0"/>
    <n v="0.69"/>
    <n v="0"/>
    <m/>
    <n v="0"/>
    <n v="1000"/>
    <n v="2200"/>
    <m/>
    <n v="1970"/>
    <n v="-48.239999999999995"/>
    <n v="0"/>
    <n v="1.8"/>
    <n v="-0.01"/>
    <n v="0"/>
    <d v="2011-10-25T00:00:00"/>
    <x v="2"/>
    <n v="0.6875"/>
    <n v="0"/>
    <m/>
  </r>
  <r>
    <x v="0"/>
    <x v="0"/>
    <x v="0"/>
    <s v="IMPORTACIONES.xlsm"/>
    <s v="MP-267"/>
    <s v="CARBENDAZIM 50 % WP 25 KG (Kg)"/>
    <s v="MATERIA PRIMA "/>
    <s v="FUNGICIDAS"/>
    <m/>
    <m/>
    <m/>
    <m/>
    <n v="142.56"/>
    <n v="0"/>
    <n v="1000000000"/>
    <n v="60"/>
    <n v="0.104"/>
    <x v="0"/>
    <n v="1"/>
    <n v="0"/>
    <m/>
    <n v="0"/>
    <n v="0.104"/>
    <n v="59.9"/>
    <n v="50"/>
    <n v="38"/>
    <n v="-2836.3737599999999"/>
    <n v="0"/>
    <n v="2.71"/>
    <n v="-1.36"/>
    <n v="0.68571428571428572"/>
    <d v="2012-01-24T00:00:00"/>
    <x v="2"/>
    <n v="0.99826666666666664"/>
    <n v="0"/>
    <m/>
  </r>
  <r>
    <x v="0"/>
    <x v="0"/>
    <x v="0"/>
    <s v="IMPORTACIONES.xlsm"/>
    <s v="MP-039"/>
    <s v="CARBENDAZIM 50 % WP 250 GR"/>
    <s v="MATERIA PRIMA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0381"/>
    <s v="CARBENDAZIM 50 % WP 500 GRS"/>
    <s v="MATERIA PRIMA "/>
    <s v="FUNGICIDAS"/>
    <m/>
    <m/>
    <m/>
    <m/>
    <n v="0"/>
    <n v="0"/>
    <n v="1000000000"/>
    <n v="2660"/>
    <n v="0"/>
    <x v="2"/>
    <n v="1"/>
    <n v="0"/>
    <m/>
    <n v="0"/>
    <n v="0"/>
    <n v="1638"/>
    <m/>
    <n v="1638"/>
    <n v="0"/>
    <n v="0"/>
    <n v="0"/>
    <n v="0"/>
    <n v="0"/>
    <d v="2011-11-30T00:00:00"/>
    <x v="2"/>
    <n v="1"/>
    <n v="0"/>
    <m/>
  </r>
  <r>
    <x v="0"/>
    <x v="0"/>
    <x v="0"/>
    <s v="IMPORTACIONES.xlsm"/>
    <s v="MP-038"/>
    <s v="CARBENDAZIM 50 % WP KILO"/>
    <s v="MATERIA PRIMA "/>
    <s v="FUNGICIDAS"/>
    <m/>
    <m/>
    <m/>
    <m/>
    <n v="6.23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364"/>
    <s v="CARBENDAZIM 50 % WP X 200 GMS"/>
    <s v="MATERIA PRIMA "/>
    <s v="FUNGICIDAS"/>
    <m/>
    <m/>
    <m/>
    <m/>
    <n v="1.22"/>
    <n v="0"/>
    <n v="1000000000"/>
    <n v="11321"/>
    <n v="0"/>
    <x v="2"/>
    <n v="1"/>
    <n v="0"/>
    <m/>
    <n v="0"/>
    <n v="0"/>
    <n v="6968"/>
    <n v="3000"/>
    <n v="6968"/>
    <n v="-4604.28"/>
    <n v="0"/>
    <n v="0.95"/>
    <n v="-0.01"/>
    <n v="0.34482758620689657"/>
    <d v="2011-11-15T00:00:00"/>
    <x v="2"/>
    <n v="1"/>
    <n v="0"/>
    <m/>
  </r>
  <r>
    <x v="0"/>
    <x v="0"/>
    <x v="0"/>
    <s v="IMPORTACIONES.xlsm"/>
    <s v="MP-460"/>
    <s v="CARTAP 50 % PS 25KG"/>
    <s v="MATERIA PRIMA "/>
    <s v="INSECTICIDAS"/>
    <m/>
    <m/>
    <m/>
    <m/>
    <n v="249.37"/>
    <n v="0"/>
    <n v="1000000000"/>
    <n v="30"/>
    <n v="7.2480000000000002"/>
    <x v="0"/>
    <n v="0.76"/>
    <n v="0"/>
    <m/>
    <n v="0"/>
    <n v="7.2480000000000002"/>
    <n v="22.75"/>
    <m/>
    <n v="19"/>
    <n v="-686.26623999999993"/>
    <n v="0"/>
    <n v="1.33"/>
    <n v="-2.37"/>
    <n v="0.95238095238095233"/>
    <d v="2012-01-24T00:00:00"/>
    <x v="2"/>
    <n v="0.75839999999999996"/>
    <n v="0"/>
    <m/>
  </r>
  <r>
    <x v="0"/>
    <x v="0"/>
    <x v="0"/>
    <s v="IMPORTACIONES.xlsm"/>
    <s v="MP-072"/>
    <s v="CARTAP 50% WP  100 G"/>
    <s v="MATERIA PRIMA "/>
    <s v="INSECTICIDAS"/>
    <m/>
    <m/>
    <m/>
    <m/>
    <n v="0.96"/>
    <n v="0"/>
    <n v="1000000000"/>
    <n v="3000"/>
    <n v="0"/>
    <x v="2"/>
    <n v="1"/>
    <n v="0"/>
    <m/>
    <n v="0"/>
    <n v="0"/>
    <n v="1847"/>
    <m/>
    <n v="1847"/>
    <n v="-960"/>
    <n v="0"/>
    <n v="3.06"/>
    <n v="-0.01"/>
    <n v="0"/>
    <d v="2011-12-07T00:00:00"/>
    <x v="2"/>
    <n v="1"/>
    <n v="0"/>
    <m/>
  </r>
  <r>
    <x v="0"/>
    <x v="0"/>
    <x v="0"/>
    <s v="IMPORTACIONES.xlsm"/>
    <s v="MP-071"/>
    <s v="CARTAP 50% WP  300 GR"/>
    <s v="MATERIA PRIMA 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1946"/>
    <s v="CIROMAZINA 75%WP PREIMPRESA X 50 G"/>
    <s v="MATERIA PRIMA "/>
    <s v="INSECTICIDAS"/>
    <m/>
    <m/>
    <m/>
    <m/>
    <n v="2.48"/>
    <n v="0"/>
    <n v="1000000000"/>
    <n v="0"/>
    <n v="0"/>
    <x v="1"/>
    <n v="0"/>
    <n v="0"/>
    <m/>
    <n v="0"/>
    <n v="0"/>
    <n v="0"/>
    <m/>
    <n v="1"/>
    <n v="0"/>
    <n v="0"/>
    <n v="2.0099999999999998"/>
    <n v="0"/>
    <n v="0"/>
    <d v="1899-12-30T00:00:00"/>
    <x v="2"/>
    <s v=""/>
    <n v="0"/>
    <m/>
  </r>
  <r>
    <x v="0"/>
    <x v="0"/>
    <x v="0"/>
    <s v="IMPORTACIONES.xlsm"/>
    <s v="MP-079"/>
    <s v="CLOFENTAZINE 50 % SC X LITRO"/>
    <s v="MATERIA PRIMA "/>
    <s v="INSECTICIDAS"/>
    <m/>
    <m/>
    <m/>
    <m/>
    <n v="30.18"/>
    <n v="0"/>
    <n v="1000000000"/>
    <n v="350"/>
    <n v="223"/>
    <x v="3"/>
    <n v="0.36"/>
    <n v="0"/>
    <m/>
    <n v="0"/>
    <n v="223"/>
    <n v="127"/>
    <n v="300"/>
    <n v="216"/>
    <n v="0"/>
    <n v="0"/>
    <n v="0"/>
    <n v="-0.28999999999999998"/>
    <n v="0"/>
    <d v="2011-06-10T00:00:00"/>
    <x v="2"/>
    <n v="0.36285714285714288"/>
    <n v="0"/>
    <m/>
  </r>
  <r>
    <x v="0"/>
    <x v="0"/>
    <x v="0"/>
    <s v="IMPORTACIONES.xlsm"/>
    <s v="MP-073"/>
    <s v="CYROMAZINA 75 % WP x 50g"/>
    <s v="MATERIA PRIMA "/>
    <s v="INSECTICIDAS"/>
    <m/>
    <m/>
    <m/>
    <m/>
    <n v="2.4700000000000002"/>
    <n v="0"/>
    <n v="1000000000"/>
    <n v="3200"/>
    <n v="4579"/>
    <x v="5"/>
    <n v="-0.43"/>
    <n v="0"/>
    <m/>
    <n v="0"/>
    <n v="4579"/>
    <n v="0"/>
    <n v="2200"/>
    <n v="1970"/>
    <n v="0"/>
    <n v="3406.13"/>
    <n v="0.3"/>
    <n v="-0.02"/>
    <n v="0"/>
    <d v="2011-10-25T00:00:00"/>
    <x v="2"/>
    <n v="-0.43093749999999997"/>
    <n v="0"/>
    <m/>
  </r>
  <r>
    <x v="0"/>
    <x v="0"/>
    <x v="0"/>
    <s v="IMPORTACIONES.xlsm"/>
    <s v="MP-064"/>
    <s v="DELTAMETRINA 2,5 % EC"/>
    <s v="MATERIA PRIMA "/>
    <s v="INSECTICIDAS"/>
    <m/>
    <m/>
    <m/>
    <m/>
    <n v="1511.55"/>
    <n v="0"/>
    <n v="1000000000"/>
    <n v="3"/>
    <n v="1.5256000000000001"/>
    <x v="3"/>
    <n v="0.49"/>
    <n v="0"/>
    <m/>
    <n v="0"/>
    <n v="1.5256000000000001"/>
    <n v="1.47"/>
    <m/>
    <n v="3"/>
    <n v="0"/>
    <n v="0"/>
    <n v="3.95"/>
    <n v="-14.4"/>
    <n v="0"/>
    <d v="2011-10-25T00:00:00"/>
    <x v="2"/>
    <n v="0.49146666666666666"/>
    <n v="0"/>
    <m/>
  </r>
  <r>
    <x v="0"/>
    <x v="0"/>
    <x v="0"/>
    <s v="IMPORTACIONES.xlsm"/>
    <s v="MP-0641"/>
    <s v="DELTAMETRINA 2,5 % EC X 100 ML"/>
    <s v="MATERIA PRIMA "/>
    <s v="INSECTICIDAS"/>
    <m/>
    <m/>
    <m/>
    <m/>
    <n v="0.94"/>
    <n v="0"/>
    <n v="1000000000"/>
    <n v="2400"/>
    <n v="0"/>
    <x v="2"/>
    <n v="1"/>
    <n v="0"/>
    <m/>
    <n v="0"/>
    <n v="0"/>
    <n v="1478"/>
    <m/>
    <n v="1478"/>
    <n v="-752"/>
    <n v="0"/>
    <n v="0"/>
    <n v="0"/>
    <n v="1.1142061281337048E-3"/>
    <d v="2011-10-25T00:00:00"/>
    <x v="2"/>
    <n v="1"/>
    <n v="0"/>
    <m/>
  </r>
  <r>
    <x v="0"/>
    <x v="0"/>
    <x v="0"/>
    <s v="IMPORTACIONES.xlsm"/>
    <s v="MP-376"/>
    <s v="DIFENOCONAZOLE 2,5% EC X 100 ML"/>
    <s v="MATERIA PRIMA "/>
    <s v="FUNGICIDAS"/>
    <m/>
    <m/>
    <m/>
    <m/>
    <n v="1.68"/>
    <n v="0"/>
    <n v="1000000000"/>
    <n v="4000"/>
    <n v="1400"/>
    <x v="3"/>
    <n v="0.65"/>
    <n v="0"/>
    <m/>
    <n v="0"/>
    <n v="1400"/>
    <n v="2600"/>
    <m/>
    <n v="2463"/>
    <n v="0"/>
    <n v="0"/>
    <n v="3.37"/>
    <n v="0"/>
    <n v="0.95335376234252633"/>
    <d v="2012-01-27T00:00:00"/>
    <x v="3"/>
    <n v="0.65"/>
    <n v="0"/>
    <m/>
  </r>
  <r>
    <x v="0"/>
    <x v="0"/>
    <x v="0"/>
    <s v="IMPORTACIONES.xlsm"/>
    <s v="MP-029"/>
    <s v="DIFENOCONAZOLE 25 % EC X 200 LITROS"/>
    <s v="AGROQUIMICOS"/>
    <s v="AGROQUIMICOS"/>
    <m/>
    <m/>
    <m/>
    <m/>
    <n v="4800"/>
    <n v="0"/>
    <n v="1000000000"/>
    <n v="10"/>
    <n v="0"/>
    <x v="2"/>
    <n v="1"/>
    <n v="0"/>
    <m/>
    <n v="0"/>
    <n v="0"/>
    <n v="7"/>
    <m/>
    <n v="7"/>
    <n v="-14400"/>
    <n v="0"/>
    <n v="8.07"/>
    <n v="-45.71"/>
    <n v="0.52356020942408377"/>
    <d v="2011-11-30T00:00:00"/>
    <x v="2"/>
    <n v="1"/>
    <n v="0"/>
    <m/>
  </r>
  <r>
    <x v="0"/>
    <x v="0"/>
    <x v="0"/>
    <s v="IMPORTACIONES.xlsm"/>
    <s v="MP-375"/>
    <s v="DIFENOCONAZOLE 25 % EC x 250 ML"/>
    <s v="MATERIA PRIMA "/>
    <s v="FUNGICIDAS"/>
    <m/>
    <m/>
    <m/>
    <m/>
    <n v="3.84"/>
    <n v="0"/>
    <n v="1000000000"/>
    <n v="4000"/>
    <n v="1680"/>
    <x v="3"/>
    <n v="0.57999999999999996"/>
    <n v="0"/>
    <m/>
    <n v="0"/>
    <n v="1680"/>
    <n v="2320"/>
    <m/>
    <n v="2463"/>
    <n v="0"/>
    <n v="0"/>
    <n v="2.17"/>
    <n v="0"/>
    <n v="1.5"/>
    <d v="2012-01-27T00:00:00"/>
    <x v="1"/>
    <n v="0.57999999999999996"/>
    <e v="#N/A"/>
    <m/>
  </r>
  <r>
    <x v="0"/>
    <x v="0"/>
    <x v="0"/>
    <s v="IMPORTACIONES.xlsm"/>
    <s v="MP-315"/>
    <s v="ENVASE AGROTAFOL DESARROLLO X KILO PREIM"/>
    <s v="MATERIA PRIMA"/>
    <s v="PRODUCCION"/>
    <m/>
    <m/>
    <m/>
    <m/>
    <n v="0.2"/>
    <n v="0"/>
    <n v="1000000000"/>
    <n v="0"/>
    <n v="8854"/>
    <x v="1"/>
    <n v="0"/>
    <n v="0"/>
    <m/>
    <n v="0"/>
    <n v="8854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316"/>
    <s v="ENVASE AGROTAFOL ENGROSE X KILO PREIMPRE"/>
    <s v="MATERIA PRIMA"/>
    <s v="PRODUCCION"/>
    <m/>
    <m/>
    <m/>
    <m/>
    <n v="0.19"/>
    <n v="0"/>
    <n v="1000000000"/>
    <n v="0"/>
    <n v="9407"/>
    <x v="1"/>
    <n v="0"/>
    <n v="0"/>
    <m/>
    <n v="0"/>
    <n v="9407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767"/>
    <s v="ENVASE CLON X LITRO"/>
    <s v="ENVASES"/>
    <s v="AGROQUIMICOS"/>
    <m/>
    <m/>
    <m/>
    <m/>
    <n v="0.54"/>
    <n v="0"/>
    <n v="1000000000"/>
    <n v="2400"/>
    <n v="2934"/>
    <x v="5"/>
    <n v="-0.22"/>
    <n v="0"/>
    <m/>
    <n v="0"/>
    <n v="2934"/>
    <n v="0"/>
    <m/>
    <n v="1478"/>
    <n v="0"/>
    <n v="288.36"/>
    <n v="0"/>
    <n v="0"/>
    <n v="0"/>
    <d v="2011-10-25T00:00:00"/>
    <x v="2"/>
    <n v="-0.2225"/>
    <n v="0"/>
    <m/>
  </r>
  <r>
    <x v="0"/>
    <x v="0"/>
    <x v="0"/>
    <s v="IMPORTACIONES.xlsm"/>
    <s v="MP-800"/>
    <s v="ENVASE COEX 105g X LITRO   "/>
    <s v="ENVASES"/>
    <s v="AGROQUIMICOS"/>
    <m/>
    <m/>
    <m/>
    <m/>
    <n v="0.71"/>
    <n v="0"/>
    <n v="1000000000"/>
    <n v="1600"/>
    <n v="5720"/>
    <x v="5"/>
    <n v="-2.58"/>
    <n v="0"/>
    <m/>
    <n v="0"/>
    <n v="5720"/>
    <n v="0"/>
    <m/>
    <n v="986"/>
    <n v="0"/>
    <n v="2925.2"/>
    <n v="155.57"/>
    <n v="0"/>
    <n v="0"/>
    <d v="2011-10-25T00:00:00"/>
    <x v="2"/>
    <n v="-2.5750000000000002"/>
    <n v="0"/>
    <m/>
  </r>
  <r>
    <x v="0"/>
    <x v="0"/>
    <x v="0"/>
    <s v="IMPORTACIONES.xlsm"/>
    <s v="MP-292"/>
    <s v="ENVASE COEX 125 g X LITRO"/>
    <s v="ENVASES"/>
    <s v="AGROQUIMICOS"/>
    <m/>
    <m/>
    <m/>
    <m/>
    <n v="1.22"/>
    <n v="0"/>
    <n v="1000000000"/>
    <n v="5600"/>
    <n v="16000"/>
    <x v="5"/>
    <n v="-1.86"/>
    <n v="0"/>
    <m/>
    <n v="0"/>
    <n v="16000"/>
    <n v="0"/>
    <m/>
    <n v="3447"/>
    <n v="0"/>
    <n v="12688"/>
    <n v="0"/>
    <n v="0"/>
    <n v="0"/>
    <d v="2011-10-25T00:00:00"/>
    <x v="2"/>
    <n v="-1.8571428571428572"/>
    <n v="0"/>
    <m/>
  </r>
  <r>
    <x v="0"/>
    <x v="0"/>
    <x v="0"/>
    <s v="IMPORTACIONES.xlsm"/>
    <s v="MP-803"/>
    <s v="ENVASE COEX 20g X 100ML     "/>
    <s v="ENVASES"/>
    <s v="AGROQUIMICOS"/>
    <m/>
    <m/>
    <m/>
    <m/>
    <n v="0.36"/>
    <n v="0"/>
    <n v="1000000000"/>
    <n v="480"/>
    <n v="34639"/>
    <x v="5"/>
    <n v="-71.16"/>
    <n v="0"/>
    <m/>
    <n v="0"/>
    <n v="34639"/>
    <n v="0"/>
    <m/>
    <n v="296"/>
    <n v="0"/>
    <n v="12297.24"/>
    <n v="0"/>
    <n v="0"/>
    <n v="0"/>
    <d v="2011-10-25T00:00:00"/>
    <x v="2"/>
    <n v="-71.16458333333334"/>
    <n v="0"/>
    <m/>
  </r>
  <r>
    <x v="0"/>
    <x v="0"/>
    <x v="0"/>
    <s v="IMPORTACIONES.xlsm"/>
    <s v="MP-802"/>
    <s v="ENVASE COEX 40g X 250ML    "/>
    <s v="ENVASES"/>
    <s v="AGROQUIMICOS"/>
    <m/>
    <m/>
    <m/>
    <m/>
    <n v="0.44"/>
    <n v="0"/>
    <n v="1000000000"/>
    <n v="3200"/>
    <n v="9022"/>
    <x v="5"/>
    <n v="-1.82"/>
    <n v="0"/>
    <m/>
    <n v="0"/>
    <n v="9022"/>
    <n v="0"/>
    <m/>
    <n v="1970"/>
    <n v="0"/>
    <n v="2561.6799999999998"/>
    <n v="0"/>
    <n v="0"/>
    <n v="0"/>
    <d v="2011-10-25T00:00:00"/>
    <x v="2"/>
    <n v="-1.819375"/>
    <n v="0"/>
    <m/>
  </r>
  <r>
    <x v="0"/>
    <x v="0"/>
    <x v="0"/>
    <s v="IMPORTACIONES.xlsm"/>
    <s v="MP-801"/>
    <s v="ENVASE COEX 60g X 500ML     "/>
    <s v="ENVASES"/>
    <s v="AGROQUIMICOS"/>
    <m/>
    <m/>
    <m/>
    <m/>
    <n v="0.55000000000000004"/>
    <n v="0"/>
    <n v="1000000000"/>
    <n v="3200"/>
    <n v="2823"/>
    <x v="4"/>
    <n v="0.12"/>
    <n v="0"/>
    <m/>
    <n v="0"/>
    <n v="2823"/>
    <n v="377"/>
    <m/>
    <n v="1970"/>
    <n v="0"/>
    <n v="0"/>
    <n v="7.71"/>
    <n v="0"/>
    <n v="0"/>
    <d v="2011-10-25T00:00:00"/>
    <x v="2"/>
    <n v="0.1178125"/>
    <n v="0"/>
    <m/>
  </r>
  <r>
    <x v="0"/>
    <x v="0"/>
    <x v="0"/>
    <s v="IMPORTACIONES.xlsm"/>
    <s v="MP-225"/>
    <s v="ENVASE PARAGUAS PREIMPRESA"/>
    <s v="MATERIA PRIMA"/>
    <s v="PRODUCCION"/>
    <m/>
    <m/>
    <m/>
    <m/>
    <n v="0.18"/>
    <n v="0"/>
    <n v="1000000000"/>
    <n v="0"/>
    <n v="7199"/>
    <x v="1"/>
    <n v="0"/>
    <n v="0"/>
    <m/>
    <n v="0"/>
    <n v="7199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459"/>
    <s v="ENVASE PREIMPRESO AGROTAFOL COMBI X 200"/>
    <s v="MATERIA PRIMA"/>
    <s v="PRODUCCION"/>
    <m/>
    <m/>
    <m/>
    <m/>
    <n v="0.1"/>
    <n v="0"/>
    <n v="1000000000"/>
    <n v="0"/>
    <n v="3272"/>
    <x v="1"/>
    <n v="0"/>
    <n v="0"/>
    <m/>
    <n v="0"/>
    <n v="3272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361"/>
    <s v="ENVASE PREIMPRESO PARALANCHA 250/500 G"/>
    <s v="MATERIA PRIMA"/>
    <s v="PRODUCCION"/>
    <m/>
    <m/>
    <m/>
    <m/>
    <n v="0.22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249"/>
    <s v="ENVASE PREIMPRESO SKEKURA WP X 100 GMS"/>
    <s v="MATERIA PRIMA"/>
    <s v="PRODUCCION"/>
    <m/>
    <m/>
    <m/>
    <m/>
    <n v="0.12"/>
    <n v="0"/>
    <n v="1000000000"/>
    <n v="0"/>
    <n v="8753"/>
    <x v="1"/>
    <n v="0"/>
    <n v="0"/>
    <m/>
    <n v="0"/>
    <n v="8753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265"/>
    <s v="ENVASE SINOPRID X 100 GMS PREIMPRESA"/>
    <s v="MATERIA PRIMA"/>
    <s v="PRODUCCION"/>
    <m/>
    <m/>
    <m/>
    <m/>
    <n v="0.14000000000000001"/>
    <n v="0"/>
    <n v="1000000000"/>
    <n v="0"/>
    <n v="262"/>
    <x v="1"/>
    <n v="0"/>
    <n v="0"/>
    <m/>
    <n v="0"/>
    <n v="262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310"/>
    <s v="ENVASE SINOTYL X 100 GMS PREIMPRESO"/>
    <s v="MATERIA PRIMA"/>
    <s v="PRODUCCION"/>
    <m/>
    <m/>
    <m/>
    <m/>
    <n v="0.14000000000000001"/>
    <n v="0"/>
    <n v="1000000000"/>
    <n v="0"/>
    <n v="11240"/>
    <x v="1"/>
    <n v="0"/>
    <n v="0"/>
    <m/>
    <n v="0"/>
    <n v="1124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313"/>
    <s v="FOSETIL ALUMINIO 80 %   X 25 KG"/>
    <s v="MATERIA PRIMA "/>
    <s v="FUNGICIDAS"/>
    <m/>
    <m/>
    <m/>
    <m/>
    <n v="147.38990000000001"/>
    <n v="0"/>
    <n v="1000000000"/>
    <n v="40"/>
    <n v="0"/>
    <x v="2"/>
    <n v="1"/>
    <n v="0"/>
    <m/>
    <n v="0"/>
    <n v="0"/>
    <n v="26"/>
    <m/>
    <n v="26"/>
    <n v="-1916.0699999999997"/>
    <n v="0"/>
    <n v="3.83"/>
    <n v="0"/>
    <n v="1.6666666666666667"/>
    <d v="2012-01-24T00:00:00"/>
    <x v="2"/>
    <n v="1"/>
    <n v="0"/>
    <m/>
  </r>
  <r>
    <x v="0"/>
    <x v="0"/>
    <x v="0"/>
    <s v="IMPORTACIONES.xlsm"/>
    <s v="MP-033"/>
    <s v="FOSETIL ALUMINIO 80 % WP 100 G"/>
    <s v="MATERIA PRIMA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023"/>
    <s v="HEXYTHIAZOX 5 % EC"/>
    <s v="AGROQUIMICOS"/>
    <s v="AGROQUIMICOS"/>
    <m/>
    <m/>
    <m/>
    <m/>
    <n v="4498.3"/>
    <n v="0"/>
    <n v="1000000000"/>
    <n v="6"/>
    <n v="12.320499999999999"/>
    <x v="5"/>
    <n v="-1.05"/>
    <n v="0"/>
    <m/>
    <n v="0"/>
    <n v="12.320499999999999"/>
    <n v="0"/>
    <n v="6"/>
    <n v="5"/>
    <n v="0"/>
    <n v="28431.505149999997"/>
    <n v="0.6"/>
    <n v="-42.84"/>
    <n v="0"/>
    <d v="2011-10-25T00:00:00"/>
    <x v="2"/>
    <n v="-1.0534166666666664"/>
    <n v="0"/>
    <m/>
  </r>
  <r>
    <x v="0"/>
    <x v="0"/>
    <x v="0"/>
    <s v="IMPORTACIONES.xlsm"/>
    <s v="MP-075"/>
    <s v="IMIDACLOPRID 25 % WP 100 G"/>
    <s v="MATERIA PRIMA "/>
    <s v="INSECTICIDAS"/>
    <m/>
    <m/>
    <m/>
    <m/>
    <n v="1.25"/>
    <n v="0"/>
    <n v="1000000000"/>
    <n v="3200"/>
    <n v="9200"/>
    <x v="5"/>
    <n v="-1.88"/>
    <n v="0"/>
    <m/>
    <n v="0"/>
    <n v="9200"/>
    <n v="0"/>
    <m/>
    <n v="1970"/>
    <n v="0"/>
    <n v="7500"/>
    <n v="9.7200000000000006"/>
    <n v="-0.01"/>
    <n v="0"/>
    <d v="2011-10-25T00:00:00"/>
    <x v="2"/>
    <n v="-1.875"/>
    <n v="0"/>
    <m/>
  </r>
  <r>
    <x v="0"/>
    <x v="0"/>
    <x v="0"/>
    <s v="IMPORTACIONES.xlsm"/>
    <s v="MP-323"/>
    <s v="IMIDACLOPRID 25 % WP 50 G"/>
    <s v="MATERIA PRIMA 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074"/>
    <s v="IMIDACLOPRID 25 % WP 500 G"/>
    <s v="MATERIA PRIMA 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465"/>
    <s v="IMIDACLOROPRID 25% WP X 25KL"/>
    <s v="MATERIA PRIMA "/>
    <s v="FUNGICIDAS"/>
    <m/>
    <m/>
    <m/>
    <m/>
    <n v="285.14"/>
    <n v="0"/>
    <n v="1000000000"/>
    <n v="8"/>
    <n v="15"/>
    <x v="5"/>
    <n v="-0.88"/>
    <n v="0"/>
    <m/>
    <n v="0"/>
    <n v="15"/>
    <n v="0"/>
    <m/>
    <n v="6"/>
    <n v="0"/>
    <n v="1995.98"/>
    <n v="1.53"/>
    <n v="-2.72"/>
    <n v="0"/>
    <d v="2011-10-25T00:00:00"/>
    <x v="2"/>
    <n v="-0.875"/>
    <n v="0"/>
    <m/>
  </r>
  <r>
    <x v="0"/>
    <x v="0"/>
    <x v="0"/>
    <s v="IMPORTACIONES.xlsm"/>
    <s v="MP-076"/>
    <s v="LAMBDA CYHALOTRINA 2,5 % EC 200L "/>
    <s v="MATERIA PRIMA "/>
    <s v="INSECTICIDAS"/>
    <m/>
    <m/>
    <m/>
    <m/>
    <n v="711.29"/>
    <n v="0"/>
    <n v="1000000000"/>
    <n v="65"/>
    <n v="23.040199999999999"/>
    <x v="3"/>
    <n v="0.65"/>
    <n v="0"/>
    <m/>
    <n v="0"/>
    <n v="23.040199999999999"/>
    <n v="41.96"/>
    <n v="21"/>
    <n v="41"/>
    <n v="0"/>
    <n v="0"/>
    <n v="3.11"/>
    <n v="-6.77"/>
    <n v="1.0262725779967159"/>
    <d v="2012-02-10T00:00:00"/>
    <x v="2"/>
    <n v="0.64553538461538462"/>
    <n v="0"/>
    <m/>
  </r>
  <r>
    <x v="0"/>
    <x v="0"/>
    <x v="0"/>
    <s v="IMPORTACIONES.xlsm"/>
    <s v="MP-374"/>
    <s v="LAMBDACIHALOTRINA 2,5% EC X 100 ML"/>
    <s v="MATERIA PRIMA "/>
    <s v="INSECTICIDAS"/>
    <m/>
    <m/>
    <m/>
    <m/>
    <n v="0.59"/>
    <n v="0"/>
    <n v="1000000000"/>
    <n v="1600"/>
    <n v="0"/>
    <x v="2"/>
    <n v="1"/>
    <n v="0"/>
    <m/>
    <n v="0"/>
    <n v="0"/>
    <n v="986"/>
    <m/>
    <n v="986"/>
    <n v="-314.46999999999997"/>
    <n v="0"/>
    <n v="0.74"/>
    <n v="0"/>
    <n v="0"/>
    <d v="2011-10-25T00:00:00"/>
    <x v="2"/>
    <n v="1"/>
    <n v="0"/>
    <m/>
  </r>
  <r>
    <x v="0"/>
    <x v="0"/>
    <x v="0"/>
    <s v="IMPORTACIONES.xlsm"/>
    <s v="MP-373"/>
    <s v="LAMBDACIHALOTRINA 2,5% EC X 250 ML"/>
    <s v="MATERIA PRIMA "/>
    <s v="INSECTICIDAS"/>
    <m/>
    <m/>
    <m/>
    <m/>
    <n v="1.27"/>
    <n v="0"/>
    <n v="1000000000"/>
    <n v="6400"/>
    <n v="1600"/>
    <x v="0"/>
    <n v="0.75"/>
    <n v="0"/>
    <m/>
    <n v="0"/>
    <n v="1600"/>
    <n v="4800"/>
    <n v="5200"/>
    <n v="3939"/>
    <n v="-676.91"/>
    <n v="0"/>
    <n v="0.7"/>
    <n v="-0.01"/>
    <n v="0"/>
    <d v="2011-10-25T00:00:00"/>
    <x v="2"/>
    <n v="0.75"/>
    <n v="0"/>
    <m/>
  </r>
  <r>
    <x v="0"/>
    <x v="0"/>
    <x v="0"/>
    <s v="IMPORTACIONES.xlsm"/>
    <s v="MP-358"/>
    <s v="METSULFURON METYL X 15 GR"/>
    <s v="MATERIA PRIMA "/>
    <s v="HERBICIDAS"/>
    <m/>
    <m/>
    <m/>
    <m/>
    <n v="3"/>
    <n v="0"/>
    <n v="1000000000"/>
    <n v="0"/>
    <n v="220"/>
    <x v="1"/>
    <n v="0"/>
    <n v="0"/>
    <m/>
    <n v="0"/>
    <n v="220"/>
    <n v="0"/>
    <m/>
    <n v="1"/>
    <n v="0"/>
    <n v="0"/>
    <n v="0"/>
    <n v="-0.03"/>
    <n v="0"/>
    <d v="1899-12-30T00:00:00"/>
    <x v="2"/>
    <s v=""/>
    <n v="0"/>
    <m/>
  </r>
  <r>
    <x v="0"/>
    <x v="0"/>
    <x v="0"/>
    <s v="IMPORTACIONES.xlsm"/>
    <s v="MP-024"/>
    <s v="MYCLOBUTANIL 12,5 % EC x 200L"/>
    <s v="AGROQUIMICOS"/>
    <s v="AGROQUIMICOS"/>
    <m/>
    <m/>
    <m/>
    <m/>
    <n v="2597.92"/>
    <n v="0"/>
    <n v="1000000000"/>
    <n v="3"/>
    <n v="4.41"/>
    <x v="5"/>
    <n v="-0.47"/>
    <n v="0"/>
    <m/>
    <n v="0"/>
    <n v="4.41"/>
    <n v="0"/>
    <m/>
    <n v="3"/>
    <n v="0"/>
    <n v="3663.0672000000004"/>
    <n v="2.64"/>
    <n v="-24.74"/>
    <n v="0"/>
    <d v="2011-10-25T00:00:00"/>
    <x v="2"/>
    <n v="-0.47000000000000003"/>
    <n v="0"/>
    <m/>
  </r>
  <r>
    <x v="0"/>
    <x v="0"/>
    <x v="0"/>
    <s v="IMPORTACIONES.xlsm"/>
    <s v="MP-0241"/>
    <s v="MYCLOBUTANYL 12,5 % EC x 100 ML"/>
    <s v="AGROQUIMICOS"/>
    <s v="AGROQUIMICOS"/>
    <m/>
    <m/>
    <m/>
    <m/>
    <n v="1.5"/>
    <n v="0"/>
    <n v="1000000000"/>
    <n v="2000"/>
    <n v="1200"/>
    <x v="3"/>
    <n v="0.4"/>
    <n v="0"/>
    <m/>
    <n v="0"/>
    <n v="1200"/>
    <n v="800"/>
    <m/>
    <n v="1232"/>
    <n v="0"/>
    <n v="0"/>
    <n v="1.01"/>
    <n v="-0.01"/>
    <n v="2"/>
    <d v="2012-02-10T00:00:00"/>
    <x v="2"/>
    <n v="0.4"/>
    <n v="0"/>
    <m/>
  </r>
  <r>
    <x v="0"/>
    <x v="0"/>
    <x v="0"/>
    <s v="IMPORTACIONES.xlsm"/>
    <s v="MP-0242"/>
    <s v="MYCLOBUTANYL 12,5 % EC x 250 ML"/>
    <s v="AGROQUIMICOS"/>
    <s v="AGROQUIMICOS"/>
    <m/>
    <m/>
    <m/>
    <m/>
    <n v="3.54"/>
    <n v="0"/>
    <n v="1000000000"/>
    <n v="2000"/>
    <n v="160"/>
    <x v="0"/>
    <n v="0.92"/>
    <n v="0"/>
    <m/>
    <n v="0"/>
    <n v="160"/>
    <n v="1840"/>
    <m/>
    <n v="1232"/>
    <n v="-1794.78"/>
    <n v="0"/>
    <n v="0"/>
    <n v="-0.03"/>
    <n v="0.61538461538461542"/>
    <d v="2011-10-25T00:00:00"/>
    <x v="2"/>
    <n v="0.92"/>
    <n v="0"/>
    <m/>
  </r>
  <r>
    <x v="0"/>
    <x v="1"/>
    <x v="1"/>
    <s v="Control Buffers.xlsm"/>
    <s v="MP-7881"/>
    <s v="ABAMECTIN X 100 ML"/>
    <s v="TERMINADO"/>
    <s v="INSECTICIDAS"/>
    <m/>
    <m/>
    <m/>
    <m/>
    <n v="1.27"/>
    <n v="5.36"/>
    <n v="1000000000"/>
    <n v="1384"/>
    <n v="541"/>
    <x v="3"/>
    <n v="0.61"/>
    <n v="0"/>
    <m/>
    <n v="0"/>
    <n v="541"/>
    <n v="843"/>
    <m/>
    <n v="693"/>
    <n v="0"/>
    <n v="0"/>
    <n v="0"/>
    <n v="0"/>
    <n v="1"/>
    <d v="1899-12-30T00:00:00"/>
    <x v="4"/>
    <n v="0.60910404624277459"/>
    <n v="0"/>
    <m/>
  </r>
  <r>
    <x v="0"/>
    <x v="1"/>
    <x v="1"/>
    <s v="Control Buffers.xlsm"/>
    <s v="MP-257"/>
    <s v="ABAMECTINA NEGRA 1.8% X 100 ML"/>
    <s v="MATERIA PRIMA "/>
    <s v="INSECTICIDAS"/>
    <m/>
    <m/>
    <m/>
    <m/>
    <n v="1.1599999999999999"/>
    <n v="0"/>
    <n v="1000000000"/>
    <n v="0"/>
    <n v="0"/>
    <x v="1"/>
    <n v="0"/>
    <n v="0"/>
    <m/>
    <n v="0"/>
    <n v="0"/>
    <n v="0"/>
    <m/>
    <n v="1"/>
    <n v="0"/>
    <n v="0"/>
    <n v="0"/>
    <n v="-0.01"/>
    <n v="1.6974063400576369"/>
    <d v="1899-12-30T00:00:00"/>
    <x v="4"/>
    <s v=""/>
    <n v="0"/>
    <m/>
  </r>
  <r>
    <x v="0"/>
    <x v="1"/>
    <x v="1"/>
    <s v="Control Buffers.xlsm"/>
    <s v="IN-0042"/>
    <s v="AGROTAFIX  X 100 ML"/>
    <s v="TERMINADO"/>
    <s v="FIJADORES"/>
    <m/>
    <m/>
    <m/>
    <m/>
    <n v="0.31"/>
    <n v="0.84"/>
    <n v="1000000000"/>
    <n v="885"/>
    <n v="478"/>
    <x v="3"/>
    <n v="0.46"/>
    <n v="0"/>
    <m/>
    <n v="0"/>
    <n v="478"/>
    <n v="407"/>
    <m/>
    <n v="444"/>
    <n v="0"/>
    <n v="0"/>
    <n v="-0.53"/>
    <n v="0"/>
    <n v="0.93696275071633239"/>
    <d v="2012-01-12T00:00:00"/>
    <x v="4"/>
    <n v="0.45988700564971752"/>
    <n v="0"/>
    <m/>
  </r>
  <r>
    <x v="0"/>
    <x v="1"/>
    <x v="1"/>
    <s v="Control Buffers.xlsm"/>
    <s v="IN-0028"/>
    <s v="AGROTAFIX  X 250 ML"/>
    <s v="TERMINADO"/>
    <s v="FIJADORES"/>
    <m/>
    <m/>
    <m/>
    <m/>
    <n v="0.43"/>
    <n v="1.31"/>
    <n v="1000000000"/>
    <n v="22"/>
    <n v="21"/>
    <x v="4"/>
    <n v="0.05"/>
    <n v="0"/>
    <m/>
    <n v="0"/>
    <n v="21"/>
    <n v="1"/>
    <m/>
    <n v="12"/>
    <n v="0"/>
    <n v="0"/>
    <n v="-0.28999999999999998"/>
    <n v="0"/>
    <n v="2.4318181818181817"/>
    <d v="2012-02-15T00:00:00"/>
    <x v="4"/>
    <n v="4.5454545454545456E-2"/>
    <n v="0"/>
    <m/>
  </r>
  <r>
    <x v="0"/>
    <x v="1"/>
    <x v="1"/>
    <s v="Control Buffers.xlsm"/>
    <s v="IN-1235"/>
    <s v="AGROTAFIX PLUS X 100 ML"/>
    <s v="TERMINADO"/>
    <s v="NUTRICIONAL"/>
    <m/>
    <m/>
    <m/>
    <m/>
    <n v="1.1298999999999999"/>
    <n v="2.09"/>
    <n v="1000000000"/>
    <n v="798"/>
    <n v="673"/>
    <x v="4"/>
    <n v="0.16"/>
    <n v="0"/>
    <m/>
    <n v="0"/>
    <n v="673"/>
    <n v="125"/>
    <m/>
    <n v="400"/>
    <n v="0"/>
    <n v="0"/>
    <n v="-1.26"/>
    <n v="0"/>
    <n v="0.9683748169838946"/>
    <d v="2011-11-22T00:00:00"/>
    <x v="4"/>
    <n v="0.15664160401002505"/>
    <n v="0"/>
    <m/>
  </r>
  <r>
    <x v="0"/>
    <x v="1"/>
    <x v="1"/>
    <s v="Control Buffers.xlsm"/>
    <s v="IN-0029"/>
    <s v="AGROTAFIX X 500 ML"/>
    <s v="TERMINADO"/>
    <s v="FIJADORES"/>
    <m/>
    <m/>
    <m/>
    <m/>
    <n v="1.27"/>
    <n v="2.19"/>
    <n v="1000000000"/>
    <n v="300"/>
    <n v="242"/>
    <x v="4"/>
    <n v="0.19"/>
    <n v="0"/>
    <m/>
    <n v="0"/>
    <n v="242"/>
    <n v="58"/>
    <m/>
    <n v="151"/>
    <n v="0"/>
    <n v="0"/>
    <n v="0.17"/>
    <n v="0"/>
    <n v="1"/>
    <d v="1899-12-30T00:00:00"/>
    <x v="4"/>
    <n v="0.19333333333333333"/>
    <n v="0"/>
    <m/>
  </r>
  <r>
    <x v="0"/>
    <x v="1"/>
    <x v="1"/>
    <s v="Control Buffers.xlsm"/>
    <s v="IN-041."/>
    <s v="AGROTAFIX X LT"/>
    <s v="TERMINADO"/>
    <s v="FIJADORES"/>
    <m/>
    <m/>
    <m/>
    <m/>
    <n v="0.56989999999999996"/>
    <n v="3.83"/>
    <n v="1000000000"/>
    <n v="150"/>
    <n v="44"/>
    <x v="0"/>
    <n v="0.71"/>
    <n v="0"/>
    <m/>
    <n v="0"/>
    <n v="44"/>
    <n v="106"/>
    <m/>
    <n v="76"/>
    <n v="19.560000000000002"/>
    <n v="0"/>
    <n v="0.49"/>
    <n v="0"/>
    <n v="1.0073260073260073"/>
    <d v="2012-02-15T00:00:00"/>
    <x v="4"/>
    <n v="0.70666666666666667"/>
    <n v="0"/>
    <m/>
  </r>
  <r>
    <x v="0"/>
    <x v="1"/>
    <x v="1"/>
    <s v="Control Buffers.xlsm"/>
    <s v="IN-62"/>
    <s v="AGROTAFOL 10-15-30-5 ENGROSE 500 G"/>
    <s v="TERMINADO"/>
    <s v="NUTRICIONAL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34"/>
    <s v="AGROTAFOL 10-15-30-5 ENGROSE X KG"/>
    <s v="TERMINADO"/>
    <s v="NUTRICIONAL"/>
    <m/>
    <m/>
    <m/>
    <m/>
    <n v="1.49"/>
    <n v="3.72"/>
    <n v="1000000000"/>
    <n v="500"/>
    <n v="504"/>
    <x v="5"/>
    <n v="-0.01"/>
    <n v="0"/>
    <m/>
    <n v="0"/>
    <n v="504"/>
    <n v="0"/>
    <m/>
    <n v="251"/>
    <n v="0"/>
    <n v="5.96"/>
    <n v="0"/>
    <n v="0"/>
    <n v="1.0756929637526653"/>
    <d v="2012-01-20T00:00:00"/>
    <x v="4"/>
    <n v="-8.0000000000000002E-3"/>
    <n v="0"/>
    <m/>
  </r>
  <r>
    <x v="0"/>
    <x v="1"/>
    <x v="1"/>
    <s v="Control Buffers.xlsm"/>
    <s v="IN-35"/>
    <s v="AGROTAFOL 15-30-15 FLORACION X KG"/>
    <s v="TERMINADO"/>
    <s v="NUTRICIONAL"/>
    <m/>
    <m/>
    <m/>
    <m/>
    <n v="1.76"/>
    <n v="3.8"/>
    <n v="1000000000"/>
    <n v="665"/>
    <n v="575"/>
    <x v="4"/>
    <n v="0.14000000000000001"/>
    <n v="0"/>
    <m/>
    <n v="0"/>
    <n v="575"/>
    <n v="90"/>
    <m/>
    <n v="334"/>
    <n v="0"/>
    <n v="0"/>
    <n v="0"/>
    <n v="0"/>
    <n v="1.3382696804364771"/>
    <d v="2012-02-15T00:00:00"/>
    <x v="4"/>
    <n v="0.13533834586466165"/>
    <n v="0"/>
    <m/>
  </r>
  <r>
    <x v="0"/>
    <x v="1"/>
    <x v="1"/>
    <s v="Control Buffers.xlsm"/>
    <s v="IN-32"/>
    <s v="AGROTAFOL 15-40-15-10 INICIAL X KG"/>
    <s v="TERMINADO"/>
    <s v="NUTRICIONAL"/>
    <m/>
    <m/>
    <m/>
    <m/>
    <n v="1.6"/>
    <n v="3.8"/>
    <n v="1000000000"/>
    <n v="665"/>
    <n v="233"/>
    <x v="3"/>
    <n v="0.65"/>
    <n v="0"/>
    <m/>
    <n v="0"/>
    <n v="233"/>
    <n v="432"/>
    <m/>
    <n v="334"/>
    <n v="0"/>
    <n v="0"/>
    <n v="0"/>
    <n v="0"/>
    <n v="1.0500544069640914"/>
    <d v="2012-02-15T00:00:00"/>
    <x v="4"/>
    <n v="0.64962406015037599"/>
    <n v="0"/>
    <m/>
  </r>
  <r>
    <x v="0"/>
    <x v="1"/>
    <x v="1"/>
    <s v="Control Buffers.xlsm"/>
    <s v="IN-33"/>
    <s v="AGROTAFOL 30-10-10-20 DESARROLLO X KG"/>
    <s v="TERMINADO"/>
    <s v="NUTRICIONAL"/>
    <m/>
    <m/>
    <m/>
    <m/>
    <n v="1.5"/>
    <n v="3.8"/>
    <n v="1000000000"/>
    <n v="665"/>
    <n v="481"/>
    <x v="4"/>
    <n v="0.28000000000000003"/>
    <n v="0"/>
    <m/>
    <n v="0"/>
    <n v="481"/>
    <n v="184"/>
    <m/>
    <n v="334"/>
    <n v="0"/>
    <n v="0"/>
    <n v="0"/>
    <n v="0"/>
    <n v="0.98357908847184983"/>
    <d v="2012-02-15T00:00:00"/>
    <x v="4"/>
    <n v="0.27669172932330827"/>
    <n v="0"/>
    <m/>
  </r>
  <r>
    <x v="0"/>
    <x v="1"/>
    <x v="1"/>
    <s v="Control Buffers.xlsm"/>
    <s v="IN-104"/>
    <s v="AGROTAFOL BORO X 250 ML"/>
    <s v="TERMINADO"/>
    <s v="NUTRICIONAL"/>
    <m/>
    <m/>
    <m/>
    <m/>
    <n v="0.92"/>
    <n v="2.44"/>
    <n v="1000000000"/>
    <n v="479"/>
    <n v="495"/>
    <x v="5"/>
    <n v="-0.03"/>
    <n v="0"/>
    <m/>
    <n v="0"/>
    <n v="495"/>
    <n v="0"/>
    <m/>
    <n v="241"/>
    <n v="0"/>
    <n v="14.72"/>
    <n v="0.48"/>
    <n v="0"/>
    <n v="0.92063492063492058"/>
    <d v="2011-12-20T00:00:00"/>
    <x v="4"/>
    <n v="-3.3402922755741124E-2"/>
    <n v="0"/>
    <m/>
  </r>
  <r>
    <x v="0"/>
    <x v="1"/>
    <x v="1"/>
    <s v="Control Buffers.xlsm"/>
    <s v="IN-0007"/>
    <s v="AGROTAFOL BORO X 500 ML"/>
    <s v="TERMINADO"/>
    <s v="NUTRICIONAL"/>
    <m/>
    <m/>
    <m/>
    <m/>
    <n v="1.76"/>
    <n v="3.83"/>
    <n v="1000000000"/>
    <n v="139"/>
    <n v="139"/>
    <x v="4"/>
    <n v="0"/>
    <n v="0"/>
    <m/>
    <n v="0"/>
    <n v="139"/>
    <n v="0"/>
    <m/>
    <n v="71"/>
    <n v="0"/>
    <n v="0"/>
    <n v="2.4900000000000002"/>
    <n v="0"/>
    <n v="1.0627530364372471"/>
    <d v="2011-12-20T00:00:00"/>
    <x v="4"/>
    <n v="0"/>
    <n v="0"/>
    <m/>
  </r>
  <r>
    <x v="0"/>
    <x v="1"/>
    <x v="1"/>
    <s v="Control Buffers.xlsm"/>
    <s v="IN-0102"/>
    <s v="AGROTAFOL BORO X GL"/>
    <s v="TERMINADO"/>
    <s v="NUTRICIONAL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92"/>
    <s v="AGROTAFOL BORO X LT"/>
    <s v="TERMINADO"/>
    <s v="NUTRICIONAL"/>
    <m/>
    <m/>
    <m/>
    <m/>
    <n v="3.09"/>
    <n v="6.92"/>
    <n v="1000000000"/>
    <n v="107"/>
    <n v="86"/>
    <x v="4"/>
    <n v="0.2"/>
    <n v="0"/>
    <m/>
    <n v="0"/>
    <n v="86"/>
    <n v="21"/>
    <m/>
    <n v="55"/>
    <n v="0"/>
    <n v="0"/>
    <n v="2.58"/>
    <n v="0"/>
    <n v="1.5677966101694916"/>
    <d v="2011-12-20T00:00:00"/>
    <x v="4"/>
    <n v="0.19626168224299065"/>
    <n v="0"/>
    <m/>
  </r>
  <r>
    <x v="0"/>
    <x v="1"/>
    <x v="1"/>
    <s v="Control Buffers.xlsm"/>
    <s v="IN - 126"/>
    <s v="AGROTAFOL COMBI X 200 G"/>
    <s v="TERMINADO"/>
    <s v="NUTRICIONAL"/>
    <m/>
    <m/>
    <m/>
    <m/>
    <n v="0.47"/>
    <n v="2.99"/>
    <n v="1000000000"/>
    <n v="800"/>
    <n v="179"/>
    <x v="0"/>
    <n v="0.78"/>
    <n v="0"/>
    <m/>
    <n v="0"/>
    <n v="179"/>
    <n v="621"/>
    <m/>
    <n v="401"/>
    <n v="221.76000000000005"/>
    <n v="0"/>
    <n v="2.2000000000000002"/>
    <n v="0"/>
    <n v="0.94376952447066986"/>
    <d v="2010-11-17T00:00:00"/>
    <x v="4"/>
    <n v="0.77625"/>
    <n v="0"/>
    <m/>
  </r>
  <r>
    <x v="0"/>
    <x v="1"/>
    <x v="1"/>
    <s v="Control Buffers.xlsm"/>
    <s v="IN-0081"/>
    <s v="AGROTAFOL FOSFITO X 250 ML"/>
    <s v="TERMINADO"/>
    <s v="NUTRICIONAL"/>
    <m/>
    <m/>
    <m/>
    <m/>
    <n v="1.33"/>
    <n v="3.31"/>
    <n v="1000000000"/>
    <n v="139"/>
    <n v="35"/>
    <x v="0"/>
    <n v="0.75"/>
    <n v="0"/>
    <m/>
    <n v="0"/>
    <n v="35"/>
    <n v="104"/>
    <m/>
    <n v="71"/>
    <n v="21.78"/>
    <n v="0"/>
    <n v="3.18"/>
    <n v="0"/>
    <n v="1"/>
    <d v="2011-12-23T00:00:00"/>
    <x v="4"/>
    <n v="0.74820143884892087"/>
    <n v="0"/>
    <m/>
  </r>
  <r>
    <x v="0"/>
    <x v="1"/>
    <x v="1"/>
    <s v="Control Buffers.xlsm"/>
    <s v="IN-0008"/>
    <s v="AGROTAFOL FOSFITO X 500 ML"/>
    <s v="TERMINADO"/>
    <s v="NUTRICIONAL"/>
    <m/>
    <m/>
    <m/>
    <m/>
    <n v="2.37"/>
    <n v="6.23"/>
    <n v="1000000000"/>
    <n v="160"/>
    <n v="95"/>
    <x v="3"/>
    <n v="0.41"/>
    <n v="0"/>
    <m/>
    <n v="0"/>
    <n v="95"/>
    <n v="65"/>
    <m/>
    <n v="81"/>
    <n v="0"/>
    <n v="0"/>
    <n v="2"/>
    <n v="0"/>
    <n v="0.82660687593423021"/>
    <d v="2012-01-27T00:00:00"/>
    <x v="4"/>
    <n v="0.40625"/>
    <n v="0"/>
    <m/>
  </r>
  <r>
    <x v="0"/>
    <x v="1"/>
    <x v="1"/>
    <s v="Control Buffers.xlsm"/>
    <s v="IN-043"/>
    <s v="AGROTAFOL FOSFITO X LT"/>
    <s v="TERMINADO"/>
    <s v="NUTRICIONAL"/>
    <m/>
    <m/>
    <m/>
    <m/>
    <n v="4.63"/>
    <n v="10.119899999999999"/>
    <n v="1000000000"/>
    <n v="52"/>
    <n v="49"/>
    <x v="4"/>
    <n v="0.06"/>
    <n v="0"/>
    <m/>
    <n v="0"/>
    <n v="49"/>
    <n v="3"/>
    <m/>
    <n v="27"/>
    <n v="0"/>
    <n v="0"/>
    <n v="1.1200000000000001"/>
    <n v="0"/>
    <n v="0.82417582417582413"/>
    <d v="2011-12-20T00:00:00"/>
    <x v="4"/>
    <n v="5.7692307692307696E-2"/>
    <n v="0"/>
    <m/>
  </r>
  <r>
    <x v="0"/>
    <x v="1"/>
    <x v="1"/>
    <s v="Control Buffers.xlsm"/>
    <s v="IN-0004"/>
    <s v="AGROTAFOL K PLUS X 500 ML"/>
    <s v="TERMINADO"/>
    <s v="NUTRICIONAL"/>
    <m/>
    <m/>
    <m/>
    <m/>
    <n v="1.72"/>
    <n v="3.83"/>
    <n v="1000000000"/>
    <n v="72"/>
    <n v="74"/>
    <x v="5"/>
    <n v="-0.03"/>
    <n v="0"/>
    <m/>
    <n v="0"/>
    <n v="74"/>
    <n v="0"/>
    <m/>
    <n v="37"/>
    <n v="0"/>
    <n v="3.44"/>
    <n v="1.4"/>
    <n v="0"/>
    <n v="0.92537313432835822"/>
    <d v="2012-01-12T00:00:00"/>
    <x v="4"/>
    <n v="-2.7777777777777776E-2"/>
    <n v="0"/>
    <m/>
  </r>
  <r>
    <x v="0"/>
    <x v="1"/>
    <x v="1"/>
    <s v="Control Buffers.xlsm"/>
    <s v="IN-048"/>
    <s v="AGROTAFOL K PLUS X LT"/>
    <s v="TERMINADO"/>
    <s v="NUTRICIONAL"/>
    <m/>
    <m/>
    <m/>
    <m/>
    <n v="3.34"/>
    <n v="6.92"/>
    <n v="1000000000"/>
    <n v="302"/>
    <n v="297"/>
    <x v="4"/>
    <n v="0.02"/>
    <n v="0"/>
    <m/>
    <n v="0"/>
    <n v="297"/>
    <n v="5"/>
    <m/>
    <n v="152"/>
    <n v="0"/>
    <n v="0"/>
    <n v="1.28"/>
    <n v="0"/>
    <n v="1.0661337209302326"/>
    <d v="2012-01-12T00:00:00"/>
    <x v="4"/>
    <n v="1.6556291390728478E-2"/>
    <n v="0"/>
    <m/>
  </r>
  <r>
    <x v="0"/>
    <x v="1"/>
    <x v="1"/>
    <s v="Control Buffers.xlsm"/>
    <s v="IN-00102"/>
    <s v="AGROTAFOL SUPER X KG"/>
    <s v="TERMINADO"/>
    <s v="NUTRICIONAL"/>
    <n v="752"/>
    <m/>
    <m/>
    <m/>
    <n v="1.77"/>
    <n v="4.26"/>
    <n v="1000000000"/>
    <n v="565"/>
    <n v="20"/>
    <x v="0"/>
    <n v="0.96"/>
    <n v="0"/>
    <m/>
    <n v="0"/>
    <n v="20"/>
    <n v="545"/>
    <m/>
    <n v="284"/>
    <n v="418.31999999999994"/>
    <n v="0"/>
    <n v="0"/>
    <n v="0"/>
    <n v="1.2738372093023256"/>
    <d v="2012-01-27T00:00:00"/>
    <x v="4"/>
    <n v="0.96460176991150437"/>
    <n v="0"/>
    <m/>
  </r>
  <r>
    <x v="0"/>
    <x v="1"/>
    <x v="1"/>
    <s v="Control Buffers.xlsm"/>
    <s v="IN-0005"/>
    <s v="AGROTAFOL ZINC X 500 ML"/>
    <s v="TERMINADO"/>
    <s v="NUTRICIONAL"/>
    <m/>
    <m/>
    <m/>
    <m/>
    <n v="0.41"/>
    <n v="2.87"/>
    <n v="1000000000"/>
    <n v="0"/>
    <n v="1"/>
    <x v="1"/>
    <n v="0"/>
    <n v="0"/>
    <m/>
    <n v="0"/>
    <n v="1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006"/>
    <s v="AGROTAFOL ZINC X GL"/>
    <s v="TERMINADO"/>
    <s v="NUTRICIONAL"/>
    <m/>
    <m/>
    <m/>
    <m/>
    <n v="0"/>
    <n v="17.48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30"/>
    <s v="AGROTAFOL ZINC X LT"/>
    <s v="TERMINADO"/>
    <s v="NUTRICIONAL"/>
    <m/>
    <m/>
    <m/>
    <m/>
    <n v="5.35"/>
    <n v="5.22"/>
    <n v="1000000000"/>
    <n v="284"/>
    <n v="192"/>
    <x v="4"/>
    <n v="0.32"/>
    <n v="0"/>
    <m/>
    <n v="0"/>
    <n v="192"/>
    <n v="92"/>
    <m/>
    <n v="143"/>
    <n v="0"/>
    <n v="0"/>
    <n v="0.69"/>
    <n v="0"/>
    <n v="0.99533799533799538"/>
    <d v="2012-02-15T00:00:00"/>
    <x v="4"/>
    <n v="0.323943661971831"/>
    <n v="0"/>
    <m/>
  </r>
  <r>
    <x v="0"/>
    <x v="1"/>
    <x v="1"/>
    <s v="Control Buffers.xlsm"/>
    <s v="IN-139"/>
    <s v="AGROTAZOLE 25% EC  X LT"/>
    <s v="TERMINADO "/>
    <s v="FUNGICIDAS"/>
    <m/>
    <m/>
    <m/>
    <m/>
    <n v="10.35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PT-010"/>
    <s v="AGROTAZOLE 25% EC X 100 ML"/>
    <s v="TERMINADO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768"/>
    <s v="AGROVERDOL X 5 GAL|"/>
    <s v="TERMINADO"/>
    <s v="INSECTICIDAS"/>
    <m/>
    <m/>
    <m/>
    <m/>
    <n v="60.43"/>
    <n v="149.33000000000001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140"/>
    <s v="AGROVERDOL X 500 ML"/>
    <s v="TERMINADO"/>
    <s v="NUTRICIONAL"/>
    <m/>
    <m/>
    <m/>
    <m/>
    <n v="1.76"/>
    <n v="4.53"/>
    <n v="1000000000"/>
    <n v="767"/>
    <n v="780"/>
    <x v="5"/>
    <n v="-0.02"/>
    <n v="0"/>
    <m/>
    <n v="0"/>
    <n v="780"/>
    <n v="0"/>
    <m/>
    <n v="385"/>
    <n v="0"/>
    <n v="22.88"/>
    <n v="1.5"/>
    <n v="0"/>
    <n v="1.8277803847958705"/>
    <d v="2011-12-23T00:00:00"/>
    <x v="4"/>
    <n v="-1.6949152542372881E-2"/>
    <n v="0"/>
    <m/>
  </r>
  <r>
    <x v="0"/>
    <x v="1"/>
    <x v="1"/>
    <s v="Control Buffers.xlsm"/>
    <s v="IN-1410"/>
    <s v="AGROVERDOL X GL"/>
    <s v="TERMINADO"/>
    <s v="NUTRICIONAL"/>
    <m/>
    <m/>
    <m/>
    <m/>
    <n v="12.45"/>
    <n v="28.79"/>
    <n v="1000000000"/>
    <n v="0"/>
    <n v="17"/>
    <x v="1"/>
    <n v="0"/>
    <n v="0"/>
    <m/>
    <n v="0"/>
    <n v="17"/>
    <n v="0"/>
    <m/>
    <n v="1"/>
    <n v="0"/>
    <n v="0"/>
    <n v="2.34"/>
    <n v="0"/>
    <n v="0"/>
    <d v="1899-12-30T00:00:00"/>
    <x v="4"/>
    <s v=""/>
    <n v="0"/>
    <m/>
  </r>
  <r>
    <x v="0"/>
    <x v="1"/>
    <x v="1"/>
    <s v="Control Buffers.xlsm"/>
    <s v="IN-141"/>
    <s v="AGROVERDOL X LT"/>
    <s v="TERMINADO"/>
    <s v="NUTRICIONAL"/>
    <m/>
    <m/>
    <m/>
    <m/>
    <n v="3.38"/>
    <n v="8.1"/>
    <n v="1000000000"/>
    <n v="531"/>
    <n v="479"/>
    <x v="4"/>
    <n v="0.1"/>
    <n v="0"/>
    <m/>
    <n v="0"/>
    <n v="479"/>
    <n v="52"/>
    <m/>
    <n v="267"/>
    <n v="0"/>
    <n v="0"/>
    <n v="2.3199999999999998"/>
    <n v="0"/>
    <n v="1.0025773195876289"/>
    <d v="2012-01-12T00:00:00"/>
    <x v="4"/>
    <n v="9.7928436911487754E-2"/>
    <n v="0"/>
    <m/>
  </r>
  <r>
    <x v="0"/>
    <x v="1"/>
    <x v="1"/>
    <s v="Control Buffers.xlsm"/>
    <s v="G-001"/>
    <s v="ALGAENZIMES 20 LT"/>
    <s v="AA (No Aplica)"/>
    <s v="AA (No Aplica)"/>
    <m/>
    <m/>
    <m/>
    <m/>
    <n v="267"/>
    <n v="0"/>
    <n v="1000000000"/>
    <n v="0"/>
    <n v="3"/>
    <x v="1"/>
    <n v="0"/>
    <n v="0"/>
    <m/>
    <n v="0"/>
    <n v="3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QUIM-011"/>
    <s v="ANIQUILADOR X 100 ML"/>
    <s v="TERMINADO"/>
    <s v="INSECTICIDAS"/>
    <m/>
    <m/>
    <m/>
    <m/>
    <n v="1.01"/>
    <n v="3.33"/>
    <n v="1000000000"/>
    <n v="1769"/>
    <n v="1777"/>
    <x v="5"/>
    <n v="0"/>
    <n v="0"/>
    <m/>
    <n v="0"/>
    <n v="1777"/>
    <n v="0"/>
    <m/>
    <n v="886"/>
    <n v="0"/>
    <n v="8.08"/>
    <n v="0.35"/>
    <n v="0"/>
    <n v="0.92090711835934769"/>
    <d v="2011-12-22T00:00:00"/>
    <x v="4"/>
    <n v="-4.5223289994347085E-3"/>
    <n v="0"/>
    <m/>
  </r>
  <r>
    <x v="0"/>
    <x v="1"/>
    <x v="1"/>
    <s v="Control Buffers.xlsm"/>
    <s v="QU-012"/>
    <s v="ANIQUILADOR X 250 ML"/>
    <s v="TERMINADO"/>
    <s v="INSECTICIDAS"/>
    <m/>
    <m/>
    <m/>
    <m/>
    <n v="2.25"/>
    <n v="6.88"/>
    <n v="1000000000"/>
    <n v="171"/>
    <n v="102"/>
    <x v="3"/>
    <n v="0.4"/>
    <n v="0"/>
    <m/>
    <n v="0"/>
    <n v="102"/>
    <n v="69"/>
    <m/>
    <n v="87"/>
    <n v="0"/>
    <n v="0"/>
    <n v="3.02"/>
    <n v="0"/>
    <n v="1.2840236686390532"/>
    <d v="2011-12-27T00:00:00"/>
    <x v="4"/>
    <n v="0.40350877192982454"/>
    <n v="0"/>
    <m/>
  </r>
  <r>
    <x v="0"/>
    <x v="1"/>
    <x v="1"/>
    <s v="Control Buffers.xlsm"/>
    <s v="QU-013"/>
    <s v="ANIQUILADOR X 500 ML"/>
    <s v="TERMINADO"/>
    <s v="INSECTICIDAS"/>
    <m/>
    <m/>
    <m/>
    <m/>
    <n v="4.45"/>
    <n v="12.83"/>
    <n v="1000000000"/>
    <n v="0"/>
    <n v="31"/>
    <x v="1"/>
    <n v="0"/>
    <n v="0"/>
    <m/>
    <n v="0"/>
    <n v="31"/>
    <n v="0"/>
    <m/>
    <n v="1"/>
    <n v="0"/>
    <n v="0"/>
    <n v="1.24"/>
    <n v="0"/>
    <n v="0"/>
    <d v="1899-12-30T00:00:00"/>
    <x v="4"/>
    <s v=""/>
    <n v="0"/>
    <m/>
  </r>
  <r>
    <x v="0"/>
    <x v="1"/>
    <x v="1"/>
    <s v="Control Buffers.xlsm"/>
    <s v="QUIM-010"/>
    <s v="ANIQUILADOR X LT"/>
    <s v="TERMINADO"/>
    <s v="INSECTICIDAS"/>
    <m/>
    <m/>
    <m/>
    <m/>
    <n v="8.51"/>
    <n v="24.37"/>
    <n v="1000000000"/>
    <n v="60"/>
    <n v="39"/>
    <x v="3"/>
    <n v="0.35"/>
    <n v="0"/>
    <m/>
    <n v="0"/>
    <n v="39"/>
    <n v="21"/>
    <m/>
    <n v="31"/>
    <n v="0"/>
    <n v="0"/>
    <n v="5.4"/>
    <n v="0"/>
    <n v="1"/>
    <d v="2012-01-20T00:00:00"/>
    <x v="4"/>
    <n v="0.35"/>
    <n v="0"/>
    <m/>
  </r>
  <r>
    <x v="0"/>
    <x v="1"/>
    <x v="1"/>
    <s v="Control Buffers.xlsm"/>
    <s v="IN-48"/>
    <s v="ASTUTO X LITRO"/>
    <s v="TERMINADO"/>
    <s v="INSECTICIDAS"/>
    <m/>
    <m/>
    <m/>
    <m/>
    <n v="23.56"/>
    <n v="33.5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MP-890"/>
    <s v="BENALAXYL + MANCOZEB CREMA X 25 KILOS"/>
    <s v="MATERIA PRIMA "/>
    <s v="FUNGICIDAS"/>
    <m/>
    <m/>
    <m/>
    <m/>
    <n v="205.63"/>
    <n v="0"/>
    <n v="1000000000"/>
    <n v="0"/>
    <n v="0"/>
    <x v="1"/>
    <n v="0"/>
    <n v="0"/>
    <m/>
    <n v="0"/>
    <n v="0"/>
    <n v="0"/>
    <m/>
    <n v="1"/>
    <n v="0"/>
    <n v="0"/>
    <n v="0"/>
    <n v="-1.96"/>
    <n v="0"/>
    <d v="1899-12-30T00:00:00"/>
    <x v="4"/>
    <s v=""/>
    <n v="0"/>
    <m/>
  </r>
  <r>
    <x v="0"/>
    <x v="1"/>
    <x v="1"/>
    <s v="Control Buffers.xlsm"/>
    <s v="G-0015"/>
    <s v="BIOBAN X 20 LT"/>
    <s v="TERMINADO "/>
    <s v="FUNGICIDAS"/>
    <m/>
    <m/>
    <m/>
    <m/>
    <n v="519.35"/>
    <n v="0"/>
    <n v="1000000000"/>
    <n v="1"/>
    <n v="6"/>
    <x v="5"/>
    <n v="-5"/>
    <n v="0"/>
    <m/>
    <n v="0"/>
    <n v="6"/>
    <n v="0"/>
    <m/>
    <n v="2"/>
    <n v="0"/>
    <n v="2596.75"/>
    <n v="0"/>
    <n v="0"/>
    <n v="0"/>
    <d v="2011-06-10T00:00:00"/>
    <x v="4"/>
    <n v="-5"/>
    <n v="0"/>
    <m/>
  </r>
  <r>
    <x v="0"/>
    <x v="1"/>
    <x v="1"/>
    <s v="Control Buffers.xlsm"/>
    <s v="IN-668"/>
    <s v="BIOBAN X 250 ML"/>
    <s v="TERMINADO "/>
    <s v="FUNGICIDAS"/>
    <m/>
    <m/>
    <m/>
    <m/>
    <n v="7.03"/>
    <n v="0"/>
    <n v="1000000000"/>
    <n v="0"/>
    <n v="3"/>
    <x v="1"/>
    <n v="0"/>
    <n v="0"/>
    <m/>
    <n v="0"/>
    <n v="3"/>
    <n v="0"/>
    <m/>
    <n v="1"/>
    <n v="0"/>
    <n v="0"/>
    <n v="0"/>
    <n v="0"/>
    <n v="1"/>
    <d v="1899-12-30T00:00:00"/>
    <x v="4"/>
    <s v=""/>
    <n v="0"/>
    <m/>
  </r>
  <r>
    <x v="0"/>
    <x v="1"/>
    <x v="1"/>
    <s v="Control Buffers.xlsm"/>
    <s v="G-0014"/>
    <s v="BIOBAN X GALON"/>
    <s v="TERMINADO "/>
    <s v="FUNGICIDAS"/>
    <m/>
    <m/>
    <m/>
    <m/>
    <n v="98.3"/>
    <n v="0"/>
    <n v="1000000000"/>
    <n v="2"/>
    <n v="12"/>
    <x v="5"/>
    <n v="-5"/>
    <n v="0"/>
    <m/>
    <n v="0"/>
    <n v="12"/>
    <n v="0"/>
    <m/>
    <n v="2"/>
    <n v="0"/>
    <n v="983"/>
    <n v="0"/>
    <n v="0"/>
    <n v="0"/>
    <d v="2011-06-10T00:00:00"/>
    <x v="4"/>
    <n v="-5"/>
    <n v="0"/>
    <m/>
  </r>
  <r>
    <x v="0"/>
    <x v="1"/>
    <x v="1"/>
    <s v="Control Buffers.xlsm"/>
    <s v="G-008"/>
    <s v="BIOBAN X LITRO"/>
    <s v="TERMINADO "/>
    <s v="FUNGICIDAS"/>
    <m/>
    <m/>
    <m/>
    <m/>
    <n v="26.52"/>
    <n v="0"/>
    <n v="1000000000"/>
    <n v="20"/>
    <n v="153"/>
    <x v="5"/>
    <n v="-6.65"/>
    <n v="0"/>
    <m/>
    <n v="0"/>
    <n v="153"/>
    <n v="0"/>
    <m/>
    <n v="11"/>
    <n v="0"/>
    <n v="3527.16"/>
    <n v="0"/>
    <n v="0"/>
    <n v="0"/>
    <d v="2011-06-10T00:00:00"/>
    <x v="4"/>
    <n v="-6.65"/>
    <n v="0"/>
    <m/>
  </r>
  <r>
    <x v="0"/>
    <x v="1"/>
    <x v="1"/>
    <s v="Control Buffers.xlsm"/>
    <s v="IN-00173"/>
    <s v="BUCANER FORTE X 100 ML"/>
    <s v="TERMINADO "/>
    <s v="FUNGICIDAS"/>
    <m/>
    <m/>
    <m/>
    <m/>
    <n v="0.7"/>
    <n v="3.9"/>
    <n v="1000000000"/>
    <n v="51"/>
    <n v="39"/>
    <x v="4"/>
    <n v="0.24"/>
    <n v="0"/>
    <m/>
    <n v="0"/>
    <n v="39"/>
    <n v="12"/>
    <m/>
    <n v="27"/>
    <n v="0"/>
    <n v="0"/>
    <n v="0.92"/>
    <n v="0"/>
    <n v="2.6769230769230767"/>
    <d v="2011-11-22T00:00:00"/>
    <x v="4"/>
    <n v="0.23529411764705882"/>
    <n v="0"/>
    <m/>
  </r>
  <r>
    <x v="0"/>
    <x v="1"/>
    <x v="1"/>
    <s v="Control Buffers.xlsm"/>
    <s v="IN-00172"/>
    <s v="BUCANER FORTE X 250 ML"/>
    <s v="TERMINADO "/>
    <s v="FUNGICIDAS"/>
    <m/>
    <m/>
    <m/>
    <m/>
    <n v="1.77"/>
    <n v="7.49"/>
    <n v="1000000000"/>
    <n v="80"/>
    <n v="14"/>
    <x v="0"/>
    <n v="0.83"/>
    <n v="0"/>
    <m/>
    <n v="0"/>
    <n v="14"/>
    <n v="66"/>
    <m/>
    <n v="41"/>
    <n v="74.360000000000014"/>
    <n v="0"/>
    <n v="5.0199999999999996"/>
    <n v="0"/>
    <n v="1.0906040268456376"/>
    <d v="1899-12-30T00:00:00"/>
    <x v="4"/>
    <n v="0.82499999999999996"/>
    <n v="0"/>
    <m/>
  </r>
  <r>
    <x v="0"/>
    <x v="1"/>
    <x v="1"/>
    <s v="Control Buffers.xlsm"/>
    <s v="IN-00171"/>
    <s v="BUCANER FORTE X 500 ML"/>
    <s v="TERMINADO "/>
    <s v="FUNGICIDAS"/>
    <m/>
    <m/>
    <m/>
    <m/>
    <n v="3.18"/>
    <n v="13.9"/>
    <n v="1000000000"/>
    <n v="68"/>
    <n v="26"/>
    <x v="3"/>
    <n v="0.62"/>
    <n v="0"/>
    <m/>
    <n v="0"/>
    <n v="26"/>
    <n v="42"/>
    <m/>
    <n v="35"/>
    <n v="0"/>
    <n v="0"/>
    <n v="1.89"/>
    <n v="0"/>
    <n v="1"/>
    <d v="2012-02-15T00:00:00"/>
    <x v="4"/>
    <n v="0.61764705882352944"/>
    <n v="0"/>
    <m/>
  </r>
  <r>
    <x v="0"/>
    <x v="1"/>
    <x v="1"/>
    <s v="Control Buffers.xlsm"/>
    <s v="IN-00174"/>
    <s v="BUCANER FORTE X LITRO"/>
    <s v="TERMINADO "/>
    <s v="FUNGICIDAS"/>
    <m/>
    <m/>
    <m/>
    <m/>
    <n v="5.98"/>
    <n v="25.9"/>
    <n v="1000000000"/>
    <n v="40"/>
    <n v="28"/>
    <x v="4"/>
    <n v="0.3"/>
    <n v="0"/>
    <m/>
    <n v="0"/>
    <n v="28"/>
    <n v="12"/>
    <m/>
    <n v="21"/>
    <n v="0"/>
    <n v="0"/>
    <n v="2.81"/>
    <n v="0"/>
    <n v="1.2592592592592593"/>
    <d v="2011-12-27T00:00:00"/>
    <x v="4"/>
    <n v="0.3"/>
    <n v="0"/>
    <m/>
  </r>
  <r>
    <x v="0"/>
    <x v="1"/>
    <x v="1"/>
    <s v="Control Buffers.xlsm"/>
    <s v="IN-5422"/>
    <s v="BUCANER X 100 ML"/>
    <s v="TERMINADO "/>
    <s v="FUNGICIDAS"/>
    <m/>
    <m/>
    <m/>
    <m/>
    <n v="0.6"/>
    <n v="2.44"/>
    <n v="1000000000"/>
    <n v="104"/>
    <n v="100"/>
    <x v="4"/>
    <n v="0.04"/>
    <n v="0"/>
    <m/>
    <n v="0"/>
    <n v="100"/>
    <n v="4"/>
    <m/>
    <n v="53"/>
    <n v="0"/>
    <n v="0"/>
    <n v="1.32"/>
    <n v="0"/>
    <n v="0"/>
    <d v="2011-10-10T00:00:00"/>
    <x v="4"/>
    <n v="3.8461538461538464E-2"/>
    <n v="0"/>
    <m/>
  </r>
  <r>
    <x v="0"/>
    <x v="1"/>
    <x v="1"/>
    <s v="Control Buffers.xlsm"/>
    <s v="IN-0012"/>
    <s v="BUCANER X 250 ML"/>
    <s v="TERMINADO "/>
    <s v="FUNGICIDAS"/>
    <m/>
    <m/>
    <m/>
    <m/>
    <n v="1.35"/>
    <n v="6.08"/>
    <n v="1000000000"/>
    <n v="450"/>
    <n v="465"/>
    <x v="5"/>
    <n v="-0.03"/>
    <n v="0"/>
    <m/>
    <n v="0"/>
    <n v="465"/>
    <n v="0"/>
    <m/>
    <n v="226"/>
    <n v="0"/>
    <n v="20.25"/>
    <n v="1.52"/>
    <n v="0"/>
    <n v="1.3587140439932317"/>
    <d v="2011-06-10T00:00:00"/>
    <x v="4"/>
    <n v="-3.3333333333333333E-2"/>
    <n v="0"/>
    <m/>
  </r>
  <r>
    <x v="0"/>
    <x v="1"/>
    <x v="1"/>
    <s v="Control Buffers.xlsm"/>
    <s v="IN-0014"/>
    <s v="BUCANER X 500 ML"/>
    <s v="TERMINADO "/>
    <s v="FUNGICIDAS"/>
    <m/>
    <m/>
    <m/>
    <m/>
    <n v="2.65"/>
    <n v="11.2"/>
    <n v="1000000000"/>
    <n v="40"/>
    <n v="56"/>
    <x v="5"/>
    <n v="-0.4"/>
    <n v="0"/>
    <m/>
    <n v="0"/>
    <n v="56"/>
    <n v="0"/>
    <m/>
    <n v="21"/>
    <n v="0"/>
    <n v="42.4"/>
    <n v="0.74"/>
    <n v="0"/>
    <n v="9.1666666666666661"/>
    <d v="2010-11-17T00:00:00"/>
    <x v="4"/>
    <n v="-0.4"/>
    <n v="0"/>
    <m/>
  </r>
  <r>
    <x v="0"/>
    <x v="1"/>
    <x v="1"/>
    <s v="Control Buffers.xlsm"/>
    <s v="IN-0011"/>
    <s v="BUCANER X LT"/>
    <s v="TERMINADO "/>
    <s v="FUNGICIDAS"/>
    <m/>
    <m/>
    <m/>
    <m/>
    <n v="4.5598999999999998"/>
    <n v="21.75"/>
    <n v="1000000000"/>
    <n v="72"/>
    <n v="42"/>
    <x v="3"/>
    <n v="0.42"/>
    <n v="0"/>
    <m/>
    <n v="0"/>
    <n v="42"/>
    <n v="30"/>
    <m/>
    <n v="37"/>
    <n v="0"/>
    <n v="0"/>
    <n v="3.38"/>
    <n v="0"/>
    <n v="8.2884615384615383"/>
    <d v="2012-02-15T00:00:00"/>
    <x v="4"/>
    <n v="0.41666666666666669"/>
    <n v="0"/>
    <m/>
  </r>
  <r>
    <x v="0"/>
    <x v="1"/>
    <x v="1"/>
    <s v="Control Buffers.xlsm"/>
    <s v="P-0014"/>
    <s v="CAJA COMBO ARROZ ENGROSE"/>
    <s v="MATERIA PRIMA "/>
    <s v="PRODUCCION"/>
    <m/>
    <m/>
    <m/>
    <m/>
    <n v="0.66"/>
    <n v="0"/>
    <n v="1000000000"/>
    <n v="0"/>
    <n v="110"/>
    <x v="1"/>
    <n v="0"/>
    <n v="0"/>
    <m/>
    <n v="0"/>
    <n v="110"/>
    <n v="0"/>
    <m/>
    <n v="1"/>
    <n v="0"/>
    <n v="0"/>
    <n v="0"/>
    <n v="0"/>
    <n v="1.7878787878787878"/>
    <d v="1899-12-30T00:00:00"/>
    <x v="4"/>
    <s v=""/>
    <n v="0"/>
    <m/>
  </r>
  <r>
    <x v="0"/>
    <x v="1"/>
    <x v="1"/>
    <s v="Control Buffers.xlsm"/>
    <s v="P-006"/>
    <s v="CAJA COMBO ARROZ TOTAL"/>
    <s v="MATERIA PRIMA "/>
    <s v="PRODUCCION"/>
    <m/>
    <m/>
    <m/>
    <m/>
    <n v="0.5"/>
    <n v="0"/>
    <n v="1000000000"/>
    <n v="0"/>
    <n v="619"/>
    <x v="1"/>
    <n v="0"/>
    <n v="0"/>
    <m/>
    <n v="0"/>
    <n v="619"/>
    <n v="0"/>
    <m/>
    <n v="1"/>
    <n v="0"/>
    <n v="0"/>
    <n v="0"/>
    <n v="0"/>
    <n v="1"/>
    <d v="1899-12-30T00:00:00"/>
    <x v="4"/>
    <s v=""/>
    <n v="0"/>
    <m/>
  </r>
  <r>
    <x v="0"/>
    <x v="1"/>
    <x v="1"/>
    <s v="Control Buffers.xlsm"/>
    <s v="P-0012"/>
    <s v="CAJA COMBO CACAO FLORACION"/>
    <s v="MATERIA PRIMA "/>
    <s v="PRODUCCION"/>
    <m/>
    <m/>
    <m/>
    <m/>
    <n v="0.91"/>
    <n v="0"/>
    <n v="1000000000"/>
    <n v="0"/>
    <n v="32"/>
    <x v="1"/>
    <n v="0"/>
    <n v="0"/>
    <m/>
    <n v="0"/>
    <n v="32"/>
    <n v="0"/>
    <m/>
    <n v="1"/>
    <n v="0"/>
    <n v="0"/>
    <n v="0"/>
    <n v="-0.01"/>
    <n v="0.95447409733124022"/>
    <d v="1899-12-30T00:00:00"/>
    <x v="4"/>
    <s v=""/>
    <n v="0"/>
    <m/>
  </r>
  <r>
    <x v="0"/>
    <x v="1"/>
    <x v="1"/>
    <s v="Control Buffers.xlsm"/>
    <s v="MP-558"/>
    <s v="CAJA COMBO FRESA"/>
    <s v="MATERIA PRIMA "/>
    <s v="PRODUCCION"/>
    <m/>
    <m/>
    <m/>
    <m/>
    <n v="0.98"/>
    <n v="0"/>
    <n v="1000000000"/>
    <n v="0"/>
    <n v="208"/>
    <x v="1"/>
    <n v="0"/>
    <n v="0"/>
    <m/>
    <n v="0"/>
    <n v="208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P-005"/>
    <s v="CAJA COMBO INSECTICIDA"/>
    <s v="MATERIA PRIMA "/>
    <s v="PRODUCCION"/>
    <m/>
    <m/>
    <m/>
    <m/>
    <n v="0.66"/>
    <n v="0"/>
    <n v="1000000000"/>
    <n v="0"/>
    <n v="137"/>
    <x v="1"/>
    <n v="0"/>
    <n v="0"/>
    <m/>
    <n v="0"/>
    <n v="137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P-0013"/>
    <s v="CAJA COMBO MARACUYA"/>
    <s v="MATERIA PRIMA "/>
    <s v="PRODUCCION"/>
    <m/>
    <m/>
    <m/>
    <m/>
    <n v="0.74"/>
    <n v="0"/>
    <n v="1000000000"/>
    <n v="0"/>
    <n v="73"/>
    <x v="1"/>
    <n v="0"/>
    <n v="0"/>
    <m/>
    <n v="0"/>
    <n v="73"/>
    <n v="0"/>
    <m/>
    <n v="1"/>
    <n v="0"/>
    <n v="0"/>
    <n v="0"/>
    <n v="0"/>
    <n v="1.0476190476190477"/>
    <d v="1899-12-30T00:00:00"/>
    <x v="4"/>
    <s v=""/>
    <n v="0"/>
    <m/>
  </r>
  <r>
    <x v="0"/>
    <x v="1"/>
    <x v="1"/>
    <s v="Control Buffers.xlsm"/>
    <s v="P-003"/>
    <s v="CAJA COMBO MASTER INICIAL"/>
    <s v="MATERIA PRIMA "/>
    <s v="PRODUCCION"/>
    <m/>
    <m/>
    <m/>
    <m/>
    <n v="0.86"/>
    <n v="0"/>
    <n v="1000000000"/>
    <n v="0"/>
    <n v="255"/>
    <x v="1"/>
    <n v="0"/>
    <n v="0"/>
    <m/>
    <n v="0"/>
    <n v="255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P-0011"/>
    <s v="CAJA COMBO MONILIA"/>
    <s v="MATERIA PRIMA "/>
    <s v="PRODUCCION"/>
    <m/>
    <m/>
    <m/>
    <m/>
    <n v="0.83"/>
    <n v="0"/>
    <n v="1000000000"/>
    <n v="0"/>
    <n v="87"/>
    <x v="1"/>
    <n v="0"/>
    <n v="0"/>
    <m/>
    <n v="0"/>
    <n v="87"/>
    <n v="0"/>
    <m/>
    <n v="1"/>
    <n v="0"/>
    <n v="0"/>
    <n v="0"/>
    <n v="-0.01"/>
    <n v="0"/>
    <d v="1899-12-30T00:00:00"/>
    <x v="4"/>
    <s v=""/>
    <n v="0"/>
    <m/>
  </r>
  <r>
    <x v="0"/>
    <x v="1"/>
    <x v="1"/>
    <s v="Control Buffers.xlsm"/>
    <s v="P-009"/>
    <s v="CAJA COMBO PAPAYA"/>
    <s v="MATERIA PRIMA "/>
    <s v="PRODUCCION"/>
    <m/>
    <m/>
    <m/>
    <m/>
    <n v="0.88"/>
    <n v="0"/>
    <n v="1000000000"/>
    <n v="0"/>
    <n v="167"/>
    <x v="1"/>
    <n v="0"/>
    <n v="0"/>
    <m/>
    <n v="0"/>
    <n v="167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669"/>
    <s v="CIROMAZINA FRONTEAGRO X 250 G"/>
    <s v="TERMINADO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1441"/>
    <s v="CIROMAZINA FRONTEAGRO X 50 G"/>
    <s v="TERMINADO"/>
    <s v="INSECTICIDAS"/>
    <m/>
    <m/>
    <m/>
    <m/>
    <n v="2.63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1442"/>
    <s v="CIROMAZINA X 50 G AGROMAC"/>
    <s v="TERMINADO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144"/>
    <s v="CIROMAZINA X 50 G AGROTA"/>
    <s v="TERMINADO"/>
    <s v="INSECTICIDAS"/>
    <m/>
    <m/>
    <m/>
    <m/>
    <n v="2.46"/>
    <n v="9.68"/>
    <n v="1000000000"/>
    <n v="750"/>
    <n v="130"/>
    <x v="0"/>
    <n v="0.83"/>
    <n v="0"/>
    <m/>
    <n v="0"/>
    <n v="130"/>
    <n v="620"/>
    <m/>
    <n v="376"/>
    <n v="866.4"/>
    <n v="0"/>
    <n v="1.54"/>
    <n v="0"/>
    <n v="0.9439303211758302"/>
    <d v="2011-06-10T00:00:00"/>
    <x v="4"/>
    <n v="0.82666666666666666"/>
    <n v="0"/>
    <m/>
  </r>
  <r>
    <x v="0"/>
    <x v="1"/>
    <x v="1"/>
    <s v="Control Buffers.xlsm"/>
    <s v="IN-667"/>
    <s v="CITOQMAX X 250 ML"/>
    <s v="TERMINADO"/>
    <s v="NUTRICIONAL"/>
    <m/>
    <m/>
    <m/>
    <m/>
    <n v="9.81"/>
    <n v="0"/>
    <n v="1000000000"/>
    <n v="20"/>
    <n v="31"/>
    <x v="5"/>
    <n v="-0.55000000000000004"/>
    <n v="0"/>
    <m/>
    <n v="0"/>
    <n v="31"/>
    <n v="0"/>
    <m/>
    <n v="11"/>
    <n v="0"/>
    <n v="107.91000000000001"/>
    <n v="0"/>
    <n v="0"/>
    <n v="0"/>
    <d v="1899-12-30T00:00:00"/>
    <x v="4"/>
    <n v="-0.55000000000000004"/>
    <n v="0"/>
    <m/>
  </r>
  <r>
    <x v="0"/>
    <x v="1"/>
    <x v="1"/>
    <s v="Control Buffers.xlsm"/>
    <s v="F-0015"/>
    <s v="CITOQMAX X LT"/>
    <s v="TERMINADO"/>
    <s v="NUTRICIONAL"/>
    <m/>
    <m/>
    <m/>
    <m/>
    <n v="37.92"/>
    <n v="0"/>
    <n v="1000000000"/>
    <n v="21"/>
    <n v="53"/>
    <x v="5"/>
    <n v="-1.52"/>
    <n v="0"/>
    <m/>
    <n v="0"/>
    <n v="53"/>
    <n v="0"/>
    <m/>
    <n v="12"/>
    <n v="0"/>
    <n v="1213.44"/>
    <n v="0"/>
    <n v="0"/>
    <n v="0"/>
    <d v="2010-06-07T00:00:00"/>
    <x v="4"/>
    <n v="-1.5238095238095237"/>
    <n v="0"/>
    <m/>
  </r>
  <r>
    <x v="0"/>
    <x v="1"/>
    <x v="1"/>
    <s v="Control Buffers.xlsm"/>
    <s v="CO-005"/>
    <s v="COMBO CACAO FLORACION"/>
    <s v="TERMINADO"/>
    <s v="NUTRICIONAL"/>
    <m/>
    <m/>
    <m/>
    <m/>
    <n v="0"/>
    <n v="19.38"/>
    <n v="1000000000"/>
    <n v="0"/>
    <n v="-862"/>
    <x v="1"/>
    <n v="0"/>
    <n v="0"/>
    <m/>
    <n v="0"/>
    <n v="-862"/>
    <n v="862"/>
    <m/>
    <n v="1"/>
    <n v="0"/>
    <n v="0"/>
    <n v="0"/>
    <n v="0"/>
    <n v="1.0035768734607717"/>
    <d v="1899-12-30T00:00:00"/>
    <x v="4"/>
    <s v=""/>
    <n v="0"/>
    <m/>
  </r>
  <r>
    <x v="0"/>
    <x v="1"/>
    <x v="1"/>
    <s v="Control Buffers.xlsm"/>
    <s v="CO-0010"/>
    <s v="COMBO CACAO INICIO"/>
    <s v="TERMINADO"/>
    <s v="NUTRICIONAL"/>
    <m/>
    <m/>
    <m/>
    <m/>
    <n v="0"/>
    <n v="18.52"/>
    <n v="1000000000"/>
    <n v="0"/>
    <n v="0"/>
    <x v="1"/>
    <n v="0"/>
    <n v="0"/>
    <m/>
    <n v="0"/>
    <n v="0"/>
    <n v="0"/>
    <m/>
    <n v="1"/>
    <n v="0"/>
    <n v="0"/>
    <n v="0"/>
    <n v="0"/>
    <n v="1.5429508196721311"/>
    <d v="1899-12-30T00:00:00"/>
    <x v="4"/>
    <s v=""/>
    <n v="0"/>
    <m/>
  </r>
  <r>
    <x v="0"/>
    <x v="1"/>
    <x v="1"/>
    <s v="Control Buffers.xlsm"/>
    <s v="CO-006"/>
    <s v="COMBO CACAO MONILIA"/>
    <s v="TERMINADO "/>
    <s v="FUNGICIDAS"/>
    <m/>
    <m/>
    <m/>
    <m/>
    <n v="0"/>
    <n v="16.940000000000001"/>
    <n v="1000000000"/>
    <n v="0"/>
    <n v="-1878"/>
    <x v="1"/>
    <n v="0"/>
    <n v="0"/>
    <m/>
    <n v="0"/>
    <n v="-1878"/>
    <n v="1878"/>
    <m/>
    <n v="1"/>
    <n v="0"/>
    <n v="0"/>
    <n v="0"/>
    <n v="0"/>
    <n v="0.94060712714474259"/>
    <d v="1899-12-30T00:00:00"/>
    <x v="4"/>
    <s v=""/>
    <n v="0"/>
    <m/>
  </r>
  <r>
    <x v="0"/>
    <x v="1"/>
    <x v="1"/>
    <s v="Control Buffers.xlsm"/>
    <s v="QUIM-020"/>
    <s v="DEPREDADOR X 100 G"/>
    <s v="TERMINADO"/>
    <s v="INSECTICIDAS"/>
    <m/>
    <m/>
    <m/>
    <m/>
    <n v="1.1398999999999999"/>
    <n v="2.89"/>
    <n v="1000000000"/>
    <n v="1902"/>
    <n v="140"/>
    <x v="0"/>
    <n v="0.93"/>
    <n v="0"/>
    <m/>
    <n v="0"/>
    <n v="140"/>
    <n v="1762"/>
    <m/>
    <n v="952"/>
    <n v="864.50000000000011"/>
    <n v="0"/>
    <n v="2.29"/>
    <n v="0"/>
    <n v="0.98148398432220574"/>
    <d v="2012-02-15T00:00:00"/>
    <x v="4"/>
    <n v="0.9263932702418507"/>
    <n v="0"/>
    <m/>
  </r>
  <r>
    <x v="0"/>
    <x v="1"/>
    <x v="1"/>
    <s v="Control Buffers.xlsm"/>
    <s v="QUIM-021"/>
    <s v="DEPREDADOR X 300 G"/>
    <s v="TERMINADO"/>
    <s v="INSECTICIDAS"/>
    <m/>
    <m/>
    <m/>
    <m/>
    <n v="3.3"/>
    <n v="7.06"/>
    <n v="1000000000"/>
    <n v="300"/>
    <n v="83"/>
    <x v="0"/>
    <n v="0.72"/>
    <n v="0"/>
    <m/>
    <n v="0"/>
    <n v="83"/>
    <n v="217"/>
    <m/>
    <n v="151"/>
    <n v="63.919999999999995"/>
    <n v="0"/>
    <n v="0.55000000000000004"/>
    <n v="0"/>
    <n v="1.1872489959839359"/>
    <d v="2012-02-15T00:00:00"/>
    <x v="4"/>
    <n v="0.72333333333333338"/>
    <n v="0"/>
    <m/>
  </r>
  <r>
    <x v="0"/>
    <x v="1"/>
    <x v="1"/>
    <s v="Control Buffers.xlsm"/>
    <s v="MP-249"/>
    <s v="ENVASE PREIMPRESO SKEKURA WP X 100 GMS"/>
    <s v="MATERIA PRIMA"/>
    <s v="PRODUCCION"/>
    <m/>
    <m/>
    <m/>
    <m/>
    <n v="0.12"/>
    <n v="0"/>
    <n v="1000000000"/>
    <n v="0"/>
    <n v="0"/>
    <x v="1"/>
    <n v="0"/>
    <n v="0"/>
    <m/>
    <n v="0"/>
    <n v="0"/>
    <n v="0"/>
    <m/>
    <n v="1"/>
    <n v="0"/>
    <n v="0"/>
    <n v="0"/>
    <n v="0"/>
    <n v="0.83516770348457825"/>
    <d v="1899-12-30T00:00:00"/>
    <x v="4"/>
    <s v=""/>
    <n v="0"/>
    <m/>
  </r>
  <r>
    <x v="0"/>
    <x v="1"/>
    <x v="1"/>
    <s v="Control Buffers.xlsm"/>
    <s v="MP-310"/>
    <s v="ENVASE SINOTYL X 100 GMS PREIMPRESO"/>
    <s v="MATERIA PRIMA"/>
    <s v="PRODUCCION"/>
    <m/>
    <m/>
    <m/>
    <m/>
    <n v="0.14000000000000001"/>
    <n v="0"/>
    <n v="1000000000"/>
    <n v="0"/>
    <n v="0"/>
    <x v="1"/>
    <n v="0"/>
    <n v="0"/>
    <m/>
    <n v="0"/>
    <n v="0"/>
    <n v="0"/>
    <m/>
    <n v="1"/>
    <n v="0"/>
    <n v="0"/>
    <n v="0"/>
    <n v="0"/>
    <n v="0.82877278461739246"/>
    <d v="1899-12-30T00:00:00"/>
    <x v="4"/>
    <s v=""/>
    <n v="0"/>
    <m/>
  </r>
  <r>
    <x v="0"/>
    <x v="1"/>
    <x v="1"/>
    <s v="Control Buffers.xlsm"/>
    <s v="G-0012"/>
    <s v="ESTAMPIDA ORG X LITRO"/>
    <s v="TERMINADO "/>
    <s v="INSECTICIDAS"/>
    <m/>
    <m/>
    <m/>
    <m/>
    <n v="40.32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976"/>
    <s v="FEGADAZIM X 250 ML"/>
    <s v="TERMINADO "/>
    <s v="FUNGICIDAS"/>
    <m/>
    <m/>
    <m/>
    <m/>
    <n v="1.58"/>
    <n v="4.51"/>
    <n v="1000000000"/>
    <n v="200"/>
    <n v="200"/>
    <x v="4"/>
    <n v="0"/>
    <n v="0"/>
    <m/>
    <n v="0"/>
    <n v="200"/>
    <n v="0"/>
    <m/>
    <n v="101"/>
    <n v="0"/>
    <n v="0"/>
    <n v="0"/>
    <n v="0"/>
    <n v="1.1538461538461537"/>
    <d v="2012-01-27T00:00:00"/>
    <x v="4"/>
    <n v="0"/>
    <n v="0"/>
    <m/>
  </r>
  <r>
    <x v="0"/>
    <x v="1"/>
    <x v="1"/>
    <s v="Control Buffers.xlsm"/>
    <s v="IN-0977"/>
    <s v="FEGADAZIM X 500 ML"/>
    <s v="TERMINADO "/>
    <s v="FUNGICIDAS"/>
    <m/>
    <m/>
    <m/>
    <m/>
    <n v="2.5"/>
    <n v="8.33"/>
    <n v="1000000000"/>
    <n v="80"/>
    <n v="59"/>
    <x v="4"/>
    <n v="0.26"/>
    <n v="0"/>
    <m/>
    <n v="0"/>
    <n v="59"/>
    <n v="21"/>
    <m/>
    <n v="41"/>
    <n v="0"/>
    <n v="0"/>
    <n v="0"/>
    <n v="0"/>
    <n v="1.232"/>
    <d v="2011-12-20T00:00:00"/>
    <x v="4"/>
    <n v="0.26250000000000001"/>
    <n v="0"/>
    <m/>
  </r>
  <r>
    <x v="0"/>
    <x v="1"/>
    <x v="1"/>
    <s v="Control Buffers.xlsm"/>
    <s v="IN-0987"/>
    <s v="FEGADAZIM X LITRO"/>
    <s v="TERMINADO "/>
    <s v="FUNGICIDAS"/>
    <m/>
    <m/>
    <m/>
    <m/>
    <n v="7.19"/>
    <n v="14.85"/>
    <n v="1000000000"/>
    <n v="200"/>
    <n v="200"/>
    <x v="4"/>
    <n v="0"/>
    <n v="0"/>
    <m/>
    <n v="0"/>
    <n v="200"/>
    <n v="0"/>
    <m/>
    <n v="101"/>
    <n v="0"/>
    <n v="0"/>
    <n v="0.82"/>
    <n v="0"/>
    <n v="1"/>
    <d v="2012-01-20T00:00:00"/>
    <x v="4"/>
    <n v="0"/>
    <n v="0"/>
    <m/>
  </r>
  <r>
    <x v="0"/>
    <x v="1"/>
    <x v="1"/>
    <s v="Control Buffers.xlsm"/>
    <s v="MP-01245"/>
    <s v="FOSFONATO POTASICO 70 % X 20LITROS"/>
    <s v="MATERIA PRIMA "/>
    <s v="NUTRICIONAL"/>
    <m/>
    <m/>
    <m/>
    <m/>
    <n v="77.599999999999994"/>
    <n v="0"/>
    <n v="1000000000"/>
    <n v="0"/>
    <n v="0"/>
    <x v="1"/>
    <n v="0"/>
    <n v="0"/>
    <m/>
    <n v="0"/>
    <n v="0"/>
    <n v="0"/>
    <m/>
    <n v="1"/>
    <n v="0"/>
    <n v="0"/>
    <n v="0"/>
    <n v="-0.67"/>
    <n v="0"/>
    <d v="1899-12-30T00:00:00"/>
    <x v="4"/>
    <s v=""/>
    <n v="0"/>
    <m/>
  </r>
  <r>
    <x v="0"/>
    <x v="1"/>
    <x v="1"/>
    <s v="Control Buffers.xlsm"/>
    <s v="QUIM-003"/>
    <s v="FULMINANTE  X 50 G"/>
    <s v="TERMINADO"/>
    <s v="INSECTICIDAS"/>
    <m/>
    <m/>
    <m/>
    <m/>
    <n v="2.63"/>
    <n v="9.59"/>
    <n v="1000000000"/>
    <n v="400"/>
    <n v="66"/>
    <x v="0"/>
    <n v="0.84"/>
    <n v="0"/>
    <m/>
    <n v="0"/>
    <n v="66"/>
    <n v="334"/>
    <m/>
    <n v="201"/>
    <n v="466.32"/>
    <n v="0"/>
    <n v="0.56999999999999995"/>
    <n v="0"/>
    <n v="1"/>
    <d v="2012-02-15T00:00:00"/>
    <x v="4"/>
    <n v="0.83499999999999996"/>
    <n v="0"/>
    <m/>
  </r>
  <r>
    <x v="0"/>
    <x v="1"/>
    <x v="1"/>
    <s v="Control Buffers.xlsm"/>
    <s v="IN-066"/>
    <s v="GLIFOSATO X 19 GL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65"/>
    <s v="GLIFOSATO X 200 LT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45"/>
    <s v="GLIFOSATO X GL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T-006"/>
    <s v="GLIFOSATO X LT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1945"/>
    <s v="GREEN GIBB X 10 GRS"/>
    <s v="TERMINADO"/>
    <s v="NUTRICIONAL"/>
    <n v="708"/>
    <m/>
    <m/>
    <m/>
    <n v="0.78"/>
    <n v="1.8"/>
    <n v="1000000000"/>
    <n v="532"/>
    <n v="29"/>
    <x v="0"/>
    <n v="0.95"/>
    <n v="0"/>
    <m/>
    <n v="0"/>
    <n v="29"/>
    <n v="503"/>
    <m/>
    <n v="267"/>
    <n v="150.96"/>
    <n v="0"/>
    <n v="3.12"/>
    <n v="0"/>
    <n v="0.86899756583314891"/>
    <d v="2012-01-12T00:00:00"/>
    <x v="4"/>
    <n v="0.94548872180451127"/>
    <n v="0"/>
    <m/>
  </r>
  <r>
    <x v="0"/>
    <x v="1"/>
    <x v="1"/>
    <s v="Control Buffers.xlsm"/>
    <s v="IN-9876"/>
    <s v="IMPULMAX  X 100 ML"/>
    <s v="TERMINADO"/>
    <s v="NUTRICIONAL"/>
    <m/>
    <m/>
    <m/>
    <m/>
    <n v="0.36"/>
    <n v="4.3899999999999997"/>
    <n v="1000000000"/>
    <n v="200"/>
    <n v="199"/>
    <x v="4"/>
    <n v="0.01"/>
    <n v="0"/>
    <m/>
    <n v="0"/>
    <n v="199"/>
    <n v="1"/>
    <m/>
    <n v="101"/>
    <n v="0"/>
    <n v="0"/>
    <n v="0.13"/>
    <n v="0"/>
    <n v="1.3370786516853932"/>
    <d v="1899-12-30T00:00:00"/>
    <x v="4"/>
    <n v="5.0000000000000001E-3"/>
    <n v="0"/>
    <m/>
  </r>
  <r>
    <x v="0"/>
    <x v="1"/>
    <x v="1"/>
    <s v="Control Buffers.xlsm"/>
    <s v="F-011"/>
    <s v="IMPULMAX X 250 ML"/>
    <s v="TERMINADO"/>
    <s v="NUTRICIONAL"/>
    <m/>
    <m/>
    <m/>
    <m/>
    <n v="1.87"/>
    <n v="10.41"/>
    <n v="1000000000"/>
    <n v="500"/>
    <n v="542"/>
    <x v="5"/>
    <n v="-0.08"/>
    <n v="0"/>
    <m/>
    <n v="0"/>
    <n v="542"/>
    <n v="0"/>
    <m/>
    <n v="251"/>
    <n v="0"/>
    <n v="78.540000000000006"/>
    <n v="-0.6"/>
    <n v="0"/>
    <n v="1.0717391304347825"/>
    <d v="2011-06-10T00:00:00"/>
    <x v="4"/>
    <n v="-8.4000000000000005E-2"/>
    <n v="0"/>
    <m/>
  </r>
  <r>
    <x v="0"/>
    <x v="1"/>
    <x v="1"/>
    <s v="Control Buffers.xlsm"/>
    <s v="F-005"/>
    <s v="IMPULMAX X LT"/>
    <s v="TERMINADO"/>
    <s v="NUTRICIONAL"/>
    <m/>
    <m/>
    <m/>
    <m/>
    <n v="9.9"/>
    <n v="38.56"/>
    <n v="1000000000"/>
    <n v="20"/>
    <n v="67"/>
    <x v="5"/>
    <n v="-2.35"/>
    <n v="0"/>
    <m/>
    <n v="0"/>
    <n v="67"/>
    <n v="0"/>
    <m/>
    <n v="11"/>
    <n v="0"/>
    <n v="465.3"/>
    <n v="2.82"/>
    <n v="0"/>
    <n v="3.4705882352941178"/>
    <d v="2011-06-10T00:00:00"/>
    <x v="4"/>
    <n v="-2.35"/>
    <n v="0"/>
    <m/>
  </r>
  <r>
    <x v="0"/>
    <x v="1"/>
    <x v="1"/>
    <s v="Control Buffers.xlsm"/>
    <s v="IN-7654"/>
    <s v="JAQUER 400 X 100 ML"/>
    <s v="TERMINADO "/>
    <s v="HERBICIDAS"/>
    <n v="665"/>
    <m/>
    <m/>
    <m/>
    <n v="8.01"/>
    <n v="0"/>
    <n v="1000000000"/>
    <n v="500"/>
    <n v="29"/>
    <x v="0"/>
    <n v="0.94"/>
    <n v="0"/>
    <m/>
    <n v="0"/>
    <n v="29"/>
    <n v="471"/>
    <m/>
    <n v="251"/>
    <n v="-1105.3799999999999"/>
    <n v="0"/>
    <n v="0"/>
    <n v="0"/>
    <n v="1.074468085106383"/>
    <d v="2011-12-27T00:00:00"/>
    <x v="4"/>
    <n v="0.94199999999999995"/>
    <n v="0"/>
    <m/>
  </r>
  <r>
    <x v="0"/>
    <x v="1"/>
    <x v="1"/>
    <s v="Control Buffers.xlsm"/>
    <s v="PT-J001"/>
    <s v="JARRITA DOSIFICADORA COMBO X 250 cc "/>
    <s v="MATERIA PRIMA"/>
    <s v="OTROS"/>
    <m/>
    <m/>
    <m/>
    <m/>
    <n v="0"/>
    <n v="0.5"/>
    <n v="1000000000"/>
    <n v="0"/>
    <n v="0"/>
    <x v="1"/>
    <n v="0"/>
    <n v="0"/>
    <m/>
    <n v="0"/>
    <n v="0"/>
    <n v="0"/>
    <m/>
    <n v="1"/>
    <n v="0"/>
    <n v="0"/>
    <n v="0"/>
    <n v="0"/>
    <n v="1.8665624185561636"/>
    <d v="1899-12-30T00:00:00"/>
    <x v="4"/>
    <s v=""/>
    <n v="0"/>
    <m/>
  </r>
  <r>
    <x v="0"/>
    <x v="1"/>
    <x v="1"/>
    <s v="Control Buffers.xlsm"/>
    <s v="IN-123"/>
    <s v="KEMADOR X 19 LT"/>
    <s v="TERMINADO "/>
    <s v="HERBICIDAS"/>
    <m/>
    <m/>
    <m/>
    <m/>
    <n v="59.86"/>
    <n v="110.93"/>
    <n v="1000000000"/>
    <n v="4"/>
    <n v="6"/>
    <x v="5"/>
    <n v="-0.5"/>
    <n v="0"/>
    <m/>
    <n v="0"/>
    <n v="6"/>
    <n v="0"/>
    <m/>
    <n v="3"/>
    <n v="0"/>
    <n v="119.72"/>
    <n v="1.24"/>
    <n v="0"/>
    <n v="0"/>
    <d v="2011-06-10T00:00:00"/>
    <x v="4"/>
    <n v="-0.5"/>
    <n v="0"/>
    <m/>
  </r>
  <r>
    <x v="0"/>
    <x v="1"/>
    <x v="1"/>
    <s v="Control Buffers.xlsm"/>
    <s v="IN-102"/>
    <s v="KEMADOR X GALON"/>
    <s v="TERMINADO "/>
    <s v="HERBICIDAS"/>
    <n v="67"/>
    <m/>
    <m/>
    <m/>
    <n v="11.52"/>
    <n v="22.18"/>
    <n v="1000000000"/>
    <n v="50"/>
    <n v="0"/>
    <x v="2"/>
    <n v="1"/>
    <n v="0"/>
    <m/>
    <n v="0"/>
    <n v="0"/>
    <n v="26"/>
    <m/>
    <n v="26"/>
    <n v="181.22"/>
    <n v="0"/>
    <n v="2.4900000000000002"/>
    <n v="0"/>
    <n v="3.3177966101694913"/>
    <d v="2012-01-27T00:00:00"/>
    <x v="4"/>
    <n v="1"/>
    <n v="0"/>
    <m/>
  </r>
  <r>
    <x v="0"/>
    <x v="1"/>
    <x v="1"/>
    <s v="Control Buffers.xlsm"/>
    <s v="IN-81"/>
    <s v="KEMADOR X LT"/>
    <s v="TERMINADO "/>
    <s v="HERBICIDAS"/>
    <m/>
    <m/>
    <m/>
    <m/>
    <n v="3.47"/>
    <n v="5.96"/>
    <n v="1000000000"/>
    <n v="200"/>
    <n v="143"/>
    <x v="4"/>
    <n v="0.28999999999999998"/>
    <n v="0"/>
    <m/>
    <n v="0"/>
    <n v="143"/>
    <n v="57"/>
    <m/>
    <n v="101"/>
    <n v="0"/>
    <n v="0"/>
    <n v="0.81"/>
    <n v="0"/>
    <n v="1.0898748577929465"/>
    <d v="2012-01-27T00:00:00"/>
    <x v="4"/>
    <n v="0.28499999999999998"/>
    <n v="0"/>
    <m/>
  </r>
  <r>
    <x v="0"/>
    <x v="1"/>
    <x v="1"/>
    <s v="Control Buffers.xlsm"/>
    <s v="IN-0016"/>
    <s v="LACURA  X 500 ML"/>
    <s v="TERMINADO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0103"/>
    <s v="LACURA X 250 ML"/>
    <s v="TERMINADO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01-00102"/>
    <s v="LACURA X LT"/>
    <s v="TERMINADO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2047"/>
    <s v="LAMBDA SOL X 100 ML"/>
    <s v="TERMINADO"/>
    <s v="INSECTICIDAS"/>
    <m/>
    <m/>
    <m/>
    <m/>
    <n v="0.51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QUIM-018"/>
    <s v="LETAL X 100 ML"/>
    <s v="TERMINADO "/>
    <s v="FUNGICIDAS"/>
    <m/>
    <m/>
    <m/>
    <m/>
    <n v="1.57"/>
    <n v="3.8"/>
    <n v="1000000000"/>
    <n v="780"/>
    <n v="574"/>
    <x v="4"/>
    <n v="0.26"/>
    <n v="0"/>
    <m/>
    <n v="0"/>
    <n v="574"/>
    <n v="206"/>
    <m/>
    <n v="391"/>
    <n v="0"/>
    <n v="0"/>
    <n v="1.39"/>
    <n v="0"/>
    <n v="1.2329477463103311"/>
    <d v="2012-01-27T00:00:00"/>
    <x v="4"/>
    <n v="0.26410256410256411"/>
    <n v="0"/>
    <m/>
  </r>
  <r>
    <x v="0"/>
    <x v="1"/>
    <x v="1"/>
    <s v="Control Buffers.xlsm"/>
    <s v="QUIM-002"/>
    <s v="LETAL X 250 ML"/>
    <s v="TERMINADO "/>
    <s v="FUNGICIDAS"/>
    <m/>
    <m/>
    <m/>
    <m/>
    <n v="3.56"/>
    <n v="8.26"/>
    <n v="1000000000"/>
    <n v="797"/>
    <n v="366"/>
    <x v="3"/>
    <n v="0.54"/>
    <n v="0"/>
    <m/>
    <n v="0"/>
    <n v="366"/>
    <n v="431"/>
    <m/>
    <n v="400"/>
    <n v="0"/>
    <n v="0"/>
    <n v="1.9"/>
    <n v="0"/>
    <n v="0.88363259668508287"/>
    <d v="2011-12-23T00:00:00"/>
    <x v="4"/>
    <n v="0.54077791718946044"/>
    <n v="0"/>
    <m/>
  </r>
  <r>
    <x v="0"/>
    <x v="1"/>
    <x v="1"/>
    <s v="Control Buffers.xlsm"/>
    <s v="QUIM-001"/>
    <s v="LETAL X 500 ML"/>
    <s v="TERMINADO "/>
    <s v="FUNGICIDAS"/>
    <m/>
    <m/>
    <m/>
    <m/>
    <n v="6.88"/>
    <n v="15.22"/>
    <n v="1000000000"/>
    <n v="70"/>
    <n v="170"/>
    <x v="5"/>
    <n v="-1.43"/>
    <n v="0"/>
    <m/>
    <n v="0"/>
    <n v="170"/>
    <n v="0"/>
    <m/>
    <n v="36"/>
    <n v="0"/>
    <n v="688"/>
    <n v="0.36"/>
    <n v="0"/>
    <n v="1"/>
    <d v="2012-01-27T00:00:00"/>
    <x v="4"/>
    <n v="-1.4285714285714286"/>
    <n v="0"/>
    <m/>
  </r>
  <r>
    <x v="0"/>
    <x v="1"/>
    <x v="1"/>
    <s v="Control Buffers.xlsm"/>
    <s v="QUIM-0181"/>
    <s v="LETAL X LITRO"/>
    <s v="TERMINADO "/>
    <s v="FUNGICIDAS"/>
    <m/>
    <m/>
    <m/>
    <m/>
    <n v="13.76"/>
    <n v="31.31"/>
    <n v="1000000000"/>
    <n v="100"/>
    <n v="102"/>
    <x v="5"/>
    <n v="-0.02"/>
    <n v="0"/>
    <m/>
    <n v="0"/>
    <n v="102"/>
    <n v="0"/>
    <m/>
    <n v="51"/>
    <n v="0"/>
    <n v="27.52"/>
    <n v="0.82"/>
    <n v="0"/>
    <n v="0.77470355731225293"/>
    <d v="2011-11-15T00:00:00"/>
    <x v="4"/>
    <n v="-0.02"/>
    <n v="0"/>
    <m/>
  </r>
  <r>
    <x v="0"/>
    <x v="1"/>
    <x v="1"/>
    <s v="Control Buffers.xlsm"/>
    <s v="AM-001"/>
    <s v="MOSKAFIN X 100 GRAMOS"/>
    <s v="TERMINADO"/>
    <s v="INSECTICIDAS"/>
    <m/>
    <m/>
    <m/>
    <m/>
    <n v="0"/>
    <n v="9.27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362"/>
    <s v="ORGANIC POWER X 250 ML"/>
    <s v="TERMINADO"/>
    <s v="NUTRICIONAL"/>
    <m/>
    <m/>
    <m/>
    <m/>
    <n v="1.1000000000000001"/>
    <n v="3.19"/>
    <n v="1000000000"/>
    <n v="60"/>
    <n v="88"/>
    <x v="5"/>
    <n v="-0.47"/>
    <n v="0"/>
    <m/>
    <n v="0"/>
    <n v="88"/>
    <n v="0"/>
    <m/>
    <n v="31"/>
    <n v="0"/>
    <n v="30.800000000000004"/>
    <n v="2.63"/>
    <n v="0"/>
    <n v="0"/>
    <d v="2011-06-10T00:00:00"/>
    <x v="4"/>
    <n v="-0.46666666666666667"/>
    <n v="0"/>
    <m/>
  </r>
  <r>
    <x v="0"/>
    <x v="1"/>
    <x v="1"/>
    <s v="Control Buffers.xlsm"/>
    <s v="IN-127"/>
    <s v="ORGANIC POWER X 500 ML"/>
    <s v="TERMINADO"/>
    <s v="NUTRICIONAL"/>
    <m/>
    <m/>
    <m/>
    <m/>
    <n v="1.83"/>
    <n v="5.32"/>
    <n v="1000000000"/>
    <n v="144"/>
    <n v="144"/>
    <x v="4"/>
    <n v="0"/>
    <n v="0"/>
    <m/>
    <n v="0"/>
    <n v="144"/>
    <n v="0"/>
    <m/>
    <n v="73"/>
    <n v="0"/>
    <n v="0"/>
    <n v="-0.61"/>
    <n v="0"/>
    <n v="1.2985685071574642"/>
    <d v="2011-12-20T00:00:00"/>
    <x v="4"/>
    <n v="0"/>
    <n v="0"/>
    <m/>
  </r>
  <r>
    <x v="0"/>
    <x v="1"/>
    <x v="1"/>
    <s v="Control Buffers.xlsm"/>
    <s v="IN-55"/>
    <s v="ORGANIC POWER X GL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OT-693"/>
    <s v="ORGANIC POWER X LT"/>
    <s v="TERMINADO"/>
    <s v="NUTRICIONAL"/>
    <m/>
    <m/>
    <m/>
    <m/>
    <n v="3.3"/>
    <n v="9.27"/>
    <n v="1000000000"/>
    <n v="160"/>
    <n v="169"/>
    <x v="5"/>
    <n v="-0.06"/>
    <n v="0"/>
    <m/>
    <n v="0"/>
    <n v="169"/>
    <n v="0"/>
    <m/>
    <n v="81"/>
    <n v="0"/>
    <n v="29.7"/>
    <n v="2.54"/>
    <n v="0"/>
    <n v="1.0803571428571428"/>
    <d v="2011-12-20T00:00:00"/>
    <x v="4"/>
    <n v="-5.6250000000000001E-2"/>
    <n v="0"/>
    <m/>
  </r>
  <r>
    <x v="0"/>
    <x v="1"/>
    <x v="1"/>
    <s v="Control Buffers.xlsm"/>
    <s v="IN-0019"/>
    <s v="PARAGUAS X 500 G"/>
    <s v="TERMINADO "/>
    <s v="FUNGICIDAS"/>
    <m/>
    <m/>
    <m/>
    <m/>
    <n v="7.01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375"/>
    <s v="PARALANCHA BLUE X 250 G"/>
    <s v="TERMINADO "/>
    <s v="FUNGICIDAS"/>
    <m/>
    <m/>
    <m/>
    <m/>
    <n v="2.58"/>
    <n v="5.43"/>
    <n v="1000000000"/>
    <n v="584"/>
    <n v="353"/>
    <x v="3"/>
    <n v="0.4"/>
    <n v="0"/>
    <m/>
    <n v="0"/>
    <n v="353"/>
    <n v="231"/>
    <m/>
    <n v="293"/>
    <n v="0"/>
    <n v="0"/>
    <n v="0.85"/>
    <n v="0"/>
    <n v="0.89098532494758909"/>
    <d v="2011-11-22T00:00:00"/>
    <x v="4"/>
    <n v="0.39554794520547948"/>
    <n v="0"/>
    <m/>
  </r>
  <r>
    <x v="0"/>
    <x v="1"/>
    <x v="1"/>
    <s v="Control Buffers.xlsm"/>
    <s v="IN-378"/>
    <s v="PARALANCHA BLUE X 500 G"/>
    <s v="TERMINADO "/>
    <s v="FUNGICIDAS"/>
    <n v="798"/>
    <m/>
    <m/>
    <m/>
    <n v="4.74"/>
    <n v="10.43"/>
    <n v="1000000000"/>
    <n v="600"/>
    <n v="102"/>
    <x v="0"/>
    <n v="0.83"/>
    <n v="0"/>
    <m/>
    <n v="0"/>
    <n v="102"/>
    <n v="498"/>
    <m/>
    <n v="301"/>
    <n v="557.62"/>
    <n v="0"/>
    <n v="0.63"/>
    <n v="0"/>
    <n v="1.0094339622641511"/>
    <d v="2011-10-10T00:00:00"/>
    <x v="4"/>
    <n v="0.83"/>
    <n v="0"/>
    <m/>
  </r>
  <r>
    <x v="0"/>
    <x v="1"/>
    <x v="1"/>
    <s v="Control Buffers.xlsm"/>
    <s v="QUIM-023"/>
    <s v="PARALANCHA X 250 GRMS"/>
    <s v="TERMINADO "/>
    <s v="FUNGICIDAS"/>
    <m/>
    <m/>
    <m/>
    <m/>
    <n v="2.34"/>
    <n v="5.32"/>
    <n v="1000000000"/>
    <n v="543"/>
    <n v="572"/>
    <x v="5"/>
    <n v="-0.05"/>
    <n v="0"/>
    <m/>
    <n v="0"/>
    <n v="572"/>
    <n v="0"/>
    <m/>
    <n v="273"/>
    <n v="0"/>
    <n v="67.86"/>
    <n v="0.26"/>
    <n v="0"/>
    <n v="0.98563218390804597"/>
    <d v="2012-01-20T00:00:00"/>
    <x v="4"/>
    <n v="-5.3406998158379376E-2"/>
    <n v="0"/>
    <m/>
  </r>
  <r>
    <x v="0"/>
    <x v="1"/>
    <x v="1"/>
    <s v="Control Buffers.xlsm"/>
    <s v="QUIM-022"/>
    <s v="PARALANCHA X 500 G"/>
    <s v="TERMINADO "/>
    <s v="FUNGICIDAS"/>
    <m/>
    <m/>
    <m/>
    <m/>
    <n v="4.6500000000000004"/>
    <n v="9.7799999999999994"/>
    <n v="1000000000"/>
    <n v="796"/>
    <n v="388"/>
    <x v="3"/>
    <n v="0.51"/>
    <n v="0"/>
    <m/>
    <n v="0"/>
    <n v="388"/>
    <n v="408"/>
    <m/>
    <n v="399"/>
    <n v="0"/>
    <n v="0"/>
    <n v="0.71"/>
    <n v="0"/>
    <n v="1.2301136363636365"/>
    <d v="2012-02-15T00:00:00"/>
    <x v="4"/>
    <n v="0.51256281407035176"/>
    <n v="0"/>
    <m/>
  </r>
  <r>
    <x v="0"/>
    <x v="1"/>
    <x v="1"/>
    <s v="Control Buffers.xlsm"/>
    <s v="IN-6615"/>
    <s v="PROPILAQ X  250 ML"/>
    <s v="TERMINADO "/>
    <s v="FUNGICIDAS"/>
    <m/>
    <m/>
    <m/>
    <m/>
    <n v="3.36"/>
    <n v="7.03"/>
    <n v="1000000000"/>
    <n v="255"/>
    <n v="293"/>
    <x v="5"/>
    <n v="-0.15"/>
    <n v="0"/>
    <m/>
    <n v="0"/>
    <n v="293"/>
    <n v="0"/>
    <m/>
    <n v="129"/>
    <n v="0"/>
    <n v="127.67999999999999"/>
    <n v="0.17"/>
    <n v="0"/>
    <n v="2.0580357142857144"/>
    <d v="1899-12-30T00:00:00"/>
    <x v="4"/>
    <n v="-0.14901960784313725"/>
    <n v="0"/>
    <m/>
  </r>
  <r>
    <x v="0"/>
    <x v="1"/>
    <x v="1"/>
    <s v="Control Buffers.xlsm"/>
    <s v="IN-6610"/>
    <s v="PROPILAQ X 100 ML"/>
    <s v="MATERIA PRIMA "/>
    <s v="FUNGICIDAS"/>
    <m/>
    <m/>
    <m/>
    <m/>
    <n v="1.41"/>
    <n v="3.0299"/>
    <n v="1000000000"/>
    <n v="240"/>
    <n v="239"/>
    <x v="4"/>
    <n v="0"/>
    <n v="0"/>
    <m/>
    <n v="0"/>
    <n v="239"/>
    <n v="1"/>
    <m/>
    <n v="121"/>
    <n v="0"/>
    <n v="0"/>
    <n v="1.47"/>
    <n v="0"/>
    <n v="1.2442091330244871"/>
    <d v="2012-02-01T00:00:00"/>
    <x v="4"/>
    <n v="4.1666666666666666E-3"/>
    <n v="0"/>
    <m/>
  </r>
  <r>
    <x v="0"/>
    <x v="1"/>
    <x v="1"/>
    <s v="Control Buffers.xlsm"/>
    <s v="IN-6669"/>
    <s v="PROPILAQ X LITRO"/>
    <s v="TERMINADO "/>
    <s v="FUNGICIDAS"/>
    <m/>
    <m/>
    <m/>
    <m/>
    <n v="13.01"/>
    <n v="25.23"/>
    <n v="1000000000"/>
    <n v="107"/>
    <n v="86"/>
    <x v="4"/>
    <n v="0.2"/>
    <n v="0"/>
    <m/>
    <n v="0"/>
    <n v="86"/>
    <n v="21"/>
    <m/>
    <n v="55"/>
    <n v="0"/>
    <n v="0"/>
    <n v="0.19"/>
    <n v="0"/>
    <n v="1.1042345276872965"/>
    <d v="2011-11-15T00:00:00"/>
    <x v="4"/>
    <n v="0.19626168224299065"/>
    <n v="0"/>
    <m/>
  </r>
  <r>
    <x v="0"/>
    <x v="1"/>
    <x v="1"/>
    <s v="Control Buffers.xlsm"/>
    <s v="F-018"/>
    <s v="RAIZ FORTE G  X KG"/>
    <s v="TERMINADO"/>
    <s v="NUTRICIONAL"/>
    <m/>
    <m/>
    <m/>
    <m/>
    <n v="2.87"/>
    <n v="6.93"/>
    <n v="1000000000"/>
    <n v="942"/>
    <n v="4"/>
    <x v="0"/>
    <n v="1"/>
    <n v="0"/>
    <m/>
    <n v="0"/>
    <n v="4"/>
    <n v="938"/>
    <m/>
    <n v="472"/>
    <n v="1258.5999999999999"/>
    <n v="0"/>
    <n v="5.46"/>
    <n v="0"/>
    <n v="1.0752972258916778"/>
    <d v="2012-02-15T00:00:00"/>
    <x v="4"/>
    <n v="0.99575371549893843"/>
    <n v="0"/>
    <m/>
  </r>
  <r>
    <x v="0"/>
    <x v="1"/>
    <x v="1"/>
    <s v="Control Buffers.xlsm"/>
    <s v="IN - 1271"/>
    <s v="RAIZ FORTE X 500 ML"/>
    <s v="TERMINADO"/>
    <s v="NUTRICIONAL"/>
    <m/>
    <m/>
    <m/>
    <m/>
    <n v="1.44"/>
    <n v="3.39"/>
    <n v="1000000000"/>
    <n v="256"/>
    <n v="132"/>
    <x v="3"/>
    <n v="0.48"/>
    <n v="0"/>
    <m/>
    <n v="0"/>
    <n v="132"/>
    <n v="124"/>
    <m/>
    <n v="129"/>
    <n v="0"/>
    <n v="0"/>
    <n v="0.57999999999999996"/>
    <n v="0"/>
    <n v="1.3128019323671498"/>
    <d v="2011-12-20T00:00:00"/>
    <x v="4"/>
    <n v="0.484375"/>
    <n v="0"/>
    <m/>
  </r>
  <r>
    <x v="0"/>
    <x v="1"/>
    <x v="1"/>
    <s v="Control Buffers.xlsm"/>
    <s v="PT-019"/>
    <s v="RAIZ FORTE X GL"/>
    <s v="TERMINADO"/>
    <s v="NUTRICIONAL"/>
    <m/>
    <m/>
    <m/>
    <m/>
    <n v="0"/>
    <n v="21.32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 - 127"/>
    <s v="RAIZ FORTE X LT"/>
    <s v="TERMINADO"/>
    <s v="NUTRICIONAL"/>
    <n v="798"/>
    <m/>
    <m/>
    <m/>
    <n v="2.77"/>
    <n v="5.75"/>
    <n v="1000000000"/>
    <n v="600"/>
    <n v="356"/>
    <x v="3"/>
    <n v="0.41"/>
    <n v="0"/>
    <m/>
    <n v="0"/>
    <n v="356"/>
    <n v="244"/>
    <m/>
    <n v="301"/>
    <n v="0"/>
    <n v="0"/>
    <n v="1.99"/>
    <n v="0"/>
    <n v="1.0929169840060928"/>
    <d v="2012-01-27T00:00:00"/>
    <x v="4"/>
    <n v="0.40666666666666668"/>
    <n v="0"/>
    <m/>
  </r>
  <r>
    <x v="0"/>
    <x v="1"/>
    <x v="1"/>
    <s v="Control Buffers.xlsm"/>
    <s v="IN-5421"/>
    <s v="RIDONATE X 100 ML"/>
    <s v="TERMINADO "/>
    <s v="FUNGICIDAS"/>
    <m/>
    <m/>
    <m/>
    <m/>
    <n v="0.88"/>
    <n v="1.8"/>
    <n v="1000000000"/>
    <n v="65"/>
    <n v="40"/>
    <x v="3"/>
    <n v="0.38"/>
    <n v="0"/>
    <m/>
    <n v="0"/>
    <n v="40"/>
    <n v="25"/>
    <m/>
    <n v="34"/>
    <n v="0"/>
    <n v="0"/>
    <n v="0.9"/>
    <n v="0"/>
    <n v="1"/>
    <d v="2011-12-20T00:00:00"/>
    <x v="4"/>
    <n v="0.38461538461538464"/>
    <n v="0"/>
    <m/>
  </r>
  <r>
    <x v="0"/>
    <x v="1"/>
    <x v="1"/>
    <s v="Control Buffers.xlsm"/>
    <s v="IN-6614"/>
    <s v="RIDONATE x 200 ML"/>
    <s v="TERMINADO "/>
    <s v="FUNGICIDAS"/>
    <m/>
    <m/>
    <m/>
    <m/>
    <n v="1.64"/>
    <n v="0"/>
    <n v="1000000000"/>
    <n v="80"/>
    <n v="99"/>
    <x v="5"/>
    <n v="-0.24"/>
    <n v="0"/>
    <m/>
    <n v="0"/>
    <n v="99"/>
    <n v="0"/>
    <m/>
    <n v="41"/>
    <n v="0"/>
    <n v="31.159999999999997"/>
    <n v="0.96"/>
    <n v="0"/>
    <n v="2.5340501792114694"/>
    <d v="2011-11-15T00:00:00"/>
    <x v="4"/>
    <n v="-0.23749999999999999"/>
    <n v="0"/>
    <m/>
  </r>
  <r>
    <x v="0"/>
    <x v="1"/>
    <x v="1"/>
    <s v="Control Buffers.xlsm"/>
    <s v="IN-6613"/>
    <s v="RIDONATE X 250 ML"/>
    <s v="TERMINADO "/>
    <s v="FUNGICIDAS"/>
    <m/>
    <m/>
    <m/>
    <m/>
    <n v="1.88"/>
    <n v="3.84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6617"/>
    <s v="RIDONATE X 400 ML"/>
    <s v="TERMINADO "/>
    <s v="FUNGICIDAS"/>
    <m/>
    <m/>
    <m/>
    <m/>
    <n v="2.82"/>
    <n v="5.9"/>
    <n v="1000000000"/>
    <n v="340"/>
    <n v="266"/>
    <x v="4"/>
    <n v="0.22"/>
    <n v="0"/>
    <m/>
    <n v="0"/>
    <n v="266"/>
    <n v="74"/>
    <m/>
    <n v="171"/>
    <n v="0"/>
    <n v="0"/>
    <n v="0.43"/>
    <n v="0"/>
    <n v="1.0632911392405062"/>
    <d v="1899-12-30T00:00:00"/>
    <x v="4"/>
    <n v="0.21764705882352942"/>
    <n v="0"/>
    <m/>
  </r>
  <r>
    <x v="0"/>
    <x v="1"/>
    <x v="1"/>
    <s v="Control Buffers.xlsm"/>
    <s v="IN-6612"/>
    <s v="RIDONATE X 500 ML"/>
    <s v="TERMINADO "/>
    <s v="FUNGICIDAS"/>
    <m/>
    <m/>
    <m/>
    <m/>
    <n v="3.8"/>
    <n v="6.68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6611"/>
    <s v="RIDONATE X LITRO"/>
    <s v="TERMINADO "/>
    <s v="FUNGICIDAS"/>
    <m/>
    <m/>
    <m/>
    <m/>
    <n v="6.59"/>
    <n v="12.05"/>
    <n v="1000000000"/>
    <n v="133"/>
    <n v="47"/>
    <x v="3"/>
    <n v="0.65"/>
    <n v="0"/>
    <m/>
    <n v="0"/>
    <n v="47"/>
    <n v="86"/>
    <m/>
    <n v="68"/>
    <n v="0"/>
    <n v="0"/>
    <n v="0.68"/>
    <n v="0"/>
    <n v="1.4324942791762014"/>
    <d v="2012-02-15T00:00:00"/>
    <x v="4"/>
    <n v="0.64661654135338342"/>
    <n v="0"/>
    <m/>
  </r>
  <r>
    <x v="0"/>
    <x v="1"/>
    <x v="1"/>
    <s v="Control Buffers.xlsm"/>
    <s v="IN-380"/>
    <s v="SCOBA  X LT"/>
    <s v="TERMINADO "/>
    <s v="FUNGICIDAS"/>
    <m/>
    <m/>
    <m/>
    <m/>
    <n v="19.18"/>
    <n v="45.05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40"/>
    <s v="SCOBA COEX X LT"/>
    <s v="TERMINADO "/>
    <s v="FUNGICIDAS"/>
    <n v="1884"/>
    <m/>
    <m/>
    <m/>
    <n v="24.47"/>
    <n v="43.85"/>
    <n v="1000000000"/>
    <n v="1416"/>
    <n v="100"/>
    <x v="0"/>
    <n v="0.93"/>
    <n v="0"/>
    <m/>
    <n v="0"/>
    <n v="100"/>
    <n v="1316"/>
    <m/>
    <n v="709"/>
    <n v="7209.3600000000006"/>
    <n v="0"/>
    <n v="2"/>
    <n v="0"/>
    <n v="0.9333989905207436"/>
    <d v="2012-01-12T00:00:00"/>
    <x v="4"/>
    <n v="0.92937853107344637"/>
    <n v="0"/>
    <m/>
  </r>
  <r>
    <x v="0"/>
    <x v="1"/>
    <x v="1"/>
    <s v="Control Buffers.xlsm"/>
    <s v="IN-036"/>
    <s v="SCOBA X 100 ML"/>
    <s v="TERMINADO "/>
    <s v="FUNGICIDAS"/>
    <n v="1416"/>
    <m/>
    <m/>
    <m/>
    <n v="1.7"/>
    <n v="5.54"/>
    <n v="1000000000"/>
    <n v="1064"/>
    <n v="241"/>
    <x v="0"/>
    <n v="0.77"/>
    <n v="0"/>
    <m/>
    <n v="0"/>
    <n v="241"/>
    <n v="823"/>
    <m/>
    <n v="533"/>
    <n v="437.76"/>
    <n v="0"/>
    <n v="3.94"/>
    <n v="0"/>
    <n v="0.96611431763172595"/>
    <d v="2012-01-12T00:00:00"/>
    <x v="4"/>
    <n v="0.77349624060150379"/>
    <n v="0"/>
    <m/>
  </r>
  <r>
    <x v="0"/>
    <x v="1"/>
    <x v="1"/>
    <s v="Control Buffers.xlsm"/>
    <s v="IN-037"/>
    <s v="SCOBA X 250 ML"/>
    <s v="TERMINADO "/>
    <s v="FUNGICIDAS"/>
    <n v="705"/>
    <m/>
    <m/>
    <m/>
    <n v="3.84"/>
    <n v="13.15"/>
    <n v="1000000000"/>
    <n v="530"/>
    <n v="58"/>
    <x v="0"/>
    <n v="0.89"/>
    <n v="0"/>
    <m/>
    <n v="0"/>
    <n v="58"/>
    <n v="472"/>
    <m/>
    <n v="266"/>
    <n v="1107.8900000000001"/>
    <n v="0"/>
    <n v="3.09"/>
    <n v="0"/>
    <n v="1"/>
    <d v="2012-01-27T00:00:00"/>
    <x v="4"/>
    <n v="0.89056603773584908"/>
    <n v="0"/>
    <m/>
  </r>
  <r>
    <x v="0"/>
    <x v="1"/>
    <x v="1"/>
    <s v="Control Buffers.xlsm"/>
    <s v="PT-018"/>
    <s v="SCOBA X 5 GL"/>
    <s v="TERMINADO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35"/>
    <s v="SCOBA X 50 ML"/>
    <s v="TERMINADO "/>
    <s v="FUNGICIDAS"/>
    <m/>
    <m/>
    <m/>
    <m/>
    <n v="1.35"/>
    <n v="0"/>
    <n v="1000000000"/>
    <n v="177"/>
    <n v="15"/>
    <x v="0"/>
    <n v="0.92"/>
    <n v="0"/>
    <m/>
    <n v="0"/>
    <n v="15"/>
    <n v="162"/>
    <m/>
    <n v="90"/>
    <n v="-59.400000000000006"/>
    <n v="0"/>
    <n v="3.17"/>
    <n v="0"/>
    <n v="5.4177927927927927"/>
    <d v="2012-01-20T00:00:00"/>
    <x v="4"/>
    <n v="0.9152542372881356"/>
    <n v="0"/>
    <m/>
  </r>
  <r>
    <x v="0"/>
    <x v="1"/>
    <x v="1"/>
    <s v="Control Buffers.xlsm"/>
    <s v="QUIM-008"/>
    <s v="SINOPRID X 100 G"/>
    <s v="TERMINADO"/>
    <s v="INSECTICIDAS"/>
    <m/>
    <m/>
    <m/>
    <m/>
    <n v="1.24"/>
    <n v="9.27"/>
    <n v="1000000000"/>
    <n v="600"/>
    <n v="414"/>
    <x v="4"/>
    <n v="0.31"/>
    <n v="0"/>
    <m/>
    <n v="0"/>
    <n v="414"/>
    <n v="186"/>
    <m/>
    <n v="301"/>
    <n v="0"/>
    <n v="0"/>
    <n v="7.63"/>
    <n v="0"/>
    <n v="0.79993786890338614"/>
    <d v="2011-12-22T00:00:00"/>
    <x v="4"/>
    <n v="0.31"/>
    <n v="0"/>
    <m/>
  </r>
  <r>
    <x v="0"/>
    <x v="1"/>
    <x v="1"/>
    <s v="Control Buffers.xlsm"/>
    <s v="PT-012"/>
    <s v="SINOPRID X 50 G"/>
    <s v="TERMINADO"/>
    <s v="INSECTICIDAS"/>
    <m/>
    <m/>
    <m/>
    <m/>
    <n v="0"/>
    <n v="5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QUIM-007"/>
    <s v="SINOPRID X 500 G"/>
    <s v="TERMINADO"/>
    <s v="INSECTICIDAS"/>
    <m/>
    <m/>
    <m/>
    <m/>
    <n v="6.23"/>
    <n v="37.229900000000001"/>
    <n v="1000000000"/>
    <n v="12"/>
    <n v="37"/>
    <x v="5"/>
    <n v="-2.08"/>
    <n v="0"/>
    <m/>
    <n v="0"/>
    <n v="37"/>
    <n v="0"/>
    <m/>
    <n v="7"/>
    <n v="0"/>
    <n v="155.75"/>
    <n v="0.36"/>
    <n v="0"/>
    <n v="10.772727272727273"/>
    <d v="2011-11-22T00:00:00"/>
    <x v="4"/>
    <n v="-2.0833333333333335"/>
    <n v="0"/>
    <m/>
  </r>
  <r>
    <x v="0"/>
    <x v="1"/>
    <x v="1"/>
    <s v="Control Buffers.xlsm"/>
    <s v="INT-010"/>
    <s v="SINOTYL X 100 G"/>
    <s v="TERMINADO "/>
    <s v="FUNGICIDAS"/>
    <n v="373"/>
    <m/>
    <m/>
    <m/>
    <n v="0.72"/>
    <n v="2.52"/>
    <n v="1000000000"/>
    <n v="280"/>
    <n v="0"/>
    <x v="2"/>
    <n v="1"/>
    <n v="0"/>
    <m/>
    <n v="0"/>
    <n v="0"/>
    <n v="141"/>
    <m/>
    <n v="141"/>
    <n v="167.4"/>
    <n v="0"/>
    <n v="3.79"/>
    <n v="0"/>
    <n v="1.2636579572446556"/>
    <d v="2011-10-10T00:00:00"/>
    <x v="4"/>
    <n v="1"/>
    <n v="0"/>
    <m/>
  </r>
  <r>
    <x v="0"/>
    <x v="1"/>
    <x v="1"/>
    <s v="Control Buffers.xlsm"/>
    <s v="QUIM-004"/>
    <s v="SINOTYL X 500 G"/>
    <s v="TERMINADO "/>
    <s v="FUNGICIDAS"/>
    <n v="466"/>
    <m/>
    <m/>
    <m/>
    <n v="3.25"/>
    <n v="8.69"/>
    <n v="1000000000"/>
    <n v="350"/>
    <n v="7"/>
    <x v="0"/>
    <n v="0.98"/>
    <n v="0"/>
    <m/>
    <n v="0"/>
    <n v="7"/>
    <n v="343"/>
    <m/>
    <n v="176"/>
    <n v="598.4"/>
    <n v="0"/>
    <n v="1.47"/>
    <n v="0"/>
    <n v="1.215194908512331"/>
    <d v="2012-01-27T00:00:00"/>
    <x v="4"/>
    <n v="0.98"/>
    <n v="0"/>
    <m/>
  </r>
  <r>
    <x v="0"/>
    <x v="1"/>
    <x v="1"/>
    <s v="Control Buffers.xlsm"/>
    <s v="QUIM-005"/>
    <s v="SINOTYL X KG"/>
    <s v="TERMINADO "/>
    <s v="FUNGICIDAS"/>
    <n v="320"/>
    <m/>
    <m/>
    <m/>
    <n v="6.17"/>
    <n v="15.66"/>
    <n v="1000000000"/>
    <n v="240"/>
    <n v="69"/>
    <x v="0"/>
    <n v="0.71"/>
    <n v="0"/>
    <m/>
    <n v="0"/>
    <n v="69"/>
    <n v="171"/>
    <m/>
    <n v="121"/>
    <n v="104.39"/>
    <n v="0"/>
    <n v="1.45"/>
    <n v="0"/>
    <n v="1.1880998080614202"/>
    <d v="2011-11-22T00:00:00"/>
    <x v="4"/>
    <n v="0.71250000000000002"/>
    <n v="0"/>
    <m/>
  </r>
  <r>
    <x v="0"/>
    <x v="1"/>
    <x v="1"/>
    <s v="Control Buffers.xlsm"/>
    <s v="QUIM-019"/>
    <s v="SINOZOX X 100 ML"/>
    <s v="TERMINADO"/>
    <s v="INSECTICIDAS"/>
    <m/>
    <m/>
    <m/>
    <m/>
    <n v="2.61"/>
    <n v="6.85"/>
    <n v="1000000000"/>
    <n v="500"/>
    <n v="420"/>
    <x v="4"/>
    <n v="0.16"/>
    <n v="0"/>
    <m/>
    <n v="0"/>
    <n v="420"/>
    <n v="80"/>
    <m/>
    <n v="251"/>
    <n v="0"/>
    <n v="0"/>
    <n v="0.23"/>
    <n v="0"/>
    <n v="0.90049342105263153"/>
    <d v="2012-01-27T00:00:00"/>
    <x v="4"/>
    <n v="0.16"/>
    <n v="0"/>
    <m/>
  </r>
  <r>
    <x v="0"/>
    <x v="1"/>
    <x v="1"/>
    <s v="Control Buffers.xlsm"/>
    <s v="QUIM-024"/>
    <s v="SINOZOX X 500 ML"/>
    <s v="TERMINADO"/>
    <s v="INSECTICIDAS"/>
    <m/>
    <m/>
    <m/>
    <m/>
    <n v="12"/>
    <n v="29.92"/>
    <n v="1000000000"/>
    <n v="0"/>
    <n v="22"/>
    <x v="1"/>
    <n v="0"/>
    <n v="0"/>
    <m/>
    <n v="0"/>
    <n v="22"/>
    <n v="0"/>
    <m/>
    <n v="1"/>
    <n v="0"/>
    <n v="0"/>
    <n v="0.51"/>
    <n v="0"/>
    <n v="1"/>
    <d v="1899-12-30T00:00:00"/>
    <x v="4"/>
    <s v=""/>
    <n v="0"/>
    <m/>
  </r>
  <r>
    <x v="0"/>
    <x v="1"/>
    <x v="1"/>
    <s v="Control Buffers.xlsm"/>
    <s v="IN-039"/>
    <s v="SKEKURA  X 250 ML"/>
    <s v="TERMINADO "/>
    <s v="FUNGICIDAS"/>
    <m/>
    <m/>
    <m/>
    <m/>
    <n v="2.29"/>
    <n v="4.8"/>
    <n v="1000000000"/>
    <n v="0"/>
    <n v="13"/>
    <x v="1"/>
    <n v="0"/>
    <n v="0"/>
    <m/>
    <n v="0"/>
    <n v="13"/>
    <n v="0"/>
    <m/>
    <n v="1"/>
    <n v="0"/>
    <n v="0"/>
    <n v="0"/>
    <n v="0"/>
    <n v="1.1771653543307086"/>
    <d v="1899-12-30T00:00:00"/>
    <x v="4"/>
    <s v=""/>
    <n v="0"/>
    <m/>
  </r>
  <r>
    <x v="0"/>
    <x v="1"/>
    <x v="1"/>
    <s v="Control Buffers.xlsm"/>
    <s v="IN-086"/>
    <s v="SKEKURA  X 500 ML"/>
    <s v="TERMINADO "/>
    <s v="FUNGICIDAS"/>
    <m/>
    <m/>
    <m/>
    <m/>
    <n v="4.2"/>
    <n v="8.86"/>
    <n v="1000000000"/>
    <n v="0"/>
    <n v="0"/>
    <x v="1"/>
    <n v="0"/>
    <n v="0"/>
    <m/>
    <n v="0"/>
    <n v="0"/>
    <n v="0"/>
    <m/>
    <n v="1"/>
    <n v="0"/>
    <n v="0"/>
    <n v="0"/>
    <n v="0"/>
    <n v="0.67204301075268813"/>
    <d v="1899-12-30T00:00:00"/>
    <x v="4"/>
    <s v=""/>
    <n v="0"/>
    <m/>
  </r>
  <r>
    <x v="0"/>
    <x v="1"/>
    <x v="1"/>
    <s v="Control Buffers.xlsm"/>
    <s v="IN-038"/>
    <s v="SKEKURA  X LT"/>
    <s v="TERMINADO "/>
    <s v="FUNGICIDAS"/>
    <m/>
    <m/>
    <m/>
    <m/>
    <n v="8.2799999999999994"/>
    <n v="15.8"/>
    <n v="1000000000"/>
    <n v="0"/>
    <n v="2"/>
    <x v="1"/>
    <n v="0"/>
    <n v="0"/>
    <m/>
    <n v="0"/>
    <n v="2"/>
    <n v="0"/>
    <m/>
    <n v="1"/>
    <n v="0"/>
    <n v="0"/>
    <n v="0"/>
    <n v="0"/>
    <n v="0.93281653746770021"/>
    <d v="1899-12-30T00:00:00"/>
    <x v="4"/>
    <s v=""/>
    <n v="0"/>
    <m/>
  </r>
  <r>
    <x v="0"/>
    <x v="1"/>
    <x v="1"/>
    <s v="Control Buffers.xlsm"/>
    <s v="IN-033"/>
    <s v="SKEKURA WP X 100 G"/>
    <s v="TERMINADO "/>
    <s v="FUNGICIDAS"/>
    <m/>
    <m/>
    <m/>
    <m/>
    <n v="0.71"/>
    <n v="1.89"/>
    <n v="1000000000"/>
    <n v="798"/>
    <n v="635"/>
    <x v="4"/>
    <n v="0.2"/>
    <n v="0"/>
    <m/>
    <n v="0"/>
    <n v="635"/>
    <n v="163"/>
    <m/>
    <n v="400"/>
    <n v="0"/>
    <n v="0"/>
    <n v="1.52"/>
    <n v="0"/>
    <n v="1.0055401662049861"/>
    <d v="2012-01-12T00:00:00"/>
    <x v="4"/>
    <n v="0.20426065162907267"/>
    <n v="0"/>
    <m/>
  </r>
  <r>
    <x v="0"/>
    <x v="1"/>
    <x v="1"/>
    <s v="Control Buffers.xlsm"/>
    <s v="IN-352"/>
    <s v="SKEKURA WP X 200 G"/>
    <s v="TERMINADO "/>
    <s v="FUNGICIDAS"/>
    <n v="9310"/>
    <m/>
    <m/>
    <m/>
    <n v="1.32"/>
    <n v="3.2"/>
    <n v="1000000000"/>
    <n v="7000"/>
    <n v="635"/>
    <x v="0"/>
    <n v="0.91"/>
    <n v="0"/>
    <m/>
    <n v="0"/>
    <n v="635"/>
    <n v="6365"/>
    <m/>
    <n v="3501"/>
    <n v="3192.2400000000002"/>
    <n v="0"/>
    <n v="0.72"/>
    <n v="0"/>
    <n v="0.94033390689671204"/>
    <d v="2012-01-27T00:00:00"/>
    <x v="4"/>
    <n v="0.90928571428571425"/>
    <n v="0"/>
    <m/>
  </r>
  <r>
    <x v="0"/>
    <x v="1"/>
    <x v="1"/>
    <s v="Control Buffers.xlsm"/>
    <s v="IN-1234"/>
    <s v="SKEKURA WP X 500 GRS"/>
    <s v="TERMINADO "/>
    <s v="FUNGICIDAS"/>
    <m/>
    <m/>
    <m/>
    <m/>
    <n v="3.2599"/>
    <n v="7.41"/>
    <n v="1000000000"/>
    <n v="852"/>
    <n v="86"/>
    <x v="0"/>
    <n v="0.9"/>
    <n v="0"/>
    <m/>
    <n v="0"/>
    <n v="86"/>
    <n v="766"/>
    <m/>
    <n v="427"/>
    <n v="821.7"/>
    <n v="0"/>
    <n v="1.32"/>
    <n v="0"/>
    <n v="1.0372940156114483"/>
    <d v="2012-01-20T00:00:00"/>
    <x v="4"/>
    <n v="0.89906103286384975"/>
    <n v="0"/>
    <m/>
  </r>
  <r>
    <x v="0"/>
    <x v="1"/>
    <x v="1"/>
    <s v="Control Buffers.xlsm"/>
    <s v="IN-031"/>
    <s v="SKEKURA WP X KG"/>
    <s v="TERMINADO "/>
    <s v="FUNGICIDAS"/>
    <n v="200"/>
    <m/>
    <m/>
    <m/>
    <n v="5.76"/>
    <n v="13.81"/>
    <n v="1000000000"/>
    <n v="150"/>
    <n v="0"/>
    <x v="2"/>
    <n v="1"/>
    <n v="0"/>
    <m/>
    <n v="0"/>
    <n v="0"/>
    <n v="76"/>
    <m/>
    <n v="76"/>
    <n v="402.50000000000006"/>
    <n v="0"/>
    <n v="0.83"/>
    <n v="0"/>
    <n v="1.1183035714285714"/>
    <d v="2011-06-10T00:00:00"/>
    <x v="4"/>
    <n v="1"/>
    <n v="0"/>
    <m/>
  </r>
  <r>
    <x v="0"/>
    <x v="1"/>
    <x v="1"/>
    <s v="Control Buffers.xlsm"/>
    <s v="IN-128"/>
    <s v="SKEKURA X 100 ML"/>
    <s v="TERMINADO "/>
    <s v="FUNGICIDAS"/>
    <m/>
    <m/>
    <m/>
    <m/>
    <n v="0.97"/>
    <n v="0"/>
    <n v="1000000000"/>
    <n v="1"/>
    <n v="57"/>
    <x v="5"/>
    <n v="-56"/>
    <n v="0"/>
    <m/>
    <n v="0"/>
    <n v="57"/>
    <n v="0"/>
    <m/>
    <n v="2"/>
    <n v="0"/>
    <n v="54.32"/>
    <n v="0"/>
    <n v="0"/>
    <n v="1.4663212435233162"/>
    <d v="2012-01-20T00:00:00"/>
    <x v="4"/>
    <n v="-56"/>
    <n v="0"/>
    <m/>
  </r>
  <r>
    <x v="0"/>
    <x v="1"/>
    <x v="1"/>
    <s v="Control Buffers.xlsm"/>
    <s v="QUIM-016"/>
    <s v="SKEMATA X 100 ML"/>
    <s v="TERMINADO"/>
    <s v="INSECTICIDAS"/>
    <m/>
    <m/>
    <m/>
    <m/>
    <n v="0.67"/>
    <n v="1.73"/>
    <n v="1000000000"/>
    <n v="400"/>
    <n v="815"/>
    <x v="5"/>
    <n v="-1.04"/>
    <n v="0"/>
    <m/>
    <n v="0"/>
    <n v="815"/>
    <n v="0"/>
    <m/>
    <n v="201"/>
    <n v="0"/>
    <n v="278.05"/>
    <n v="1.1399999999999999"/>
    <n v="0"/>
    <n v="1.0455259026687598"/>
    <d v="2011-11-22T00:00:00"/>
    <x v="4"/>
    <n v="-1.0375000000000001"/>
    <n v="0"/>
    <m/>
  </r>
  <r>
    <x v="0"/>
    <x v="1"/>
    <x v="1"/>
    <s v="Control Buffers.xlsm"/>
    <s v="QUIM-015"/>
    <s v="SKEMATA X 250 ML"/>
    <s v="TERMINADO"/>
    <s v="INSECTICIDAS"/>
    <m/>
    <m/>
    <m/>
    <m/>
    <n v="1.31"/>
    <n v="3.91"/>
    <n v="1000000000"/>
    <n v="1992"/>
    <n v="1306"/>
    <x v="3"/>
    <n v="0.34"/>
    <n v="0"/>
    <m/>
    <n v="0"/>
    <n v="1306"/>
    <n v="686"/>
    <m/>
    <n v="997"/>
    <n v="0"/>
    <n v="0"/>
    <n v="0.85"/>
    <n v="0"/>
    <n v="0.94477234401349075"/>
    <d v="2012-01-12T00:00:00"/>
    <x v="4"/>
    <n v="0.34437751004016065"/>
    <n v="0"/>
    <m/>
  </r>
  <r>
    <x v="0"/>
    <x v="1"/>
    <x v="1"/>
    <s v="Control Buffers.xlsm"/>
    <s v="QUIM-014"/>
    <s v="SKEMATA X 500 ML"/>
    <s v="TERMINADO"/>
    <s v="INSECTICIDAS"/>
    <m/>
    <m/>
    <m/>
    <m/>
    <n v="2.2999999999999998"/>
    <n v="6.3"/>
    <n v="1000000000"/>
    <n v="400"/>
    <n v="386"/>
    <x v="4"/>
    <n v="0.04"/>
    <n v="0"/>
    <m/>
    <n v="0"/>
    <n v="386"/>
    <n v="14"/>
    <m/>
    <n v="201"/>
    <n v="0"/>
    <n v="0"/>
    <n v="0.19"/>
    <n v="0"/>
    <n v="1.1752577319587629"/>
    <d v="2011-10-10T00:00:00"/>
    <x v="4"/>
    <n v="3.5000000000000003E-2"/>
    <n v="0"/>
    <m/>
  </r>
  <r>
    <x v="0"/>
    <x v="1"/>
    <x v="1"/>
    <s v="Control Buffers.xlsm"/>
    <s v="QUIM-013"/>
    <s v="SKEMATA X LT"/>
    <s v="TERMINADO"/>
    <s v="INSECTICIDAS"/>
    <m/>
    <m/>
    <m/>
    <m/>
    <n v="4.67"/>
    <n v="11.99"/>
    <n v="1000000000"/>
    <n v="384"/>
    <n v="381"/>
    <x v="4"/>
    <n v="0.01"/>
    <n v="0"/>
    <m/>
    <n v="0"/>
    <n v="381"/>
    <n v="3"/>
    <m/>
    <n v="193"/>
    <n v="0"/>
    <n v="0"/>
    <n v="0.53"/>
    <n v="0"/>
    <n v="1.2612826603325415"/>
    <d v="2011-11-22T00:00:00"/>
    <x v="4"/>
    <n v="7.8125E-3"/>
    <n v="0"/>
    <m/>
  </r>
  <r>
    <x v="0"/>
    <x v="1"/>
    <x v="1"/>
    <s v="Control Buffers.xlsm"/>
    <s v="IN-1130"/>
    <s v="SUPER VIVERO X KILO"/>
    <s v="TERMINADO"/>
    <s v="NUTRICIONAL"/>
    <m/>
    <m/>
    <m/>
    <m/>
    <n v="2.9"/>
    <n v="6.93"/>
    <n v="1000000000"/>
    <n v="72"/>
    <n v="36"/>
    <x v="3"/>
    <n v="0.5"/>
    <n v="0"/>
    <m/>
    <n v="0"/>
    <n v="36"/>
    <n v="36"/>
    <m/>
    <n v="37"/>
    <n v="0"/>
    <n v="0"/>
    <n v="0.53"/>
    <n v="0"/>
    <n v="1.7017543859649122"/>
    <d v="2012-01-20T00:00:00"/>
    <x v="4"/>
    <n v="0.5"/>
    <n v="0"/>
    <m/>
  </r>
  <r>
    <x v="0"/>
    <x v="1"/>
    <x v="1"/>
    <s v="Control Buffers.xlsm"/>
    <s v="IN-1131"/>
    <s v="THICKER X KILO"/>
    <s v="TERMINADO"/>
    <s v="NUTRICIONAL"/>
    <m/>
    <m/>
    <m/>
    <m/>
    <n v="2.0699999999999998"/>
    <n v="6"/>
    <n v="1000000000"/>
    <n v="177"/>
    <n v="135"/>
    <x v="4"/>
    <n v="0.24"/>
    <n v="0"/>
    <m/>
    <n v="0"/>
    <n v="135"/>
    <n v="42"/>
    <m/>
    <n v="90"/>
    <n v="0"/>
    <n v="0"/>
    <n v="0.31"/>
    <n v="0"/>
    <n v="1.0955284552845528"/>
    <d v="2012-02-15T00:00:00"/>
    <x v="4"/>
    <n v="0.23728813559322035"/>
    <n v="0"/>
    <m/>
  </r>
  <r>
    <x v="0"/>
    <x v="1"/>
    <x v="1"/>
    <s v="Control Buffers.xlsm"/>
    <s v="IN-00126"/>
    <s v="TOKAL  400 X 100 ML"/>
    <s v="TERMINADO "/>
    <s v="HERBICIDAS"/>
    <m/>
    <m/>
    <m/>
    <m/>
    <n v="12.21"/>
    <n v="26.56"/>
    <n v="1000000000"/>
    <n v="0"/>
    <n v="285"/>
    <x v="1"/>
    <n v="0"/>
    <n v="0"/>
    <m/>
    <n v="0"/>
    <n v="285"/>
    <n v="0"/>
    <m/>
    <n v="1"/>
    <n v="0"/>
    <n v="0"/>
    <n v="0"/>
    <n v="0"/>
    <n v="0.79089506172839508"/>
    <d v="1899-12-30T00:00:00"/>
    <x v="4"/>
    <s v=""/>
    <n v="0"/>
    <m/>
  </r>
  <r>
    <x v="0"/>
    <x v="1"/>
    <x v="1"/>
    <s v="Control Buffers.xlsm"/>
    <s v="IN-000127"/>
    <s v="TOKAL 400 X 500 ML"/>
    <s v="TERMINADO "/>
    <s v="HERBICIDAS"/>
    <m/>
    <m/>
    <m/>
    <m/>
    <n v="50.77"/>
    <n v="117.13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F-007"/>
    <s v="UREUM X 20 LT"/>
    <s v="TERMINADO"/>
    <s v="NUTRICIONAL"/>
    <m/>
    <m/>
    <m/>
    <m/>
    <n v="121.78"/>
    <n v="0"/>
    <n v="1000000000"/>
    <n v="0"/>
    <n v="1"/>
    <x v="1"/>
    <n v="0"/>
    <n v="0"/>
    <m/>
    <n v="0"/>
    <n v="1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F-014"/>
    <s v="UREUM X GL"/>
    <s v="TERMINADO"/>
    <s v="NUTRICIONAL"/>
    <m/>
    <m/>
    <m/>
    <m/>
    <n v="24.73"/>
    <n v="0"/>
    <n v="1000000000"/>
    <n v="0"/>
    <n v="8"/>
    <x v="1"/>
    <n v="0"/>
    <n v="0"/>
    <m/>
    <n v="0"/>
    <n v="8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F-013"/>
    <s v="UREUM X LT"/>
    <s v="TERMINADO"/>
    <s v="NUTRICIONAL"/>
    <m/>
    <m/>
    <m/>
    <m/>
    <n v="6.91"/>
    <n v="0"/>
    <n v="1000000000"/>
    <n v="1"/>
    <n v="69"/>
    <x v="5"/>
    <n v="-68"/>
    <n v="0"/>
    <m/>
    <n v="0"/>
    <n v="69"/>
    <n v="0"/>
    <m/>
    <n v="2"/>
    <n v="0"/>
    <n v="469.88"/>
    <n v="-0.56999999999999995"/>
    <n v="0"/>
    <n v="0"/>
    <d v="2012-01-20T00:00:00"/>
    <x v="4"/>
    <n v="-68"/>
    <n v="0"/>
    <m/>
  </r>
  <r>
    <x v="0"/>
    <x v="1"/>
    <x v="1"/>
    <s v="Control Buffers.xlsm"/>
    <s v="G-0011"/>
    <s v="VIRAFIN X 250 ML"/>
    <s v="TERMINADO"/>
    <s v="INSECTICIDAS"/>
    <m/>
    <m/>
    <m/>
    <m/>
    <n v="18.989899999999999"/>
    <n v="0"/>
    <n v="1000000000"/>
    <n v="0"/>
    <n v="0"/>
    <x v="1"/>
    <n v="0"/>
    <n v="0"/>
    <m/>
    <n v="0"/>
    <n v="0"/>
    <n v="0"/>
    <m/>
    <n v="1"/>
    <n v="0"/>
    <n v="0"/>
    <n v="0"/>
    <n v="0"/>
    <n v="1.4933333333333334"/>
    <d v="1899-12-30T00:00:00"/>
    <x v="4"/>
    <s v=""/>
    <n v="0"/>
    <m/>
  </r>
  <r>
    <x v="0"/>
    <x v="1"/>
    <x v="1"/>
    <s v="Control Buffers.xlsm"/>
    <s v="G-0010"/>
    <s v="VIRAFIN X LT"/>
    <s v="TERMINADO "/>
    <s v="INSECTICIDAS"/>
    <m/>
    <m/>
    <m/>
    <m/>
    <n v="63.41"/>
    <n v="0"/>
    <n v="1000000000"/>
    <n v="0"/>
    <n v="0"/>
    <x v="1"/>
    <n v="0"/>
    <n v="0"/>
    <m/>
    <n v="0"/>
    <n v="0"/>
    <n v="0"/>
    <m/>
    <n v="1"/>
    <n v="0"/>
    <n v="0"/>
    <n v="0"/>
    <n v="0"/>
    <n v="1"/>
    <d v="1899-12-30T00:00:00"/>
    <x v="4"/>
    <s v=""/>
    <n v="0"/>
    <m/>
  </r>
  <r>
    <x v="0"/>
    <x v="1"/>
    <x v="1"/>
    <s v="Control Buffers.xlsm"/>
    <s v="IN-130"/>
    <s v="YOGA X 100 ML"/>
    <s v="TERMINADO"/>
    <s v="INSECTICIDAS"/>
    <m/>
    <m/>
    <m/>
    <m/>
    <n v="1.28"/>
    <n v="6.19"/>
    <n v="1000000000"/>
    <n v="0"/>
    <n v="6"/>
    <x v="1"/>
    <n v="0"/>
    <n v="0"/>
    <m/>
    <n v="0"/>
    <n v="6"/>
    <n v="0"/>
    <m/>
    <n v="1"/>
    <n v="0"/>
    <n v="0"/>
    <n v="0"/>
    <n v="0"/>
    <n v="0.78575312669929309"/>
    <d v="1899-12-30T00:00:00"/>
    <x v="4"/>
    <s v=""/>
    <n v="0"/>
    <m/>
  </r>
  <r>
    <x v="0"/>
    <x v="1"/>
    <x v="1"/>
    <s v="Control Buffers.xlsm"/>
    <s v="IN-129"/>
    <s v="YOGA X LT"/>
    <s v="TERMINADO"/>
    <s v="INSECTICIDAS"/>
    <m/>
    <m/>
    <m/>
    <m/>
    <n v="14.82"/>
    <n v="45.87"/>
    <n v="1000000000"/>
    <n v="0"/>
    <n v="7"/>
    <x v="1"/>
    <n v="0"/>
    <n v="0"/>
    <m/>
    <n v="0"/>
    <n v="7"/>
    <n v="0"/>
    <m/>
    <n v="1"/>
    <n v="0"/>
    <n v="0"/>
    <n v="0"/>
    <n v="0"/>
    <n v="1.088235294117647"/>
    <d v="1899-12-30T00:00:00"/>
    <x v="4"/>
    <s v=""/>
    <n v="0"/>
    <m/>
  </r>
  <r>
    <x v="0"/>
    <x v="1"/>
    <x v="1"/>
    <s v="Control Buffers.xlsm"/>
    <s v="IN-358"/>
    <s v="ZULLY 60 X 15G"/>
    <s v="TERMINADO"/>
    <s v="NUTRICIONAL"/>
    <n v="1692"/>
    <m/>
    <m/>
    <m/>
    <n v="2.21"/>
    <n v="5.96"/>
    <n v="1000000000"/>
    <n v="1272"/>
    <n v="93"/>
    <x v="0"/>
    <n v="0.93"/>
    <n v="0"/>
    <m/>
    <n v="0"/>
    <n v="93"/>
    <n v="1179"/>
    <m/>
    <n v="637"/>
    <n v="1241.25"/>
    <n v="0"/>
    <n v="0"/>
    <n v="0"/>
    <n v="0.90918097754293259"/>
    <d v="2012-01-12T00:00:00"/>
    <x v="4"/>
    <n v="0.92688679245283023"/>
    <n v="0"/>
    <m/>
  </r>
  <r>
    <x v="0"/>
    <x v="2"/>
    <x v="2"/>
    <s v="Control Buffers.xlsm"/>
    <s v="IN-0028"/>
    <s v="AGROTAFIX  X 250 ML"/>
    <s v="TERMINADO"/>
    <s v="FIJADORES"/>
    <m/>
    <m/>
    <m/>
    <m/>
    <n v="0.43"/>
    <n v="0"/>
    <n v="21"/>
    <n v="120"/>
    <n v="14"/>
    <x v="0"/>
    <n v="0.88"/>
    <n v="0"/>
    <m/>
    <n v="0"/>
    <n v="14"/>
    <n v="106"/>
    <m/>
    <n v="481"/>
    <n v="-11.18"/>
    <n v="0"/>
    <n v="-0.28999999999999998"/>
    <n v="0"/>
    <n v="0"/>
    <d v="2010-07-13T00:00:00"/>
    <x v="5"/>
    <n v="0.8833333333333333"/>
    <n v="0"/>
    <m/>
  </r>
  <r>
    <x v="0"/>
    <x v="2"/>
    <x v="2"/>
    <s v="Control Buffers.xlsm"/>
    <s v="IN-104"/>
    <s v="AGROTAFOL BORO X 250 ML"/>
    <s v="TERMINADO"/>
    <s v="NUTRICIONAL"/>
    <m/>
    <m/>
    <m/>
    <m/>
    <n v="0.92"/>
    <n v="0"/>
    <n v="495"/>
    <m/>
    <n v="7"/>
    <x v="1"/>
    <n v="0"/>
    <n v="0"/>
    <m/>
    <n v="0"/>
    <n v="7"/>
    <n v="0"/>
    <m/>
    <n v="1"/>
    <n v="0"/>
    <n v="0"/>
    <n v="0.48"/>
    <n v="0"/>
    <n v="0"/>
    <d v="1899-12-30T00:00:00"/>
    <x v="5"/>
    <s v=""/>
    <n v="0"/>
    <m/>
  </r>
  <r>
    <x v="0"/>
    <x v="2"/>
    <x v="2"/>
    <s v="Control Buffers.xlsm"/>
    <s v="IN - 126"/>
    <s v="AGROTAFOL COMBI X 200 G"/>
    <s v="TERMINADO"/>
    <s v="NUTRICIONAL"/>
    <m/>
    <m/>
    <m/>
    <m/>
    <n v="0.47"/>
    <n v="0"/>
    <n v="179"/>
    <m/>
    <n v="65"/>
    <x v="1"/>
    <n v="0"/>
    <n v="0"/>
    <m/>
    <n v="0"/>
    <n v="65"/>
    <n v="0"/>
    <m/>
    <n v="1"/>
    <n v="0"/>
    <n v="0"/>
    <n v="2.2000000000000002"/>
    <n v="0"/>
    <n v="0"/>
    <d v="1899-12-30T00:00:00"/>
    <x v="5"/>
    <s v=""/>
    <n v="0"/>
    <m/>
  </r>
  <r>
    <x v="0"/>
    <x v="2"/>
    <x v="2"/>
    <s v="Control Buffers.xlsm"/>
    <s v="IN-043"/>
    <s v="AGROTAFOL FOSFITO X LT"/>
    <s v="TERMINADO"/>
    <s v="NUTRICIONAL"/>
    <m/>
    <m/>
    <m/>
    <m/>
    <n v="4.63"/>
    <n v="0"/>
    <n v="49"/>
    <n v="15"/>
    <n v="11"/>
    <x v="4"/>
    <n v="0.27"/>
    <n v="0"/>
    <m/>
    <n v="0"/>
    <n v="11"/>
    <n v="4"/>
    <m/>
    <n v="61"/>
    <n v="0"/>
    <n v="0"/>
    <n v="1.1200000000000001"/>
    <n v="0"/>
    <n v="0"/>
    <d v="2010-08-06T00:00:00"/>
    <x v="5"/>
    <n v="0.26666666666666666"/>
    <n v="0"/>
    <m/>
  </r>
  <r>
    <x v="0"/>
    <x v="2"/>
    <x v="2"/>
    <s v="Control Buffers.xlsm"/>
    <s v="IN-048"/>
    <s v="AGROTAFOL K PLUS X LT"/>
    <s v="TERMINADO"/>
    <s v="NUTRICIONAL"/>
    <m/>
    <m/>
    <s v="Retirar Exceso(retira 15)"/>
    <m/>
    <n v="3.34"/>
    <n v="0"/>
    <n v="297"/>
    <n v="40"/>
    <n v="0"/>
    <x v="2"/>
    <n v="1"/>
    <n v="0"/>
    <m/>
    <n v="0"/>
    <n v="0"/>
    <n v="40"/>
    <m/>
    <n v="161"/>
    <n v="-43.42"/>
    <n v="0"/>
    <n v="1.28"/>
    <n v="0"/>
    <n v="0"/>
    <d v="2010-09-20T00:00:00"/>
    <x v="5"/>
    <n v="1"/>
    <n v="0"/>
    <m/>
  </r>
  <r>
    <x v="0"/>
    <x v="2"/>
    <x v="2"/>
    <s v="Control Buffers.xlsm"/>
    <s v="IN-140"/>
    <s v="AGROVERDOL X 500 ML"/>
    <s v="TERMINADO"/>
    <s v="NUTRICIONAL"/>
    <m/>
    <m/>
    <m/>
    <m/>
    <n v="1.76"/>
    <n v="0"/>
    <n v="780"/>
    <n v="10"/>
    <n v="5"/>
    <x v="3"/>
    <n v="0.5"/>
    <n v="0"/>
    <m/>
    <n v="0"/>
    <n v="5"/>
    <n v="5"/>
    <m/>
    <n v="41"/>
    <n v="0"/>
    <n v="0"/>
    <n v="1.5"/>
    <n v="0"/>
    <n v="0"/>
    <d v="2010-09-20T00:00:00"/>
    <x v="5"/>
    <n v="0.5"/>
    <n v="0"/>
    <m/>
  </r>
  <r>
    <x v="0"/>
    <x v="2"/>
    <x v="2"/>
    <s v="Control Buffers.xlsm"/>
    <s v="IN-141"/>
    <s v="AGROVERDOL X LT"/>
    <s v="TERMINADO"/>
    <s v="NUTRICIONAL"/>
    <m/>
    <m/>
    <m/>
    <m/>
    <n v="3.38"/>
    <n v="0"/>
    <n v="479"/>
    <n v="15"/>
    <n v="0"/>
    <x v="2"/>
    <n v="1"/>
    <n v="0"/>
    <m/>
    <n v="0"/>
    <n v="0"/>
    <n v="15"/>
    <m/>
    <n v="61"/>
    <n v="-16.899999999999999"/>
    <n v="0"/>
    <n v="2.3199999999999998"/>
    <n v="0"/>
    <n v="0"/>
    <d v="2010-08-06T00:00:00"/>
    <x v="5"/>
    <n v="1"/>
    <n v="0"/>
    <m/>
  </r>
  <r>
    <x v="0"/>
    <x v="2"/>
    <x v="2"/>
    <s v="Control Buffers.xlsm"/>
    <s v="QUIM-011"/>
    <s v="ANIQUILADOR X 100 ML"/>
    <s v="TERMINADO"/>
    <s v="INSECTICIDAS"/>
    <m/>
    <m/>
    <m/>
    <m/>
    <n v="1.01"/>
    <n v="0"/>
    <n v="1777"/>
    <m/>
    <n v="10"/>
    <x v="1"/>
    <n v="0"/>
    <n v="0"/>
    <m/>
    <n v="0"/>
    <n v="10"/>
    <n v="0"/>
    <m/>
    <n v="1"/>
    <n v="0"/>
    <n v="0"/>
    <n v="0.35"/>
    <n v="0"/>
    <n v="0"/>
    <d v="1899-12-30T00:00:00"/>
    <x v="5"/>
    <s v=""/>
    <n v="0"/>
    <m/>
  </r>
  <r>
    <x v="0"/>
    <x v="2"/>
    <x v="2"/>
    <s v="Control Buffers.xlsm"/>
    <s v="QUIM-010"/>
    <s v="ANIQUILADOR X LT"/>
    <s v="TERMINADO"/>
    <s v="INSECTICIDAS"/>
    <m/>
    <m/>
    <m/>
    <m/>
    <n v="8.51"/>
    <n v="0"/>
    <n v="39"/>
    <n v="20"/>
    <n v="0"/>
    <x v="2"/>
    <n v="1"/>
    <n v="0"/>
    <m/>
    <n v="0"/>
    <n v="0"/>
    <n v="20"/>
    <m/>
    <n v="81"/>
    <n v="-59.57"/>
    <n v="0"/>
    <n v="5.4"/>
    <n v="0"/>
    <n v="0"/>
    <d v="1899-12-30T00:00:00"/>
    <x v="5"/>
    <n v="1"/>
    <n v="0"/>
    <m/>
  </r>
  <r>
    <x v="0"/>
    <x v="2"/>
    <x v="2"/>
    <s v="Control Buffers.xlsm"/>
    <s v="IN-0012"/>
    <s v="BUCANER X 250 ML"/>
    <s v="TERMINADO "/>
    <s v="FUNGICIDAS"/>
    <m/>
    <m/>
    <m/>
    <m/>
    <n v="1.35"/>
    <n v="0"/>
    <n v="465"/>
    <m/>
    <n v="5"/>
    <x v="1"/>
    <n v="0"/>
    <n v="0"/>
    <m/>
    <n v="0"/>
    <n v="5"/>
    <n v="0"/>
    <m/>
    <n v="1"/>
    <n v="0"/>
    <n v="0"/>
    <n v="1.52"/>
    <n v="0"/>
    <n v="0"/>
    <d v="1899-12-30T00:00:00"/>
    <x v="5"/>
    <s v=""/>
    <n v="0"/>
    <m/>
  </r>
  <r>
    <x v="0"/>
    <x v="2"/>
    <x v="2"/>
    <s v="Control Buffers.xlsm"/>
    <s v="IN-0011"/>
    <s v="BUCANER X LT"/>
    <s v="TERMINADO "/>
    <s v="FUNGICIDAS"/>
    <m/>
    <m/>
    <m/>
    <m/>
    <n v="4.5598999999999998"/>
    <n v="0"/>
    <n v="42"/>
    <n v="20"/>
    <n v="0"/>
    <x v="2"/>
    <n v="1"/>
    <n v="0"/>
    <m/>
    <n v="0"/>
    <n v="0"/>
    <n v="20"/>
    <m/>
    <n v="81"/>
    <n v="-31.919999999999998"/>
    <n v="0"/>
    <n v="3.38"/>
    <n v="0"/>
    <n v="0"/>
    <d v="2010-09-20T00:00:00"/>
    <x v="5"/>
    <n v="1"/>
    <n v="0"/>
    <m/>
  </r>
  <r>
    <x v="0"/>
    <x v="2"/>
    <x v="2"/>
    <s v="Control Buffers.xlsm"/>
    <s v="QUIM-021"/>
    <s v="DEPREDADOR X 300 G"/>
    <s v="TERMINADO"/>
    <s v="INSECTICIDAS"/>
    <m/>
    <m/>
    <m/>
    <m/>
    <n v="3.3"/>
    <n v="0"/>
    <n v="83"/>
    <m/>
    <n v="0"/>
    <x v="1"/>
    <n v="0"/>
    <n v="0"/>
    <m/>
    <n v="0"/>
    <n v="0"/>
    <n v="0"/>
    <m/>
    <n v="1"/>
    <n v="0"/>
    <n v="0"/>
    <n v="0.55000000000000004"/>
    <n v="0"/>
    <n v="0"/>
    <d v="1899-12-30T00:00:00"/>
    <x v="5"/>
    <s v=""/>
    <n v="0"/>
    <m/>
  </r>
  <r>
    <x v="0"/>
    <x v="2"/>
    <x v="2"/>
    <s v="Control Buffers.xlsm"/>
    <s v="F-011"/>
    <s v="IMPULMAX X 250 ML"/>
    <s v="TERMINADO"/>
    <s v="NUTRICIONAL"/>
    <m/>
    <m/>
    <m/>
    <m/>
    <n v="1.87"/>
    <n v="0"/>
    <n v="542"/>
    <m/>
    <n v="5"/>
    <x v="1"/>
    <n v="0"/>
    <n v="0"/>
    <m/>
    <n v="0"/>
    <n v="5"/>
    <n v="0"/>
    <m/>
    <n v="1"/>
    <n v="0"/>
    <n v="0"/>
    <n v="-0.6"/>
    <n v="0"/>
    <n v="0"/>
    <d v="1899-12-30T00:00:00"/>
    <x v="5"/>
    <s v=""/>
    <n v="0"/>
    <m/>
  </r>
  <r>
    <x v="0"/>
    <x v="2"/>
    <x v="2"/>
    <s v="Control Buffers.xlsm"/>
    <s v="IN-102"/>
    <s v="KEMADOR X GALON"/>
    <s v="TERMINADO "/>
    <s v="HERBICIDAS"/>
    <m/>
    <m/>
    <m/>
    <m/>
    <n v="11.52"/>
    <n v="0"/>
    <n v="0"/>
    <n v="8"/>
    <n v="0"/>
    <x v="2"/>
    <n v="1"/>
    <n v="0"/>
    <m/>
    <n v="0"/>
    <n v="0"/>
    <n v="8"/>
    <m/>
    <n v="33"/>
    <n v="-34.56"/>
    <n v="0"/>
    <n v="2.4900000000000002"/>
    <n v="0"/>
    <n v="0"/>
    <d v="2010-09-20T00:00:00"/>
    <x v="5"/>
    <n v="1"/>
    <n v="0"/>
    <m/>
  </r>
  <r>
    <x v="0"/>
    <x v="2"/>
    <x v="2"/>
    <s v="Control Buffers.xlsm"/>
    <s v="IN-81"/>
    <s v="KEMADOR X LT"/>
    <s v="TERMINADO "/>
    <s v="HERBICIDAS"/>
    <m/>
    <m/>
    <m/>
    <m/>
    <n v="3.47"/>
    <n v="0"/>
    <n v="143"/>
    <n v="25"/>
    <n v="12"/>
    <x v="3"/>
    <n v="0.52"/>
    <n v="0"/>
    <m/>
    <n v="0"/>
    <n v="12"/>
    <n v="13"/>
    <m/>
    <n v="101"/>
    <n v="0"/>
    <n v="0"/>
    <n v="0.81"/>
    <n v="0"/>
    <n v="0"/>
    <d v="2010-09-20T00:00:00"/>
    <x v="5"/>
    <n v="0.52"/>
    <n v="0"/>
    <m/>
  </r>
  <r>
    <x v="0"/>
    <x v="2"/>
    <x v="2"/>
    <s v="Control Buffers.xlsm"/>
    <s v="IN-0019"/>
    <s v="PARAGUAS X 500 G"/>
    <s v="TERMINADO "/>
    <s v="FUNGICIDAS"/>
    <m/>
    <m/>
    <m/>
    <m/>
    <n v="7.01"/>
    <n v="0"/>
    <n v="0"/>
    <n v="100"/>
    <n v="0"/>
    <x v="2"/>
    <n v="1"/>
    <n v="0"/>
    <m/>
    <n v="0"/>
    <n v="0"/>
    <n v="100"/>
    <m/>
    <n v="401"/>
    <n v="-231.32999999999998"/>
    <n v="0"/>
    <n v="0"/>
    <n v="0"/>
    <n v="0"/>
    <d v="2010-10-01T00:00:00"/>
    <x v="5"/>
    <n v="1"/>
    <n v="0"/>
    <m/>
  </r>
  <r>
    <x v="0"/>
    <x v="2"/>
    <x v="2"/>
    <s v="Control Buffers.xlsm"/>
    <s v="IN-037"/>
    <s v="SCOBA X 250 ML"/>
    <s v="TERMINADO "/>
    <s v="FUNGICIDAS"/>
    <m/>
    <m/>
    <m/>
    <m/>
    <n v="3.84"/>
    <n v="0"/>
    <n v="58"/>
    <n v="25"/>
    <n v="0"/>
    <x v="2"/>
    <n v="1"/>
    <n v="0"/>
    <m/>
    <n v="0"/>
    <n v="0"/>
    <n v="25"/>
    <m/>
    <n v="101"/>
    <n v="-30.72"/>
    <n v="0"/>
    <n v="3.09"/>
    <n v="0"/>
    <n v="0"/>
    <d v="2010-09-20T00:00:00"/>
    <x v="5"/>
    <n v="1"/>
    <n v="0"/>
    <m/>
  </r>
  <r>
    <x v="0"/>
    <x v="2"/>
    <x v="2"/>
    <s v="Control Buffers.xlsm"/>
    <s v="QUIM-008"/>
    <s v="SINOPRID X 100 G"/>
    <s v="TERMINADO"/>
    <s v="INSECTICIDAS"/>
    <m/>
    <m/>
    <m/>
    <m/>
    <n v="1.24"/>
    <n v="0"/>
    <n v="414"/>
    <n v="100"/>
    <n v="0"/>
    <x v="2"/>
    <n v="1"/>
    <n v="0"/>
    <m/>
    <n v="0"/>
    <n v="0"/>
    <n v="100"/>
    <m/>
    <n v="401"/>
    <n v="-40.92"/>
    <n v="0"/>
    <n v="7.63"/>
    <n v="0"/>
    <n v="0"/>
    <d v="2010-09-20T00:00:00"/>
    <x v="5"/>
    <n v="1"/>
    <n v="0"/>
    <m/>
  </r>
  <r>
    <x v="0"/>
    <x v="2"/>
    <x v="2"/>
    <s v="Control Buffers.xlsm"/>
    <s v="QUIM-005"/>
    <s v="SINOTYL X KG"/>
    <s v="TERMINADO "/>
    <s v="FUNGICIDAS"/>
    <m/>
    <m/>
    <m/>
    <m/>
    <n v="6.17"/>
    <n v="0"/>
    <n v="69"/>
    <n v="30"/>
    <n v="17"/>
    <x v="3"/>
    <n v="0.43"/>
    <n v="0"/>
    <m/>
    <n v="0"/>
    <n v="17"/>
    <n v="13"/>
    <m/>
    <n v="121"/>
    <n v="0"/>
    <n v="0"/>
    <n v="1.45"/>
    <n v="0"/>
    <n v="0"/>
    <d v="2010-06-29T00:00:00"/>
    <x v="5"/>
    <n v="0.43333333333333335"/>
    <n v="0"/>
    <m/>
  </r>
  <r>
    <x v="0"/>
    <x v="2"/>
    <x v="2"/>
    <s v="Control Buffers.xlsm"/>
    <s v="QUIM-019"/>
    <s v="SINOZOX X 100 ML"/>
    <s v="TERMINADO"/>
    <s v="INSECTICIDAS"/>
    <m/>
    <m/>
    <m/>
    <m/>
    <n v="2.61"/>
    <n v="0"/>
    <n v="420"/>
    <n v="20"/>
    <n v="0"/>
    <x v="2"/>
    <n v="1"/>
    <n v="0"/>
    <m/>
    <n v="0"/>
    <n v="0"/>
    <n v="20"/>
    <m/>
    <n v="81"/>
    <n v="-18.27"/>
    <n v="0"/>
    <n v="0.23"/>
    <n v="0"/>
    <n v="0"/>
    <d v="2010-09-20T00:00:00"/>
    <x v="5"/>
    <n v="1"/>
    <n v="0"/>
    <m/>
  </r>
  <r>
    <x v="0"/>
    <x v="2"/>
    <x v="2"/>
    <s v="Control Buffers.xlsm"/>
    <s v="IN-039"/>
    <s v="SKEKURA  X 250 ML"/>
    <s v="TERMINADO "/>
    <s v="FUNGICIDAS"/>
    <m/>
    <m/>
    <m/>
    <m/>
    <n v="2.29"/>
    <n v="0"/>
    <n v="13"/>
    <m/>
    <n v="0"/>
    <x v="1"/>
    <n v="0"/>
    <n v="0"/>
    <m/>
    <n v="0"/>
    <n v="0"/>
    <n v="0"/>
    <m/>
    <n v="1"/>
    <n v="0"/>
    <n v="0"/>
    <n v="0"/>
    <n v="0"/>
    <n v="0"/>
    <d v="1899-12-30T00:00:00"/>
    <x v="5"/>
    <s v=""/>
    <n v="0"/>
    <m/>
  </r>
  <r>
    <x v="0"/>
    <x v="2"/>
    <x v="2"/>
    <s v="Control Buffers.xlsm"/>
    <s v="IN-086"/>
    <s v="SKEKURA  X 500 ML"/>
    <s v="TERMINADO "/>
    <s v="FUNGICIDAS"/>
    <m/>
    <m/>
    <m/>
    <m/>
    <n v="4.2"/>
    <n v="0"/>
    <n v="0"/>
    <m/>
    <n v="0"/>
    <x v="1"/>
    <n v="0"/>
    <n v="0"/>
    <m/>
    <n v="0"/>
    <n v="0"/>
    <n v="0"/>
    <m/>
    <n v="1"/>
    <n v="0"/>
    <n v="0"/>
    <n v="0"/>
    <n v="0"/>
    <n v="0"/>
    <d v="1899-12-30T00:00:00"/>
    <x v="5"/>
    <s v=""/>
    <n v="0"/>
    <m/>
  </r>
  <r>
    <x v="0"/>
    <x v="2"/>
    <x v="2"/>
    <s v="Control Buffers.xlsm"/>
    <s v="IN-352"/>
    <s v="SKEKURA WP X 200 G"/>
    <s v="TERMINADO "/>
    <s v="FUNGICIDAS"/>
    <m/>
    <m/>
    <s v="Retirar Exceso ( estan en combos)"/>
    <m/>
    <n v="1.32"/>
    <n v="0"/>
    <n v="635"/>
    <n v="40"/>
    <n v="67"/>
    <x v="5"/>
    <n v="-0.68"/>
    <n v="0"/>
    <m/>
    <n v="0"/>
    <n v="67"/>
    <n v="0"/>
    <m/>
    <n v="161"/>
    <n v="0"/>
    <n v="35.64"/>
    <n v="0.72"/>
    <n v="0"/>
    <n v="0"/>
    <d v="2010-09-20T00:00:00"/>
    <x v="5"/>
    <n v="-0.67500000000000004"/>
    <n v="0"/>
    <m/>
  </r>
  <r>
    <x v="0"/>
    <x v="2"/>
    <x v="2"/>
    <s v="Control Buffers.xlsm"/>
    <s v="QUIM-015"/>
    <s v="SKEMATA X 250 ML"/>
    <s v="TERMINADO"/>
    <s v="INSECTICIDAS"/>
    <m/>
    <m/>
    <m/>
    <m/>
    <n v="1.31"/>
    <n v="0"/>
    <n v="1306"/>
    <n v="100"/>
    <n v="14"/>
    <x v="0"/>
    <n v="0.86"/>
    <n v="0"/>
    <m/>
    <n v="0"/>
    <n v="14"/>
    <n v="86"/>
    <m/>
    <n v="401"/>
    <n v="-24.89"/>
    <n v="0"/>
    <n v="0.85"/>
    <n v="0"/>
    <n v="0"/>
    <d v="2010-04-20T00:00:00"/>
    <x v="5"/>
    <n v="0.86"/>
    <n v="0"/>
    <m/>
  </r>
  <r>
    <x v="0"/>
    <x v="2"/>
    <x v="2"/>
    <s v="Control Buffers.xlsm"/>
    <s v="QUIM-014"/>
    <s v="SKEMATA X 500 ML"/>
    <s v="TERMINADO"/>
    <s v="INSECTICIDAS"/>
    <m/>
    <m/>
    <m/>
    <m/>
    <n v="2.2999999999999998"/>
    <n v="0"/>
    <n v="386"/>
    <n v="50"/>
    <n v="5"/>
    <x v="0"/>
    <n v="0.9"/>
    <n v="0"/>
    <m/>
    <n v="0"/>
    <n v="5"/>
    <n v="45"/>
    <m/>
    <n v="201"/>
    <n v="-27.599999999999998"/>
    <n v="0"/>
    <n v="0.19"/>
    <n v="0"/>
    <n v="0"/>
    <d v="2010-08-24T00:00:00"/>
    <x v="5"/>
    <n v="0.9"/>
    <n v="0"/>
    <m/>
  </r>
  <r>
    <x v="0"/>
    <x v="2"/>
    <x v="2"/>
    <s v="Control Buffers.xlsm"/>
    <s v="QUIM-013"/>
    <s v="SKEMATA X LT"/>
    <s v="TERMINADO"/>
    <s v="INSECTICIDAS"/>
    <m/>
    <m/>
    <m/>
    <m/>
    <n v="4.67"/>
    <n v="0"/>
    <n v="381"/>
    <n v="30"/>
    <n v="0"/>
    <x v="2"/>
    <n v="1"/>
    <n v="0"/>
    <m/>
    <n v="0"/>
    <n v="0"/>
    <n v="30"/>
    <m/>
    <n v="121"/>
    <n v="-46.7"/>
    <n v="0"/>
    <n v="0.53"/>
    <n v="0"/>
    <n v="0"/>
    <d v="2010-08-23T00:00:00"/>
    <x v="5"/>
    <n v="1"/>
    <n v="0"/>
    <m/>
  </r>
  <r>
    <x v="0"/>
    <x v="2"/>
    <x v="2"/>
    <s v="Control Buffers.xlsm"/>
    <s v="IN-00126"/>
    <s v="TOKAL  400 X 100 ML"/>
    <s v="TERMINADO "/>
    <s v="HERBICIDAS"/>
    <m/>
    <m/>
    <m/>
    <m/>
    <n v="12.21"/>
    <n v="0"/>
    <n v="285"/>
    <n v="120"/>
    <n v="14"/>
    <x v="0"/>
    <n v="0.88"/>
    <n v="0"/>
    <m/>
    <n v="0"/>
    <n v="14"/>
    <n v="106"/>
    <m/>
    <n v="481"/>
    <n v="-317.46000000000004"/>
    <n v="0"/>
    <n v="0"/>
    <n v="0"/>
    <n v="0"/>
    <d v="2010-04-20T00:00:00"/>
    <x v="5"/>
    <n v="0.8833333333333333"/>
    <n v="0"/>
    <m/>
  </r>
  <r>
    <x v="0"/>
    <x v="2"/>
    <x v="2"/>
    <s v="Control Buffers.xlsm"/>
    <s v="G-0010"/>
    <s v="VIRAFIN X LT"/>
    <s v="TERMINADO "/>
    <s v="INSECTICIDAS"/>
    <m/>
    <m/>
    <m/>
    <m/>
    <n v="63.41"/>
    <n v="0"/>
    <n v="0"/>
    <m/>
    <n v="0"/>
    <x v="1"/>
    <n v="0"/>
    <n v="0"/>
    <m/>
    <n v="0"/>
    <n v="0"/>
    <n v="0"/>
    <m/>
    <n v="1"/>
    <n v="0"/>
    <n v="0"/>
    <n v="0"/>
    <n v="0"/>
    <n v="0"/>
    <d v="1899-12-30T00:00:00"/>
    <x v="5"/>
    <s v=""/>
    <n v="0"/>
    <m/>
  </r>
  <r>
    <x v="0"/>
    <x v="2"/>
    <x v="2"/>
    <s v="Control Buffers.xlsm"/>
    <s v="IN-130"/>
    <s v="YOGA X 100 ML"/>
    <s v="TERMINADO"/>
    <s v="INSECTICIDAS"/>
    <m/>
    <m/>
    <m/>
    <m/>
    <n v="1.28"/>
    <n v="0"/>
    <n v="6"/>
    <n v="15"/>
    <n v="0"/>
    <x v="2"/>
    <n v="1"/>
    <n v="0"/>
    <m/>
    <n v="0"/>
    <n v="0"/>
    <n v="15"/>
    <m/>
    <n v="61"/>
    <n v="-6.4"/>
    <n v="0"/>
    <n v="0"/>
    <n v="0"/>
    <n v="0"/>
    <d v="2010-08-06T00:00:00"/>
    <x v="5"/>
    <n v="1"/>
    <n v="0"/>
    <m/>
  </r>
  <r>
    <x v="0"/>
    <x v="2"/>
    <x v="2"/>
    <s v="Control Buffers.xlsm"/>
    <s v="IN-129"/>
    <s v="YOGA X LT"/>
    <s v="TERMINADO"/>
    <s v="INSECTICIDAS"/>
    <m/>
    <m/>
    <m/>
    <m/>
    <n v="14.82"/>
    <n v="0"/>
    <n v="7"/>
    <n v="20"/>
    <n v="0"/>
    <x v="2"/>
    <n v="1"/>
    <n v="0"/>
    <m/>
    <n v="0"/>
    <n v="0"/>
    <n v="20"/>
    <m/>
    <n v="81"/>
    <n v="-103.74000000000001"/>
    <n v="0"/>
    <n v="0"/>
    <n v="0"/>
    <n v="0"/>
    <d v="1899-12-30T00:00:00"/>
    <x v="5"/>
    <n v="1"/>
    <n v="0"/>
    <m/>
  </r>
  <r>
    <x v="0"/>
    <x v="2"/>
    <x v="2"/>
    <s v="Control Buffers.xlsm"/>
    <s v="IN-358"/>
    <s v="ZULLY 60 X 15G"/>
    <s v="TERMINADO"/>
    <s v="NUTRICIONAL"/>
    <m/>
    <m/>
    <m/>
    <m/>
    <n v="2.21"/>
    <n v="0"/>
    <n v="93"/>
    <n v="100"/>
    <n v="14"/>
    <x v="0"/>
    <n v="0.86"/>
    <n v="0"/>
    <m/>
    <n v="0"/>
    <n v="14"/>
    <n v="86"/>
    <m/>
    <n v="401"/>
    <n v="-41.99"/>
    <n v="0"/>
    <n v="0"/>
    <n v="0"/>
    <n v="0"/>
    <d v="1899-12-30T00:00:00"/>
    <x v="5"/>
    <n v="0.86"/>
    <n v="0"/>
    <m/>
  </r>
  <r>
    <x v="0"/>
    <x v="3"/>
    <x v="2"/>
    <s v="Control Buffers.xlsm"/>
    <s v="IN-0042"/>
    <s v="AGROTAFIX  X 100 ML"/>
    <s v="TERMINADO"/>
    <s v="FIJADORES"/>
    <m/>
    <m/>
    <s v="Retirar todo( se facturo todo)"/>
    <m/>
    <n v="0.31"/>
    <n v="0"/>
    <n v="478"/>
    <n v="0"/>
    <n v="0"/>
    <x v="1"/>
    <n v="0"/>
    <n v="0"/>
    <m/>
    <n v="0"/>
    <n v="0"/>
    <n v="0"/>
    <m/>
    <n v="1"/>
    <n v="0"/>
    <n v="0"/>
    <n v="-0.53"/>
    <n v="0"/>
    <n v="0"/>
    <d v="1899-12-30T00:00:00"/>
    <x v="5"/>
    <s v=""/>
    <n v="0"/>
    <m/>
  </r>
  <r>
    <x v="0"/>
    <x v="3"/>
    <x v="2"/>
    <s v="Control Buffers.xlsm"/>
    <s v="IN-0028"/>
    <s v="AGROTAFIX  X 250 ML"/>
    <s v="TERMINADO"/>
    <s v="FIJADORES"/>
    <m/>
    <m/>
    <s v="Retirar el exceso de sueltos(estan en combos)"/>
    <m/>
    <n v="0.43"/>
    <n v="0"/>
    <n v="21"/>
    <n v="20"/>
    <n v="0"/>
    <x v="2"/>
    <n v="1"/>
    <n v="0"/>
    <m/>
    <n v="0"/>
    <n v="0"/>
    <n v="20"/>
    <m/>
    <n v="81"/>
    <n v="-3.01"/>
    <n v="0"/>
    <n v="-0.28999999999999998"/>
    <n v="0"/>
    <n v="0"/>
    <d v="2010-09-20T00:00:00"/>
    <x v="5"/>
    <n v="1"/>
    <n v="0"/>
    <m/>
  </r>
  <r>
    <x v="0"/>
    <x v="3"/>
    <x v="2"/>
    <s v="Control Buffers.xlsm"/>
    <s v="IN-34"/>
    <s v="AGROTAFOL 10-15-30-5 ENGROSE X KG"/>
    <s v="TERMINADO"/>
    <s v="NUTRICIONAL"/>
    <m/>
    <m/>
    <m/>
    <m/>
    <n v="1.49"/>
    <n v="0"/>
    <n v="504"/>
    <n v="70"/>
    <n v="82"/>
    <x v="5"/>
    <n v="-0.17"/>
    <n v="0"/>
    <m/>
    <n v="0"/>
    <n v="82"/>
    <n v="0"/>
    <m/>
    <n v="281"/>
    <n v="0"/>
    <n v="17.88"/>
    <n v="0"/>
    <n v="0"/>
    <n v="0"/>
    <d v="2010-09-20T00:00:00"/>
    <x v="5"/>
    <n v="-0.17142857142857143"/>
    <n v="0"/>
    <m/>
  </r>
  <r>
    <x v="0"/>
    <x v="3"/>
    <x v="2"/>
    <s v="Control Buffers.xlsm"/>
    <s v="IN-35"/>
    <s v="AGROTAFOL 15-30-15 FLORACION X KG"/>
    <s v="TERMINADO"/>
    <s v="NUTRICIONAL"/>
    <m/>
    <m/>
    <m/>
    <m/>
    <n v="1.76"/>
    <n v="0"/>
    <n v="575"/>
    <n v="70"/>
    <n v="83"/>
    <x v="5"/>
    <n v="-0.19"/>
    <n v="0"/>
    <m/>
    <n v="0"/>
    <n v="83"/>
    <n v="0"/>
    <m/>
    <n v="281"/>
    <n v="0"/>
    <n v="22.88"/>
    <n v="0"/>
    <n v="0"/>
    <n v="0"/>
    <d v="2010-08-06T00:00:00"/>
    <x v="5"/>
    <n v="-0.18571428571428572"/>
    <n v="0"/>
    <m/>
  </r>
  <r>
    <x v="0"/>
    <x v="3"/>
    <x v="2"/>
    <s v="Control Buffers.xlsm"/>
    <s v="IN-32"/>
    <s v="AGROTAFOL 15-40-15-10 INICIAL X KG"/>
    <s v="TERMINADO"/>
    <s v="NUTRICIONAL"/>
    <m/>
    <m/>
    <m/>
    <m/>
    <n v="1.6"/>
    <n v="0"/>
    <n v="233"/>
    <n v="70"/>
    <n v="103"/>
    <x v="5"/>
    <n v="-0.47"/>
    <n v="0"/>
    <m/>
    <n v="0"/>
    <n v="103"/>
    <n v="0"/>
    <m/>
    <n v="281"/>
    <n v="0"/>
    <n v="52.800000000000004"/>
    <n v="0"/>
    <n v="0"/>
    <n v="0"/>
    <d v="1899-12-30T00:00:00"/>
    <x v="5"/>
    <n v="-0.47142857142857142"/>
    <n v="0"/>
    <m/>
  </r>
  <r>
    <x v="0"/>
    <x v="3"/>
    <x v="2"/>
    <s v="Control Buffers.xlsm"/>
    <s v="IN-33"/>
    <s v="AGROTAFOL 30-10-10-20 DESARROLLO X KG"/>
    <s v="TERMINADO"/>
    <s v="NUTRICIONAL"/>
    <m/>
    <m/>
    <m/>
    <m/>
    <n v="1.5"/>
    <n v="0"/>
    <n v="481"/>
    <n v="70"/>
    <n v="127"/>
    <x v="5"/>
    <n v="-0.81"/>
    <n v="0"/>
    <m/>
    <n v="0"/>
    <n v="127"/>
    <n v="0"/>
    <m/>
    <n v="281"/>
    <n v="0"/>
    <n v="85.5"/>
    <n v="0"/>
    <n v="0"/>
    <n v="0"/>
    <d v="2010-09-20T00:00:00"/>
    <x v="5"/>
    <n v="-0.81428571428571428"/>
    <n v="0"/>
    <m/>
  </r>
  <r>
    <x v="0"/>
    <x v="3"/>
    <x v="2"/>
    <s v="Control Buffers.xlsm"/>
    <s v="IN-104"/>
    <s v="AGROTAFOL BORO X 250 ML"/>
    <s v="TERMINADO"/>
    <s v="NUTRICIONAL"/>
    <m/>
    <m/>
    <m/>
    <m/>
    <n v="0.92"/>
    <n v="0"/>
    <n v="495"/>
    <m/>
    <n v="4"/>
    <x v="1"/>
    <n v="0"/>
    <n v="0"/>
    <m/>
    <n v="0"/>
    <n v="4"/>
    <n v="0"/>
    <m/>
    <n v="1"/>
    <n v="0"/>
    <n v="0"/>
    <n v="0.48"/>
    <n v="0"/>
    <n v="0"/>
    <d v="1899-12-30T00:00:00"/>
    <x v="5"/>
    <s v=""/>
    <n v="0"/>
    <m/>
  </r>
  <r>
    <x v="0"/>
    <x v="3"/>
    <x v="2"/>
    <s v="Control Buffers.xlsm"/>
    <s v="IN-092"/>
    <s v="AGROTAFOL BORO X LT"/>
    <s v="TERMINADO"/>
    <s v="NUTRICIONAL"/>
    <m/>
    <m/>
    <s v="Retirar el exceso(39 sueltos)"/>
    <m/>
    <n v="3.09"/>
    <n v="0"/>
    <n v="86"/>
    <n v="50"/>
    <n v="80"/>
    <x v="5"/>
    <n v="-0.6"/>
    <n v="0"/>
    <m/>
    <n v="0"/>
    <n v="80"/>
    <n v="0"/>
    <m/>
    <n v="201"/>
    <n v="0"/>
    <n v="92.699999999999989"/>
    <n v="2.58"/>
    <n v="0"/>
    <n v="0"/>
    <d v="2010-09-20T00:00:00"/>
    <x v="5"/>
    <n v="-0.6"/>
    <n v="0"/>
    <m/>
  </r>
  <r>
    <x v="0"/>
    <x v="3"/>
    <x v="2"/>
    <s v="Control Buffers.xlsm"/>
    <s v="IN - 126"/>
    <s v="AGROTAFOL COMBI X 200 G"/>
    <s v="TERMINADO"/>
    <s v="NUTRICIONAL"/>
    <m/>
    <m/>
    <m/>
    <m/>
    <n v="0.47"/>
    <n v="0"/>
    <n v="179"/>
    <n v="80"/>
    <n v="177"/>
    <x v="5"/>
    <n v="-1.21"/>
    <n v="0"/>
    <m/>
    <n v="0"/>
    <n v="177"/>
    <n v="0"/>
    <m/>
    <n v="321"/>
    <n v="0"/>
    <n v="45.589999999999996"/>
    <n v="2.2000000000000002"/>
    <n v="0"/>
    <n v="0"/>
    <d v="2010-08-06T00:00:00"/>
    <x v="5"/>
    <n v="-1.2124999999999999"/>
    <n v="0"/>
    <m/>
  </r>
  <r>
    <x v="0"/>
    <x v="3"/>
    <x v="2"/>
    <s v="Control Buffers.xlsm"/>
    <s v="IN-0008"/>
    <s v="AGROTAFOL FOSFITO X 500 ML"/>
    <s v="TERMINADO"/>
    <s v="NUTRICIONAL"/>
    <m/>
    <m/>
    <s v="Retirar el exceso (22 sueltos)"/>
    <m/>
    <n v="2.37"/>
    <n v="0"/>
    <n v="95"/>
    <n v="40"/>
    <n v="60"/>
    <x v="5"/>
    <n v="-0.5"/>
    <n v="0"/>
    <m/>
    <n v="0"/>
    <n v="60"/>
    <n v="0"/>
    <m/>
    <n v="161"/>
    <n v="0"/>
    <n v="47.400000000000006"/>
    <n v="2"/>
    <n v="0"/>
    <n v="0"/>
    <d v="2010-09-20T00:00:00"/>
    <x v="5"/>
    <n v="-0.5"/>
    <n v="0"/>
    <m/>
  </r>
  <r>
    <x v="0"/>
    <x v="3"/>
    <x v="2"/>
    <s v="Control Buffers.xlsm"/>
    <s v="IN-043"/>
    <s v="AGROTAFOL FOSFITO X LT"/>
    <s v="TERMINADO"/>
    <s v="NUTRICIONAL"/>
    <m/>
    <m/>
    <s v="Retirar el exceso ( 30 sueltos)"/>
    <m/>
    <n v="4.63"/>
    <n v="0"/>
    <n v="49"/>
    <n v="40"/>
    <n v="91"/>
    <x v="5"/>
    <n v="-1.28"/>
    <n v="0"/>
    <m/>
    <n v="0"/>
    <n v="91"/>
    <n v="0"/>
    <m/>
    <n v="161"/>
    <n v="0"/>
    <n v="236.13"/>
    <n v="1.1200000000000001"/>
    <n v="0"/>
    <n v="0"/>
    <d v="2010-09-20T00:00:00"/>
    <x v="5"/>
    <n v="-1.2749999999999999"/>
    <n v="0"/>
    <m/>
  </r>
  <r>
    <x v="0"/>
    <x v="3"/>
    <x v="2"/>
    <s v="Control Buffers.xlsm"/>
    <s v="IN-048"/>
    <s v="AGROTAFOL K PLUS X LT"/>
    <s v="TERMINADO"/>
    <s v="NUTRICIONAL"/>
    <m/>
    <m/>
    <m/>
    <m/>
    <n v="3.34"/>
    <n v="0"/>
    <n v="297"/>
    <n v="20"/>
    <n v="19"/>
    <x v="4"/>
    <n v="0.05"/>
    <n v="0"/>
    <m/>
    <n v="0"/>
    <n v="19"/>
    <n v="1"/>
    <m/>
    <n v="81"/>
    <n v="0"/>
    <n v="0"/>
    <n v="1.28"/>
    <n v="0"/>
    <n v="0"/>
    <d v="1899-12-30T00:00:00"/>
    <x v="5"/>
    <n v="0.05"/>
    <n v="0"/>
    <m/>
  </r>
  <r>
    <x v="0"/>
    <x v="3"/>
    <x v="2"/>
    <s v="Control Buffers.xlsm"/>
    <s v="IN-00102"/>
    <s v="AGROTAFOL SUPER X KG"/>
    <s v="TERMINADO"/>
    <s v="NUTRICIONAL"/>
    <m/>
    <m/>
    <s v="Retirar el exceso (24 sueltos)"/>
    <m/>
    <n v="1.77"/>
    <n v="0"/>
    <n v="20"/>
    <n v="50"/>
    <n v="68"/>
    <x v="5"/>
    <n v="-0.36"/>
    <n v="0"/>
    <m/>
    <n v="0"/>
    <n v="68"/>
    <n v="0"/>
    <m/>
    <n v="201"/>
    <n v="0"/>
    <n v="31.86"/>
    <n v="0"/>
    <n v="0"/>
    <n v="0"/>
    <d v="2010-09-20T00:00:00"/>
    <x v="5"/>
    <n v="-0.36"/>
    <n v="0"/>
    <m/>
  </r>
  <r>
    <x v="0"/>
    <x v="3"/>
    <x v="2"/>
    <s v="Control Buffers.xlsm"/>
    <s v="IN-30"/>
    <s v="AGROTAFOL ZINC X LT"/>
    <s v="TERMINADO"/>
    <s v="NUTRICIONAL"/>
    <m/>
    <m/>
    <s v="Retirar el exceso (40 en combos D e I)"/>
    <m/>
    <n v="5.35"/>
    <n v="0"/>
    <n v="192"/>
    <n v="20"/>
    <n v="30"/>
    <x v="5"/>
    <n v="-0.5"/>
    <n v="0"/>
    <m/>
    <n v="0"/>
    <n v="30"/>
    <n v="0"/>
    <m/>
    <n v="81"/>
    <n v="0"/>
    <n v="53.5"/>
    <n v="0.69"/>
    <n v="0"/>
    <n v="0"/>
    <d v="2010-09-20T00:00:00"/>
    <x v="5"/>
    <n v="-0.5"/>
    <n v="0"/>
    <m/>
  </r>
  <r>
    <x v="0"/>
    <x v="3"/>
    <x v="2"/>
    <s v="Control Buffers.xlsm"/>
    <s v="IN-139"/>
    <s v="AGROTAZOLE 25% EC  X LT"/>
    <s v="TERMINADO "/>
    <s v="FUNGICIDAS"/>
    <m/>
    <m/>
    <s v="Retirar todo ( todo)"/>
    <m/>
    <n v="10.35"/>
    <n v="0"/>
    <n v="0"/>
    <n v="0"/>
    <n v="0"/>
    <x v="1"/>
    <n v="0"/>
    <n v="0"/>
    <m/>
    <n v="0"/>
    <n v="0"/>
    <n v="0"/>
    <m/>
    <n v="1"/>
    <n v="0"/>
    <n v="0"/>
    <n v="0"/>
    <n v="0"/>
    <n v="0"/>
    <d v="1899-12-30T00:00:00"/>
    <x v="5"/>
    <s v=""/>
    <n v="0"/>
    <m/>
  </r>
  <r>
    <x v="0"/>
    <x v="3"/>
    <x v="2"/>
    <s v="Control Buffers.xlsm"/>
    <s v="IN-140"/>
    <s v="AGROVERDOL X 500 ML"/>
    <s v="TERMINADO"/>
    <s v="NUTRICIONAL"/>
    <m/>
    <m/>
    <s v="Retirar el exceso(estan en combo D e I falta 11 de mandar)"/>
    <m/>
    <n v="1.76"/>
    <n v="0"/>
    <n v="780"/>
    <n v="40"/>
    <n v="108"/>
    <x v="5"/>
    <n v="-1.7"/>
    <n v="0"/>
    <m/>
    <n v="0"/>
    <n v="108"/>
    <n v="0"/>
    <m/>
    <n v="161"/>
    <n v="0"/>
    <n v="119.68"/>
    <n v="1.5"/>
    <n v="0"/>
    <n v="0"/>
    <d v="2010-09-20T00:00:00"/>
    <x v="5"/>
    <n v="-1.7"/>
    <n v="0"/>
    <m/>
  </r>
  <r>
    <x v="0"/>
    <x v="3"/>
    <x v="2"/>
    <s v="Control Buffers.xlsm"/>
    <s v="IN-141"/>
    <s v="AGROVERDOL X LT"/>
    <s v="TERMINADO"/>
    <s v="NUTRICIONAL"/>
    <m/>
    <m/>
    <s v="Retirar el exceso(esta bien)"/>
    <m/>
    <n v="3.38"/>
    <n v="0"/>
    <n v="479"/>
    <n v="60"/>
    <n v="102"/>
    <x v="5"/>
    <n v="-0.7"/>
    <n v="0"/>
    <m/>
    <n v="0"/>
    <n v="102"/>
    <n v="0"/>
    <m/>
    <n v="241"/>
    <n v="0"/>
    <n v="141.96"/>
    <n v="2.3199999999999998"/>
    <n v="0"/>
    <n v="0"/>
    <d v="2010-09-20T00:00:00"/>
    <x v="5"/>
    <n v="-0.7"/>
    <n v="0"/>
    <m/>
  </r>
  <r>
    <x v="0"/>
    <x v="3"/>
    <x v="2"/>
    <s v="Control Buffers.xlsm"/>
    <s v="QUIM-011"/>
    <s v="ANIQUILADOR X 100 ML"/>
    <s v="TERMINADO"/>
    <s v="INSECTICIDAS"/>
    <m/>
    <m/>
    <m/>
    <m/>
    <n v="1.01"/>
    <n v="0"/>
    <n v="1777"/>
    <m/>
    <n v="61"/>
    <x v="1"/>
    <n v="0"/>
    <n v="0"/>
    <m/>
    <n v="0"/>
    <n v="61"/>
    <n v="0"/>
    <m/>
    <n v="1"/>
    <n v="0"/>
    <n v="0"/>
    <n v="0.35"/>
    <n v="0"/>
    <n v="0"/>
    <d v="1899-12-30T00:00:00"/>
    <x v="5"/>
    <s v=""/>
    <n v="0"/>
    <m/>
  </r>
  <r>
    <x v="0"/>
    <x v="3"/>
    <x v="2"/>
    <s v="Control Buffers.xlsm"/>
    <s v="QUIM-010"/>
    <s v="ANIQUILADOR X LT"/>
    <s v="TERMINADO"/>
    <s v="INSECTICIDAS"/>
    <m/>
    <m/>
    <s v="Retirar el exceso(retirar 9)"/>
    <m/>
    <n v="8.51"/>
    <n v="0"/>
    <n v="39"/>
    <n v="30"/>
    <n v="42"/>
    <x v="5"/>
    <n v="-0.4"/>
    <n v="0"/>
    <m/>
    <n v="0"/>
    <n v="42"/>
    <n v="0"/>
    <m/>
    <n v="121"/>
    <n v="0"/>
    <n v="102.12"/>
    <n v="5.4"/>
    <n v="0"/>
    <n v="0"/>
    <d v="2010-08-06T00:00:00"/>
    <x v="5"/>
    <n v="-0.4"/>
    <n v="0"/>
    <m/>
  </r>
  <r>
    <x v="0"/>
    <x v="3"/>
    <x v="2"/>
    <s v="Control Buffers.xlsm"/>
    <s v="IN-0012"/>
    <s v="BUCANER X 250 ML"/>
    <s v="TERMINADO "/>
    <s v="FUNGICIDAS"/>
    <m/>
    <m/>
    <m/>
    <m/>
    <n v="1.35"/>
    <n v="0"/>
    <n v="465"/>
    <m/>
    <n v="57"/>
    <x v="1"/>
    <n v="0"/>
    <n v="0"/>
    <m/>
    <n v="0"/>
    <n v="57"/>
    <n v="0"/>
    <m/>
    <n v="1"/>
    <n v="0"/>
    <n v="0"/>
    <n v="1.52"/>
    <n v="0"/>
    <n v="0"/>
    <d v="1899-12-30T00:00:00"/>
    <x v="5"/>
    <s v=""/>
    <n v="0"/>
    <m/>
  </r>
  <r>
    <x v="0"/>
    <x v="3"/>
    <x v="2"/>
    <s v="Control Buffers.xlsm"/>
    <s v="IN-0011"/>
    <s v="BUCANER X LT"/>
    <s v="TERMINADO "/>
    <s v="FUNGICIDAS"/>
    <m/>
    <m/>
    <s v="Retirar el exceso(esta bien)"/>
    <m/>
    <n v="4.5598999999999998"/>
    <n v="0"/>
    <n v="42"/>
    <n v="30"/>
    <n v="27"/>
    <x v="4"/>
    <n v="0.1"/>
    <n v="0"/>
    <m/>
    <n v="0"/>
    <n v="27"/>
    <n v="3"/>
    <m/>
    <n v="121"/>
    <n v="0"/>
    <n v="0"/>
    <n v="3.38"/>
    <n v="0"/>
    <n v="0"/>
    <d v="2010-09-20T00:00:00"/>
    <x v="5"/>
    <n v="0.1"/>
    <n v="0"/>
    <m/>
  </r>
  <r>
    <x v="0"/>
    <x v="3"/>
    <x v="2"/>
    <s v="Control Buffers.xlsm"/>
    <s v="IN-1441"/>
    <s v="CIROMAZINA FRONTEAGRO X 50 G"/>
    <s v="TERMINADO"/>
    <s v="INSECTICIDAS"/>
    <m/>
    <m/>
    <m/>
    <m/>
    <n v="2.63"/>
    <n v="0"/>
    <n v="0"/>
    <n v="200"/>
    <n v="23"/>
    <x v="0"/>
    <n v="0.89"/>
    <n v="0"/>
    <m/>
    <n v="0"/>
    <n v="23"/>
    <n v="177"/>
    <m/>
    <n v="801"/>
    <n v="-115.72"/>
    <n v="0"/>
    <n v="0"/>
    <n v="0"/>
    <n v="0"/>
    <d v="2010-09-20T00:00:00"/>
    <x v="5"/>
    <n v="0.88500000000000001"/>
    <n v="0"/>
    <m/>
  </r>
  <r>
    <x v="0"/>
    <x v="3"/>
    <x v="2"/>
    <s v="Control Buffers.xlsm"/>
    <s v="F-011"/>
    <s v="IMPULMAX X 250 ML"/>
    <s v="TERMINADO"/>
    <s v="NUTRICIONAL"/>
    <m/>
    <m/>
    <m/>
    <m/>
    <n v="1.87"/>
    <n v="0"/>
    <n v="542"/>
    <n v="10"/>
    <n v="24"/>
    <x v="5"/>
    <n v="-1.4"/>
    <n v="0"/>
    <m/>
    <n v="0"/>
    <n v="24"/>
    <n v="0"/>
    <m/>
    <n v="41"/>
    <n v="0"/>
    <n v="26.18"/>
    <n v="-0.6"/>
    <n v="0"/>
    <n v="0"/>
    <d v="2010-09-20T00:00:00"/>
    <x v="5"/>
    <n v="-1.4"/>
    <n v="0"/>
    <m/>
  </r>
  <r>
    <x v="0"/>
    <x v="3"/>
    <x v="2"/>
    <s v="Control Buffers.xlsm"/>
    <s v="F-005"/>
    <s v="IMPULMAX X LT"/>
    <s v="TERMINADO"/>
    <s v="NUTRICIONAL"/>
    <m/>
    <m/>
    <s v="Retirar el exceso( retirar 4)"/>
    <m/>
    <n v="9.9"/>
    <n v="0"/>
    <n v="67"/>
    <n v="30"/>
    <n v="19"/>
    <x v="3"/>
    <n v="0.37"/>
    <n v="0"/>
    <m/>
    <n v="0"/>
    <n v="19"/>
    <n v="11"/>
    <m/>
    <n v="121"/>
    <n v="0"/>
    <n v="0"/>
    <n v="2.82"/>
    <n v="0"/>
    <n v="0"/>
    <d v="2010-08-06T00:00:00"/>
    <x v="5"/>
    <n v="0.36666666666666664"/>
    <n v="0"/>
    <m/>
  </r>
  <r>
    <x v="0"/>
    <x v="3"/>
    <x v="2"/>
    <s v="Control Buffers.xlsm"/>
    <s v="IN-81"/>
    <s v="KEMADOR X LT"/>
    <s v="TERMINADO "/>
    <s v="HERBICIDAS"/>
    <m/>
    <m/>
    <s v="Retirar el exceso(retirar 30)"/>
    <m/>
    <n v="3.47"/>
    <n v="0"/>
    <n v="143"/>
    <n v="40"/>
    <n v="53"/>
    <x v="5"/>
    <n v="-0.33"/>
    <n v="0"/>
    <m/>
    <n v="0"/>
    <n v="53"/>
    <n v="0"/>
    <m/>
    <n v="161"/>
    <n v="0"/>
    <n v="45.11"/>
    <n v="0.81"/>
    <n v="0"/>
    <n v="0"/>
    <d v="2010-09-20T00:00:00"/>
    <x v="5"/>
    <n v="-0.32500000000000001"/>
    <n v="0"/>
    <m/>
  </r>
  <r>
    <x v="0"/>
    <x v="3"/>
    <x v="2"/>
    <s v="Control Buffers.xlsm"/>
    <s v="01-00102"/>
    <s v="LACURA X LT"/>
    <s v="TERMINADO "/>
    <s v="FUNGICIDAS"/>
    <m/>
    <m/>
    <s v="Retirar todo"/>
    <m/>
    <n v="0"/>
    <n v="0"/>
    <n v="0"/>
    <n v="0"/>
    <n v="10"/>
    <x v="1"/>
    <n v="0"/>
    <n v="0"/>
    <m/>
    <n v="0"/>
    <n v="10"/>
    <n v="0"/>
    <m/>
    <n v="1"/>
    <n v="0"/>
    <n v="0"/>
    <n v="0"/>
    <n v="0"/>
    <n v="0"/>
    <d v="1899-12-30T00:00:00"/>
    <x v="5"/>
    <s v=""/>
    <n v="0"/>
    <m/>
  </r>
  <r>
    <x v="0"/>
    <x v="3"/>
    <x v="2"/>
    <s v="Control Buffers.xlsm"/>
    <s v="IN-378"/>
    <s v="PARALANCHA BLUE X 500 G"/>
    <s v="TERMINADO "/>
    <s v="FUNGICIDAS"/>
    <m/>
    <m/>
    <m/>
    <m/>
    <n v="4.74"/>
    <n v="0"/>
    <n v="102"/>
    <n v="20"/>
    <n v="20"/>
    <x v="4"/>
    <n v="0"/>
    <n v="0"/>
    <m/>
    <n v="0"/>
    <n v="20"/>
    <n v="0"/>
    <m/>
    <n v="81"/>
    <n v="0"/>
    <n v="0"/>
    <n v="0.63"/>
    <n v="0"/>
    <n v="0"/>
    <d v="2010-09-20T00:00:00"/>
    <x v="5"/>
    <n v="0"/>
    <n v="0"/>
    <m/>
  </r>
  <r>
    <x v="0"/>
    <x v="3"/>
    <x v="2"/>
    <s v="Control Buffers.xlsm"/>
    <s v="QUIM-022"/>
    <s v="PARALANCHA X 500 G"/>
    <s v="TERMINADO "/>
    <s v="FUNGICIDAS"/>
    <m/>
    <m/>
    <m/>
    <m/>
    <n v="4.6500000000000004"/>
    <n v="0"/>
    <n v="388"/>
    <n v="40"/>
    <n v="40"/>
    <x v="4"/>
    <n v="0"/>
    <n v="0"/>
    <m/>
    <n v="0"/>
    <n v="40"/>
    <n v="0"/>
    <m/>
    <n v="161"/>
    <n v="0"/>
    <n v="0"/>
    <n v="0.71"/>
    <n v="0"/>
    <n v="0"/>
    <d v="2010-08-06T00:00:00"/>
    <x v="5"/>
    <n v="0"/>
    <n v="0"/>
    <m/>
  </r>
  <r>
    <x v="0"/>
    <x v="3"/>
    <x v="2"/>
    <s v="Control Buffers.xlsm"/>
    <s v="IN-6669"/>
    <s v="PROPILAQ X LITRO"/>
    <s v="TERMINADO "/>
    <s v="FUNGICIDAS"/>
    <m/>
    <m/>
    <m/>
    <m/>
    <n v="13.01"/>
    <n v="0"/>
    <n v="86"/>
    <n v="10"/>
    <n v="62"/>
    <x v="5"/>
    <n v="-5.2"/>
    <n v="0"/>
    <m/>
    <n v="0"/>
    <n v="62"/>
    <n v="0"/>
    <m/>
    <n v="41"/>
    <n v="0"/>
    <n v="676.52"/>
    <n v="0.19"/>
    <n v="0"/>
    <n v="0"/>
    <d v="1899-12-30T00:00:00"/>
    <x v="5"/>
    <n v="-5.2"/>
    <n v="0"/>
    <m/>
  </r>
  <r>
    <x v="0"/>
    <x v="3"/>
    <x v="2"/>
    <s v="Control Buffers.xlsm"/>
    <s v="IN - 127"/>
    <s v="RAIZ FORTE X LT"/>
    <s v="TERMINADO"/>
    <s v="NUTRICIONAL"/>
    <m/>
    <m/>
    <m/>
    <m/>
    <n v="2.77"/>
    <n v="0"/>
    <n v="356"/>
    <n v="45"/>
    <n v="39"/>
    <x v="4"/>
    <n v="0.13"/>
    <n v="0"/>
    <m/>
    <n v="0"/>
    <n v="39"/>
    <n v="6"/>
    <m/>
    <n v="181"/>
    <n v="0"/>
    <n v="0"/>
    <n v="1.99"/>
    <n v="0"/>
    <n v="0"/>
    <d v="2010-04-20T00:00:00"/>
    <x v="5"/>
    <n v="0.13333333333333333"/>
    <n v="0"/>
    <m/>
  </r>
  <r>
    <x v="0"/>
    <x v="3"/>
    <x v="2"/>
    <s v="Control Buffers.xlsm"/>
    <s v="IN-6611"/>
    <s v="RIDONATE X LITRO"/>
    <s v="TERMINADO "/>
    <s v="FUNGICIDAS"/>
    <m/>
    <m/>
    <m/>
    <m/>
    <n v="6.59"/>
    <n v="0"/>
    <n v="47"/>
    <n v="10"/>
    <n v="11"/>
    <x v="5"/>
    <n v="-0.1"/>
    <n v="0"/>
    <m/>
    <n v="0"/>
    <n v="11"/>
    <n v="0"/>
    <m/>
    <n v="41"/>
    <n v="0"/>
    <n v="6.59"/>
    <n v="0.68"/>
    <n v="0"/>
    <n v="0"/>
    <d v="1899-12-30T00:00:00"/>
    <x v="5"/>
    <n v="-0.1"/>
    <n v="0"/>
    <m/>
  </r>
  <r>
    <x v="0"/>
    <x v="3"/>
    <x v="2"/>
    <s v="Control Buffers.xlsm"/>
    <s v="IN-040"/>
    <s v="SCOBA COEX X LT"/>
    <s v="TERMINADO "/>
    <s v="FUNGICIDAS"/>
    <m/>
    <m/>
    <m/>
    <m/>
    <n v="24.47"/>
    <n v="0"/>
    <n v="100"/>
    <n v="80"/>
    <n v="0"/>
    <x v="2"/>
    <n v="1"/>
    <n v="0"/>
    <m/>
    <n v="0"/>
    <n v="0"/>
    <n v="80"/>
    <m/>
    <n v="321"/>
    <n v="-660.68999999999994"/>
    <n v="0"/>
    <n v="2"/>
    <n v="0"/>
    <n v="0"/>
    <d v="2010-08-06T00:00:00"/>
    <x v="5"/>
    <n v="1"/>
    <n v="0"/>
    <m/>
  </r>
  <r>
    <x v="0"/>
    <x v="3"/>
    <x v="2"/>
    <s v="Control Buffers.xlsm"/>
    <s v="IN-037"/>
    <s v="SCOBA X 250 ML"/>
    <s v="TERMINADO "/>
    <s v="FUNGICIDAS"/>
    <m/>
    <m/>
    <s v="Retirar el exceso(15 retirar)"/>
    <m/>
    <n v="3.84"/>
    <n v="0"/>
    <n v="58"/>
    <n v="25"/>
    <n v="20"/>
    <x v="4"/>
    <n v="0.2"/>
    <n v="0"/>
    <m/>
    <n v="0"/>
    <n v="20"/>
    <n v="5"/>
    <m/>
    <n v="101"/>
    <n v="0"/>
    <n v="0"/>
    <n v="3.09"/>
    <n v="0"/>
    <n v="0"/>
    <d v="2010-09-20T00:00:00"/>
    <x v="5"/>
    <n v="0.2"/>
    <n v="0"/>
    <m/>
  </r>
  <r>
    <x v="0"/>
    <x v="3"/>
    <x v="2"/>
    <s v="Control Buffers.xlsm"/>
    <s v="QUIM-008"/>
    <s v="SINOPRID X 100 G"/>
    <s v="TERMINADO"/>
    <s v="INSECTICIDAS"/>
    <m/>
    <m/>
    <m/>
    <m/>
    <n v="1.24"/>
    <n v="0"/>
    <n v="414"/>
    <n v="300"/>
    <n v="556"/>
    <x v="5"/>
    <n v="-0.85"/>
    <n v="0"/>
    <m/>
    <n v="0"/>
    <n v="556"/>
    <n v="0"/>
    <m/>
    <n v="1201"/>
    <n v="0"/>
    <n v="317.44"/>
    <n v="7.63"/>
    <n v="0"/>
    <n v="0"/>
    <d v="2010-09-20T00:00:00"/>
    <x v="5"/>
    <n v="-0.85333333333333339"/>
    <n v="0"/>
    <m/>
  </r>
  <r>
    <x v="0"/>
    <x v="3"/>
    <x v="2"/>
    <s v="Control Buffers.xlsm"/>
    <s v="INT-010"/>
    <s v="SINOTYL X 100 G"/>
    <s v="TERMINADO "/>
    <s v="FUNGICIDAS"/>
    <m/>
    <m/>
    <m/>
    <m/>
    <n v="0.72"/>
    <n v="0"/>
    <n v="0"/>
    <m/>
    <n v="80"/>
    <x v="1"/>
    <n v="0"/>
    <n v="0"/>
    <m/>
    <n v="0"/>
    <n v="80"/>
    <n v="0"/>
    <m/>
    <n v="1"/>
    <n v="0"/>
    <n v="0"/>
    <n v="3.79"/>
    <n v="0"/>
    <n v="0"/>
    <d v="1899-12-30T00:00:00"/>
    <x v="5"/>
    <s v=""/>
    <n v="0"/>
    <m/>
  </r>
  <r>
    <x v="0"/>
    <x v="3"/>
    <x v="2"/>
    <s v="Control Buffers.xlsm"/>
    <s v="QUIM-005"/>
    <s v="SINOTYL X KG"/>
    <s v="TERMINADO "/>
    <s v="FUNGICIDAS"/>
    <m/>
    <m/>
    <m/>
    <m/>
    <n v="6.17"/>
    <n v="0"/>
    <n v="69"/>
    <n v="60"/>
    <n v="69"/>
    <x v="5"/>
    <n v="-0.15"/>
    <n v="0"/>
    <m/>
    <n v="0"/>
    <n v="69"/>
    <n v="0"/>
    <m/>
    <n v="241"/>
    <n v="0"/>
    <n v="55.53"/>
    <n v="1.45"/>
    <n v="0"/>
    <n v="0"/>
    <d v="2010-09-20T00:00:00"/>
    <x v="5"/>
    <n v="-0.15"/>
    <n v="0"/>
    <m/>
  </r>
  <r>
    <x v="0"/>
    <x v="3"/>
    <x v="2"/>
    <s v="Control Buffers.xlsm"/>
    <s v="QUIM-024"/>
    <s v="SINOZOX X 500 ML"/>
    <s v="TERMINADO"/>
    <s v="INSECTICIDAS"/>
    <m/>
    <m/>
    <s v="Retirar el exceso(retirar 10)"/>
    <m/>
    <n v="12"/>
    <n v="0"/>
    <n v="22"/>
    <n v="20"/>
    <n v="28"/>
    <x v="5"/>
    <n v="-0.4"/>
    <n v="0"/>
    <m/>
    <n v="0"/>
    <n v="28"/>
    <n v="0"/>
    <m/>
    <n v="81"/>
    <n v="0"/>
    <n v="96"/>
    <n v="0.51"/>
    <n v="0"/>
    <n v="0"/>
    <d v="2010-08-06T00:00:00"/>
    <x v="5"/>
    <n v="-0.4"/>
    <n v="0"/>
    <m/>
  </r>
  <r>
    <x v="0"/>
    <x v="3"/>
    <x v="2"/>
    <s v="Control Buffers.xlsm"/>
    <s v="IN-038"/>
    <s v="SKEKURA  X LT"/>
    <s v="TERMINADO "/>
    <s v="FUNGICIDAS"/>
    <m/>
    <m/>
    <m/>
    <m/>
    <n v="8.2799999999999994"/>
    <n v="0"/>
    <n v="2"/>
    <n v="60"/>
    <n v="69"/>
    <x v="5"/>
    <n v="-0.15"/>
    <n v="0"/>
    <m/>
    <n v="0"/>
    <n v="69"/>
    <n v="0"/>
    <m/>
    <n v="241"/>
    <n v="0"/>
    <n v="74.52"/>
    <n v="0"/>
    <n v="0"/>
    <n v="0"/>
    <d v="2010-09-20T00:00:00"/>
    <x v="5"/>
    <n v="-0.15"/>
    <n v="0"/>
    <m/>
  </r>
  <r>
    <x v="0"/>
    <x v="3"/>
    <x v="2"/>
    <s v="Control Buffers.xlsm"/>
    <s v="IN-352"/>
    <s v="SKEKURA WP X 200 G"/>
    <s v="TERMINADO "/>
    <s v="FUNGICIDAS"/>
    <m/>
    <m/>
    <m/>
    <m/>
    <n v="1.32"/>
    <n v="0"/>
    <n v="635"/>
    <n v="100"/>
    <n v="74"/>
    <x v="4"/>
    <n v="0.26"/>
    <n v="0"/>
    <m/>
    <n v="0"/>
    <n v="74"/>
    <n v="26"/>
    <m/>
    <n v="401"/>
    <n v="0"/>
    <n v="0"/>
    <n v="0.72"/>
    <n v="0"/>
    <n v="0"/>
    <d v="2010-09-20T00:00:00"/>
    <x v="5"/>
    <n v="0.26"/>
    <n v="0"/>
    <m/>
  </r>
  <r>
    <x v="0"/>
    <x v="3"/>
    <x v="2"/>
    <s v="Control Buffers.xlsm"/>
    <s v="QUIM-015"/>
    <s v="SKEMATA X 250 ML"/>
    <s v="TERMINADO"/>
    <s v="INSECTICIDAS"/>
    <m/>
    <m/>
    <s v="Retirar el exceso de sueltos(esta en todos los combos, falta de mandar 28)"/>
    <m/>
    <n v="1.31"/>
    <n v="0"/>
    <n v="1306"/>
    <n v="60"/>
    <n v="40"/>
    <x v="3"/>
    <n v="0.33"/>
    <n v="0"/>
    <m/>
    <n v="0"/>
    <n v="40"/>
    <n v="20"/>
    <m/>
    <n v="241"/>
    <n v="0"/>
    <n v="0"/>
    <n v="0.85"/>
    <n v="0"/>
    <n v="0"/>
    <d v="2010-09-20T00:00:00"/>
    <x v="5"/>
    <n v="0.33333333333333331"/>
    <n v="0"/>
    <m/>
  </r>
  <r>
    <x v="0"/>
    <x v="3"/>
    <x v="2"/>
    <s v="Control Buffers.xlsm"/>
    <s v="QUIM-013"/>
    <s v="SKEMATA X LT"/>
    <s v="TERMINADO"/>
    <s v="INSECTICIDAS"/>
    <m/>
    <m/>
    <m/>
    <m/>
    <n v="4.67"/>
    <n v="0"/>
    <n v="381"/>
    <n v="50"/>
    <n v="54"/>
    <x v="5"/>
    <n v="-0.08"/>
    <n v="0"/>
    <m/>
    <n v="0"/>
    <n v="54"/>
    <n v="0"/>
    <m/>
    <n v="201"/>
    <n v="0"/>
    <n v="18.68"/>
    <n v="0.53"/>
    <n v="0"/>
    <n v="0"/>
    <d v="2010-04-20T00:00:00"/>
    <x v="5"/>
    <n v="-0.08"/>
    <n v="0"/>
    <m/>
  </r>
  <r>
    <x v="0"/>
    <x v="3"/>
    <x v="2"/>
    <s v="Control Buffers.xlsm"/>
    <s v="IN-00126"/>
    <s v="TOKAL  400 X 100 ML"/>
    <s v="TERMINADO "/>
    <s v="HERBICIDAS"/>
    <m/>
    <m/>
    <m/>
    <m/>
    <n v="12.21"/>
    <n v="0"/>
    <n v="285"/>
    <n v="46"/>
    <n v="-12"/>
    <x v="6"/>
    <n v="1.26"/>
    <n v="0"/>
    <m/>
    <n v="0"/>
    <n v="-12"/>
    <n v="58"/>
    <m/>
    <n v="185"/>
    <n v="0"/>
    <n v="0"/>
    <n v="0"/>
    <n v="0"/>
    <n v="0"/>
    <d v="2010-08-11T00:00:00"/>
    <x v="5"/>
    <n v="1.2608695652173914"/>
    <n v="0"/>
    <m/>
  </r>
  <r>
    <x v="0"/>
    <x v="3"/>
    <x v="2"/>
    <s v="Control Buffers.xlsm"/>
    <s v="G-0010"/>
    <s v="VIRAFIN X LT"/>
    <s v="TERMINADO "/>
    <s v="INSECTICIDAS"/>
    <m/>
    <m/>
    <m/>
    <m/>
    <n v="63.41"/>
    <n v="0"/>
    <n v="0"/>
    <n v="4"/>
    <n v="1"/>
    <x v="0"/>
    <n v="0.75"/>
    <n v="0"/>
    <m/>
    <n v="0"/>
    <n v="1"/>
    <n v="3"/>
    <m/>
    <n v="17"/>
    <n v="0"/>
    <n v="0"/>
    <n v="0"/>
    <n v="0"/>
    <n v="0"/>
    <d v="1899-12-30T00:00:00"/>
    <x v="5"/>
    <n v="0.75"/>
    <n v="0"/>
    <m/>
  </r>
  <r>
    <x v="0"/>
    <x v="3"/>
    <x v="2"/>
    <s v="Control Buffers.xlsm"/>
    <s v="IN-130"/>
    <s v="YOGA X 100 ML"/>
    <s v="TERMINADO"/>
    <s v="INSECTICIDAS"/>
    <m/>
    <m/>
    <m/>
    <m/>
    <n v="1.28"/>
    <n v="0"/>
    <n v="6"/>
    <n v="40"/>
    <n v="0"/>
    <x v="2"/>
    <n v="1"/>
    <n v="0"/>
    <m/>
    <n v="0"/>
    <n v="0"/>
    <n v="40"/>
    <m/>
    <n v="161"/>
    <n v="-16.64"/>
    <n v="0"/>
    <n v="0"/>
    <n v="0"/>
    <n v="0"/>
    <d v="2010-08-06T00:00:00"/>
    <x v="5"/>
    <n v="1"/>
    <n v="0"/>
    <m/>
  </r>
  <r>
    <x v="0"/>
    <x v="3"/>
    <x v="2"/>
    <s v="Control Buffers.xlsm"/>
    <s v="IN-129"/>
    <s v="YOGA X LT"/>
    <s v="TERMINADO"/>
    <s v="INSECTICIDAS"/>
    <m/>
    <m/>
    <m/>
    <m/>
    <n v="14.82"/>
    <n v="0"/>
    <n v="7"/>
    <n v="20"/>
    <n v="0"/>
    <x v="2"/>
    <n v="1"/>
    <n v="0"/>
    <m/>
    <n v="0"/>
    <n v="0"/>
    <n v="20"/>
    <m/>
    <n v="81"/>
    <n v="-103.74000000000001"/>
    <n v="0"/>
    <n v="0"/>
    <n v="0"/>
    <n v="0"/>
    <d v="2010-04-20T00:00:00"/>
    <x v="5"/>
    <n v="1"/>
    <n v="0"/>
    <m/>
  </r>
  <r>
    <x v="0"/>
    <x v="3"/>
    <x v="2"/>
    <s v="Control Buffers.xlsm"/>
    <s v="IN-358"/>
    <s v="ZULLY 60 X 15G"/>
    <s v="TERMINADO"/>
    <s v="NUTRICIONAL"/>
    <m/>
    <m/>
    <m/>
    <m/>
    <n v="2.21"/>
    <n v="0"/>
    <n v="93"/>
    <n v="50"/>
    <n v="467"/>
    <x v="5"/>
    <n v="-8.34"/>
    <n v="0"/>
    <m/>
    <n v="0"/>
    <n v="467"/>
    <n v="0"/>
    <m/>
    <n v="201"/>
    <n v="0"/>
    <n v="921.56999999999994"/>
    <n v="0"/>
    <n v="0"/>
    <n v="0"/>
    <d v="2010-08-06T00:00:00"/>
    <x v="5"/>
    <n v="-8.34"/>
    <n v="0"/>
    <m/>
  </r>
  <r>
    <x v="0"/>
    <x v="4"/>
    <x v="2"/>
    <s v="Control Buffers.xlsm"/>
    <s v="IN-35"/>
    <s v="AGROTAFOL 15-30-15 FLORACION X KG"/>
    <s v="TERMINADO"/>
    <s v="NUTRICIONAL"/>
    <m/>
    <n v="0"/>
    <m/>
    <m/>
    <n v="1.76"/>
    <n v="0"/>
    <n v="575"/>
    <n v="25"/>
    <n v="8"/>
    <x v="0"/>
    <n v="0.68"/>
    <n v="0"/>
    <m/>
    <n v="0"/>
    <n v="8"/>
    <n v="17"/>
    <m/>
    <n v="101"/>
    <n v="0"/>
    <n v="0"/>
    <n v="0"/>
    <n v="0"/>
    <n v="0"/>
    <d v="1899-12-30T00:00:00"/>
    <x v="5"/>
    <n v="0.68"/>
    <n v="0"/>
    <m/>
  </r>
  <r>
    <x v="0"/>
    <x v="4"/>
    <x v="2"/>
    <s v="Control Buffers.xlsm"/>
    <s v="IN-32"/>
    <s v="AGROTAFOL 15-40-15-10 INICIAL X KG"/>
    <s v="TERMINADO"/>
    <s v="NUTRICIONAL"/>
    <m/>
    <n v="0"/>
    <m/>
    <m/>
    <n v="1.6"/>
    <n v="0"/>
    <n v="233"/>
    <n v="25"/>
    <n v="6"/>
    <x v="0"/>
    <n v="0.76"/>
    <n v="0"/>
    <m/>
    <n v="0"/>
    <n v="6"/>
    <n v="19"/>
    <m/>
    <n v="101"/>
    <n v="-3.2"/>
    <n v="0"/>
    <n v="0"/>
    <n v="0"/>
    <n v="0"/>
    <d v="1899-12-30T00:00:00"/>
    <x v="5"/>
    <n v="0.76"/>
    <n v="0"/>
    <m/>
  </r>
  <r>
    <x v="0"/>
    <x v="4"/>
    <x v="2"/>
    <s v="Control Buffers.xlsm"/>
    <s v="IN-104"/>
    <s v="AGROTAFOL BORO X 250 ML"/>
    <s v="TERMINADO"/>
    <s v="NUTRICIONAL"/>
    <m/>
    <n v="0"/>
    <m/>
    <m/>
    <n v="0.92"/>
    <n v="0"/>
    <n v="495"/>
    <n v="4"/>
    <n v="5"/>
    <x v="5"/>
    <n v="-0.25"/>
    <n v="0"/>
    <m/>
    <n v="0"/>
    <n v="5"/>
    <n v="0"/>
    <m/>
    <n v="17"/>
    <n v="0"/>
    <n v="0.92"/>
    <n v="0.48"/>
    <n v="0"/>
    <n v="0"/>
    <d v="2010-09-20T00:00:00"/>
    <x v="5"/>
    <n v="-0.25"/>
    <n v="0"/>
    <m/>
  </r>
  <r>
    <x v="0"/>
    <x v="4"/>
    <x v="2"/>
    <s v="Control Buffers.xlsm"/>
    <s v="IN-0007"/>
    <s v="AGROTAFOL BORO X 500 ML"/>
    <s v="TERMINADO"/>
    <s v="NUTRICIONAL"/>
    <m/>
    <n v="0"/>
    <m/>
    <m/>
    <n v="1.76"/>
    <n v="0"/>
    <n v="139"/>
    <n v="20"/>
    <n v="54"/>
    <x v="5"/>
    <n v="-1.7"/>
    <n v="0"/>
    <m/>
    <n v="0"/>
    <n v="54"/>
    <n v="0"/>
    <m/>
    <n v="81"/>
    <n v="0"/>
    <n v="59.84"/>
    <n v="2.4900000000000002"/>
    <n v="0"/>
    <n v="0"/>
    <d v="2010-09-20T00:00:00"/>
    <x v="5"/>
    <n v="-1.7"/>
    <n v="0"/>
    <m/>
  </r>
  <r>
    <x v="0"/>
    <x v="4"/>
    <x v="2"/>
    <s v="Control Buffers.xlsm"/>
    <s v="IN-092"/>
    <s v="AGROTAFOL BORO X LT"/>
    <s v="TERMINADO"/>
    <s v="NUTRICIONAL"/>
    <m/>
    <n v="0"/>
    <m/>
    <m/>
    <n v="3.09"/>
    <n v="0"/>
    <n v="86"/>
    <n v="8"/>
    <n v="27"/>
    <x v="5"/>
    <n v="-2.38"/>
    <n v="0"/>
    <m/>
    <n v="0"/>
    <n v="27"/>
    <n v="0"/>
    <m/>
    <n v="33"/>
    <n v="0"/>
    <n v="58.709999999999994"/>
    <n v="2.58"/>
    <n v="0"/>
    <n v="0"/>
    <d v="2010-09-20T00:00:00"/>
    <x v="5"/>
    <n v="-2.375"/>
    <n v="0"/>
    <m/>
  </r>
  <r>
    <x v="0"/>
    <x v="4"/>
    <x v="2"/>
    <s v="Control Buffers.xlsm"/>
    <s v="IN - 126"/>
    <s v="AGROTAFOL COMBI X 200 G"/>
    <s v="TERMINADO"/>
    <s v="NUTRICIONAL"/>
    <m/>
    <n v="0"/>
    <m/>
    <m/>
    <n v="0.47"/>
    <n v="0"/>
    <n v="179"/>
    <n v="20"/>
    <n v="43"/>
    <x v="5"/>
    <n v="-1.1499999999999999"/>
    <n v="0"/>
    <m/>
    <n v="0"/>
    <n v="43"/>
    <n v="0"/>
    <m/>
    <n v="81"/>
    <n v="0"/>
    <n v="10.809999999999999"/>
    <n v="2.2000000000000002"/>
    <n v="0"/>
    <n v="0"/>
    <d v="2010-09-20T00:00:00"/>
    <x v="5"/>
    <n v="-1.1499999999999999"/>
    <n v="0"/>
    <m/>
  </r>
  <r>
    <x v="0"/>
    <x v="4"/>
    <x v="2"/>
    <s v="Control Buffers.xlsm"/>
    <s v="IN-0004"/>
    <s v="AGROTAFOL K PLUS X 500 ML"/>
    <s v="TERMINADO"/>
    <s v="NUTRICIONAL"/>
    <m/>
    <n v="2"/>
    <m/>
    <m/>
    <n v="1.72"/>
    <n v="0"/>
    <n v="74"/>
    <n v="5"/>
    <n v="5"/>
    <x v="4"/>
    <n v="0"/>
    <n v="0"/>
    <m/>
    <n v="0"/>
    <n v="5"/>
    <n v="0"/>
    <m/>
    <n v="21"/>
    <n v="0"/>
    <n v="0"/>
    <n v="1.4"/>
    <n v="0"/>
    <n v="0"/>
    <d v="2010-04-13T00:00:00"/>
    <x v="5"/>
    <n v="0"/>
    <n v="0"/>
    <m/>
  </r>
  <r>
    <x v="0"/>
    <x v="4"/>
    <x v="2"/>
    <s v="Control Buffers.xlsm"/>
    <s v="IN-00102"/>
    <s v="AGROTAFOL SUPER X KG"/>
    <s v="TERMINADO"/>
    <s v="NUTRICIONAL"/>
    <m/>
    <n v="-2"/>
    <m/>
    <m/>
    <n v="1.77"/>
    <n v="0"/>
    <n v="20"/>
    <n v="15"/>
    <n v="4"/>
    <x v="0"/>
    <n v="0.73"/>
    <n v="0"/>
    <m/>
    <n v="0"/>
    <n v="4"/>
    <n v="11"/>
    <m/>
    <n v="61"/>
    <n v="-1.77"/>
    <n v="0"/>
    <n v="0"/>
    <n v="0"/>
    <n v="0"/>
    <d v="2010-09-20T00:00:00"/>
    <x v="5"/>
    <n v="0.73333333333333328"/>
    <n v="0"/>
    <m/>
  </r>
  <r>
    <x v="0"/>
    <x v="4"/>
    <x v="2"/>
    <s v="Control Buffers.xlsm"/>
    <s v="IN-140"/>
    <s v="AGROVERDOL X 500 ML"/>
    <s v="TERMINADO"/>
    <s v="NUTRICIONAL"/>
    <m/>
    <n v="0"/>
    <s v="Retirar el exceso"/>
    <m/>
    <n v="1.76"/>
    <n v="0"/>
    <n v="780"/>
    <n v="15"/>
    <n v="45"/>
    <x v="5"/>
    <n v="-2"/>
    <n v="0"/>
    <m/>
    <n v="0"/>
    <n v="45"/>
    <n v="0"/>
    <m/>
    <n v="61"/>
    <n v="0"/>
    <n v="52.8"/>
    <n v="1.5"/>
    <n v="0"/>
    <n v="0"/>
    <d v="2010-08-06T00:00:00"/>
    <x v="5"/>
    <n v="-2"/>
    <n v="0"/>
    <m/>
  </r>
  <r>
    <x v="0"/>
    <x v="4"/>
    <x v="2"/>
    <s v="Control Buffers.xlsm"/>
    <s v="IN-141"/>
    <s v="AGROVERDOL X LT"/>
    <s v="TERMINADO"/>
    <s v="NUTRICIONAL"/>
    <m/>
    <n v="0"/>
    <s v="Retirar el exceso"/>
    <m/>
    <n v="3.38"/>
    <n v="0"/>
    <n v="479"/>
    <n v="8"/>
    <n v="16"/>
    <x v="5"/>
    <n v="-1"/>
    <n v="0"/>
    <m/>
    <n v="0"/>
    <n v="16"/>
    <n v="0"/>
    <m/>
    <n v="33"/>
    <n v="0"/>
    <n v="27.04"/>
    <n v="2.3199999999999998"/>
    <n v="0"/>
    <n v="0"/>
    <d v="2010-09-20T00:00:00"/>
    <x v="5"/>
    <n v="-1"/>
    <n v="0"/>
    <m/>
  </r>
  <r>
    <x v="0"/>
    <x v="4"/>
    <x v="2"/>
    <s v="Control Buffers.xlsm"/>
    <s v="IN-0012"/>
    <s v="BUCANER X 250 ML"/>
    <s v="TERMINADO "/>
    <s v="FUNGICIDAS"/>
    <m/>
    <n v="0"/>
    <s v="Retirar el exceso"/>
    <m/>
    <n v="1.35"/>
    <n v="0"/>
    <n v="465"/>
    <n v="10"/>
    <n v="11"/>
    <x v="5"/>
    <n v="-0.1"/>
    <n v="0"/>
    <m/>
    <n v="0"/>
    <n v="11"/>
    <n v="0"/>
    <m/>
    <n v="41"/>
    <n v="0"/>
    <n v="1.35"/>
    <n v="1.52"/>
    <n v="0"/>
    <n v="0"/>
    <d v="2010-08-06T00:00:00"/>
    <x v="5"/>
    <n v="-0.1"/>
    <n v="0"/>
    <m/>
  </r>
  <r>
    <x v="0"/>
    <x v="4"/>
    <x v="2"/>
    <s v="Control Buffers.xlsm"/>
    <s v="QUIM-003"/>
    <s v="FULMINANTE  X 50 G"/>
    <s v="TERMINADO"/>
    <s v="INSECTICIDAS"/>
    <m/>
    <n v="-10"/>
    <m/>
    <m/>
    <n v="2.63"/>
    <n v="0"/>
    <n v="66"/>
    <n v="10"/>
    <n v="25"/>
    <x v="5"/>
    <n v="-1.5"/>
    <n v="0"/>
    <m/>
    <n v="0"/>
    <n v="25"/>
    <n v="0"/>
    <m/>
    <n v="41"/>
    <n v="0"/>
    <n v="39.449999999999996"/>
    <n v="0.56999999999999995"/>
    <n v="0"/>
    <n v="0"/>
    <d v="1899-12-30T00:00:00"/>
    <x v="5"/>
    <n v="-1.5"/>
    <n v="0"/>
    <m/>
  </r>
  <r>
    <x v="0"/>
    <x v="4"/>
    <x v="2"/>
    <s v="Control Buffers.xlsm"/>
    <s v="IN-362"/>
    <s v="ORGANIC POWER X 250 ML"/>
    <s v="TERMINADO"/>
    <s v="NUTRICIONAL"/>
    <m/>
    <n v="2"/>
    <m/>
    <m/>
    <n v="1.1000000000000001"/>
    <n v="0"/>
    <n v="88"/>
    <n v="5"/>
    <n v="2"/>
    <x v="0"/>
    <n v="0.6"/>
    <n v="0"/>
    <m/>
    <n v="0"/>
    <n v="2"/>
    <n v="3"/>
    <m/>
    <n v="21"/>
    <n v="0"/>
    <n v="0"/>
    <n v="2.63"/>
    <n v="0"/>
    <n v="0"/>
    <d v="2010-08-06T00:00:00"/>
    <x v="5"/>
    <n v="0.6"/>
    <n v="0"/>
    <m/>
  </r>
  <r>
    <x v="0"/>
    <x v="4"/>
    <x v="2"/>
    <s v="Control Buffers.xlsm"/>
    <s v="OT-693"/>
    <s v="ORGANIC POWER X LT"/>
    <s v="TERMINADO"/>
    <s v="NUTRICIONAL"/>
    <m/>
    <n v="0"/>
    <m/>
    <m/>
    <n v="3.3"/>
    <n v="0"/>
    <n v="169"/>
    <n v="10"/>
    <n v="7"/>
    <x v="3"/>
    <n v="0.3"/>
    <n v="0"/>
    <m/>
    <n v="0"/>
    <n v="7"/>
    <n v="3"/>
    <m/>
    <n v="41"/>
    <n v="0"/>
    <n v="0"/>
    <n v="2.54"/>
    <n v="0"/>
    <n v="0"/>
    <d v="2010-08-06T00:00:00"/>
    <x v="5"/>
    <n v="0.3"/>
    <n v="0"/>
    <m/>
  </r>
  <r>
    <x v="0"/>
    <x v="4"/>
    <x v="2"/>
    <s v="Control Buffers.xlsm"/>
    <s v="QUIM-022"/>
    <s v="PARALANCHA X 500 G"/>
    <s v="TERMINADO "/>
    <s v="FUNGICIDAS"/>
    <m/>
    <n v="2"/>
    <m/>
    <m/>
    <n v="4.6500000000000004"/>
    <n v="0"/>
    <n v="388"/>
    <n v="5"/>
    <n v="0"/>
    <x v="2"/>
    <n v="1"/>
    <n v="0"/>
    <m/>
    <n v="0"/>
    <n v="0"/>
    <n v="5"/>
    <m/>
    <n v="21"/>
    <n v="-9.3000000000000007"/>
    <n v="0"/>
    <n v="0.71"/>
    <n v="0"/>
    <n v="0"/>
    <d v="2010-04-13T00:00:00"/>
    <x v="5"/>
    <n v="1"/>
    <n v="0"/>
    <m/>
  </r>
  <r>
    <x v="0"/>
    <x v="4"/>
    <x v="2"/>
    <s v="Control Buffers.xlsm"/>
    <s v="IN - 127"/>
    <s v="RAIZ FORTE X LT"/>
    <s v="TERMINADO"/>
    <s v="NUTRICIONAL"/>
    <m/>
    <n v="0"/>
    <m/>
    <m/>
    <n v="2.77"/>
    <n v="0"/>
    <n v="356"/>
    <n v="10"/>
    <n v="12"/>
    <x v="5"/>
    <n v="-0.2"/>
    <n v="0"/>
    <m/>
    <n v="0"/>
    <n v="12"/>
    <n v="0"/>
    <m/>
    <n v="41"/>
    <n v="0"/>
    <n v="5.54"/>
    <n v="1.99"/>
    <n v="0"/>
    <n v="0"/>
    <d v="2010-09-20T00:00:00"/>
    <x v="5"/>
    <n v="-0.2"/>
    <n v="0"/>
    <m/>
  </r>
  <r>
    <x v="0"/>
    <x v="4"/>
    <x v="2"/>
    <s v="Control Buffers.xlsm"/>
    <s v="IN-380"/>
    <s v="SCOBA  X LT"/>
    <s v="TERMINADO "/>
    <s v="FUNGICIDAS"/>
    <m/>
    <n v="-5"/>
    <m/>
    <m/>
    <n v="19.18"/>
    <n v="0"/>
    <n v="0"/>
    <n v="8"/>
    <n v="0"/>
    <x v="2"/>
    <n v="1"/>
    <n v="0"/>
    <m/>
    <n v="0"/>
    <n v="0"/>
    <n v="8"/>
    <m/>
    <n v="33"/>
    <n v="-57.54"/>
    <n v="0"/>
    <n v="0"/>
    <n v="0"/>
    <n v="0"/>
    <d v="2010-09-20T00:00:00"/>
    <x v="5"/>
    <n v="1"/>
    <n v="0"/>
    <m/>
  </r>
  <r>
    <x v="0"/>
    <x v="4"/>
    <x v="2"/>
    <s v="Control Buffers.xlsm"/>
    <s v="IN-040"/>
    <s v="SCOBA COEX X LT"/>
    <s v="TERMINADO "/>
    <s v="FUNGICIDAS"/>
    <m/>
    <n v="2"/>
    <m/>
    <m/>
    <n v="24.47"/>
    <n v="0"/>
    <n v="100"/>
    <m/>
    <n v="43"/>
    <x v="1"/>
    <n v="0"/>
    <n v="0"/>
    <m/>
    <n v="0"/>
    <n v="43"/>
    <n v="0"/>
    <m/>
    <n v="1"/>
    <n v="0"/>
    <n v="0"/>
    <n v="2"/>
    <n v="0"/>
    <n v="0"/>
    <d v="1899-12-30T00:00:00"/>
    <x v="5"/>
    <s v=""/>
    <n v="0"/>
    <m/>
  </r>
  <r>
    <x v="0"/>
    <x v="4"/>
    <x v="2"/>
    <s v="Control Buffers.xlsm"/>
    <s v="IN-036"/>
    <s v="SCOBA X 100 ML"/>
    <s v="TERMINADO "/>
    <s v="FUNGICIDAS"/>
    <m/>
    <n v="0"/>
    <m/>
    <m/>
    <n v="1.7"/>
    <n v="0"/>
    <n v="241"/>
    <n v="10"/>
    <n v="29"/>
    <x v="5"/>
    <n v="-1.9"/>
    <n v="0"/>
    <m/>
    <n v="0"/>
    <n v="29"/>
    <n v="0"/>
    <m/>
    <n v="41"/>
    <n v="0"/>
    <n v="32.299999999999997"/>
    <n v="3.94"/>
    <n v="0"/>
    <n v="0"/>
    <d v="2010-08-06T00:00:00"/>
    <x v="5"/>
    <n v="-1.9"/>
    <n v="0"/>
    <m/>
  </r>
  <r>
    <x v="0"/>
    <x v="4"/>
    <x v="2"/>
    <s v="Control Buffers.xlsm"/>
    <s v="IN-037"/>
    <s v="SCOBA X 250 ML"/>
    <s v="TERMINADO "/>
    <s v="FUNGICIDAS"/>
    <m/>
    <n v="-4"/>
    <m/>
    <m/>
    <n v="3.84"/>
    <n v="0"/>
    <n v="58"/>
    <n v="15"/>
    <n v="7"/>
    <x v="3"/>
    <n v="0.53"/>
    <n v="0"/>
    <m/>
    <n v="0"/>
    <n v="7"/>
    <n v="8"/>
    <m/>
    <n v="61"/>
    <n v="0"/>
    <n v="0"/>
    <n v="3.09"/>
    <n v="0"/>
    <n v="0"/>
    <d v="2010-09-20T00:00:00"/>
    <x v="5"/>
    <n v="0.53333333333333333"/>
    <n v="0"/>
    <m/>
  </r>
  <r>
    <x v="0"/>
    <x v="4"/>
    <x v="2"/>
    <s v="Control Buffers.xlsm"/>
    <s v="QUIM-008"/>
    <s v="SINOPRID X 100 G"/>
    <s v="TERMINADO"/>
    <s v="INSECTICIDAS"/>
    <m/>
    <n v="0"/>
    <m/>
    <m/>
    <n v="1.24"/>
    <n v="0"/>
    <n v="414"/>
    <n v="15"/>
    <n v="42"/>
    <x v="5"/>
    <n v="-1.8"/>
    <n v="0"/>
    <m/>
    <n v="0"/>
    <n v="42"/>
    <n v="0"/>
    <m/>
    <n v="61"/>
    <n v="0"/>
    <n v="33.479999999999997"/>
    <n v="7.63"/>
    <n v="0"/>
    <n v="0"/>
    <d v="2010-08-06T00:00:00"/>
    <x v="5"/>
    <n v="-1.8"/>
    <n v="0"/>
    <m/>
  </r>
  <r>
    <x v="0"/>
    <x v="4"/>
    <x v="2"/>
    <s v="Control Buffers.xlsm"/>
    <s v="QUIM-004"/>
    <s v="SINOTYL X 500 G"/>
    <s v="TERMINADO "/>
    <s v="FUNGICIDAS"/>
    <m/>
    <n v="0"/>
    <m/>
    <m/>
    <n v="3.25"/>
    <n v="0"/>
    <n v="7"/>
    <n v="50"/>
    <n v="79"/>
    <x v="5"/>
    <n v="-0.57999999999999996"/>
    <n v="0"/>
    <m/>
    <n v="0"/>
    <n v="79"/>
    <n v="0"/>
    <m/>
    <n v="201"/>
    <n v="0"/>
    <n v="94.25"/>
    <n v="1.47"/>
    <n v="0"/>
    <n v="0"/>
    <d v="2010-09-20T00:00:00"/>
    <x v="5"/>
    <n v="-0.57999999999999996"/>
    <n v="0"/>
    <m/>
  </r>
  <r>
    <x v="0"/>
    <x v="4"/>
    <x v="2"/>
    <s v="Control Buffers.xlsm"/>
    <s v="QUIM-019"/>
    <s v="SINOZOX X 100 ML"/>
    <s v="TERMINADO"/>
    <s v="INSECTICIDAS"/>
    <m/>
    <n v="0"/>
    <m/>
    <m/>
    <n v="2.61"/>
    <n v="0"/>
    <n v="420"/>
    <n v="60"/>
    <n v="61"/>
    <x v="5"/>
    <n v="-0.02"/>
    <n v="0"/>
    <m/>
    <n v="0"/>
    <n v="61"/>
    <n v="0"/>
    <m/>
    <n v="241"/>
    <n v="0"/>
    <n v="2.61"/>
    <n v="0.23"/>
    <n v="0"/>
    <n v="0"/>
    <d v="2010-08-06T00:00:00"/>
    <x v="5"/>
    <n v="-1.6666666666666666E-2"/>
    <n v="0"/>
    <m/>
  </r>
  <r>
    <x v="0"/>
    <x v="4"/>
    <x v="2"/>
    <s v="Control Buffers.xlsm"/>
    <s v="IN-039"/>
    <s v="SKEKURA  X 250 ML"/>
    <s v="TERMINADO "/>
    <s v="FUNGICIDAS"/>
    <m/>
    <n v="0"/>
    <m/>
    <m/>
    <n v="2.29"/>
    <n v="0"/>
    <n v="13"/>
    <n v="15"/>
    <n v="10"/>
    <x v="3"/>
    <n v="0.33"/>
    <n v="0"/>
    <m/>
    <n v="0"/>
    <n v="10"/>
    <n v="5"/>
    <m/>
    <n v="61"/>
    <n v="0"/>
    <n v="0"/>
    <n v="0"/>
    <n v="0"/>
    <n v="0"/>
    <d v="2010-08-06T00:00:00"/>
    <x v="5"/>
    <n v="0.33333333333333331"/>
    <n v="0"/>
    <m/>
  </r>
  <r>
    <x v="0"/>
    <x v="4"/>
    <x v="2"/>
    <s v="Control Buffers.xlsm"/>
    <s v="IN-086"/>
    <s v="SKEKURA  X 500 ML"/>
    <s v="TERMINADO "/>
    <s v="FUNGICIDAS"/>
    <m/>
    <n v="0"/>
    <m/>
    <m/>
    <n v="4.2"/>
    <n v="0"/>
    <n v="0"/>
    <n v="30"/>
    <n v="17"/>
    <x v="3"/>
    <n v="0.43"/>
    <n v="0"/>
    <m/>
    <n v="0"/>
    <n v="17"/>
    <n v="13"/>
    <m/>
    <n v="121"/>
    <n v="0"/>
    <n v="0"/>
    <n v="0"/>
    <n v="0"/>
    <n v="0"/>
    <d v="2010-08-06T00:00:00"/>
    <x v="5"/>
    <n v="0.43333333333333335"/>
    <n v="0"/>
    <m/>
  </r>
  <r>
    <x v="0"/>
    <x v="4"/>
    <x v="2"/>
    <s v="Control Buffers.xlsm"/>
    <s v="IN-038"/>
    <s v="SKEKURA  X LT"/>
    <s v="TERMINADO "/>
    <s v="FUNGICIDAS"/>
    <m/>
    <n v="0"/>
    <m/>
    <m/>
    <n v="8.2799999999999994"/>
    <n v="0"/>
    <n v="2"/>
    <n v="20"/>
    <n v="13"/>
    <x v="3"/>
    <n v="0.35"/>
    <n v="0"/>
    <m/>
    <n v="0"/>
    <n v="13"/>
    <n v="7"/>
    <m/>
    <n v="81"/>
    <n v="0"/>
    <n v="0"/>
    <n v="0"/>
    <n v="0"/>
    <n v="0"/>
    <d v="2010-08-06T00:00:00"/>
    <x v="5"/>
    <n v="0.35"/>
    <n v="0"/>
    <m/>
  </r>
  <r>
    <x v="0"/>
    <x v="4"/>
    <x v="2"/>
    <s v="Control Buffers.xlsm"/>
    <s v="IN-352"/>
    <s v="SKEKURA WP X 200 G"/>
    <s v="TERMINADO "/>
    <s v="FUNGICIDAS"/>
    <m/>
    <n v="2"/>
    <m/>
    <m/>
    <n v="1.32"/>
    <n v="0"/>
    <n v="635"/>
    <n v="12"/>
    <n v="12"/>
    <x v="4"/>
    <n v="0"/>
    <n v="0"/>
    <m/>
    <n v="0"/>
    <n v="12"/>
    <n v="0"/>
    <m/>
    <n v="49"/>
    <n v="0"/>
    <n v="0"/>
    <n v="0.72"/>
    <n v="0"/>
    <n v="0"/>
    <d v="2010-09-20T00:00:00"/>
    <x v="5"/>
    <n v="0"/>
    <n v="0"/>
    <m/>
  </r>
  <r>
    <x v="0"/>
    <x v="4"/>
    <x v="2"/>
    <s v="Control Buffers.xlsm"/>
    <s v="IN-031"/>
    <s v="SKEKURA WP X KG"/>
    <s v="TERMINADO "/>
    <s v="FUNGICIDAS"/>
    <m/>
    <n v="-5"/>
    <m/>
    <m/>
    <n v="5.76"/>
    <n v="0"/>
    <n v="0"/>
    <n v="10"/>
    <n v="8"/>
    <x v="4"/>
    <n v="0.2"/>
    <n v="0"/>
    <m/>
    <n v="0"/>
    <n v="8"/>
    <n v="2"/>
    <m/>
    <n v="41"/>
    <n v="0"/>
    <n v="0"/>
    <n v="0.83"/>
    <n v="0"/>
    <n v="0"/>
    <d v="2010-08-06T00:00:00"/>
    <x v="5"/>
    <n v="0.2"/>
    <n v="0"/>
    <m/>
  </r>
  <r>
    <x v="0"/>
    <x v="4"/>
    <x v="2"/>
    <s v="Control Buffers.xlsm"/>
    <s v="QUIM-016"/>
    <s v="SKEMATA X 100 ML"/>
    <s v="TERMINADO"/>
    <s v="INSECTICIDAS"/>
    <m/>
    <n v="-1"/>
    <m/>
    <m/>
    <n v="0.67"/>
    <n v="0"/>
    <n v="815"/>
    <n v="15"/>
    <n v="16"/>
    <x v="5"/>
    <n v="-7.0000000000000007E-2"/>
    <n v="0"/>
    <m/>
    <n v="0"/>
    <n v="16"/>
    <n v="0"/>
    <m/>
    <n v="61"/>
    <n v="0"/>
    <n v="0.67"/>
    <n v="1.1399999999999999"/>
    <n v="0"/>
    <n v="0"/>
    <d v="2010-08-06T00:00:00"/>
    <x v="5"/>
    <n v="-6.6666666666666666E-2"/>
    <n v="0"/>
    <m/>
  </r>
  <r>
    <x v="0"/>
    <x v="4"/>
    <x v="2"/>
    <s v="Control Buffers.xlsm"/>
    <s v="QUIM-015"/>
    <s v="SKEMATA X 250 ML"/>
    <s v="TERMINADO"/>
    <s v="INSECTICIDAS"/>
    <m/>
    <n v="0"/>
    <m/>
    <m/>
    <n v="1.31"/>
    <n v="0"/>
    <n v="1306"/>
    <n v="15"/>
    <n v="20"/>
    <x v="5"/>
    <n v="-0.33"/>
    <n v="0"/>
    <m/>
    <n v="0"/>
    <n v="20"/>
    <n v="0"/>
    <m/>
    <n v="61"/>
    <n v="0"/>
    <n v="6.5500000000000007"/>
    <n v="0.85"/>
    <n v="0"/>
    <n v="0"/>
    <d v="2010-04-13T00:00:00"/>
    <x v="5"/>
    <n v="-0.33333333333333331"/>
    <n v="0"/>
    <m/>
  </r>
  <r>
    <x v="0"/>
    <x v="4"/>
    <x v="2"/>
    <s v="Control Buffers.xlsm"/>
    <s v="QUIM-014"/>
    <s v="SKEMATA X 500 ML"/>
    <s v="TERMINADO"/>
    <s v="INSECTICIDAS"/>
    <m/>
    <n v="0"/>
    <m/>
    <m/>
    <n v="2.2999999999999998"/>
    <n v="0"/>
    <n v="386"/>
    <n v="15"/>
    <n v="6"/>
    <x v="3"/>
    <n v="0.6"/>
    <n v="0"/>
    <m/>
    <n v="0"/>
    <n v="6"/>
    <n v="9"/>
    <m/>
    <n v="61"/>
    <n v="0"/>
    <n v="0"/>
    <n v="0.19"/>
    <n v="0"/>
    <n v="0"/>
    <d v="2010-08-06T00:00:00"/>
    <x v="5"/>
    <n v="0.6"/>
    <n v="0"/>
    <m/>
  </r>
  <r>
    <x v="0"/>
    <x v="4"/>
    <x v="2"/>
    <s v="Control Buffers.xlsm"/>
    <s v="QUIM-013"/>
    <s v="SKEMATA X LT"/>
    <s v="TERMINADO"/>
    <s v="INSECTICIDAS"/>
    <m/>
    <n v="0"/>
    <m/>
    <m/>
    <n v="4.67"/>
    <n v="0"/>
    <n v="381"/>
    <n v="15"/>
    <n v="0"/>
    <x v="2"/>
    <n v="1"/>
    <n v="0"/>
    <m/>
    <n v="0"/>
    <n v="0"/>
    <n v="15"/>
    <m/>
    <n v="61"/>
    <n v="-23.35"/>
    <n v="0"/>
    <n v="0.53"/>
    <n v="0"/>
    <n v="0"/>
    <d v="2010-08-06T00:00:00"/>
    <x v="5"/>
    <n v="1"/>
    <n v="0"/>
    <m/>
  </r>
  <r>
    <x v="0"/>
    <x v="4"/>
    <x v="2"/>
    <s v="Control Buffers.xlsm"/>
    <s v="F-013"/>
    <s v="UREUM X LT"/>
    <s v="TERMINADO"/>
    <s v="NUTRICIONAL"/>
    <m/>
    <n v="0"/>
    <m/>
    <m/>
    <n v="6.91"/>
    <n v="0"/>
    <n v="69"/>
    <n v="3"/>
    <n v="5"/>
    <x v="5"/>
    <n v="-0.67"/>
    <n v="0"/>
    <m/>
    <n v="0"/>
    <n v="5"/>
    <n v="0"/>
    <m/>
    <n v="13"/>
    <n v="0"/>
    <n v="13.82"/>
    <n v="-0.56999999999999995"/>
    <n v="0"/>
    <n v="0"/>
    <d v="2010-08-06T00:00:00"/>
    <x v="5"/>
    <n v="-0.66666666666666663"/>
    <n v="0"/>
    <m/>
  </r>
  <r>
    <x v="0"/>
    <x v="4"/>
    <x v="2"/>
    <s v="Control Buffers.xlsm"/>
    <s v="G-0011"/>
    <s v="VIRAFIN X 250 ML"/>
    <s v="TERMINADO"/>
    <s v="INSECTICIDAS"/>
    <m/>
    <n v="0"/>
    <m/>
    <m/>
    <n v="18.989899999999999"/>
    <n v="0"/>
    <n v="0"/>
    <n v="8"/>
    <n v="7"/>
    <x v="4"/>
    <n v="0.13"/>
    <n v="0"/>
    <m/>
    <n v="0"/>
    <n v="7"/>
    <n v="1"/>
    <m/>
    <n v="33"/>
    <n v="0"/>
    <n v="0"/>
    <n v="0"/>
    <n v="0"/>
    <n v="0"/>
    <d v="1899-12-30T00:00:00"/>
    <x v="5"/>
    <n v="0.125"/>
    <n v="0"/>
    <m/>
  </r>
  <r>
    <x v="0"/>
    <x v="4"/>
    <x v="2"/>
    <s v="Control Buffers.xlsm"/>
    <s v="G-0010"/>
    <s v="VIRAFIN X LT"/>
    <s v="TERMINADO "/>
    <s v="INSECTICIDAS"/>
    <m/>
    <n v="1"/>
    <s v="Retirar el exceso"/>
    <m/>
    <n v="63.41"/>
    <n v="0"/>
    <n v="0"/>
    <n v="5"/>
    <n v="1"/>
    <x v="0"/>
    <n v="0.8"/>
    <n v="0"/>
    <m/>
    <n v="0"/>
    <n v="1"/>
    <n v="4"/>
    <m/>
    <n v="21"/>
    <n v="-63.41"/>
    <n v="0"/>
    <n v="0"/>
    <n v="0"/>
    <n v="0"/>
    <d v="2010-08-06T00:00:00"/>
    <x v="5"/>
    <n v="0.8"/>
    <n v="0"/>
    <m/>
  </r>
  <r>
    <x v="0"/>
    <x v="4"/>
    <x v="2"/>
    <s v="Control Buffers.xlsm"/>
    <s v="IN-130"/>
    <s v="YOGA X 100 ML"/>
    <s v="TERMINADO"/>
    <s v="INSECTICIDAS"/>
    <m/>
    <n v="0"/>
    <m/>
    <m/>
    <n v="1.28"/>
    <n v="0"/>
    <n v="6"/>
    <n v="60"/>
    <n v="0"/>
    <x v="2"/>
    <n v="1"/>
    <n v="0"/>
    <m/>
    <n v="0"/>
    <n v="0"/>
    <n v="60"/>
    <m/>
    <n v="241"/>
    <n v="-25.6"/>
    <n v="0"/>
    <n v="0"/>
    <n v="0"/>
    <n v="0"/>
    <d v="2010-08-06T00:00:00"/>
    <x v="5"/>
    <n v="1"/>
    <n v="0"/>
    <m/>
  </r>
  <r>
    <x v="0"/>
    <x v="4"/>
    <x v="2"/>
    <s v="Control Buffers.xlsm"/>
    <s v="IN-129"/>
    <s v="YOGA X LT"/>
    <s v="TERMINADO"/>
    <s v="INSECTICIDAS"/>
    <m/>
    <n v="-10"/>
    <m/>
    <m/>
    <n v="14.82"/>
    <n v="0"/>
    <n v="7"/>
    <n v="10"/>
    <n v="0"/>
    <x v="2"/>
    <n v="1"/>
    <n v="0"/>
    <m/>
    <n v="0"/>
    <n v="0"/>
    <n v="10"/>
    <m/>
    <n v="41"/>
    <n v="-44.46"/>
    <n v="0"/>
    <n v="0"/>
    <n v="0"/>
    <n v="0"/>
    <d v="1899-12-30T00:00:00"/>
    <x v="5"/>
    <n v="1"/>
    <n v="0"/>
    <m/>
  </r>
  <r>
    <x v="0"/>
    <x v="4"/>
    <x v="2"/>
    <s v="Control Buffers.xlsm"/>
    <s v="IN-358"/>
    <s v="ZULLY 60 X 15G"/>
    <s v="TERMINADO"/>
    <s v="NUTRICIONAL"/>
    <m/>
    <n v="0"/>
    <m/>
    <m/>
    <n v="2.21"/>
    <n v="0"/>
    <n v="93"/>
    <n v="20"/>
    <n v="20"/>
    <x v="4"/>
    <n v="0"/>
    <n v="0"/>
    <m/>
    <n v="0"/>
    <n v="20"/>
    <n v="0"/>
    <m/>
    <n v="81"/>
    <n v="0"/>
    <n v="0"/>
    <n v="0"/>
    <n v="0"/>
    <n v="0"/>
    <d v="2010-08-06T00:00:00"/>
    <x v="5"/>
    <n v="0"/>
    <n v="0"/>
    <m/>
  </r>
  <r>
    <x v="0"/>
    <x v="5"/>
    <x v="2"/>
    <s v="Control Buffers.xlsm"/>
    <s v="IN-104"/>
    <s v="AGROTAFOL BORO X 250 ML"/>
    <s v="TERMINADO"/>
    <s v="NUTRICIONAL"/>
    <m/>
    <m/>
    <m/>
    <m/>
    <n v="0.92"/>
    <n v="0"/>
    <n v="495"/>
    <n v="20"/>
    <n v="0"/>
    <x v="2"/>
    <n v="1"/>
    <n v="0"/>
    <m/>
    <n v="0"/>
    <n v="0"/>
    <n v="20"/>
    <m/>
    <n v="81"/>
    <n v="-6.44"/>
    <n v="0"/>
    <n v="0.48"/>
    <n v="0"/>
    <n v="0"/>
    <d v="2010-09-20T00:00:00"/>
    <x v="5"/>
    <n v="1"/>
    <n v="0"/>
    <m/>
  </r>
  <r>
    <x v="0"/>
    <x v="5"/>
    <x v="2"/>
    <s v="Control Buffers.xlsm"/>
    <s v="IN-0007"/>
    <s v="AGROTAFOL BORO X 500 ML"/>
    <s v="TERMINADO"/>
    <s v="NUTRICIONAL"/>
    <m/>
    <m/>
    <m/>
    <m/>
    <n v="1.76"/>
    <n v="0"/>
    <n v="139"/>
    <m/>
    <n v="11"/>
    <x v="1"/>
    <n v="0"/>
    <n v="0"/>
    <m/>
    <n v="0"/>
    <n v="11"/>
    <n v="0"/>
    <m/>
    <n v="1"/>
    <n v="0"/>
    <n v="0"/>
    <n v="2.4900000000000002"/>
    <n v="0"/>
    <n v="0"/>
    <d v="1899-12-30T00:00:00"/>
    <x v="5"/>
    <s v=""/>
    <n v="0"/>
    <m/>
  </r>
  <r>
    <x v="0"/>
    <x v="5"/>
    <x v="2"/>
    <s v="Control Buffers.xlsm"/>
    <s v="IN-140"/>
    <s v="AGROVERDOL X 500 ML"/>
    <s v="TERMINADO"/>
    <s v="NUTRICIONAL"/>
    <m/>
    <m/>
    <m/>
    <m/>
    <n v="1.76"/>
    <n v="0"/>
    <n v="780"/>
    <n v="35"/>
    <n v="48"/>
    <x v="5"/>
    <n v="-0.37"/>
    <n v="0"/>
    <m/>
    <n v="0"/>
    <n v="48"/>
    <n v="0"/>
    <m/>
    <n v="141"/>
    <n v="0"/>
    <n v="22.88"/>
    <n v="1.5"/>
    <n v="0"/>
    <n v="0"/>
    <d v="1899-12-30T00:00:00"/>
    <x v="5"/>
    <n v="-0.37142857142857144"/>
    <n v="0"/>
    <m/>
  </r>
  <r>
    <x v="0"/>
    <x v="5"/>
    <x v="2"/>
    <s v="Control Buffers.xlsm"/>
    <s v="QUIM-011"/>
    <s v="ANIQUILADOR X 100 ML"/>
    <s v="TERMINADO"/>
    <s v="INSECTICIDAS"/>
    <m/>
    <m/>
    <m/>
    <m/>
    <n v="1.01"/>
    <n v="0"/>
    <n v="1777"/>
    <n v="50"/>
    <n v="100"/>
    <x v="5"/>
    <n v="-1"/>
    <n v="0"/>
    <m/>
    <n v="0"/>
    <n v="100"/>
    <n v="0"/>
    <m/>
    <n v="201"/>
    <n v="0"/>
    <n v="50.5"/>
    <n v="0.35"/>
    <n v="0"/>
    <n v="0"/>
    <d v="2010-09-20T00:00:00"/>
    <x v="5"/>
    <n v="-1"/>
    <n v="0"/>
    <m/>
  </r>
  <r>
    <x v="0"/>
    <x v="5"/>
    <x v="2"/>
    <s v="Control Buffers.xlsm"/>
    <s v="QU-012"/>
    <s v="ANIQUILADOR X 250 ML"/>
    <s v="TERMINADO"/>
    <s v="INSECTICIDAS"/>
    <m/>
    <m/>
    <m/>
    <m/>
    <n v="2.25"/>
    <n v="0"/>
    <n v="102"/>
    <n v="50"/>
    <n v="80"/>
    <x v="5"/>
    <n v="-0.6"/>
    <n v="0"/>
    <m/>
    <n v="0"/>
    <n v="80"/>
    <n v="0"/>
    <m/>
    <n v="201"/>
    <n v="0"/>
    <n v="67.5"/>
    <n v="3.02"/>
    <n v="0"/>
    <n v="0"/>
    <d v="2010-09-20T00:00:00"/>
    <x v="5"/>
    <n v="-0.6"/>
    <n v="0"/>
    <m/>
  </r>
  <r>
    <x v="0"/>
    <x v="5"/>
    <x v="2"/>
    <s v="Control Buffers.xlsm"/>
    <s v="QU-013"/>
    <s v="ANIQUILADOR X 500 ML"/>
    <s v="TERMINADO"/>
    <s v="INSECTICIDAS"/>
    <m/>
    <m/>
    <m/>
    <m/>
    <n v="4.45"/>
    <n v="0"/>
    <n v="31"/>
    <n v="20"/>
    <n v="16"/>
    <x v="4"/>
    <n v="0.2"/>
    <n v="0"/>
    <m/>
    <n v="0"/>
    <n v="16"/>
    <n v="4"/>
    <m/>
    <n v="81"/>
    <n v="0"/>
    <n v="0"/>
    <n v="1.24"/>
    <n v="0"/>
    <n v="0"/>
    <d v="1899-12-30T00:00:00"/>
    <x v="5"/>
    <n v="0.2"/>
    <n v="0"/>
    <m/>
  </r>
  <r>
    <x v="0"/>
    <x v="5"/>
    <x v="2"/>
    <s v="Control Buffers.xlsm"/>
    <s v="IN-144"/>
    <s v="CIROMAZINA X 50 G AGROTA"/>
    <s v="TERMINADO"/>
    <s v="INSECTICIDAS"/>
    <m/>
    <m/>
    <m/>
    <m/>
    <n v="2.46"/>
    <n v="0"/>
    <n v="130"/>
    <n v="10"/>
    <n v="0"/>
    <x v="2"/>
    <n v="1"/>
    <n v="0"/>
    <m/>
    <n v="0"/>
    <n v="0"/>
    <n v="10"/>
    <m/>
    <n v="41"/>
    <n v="-7.38"/>
    <n v="0"/>
    <n v="1.54"/>
    <n v="0"/>
    <n v="0"/>
    <d v="1899-12-30T00:00:00"/>
    <x v="5"/>
    <n v="1"/>
    <n v="0"/>
    <m/>
  </r>
  <r>
    <x v="0"/>
    <x v="5"/>
    <x v="2"/>
    <s v="Control Buffers.xlsm"/>
    <s v="QUIM-018"/>
    <s v="LETAL X 100 ML"/>
    <s v="TERMINADO "/>
    <s v="FUNGICIDAS"/>
    <m/>
    <m/>
    <m/>
    <m/>
    <n v="1.57"/>
    <n v="0"/>
    <n v="574"/>
    <n v="40"/>
    <n v="25"/>
    <x v="3"/>
    <n v="0.38"/>
    <n v="0"/>
    <m/>
    <n v="0"/>
    <n v="25"/>
    <n v="15"/>
    <m/>
    <n v="161"/>
    <n v="0"/>
    <n v="0"/>
    <n v="1.39"/>
    <n v="0"/>
    <n v="0"/>
    <d v="2010-09-20T00:00:00"/>
    <x v="5"/>
    <n v="0.375"/>
    <n v="0"/>
    <m/>
  </r>
  <r>
    <x v="0"/>
    <x v="5"/>
    <x v="2"/>
    <s v="Control Buffers.xlsm"/>
    <s v="QUIM-002"/>
    <s v="LETAL X 250 ML"/>
    <s v="TERMINADO "/>
    <s v="FUNGICIDAS"/>
    <m/>
    <m/>
    <m/>
    <m/>
    <n v="3.56"/>
    <n v="0"/>
    <n v="366"/>
    <n v="40"/>
    <n v="18"/>
    <x v="3"/>
    <n v="0.55000000000000004"/>
    <n v="0"/>
    <m/>
    <n v="0"/>
    <n v="18"/>
    <n v="22"/>
    <m/>
    <n v="161"/>
    <n v="0"/>
    <n v="0"/>
    <n v="1.9"/>
    <n v="0"/>
    <n v="0"/>
    <d v="2010-09-20T00:00:00"/>
    <x v="5"/>
    <n v="0.55000000000000004"/>
    <n v="0"/>
    <m/>
  </r>
  <r>
    <x v="0"/>
    <x v="5"/>
    <x v="2"/>
    <s v="Control Buffers.xlsm"/>
    <s v="QUIM-001"/>
    <s v="LETAL X 500 ML"/>
    <s v="TERMINADO "/>
    <s v="FUNGICIDAS"/>
    <m/>
    <m/>
    <m/>
    <m/>
    <n v="6.88"/>
    <n v="0"/>
    <n v="170"/>
    <n v="10"/>
    <n v="0"/>
    <x v="2"/>
    <n v="1"/>
    <n v="0"/>
    <m/>
    <n v="0"/>
    <n v="0"/>
    <n v="10"/>
    <m/>
    <n v="41"/>
    <n v="-20.64"/>
    <n v="0"/>
    <n v="0.36"/>
    <n v="0"/>
    <n v="0"/>
    <d v="1899-12-30T00:00:00"/>
    <x v="5"/>
    <n v="1"/>
    <n v="0"/>
    <m/>
  </r>
  <r>
    <x v="0"/>
    <x v="5"/>
    <x v="2"/>
    <s v="Control Buffers.xlsm"/>
    <s v="QUIM-0181"/>
    <s v="LETAL X LITRO"/>
    <s v="TERMINADO "/>
    <s v="FUNGICIDAS"/>
    <m/>
    <m/>
    <m/>
    <m/>
    <n v="13.76"/>
    <n v="0"/>
    <n v="102"/>
    <n v="5"/>
    <n v="0"/>
    <x v="2"/>
    <n v="1"/>
    <n v="0"/>
    <m/>
    <n v="0"/>
    <n v="0"/>
    <n v="5"/>
    <m/>
    <n v="21"/>
    <n v="-27.52"/>
    <n v="0"/>
    <n v="0.82"/>
    <n v="0"/>
    <n v="0"/>
    <d v="2010-09-20T00:00:00"/>
    <x v="5"/>
    <n v="1"/>
    <n v="0"/>
    <m/>
  </r>
  <r>
    <x v="0"/>
    <x v="5"/>
    <x v="2"/>
    <s v="Control Buffers.xlsm"/>
    <s v="IN-378"/>
    <s v="PARALANCHA BLUE X 500 G"/>
    <s v="TERMINADO "/>
    <s v="FUNGICIDAS"/>
    <m/>
    <m/>
    <m/>
    <m/>
    <n v="4.74"/>
    <n v="0"/>
    <n v="102"/>
    <m/>
    <n v="10"/>
    <x v="1"/>
    <n v="0"/>
    <n v="0"/>
    <m/>
    <n v="0"/>
    <n v="10"/>
    <n v="0"/>
    <m/>
    <n v="1"/>
    <n v="0"/>
    <n v="0"/>
    <n v="0.63"/>
    <n v="0"/>
    <n v="0"/>
    <d v="1899-12-30T00:00:00"/>
    <x v="5"/>
    <s v=""/>
    <n v="0"/>
    <m/>
  </r>
  <r>
    <x v="0"/>
    <x v="5"/>
    <x v="2"/>
    <s v="Control Buffers.xlsm"/>
    <s v="QUIM-022"/>
    <s v="PARALANCHA X 500 G"/>
    <s v="TERMINADO "/>
    <s v="FUNGICIDAS"/>
    <m/>
    <m/>
    <m/>
    <m/>
    <n v="4.6500000000000004"/>
    <n v="0"/>
    <n v="388"/>
    <n v="6"/>
    <n v="0"/>
    <x v="2"/>
    <n v="1"/>
    <n v="0"/>
    <m/>
    <n v="0"/>
    <n v="0"/>
    <n v="6"/>
    <m/>
    <n v="25"/>
    <n v="-9.3000000000000007"/>
    <n v="0"/>
    <n v="0.71"/>
    <n v="0"/>
    <n v="0"/>
    <d v="2010-09-20T00:00:00"/>
    <x v="5"/>
    <n v="1"/>
    <n v="0"/>
    <m/>
  </r>
  <r>
    <x v="0"/>
    <x v="5"/>
    <x v="2"/>
    <s v="Control Buffers.xlsm"/>
    <s v="IN-6610"/>
    <s v="PROPILAQ X 100 ML"/>
    <s v="MATERIA PRIMA "/>
    <s v="FUNGICIDAS"/>
    <m/>
    <m/>
    <m/>
    <m/>
    <n v="1.41"/>
    <n v="0"/>
    <n v="239"/>
    <m/>
    <n v="10"/>
    <x v="1"/>
    <n v="0"/>
    <n v="0"/>
    <m/>
    <n v="0"/>
    <n v="10"/>
    <n v="0"/>
    <m/>
    <n v="1"/>
    <n v="0"/>
    <n v="0"/>
    <n v="1.47"/>
    <n v="0"/>
    <n v="0"/>
    <d v="1899-12-30T00:00:00"/>
    <x v="5"/>
    <s v=""/>
    <n v="0"/>
    <m/>
  </r>
  <r>
    <x v="0"/>
    <x v="5"/>
    <x v="2"/>
    <s v="Control Buffers.xlsm"/>
    <s v="IN-036"/>
    <s v="SCOBA X 100 ML"/>
    <s v="TERMINADO "/>
    <s v="FUNGICIDAS"/>
    <m/>
    <m/>
    <m/>
    <m/>
    <n v="1.7"/>
    <n v="0"/>
    <n v="241"/>
    <n v="20"/>
    <n v="8"/>
    <x v="3"/>
    <n v="0.6"/>
    <n v="0"/>
    <m/>
    <n v="0"/>
    <n v="8"/>
    <n v="12"/>
    <m/>
    <n v="81"/>
    <n v="0"/>
    <n v="0"/>
    <n v="3.94"/>
    <n v="0"/>
    <n v="0"/>
    <d v="1899-12-30T00:00:00"/>
    <x v="5"/>
    <n v="0.6"/>
    <n v="0"/>
    <m/>
  </r>
  <r>
    <x v="0"/>
    <x v="5"/>
    <x v="2"/>
    <s v="Control Buffers.xlsm"/>
    <s v="IN-037"/>
    <s v="SCOBA X 250 ML"/>
    <s v="TERMINADO "/>
    <s v="FUNGICIDAS"/>
    <m/>
    <m/>
    <m/>
    <m/>
    <n v="3.84"/>
    <n v="0"/>
    <n v="58"/>
    <n v="20"/>
    <n v="30"/>
    <x v="5"/>
    <n v="-0.5"/>
    <n v="0"/>
    <m/>
    <n v="0"/>
    <n v="30"/>
    <n v="0"/>
    <m/>
    <n v="81"/>
    <n v="0"/>
    <n v="38.4"/>
    <n v="3.09"/>
    <n v="0"/>
    <n v="0"/>
    <d v="1899-12-30T00:00:00"/>
    <x v="5"/>
    <n v="-0.5"/>
    <n v="0"/>
    <m/>
  </r>
  <r>
    <x v="0"/>
    <x v="5"/>
    <x v="2"/>
    <s v="Control Buffers.xlsm"/>
    <s v="IN-035"/>
    <s v="SCOBA X 50 ML"/>
    <s v="TERMINADO "/>
    <s v="FUNGICIDAS"/>
    <m/>
    <m/>
    <m/>
    <m/>
    <n v="1.35"/>
    <n v="0"/>
    <n v="15"/>
    <n v="20"/>
    <n v="0"/>
    <x v="2"/>
    <n v="1"/>
    <n v="0"/>
    <m/>
    <n v="0"/>
    <n v="0"/>
    <n v="20"/>
    <m/>
    <n v="81"/>
    <n v="-9.4500000000000011"/>
    <n v="0"/>
    <n v="3.17"/>
    <n v="0"/>
    <n v="0"/>
    <d v="1899-12-30T00:00:00"/>
    <x v="5"/>
    <n v="1"/>
    <n v="0"/>
    <m/>
  </r>
  <r>
    <x v="0"/>
    <x v="5"/>
    <x v="2"/>
    <s v="Control Buffers.xlsm"/>
    <s v="QUIM-008"/>
    <s v="SINOPRID X 100 G"/>
    <s v="TERMINADO"/>
    <s v="INSECTICIDAS"/>
    <m/>
    <m/>
    <m/>
    <m/>
    <n v="1.24"/>
    <n v="0"/>
    <n v="414"/>
    <n v="30"/>
    <n v="17"/>
    <x v="3"/>
    <n v="0.43"/>
    <n v="0"/>
    <m/>
    <n v="0"/>
    <n v="17"/>
    <n v="13"/>
    <m/>
    <n v="121"/>
    <n v="0"/>
    <n v="0"/>
    <n v="7.63"/>
    <n v="0"/>
    <n v="0"/>
    <d v="1899-12-30T00:00:00"/>
    <x v="5"/>
    <n v="0.43333333333333335"/>
    <n v="0"/>
    <m/>
  </r>
  <r>
    <x v="0"/>
    <x v="5"/>
    <x v="2"/>
    <s v="Control Buffers.xlsm"/>
    <s v="IN-033"/>
    <s v="SKEKURA WP X 100 G"/>
    <s v="TERMINADO "/>
    <s v="FUNGICIDAS"/>
    <m/>
    <m/>
    <m/>
    <m/>
    <n v="0.71"/>
    <n v="0"/>
    <n v="635"/>
    <n v="25"/>
    <n v="0"/>
    <x v="2"/>
    <n v="1"/>
    <n v="0"/>
    <m/>
    <n v="0"/>
    <n v="0"/>
    <n v="25"/>
    <m/>
    <n v="101"/>
    <n v="-5.68"/>
    <n v="0"/>
    <n v="1.52"/>
    <n v="0"/>
    <n v="0"/>
    <d v="2010-09-20T00:00:00"/>
    <x v="5"/>
    <n v="1"/>
    <n v="0"/>
    <m/>
  </r>
  <r>
    <x v="0"/>
    <x v="5"/>
    <x v="2"/>
    <s v="Control Buffers.xlsm"/>
    <s v="IN-352"/>
    <s v="SKEKURA WP X 200 G"/>
    <s v="TERMINADO "/>
    <s v="FUNGICIDAS"/>
    <m/>
    <m/>
    <m/>
    <m/>
    <n v="1.32"/>
    <n v="0"/>
    <n v="635"/>
    <n v="30"/>
    <n v="0"/>
    <x v="2"/>
    <n v="1"/>
    <n v="0"/>
    <m/>
    <n v="0"/>
    <n v="0"/>
    <n v="30"/>
    <m/>
    <n v="121"/>
    <n v="-13.200000000000001"/>
    <n v="0"/>
    <n v="0.72"/>
    <n v="0"/>
    <n v="0"/>
    <d v="2010-09-20T00:00:00"/>
    <x v="5"/>
    <n v="1"/>
    <n v="0"/>
    <m/>
  </r>
  <r>
    <x v="0"/>
    <x v="5"/>
    <x v="2"/>
    <s v="Control Buffers.xlsm"/>
    <s v="QUIM-016"/>
    <s v="SKEMATA X 100 ML"/>
    <s v="TERMINADO"/>
    <s v="INSECTICIDAS"/>
    <m/>
    <m/>
    <m/>
    <m/>
    <n v="0.67"/>
    <n v="0"/>
    <n v="815"/>
    <n v="30"/>
    <n v="18"/>
    <x v="3"/>
    <n v="0.4"/>
    <n v="0"/>
    <m/>
    <n v="0"/>
    <n v="18"/>
    <n v="12"/>
    <m/>
    <n v="121"/>
    <n v="0"/>
    <n v="0"/>
    <n v="1.1399999999999999"/>
    <n v="0"/>
    <n v="0"/>
    <d v="2010-09-20T00:00:00"/>
    <x v="5"/>
    <n v="0.4"/>
    <n v="0"/>
    <m/>
  </r>
  <r>
    <x v="0"/>
    <x v="5"/>
    <x v="2"/>
    <s v="Control Buffers.xlsm"/>
    <s v="QUIM-015"/>
    <s v="SKEMATA X 250 ML"/>
    <s v="TERMINADO"/>
    <s v="INSECTICIDAS"/>
    <m/>
    <m/>
    <m/>
    <m/>
    <n v="1.31"/>
    <n v="0"/>
    <n v="1306"/>
    <n v="30"/>
    <n v="204"/>
    <x v="5"/>
    <n v="-5.8"/>
    <n v="0"/>
    <m/>
    <n v="0"/>
    <n v="204"/>
    <n v="0"/>
    <m/>
    <n v="121"/>
    <n v="0"/>
    <n v="227.94"/>
    <n v="0.85"/>
    <n v="0"/>
    <n v="0"/>
    <d v="2010-09-20T00:00:00"/>
    <x v="5"/>
    <n v="-5.8"/>
    <n v="0"/>
    <m/>
  </r>
  <r>
    <x v="0"/>
    <x v="5"/>
    <x v="2"/>
    <s v="Control Buffers.xlsm"/>
    <s v="QUIM-014"/>
    <s v="SKEMATA X 500 ML"/>
    <s v="TERMINADO"/>
    <s v="INSECTICIDAS"/>
    <m/>
    <m/>
    <m/>
    <m/>
    <n v="2.2999999999999998"/>
    <n v="0"/>
    <n v="386"/>
    <n v="12"/>
    <n v="55"/>
    <x v="5"/>
    <n v="-3.58"/>
    <n v="0"/>
    <m/>
    <n v="0"/>
    <n v="55"/>
    <n v="0"/>
    <m/>
    <n v="49"/>
    <n v="0"/>
    <n v="98.899999999999991"/>
    <n v="0.19"/>
    <n v="0"/>
    <n v="0"/>
    <d v="1899-12-30T00:00:00"/>
    <x v="5"/>
    <n v="-3.5833333333333335"/>
    <n v="0"/>
    <m/>
  </r>
  <r>
    <x v="0"/>
    <x v="5"/>
    <x v="2"/>
    <s v="Control Buffers.xlsm"/>
    <s v="QUIM-013"/>
    <s v="SKEMATA X LT"/>
    <s v="TERMINADO"/>
    <s v="INSECTICIDAS"/>
    <m/>
    <m/>
    <m/>
    <m/>
    <n v="4.67"/>
    <n v="0"/>
    <n v="381"/>
    <n v="7"/>
    <n v="19"/>
    <x v="5"/>
    <n v="-1.71"/>
    <n v="0"/>
    <m/>
    <n v="0"/>
    <n v="19"/>
    <n v="0"/>
    <m/>
    <n v="29"/>
    <n v="0"/>
    <n v="56.04"/>
    <n v="0.53"/>
    <n v="0"/>
    <n v="0"/>
    <d v="2010-08-26T00:00:00"/>
    <x v="5"/>
    <n v="-1.7142857142857142"/>
    <n v="0"/>
    <m/>
  </r>
  <r>
    <x v="0"/>
    <x v="5"/>
    <x v="2"/>
    <s v="Control Buffers.xlsm"/>
    <s v="IN-358"/>
    <s v="ZULLY 60 X 15G"/>
    <s v="TERMINADO"/>
    <s v="NUTRICIONAL"/>
    <m/>
    <m/>
    <m/>
    <m/>
    <n v="2.21"/>
    <n v="0"/>
    <n v="93"/>
    <m/>
    <n v="20"/>
    <x v="1"/>
    <n v="0"/>
    <n v="0"/>
    <m/>
    <n v="0"/>
    <n v="20"/>
    <n v="0"/>
    <m/>
    <n v="1"/>
    <n v="0"/>
    <n v="0"/>
    <n v="0"/>
    <n v="0"/>
    <n v="0"/>
    <d v="1899-12-30T00:00:00"/>
    <x v="5"/>
    <s v=""/>
    <n v="0"/>
    <m/>
  </r>
  <r>
    <x v="0"/>
    <x v="6"/>
    <x v="2"/>
    <s v="Control Buffers.xlsm"/>
    <s v="IN-0042"/>
    <s v="AGROTAFIX  X 100 ML"/>
    <s v="TERMINADO"/>
    <s v="FIJADORES"/>
    <m/>
    <m/>
    <m/>
    <m/>
    <n v="0.31"/>
    <n v="0"/>
    <n v="478"/>
    <n v="0"/>
    <n v="0"/>
    <x v="1"/>
    <n v="0"/>
    <n v="0"/>
    <m/>
    <n v="0"/>
    <n v="0"/>
    <n v="0"/>
    <m/>
    <n v="1"/>
    <n v="0"/>
    <n v="0"/>
    <n v="-0.53"/>
    <n v="0"/>
    <n v="0"/>
    <d v="1899-12-30T00:00:00"/>
    <x v="5"/>
    <s v=""/>
    <n v="0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61">
  <r>
    <s v="DISMA"/>
    <s v="CENTRAL.xlsm"/>
    <x v="0"/>
    <s v="INTRADEVCO  INDUSTRIAL S.A."/>
    <s v="INTRADEVCO"/>
    <s v="C300A000"/>
    <s v="0"/>
    <s v="0"/>
    <n v="1"/>
    <s v="-"/>
    <m/>
    <n v="64.599999999999994"/>
    <n v="1550"/>
    <n v="8.8196594427244595"/>
    <n v="30.743034055727556"/>
    <n v="0"/>
    <n v="0"/>
    <m/>
    <m/>
    <m/>
    <n v="1516"/>
    <n v="752"/>
    <s v="L"/>
    <n v="3400"/>
    <m/>
    <m/>
    <n v="-2.4900000000000002"/>
    <m/>
    <m/>
    <m/>
    <n v="5.8144329896907223"/>
    <s v="30/04/2015"/>
    <s v="20/08/2015"/>
    <n v="0.53138955558211021"/>
    <n v="0"/>
    <n v="0"/>
    <n v="0"/>
    <n v="0.10344827586206896"/>
    <n v="0"/>
    <n v="0.13793103448275862"/>
    <n v="0"/>
    <n v="0"/>
    <m/>
    <m/>
    <m/>
    <m/>
    <s v="19/02/2015"/>
    <s v="10/04/2015"/>
    <m/>
    <m/>
    <m/>
    <s v="NO MANUFACTURA VARIOS"/>
    <n v="0.97"/>
    <n v="2.85"/>
    <m/>
    <m/>
    <n v="12"/>
    <n v="1"/>
    <n v="10000000000"/>
    <n v="2279"/>
    <n v="1128"/>
    <x v="0"/>
    <n v="0.51"/>
    <n v="6816"/>
    <n v="0"/>
    <n v="0"/>
    <n v="0"/>
    <n v="0"/>
    <n v="0"/>
    <n v="7944"/>
    <n v="0"/>
    <m/>
    <n v="570"/>
    <n v="0"/>
    <n v="0"/>
    <n v="0.61928000000000005"/>
    <n v="0"/>
    <n v="1"/>
    <s v="30/04/2015"/>
    <s v="INTRADEVCO  INDUSTRIAL S.A."/>
    <n v="0.50504607283896441"/>
    <n v="0"/>
    <m/>
  </r>
  <r>
    <s v="DISMA"/>
    <s v="CENTRAL.xlsm"/>
    <x v="0"/>
    <s v="INTRADEVCO  INDUSTRIAL S.A."/>
    <s v="INTRADEVCO"/>
    <s v="C300A200"/>
    <s v="0"/>
    <s v="0"/>
    <n v="1"/>
    <s v="-"/>
    <s v="BUF"/>
    <n v="3.5"/>
    <n v="84"/>
    <n v="35.428571428571431"/>
    <n v="153.64285714285714"/>
    <n v="0"/>
    <n v="0"/>
    <m/>
    <m/>
    <m/>
    <n v="330"/>
    <n v="164"/>
    <s v="L"/>
    <n v="725"/>
    <m/>
    <m/>
    <n v="-3.34"/>
    <m/>
    <m/>
    <m/>
    <n v="6.0957446808510651"/>
    <s v="30/04/2015"/>
    <s v="20/08/2015"/>
    <n v="0.87094915561727937"/>
    <n v="0"/>
    <n v="0"/>
    <n v="0.10344827586206896"/>
    <n v="0"/>
    <n v="0"/>
    <n v="0.13793103448275862"/>
    <n v="0"/>
    <n v="0"/>
    <m/>
    <m/>
    <m/>
    <m/>
    <s v="19/02/2015"/>
    <s v="10/04/2015"/>
    <m/>
    <m/>
    <m/>
    <s v="NO MANUFACTURA VARIOS"/>
    <n v="0.94"/>
    <n v="2.85"/>
    <m/>
    <m/>
    <n v="12"/>
    <n v="1"/>
    <n v="10000000000"/>
    <n v="496"/>
    <n v="12"/>
    <x v="1"/>
    <n v="0.98"/>
    <n v="2139"/>
    <n v="0"/>
    <n v="0"/>
    <n v="0"/>
    <n v="0"/>
    <n v="0"/>
    <n v="2151"/>
    <n v="0"/>
    <m/>
    <n v="124"/>
    <n v="290.32000000000005"/>
    <n v="0"/>
    <n v="0.15013699999999999"/>
    <n v="0"/>
    <n v="1"/>
    <s v="30/04/2015"/>
    <s v="INTRADEVCO  INDUSTRIAL S.A."/>
    <n v="0.97580645161290325"/>
    <n v="0"/>
    <m/>
  </r>
  <r>
    <s v="DISMA"/>
    <s v="CENTRAL.xlsm"/>
    <x v="0"/>
    <s v="INTRADEVCO  INDUSTRIAL S.A."/>
    <s v="INTRADEVCO"/>
    <s v="C300B000"/>
    <s v="0"/>
    <s v="0"/>
    <n v="1"/>
    <m/>
    <m/>
    <n v="15.9"/>
    <n v="382"/>
    <n v="17.044025157232703"/>
    <n v="44.638364779874216"/>
    <n v="0"/>
    <n v="0"/>
    <m/>
    <m/>
    <m/>
    <n v="721"/>
    <n v="358"/>
    <s v="L"/>
    <n v="1584"/>
    <m/>
    <m/>
    <n v="-1.62"/>
    <m/>
    <m/>
    <m/>
    <n v="7.1142857142857148"/>
    <s v="30/04/2015"/>
    <s v="20/08/2015"/>
    <n v="0.14109728312270314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5"/>
    <n v="1.18"/>
    <m/>
    <m/>
    <n v="24"/>
    <n v="1"/>
    <n v="10000000000"/>
    <n v="1084"/>
    <n v="2839"/>
    <x v="2"/>
    <n v="-1.62"/>
    <n v="0"/>
    <n v="0"/>
    <n v="0"/>
    <n v="0"/>
    <n v="0"/>
    <n v="0"/>
    <n v="2839"/>
    <n v="0"/>
    <m/>
    <n v="271"/>
    <n v="0"/>
    <n v="614.25"/>
    <n v="0.74064300000000005"/>
    <n v="0"/>
    <n v="1"/>
    <s v="30/04/2015"/>
    <s v="INTRADEVCO  INDUSTRIAL S.A."/>
    <n v="-1.6190036900369005"/>
    <n v="0"/>
    <m/>
  </r>
  <r>
    <s v="DISMA"/>
    <s v="CENTRAL.xlsm"/>
    <x v="0"/>
    <s v="INTRADEVCO  INDUSTRIAL S.A."/>
    <s v="INTRADEVCO"/>
    <s v="C300B200"/>
    <s v="0"/>
    <s v="0"/>
    <n v="1"/>
    <m/>
    <m/>
    <n v="79"/>
    <n v="1896"/>
    <n v="3.9177215189873418"/>
    <n v="13.360759493670885"/>
    <n v="0"/>
    <n v="0"/>
    <m/>
    <m/>
    <m/>
    <n v="823"/>
    <n v="409"/>
    <s v="L"/>
    <n v="1811"/>
    <m/>
    <m/>
    <n v="-2.41"/>
    <m/>
    <m/>
    <m/>
    <n v="7.4117647058823506"/>
    <s v="30/04/2015"/>
    <s v="20/08/2015"/>
    <n v="6.7742386058938578E-2"/>
    <n v="0"/>
    <n v="0"/>
    <n v="0"/>
    <n v="0"/>
    <n v="0"/>
    <n v="0.2413793103448276"/>
    <n v="0"/>
    <n v="0"/>
    <m/>
    <m/>
    <m/>
    <m/>
    <m/>
    <m/>
    <m/>
    <m/>
    <m/>
    <s v="NO MANUFACTURA VARIOS"/>
    <n v="0.34"/>
    <n v="1.18"/>
    <m/>
    <m/>
    <n v="24"/>
    <n v="1"/>
    <n v="10000000000"/>
    <n v="1238"/>
    <n v="4222"/>
    <x v="2"/>
    <n v="-2.41"/>
    <n v="0"/>
    <n v="0"/>
    <n v="0"/>
    <n v="0"/>
    <n v="0"/>
    <n v="0"/>
    <n v="4222"/>
    <n v="0"/>
    <m/>
    <n v="310"/>
    <n v="0"/>
    <n v="1014.5600000000001"/>
    <n v="0.52979200000000004"/>
    <n v="0"/>
    <n v="1"/>
    <s v="30/04/2015"/>
    <s v="INTRADEVCO  INDUSTRIAL S.A."/>
    <n v="-2.4103392568659125"/>
    <n v="0"/>
    <m/>
  </r>
  <r>
    <s v="DISMA"/>
    <s v="CENTRAL.xlsm"/>
    <x v="0"/>
    <s v="INTRADEVCO  INDUSTRIAL S.A."/>
    <s v="INTRADEVCO"/>
    <s v="H161A100"/>
    <s v="0"/>
    <s v="0"/>
    <n v="1"/>
    <s v="-"/>
    <m/>
    <n v="315.3"/>
    <n v="7567"/>
    <n v="5.8856644465588328"/>
    <n v="23.926419283222327"/>
    <n v="0"/>
    <n v="0"/>
    <m/>
    <m/>
    <m/>
    <n v="4936"/>
    <n v="2450"/>
    <s v="L"/>
    <n v="11224"/>
    <m/>
    <m/>
    <n v="-3.07"/>
    <m/>
    <m/>
    <m/>
    <n v="3"/>
    <s v="30/04/2015"/>
    <s v="20/08/2015"/>
    <n v="1.0973988778532471"/>
    <n v="0"/>
    <n v="0"/>
    <n v="0.2413793103448276"/>
    <n v="0"/>
    <n v="0"/>
    <n v="0"/>
    <n v="0"/>
    <n v="0"/>
    <m/>
    <m/>
    <s v="18/05/2015"/>
    <m/>
    <s v="13/03/2015"/>
    <s v="08/05/2015"/>
    <m/>
    <m/>
    <m/>
    <s v="NO MANUFACTURA VARIOS"/>
    <n v="0.66"/>
    <n v="1.32"/>
    <m/>
    <m/>
    <n v="36"/>
    <n v="1"/>
    <n v="10000000000"/>
    <n v="7423"/>
    <n v="1748"/>
    <x v="1"/>
    <n v="0.76"/>
    <n v="28428"/>
    <n v="0"/>
    <n v="0"/>
    <n v="0"/>
    <n v="0"/>
    <n v="0"/>
    <n v="30176"/>
    <n v="0"/>
    <m/>
    <n v="1856"/>
    <n v="463.32000000000005"/>
    <n v="0"/>
    <n v="1.24878"/>
    <n v="0"/>
    <n v="1"/>
    <s v="30/04/2015"/>
    <s v="INTRADEVCO  INDUSTRIAL S.A."/>
    <n v="0.76451569446315504"/>
    <n v="0"/>
    <m/>
  </r>
  <r>
    <s v="DISMA"/>
    <s v="CENTRAL.xlsm"/>
    <x v="0"/>
    <s v="INTRADEVCO  INDUSTRIAL S.A."/>
    <s v="INTRADEVCO"/>
    <s v="H162A100"/>
    <s v="0"/>
    <s v="0"/>
    <n v="1"/>
    <s v="-"/>
    <m/>
    <n v="157.69999999999999"/>
    <n v="3785"/>
    <n v="5.4137603043753968"/>
    <n v="22.038681039949271"/>
    <n v="0"/>
    <n v="28"/>
    <m/>
    <m/>
    <m/>
    <n v="2271"/>
    <n v="1127"/>
    <s v="L"/>
    <n v="5090"/>
    <m/>
    <m/>
    <n v="-3.07"/>
    <m/>
    <m/>
    <m/>
    <n v="3.0923076923076924"/>
    <s v="30/04/2015"/>
    <s v="20/08/2015"/>
    <n v="1.1832159566199232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0.65"/>
    <n v="1.32"/>
    <m/>
    <m/>
    <n v="36"/>
    <n v="1"/>
    <n v="10000000000"/>
    <n v="3415"/>
    <n v="684"/>
    <x v="1"/>
    <n v="0.8"/>
    <n v="13218"/>
    <n v="0"/>
    <n v="0"/>
    <n v="0"/>
    <n v="0"/>
    <n v="0"/>
    <n v="13902"/>
    <n v="0"/>
    <m/>
    <n v="854"/>
    <n v="296.81"/>
    <n v="0"/>
    <n v="1.3609640000000001"/>
    <n v="0"/>
    <n v="1"/>
    <s v="30/04/2015"/>
    <s v="INTRADEVCO  INDUSTRIAL S.A."/>
    <n v="0.79970717423133231"/>
    <n v="0"/>
    <m/>
  </r>
  <r>
    <s v="DISMA"/>
    <s v="CENTRAL.xlsm"/>
    <x v="0"/>
    <s v="INTRADEVCO  INDUSTRIAL S.A."/>
    <s v="INTRADEVCO"/>
    <s v="H224A000"/>
    <s v="0"/>
    <s v="0"/>
    <n v="1"/>
    <s v="-"/>
    <m/>
    <n v="905.2"/>
    <n v="21725"/>
    <n v="5.4151016349977903"/>
    <n v="22.048166151126821"/>
    <n v="0"/>
    <n v="0"/>
    <m/>
    <m/>
    <m/>
    <n v="13039"/>
    <n v="6470"/>
    <s v="L"/>
    <n v="29388"/>
    <m/>
    <m/>
    <n v="-3.07"/>
    <m/>
    <m/>
    <m/>
    <n v="5.6341463414634152"/>
    <s v="30/04/2015"/>
    <s v="20/08/2015"/>
    <n v="0.57407464728040236"/>
    <n v="0"/>
    <n v="0"/>
    <n v="0.16091954022988506"/>
    <n v="8.0459770114942528E-2"/>
    <n v="0"/>
    <n v="0"/>
    <n v="0"/>
    <n v="0"/>
    <m/>
    <m/>
    <m/>
    <m/>
    <s v="13/03/2015"/>
    <s v="08/05/2015"/>
    <m/>
    <m/>
    <m/>
    <s v="NO MANUFACTURA VARIOS"/>
    <n v="0.41"/>
    <n v="1.18"/>
    <m/>
    <m/>
    <n v="12"/>
    <n v="1"/>
    <n v="10000000000"/>
    <n v="19607"/>
    <n v="4166"/>
    <x v="1"/>
    <n v="0.79"/>
    <n v="75666"/>
    <n v="0"/>
    <n v="0"/>
    <n v="0"/>
    <n v="0"/>
    <n v="0"/>
    <n v="79832"/>
    <n v="0"/>
    <m/>
    <n v="4902"/>
    <n v="1774.08"/>
    <n v="0"/>
    <n v="2.2110069999999999"/>
    <n v="0"/>
    <n v="1"/>
    <s v="30/04/2015"/>
    <s v="INTRADEVCO  INDUSTRIAL S.A."/>
    <n v="0.78752486356913343"/>
    <n v="0"/>
    <m/>
  </r>
  <r>
    <s v="DISMA"/>
    <s v="CENTRAL.xlsm"/>
    <x v="0"/>
    <s v="INTRADEVCO  INDUSTRIAL S.A."/>
    <s v="INTRADEVCO"/>
    <s v="H224A100"/>
    <s v="0"/>
    <s v="0"/>
    <n v="1"/>
    <s v="-"/>
    <m/>
    <n v="369.7"/>
    <n v="8873"/>
    <n v="6.3084933730051391"/>
    <n v="25.114958074114146"/>
    <n v="0"/>
    <n v="0"/>
    <m/>
    <m/>
    <m/>
    <n v="6204"/>
    <n v="3079"/>
    <s v="L"/>
    <n v="14054"/>
    <m/>
    <m/>
    <n v="-2.98"/>
    <m/>
    <m/>
    <m/>
    <n v="5.6341463414634143"/>
    <s v="30/04/2015"/>
    <s v="20/08/2015"/>
    <n v="0.65333284722506046"/>
    <n v="0"/>
    <n v="0"/>
    <n v="0.16091954022988506"/>
    <n v="0"/>
    <n v="8.0459770114942528E-2"/>
    <n v="0"/>
    <n v="0"/>
    <n v="0"/>
    <m/>
    <m/>
    <m/>
    <m/>
    <s v="03/03/2015"/>
    <s v="10/04/2015"/>
    <m/>
    <m/>
    <m/>
    <s v="NO MANUFACTURA VARIOS"/>
    <n v="0.41"/>
    <n v="1.18"/>
    <m/>
    <m/>
    <n v="12"/>
    <n v="1"/>
    <n v="10000000000"/>
    <n v="9329"/>
    <n v="2511"/>
    <x v="1"/>
    <n v="0.73"/>
    <n v="34629"/>
    <n v="0"/>
    <n v="0"/>
    <n v="0"/>
    <n v="0"/>
    <n v="0"/>
    <n v="37140"/>
    <n v="0"/>
    <m/>
    <n v="2332"/>
    <n v="437.36"/>
    <n v="0"/>
    <n v="2.036921"/>
    <n v="0"/>
    <n v="1"/>
    <s v="30/04/2015"/>
    <s v="INTRADEVCO  INDUSTRIAL S.A."/>
    <n v="0.73083931825490411"/>
    <n v="0"/>
    <m/>
  </r>
  <r>
    <s v="DISMA"/>
    <s v="CENTRAL.xlsm"/>
    <x v="0"/>
    <s v="INTRADEVCO  INDUSTRIAL S.A."/>
    <s v="INTRADEVCO"/>
    <s v="H224A500"/>
    <s v="0"/>
    <s v="0"/>
    <n v="1"/>
    <s v="-"/>
    <m/>
    <n v="169.9"/>
    <n v="4078"/>
    <n v="9.6600941730429657"/>
    <n v="30.906415538552089"/>
    <n v="0"/>
    <n v="0"/>
    <m/>
    <m/>
    <m/>
    <n v="4366"/>
    <n v="2166"/>
    <s v="L"/>
    <n v="9754"/>
    <m/>
    <m/>
    <n v="-2.2000000000000002"/>
    <m/>
    <m/>
    <m/>
    <n v="5.85"/>
    <s v="30/04/2015"/>
    <s v="20/08/2015"/>
    <n v="0.1309216455006805"/>
    <n v="0"/>
    <n v="0"/>
    <n v="0"/>
    <n v="0.10344827586206896"/>
    <n v="0.13793103448275862"/>
    <n v="0"/>
    <n v="0"/>
    <n v="0"/>
    <m/>
    <m/>
    <m/>
    <m/>
    <s v="03/03/2015"/>
    <s v="10/04/2015"/>
    <m/>
    <m/>
    <m/>
    <s v="NO MANUFACTURA VARIOS"/>
    <n v="0.4"/>
    <n v="1.18"/>
    <m/>
    <m/>
    <n v="12"/>
    <n v="1"/>
    <n v="10000000000"/>
    <n v="6565"/>
    <n v="4129"/>
    <x v="0"/>
    <n v="0.37"/>
    <n v="16875"/>
    <n v="0"/>
    <n v="0"/>
    <n v="0"/>
    <n v="0"/>
    <n v="0"/>
    <n v="21004"/>
    <n v="0"/>
    <m/>
    <n v="1641"/>
    <n v="0"/>
    <n v="0"/>
    <n v="1.3229249999999999"/>
    <n v="0"/>
    <n v="1"/>
    <s v="30/04/2015"/>
    <s v="INTRADEVCO  INDUSTRIAL S.A."/>
    <n v="0.37105864432597108"/>
    <n v="0"/>
    <m/>
  </r>
  <r>
    <s v="DISMA"/>
    <s v="CENTRAL.xlsm"/>
    <x v="0"/>
    <s v="INTRADEVCO  INDUSTRIAL S.A."/>
    <s v="INTRADEVCO"/>
    <s v="H224A700"/>
    <s v="0"/>
    <s v="0"/>
    <n v="1"/>
    <s v="-"/>
    <m/>
    <n v="283.10000000000002"/>
    <n v="6794"/>
    <n v="7.3074885199576114"/>
    <n v="28.28329212292476"/>
    <n v="0"/>
    <n v="0"/>
    <m/>
    <m/>
    <m/>
    <n v="5503"/>
    <n v="2731"/>
    <s v="L"/>
    <n v="12430"/>
    <m/>
    <m/>
    <n v="-2.87"/>
    <m/>
    <m/>
    <m/>
    <n v="5.6341463414634143"/>
    <s v="30/04/2015"/>
    <s v="20/08/2015"/>
    <n v="0.53880382334962462"/>
    <n v="0"/>
    <n v="0"/>
    <n v="0.16091954022988506"/>
    <n v="0"/>
    <n v="8.0459770114942528E-2"/>
    <n v="0"/>
    <n v="0"/>
    <n v="0"/>
    <m/>
    <m/>
    <m/>
    <m/>
    <s v="03/03/2015"/>
    <s v="10/04/2015"/>
    <m/>
    <m/>
    <m/>
    <s v="NO MANUFACTURA VARIOS"/>
    <n v="0.41"/>
    <n v="1.18"/>
    <m/>
    <m/>
    <n v="12"/>
    <n v="1"/>
    <n v="10000000000"/>
    <n v="8275"/>
    <n v="2631"/>
    <x v="1"/>
    <n v="0.68"/>
    <n v="29397"/>
    <n v="0"/>
    <n v="0"/>
    <n v="0"/>
    <n v="0"/>
    <n v="0"/>
    <n v="32028"/>
    <n v="0"/>
    <m/>
    <n v="2069"/>
    <n v="77"/>
    <n v="0"/>
    <n v="1.7236750000000001"/>
    <n v="0"/>
    <n v="1"/>
    <s v="30/04/2015"/>
    <s v="INTRADEVCO  INDUSTRIAL S.A."/>
    <n v="0.68205438066465252"/>
    <n v="0"/>
    <m/>
  </r>
  <r>
    <s v="DISMA"/>
    <s v="CENTRAL.xlsm"/>
    <x v="0"/>
    <s v="INTRADEVCO  INDUSTRIAL S.A."/>
    <s v="INTRADEVCO"/>
    <s v="H224A800"/>
    <s v="0"/>
    <s v="0"/>
    <n v="1"/>
    <s v="-"/>
    <m/>
    <n v="164.6"/>
    <n v="3950"/>
    <n v="7.9009720534629411"/>
    <n v="22.235722964763063"/>
    <n v="0"/>
    <n v="0"/>
    <m/>
    <m/>
    <m/>
    <n v="3459"/>
    <n v="1717"/>
    <s v="L"/>
    <n v="7850"/>
    <m/>
    <m/>
    <n v="-1.81"/>
    <m/>
    <m/>
    <m/>
    <n v="6.8333333333333321"/>
    <s v="30/04/2015"/>
    <s v="20/08/2015"/>
    <n v="8.2417840890625343E-2"/>
    <n v="0"/>
    <n v="0"/>
    <n v="0"/>
    <n v="0"/>
    <n v="0.2413793103448276"/>
    <n v="0"/>
    <n v="0"/>
    <n v="0"/>
    <m/>
    <m/>
    <m/>
    <m/>
    <s v="19/02/2015"/>
    <s v="10/04/2015"/>
    <m/>
    <m/>
    <m/>
    <s v="NO MANUFACTURA VARIOS"/>
    <n v="0.36"/>
    <n v="1.18"/>
    <m/>
    <m/>
    <n v="12"/>
    <n v="1"/>
    <n v="10000000000"/>
    <n v="5202"/>
    <n v="4455"/>
    <x v="3"/>
    <n v="0.14000000000000001"/>
    <n v="10185"/>
    <n v="0"/>
    <n v="0"/>
    <n v="0"/>
    <n v="0"/>
    <n v="0"/>
    <n v="14640"/>
    <n v="0"/>
    <m/>
    <n v="1301"/>
    <n v="0"/>
    <n v="0"/>
    <n v="1.9271430000000001"/>
    <n v="0"/>
    <n v="1"/>
    <s v="30/04/2015"/>
    <s v="INTRADEVCO  INDUSTRIAL S.A."/>
    <n v="0.14359861591695502"/>
    <n v="0"/>
    <m/>
  </r>
  <r>
    <s v="DISMA"/>
    <s v="CENTRAL.xlsm"/>
    <x v="0"/>
    <s v="INTRADEVCO  INDUSTRIAL S.A."/>
    <s v="INTRADEVCO"/>
    <s v="H224B000"/>
    <s v="0"/>
    <s v="0"/>
    <n v="1"/>
    <s v="-"/>
    <m/>
    <n v="827.8"/>
    <n v="19867"/>
    <n v="5.9159821212853352"/>
    <n v="26.621164532495772"/>
    <n v="0"/>
    <n v="0"/>
    <m/>
    <m/>
    <m/>
    <n v="13027"/>
    <n v="6464"/>
    <s v="L"/>
    <n v="29418"/>
    <m/>
    <m/>
    <n v="-3.5"/>
    <m/>
    <m/>
    <m/>
    <n v="5.6000000000000005"/>
    <s v="30/04/2015"/>
    <s v="20/08/2015"/>
    <n v="0.89131717114083253"/>
    <n v="0"/>
    <n v="0"/>
    <n v="0.10344827586206896"/>
    <n v="0.13793103448275862"/>
    <n v="0"/>
    <n v="0"/>
    <n v="0"/>
    <n v="0"/>
    <m/>
    <m/>
    <m/>
    <m/>
    <s v="13/03/2015"/>
    <s v="08/05/2015"/>
    <m/>
    <m/>
    <m/>
    <s v="NO MANUFACTURA VARIOS"/>
    <n v="0.15"/>
    <n v="0.43"/>
    <m/>
    <m/>
    <n v="24"/>
    <n v="1"/>
    <n v="10000000000"/>
    <n v="19589"/>
    <n v="5"/>
    <x v="1"/>
    <n v="1"/>
    <n v="88095"/>
    <n v="0"/>
    <n v="0"/>
    <n v="0"/>
    <n v="0"/>
    <n v="48"/>
    <n v="88148"/>
    <n v="0"/>
    <m/>
    <n v="4897"/>
    <n v="1808.5200000000002"/>
    <n v="0"/>
    <n v="4.4807459999999999"/>
    <n v="0"/>
    <n v="1"/>
    <s v="30/04/2015"/>
    <s v="INTRADEVCO  INDUSTRIAL S.A."/>
    <n v="0.9997447547092756"/>
    <n v="0"/>
    <m/>
  </r>
  <r>
    <s v="DISMA"/>
    <s v="CENTRAL.xlsm"/>
    <x v="0"/>
    <s v="INTRADEVCO  INDUSTRIAL S.A."/>
    <s v="INTRADEVCO"/>
    <s v="H224B100"/>
    <s v="0"/>
    <s v="0"/>
    <n v="1"/>
    <s v="-"/>
    <m/>
    <n v="638.4"/>
    <n v="15322"/>
    <n v="6.4849624060150379"/>
    <n v="28.914473684210527"/>
    <n v="0"/>
    <n v="0"/>
    <m/>
    <m/>
    <m/>
    <n v="11012"/>
    <n v="5465"/>
    <s v="L"/>
    <n v="24852"/>
    <m/>
    <m/>
    <n v="-3.46"/>
    <m/>
    <m/>
    <m/>
    <n v="5.0625000000000009"/>
    <s v="30/04/2015"/>
    <s v="20/08/2015"/>
    <n v="0.88360442557483398"/>
    <n v="0"/>
    <n v="0"/>
    <n v="0.10344827586206896"/>
    <n v="0.13793103448275862"/>
    <n v="0"/>
    <n v="0"/>
    <n v="0"/>
    <n v="0"/>
    <m/>
    <m/>
    <m/>
    <m/>
    <s v="13/03/2015"/>
    <s v="08/05/2015"/>
    <m/>
    <m/>
    <m/>
    <s v="NO MANUFACTURA VARIOS"/>
    <n v="0.16"/>
    <n v="0.43"/>
    <m/>
    <m/>
    <n v="24"/>
    <n v="1"/>
    <n v="10000000000"/>
    <n v="16560"/>
    <n v="47"/>
    <x v="1"/>
    <n v="1"/>
    <n v="73476"/>
    <n v="0"/>
    <n v="0"/>
    <n v="0"/>
    <n v="0"/>
    <n v="313"/>
    <n v="73836"/>
    <n v="0"/>
    <m/>
    <n v="4140"/>
    <n v="1462.8600000000001"/>
    <n v="0"/>
    <n v="3.9847519999999998"/>
    <n v="0"/>
    <n v="1"/>
    <s v="30/04/2015"/>
    <s v="INTRADEVCO  INDUSTRIAL S.A."/>
    <n v="0.99716183574879225"/>
    <n v="0"/>
    <m/>
  </r>
  <r>
    <s v="DISMA"/>
    <s v="CENTRAL.xlsm"/>
    <x v="0"/>
    <s v="INTRADEVCO  INDUSTRIAL S.A."/>
    <s v="INTRADEVCO"/>
    <s v="H224B700"/>
    <s v="0"/>
    <s v="0"/>
    <n v="1"/>
    <s v="-"/>
    <m/>
    <n v="450.9"/>
    <n v="10822"/>
    <n v="8.3288977600354848"/>
    <n v="37.238855622089154"/>
    <n v="0"/>
    <n v="15"/>
    <m/>
    <m/>
    <m/>
    <n v="9990"/>
    <n v="4957"/>
    <s v="L"/>
    <n v="22580"/>
    <m/>
    <m/>
    <n v="-3.47"/>
    <m/>
    <m/>
    <m/>
    <n v="6.9230769230769225"/>
    <s v="30/04/2015"/>
    <s v="20/08/2015"/>
    <n v="0.88786432002349902"/>
    <n v="0"/>
    <n v="0.10344827586206896"/>
    <n v="0"/>
    <n v="0.13793103448275862"/>
    <n v="0"/>
    <n v="0"/>
    <n v="0"/>
    <n v="0"/>
    <m/>
    <m/>
    <m/>
    <m/>
    <s v="13/03/2015"/>
    <s v="08/05/2015"/>
    <m/>
    <m/>
    <m/>
    <s v="NO MANUFACTURA VARIOS"/>
    <n v="0.13"/>
    <n v="0.43"/>
    <m/>
    <m/>
    <n v="24"/>
    <n v="1"/>
    <n v="10000000000"/>
    <n v="15022"/>
    <n v="0"/>
    <x v="4"/>
    <n v="1"/>
    <n v="66876"/>
    <n v="0"/>
    <n v="0"/>
    <n v="0"/>
    <n v="0"/>
    <n v="288"/>
    <n v="67164"/>
    <n v="0"/>
    <m/>
    <n v="3756"/>
    <n v="1487.1"/>
    <n v="0"/>
    <n v="3.6700020000000002"/>
    <n v="0"/>
    <n v="1"/>
    <s v="30/04/2015"/>
    <s v="INTRADEVCO  INDUSTRIAL S.A."/>
    <n v="1"/>
    <n v="0"/>
    <m/>
  </r>
  <r>
    <s v="DISMA"/>
    <s v="CENTRAL.xlsm"/>
    <x v="0"/>
    <s v="INTRADEVCO  INDUSTRIAL S.A."/>
    <s v="INTRADEVCO"/>
    <s v="H224C000"/>
    <s v="0"/>
    <s v="0"/>
    <n v="1"/>
    <s v="-"/>
    <m/>
    <n v="238.1"/>
    <n v="5714"/>
    <n v="8.3431331373372526"/>
    <n v="31.823813523729527"/>
    <n v="0"/>
    <n v="0"/>
    <m/>
    <m/>
    <m/>
    <n v="5284"/>
    <n v="2622"/>
    <s v="L"/>
    <n v="12013"/>
    <m/>
    <m/>
    <n v="-2.81"/>
    <m/>
    <m/>
    <m/>
    <n v="4.0714285714285712"/>
    <s v="30/04/2015"/>
    <s v="20/08/2015"/>
    <n v="0.2711196786616013"/>
    <n v="0"/>
    <n v="0"/>
    <n v="0"/>
    <n v="0.2413793103448276"/>
    <n v="0"/>
    <n v="0"/>
    <n v="0"/>
    <n v="0"/>
    <m/>
    <m/>
    <m/>
    <m/>
    <s v="03/03/2015"/>
    <s v="10/04/2015"/>
    <m/>
    <m/>
    <m/>
    <s v="NO MANUFACTURA VARIOS"/>
    <n v="0.28000000000000003"/>
    <n v="0.66"/>
    <m/>
    <m/>
    <n v="24"/>
    <n v="1"/>
    <n v="10000000000"/>
    <n v="7946"/>
    <n v="2865"/>
    <x v="0"/>
    <n v="0.64"/>
    <n v="27444"/>
    <n v="0"/>
    <n v="0"/>
    <n v="0"/>
    <n v="0"/>
    <n v="0"/>
    <n v="30309"/>
    <n v="0"/>
    <m/>
    <n v="1987"/>
    <n v="0"/>
    <n v="0"/>
    <n v="2.2814709999999998"/>
    <n v="0"/>
    <n v="1"/>
    <s v="30/04/2015"/>
    <s v="INTRADEVCO  INDUSTRIAL S.A."/>
    <n v="0.63944122829096406"/>
    <n v="0"/>
    <m/>
  </r>
  <r>
    <s v="DISMA"/>
    <s v="CENTRAL.xlsm"/>
    <x v="0"/>
    <s v="INTRADEVCO  INDUSTRIAL S.A."/>
    <s v="INTRADEVCO"/>
    <s v="H224C200"/>
    <s v="0"/>
    <s v="0"/>
    <n v="1"/>
    <s v="-"/>
    <m/>
    <n v="174.6"/>
    <n v="4190"/>
    <n v="7.9768041237113403"/>
    <n v="29.400057273768613"/>
    <n v="0"/>
    <n v="0"/>
    <m/>
    <m/>
    <m/>
    <n v="3705"/>
    <n v="1838"/>
    <s v="L"/>
    <n v="8267"/>
    <m/>
    <m/>
    <n v="-2.69"/>
    <m/>
    <m/>
    <m/>
    <n v="4.0714285714285712"/>
    <s v="30/04/2015"/>
    <s v="20/08/2015"/>
    <n v="0.52604774944219646"/>
    <n v="0"/>
    <n v="0"/>
    <n v="5.7471264367816091E-2"/>
    <n v="0.10344827586206896"/>
    <n v="8.0459770114942528E-2"/>
    <n v="0"/>
    <n v="0"/>
    <n v="0"/>
    <m/>
    <m/>
    <m/>
    <m/>
    <s v="03/03/2015"/>
    <s v="10/04/2015"/>
    <m/>
    <m/>
    <m/>
    <s v="NO MANUFACTURA VARIOS"/>
    <n v="0.28000000000000003"/>
    <n v="0.66"/>
    <m/>
    <m/>
    <n v="24"/>
    <n v="1"/>
    <n v="10000000000"/>
    <n v="5571"/>
    <n v="2134"/>
    <x v="0"/>
    <n v="0.62"/>
    <n v="18399"/>
    <n v="0"/>
    <n v="0"/>
    <n v="0"/>
    <n v="0"/>
    <n v="0"/>
    <n v="20533"/>
    <n v="0"/>
    <m/>
    <n v="1393"/>
    <n v="0"/>
    <n v="0"/>
    <n v="2.3668490000000002"/>
    <n v="0"/>
    <n v="1"/>
    <s v="30/04/2015"/>
    <s v="INTRADEVCO  INDUSTRIAL S.A."/>
    <n v="0.61694489319691259"/>
    <n v="0"/>
    <m/>
  </r>
  <r>
    <s v="DISMA"/>
    <s v="CENTRAL.xlsm"/>
    <x v="0"/>
    <s v="INTRADEVCO  INDUSTRIAL S.A."/>
    <s v="INTRADEVCO"/>
    <s v="H224C700"/>
    <s v="0"/>
    <s v="0"/>
    <n v="1"/>
    <s v="-"/>
    <m/>
    <n v="244.1"/>
    <n v="5858"/>
    <n v="7.8840639082343307"/>
    <n v="31.116345759934454"/>
    <n v="0"/>
    <n v="0"/>
    <m/>
    <m/>
    <m/>
    <n v="5119"/>
    <n v="2540"/>
    <s v="L"/>
    <n v="11466"/>
    <m/>
    <m/>
    <n v="-2.95"/>
    <m/>
    <m/>
    <m/>
    <n v="4.333333333333333"/>
    <s v="30/04/2015"/>
    <s v="20/08/2015"/>
    <n v="0.38704725283900165"/>
    <n v="0"/>
    <n v="0"/>
    <n v="0.10344827586206896"/>
    <n v="0.13793103448275862"/>
    <n v="0"/>
    <n v="0"/>
    <n v="0"/>
    <n v="0"/>
    <m/>
    <m/>
    <m/>
    <m/>
    <s v="19/02/2015"/>
    <s v="10/04/2015"/>
    <m/>
    <m/>
    <m/>
    <s v="NO MANUFACTURA VARIOS"/>
    <n v="0.27"/>
    <n v="0.66"/>
    <m/>
    <m/>
    <n v="24"/>
    <n v="1"/>
    <n v="10000000000"/>
    <n v="7698"/>
    <n v="2008"/>
    <x v="1"/>
    <n v="0.74"/>
    <n v="28374"/>
    <n v="0"/>
    <n v="0"/>
    <n v="0"/>
    <n v="0"/>
    <n v="0"/>
    <n v="30382"/>
    <n v="0"/>
    <m/>
    <n v="1925"/>
    <n v="207.48000000000002"/>
    <n v="0"/>
    <n v="2.5066639999999998"/>
    <n v="0"/>
    <n v="1"/>
    <s v="30/04/2015"/>
    <s v="INTRADEVCO  INDUSTRIAL S.A."/>
    <n v="0.73915302676019745"/>
    <n v="0"/>
    <m/>
  </r>
  <r>
    <s v="DISMA"/>
    <s v="CENTRAL.xlsm"/>
    <x v="0"/>
    <s v="INTRADEVCO  INDUSTRIAL S.A."/>
    <s v="INTRADEVCO"/>
    <s v="H224F000"/>
    <s v="0"/>
    <s v="0"/>
    <n v="1"/>
    <s v="-"/>
    <m/>
    <n v="115"/>
    <n v="2760"/>
    <n v="5.8652173913043475"/>
    <n v="24.947826086956521"/>
    <n v="0"/>
    <n v="0"/>
    <m/>
    <m/>
    <m/>
    <n v="1794"/>
    <n v="890"/>
    <s v="L"/>
    <n v="4066"/>
    <m/>
    <m/>
    <n v="-3.25"/>
    <m/>
    <m/>
    <m/>
    <n v="5.6999999999999984"/>
    <s v="30/04/2015"/>
    <s v="20/08/2015"/>
    <n v="0.61927902123030831"/>
    <n v="0"/>
    <n v="0"/>
    <n v="0.10344827586206896"/>
    <n v="5.7471264367816091E-2"/>
    <n v="8.0459770114942528E-2"/>
    <n v="0"/>
    <n v="0"/>
    <n v="0"/>
    <m/>
    <m/>
    <m/>
    <m/>
    <s v="03/03/2015"/>
    <s v="10/04/2015"/>
    <m/>
    <m/>
    <m/>
    <s v="NO MANUFACTURA VARIOS"/>
    <n v="0.8"/>
    <n v="2.3199999999999998"/>
    <m/>
    <m/>
    <n v="6"/>
    <n v="1"/>
    <n v="10000000000"/>
    <n v="2698"/>
    <n v="361"/>
    <x v="1"/>
    <n v="0.87"/>
    <n v="11115"/>
    <n v="0"/>
    <n v="0"/>
    <n v="0"/>
    <n v="0"/>
    <n v="0"/>
    <n v="11476"/>
    <n v="0"/>
    <m/>
    <n v="675"/>
    <n v="804.07999999999993"/>
    <n v="0"/>
    <n v="1.1545589999999999"/>
    <n v="0"/>
    <n v="1"/>
    <s v="30/04/2015"/>
    <s v="INTRADEVCO  INDUSTRIAL S.A."/>
    <n v="0.86619718309859151"/>
    <n v="0"/>
    <m/>
  </r>
  <r>
    <s v="DISMA"/>
    <s v="CENTRAL.xlsm"/>
    <x v="0"/>
    <s v="INTRADEVCO  INDUSTRIAL S.A."/>
    <s v="INTRADEVCO"/>
    <s v="H224F100"/>
    <s v="0"/>
    <s v="0"/>
    <n v="1"/>
    <s v="-"/>
    <m/>
    <n v="100.2"/>
    <n v="2405"/>
    <n v="5.7534930139720561"/>
    <n v="15.716067864271457"/>
    <n v="0"/>
    <n v="0"/>
    <m/>
    <m/>
    <m/>
    <n v="1533"/>
    <n v="761"/>
    <s v="L"/>
    <n v="3489"/>
    <m/>
    <m/>
    <n v="-1.73"/>
    <m/>
    <m/>
    <m/>
    <n v="7.2352941176470562"/>
    <s v="30/04/2015"/>
    <s v="20/08/2015"/>
    <n v="0.13518850388340556"/>
    <n v="0"/>
    <n v="0"/>
    <n v="0"/>
    <n v="0"/>
    <n v="0.10344827586206896"/>
    <n v="0.13793103448275862"/>
    <n v="0"/>
    <n v="0"/>
    <m/>
    <m/>
    <m/>
    <m/>
    <s v="19/02/2015"/>
    <s v="10/04/2015"/>
    <m/>
    <m/>
    <m/>
    <s v="NO MANUFACTURA VARIOS"/>
    <n v="0.68"/>
    <n v="2.3199999999999998"/>
    <m/>
    <m/>
    <n v="6"/>
    <n v="1"/>
    <n v="10000000000"/>
    <n v="2306"/>
    <n v="2084"/>
    <x v="3"/>
    <n v="0.1"/>
    <n v="4215"/>
    <n v="0"/>
    <n v="0"/>
    <n v="0"/>
    <n v="0"/>
    <n v="0"/>
    <n v="6299"/>
    <n v="0"/>
    <m/>
    <n v="577"/>
    <n v="0"/>
    <n v="0"/>
    <n v="1.3927860000000001"/>
    <n v="0"/>
    <n v="1"/>
    <s v="30/04/2015"/>
    <s v="INTRADEVCO  INDUSTRIAL S.A."/>
    <n v="9.6270598438855159E-2"/>
    <n v="0"/>
    <m/>
  </r>
  <r>
    <s v="DISMA"/>
    <s v="CENTRAL.xlsm"/>
    <x v="0"/>
    <s v="INTRADEVCO  INDUSTRIAL S.A."/>
    <s v="INTRADEVCO"/>
    <s v="H224F700"/>
    <s v="0"/>
    <s v="0"/>
    <n v="1"/>
    <s v="-"/>
    <m/>
    <n v="85.5"/>
    <n v="2052"/>
    <n v="5.8040935672514617"/>
    <n v="20.614035087719298"/>
    <n v="0"/>
    <n v="0"/>
    <m/>
    <m/>
    <m/>
    <n v="1320"/>
    <n v="655"/>
    <s v="L"/>
    <n v="2992"/>
    <m/>
    <m/>
    <n v="-2.5499999999999998"/>
    <m/>
    <m/>
    <m/>
    <n v="7.2352941176470553"/>
    <s v="30/04/2015"/>
    <s v="20/08/2015"/>
    <n v="0.28629082088840163"/>
    <n v="0"/>
    <n v="0"/>
    <n v="0"/>
    <n v="0.10344827586206896"/>
    <n v="0.13793103448275862"/>
    <n v="0"/>
    <n v="0"/>
    <n v="0"/>
    <m/>
    <m/>
    <m/>
    <m/>
    <s v="19/02/2015"/>
    <s v="10/04/2015"/>
    <m/>
    <m/>
    <m/>
    <s v="NO MANUFACTURA VARIOS"/>
    <n v="0.68"/>
    <n v="2.3199999999999998"/>
    <m/>
    <m/>
    <n v="6"/>
    <n v="1"/>
    <n v="10000000000"/>
    <n v="1985"/>
    <n v="963"/>
    <x v="0"/>
    <n v="0.51"/>
    <n v="6087"/>
    <n v="0"/>
    <n v="0"/>
    <n v="0"/>
    <n v="0"/>
    <n v="0"/>
    <n v="7050"/>
    <n v="0"/>
    <m/>
    <n v="496"/>
    <n v="0"/>
    <n v="0"/>
    <n v="1.361683"/>
    <n v="0"/>
    <n v="1"/>
    <s v="30/04/2015"/>
    <s v="INTRADEVCO  INDUSTRIAL S.A."/>
    <n v="0.51486146095717888"/>
    <n v="0"/>
    <m/>
  </r>
  <r>
    <s v="DISMA"/>
    <s v="CENTRAL.xlsm"/>
    <x v="0"/>
    <s v="INTRADEVCO  INDUSTRIAL S.A."/>
    <s v="INTRADEVCO"/>
    <s v="H226A000"/>
    <s v="0"/>
    <s v="0"/>
    <n v="1"/>
    <s v="-"/>
    <m/>
    <n v="299.5"/>
    <n v="7188"/>
    <n v="8.5033388981636069"/>
    <n v="24.352253756260435"/>
    <n v="0"/>
    <n v="0"/>
    <m/>
    <m/>
    <m/>
    <n v="6774"/>
    <n v="3362"/>
    <s v="L"/>
    <n v="15280"/>
    <m/>
    <m/>
    <n v="-1.86"/>
    <m/>
    <m/>
    <m/>
    <n v="6.5675675675675667"/>
    <s v="30/04/2015"/>
    <s v="20/08/2015"/>
    <n v="0.22712935654684874"/>
    <n v="0"/>
    <n v="0"/>
    <n v="0"/>
    <n v="0"/>
    <n v="0.16091954022988506"/>
    <n v="8.0459770114942528E-2"/>
    <n v="0"/>
    <n v="0"/>
    <m/>
    <m/>
    <m/>
    <m/>
    <s v="19/02/2015"/>
    <s v="10/04/2015"/>
    <m/>
    <m/>
    <m/>
    <s v="NO MANUFACTURA VARIOS"/>
    <n v="0.37"/>
    <n v="1.18"/>
    <m/>
    <m/>
    <n v="12"/>
    <n v="1"/>
    <n v="10000000000"/>
    <n v="10187"/>
    <n v="8333"/>
    <x v="3"/>
    <n v="0.18"/>
    <n v="20841"/>
    <n v="0"/>
    <n v="0"/>
    <n v="0"/>
    <n v="0"/>
    <n v="0"/>
    <n v="29174"/>
    <n v="0"/>
    <m/>
    <n v="2547"/>
    <n v="0"/>
    <n v="0"/>
    <n v="1.3963209999999999"/>
    <n v="0"/>
    <n v="1"/>
    <s v="30/04/2015"/>
    <s v="INTRADEVCO  INDUSTRIAL S.A."/>
    <n v="0.18199666241287915"/>
    <n v="0"/>
    <m/>
  </r>
  <r>
    <s v="DISMA"/>
    <s v="CENTRAL.xlsm"/>
    <x v="0"/>
    <s v="INTRADEVCO  INDUSTRIAL S.A."/>
    <s v="INTRADEVCO"/>
    <s v="H231D000"/>
    <s v="0"/>
    <s v="0"/>
    <n v="1"/>
    <m/>
    <m/>
    <n v="418.7"/>
    <n v="10049"/>
    <n v="5.5314067351325535"/>
    <n v="10.232266539288274"/>
    <n v="0"/>
    <n v="0"/>
    <m/>
    <m/>
    <m/>
    <n v="6161"/>
    <n v="3057"/>
    <s v="L"/>
    <n v="14184"/>
    <m/>
    <m/>
    <n v="-0.85"/>
    <m/>
    <m/>
    <m/>
    <n v="6.7714285714285722"/>
    <s v="30/04/2015"/>
    <s v="20/08/2015"/>
    <n v="8.0376963315791791E-2"/>
    <n v="0"/>
    <n v="0"/>
    <n v="0"/>
    <n v="0"/>
    <n v="0"/>
    <n v="0.2413793103448276"/>
    <n v="0"/>
    <n v="0"/>
    <m/>
    <m/>
    <m/>
    <m/>
    <s v="29/12/2014"/>
    <s v="20/02/2015"/>
    <m/>
    <m/>
    <m/>
    <s v="NO MANUFACTURA DISMA"/>
    <n v="0.35"/>
    <n v="1.1399999999999999"/>
    <m/>
    <m/>
    <n v="12"/>
    <n v="1"/>
    <n v="10000000000"/>
    <n v="9264"/>
    <n v="17137"/>
    <x v="2"/>
    <n v="-0.85"/>
    <n v="0"/>
    <n v="0"/>
    <n v="0"/>
    <n v="0"/>
    <n v="0"/>
    <n v="0"/>
    <n v="17137"/>
    <n v="0"/>
    <m/>
    <n v="2316"/>
    <n v="0"/>
    <n v="2755.5499999999997"/>
    <n v="2.3334570000000001"/>
    <n v="0"/>
    <n v="1"/>
    <s v="30/04/2015"/>
    <s v="INTRADEVCO  INDUSTRIAL S.A."/>
    <n v="-0.8498488773747841"/>
    <n v="0"/>
    <m/>
  </r>
  <r>
    <s v="DISMA"/>
    <s v="CENTRAL.xlsm"/>
    <x v="0"/>
    <s v="INTRADEVCO  INDUSTRIAL S.A."/>
    <s v="INTRADEVCO"/>
    <s v="H232C100"/>
    <s v="0"/>
    <s v="0"/>
    <n v="1"/>
    <m/>
    <m/>
    <n v="317.10000000000002"/>
    <n v="7610"/>
    <n v="7.0135603910438347"/>
    <n v="11.28508356985178"/>
    <n v="0"/>
    <n v="0"/>
    <m/>
    <m/>
    <m/>
    <n v="5916"/>
    <n v="2936"/>
    <s v="L"/>
    <n v="13519"/>
    <m/>
    <m/>
    <n v="-0.61"/>
    <m/>
    <m/>
    <m/>
    <n v="5.4000000000000012"/>
    <s v="30/04/2015"/>
    <s v="20/08/2015"/>
    <n v="9.7408569588459962E-2"/>
    <n v="0"/>
    <n v="0"/>
    <n v="0"/>
    <n v="0"/>
    <n v="0"/>
    <n v="0.2413793103448276"/>
    <n v="0"/>
    <n v="0"/>
    <m/>
    <m/>
    <m/>
    <m/>
    <s v="29/12/2014"/>
    <s v="20/02/2015"/>
    <m/>
    <m/>
    <m/>
    <s v="NO MANUFACTURA DISMA"/>
    <n v="0.35"/>
    <n v="0.98"/>
    <m/>
    <m/>
    <n v="144"/>
    <n v="1"/>
    <n v="10000000000"/>
    <n v="8896"/>
    <n v="14314"/>
    <x v="2"/>
    <n v="-0.61"/>
    <n v="0"/>
    <n v="0"/>
    <n v="0"/>
    <n v="0"/>
    <n v="0"/>
    <n v="0"/>
    <n v="14314"/>
    <n v="0"/>
    <m/>
    <n v="2224"/>
    <n v="0"/>
    <n v="1896.3"/>
    <n v="2.0265930000000001"/>
    <n v="0"/>
    <n v="1"/>
    <s v="30/04/2015"/>
    <s v="INTRADEVCO  INDUSTRIAL S.A."/>
    <n v="-0.60903776978417268"/>
    <n v="0"/>
    <m/>
  </r>
  <r>
    <s v="DISMA"/>
    <s v="CENTRAL.xlsm"/>
    <x v="0"/>
    <s v="INTRADEVCO  INDUSTRIAL S.A."/>
    <s v="INTRADEVCO"/>
    <s v="H232D000"/>
    <s v="0"/>
    <s v="0"/>
    <n v="1"/>
    <m/>
    <m/>
    <n v="535.20000000000005"/>
    <n v="12845"/>
    <n v="5.909940209267563"/>
    <n v="11.942731689088191"/>
    <n v="0"/>
    <n v="0"/>
    <m/>
    <m/>
    <m/>
    <n v="8414"/>
    <n v="4175"/>
    <s v="L"/>
    <n v="19296"/>
    <m/>
    <m/>
    <n v="-1.02"/>
    <m/>
    <m/>
    <m/>
    <n v="6.7714285714285714"/>
    <s v="30/04/2015"/>
    <s v="20/08/2015"/>
    <n v="7.5485005130186758E-2"/>
    <n v="0"/>
    <n v="0"/>
    <n v="0"/>
    <n v="0"/>
    <n v="0"/>
    <n v="0.2413793103448276"/>
    <n v="0"/>
    <n v="0"/>
    <m/>
    <m/>
    <m/>
    <m/>
    <s v="29/12/2014"/>
    <s v="20/02/2015"/>
    <m/>
    <m/>
    <m/>
    <s v="NO MANUFACTURA DISMA"/>
    <n v="0.35"/>
    <n v="1.1399999999999999"/>
    <m/>
    <m/>
    <n v="12"/>
    <n v="1"/>
    <n v="10000000000"/>
    <n v="12652"/>
    <n v="25567"/>
    <x v="2"/>
    <n v="-1.02"/>
    <n v="0"/>
    <n v="0"/>
    <n v="0"/>
    <n v="0"/>
    <n v="0"/>
    <n v="0"/>
    <n v="25567"/>
    <n v="0"/>
    <m/>
    <n v="3163"/>
    <n v="0"/>
    <n v="4520.25"/>
    <n v="2.3052260000000002"/>
    <n v="0"/>
    <n v="1"/>
    <s v="30/04/2015"/>
    <s v="INTRADEVCO  INDUSTRIAL S.A."/>
    <n v="-1.0207872273158394"/>
    <n v="0"/>
    <m/>
  </r>
  <r>
    <s v="DISMA"/>
    <s v="CENTRAL.xlsm"/>
    <x v="0"/>
    <s v="INTRADEVCO  INDUSTRIAL S.A."/>
    <s v="INTRADEVCO"/>
    <s v="H232E000"/>
    <s v="0"/>
    <s v="0"/>
    <n v="1"/>
    <m/>
    <m/>
    <n v="170.3"/>
    <n v="4087"/>
    <n v="3.95331767469172"/>
    <n v="8.1004110393423367"/>
    <n v="0"/>
    <n v="0"/>
    <m/>
    <m/>
    <m/>
    <n v="1791"/>
    <n v="889"/>
    <s v="L"/>
    <n v="4031"/>
    <m/>
    <m/>
    <n v="-1.05"/>
    <m/>
    <m/>
    <m/>
    <n v="9.2999999999999972"/>
    <s v="30/04/2015"/>
    <s v="20/08/2015"/>
    <n v="6.0994365855088675E-2"/>
    <n v="0"/>
    <n v="0"/>
    <n v="0"/>
    <n v="0"/>
    <n v="0"/>
    <n v="0.2413793103448276"/>
    <n v="0"/>
    <n v="0"/>
    <m/>
    <m/>
    <m/>
    <m/>
    <m/>
    <m/>
    <m/>
    <m/>
    <m/>
    <s v="NO MANUFACTURA DISMA"/>
    <n v="0.2"/>
    <n v="0.82"/>
    <m/>
    <m/>
    <n v="144"/>
    <n v="1"/>
    <n v="10000000000"/>
    <n v="2693"/>
    <n v="5518"/>
    <x v="2"/>
    <n v="-1.05"/>
    <n v="0"/>
    <n v="0"/>
    <n v="0"/>
    <n v="0"/>
    <n v="0"/>
    <n v="0"/>
    <n v="5518"/>
    <n v="0"/>
    <m/>
    <n v="673"/>
    <n v="0"/>
    <n v="565"/>
    <n v="6.4203489999999999"/>
    <n v="0"/>
    <n v="1"/>
    <s v="30/04/2015"/>
    <s v="INTRADEVCO  INDUSTRIAL S.A."/>
    <n v="-1.0490159673226884"/>
    <n v="0"/>
    <m/>
  </r>
  <r>
    <s v="DISMA"/>
    <s v="CENTRAL.xlsm"/>
    <x v="0"/>
    <s v="INTRADEVCO  INDUSTRIAL S.A."/>
    <s v="INTRADEVCO"/>
    <s v="H233C100"/>
    <s v="0"/>
    <s v="0"/>
    <n v="1"/>
    <m/>
    <m/>
    <n v="2416.1999999999998"/>
    <n v="57989"/>
    <n v="3.9376914162734877"/>
    <n v="6.5352619816240383"/>
    <n v="0"/>
    <n v="0"/>
    <m/>
    <m/>
    <m/>
    <n v="25308"/>
    <n v="12559"/>
    <s v="L"/>
    <n v="58106"/>
    <m/>
    <m/>
    <n v="-0.66"/>
    <m/>
    <m/>
    <m/>
    <n v="5.4"/>
    <s v="30/04/2015"/>
    <s v="20/08/2015"/>
    <n v="0.12525469918251406"/>
    <n v="0"/>
    <n v="0"/>
    <n v="0"/>
    <n v="0"/>
    <n v="0"/>
    <n v="0.2413793103448276"/>
    <n v="0"/>
    <n v="0"/>
    <m/>
    <m/>
    <m/>
    <m/>
    <s v="29/12/2014"/>
    <s v="20/02/2015"/>
    <m/>
    <m/>
    <m/>
    <s v="NO MANUFACTURA DISMA"/>
    <n v="0.35"/>
    <n v="0.98"/>
    <m/>
    <m/>
    <n v="144"/>
    <n v="1"/>
    <n v="10000000000"/>
    <n v="38057"/>
    <n v="63162"/>
    <x v="2"/>
    <n v="-0.66"/>
    <n v="0"/>
    <n v="0"/>
    <n v="0"/>
    <n v="0"/>
    <n v="0"/>
    <n v="0"/>
    <n v="63162"/>
    <n v="0"/>
    <m/>
    <n v="9514"/>
    <n v="0"/>
    <n v="8786.75"/>
    <n v="3.3353730000000001"/>
    <n v="0"/>
    <n v="1"/>
    <s v="30/04/2015"/>
    <s v="INTRADEVCO  INDUSTRIAL S.A."/>
    <n v="-0.65966839214861916"/>
    <n v="0"/>
    <m/>
  </r>
  <r>
    <s v="DISMA"/>
    <s v="CENTRAL.xlsm"/>
    <x v="0"/>
    <s v="INTRADEVCO  INDUSTRIAL S.A."/>
    <s v="INTRADEVCO"/>
    <s v="H233D000"/>
    <s v="0"/>
    <s v="0"/>
    <n v="1"/>
    <s v="-"/>
    <m/>
    <n v="4961.8"/>
    <n v="119083"/>
    <n v="3.9441331774759161"/>
    <n v="11.761608690394615"/>
    <n v="0"/>
    <n v="0"/>
    <m/>
    <m/>
    <m/>
    <n v="52056"/>
    <n v="25832"/>
    <s v="L"/>
    <n v="119021"/>
    <m/>
    <m/>
    <n v="-1.98"/>
    <m/>
    <m/>
    <m/>
    <n v="6.7714285714285705"/>
    <s v="30/04/2015"/>
    <s v="20/08/2015"/>
    <n v="0.31731393606479774"/>
    <n v="0"/>
    <n v="0"/>
    <n v="1.1494252873563218E-2"/>
    <n v="0.12643678160919541"/>
    <n v="0.10344827586206896"/>
    <n v="0"/>
    <n v="0"/>
    <n v="0"/>
    <m/>
    <m/>
    <m/>
    <m/>
    <s v="29/12/2014"/>
    <s v="20/02/2015"/>
    <m/>
    <m/>
    <m/>
    <s v="NO MANUFACTURA DISMA"/>
    <n v="0.35"/>
    <n v="1.1399999999999999"/>
    <m/>
    <m/>
    <n v="12"/>
    <n v="1"/>
    <n v="10000000000"/>
    <n v="78280"/>
    <n v="61814"/>
    <x v="3"/>
    <n v="0.21"/>
    <n v="171621"/>
    <n v="0"/>
    <n v="0"/>
    <n v="0"/>
    <n v="0"/>
    <n v="0"/>
    <n v="233435"/>
    <n v="0"/>
    <m/>
    <n v="19570"/>
    <n v="0"/>
    <n v="0"/>
    <n v="3.2274250000000002"/>
    <n v="0"/>
    <n v="1"/>
    <s v="30/04/2015"/>
    <s v="INTRADEVCO  INDUSTRIAL S.A."/>
    <n v="0.21034747061829331"/>
    <n v="0"/>
    <m/>
  </r>
  <r>
    <s v="DISMA"/>
    <s v="CENTRAL.xlsm"/>
    <x v="0"/>
    <s v="INTRADEVCO  INDUSTRIAL S.A."/>
    <s v="INTRADEVCO"/>
    <s v="H233E000"/>
    <s v="0"/>
    <s v="0"/>
    <n v="1"/>
    <m/>
    <m/>
    <n v="401.3"/>
    <n v="9631"/>
    <n v="5.3457513082481931"/>
    <n v="13.911039122850735"/>
    <n v="0"/>
    <n v="0"/>
    <m/>
    <m/>
    <m/>
    <n v="5706"/>
    <n v="2832"/>
    <s v="L"/>
    <n v="13007"/>
    <m/>
    <m/>
    <n v="-1.6"/>
    <m/>
    <m/>
    <m/>
    <n v="8.25"/>
    <s v="30/04/2015"/>
    <s v="20/08/2015"/>
    <n v="6.0177718939456198E-2"/>
    <n v="0"/>
    <n v="0"/>
    <n v="0"/>
    <n v="0"/>
    <n v="0"/>
    <n v="0.2413793103448276"/>
    <n v="0"/>
    <n v="0"/>
    <m/>
    <m/>
    <m/>
    <m/>
    <m/>
    <m/>
    <m/>
    <m/>
    <m/>
    <s v="NO MANUFACTURA DISMA"/>
    <n v="0.2"/>
    <n v="0.75"/>
    <m/>
    <m/>
    <n v="144"/>
    <n v="1"/>
    <n v="10000000000"/>
    <n v="8581"/>
    <n v="22330"/>
    <x v="2"/>
    <n v="-1.6"/>
    <n v="0"/>
    <n v="0"/>
    <n v="0"/>
    <n v="0"/>
    <n v="0"/>
    <n v="0"/>
    <n v="22330"/>
    <n v="0"/>
    <m/>
    <n v="2145"/>
    <n v="0"/>
    <n v="2749.8"/>
    <n v="5.0227250000000003"/>
    <n v="0"/>
    <n v="1"/>
    <s v="30/04/2015"/>
    <s v="INTRADEVCO  INDUSTRIAL S.A."/>
    <n v="-1.6022608087635473"/>
    <n v="0"/>
    <m/>
  </r>
  <r>
    <s v="DISMA"/>
    <s v="CENTRAL.xlsm"/>
    <x v="0"/>
    <s v="INTRADEVCO  INDUSTRIAL S.A."/>
    <s v="INTRADEVCO"/>
    <s v="H251A200"/>
    <s v="0"/>
    <s v="0"/>
    <n v="1"/>
    <s v="-"/>
    <m/>
    <n v="24.4"/>
    <n v="586"/>
    <n v="5.6762295081967213"/>
    <n v="17.223360655737707"/>
    <n v="0"/>
    <n v="0"/>
    <m/>
    <m/>
    <m/>
    <n v="368"/>
    <n v="183"/>
    <s v="L"/>
    <n v="833"/>
    <m/>
    <m/>
    <n v="-2.0299999999999998"/>
    <m/>
    <m/>
    <m/>
    <n v="5.115384615384615"/>
    <s v="30/04/2015"/>
    <s v="20/08/2015"/>
    <n v="0.18403733065912892"/>
    <n v="0"/>
    <n v="0"/>
    <n v="0"/>
    <n v="0"/>
    <n v="0.10344827586206896"/>
    <n v="0.13793103448275862"/>
    <n v="0"/>
    <n v="0"/>
    <m/>
    <m/>
    <m/>
    <m/>
    <s v="19/02/2015"/>
    <s v="10/04/2015"/>
    <m/>
    <m/>
    <m/>
    <s v="NO MANUFACTURA VARIOS"/>
    <n v="0.78"/>
    <n v="2.11"/>
    <m/>
    <m/>
    <n v="12"/>
    <n v="1"/>
    <n v="10000000000"/>
    <n v="554"/>
    <n v="409"/>
    <x v="3"/>
    <n v="0.26"/>
    <n v="1272"/>
    <n v="0"/>
    <n v="0"/>
    <n v="0"/>
    <n v="0"/>
    <n v="0"/>
    <n v="1681"/>
    <n v="0"/>
    <m/>
    <n v="139"/>
    <n v="0"/>
    <n v="0"/>
    <n v="1.1964269999999999"/>
    <n v="0"/>
    <n v="1"/>
    <s v="30/04/2015"/>
    <s v="INTRADEVCO  INDUSTRIAL S.A."/>
    <n v="0.26173285198555957"/>
    <n v="0"/>
    <m/>
  </r>
  <r>
    <s v="DISMA"/>
    <s v="CENTRAL.xlsm"/>
    <x v="0"/>
    <s v="INTRADEVCO  INDUSTRIAL S.A."/>
    <s v="INTRADEVCO"/>
    <s v="H252A100"/>
    <s v="0"/>
    <s v="0"/>
    <n v="1"/>
    <s v="-"/>
    <s v="BUF"/>
    <n v="119.2"/>
    <n v="2861"/>
    <n v="3.4710570469798658"/>
    <n v="14.809144295302014"/>
    <n v="0"/>
    <n v="0"/>
    <m/>
    <m/>
    <m/>
    <n v="1101"/>
    <n v="546"/>
    <s v="L"/>
    <n v="2457"/>
    <m/>
    <m/>
    <n v="-3.27"/>
    <m/>
    <m/>
    <m/>
    <n v="5.0547945205479454"/>
    <s v="30/04/2015"/>
    <s v="20/08/2015"/>
    <n v="0.96621812366859705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73"/>
    <n v="1.96"/>
    <m/>
    <m/>
    <n v="12"/>
    <n v="1"/>
    <n v="10000000000"/>
    <n v="1655"/>
    <n v="155"/>
    <x v="1"/>
    <n v="0.91"/>
    <n v="6906"/>
    <n v="0"/>
    <n v="0"/>
    <n v="0"/>
    <n v="0"/>
    <n v="0"/>
    <n v="7061"/>
    <n v="0"/>
    <m/>
    <n v="414"/>
    <n v="480.93"/>
    <n v="0"/>
    <n v="1.154658"/>
    <n v="0"/>
    <n v="1"/>
    <s v="30/04/2015"/>
    <s v="INTRADEVCO  INDUSTRIAL S.A."/>
    <n v="0.90634441087613293"/>
    <n v="0"/>
    <m/>
  </r>
  <r>
    <s v="DISMA"/>
    <s v="CENTRAL.xlsm"/>
    <x v="0"/>
    <s v="INTRADEVCO  INDUSTRIAL S.A."/>
    <s v="INTRADEVCO"/>
    <s v="H261A200"/>
    <s v="0"/>
    <s v="0"/>
    <n v="1"/>
    <s v="-"/>
    <m/>
    <n v="471.6"/>
    <n v="11318"/>
    <n v="6.778519932145886"/>
    <n v="21.725508905852415"/>
    <n v="0"/>
    <n v="0"/>
    <m/>
    <m/>
    <m/>
    <n v="8503"/>
    <n v="4220"/>
    <s v="L"/>
    <n v="19593"/>
    <m/>
    <m/>
    <n v="-2.21"/>
    <m/>
    <m/>
    <m/>
    <n v="6.8181818181818183"/>
    <s v="30/04/2015"/>
    <s v="20/08/2015"/>
    <n v="0.10727487321858013"/>
    <n v="0"/>
    <n v="0"/>
    <n v="0"/>
    <n v="0.13793103448275862"/>
    <n v="0.10344827586206896"/>
    <n v="0"/>
    <n v="0"/>
    <n v="0"/>
    <m/>
    <m/>
    <m/>
    <m/>
    <s v="13/03/2015"/>
    <s v="08/05/2015"/>
    <m/>
    <m/>
    <m/>
    <s v="NO MANUFACTURA VARIOS"/>
    <n v="0.66"/>
    <n v="2.16"/>
    <m/>
    <m/>
    <n v="12"/>
    <n v="1"/>
    <n v="10000000000"/>
    <n v="12787"/>
    <n v="8898"/>
    <x v="3"/>
    <n v="0.3"/>
    <n v="32085"/>
    <n v="0"/>
    <n v="0"/>
    <n v="0"/>
    <n v="0"/>
    <n v="0"/>
    <n v="40983"/>
    <n v="0"/>
    <m/>
    <n v="3197"/>
    <n v="0"/>
    <n v="0"/>
    <n v="1.1229439999999999"/>
    <n v="0"/>
    <n v="1"/>
    <s v="30/04/2015"/>
    <s v="INTRADEVCO  INDUSTRIAL S.A."/>
    <n v="0.30413701415500116"/>
    <n v="0"/>
    <m/>
  </r>
  <r>
    <s v="DISMA"/>
    <s v="CENTRAL.xlsm"/>
    <x v="0"/>
    <s v="INTRADEVCO  INDUSTRIAL S.A."/>
    <s v="INTRADEVCO"/>
    <s v="H262A200"/>
    <s v="0"/>
    <s v="0"/>
    <n v="1"/>
    <s v="-"/>
    <s v="BUF"/>
    <n v="1118.3"/>
    <n v="26839"/>
    <n v="3.5216399892694268"/>
    <n v="13.80354108915318"/>
    <n v="0"/>
    <n v="0"/>
    <m/>
    <m/>
    <m/>
    <n v="10476"/>
    <n v="5198"/>
    <s v="L"/>
    <n v="24234"/>
    <m/>
    <m/>
    <n v="-2.92"/>
    <m/>
    <m/>
    <m/>
    <n v="6.6716417910447774"/>
    <s v="30/04/2015"/>
    <s v="20/08/2015"/>
    <n v="0.4492345262465659"/>
    <n v="0"/>
    <n v="0"/>
    <n v="0.13793103448275862"/>
    <n v="0.10344827586206896"/>
    <n v="0"/>
    <n v="0"/>
    <n v="0"/>
    <n v="0"/>
    <m/>
    <m/>
    <m/>
    <m/>
    <s v="13/03/2015"/>
    <s v="08/05/2015"/>
    <m/>
    <m/>
    <m/>
    <s v="NO MANUFACTURA VARIOS"/>
    <n v="0.67"/>
    <n v="2.16"/>
    <m/>
    <m/>
    <n v="12"/>
    <n v="1"/>
    <n v="10000000000"/>
    <n v="15753"/>
    <n v="5478"/>
    <x v="0"/>
    <n v="0.65"/>
    <n v="56268"/>
    <n v="0"/>
    <n v="0"/>
    <n v="0"/>
    <n v="0"/>
    <n v="0"/>
    <n v="61746"/>
    <n v="0"/>
    <m/>
    <n v="3938"/>
    <n v="0"/>
    <n v="0"/>
    <n v="1.1777899999999999"/>
    <n v="0"/>
    <n v="1"/>
    <s v="30/04/2015"/>
    <s v="INTRADEVCO  INDUSTRIAL S.A."/>
    <n v="0.65225671300704624"/>
    <n v="0"/>
    <m/>
  </r>
  <r>
    <s v="DISMA"/>
    <s v="CENTRAL.xlsm"/>
    <x v="0"/>
    <s v="INTRADEVCO  INDUSTRIAL S.A."/>
    <s v="INTRADEVCO"/>
    <s v="H274D000"/>
    <s v="0"/>
    <s v="0"/>
    <n v="1"/>
    <s v="-"/>
    <m/>
    <n v="2591.1"/>
    <n v="62186"/>
    <n v="3.0478368260584308"/>
    <n v="13.796071166685964"/>
    <n v="0"/>
    <n v="42"/>
    <m/>
    <m/>
    <m/>
    <n v="21007"/>
    <n v="10424"/>
    <s v="L"/>
    <n v="48068"/>
    <m/>
    <m/>
    <n v="-3.53"/>
    <m/>
    <m/>
    <m/>
    <n v="9.3636363636363633"/>
    <s v="30/04/2015"/>
    <s v="20/08/2015"/>
    <n v="1"/>
    <n v="0"/>
    <n v="0.2413793103448276"/>
    <n v="0"/>
    <n v="0"/>
    <n v="0"/>
    <n v="0"/>
    <n v="0"/>
    <n v="0"/>
    <m/>
    <m/>
    <m/>
    <m/>
    <s v="13/03/2015"/>
    <s v="08/05/2015"/>
    <m/>
    <m/>
    <m/>
    <s v="NO MANUFACTURA VARIOS"/>
    <n v="0.33"/>
    <n v="1.36"/>
    <m/>
    <m/>
    <n v="12"/>
    <n v="1"/>
    <n v="10000000000"/>
    <n v="31589"/>
    <n v="0"/>
    <x v="4"/>
    <n v="1"/>
    <n v="142380"/>
    <n v="0"/>
    <n v="0"/>
    <n v="0"/>
    <n v="0"/>
    <n v="608"/>
    <n v="142988"/>
    <n v="0"/>
    <m/>
    <n v="7897"/>
    <n v="10736.720000000001"/>
    <n v="0"/>
    <n v="3.5428519999999999"/>
    <n v="0"/>
    <n v="1"/>
    <s v="30/04/2015"/>
    <s v="INTRADEVCO  INDUSTRIAL S.A."/>
    <n v="1"/>
    <n v="0"/>
    <m/>
  </r>
  <r>
    <s v="DISMA"/>
    <s v="CENTRAL.xlsm"/>
    <x v="0"/>
    <s v="INTRADEVCO  INDUSTRIAL S.A."/>
    <s v="INTRADEVCO"/>
    <s v="H274D100"/>
    <s v="0"/>
    <s v="0"/>
    <n v="1"/>
    <s v="-"/>
    <m/>
    <n v="799.2"/>
    <n v="19181"/>
    <n v="6.0632507507507505"/>
    <n v="27.307307307307305"/>
    <n v="0"/>
    <n v="23"/>
    <m/>
    <m/>
    <m/>
    <n v="12890"/>
    <n v="6396"/>
    <s v="L"/>
    <n v="29610"/>
    <m/>
    <m/>
    <n v="-3.5"/>
    <m/>
    <m/>
    <m/>
    <n v="11.150943396226415"/>
    <s v="30/04/2015"/>
    <s v="20/08/2015"/>
    <n v="1.1832159566199232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0.53"/>
    <n v="2.5"/>
    <m/>
    <m/>
    <n v="12"/>
    <n v="1"/>
    <n v="10000000000"/>
    <n v="19383"/>
    <n v="767"/>
    <x v="1"/>
    <n v="0.96"/>
    <n v="86529"/>
    <n v="0"/>
    <n v="0"/>
    <n v="0"/>
    <n v="0"/>
    <n v="0"/>
    <n v="87296"/>
    <n v="0"/>
    <m/>
    <n v="4846"/>
    <n v="11089.13"/>
    <n v="0"/>
    <n v="1.5849329999999999"/>
    <n v="0"/>
    <n v="1"/>
    <s v="30/04/2015"/>
    <s v="INTRADEVCO  INDUSTRIAL S.A."/>
    <n v="0.96042924211938296"/>
    <n v="0"/>
    <m/>
  </r>
  <r>
    <s v="DISMA"/>
    <s v="CENTRAL.xlsm"/>
    <x v="0"/>
    <s v="INTRADEVCO  INDUSTRIAL S.A."/>
    <s v="INTRADEVCO"/>
    <s v="H275C000"/>
    <s v="0"/>
    <s v="0"/>
    <n v="1"/>
    <s v="-"/>
    <s v="BUF"/>
    <n v="796.4"/>
    <n v="19114"/>
    <n v="2.6666875941737822"/>
    <n v="8.9094676042189853"/>
    <n v="0"/>
    <n v="0"/>
    <m/>
    <m/>
    <m/>
    <n v="5649"/>
    <n v="2803"/>
    <s v="L"/>
    <n v="13082"/>
    <m/>
    <m/>
    <n v="-2.34"/>
    <m/>
    <m/>
    <m/>
    <n v="6.0769230769230758"/>
    <s v="30/04/2015"/>
    <s v="20/08/2015"/>
    <n v="0.23826695919913615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0.78"/>
    <n v="2.36"/>
    <m/>
    <m/>
    <n v="6"/>
    <n v="1"/>
    <n v="10000000000"/>
    <n v="8495"/>
    <n v="5432"/>
    <x v="0"/>
    <n v="0.36"/>
    <n v="22950"/>
    <n v="0"/>
    <n v="0"/>
    <n v="0"/>
    <n v="0"/>
    <n v="0"/>
    <n v="28382"/>
    <n v="0"/>
    <m/>
    <n v="2124"/>
    <n v="0"/>
    <n v="0"/>
    <n v="1.1377729999999999"/>
    <n v="0"/>
    <n v="1"/>
    <s v="30/04/2015"/>
    <s v="INTRADEVCO  INDUSTRIAL S.A."/>
    <n v="0.36056503825779873"/>
    <n v="0"/>
    <m/>
  </r>
  <r>
    <s v="DISMA"/>
    <s v="CENTRAL.xlsm"/>
    <x v="0"/>
    <s v="INTRADEVCO  INDUSTRIAL S.A."/>
    <s v="INTRADEVCO"/>
    <s v="H277A000"/>
    <s v="0"/>
    <s v="0"/>
    <n v="1"/>
    <m/>
    <s v="BUF"/>
    <n v="147.9"/>
    <n v="3550"/>
    <n v="1.9590939824205544"/>
    <n v="26.108857336037861"/>
    <n v="0"/>
    <n v="0"/>
    <m/>
    <m/>
    <m/>
    <n v="771"/>
    <n v="382"/>
    <s v="L"/>
    <n v="1640"/>
    <m/>
    <m/>
    <n v="-12.33"/>
    <m/>
    <m/>
    <m/>
    <n v="12.733333333333331"/>
    <s v="30/04/2015"/>
    <s v="20/08/2015"/>
    <n v="2.5629894281180503E-2"/>
    <n v="0"/>
    <n v="0"/>
    <n v="0"/>
    <n v="0"/>
    <n v="0"/>
    <n v="0.2413793103448276"/>
    <n v="0"/>
    <n v="0"/>
    <m/>
    <m/>
    <m/>
    <m/>
    <s v="22/12/2014"/>
    <s v="06/02/2015"/>
    <m/>
    <m/>
    <m/>
    <s v="NO MANUFACTURA VARIOS"/>
    <n v="0.45"/>
    <n v="2.36"/>
    <m/>
    <m/>
    <n v="12"/>
    <n v="1"/>
    <n v="10000000000"/>
    <n v="1159"/>
    <n v="15446"/>
    <x v="2"/>
    <n v="-12.33"/>
    <n v="0"/>
    <n v="0"/>
    <n v="0"/>
    <n v="0"/>
    <n v="0"/>
    <n v="0"/>
    <n v="15446"/>
    <n v="0"/>
    <m/>
    <n v="290"/>
    <n v="0"/>
    <n v="6429.1500000000005"/>
    <n v="6.1854089999999999"/>
    <n v="0"/>
    <n v="1"/>
    <s v="30/04/2015"/>
    <s v="INTRADEVCO  INDUSTRIAL S.A."/>
    <n v="-12.327006039689387"/>
    <n v="0"/>
    <m/>
  </r>
  <r>
    <s v="DISMA"/>
    <s v="CENTRAL.xlsm"/>
    <x v="0"/>
    <s v="INTRADEVCO  INDUSTRIAL S.A."/>
    <s v="INTRADEVCO"/>
    <s v="H300A000"/>
    <s v="0"/>
    <s v="0"/>
    <n v="1"/>
    <m/>
    <m/>
    <n v="248.9"/>
    <n v="5974"/>
    <n v="6.8330654881478505"/>
    <n v="15.236038569706709"/>
    <n v="0"/>
    <n v="0"/>
    <m/>
    <m/>
    <m/>
    <n v="4524"/>
    <n v="2245"/>
    <s v="L"/>
    <n v="10125"/>
    <m/>
    <m/>
    <n v="-1.23"/>
    <m/>
    <m/>
    <m/>
    <n v="5.6538461538461533"/>
    <s v="30/04/2015"/>
    <s v="20/08/2015"/>
    <n v="4.4994334156964653E-2"/>
    <n v="0"/>
    <n v="0"/>
    <n v="0"/>
    <n v="0"/>
    <n v="0"/>
    <n v="0.2413793103448276"/>
    <n v="0"/>
    <n v="0"/>
    <m/>
    <m/>
    <m/>
    <m/>
    <s v="20/11/2014"/>
    <s v="09/01/2015"/>
    <m/>
    <m/>
    <m/>
    <s v="NO MANUFACTURA VARIOS"/>
    <n v="0.78"/>
    <n v="2.25"/>
    <m/>
    <m/>
    <n v="12"/>
    <n v="1"/>
    <n v="10000000000"/>
    <n v="6803"/>
    <n v="7603"/>
    <x v="2"/>
    <n v="-0.12"/>
    <n v="7566"/>
    <n v="0"/>
    <n v="0"/>
    <n v="0"/>
    <n v="0"/>
    <n v="0"/>
    <n v="15169"/>
    <n v="0"/>
    <m/>
    <n v="1701"/>
    <n v="0"/>
    <n v="624"/>
    <n v="0.94113800000000003"/>
    <n v="0"/>
    <n v="1"/>
    <s v="30/04/2015"/>
    <s v="INTRADEVCO  INDUSTRIAL S.A."/>
    <n v="-0.1175951785976775"/>
    <n v="0"/>
    <m/>
  </r>
  <r>
    <s v="DISMA"/>
    <s v="CENTRAL.xlsm"/>
    <x v="0"/>
    <s v="INTRADEVCO  INDUSTRIAL S.A."/>
    <s v="INTRADEVCO"/>
    <s v="H301A000"/>
    <s v="0"/>
    <s v="0"/>
    <n v="1"/>
    <m/>
    <s v="BUF"/>
    <n v="703.2"/>
    <n v="16877"/>
    <n v="2.1487485779294651"/>
    <n v="4.6736348122866893"/>
    <n v="0"/>
    <n v="0"/>
    <m/>
    <m/>
    <m/>
    <n v="4019"/>
    <n v="1995"/>
    <s v="L"/>
    <n v="8874"/>
    <m/>
    <m/>
    <n v="-1.18"/>
    <m/>
    <m/>
    <m/>
    <n v="5.7662337662337659"/>
    <s v="30/04/2015"/>
    <s v="20/08/2015"/>
    <n v="6.9178793243121442E-2"/>
    <n v="0"/>
    <n v="0"/>
    <n v="0"/>
    <n v="0"/>
    <n v="0.13793103448275862"/>
    <n v="0.10344827586206896"/>
    <n v="0"/>
    <n v="0"/>
    <m/>
    <m/>
    <m/>
    <m/>
    <s v="20/11/2014"/>
    <s v="09/01/2015"/>
    <m/>
    <m/>
    <m/>
    <s v="NO MANUFACTURA VARIOS"/>
    <n v="0.77"/>
    <n v="2.25"/>
    <m/>
    <m/>
    <n v="12"/>
    <n v="1"/>
    <n v="10000000000"/>
    <n v="6044"/>
    <n v="6738"/>
    <x v="2"/>
    <n v="-0.11"/>
    <n v="6408"/>
    <n v="0"/>
    <n v="0"/>
    <n v="0"/>
    <n v="0"/>
    <n v="0"/>
    <n v="13146"/>
    <n v="0"/>
    <m/>
    <n v="1511"/>
    <n v="0"/>
    <n v="534.38"/>
    <n v="1.0313969999999999"/>
    <n v="0"/>
    <n v="1"/>
    <s v="30/04/2015"/>
    <s v="INTRADEVCO  INDUSTRIAL S.A."/>
    <n v="-0.11482461945731304"/>
    <n v="0"/>
    <m/>
  </r>
  <r>
    <s v="DISMA"/>
    <s v="CENTRAL.xlsm"/>
    <x v="0"/>
    <s v="INTRADEVCO  INDUSTRIAL S.A."/>
    <s v="INTRADEVCO"/>
    <s v="H311A100"/>
    <s v="0"/>
    <s v="0"/>
    <n v="1"/>
    <m/>
    <s v="BUF"/>
    <n v="2936.2"/>
    <n v="70469"/>
    <n v="3.3761324160479536"/>
    <n v="8.5500817383012055"/>
    <n v="0"/>
    <n v="0"/>
    <m/>
    <m/>
    <m/>
    <n v="26369"/>
    <n v="13085"/>
    <s v="L"/>
    <n v="60543"/>
    <m/>
    <m/>
    <n v="-1.53"/>
    <m/>
    <m/>
    <m/>
    <n v="6"/>
    <s v="30/04/2015"/>
    <s v="20/08/2015"/>
    <n v="9.4969241392692638E-2"/>
    <n v="0"/>
    <n v="0"/>
    <n v="0"/>
    <n v="0"/>
    <n v="0.13793103448275862"/>
    <n v="0.10344827586206896"/>
    <n v="0"/>
    <n v="0"/>
    <m/>
    <m/>
    <m/>
    <m/>
    <s v="19/02/2015"/>
    <s v="10/04/2015"/>
    <m/>
    <m/>
    <m/>
    <s v="NO MANUFACTURA VARIOS"/>
    <n v="0.75"/>
    <n v="2.25"/>
    <m/>
    <m/>
    <n v="12"/>
    <n v="1"/>
    <n v="10000000000"/>
    <n v="39652"/>
    <n v="40605"/>
    <x v="2"/>
    <n v="-0.02"/>
    <n v="59814"/>
    <n v="0"/>
    <n v="0"/>
    <n v="0"/>
    <n v="0"/>
    <n v="0"/>
    <n v="100419"/>
    <n v="0"/>
    <m/>
    <n v="9913"/>
    <n v="0"/>
    <n v="714.75"/>
    <n v="1.025892"/>
    <n v="0"/>
    <n v="1"/>
    <s v="30/04/2015"/>
    <s v="INTRADEVCO  INDUSTRIAL S.A."/>
    <n v="-2.403409664077474E-2"/>
    <n v="0"/>
    <m/>
  </r>
  <r>
    <s v="DISMA"/>
    <s v="CENTRAL.xlsm"/>
    <x v="0"/>
    <s v="INTRADEVCO  INDUSTRIAL S.A."/>
    <s v="INTRADEVCO"/>
    <s v="H312A000"/>
    <s v="0"/>
    <s v="0"/>
    <n v="1"/>
    <s v="-"/>
    <s v="BUF"/>
    <n v="359.9"/>
    <n v="8638"/>
    <n v="2.7924423450958602"/>
    <n v="7.5347318699638794"/>
    <n v="0"/>
    <n v="0"/>
    <m/>
    <m/>
    <m/>
    <n v="2673"/>
    <n v="1327"/>
    <s v="L"/>
    <n v="6039"/>
    <m/>
    <m/>
    <n v="-1.7"/>
    <m/>
    <m/>
    <m/>
    <n v="12.266666666666667"/>
    <s v="30/04/2015"/>
    <s v="20/08/2015"/>
    <n v="0.2659867149942422"/>
    <n v="0"/>
    <n v="0"/>
    <n v="0"/>
    <n v="0"/>
    <n v="0.10344827586206896"/>
    <n v="0.13793103448275862"/>
    <n v="0"/>
    <n v="0"/>
    <m/>
    <m/>
    <m/>
    <m/>
    <s v="13/03/2015"/>
    <s v="08/05/2015"/>
    <m/>
    <m/>
    <m/>
    <s v="NO MANUFACTURA VARIOS"/>
    <n v="0.45"/>
    <n v="2.29"/>
    <m/>
    <m/>
    <n v="12"/>
    <n v="1"/>
    <n v="10000000000"/>
    <n v="4020"/>
    <n v="3635"/>
    <x v="3"/>
    <n v="0.1"/>
    <n v="7212"/>
    <n v="0"/>
    <n v="0"/>
    <n v="0"/>
    <n v="0"/>
    <n v="0"/>
    <n v="10847"/>
    <n v="0"/>
    <m/>
    <n v="1005"/>
    <n v="0"/>
    <n v="0"/>
    <n v="1.982863"/>
    <n v="0"/>
    <n v="1"/>
    <s v="30/04/2015"/>
    <s v="INTRADEVCO  INDUSTRIAL S.A."/>
    <n v="9.5771144278606959E-2"/>
    <n v="0"/>
    <m/>
  </r>
  <r>
    <s v="DISMA"/>
    <s v="CENTRAL.xlsm"/>
    <x v="0"/>
    <s v="INTRADEVCO  INDUSTRIAL S.A."/>
    <s v="INTRADEVCO"/>
    <s v="H313A000"/>
    <s v="0"/>
    <s v="0"/>
    <n v="1"/>
    <m/>
    <s v="BUF"/>
    <n v="750.9"/>
    <n v="18022"/>
    <n v="2.0385537355173793"/>
    <n v="3.5833666267146094"/>
    <n v="0"/>
    <n v="0"/>
    <m/>
    <m/>
    <m/>
    <n v="4072"/>
    <n v="2021"/>
    <s v="L"/>
    <n v="9165"/>
    <m/>
    <m/>
    <n v="-0.76"/>
    <m/>
    <m/>
    <m/>
    <n v="13.542857142857144"/>
    <s v="30/04/2015"/>
    <s v="20/08/2015"/>
    <n v="0.2061746110579499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5"/>
    <n v="1.93"/>
    <m/>
    <m/>
    <n v="12"/>
    <n v="1"/>
    <n v="10000000000"/>
    <n v="6123"/>
    <n v="8366"/>
    <x v="2"/>
    <n v="-0.37"/>
    <n v="2397"/>
    <n v="0"/>
    <n v="0"/>
    <n v="0"/>
    <n v="0"/>
    <n v="0"/>
    <n v="10763"/>
    <n v="0"/>
    <m/>
    <n v="1531"/>
    <n v="0"/>
    <n v="785.05"/>
    <n v="3.429691"/>
    <n v="0"/>
    <n v="1"/>
    <s v="30/04/2015"/>
    <s v="INTRADEVCO  INDUSTRIAL S.A."/>
    <n v="-0.3663236975338886"/>
    <n v="0"/>
    <m/>
  </r>
  <r>
    <s v="DISMA"/>
    <s v="CENTRAL.xlsm"/>
    <x v="0"/>
    <s v="INTRADEVCO  INDUSTRIAL S.A."/>
    <s v="INTRADEVCO"/>
    <s v="H315B000"/>
    <s v="0"/>
    <s v="0"/>
    <n v="1"/>
    <s v="-"/>
    <s v="BUF"/>
    <n v="59.5"/>
    <n v="1428"/>
    <n v="3.4537815126050422"/>
    <n v="12.991596638655462"/>
    <n v="0"/>
    <n v="0"/>
    <m/>
    <m/>
    <m/>
    <n v="547"/>
    <n v="271"/>
    <s v="L"/>
    <n v="1244"/>
    <m/>
    <m/>
    <n v="-2.76"/>
    <m/>
    <m/>
    <m/>
    <n v="9.1237113402061869"/>
    <s v="30/04/2015"/>
    <s v="20/08/2015"/>
    <n v="0.62884808116349711"/>
    <n v="0"/>
    <n v="0"/>
    <n v="0.13793103448275862"/>
    <n v="0.10344827586206896"/>
    <n v="0"/>
    <n v="0"/>
    <n v="0"/>
    <n v="0"/>
    <m/>
    <m/>
    <m/>
    <m/>
    <s v="13/03/2015"/>
    <s v="08/05/2015"/>
    <m/>
    <m/>
    <m/>
    <s v="NO MANUFACTURA VARIOS"/>
    <n v="0.97"/>
    <n v="3.92"/>
    <m/>
    <m/>
    <n v="12"/>
    <n v="1"/>
    <n v="10000000000"/>
    <n v="822"/>
    <n v="320"/>
    <x v="0"/>
    <n v="0.61"/>
    <n v="2772"/>
    <n v="0"/>
    <n v="0"/>
    <n v="0"/>
    <n v="0"/>
    <n v="0"/>
    <n v="3092"/>
    <n v="0"/>
    <m/>
    <n v="206"/>
    <n v="0"/>
    <n v="0"/>
    <n v="0.75375599999999998"/>
    <n v="0"/>
    <n v="1"/>
    <s v="30/04/2015"/>
    <s v="INTRADEVCO  INDUSTRIAL S.A."/>
    <n v="0.61070559610705599"/>
    <n v="0"/>
    <m/>
  </r>
  <r>
    <s v="DISMA"/>
    <s v="CENTRAL.xlsm"/>
    <x v="0"/>
    <s v="INTRADEVCO  INDUSTRIAL S.A."/>
    <s v="INTRADEVCO"/>
    <s v="H315C000"/>
    <s v="0"/>
    <s v="0"/>
    <n v="1"/>
    <s v="-"/>
    <m/>
    <n v="78.900000000000006"/>
    <n v="1894"/>
    <n v="6.1026615969581748"/>
    <n v="17.598225602027881"/>
    <n v="0"/>
    <n v="0"/>
    <m/>
    <m/>
    <m/>
    <n v="1281"/>
    <n v="636"/>
    <s v="L"/>
    <n v="2920"/>
    <m/>
    <m/>
    <n v="-1.88"/>
    <m/>
    <m/>
    <m/>
    <n v="1.0891719745222932"/>
    <s v="30/04/2015"/>
    <s v="20/08/2015"/>
    <n v="0.10586450150764298"/>
    <n v="0"/>
    <n v="0"/>
    <n v="0"/>
    <n v="4.5977011494252873E-2"/>
    <n v="0.19540229885057472"/>
    <n v="0"/>
    <n v="0"/>
    <n v="0"/>
    <m/>
    <m/>
    <m/>
    <m/>
    <m/>
    <m/>
    <m/>
    <m/>
    <m/>
    <s v="NO MANUFACTURA VARIOS"/>
    <n v="6.28"/>
    <n v="8.56"/>
    <m/>
    <m/>
    <n v="6"/>
    <n v="1"/>
    <n v="10000000000"/>
    <n v="1926"/>
    <n v="1603"/>
    <x v="3"/>
    <n v="0.17"/>
    <n v="3951"/>
    <n v="0"/>
    <n v="0"/>
    <n v="0"/>
    <n v="0"/>
    <n v="0"/>
    <n v="5554"/>
    <n v="0"/>
    <m/>
    <n v="482"/>
    <n v="0"/>
    <n v="0"/>
    <n v="0.13856599999999999"/>
    <n v="0"/>
    <n v="1"/>
    <s v="30/04/2015"/>
    <s v="INTRADEVCO  INDUSTRIAL S.A."/>
    <n v="0.16770508826583594"/>
    <n v="0"/>
    <m/>
  </r>
  <r>
    <s v="DISMA"/>
    <s v="CENTRAL.xlsm"/>
    <x v="0"/>
    <s v="INTRADEVCO  INDUSTRIAL S.A."/>
    <s v="INTRADEVCO"/>
    <s v="H316A000"/>
    <s v="0"/>
    <s v="0"/>
    <n v="1"/>
    <m/>
    <m/>
    <n v="22.3"/>
    <n v="535"/>
    <n v="5.4260089686098656"/>
    <n v="10.470852017937219"/>
    <n v="0"/>
    <n v="0"/>
    <m/>
    <m/>
    <m/>
    <n v="322"/>
    <n v="160"/>
    <s v="L"/>
    <n v="694"/>
    <m/>
    <m/>
    <n v="-0.93"/>
    <m/>
    <m/>
    <m/>
    <n v="6.9041095890410977"/>
    <s v="30/04/2015"/>
    <s v="20/08/2015"/>
    <n v="0.10883428828425878"/>
    <n v="0"/>
    <n v="0"/>
    <n v="0"/>
    <n v="0"/>
    <n v="0"/>
    <n v="0.2413793103448276"/>
    <n v="0"/>
    <n v="0"/>
    <m/>
    <m/>
    <m/>
    <m/>
    <m/>
    <m/>
    <m/>
    <m/>
    <m/>
    <s v="NO MANUFACTURA VARIOS"/>
    <n v="0.73"/>
    <n v="2.41"/>
    <m/>
    <m/>
    <n v="12"/>
    <n v="1"/>
    <n v="10000000000"/>
    <n v="484"/>
    <n v="934"/>
    <x v="2"/>
    <n v="-0.93"/>
    <n v="0"/>
    <n v="0"/>
    <n v="0"/>
    <n v="0"/>
    <n v="0"/>
    <n v="0"/>
    <n v="934"/>
    <n v="0"/>
    <m/>
    <n v="121"/>
    <n v="0"/>
    <n v="328.5"/>
    <n v="1.287784"/>
    <n v="0"/>
    <n v="1"/>
    <s v="30/04/2015"/>
    <s v="INTRADEVCO  INDUSTRIAL S.A."/>
    <n v="-0.92975206611570249"/>
    <n v="0"/>
    <m/>
  </r>
  <r>
    <s v="DISMA"/>
    <s v="CENTRAL.xlsm"/>
    <x v="0"/>
    <s v="INTRADEVCO  INDUSTRIAL S.A."/>
    <s v="INTRADEVCO"/>
    <s v="H321A100"/>
    <s v="0"/>
    <s v="0"/>
    <n v="1"/>
    <s v="-"/>
    <m/>
    <n v="3508.7"/>
    <n v="84209"/>
    <n v="3.7592983156154705"/>
    <n v="12.23551457804885"/>
    <n v="0"/>
    <n v="0"/>
    <m/>
    <m/>
    <m/>
    <n v="35086"/>
    <n v="17411"/>
    <s v="L"/>
    <n v="80685"/>
    <m/>
    <m/>
    <n v="-2.25"/>
    <m/>
    <m/>
    <m/>
    <n v="6"/>
    <s v="30/04/2015"/>
    <s v="20/08/2015"/>
    <n v="8.8188608469125185E-2"/>
    <n v="0"/>
    <n v="0"/>
    <n v="0"/>
    <n v="0.13793103448275862"/>
    <n v="0.10344827586206896"/>
    <n v="0"/>
    <n v="0"/>
    <n v="0"/>
    <m/>
    <m/>
    <m/>
    <m/>
    <s v="19/02/2015"/>
    <s v="10/04/2015"/>
    <m/>
    <m/>
    <m/>
    <s v="NO MANUFACTURA VARIOS"/>
    <n v="0.75"/>
    <n v="2.25"/>
    <m/>
    <m/>
    <n v="12"/>
    <n v="1"/>
    <n v="10000000000"/>
    <n v="52761"/>
    <n v="35166"/>
    <x v="3"/>
    <n v="0.33"/>
    <n v="136557"/>
    <n v="0"/>
    <n v="0"/>
    <n v="0"/>
    <n v="0"/>
    <n v="0"/>
    <n v="171723"/>
    <n v="0"/>
    <m/>
    <n v="13190"/>
    <n v="0"/>
    <n v="0"/>
    <n v="1.015422"/>
    <n v="0"/>
    <n v="1"/>
    <s v="30/04/2015"/>
    <s v="INTRADEVCO  INDUSTRIAL S.A."/>
    <n v="0.33348496048217435"/>
    <n v="0"/>
    <m/>
  </r>
  <r>
    <s v="DISMA"/>
    <s v="CENTRAL.xlsm"/>
    <x v="0"/>
    <s v="INTRADEVCO  INDUSTRIAL S.A."/>
    <s v="INTRADEVCO"/>
    <s v="H322A000"/>
    <s v="0"/>
    <s v="0"/>
    <n v="1"/>
    <s v="-"/>
    <s v="BUF"/>
    <n v="301.60000000000002"/>
    <n v="7238"/>
    <n v="2.6947944297082227"/>
    <n v="11.254144562334217"/>
    <n v="0"/>
    <n v="0"/>
    <m/>
    <m/>
    <m/>
    <n v="2162"/>
    <n v="1073"/>
    <s v="L"/>
    <n v="4797"/>
    <m/>
    <m/>
    <n v="-3.18"/>
    <m/>
    <m/>
    <m/>
    <n v="11.617021276595748"/>
    <s v="30/04/2015"/>
    <s v="20/08/2015"/>
    <n v="0.77020310378405399"/>
    <n v="0"/>
    <n v="0"/>
    <n v="0.10344827586206896"/>
    <n v="0"/>
    <n v="0"/>
    <n v="0.13793103448275862"/>
    <n v="0"/>
    <n v="0"/>
    <m/>
    <m/>
    <m/>
    <m/>
    <s v="19/02/2015"/>
    <s v="10/04/2015"/>
    <m/>
    <m/>
    <m/>
    <s v="NO MANUFACTURA VARIOS"/>
    <n v="0.47"/>
    <n v="2.29"/>
    <m/>
    <m/>
    <n v="12"/>
    <n v="1"/>
    <n v="10000000000"/>
    <n v="3251"/>
    <n v="407"/>
    <x v="1"/>
    <n v="0.87"/>
    <n v="13170"/>
    <n v="0"/>
    <n v="0"/>
    <n v="0"/>
    <n v="0"/>
    <n v="0"/>
    <n v="13577"/>
    <n v="0"/>
    <m/>
    <n v="813"/>
    <n v="1212.1200000000001"/>
    <n v="0"/>
    <n v="2.344287"/>
    <n v="0"/>
    <n v="1"/>
    <s v="30/04/2015"/>
    <s v="INTRADEVCO  INDUSTRIAL S.A."/>
    <n v="0.87480775146108891"/>
    <n v="0"/>
    <m/>
  </r>
  <r>
    <s v="DISMA"/>
    <s v="CENTRAL.xlsm"/>
    <x v="0"/>
    <s v="INTRADEVCO  INDUSTRIAL S.A."/>
    <s v="INTRADEVCO"/>
    <s v="H323A000"/>
    <s v="0"/>
    <s v="0"/>
    <n v="1"/>
    <m/>
    <s v="BUF"/>
    <n v="1002.5"/>
    <n v="24060"/>
    <n v="1.4635910224438902"/>
    <n v="2.9845386533665836"/>
    <n v="0"/>
    <n v="0"/>
    <m/>
    <m/>
    <m/>
    <n v="3903"/>
    <n v="1937"/>
    <s v="L"/>
    <n v="8711"/>
    <m/>
    <m/>
    <n v="-1.04"/>
    <m/>
    <m/>
    <m/>
    <n v="13.083333333333332"/>
    <s v="30/04/2015"/>
    <s v="20/08/2015"/>
    <n v="0.14568431143360033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6"/>
    <n v="1.93"/>
    <m/>
    <m/>
    <n v="12"/>
    <n v="1"/>
    <n v="10000000000"/>
    <n v="5869"/>
    <n v="11968"/>
    <x v="2"/>
    <n v="-1.04"/>
    <n v="0"/>
    <n v="0"/>
    <n v="0"/>
    <n v="0"/>
    <n v="0"/>
    <n v="0"/>
    <n v="11968"/>
    <n v="0"/>
    <m/>
    <n v="1467"/>
    <n v="0"/>
    <n v="2195.64"/>
    <n v="4.2232260000000004"/>
    <n v="0"/>
    <n v="1"/>
    <s v="30/04/2015"/>
    <s v="INTRADEVCO  INDUSTRIAL S.A."/>
    <n v="-1.0391889589367864"/>
    <n v="0"/>
    <m/>
  </r>
  <r>
    <s v="DISMA"/>
    <s v="CENTRAL.xlsm"/>
    <x v="0"/>
    <s v="INTRADEVCO  INDUSTRIAL S.A."/>
    <s v="INTRADEVCO"/>
    <s v="H325B000"/>
    <s v="0"/>
    <s v="0"/>
    <n v="1"/>
    <s v="-"/>
    <m/>
    <n v="67.7"/>
    <n v="1625"/>
    <n v="2.7400295420974889"/>
    <n v="11.912850812407681"/>
    <n v="0"/>
    <n v="27"/>
    <m/>
    <m/>
    <m/>
    <n v="493"/>
    <n v="245"/>
    <s v="L"/>
    <n v="1106"/>
    <m/>
    <m/>
    <n v="-3.35"/>
    <m/>
    <m/>
    <m/>
    <n v="9.1237113402061869"/>
    <s v="30/04/2015"/>
    <s v="20/08/2015"/>
    <n v="1.183215956619923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0.97"/>
    <n v="3.92"/>
    <m/>
    <m/>
    <n v="12"/>
    <n v="1"/>
    <n v="10000000000"/>
    <n v="742"/>
    <n v="46"/>
    <x v="1"/>
    <n v="0.94"/>
    <n v="3180"/>
    <n v="0"/>
    <n v="0"/>
    <n v="0"/>
    <n v="0"/>
    <n v="0"/>
    <n v="3226"/>
    <n v="0"/>
    <m/>
    <n v="186"/>
    <n v="587.05000000000007"/>
    <n v="0"/>
    <n v="1.2198850000000001"/>
    <n v="0"/>
    <n v="1"/>
    <s v="30/04/2015"/>
    <s v="INTRADEVCO  INDUSTRIAL S.A."/>
    <n v="0.93800539083557954"/>
    <n v="0"/>
    <m/>
  </r>
  <r>
    <s v="DISMA"/>
    <s v="CENTRAL.xlsm"/>
    <x v="0"/>
    <s v="INTRADEVCO  INDUSTRIAL S.A."/>
    <s v="INTRADEVCO"/>
    <s v="H331A100"/>
    <s v="0"/>
    <s v="0"/>
    <n v="1"/>
    <s v="-"/>
    <s v="BUF"/>
    <n v="1813.5"/>
    <n v="43524"/>
    <n v="3.3690377722635789"/>
    <n v="12.088916459884201"/>
    <n v="0"/>
    <n v="0"/>
    <m/>
    <m/>
    <m/>
    <n v="16252"/>
    <n v="8065"/>
    <s v="L"/>
    <n v="37131"/>
    <m/>
    <m/>
    <n v="-2.59"/>
    <m/>
    <m/>
    <m/>
    <n v="6"/>
    <s v="30/04/2015"/>
    <s v="20/08/2015"/>
    <n v="0.12234977727820145"/>
    <n v="0"/>
    <n v="0"/>
    <n v="0"/>
    <n v="0.2413793103448276"/>
    <n v="0"/>
    <n v="0"/>
    <n v="0"/>
    <n v="0"/>
    <m/>
    <m/>
    <m/>
    <m/>
    <s v="19/02/2015"/>
    <s v="10/04/2015"/>
    <m/>
    <m/>
    <m/>
    <s v="NO MANUFACTURA VARIOS"/>
    <n v="0.75"/>
    <n v="2.25"/>
    <m/>
    <m/>
    <n v="12"/>
    <n v="1"/>
    <n v="10000000000"/>
    <n v="24439"/>
    <n v="11850"/>
    <x v="0"/>
    <n v="0.52"/>
    <n v="75843"/>
    <n v="0"/>
    <n v="0"/>
    <n v="0"/>
    <n v="0"/>
    <n v="0"/>
    <n v="87693"/>
    <n v="0"/>
    <m/>
    <n v="6110"/>
    <n v="0"/>
    <n v="0"/>
    <n v="1.1006450000000001"/>
    <n v="0"/>
    <n v="1"/>
    <s v="30/04/2015"/>
    <s v="INTRADEVCO  INDUSTRIAL S.A."/>
    <n v="0.51511927656614431"/>
    <n v="0"/>
    <m/>
  </r>
  <r>
    <s v="DISMA"/>
    <s v="CENTRAL.xlsm"/>
    <x v="0"/>
    <s v="INTRADEVCO  INDUSTRIAL S.A."/>
    <s v="INTRADEVCO"/>
    <s v="H332A000"/>
    <s v="0"/>
    <s v="0"/>
    <n v="1"/>
    <s v="-"/>
    <s v="BUF"/>
    <n v="230.1"/>
    <n v="5522"/>
    <n v="3.0823554976097349"/>
    <n v="9.6957844415471541"/>
    <n v="0"/>
    <n v="0"/>
    <m/>
    <m/>
    <m/>
    <n v="1887"/>
    <n v="936"/>
    <s v="L"/>
    <n v="4242"/>
    <m/>
    <m/>
    <n v="-2.15"/>
    <m/>
    <m/>
    <m/>
    <n v="11.617021276595747"/>
    <s v="30/04/2015"/>
    <s v="20/08/2015"/>
    <n v="0.22496105520295898"/>
    <n v="0"/>
    <n v="0"/>
    <n v="0"/>
    <n v="0.13793103448275862"/>
    <n v="0.10344827586206896"/>
    <n v="0"/>
    <n v="0"/>
    <n v="0"/>
    <m/>
    <m/>
    <m/>
    <m/>
    <s v="13/03/2015"/>
    <s v="08/05/2015"/>
    <m/>
    <m/>
    <m/>
    <s v="NO MANUFACTURA VARIOS"/>
    <n v="0.47"/>
    <n v="2.29"/>
    <m/>
    <m/>
    <n v="12"/>
    <n v="1"/>
    <n v="10000000000"/>
    <n v="2837"/>
    <n v="1901"/>
    <x v="3"/>
    <n v="0.33"/>
    <n v="7023"/>
    <n v="0"/>
    <n v="0"/>
    <n v="0"/>
    <n v="0"/>
    <n v="0"/>
    <n v="8924"/>
    <n v="0"/>
    <m/>
    <n v="709"/>
    <n v="0"/>
    <n v="0"/>
    <n v="1.550184"/>
    <n v="0"/>
    <n v="1"/>
    <s v="30/04/2015"/>
    <s v="INTRADEVCO  INDUSTRIAL S.A."/>
    <n v="0.32992597814592878"/>
    <n v="0"/>
    <m/>
  </r>
  <r>
    <s v="DISMA"/>
    <s v="CENTRAL.xlsm"/>
    <x v="0"/>
    <s v="INTRADEVCO  INDUSTRIAL S.A."/>
    <s v="INTRADEVCO"/>
    <s v="H333A000"/>
    <s v="0"/>
    <s v="0"/>
    <n v="1"/>
    <s v="-"/>
    <m/>
    <n v="324.10000000000002"/>
    <n v="7778"/>
    <n v="3.7473002159827211"/>
    <n v="12.919623572971304"/>
    <n v="0"/>
    <n v="0"/>
    <m/>
    <m/>
    <m/>
    <n v="3231"/>
    <n v="1603"/>
    <s v="L"/>
    <n v="7239"/>
    <m/>
    <m/>
    <n v="-2.4500000000000002"/>
    <m/>
    <m/>
    <m/>
    <n v="13.542857142857144"/>
    <s v="30/04/2015"/>
    <s v="20/08/2015"/>
    <n v="0.22025868372531754"/>
    <n v="0"/>
    <n v="0"/>
    <n v="5.7471264367816091E-2"/>
    <n v="0.18390804597701149"/>
    <n v="0"/>
    <n v="0"/>
    <n v="0"/>
    <n v="0"/>
    <m/>
    <m/>
    <m/>
    <m/>
    <s v="19/02/2015"/>
    <s v="10/04/2015"/>
    <m/>
    <m/>
    <m/>
    <s v="NO MANUFACTURA VARIOS"/>
    <n v="0.35"/>
    <n v="1.93"/>
    <m/>
    <m/>
    <n v="12"/>
    <n v="1"/>
    <n v="10000000000"/>
    <n v="4858"/>
    <n v="2484"/>
    <x v="0"/>
    <n v="0.49"/>
    <n v="14265"/>
    <n v="0"/>
    <n v="0"/>
    <n v="0"/>
    <n v="0"/>
    <n v="0"/>
    <n v="16749"/>
    <n v="0"/>
    <m/>
    <n v="1215"/>
    <n v="0"/>
    <n v="0"/>
    <n v="2.554843"/>
    <n v="0"/>
    <n v="1"/>
    <s v="30/04/2015"/>
    <s v="INTRADEVCO  INDUSTRIAL S.A."/>
    <n v="0.48867846850555785"/>
    <n v="0"/>
    <m/>
  </r>
  <r>
    <s v="DISMA"/>
    <s v="CENTRAL.xlsm"/>
    <x v="0"/>
    <s v="INTRADEVCO  INDUSTRIAL S.A."/>
    <s v="INTRADEVCO"/>
    <s v="H335B000"/>
    <s v="0"/>
    <s v="0"/>
    <n v="1"/>
    <s v="-"/>
    <s v="BUF"/>
    <n v="56.1"/>
    <n v="1346"/>
    <n v="2.5089126559714794"/>
    <n v="9.5766488413547233"/>
    <n v="0"/>
    <n v="0"/>
    <m/>
    <m/>
    <m/>
    <n v="374"/>
    <n v="186"/>
    <s v="L"/>
    <n v="843"/>
    <m/>
    <m/>
    <n v="-2.82"/>
    <m/>
    <m/>
    <m/>
    <n v="9.1237113402061851"/>
    <s v="30/04/2015"/>
    <s v="20/08/2015"/>
    <n v="0.51834565201597027"/>
    <n v="0"/>
    <n v="0"/>
    <n v="0.13793103448275862"/>
    <n v="0.10344827586206896"/>
    <n v="0"/>
    <n v="0"/>
    <n v="0"/>
    <n v="0"/>
    <m/>
    <m/>
    <m/>
    <m/>
    <s v="13/03/2015"/>
    <s v="08/05/2015"/>
    <m/>
    <m/>
    <m/>
    <s v="NO MANUFACTURA VARIOS"/>
    <n v="0.97"/>
    <n v="3.92"/>
    <m/>
    <m/>
    <n v="12"/>
    <n v="1"/>
    <n v="10000000000"/>
    <n v="563"/>
    <n v="190"/>
    <x v="0"/>
    <n v="0.66"/>
    <n v="1959"/>
    <n v="0"/>
    <n v="0"/>
    <n v="0"/>
    <n v="0"/>
    <n v="0"/>
    <n v="2149"/>
    <n v="0"/>
    <m/>
    <n v="141"/>
    <n v="0"/>
    <n v="0"/>
    <n v="1.0089539999999999"/>
    <n v="0"/>
    <n v="1"/>
    <s v="30/04/2015"/>
    <s v="INTRADEVCO  INDUSTRIAL S.A."/>
    <n v="0.66252220248667848"/>
    <n v="0"/>
    <m/>
  </r>
  <r>
    <s v="DISMA"/>
    <s v="CENTRAL.xlsm"/>
    <x v="0"/>
    <s v="INTRADEVCO  INDUSTRIAL S.A."/>
    <s v="INTRADEVCO"/>
    <s v="H336A000"/>
    <s v="0"/>
    <s v="0"/>
    <n v="1"/>
    <m/>
    <m/>
    <n v="23.4"/>
    <n v="562"/>
    <n v="5.1816239316239319"/>
    <n v="8.8354700854700852"/>
    <n v="0"/>
    <n v="0"/>
    <m/>
    <m/>
    <m/>
    <n v="323"/>
    <n v="160"/>
    <s v="L"/>
    <n v="698"/>
    <m/>
    <m/>
    <n v="-0.71"/>
    <m/>
    <m/>
    <m/>
    <n v="6.904109589041096"/>
    <s v="30/04/2015"/>
    <s v="20/08/2015"/>
    <n v="8.0233140776638234E-2"/>
    <n v="0"/>
    <n v="0"/>
    <n v="0"/>
    <n v="0"/>
    <n v="0"/>
    <n v="0.2413793103448276"/>
    <n v="0"/>
    <n v="0"/>
    <m/>
    <m/>
    <m/>
    <m/>
    <m/>
    <m/>
    <m/>
    <m/>
    <m/>
    <s v="NO MANUFACTURA VARIOS"/>
    <n v="0.73"/>
    <n v="2.41"/>
    <m/>
    <m/>
    <n v="12"/>
    <n v="1"/>
    <n v="10000000000"/>
    <n v="485"/>
    <n v="827"/>
    <x v="2"/>
    <n v="-0.71"/>
    <n v="0"/>
    <n v="0"/>
    <n v="0"/>
    <n v="0"/>
    <n v="0"/>
    <n v="0"/>
    <n v="827"/>
    <n v="0"/>
    <m/>
    <n v="121"/>
    <n v="0"/>
    <n v="249.66"/>
    <n v="1.290778"/>
    <n v="0"/>
    <n v="1"/>
    <s v="30/04/2015"/>
    <s v="INTRADEVCO  INDUSTRIAL S.A."/>
    <n v="-0.70515463917525778"/>
    <n v="0"/>
    <m/>
  </r>
  <r>
    <s v="DISMA"/>
    <s v="CENTRAL.xlsm"/>
    <x v="0"/>
    <s v="INTRADEVCO  INDUSTRIAL S.A."/>
    <s v="INTRADEVCO"/>
    <s v="H341A100"/>
    <s v="0"/>
    <s v="0"/>
    <n v="1"/>
    <s v="-"/>
    <m/>
    <n v="2282.1"/>
    <n v="54770"/>
    <n v="4.0595285044476581"/>
    <n v="14.997151746198677"/>
    <n v="0"/>
    <n v="0"/>
    <m/>
    <m/>
    <m/>
    <n v="24643"/>
    <n v="12229"/>
    <s v="L"/>
    <n v="56382"/>
    <m/>
    <m/>
    <n v="-2.69"/>
    <m/>
    <m/>
    <m/>
    <n v="6.121621621621621"/>
    <s v="30/04/2015"/>
    <s v="20/08/2015"/>
    <n v="0.12725014442612237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0.74"/>
    <n v="2.25"/>
    <m/>
    <m/>
    <n v="12"/>
    <n v="1"/>
    <n v="10000000000"/>
    <n v="37057"/>
    <n v="16123"/>
    <x v="0"/>
    <n v="0.56000000000000005"/>
    <n v="120777"/>
    <n v="0"/>
    <n v="0"/>
    <n v="0"/>
    <n v="0"/>
    <n v="0"/>
    <n v="136900"/>
    <n v="0"/>
    <m/>
    <n v="9264"/>
    <n v="0"/>
    <n v="0"/>
    <n v="1.0624610000000001"/>
    <n v="0"/>
    <n v="1"/>
    <s v="30/04/2015"/>
    <s v="INTRADEVCO  INDUSTRIAL S.A."/>
    <n v="0.56491351161723835"/>
    <n v="0"/>
    <m/>
  </r>
  <r>
    <s v="DISMA"/>
    <s v="CENTRAL.xlsm"/>
    <x v="0"/>
    <s v="INTRADEVCO  INDUSTRIAL S.A."/>
    <s v="INTRADEVCO"/>
    <s v="H342B000"/>
    <s v="0"/>
    <s v="0"/>
    <n v="1"/>
    <s v="-"/>
    <m/>
    <n v="19.600000000000001"/>
    <n v="470"/>
    <n v="6.1479591836734686"/>
    <n v="26.568877551020407"/>
    <n v="0"/>
    <n v="4"/>
    <m/>
    <m/>
    <m/>
    <n v="321"/>
    <n v="159"/>
    <s v="L"/>
    <n v="719"/>
    <m/>
    <m/>
    <n v="-3.32"/>
    <m/>
    <m/>
    <m/>
    <n v="9.378947368421052"/>
    <s v="30/04/2015"/>
    <s v="20/08/2015"/>
    <n v="0.54742970791446466"/>
    <n v="0"/>
    <n v="4.5977011494252873E-2"/>
    <n v="0.19540229885057472"/>
    <n v="0"/>
    <n v="0"/>
    <n v="0"/>
    <n v="0"/>
    <n v="0"/>
    <m/>
    <m/>
    <m/>
    <m/>
    <s v="13/03/2015"/>
    <s v="08/05/2015"/>
    <m/>
    <m/>
    <m/>
    <s v="NO MANUFACTURA VARIOS"/>
    <n v="0.95"/>
    <n v="3.92"/>
    <m/>
    <m/>
    <n v="12"/>
    <n v="1"/>
    <n v="10000000000"/>
    <n v="482"/>
    <n v="37"/>
    <x v="1"/>
    <n v="0.92"/>
    <n v="2046"/>
    <n v="0"/>
    <n v="0"/>
    <n v="0"/>
    <n v="0"/>
    <n v="0"/>
    <n v="2083"/>
    <n v="0"/>
    <m/>
    <n v="121"/>
    <n v="362.34"/>
    <n v="0"/>
    <n v="0.89539199999999997"/>
    <n v="0"/>
    <n v="1"/>
    <s v="30/04/2015"/>
    <s v="INTRADEVCO  INDUSTRIAL S.A."/>
    <n v="0.92323651452282163"/>
    <n v="0"/>
    <m/>
  </r>
  <r>
    <s v="DISMA"/>
    <s v="CENTRAL.xlsm"/>
    <x v="0"/>
    <s v="INTRADEVCO  INDUSTRIAL S.A."/>
    <s v="INTRADEVCO"/>
    <s v="H351A100"/>
    <s v="0"/>
    <s v="0"/>
    <n v="1"/>
    <s v="-"/>
    <s v="BUF"/>
    <n v="1732.9"/>
    <n v="41590"/>
    <n v="2.9795429626637429"/>
    <n v="10.250880027699232"/>
    <n v="0"/>
    <n v="0"/>
    <m/>
    <m/>
    <m/>
    <n v="13734"/>
    <n v="6815"/>
    <s v="L"/>
    <n v="31603"/>
    <m/>
    <m/>
    <n v="-2.44"/>
    <m/>
    <m/>
    <m/>
    <n v="5.6538461538461533"/>
    <s v="30/04/2015"/>
    <s v="20/08/2015"/>
    <n v="0.18919076571021426"/>
    <n v="0"/>
    <n v="0"/>
    <n v="0"/>
    <n v="0.2413793103448276"/>
    <n v="0"/>
    <n v="0"/>
    <n v="0"/>
    <n v="0"/>
    <m/>
    <m/>
    <m/>
    <m/>
    <s v="19/02/2015"/>
    <s v="10/04/2015"/>
    <m/>
    <m/>
    <m/>
    <s v="NO MANUFACTURA VARIOS"/>
    <n v="0.78"/>
    <n v="2.25"/>
    <m/>
    <m/>
    <n v="12"/>
    <n v="1"/>
    <n v="10000000000"/>
    <n v="20653"/>
    <n v="11877"/>
    <x v="0"/>
    <n v="0.42"/>
    <n v="59178"/>
    <n v="0"/>
    <n v="0"/>
    <n v="0"/>
    <n v="0"/>
    <n v="0"/>
    <n v="71055"/>
    <n v="0"/>
    <m/>
    <n v="5163"/>
    <n v="0"/>
    <n v="0"/>
    <n v="1.115564"/>
    <n v="0"/>
    <n v="1"/>
    <s v="30/04/2015"/>
    <s v="INTRADEVCO  INDUSTRIAL S.A."/>
    <n v="0.42492616084830293"/>
    <n v="0"/>
    <m/>
  </r>
  <r>
    <s v="DISMA"/>
    <s v="CENTRAL.xlsm"/>
    <x v="0"/>
    <s v="INTRADEVCO  INDUSTRIAL S.A."/>
    <s v="INTRADEVCO"/>
    <s v="H352B000"/>
    <s v="0"/>
    <s v="0"/>
    <n v="1"/>
    <m/>
    <m/>
    <n v="4.4000000000000004"/>
    <n v="106"/>
    <n v="8.1818181818181817"/>
    <n v="42.840909090909086"/>
    <n v="0"/>
    <n v="0"/>
    <m/>
    <m/>
    <m/>
    <n v="96"/>
    <n v="48"/>
    <s v="L"/>
    <n v="203"/>
    <m/>
    <m/>
    <n v="-4.24"/>
    <m/>
    <m/>
    <m/>
    <n v="9.25"/>
    <s v="30/04/2015"/>
    <s v="20/08/2015"/>
    <n v="1.6439897506104681E-2"/>
    <n v="0"/>
    <n v="0"/>
    <n v="0"/>
    <n v="0"/>
    <n v="0"/>
    <n v="0.2413793103448276"/>
    <n v="0"/>
    <n v="0"/>
    <m/>
    <m/>
    <m/>
    <m/>
    <s v="22/01/2015"/>
    <s v="06/03/2015"/>
    <m/>
    <m/>
    <m/>
    <s v="NO MANUFACTURA VARIOS"/>
    <n v="0.96"/>
    <n v="3.92"/>
    <m/>
    <m/>
    <n v="12"/>
    <n v="1"/>
    <n v="10000000000"/>
    <n v="144"/>
    <n v="754"/>
    <x v="2"/>
    <n v="-4.24"/>
    <n v="0"/>
    <n v="0"/>
    <n v="0"/>
    <n v="0"/>
    <n v="0"/>
    <n v="0"/>
    <n v="754"/>
    <n v="0"/>
    <m/>
    <n v="36"/>
    <n v="0"/>
    <n v="585.6"/>
    <n v="0.614873"/>
    <n v="0"/>
    <n v="1"/>
    <s v="30/04/2015"/>
    <s v="INTRADEVCO  INDUSTRIAL S.A."/>
    <n v="-4.2361111111111107"/>
    <n v="0"/>
    <m/>
  </r>
  <r>
    <s v="DISMA"/>
    <s v="CENTRAL.xlsm"/>
    <x v="0"/>
    <s v="INTRADEVCO  INDUSTRIAL S.A."/>
    <s v="INTRADEVCO"/>
    <s v="H361A100"/>
    <s v="0"/>
    <s v="0"/>
    <n v="1"/>
    <s v="-"/>
    <s v="BUF"/>
    <n v="1232.8"/>
    <n v="29587"/>
    <n v="3.1572436729396496"/>
    <n v="12.695084360804673"/>
    <n v="0"/>
    <n v="0"/>
    <m/>
    <m/>
    <m/>
    <n v="10353"/>
    <n v="5138"/>
    <s v="L"/>
    <n v="23530"/>
    <m/>
    <m/>
    <n v="-3.02"/>
    <m/>
    <m/>
    <m/>
    <n v="5.7662337662337659"/>
    <s v="30/04/2015"/>
    <s v="20/08/2015"/>
    <n v="5.936917282106359E-2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77"/>
    <n v="2.25"/>
    <m/>
    <m/>
    <n v="12"/>
    <n v="1"/>
    <n v="10000000000"/>
    <n v="15569"/>
    <n v="3994"/>
    <x v="1"/>
    <n v="0.74"/>
    <n v="58608"/>
    <n v="0"/>
    <n v="0"/>
    <n v="0"/>
    <n v="0"/>
    <n v="0"/>
    <n v="62602"/>
    <n v="0"/>
    <m/>
    <n v="3892"/>
    <n v="1693.12"/>
    <n v="0"/>
    <n v="1.1094310000000001"/>
    <n v="0"/>
    <n v="1"/>
    <s v="30/04/2015"/>
    <s v="INTRADEVCO  INDUSTRIAL S.A."/>
    <n v="0.74346457704412616"/>
    <n v="0"/>
    <m/>
  </r>
  <r>
    <s v="DISMA"/>
    <s v="CENTRAL.xlsm"/>
    <x v="0"/>
    <s v="INTRADEVCO  INDUSTRIAL S.A."/>
    <s v="INTRADEVCO"/>
    <s v="H364B000"/>
    <s v="0"/>
    <s v="0"/>
    <n v="1"/>
    <s v="-"/>
    <m/>
    <n v="31.1"/>
    <n v="746"/>
    <n v="3.585209003215434"/>
    <n v="12.92604501607717"/>
    <n v="0"/>
    <n v="0"/>
    <m/>
    <m/>
    <m/>
    <n v="297"/>
    <n v="147"/>
    <s v="L"/>
    <n v="666"/>
    <m/>
    <m/>
    <n v="-2.61"/>
    <m/>
    <m/>
    <m/>
    <n v="9.1237113402061869"/>
    <s v="30/04/2015"/>
    <s v="20/08/2015"/>
    <n v="0.3333674382711434"/>
    <n v="0"/>
    <n v="0"/>
    <n v="0.13793103448275862"/>
    <n v="0.10344827586206896"/>
    <n v="0"/>
    <n v="0"/>
    <n v="0"/>
    <n v="0"/>
    <m/>
    <m/>
    <m/>
    <m/>
    <s v="13/03/2015"/>
    <s v="08/05/2015"/>
    <m/>
    <m/>
    <m/>
    <s v="NO MANUFACTURA VARIOS"/>
    <n v="0.97"/>
    <n v="3.92"/>
    <m/>
    <m/>
    <n v="12"/>
    <n v="1"/>
    <n v="10000000000"/>
    <n v="446"/>
    <n v="195"/>
    <x v="0"/>
    <n v="0.56000000000000005"/>
    <n v="1413"/>
    <n v="0"/>
    <n v="0"/>
    <n v="0"/>
    <n v="0"/>
    <n v="0"/>
    <n v="1608"/>
    <n v="0"/>
    <m/>
    <n v="112"/>
    <n v="0"/>
    <n v="0"/>
    <n v="0.64028499999999999"/>
    <n v="0"/>
    <n v="1"/>
    <s v="30/04/2015"/>
    <s v="INTRADEVCO  INDUSTRIAL S.A."/>
    <n v="0.56278026905829592"/>
    <n v="0"/>
    <m/>
  </r>
  <r>
    <s v="DISMA"/>
    <s v="CENTRAL.xlsm"/>
    <x v="0"/>
    <s v="INTRADEVCO  INDUSTRIAL S.A."/>
    <s v="INTRADEVCO"/>
    <s v="H371A100"/>
    <s v="0"/>
    <s v="0"/>
    <n v="1"/>
    <s v="-"/>
    <m/>
    <n v="493.6"/>
    <n v="11846"/>
    <n v="5.4345623987034033"/>
    <n v="18.844205834683954"/>
    <n v="0"/>
    <n v="0"/>
    <m/>
    <m/>
    <m/>
    <n v="7135"/>
    <n v="3541"/>
    <s v="L"/>
    <n v="16178"/>
    <m/>
    <m/>
    <n v="-2.4700000000000002"/>
    <m/>
    <m/>
    <m/>
    <n v="5.7662337662337659"/>
    <s v="30/04/2015"/>
    <s v="20/08/2015"/>
    <n v="4.7967380191475298E-2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0.77"/>
    <n v="2.25"/>
    <m/>
    <m/>
    <n v="12"/>
    <n v="1"/>
    <n v="10000000000"/>
    <n v="10730"/>
    <n v="5664"/>
    <x v="0"/>
    <n v="0.47"/>
    <n v="31542"/>
    <n v="0"/>
    <n v="0"/>
    <n v="0"/>
    <n v="0"/>
    <n v="0"/>
    <n v="37206"/>
    <n v="0"/>
    <m/>
    <n v="2683"/>
    <n v="0"/>
    <n v="0"/>
    <n v="1.143535"/>
    <n v="0"/>
    <n v="1"/>
    <s v="30/04/2015"/>
    <s v="INTRADEVCO  INDUSTRIAL S.A."/>
    <n v="0.47213420316868593"/>
    <n v="0"/>
    <m/>
  </r>
  <r>
    <s v="DISMA"/>
    <s v="CENTRAL.xlsm"/>
    <x v="0"/>
    <s v="INTRADEVCO  INDUSTRIAL S.A."/>
    <s v="INTRADEVCO"/>
    <s v="H374B000"/>
    <s v="0"/>
    <s v="0"/>
    <n v="1"/>
    <m/>
    <s v="BUF"/>
    <n v="31.8"/>
    <n v="763"/>
    <n v="2.3977987421383649"/>
    <n v="3.6399371069182389"/>
    <n v="0"/>
    <n v="0"/>
    <m/>
    <m/>
    <m/>
    <n v="203"/>
    <n v="101"/>
    <s v="L"/>
    <n v="451"/>
    <m/>
    <m/>
    <n v="-0.52"/>
    <m/>
    <m/>
    <m/>
    <n v="9.1237113402061869"/>
    <s v="30/04/2015"/>
    <s v="20/08/2015"/>
    <n v="0.1191973965603786"/>
    <n v="0"/>
    <n v="0"/>
    <n v="0"/>
    <n v="0"/>
    <n v="1.1494252873563218E-2"/>
    <n v="0.22988505747126436"/>
    <n v="0"/>
    <n v="0"/>
    <m/>
    <m/>
    <m/>
    <m/>
    <s v="20/11/2014"/>
    <s v="09/01/2015"/>
    <m/>
    <m/>
    <m/>
    <s v="NO MANUFACTURA VARIOS"/>
    <n v="0.97"/>
    <n v="3.92"/>
    <m/>
    <m/>
    <n v="12"/>
    <n v="1"/>
    <n v="10000000000"/>
    <n v="305"/>
    <n v="463"/>
    <x v="2"/>
    <n v="-0.52"/>
    <n v="0"/>
    <n v="0"/>
    <n v="0"/>
    <n v="0"/>
    <n v="0"/>
    <n v="0"/>
    <n v="463"/>
    <n v="0"/>
    <m/>
    <n v="76"/>
    <n v="0"/>
    <n v="153.26"/>
    <n v="0.53067399999999998"/>
    <n v="0"/>
    <n v="1"/>
    <s v="30/04/2015"/>
    <s v="INTRADEVCO  INDUSTRIAL S.A."/>
    <n v="-0.5180327868852459"/>
    <n v="0"/>
    <m/>
  </r>
  <r>
    <s v="DISMA"/>
    <s v="CENTRAL.xlsm"/>
    <x v="0"/>
    <s v="INTRADEVCO  INDUSTRIAL S.A."/>
    <s v="INTRADEVCO"/>
    <s v="H381A100"/>
    <s v="0"/>
    <s v="0"/>
    <n v="1"/>
    <s v="-"/>
    <s v="BUF"/>
    <n v="890.9"/>
    <n v="21382"/>
    <n v="2.6672466045571896"/>
    <n v="9.0198114266472107"/>
    <n v="0"/>
    <n v="0"/>
    <m/>
    <m/>
    <m/>
    <n v="6321"/>
    <n v="3137"/>
    <s v="L"/>
    <n v="14365"/>
    <m/>
    <m/>
    <n v="-2.38"/>
    <m/>
    <m/>
    <m/>
    <n v="5.7662337662337659"/>
    <s v="30/04/2015"/>
    <s v="20/08/2015"/>
    <n v="7.5221052581985276E-2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0.77"/>
    <n v="2.25"/>
    <m/>
    <m/>
    <n v="12"/>
    <n v="1"/>
    <n v="10000000000"/>
    <n v="9505"/>
    <n v="5476"/>
    <x v="0"/>
    <n v="0.42"/>
    <n v="26667"/>
    <n v="0"/>
    <n v="0"/>
    <n v="0"/>
    <n v="0"/>
    <n v="0"/>
    <n v="32143"/>
    <n v="0"/>
    <m/>
    <n v="2376"/>
    <n v="0"/>
    <n v="0"/>
    <n v="1.134058"/>
    <n v="0"/>
    <n v="1"/>
    <s v="30/04/2015"/>
    <s v="INTRADEVCO  INDUSTRIAL S.A."/>
    <n v="0.42388216728037875"/>
    <n v="0"/>
    <m/>
  </r>
  <r>
    <s v="DISMA"/>
    <s v="CENTRAL.xlsm"/>
    <x v="0"/>
    <s v="INTRADEVCO  INDUSTRIAL S.A."/>
    <s v="INTRADEVCO"/>
    <s v="H391A000"/>
    <s v="0"/>
    <s v="0"/>
    <n v="1"/>
    <s v="-"/>
    <m/>
    <n v="1495.3"/>
    <n v="35887"/>
    <n v="4.1623754430549056"/>
    <n v="11.700494883969773"/>
    <n v="0"/>
    <n v="0"/>
    <m/>
    <m/>
    <m/>
    <n v="16556"/>
    <n v="8216"/>
    <s v="L"/>
    <n v="37775"/>
    <m/>
    <m/>
    <n v="-1.81"/>
    <m/>
    <m/>
    <m/>
    <n v="6"/>
    <s v="30/04/2015"/>
    <s v="20/08/2015"/>
    <n v="4.0253600773562832E-2"/>
    <n v="0"/>
    <n v="0"/>
    <n v="0"/>
    <n v="0"/>
    <n v="0.2413793103448276"/>
    <n v="0"/>
    <n v="0"/>
    <n v="0"/>
    <m/>
    <m/>
    <m/>
    <m/>
    <s v="19/02/2015"/>
    <s v="10/04/2015"/>
    <m/>
    <m/>
    <m/>
    <s v="NO MANUFACTURA VARIOS"/>
    <n v="0.75"/>
    <n v="2.25"/>
    <m/>
    <m/>
    <n v="12"/>
    <n v="1"/>
    <n v="10000000000"/>
    <n v="24896"/>
    <n v="21671"/>
    <x v="3"/>
    <n v="0.13"/>
    <n v="48312"/>
    <n v="0"/>
    <n v="0"/>
    <n v="0"/>
    <n v="0"/>
    <n v="0"/>
    <n v="69983"/>
    <n v="0"/>
    <m/>
    <n v="6224"/>
    <n v="0"/>
    <n v="0"/>
    <n v="0.90900800000000004"/>
    <n v="0"/>
    <n v="1"/>
    <s v="30/04/2015"/>
    <s v="INTRADEVCO  INDUSTRIAL S.A."/>
    <n v="0.12953888174807199"/>
    <n v="0"/>
    <m/>
  </r>
  <r>
    <s v="DISMA"/>
    <s v="CENTRAL.xlsm"/>
    <x v="0"/>
    <s v="INTRADEVCO  INDUSTRIAL S.A."/>
    <s v="INTRADEVCO"/>
    <s v="H392A000"/>
    <s v="0"/>
    <s v="0"/>
    <n v="1"/>
    <s v="-"/>
    <m/>
    <n v="285"/>
    <n v="6840"/>
    <n v="3.6105263157894738"/>
    <n v="14.646491228070175"/>
    <n v="0"/>
    <n v="0"/>
    <m/>
    <m/>
    <m/>
    <n v="2737"/>
    <n v="1358"/>
    <s v="L"/>
    <n v="6163"/>
    <m/>
    <m/>
    <n v="-3.06"/>
    <m/>
    <m/>
    <m/>
    <n v="11.934782608695654"/>
    <s v="30/04/2015"/>
    <s v="20/08/2015"/>
    <n v="0.55852917149282533"/>
    <n v="0"/>
    <n v="0"/>
    <n v="0.10344827586206896"/>
    <n v="0"/>
    <n v="0.13793103448275862"/>
    <n v="0"/>
    <n v="0"/>
    <n v="0"/>
    <m/>
    <m/>
    <m/>
    <m/>
    <s v="13/03/2015"/>
    <s v="08/05/2015"/>
    <m/>
    <m/>
    <m/>
    <s v="NO MANUFACTURA VARIOS"/>
    <n v="0.46"/>
    <n v="2.29"/>
    <m/>
    <m/>
    <n v="12"/>
    <n v="1"/>
    <n v="10000000000"/>
    <n v="4116"/>
    <n v="896"/>
    <x v="1"/>
    <n v="0.78"/>
    <n v="15801"/>
    <n v="0"/>
    <n v="0"/>
    <n v="0"/>
    <n v="0"/>
    <n v="0"/>
    <n v="16697"/>
    <n v="0"/>
    <m/>
    <n v="1029"/>
    <n v="845.46"/>
    <n v="0"/>
    <n v="1.63466"/>
    <n v="0"/>
    <n v="1"/>
    <s v="30/04/2015"/>
    <s v="INTRADEVCO  INDUSTRIAL S.A."/>
    <n v="0.78231292517006801"/>
    <n v="0"/>
    <m/>
  </r>
  <r>
    <s v="DISMA"/>
    <s v="CENTRAL.xlsm"/>
    <x v="0"/>
    <s v="INTRADEVCO  INDUSTRIAL S.A."/>
    <s v="INTRADEVCO"/>
    <s v="H393A000"/>
    <s v="0"/>
    <s v="0"/>
    <n v="1"/>
    <m/>
    <s v="BUF"/>
    <n v="685.9"/>
    <n v="16462"/>
    <n v="1.7932643242455168"/>
    <n v="2.7463916022743842"/>
    <n v="0"/>
    <n v="0"/>
    <m/>
    <m/>
    <m/>
    <n v="3272"/>
    <n v="1624"/>
    <s v="L"/>
    <n v="7374"/>
    <m/>
    <m/>
    <n v="-0.53"/>
    <m/>
    <m/>
    <m/>
    <n v="13.542857142857144"/>
    <s v="30/04/2015"/>
    <s v="20/08/2015"/>
    <n v="0.23696600599304396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5"/>
    <n v="1.93"/>
    <m/>
    <m/>
    <n v="12"/>
    <n v="1"/>
    <n v="10000000000"/>
    <n v="4920"/>
    <n v="7535"/>
    <x v="2"/>
    <n v="-0.53"/>
    <n v="0"/>
    <n v="0"/>
    <n v="0"/>
    <n v="0"/>
    <n v="0"/>
    <n v="0"/>
    <n v="7535"/>
    <n v="0"/>
    <m/>
    <n v="1230"/>
    <n v="0"/>
    <n v="915.24999999999989"/>
    <n v="3.157956"/>
    <n v="0"/>
    <n v="1"/>
    <s v="30/04/2015"/>
    <s v="INTRADEVCO  INDUSTRIAL S.A."/>
    <n v="-0.5315040650406504"/>
    <n v="0"/>
    <m/>
  </r>
  <r>
    <s v="DISMA"/>
    <s v="CENTRAL.xlsm"/>
    <x v="0"/>
    <s v="INTRADEVCO  INDUSTRIAL S.A."/>
    <s v="INTRADEVCO"/>
    <s v="H395B000"/>
    <s v="0"/>
    <s v="0"/>
    <n v="1"/>
    <s v="-"/>
    <s v="BUF"/>
    <n v="63.9"/>
    <n v="1534"/>
    <n v="2.136150234741784"/>
    <n v="6.784037558685446"/>
    <n v="0"/>
    <n v="0"/>
    <m/>
    <m/>
    <m/>
    <n v="363"/>
    <n v="180"/>
    <s v="L"/>
    <n v="816"/>
    <m/>
    <m/>
    <n v="-2.1800000000000002"/>
    <m/>
    <m/>
    <m/>
    <n v="9.1237113402061869"/>
    <s v="30/04/2015"/>
    <s v="20/08/2015"/>
    <n v="0.41425142687916838"/>
    <n v="0"/>
    <n v="0"/>
    <n v="8.0459770114942528E-2"/>
    <n v="0.16091954022988506"/>
    <n v="0"/>
    <n v="0"/>
    <n v="0"/>
    <n v="0"/>
    <m/>
    <m/>
    <m/>
    <m/>
    <m/>
    <m/>
    <m/>
    <m/>
    <m/>
    <s v="NO MANUFACTURA VARIOS"/>
    <n v="0.97"/>
    <n v="3.92"/>
    <m/>
    <m/>
    <n v="12"/>
    <n v="1"/>
    <n v="10000000000"/>
    <n v="546"/>
    <n v="357"/>
    <x v="0"/>
    <n v="0.35"/>
    <n v="1377"/>
    <n v="0"/>
    <n v="0"/>
    <n v="0"/>
    <n v="0"/>
    <n v="0"/>
    <n v="1734"/>
    <n v="0"/>
    <m/>
    <n v="137"/>
    <n v="0"/>
    <n v="0"/>
    <n v="1.180091"/>
    <n v="0"/>
    <n v="1"/>
    <s v="30/04/2015"/>
    <s v="INTRADEVCO  INDUSTRIAL S.A."/>
    <n v="0.34615384615384615"/>
    <n v="0"/>
    <m/>
  </r>
  <r>
    <s v="DISMA"/>
    <s v="CENTRAL.xlsm"/>
    <x v="0"/>
    <s v="INTRADEVCO  INDUSTRIAL S.A."/>
    <s v="INTRADEVCO"/>
    <s v="H403A000"/>
    <s v="0"/>
    <s v="0"/>
    <n v="1"/>
    <s v="-"/>
    <s v="BUF"/>
    <n v="2366.4"/>
    <n v="56794"/>
    <n v="3.0203051048005407"/>
    <n v="12.40238336713996"/>
    <n v="0"/>
    <n v="0"/>
    <m/>
    <m/>
    <m/>
    <n v="19012"/>
    <n v="9434"/>
    <s v="L"/>
    <n v="43320"/>
    <m/>
    <m/>
    <n v="-3.11"/>
    <m/>
    <m/>
    <m/>
    <n v="6"/>
    <s v="30/04/2015"/>
    <s v="20/08/2015"/>
    <n v="0.8097134364025238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75"/>
    <n v="2.25"/>
    <m/>
    <m/>
    <n v="12"/>
    <n v="1"/>
    <n v="10000000000"/>
    <n v="28589"/>
    <n v="6282"/>
    <x v="1"/>
    <n v="0.78"/>
    <n v="111114"/>
    <n v="0"/>
    <n v="0"/>
    <n v="0"/>
    <n v="0"/>
    <n v="0"/>
    <n v="117396"/>
    <n v="0"/>
    <m/>
    <n v="7147"/>
    <n v="4728"/>
    <n v="0"/>
    <n v="1.226299"/>
    <n v="0"/>
    <n v="1"/>
    <s v="30/04/2015"/>
    <s v="INTRADEVCO  INDUSTRIAL S.A."/>
    <n v="0.78026513694078137"/>
    <n v="0"/>
    <m/>
  </r>
  <r>
    <s v="DISMA"/>
    <s v="CENTRAL.xlsm"/>
    <x v="0"/>
    <s v="INTRADEVCO  INDUSTRIAL S.A."/>
    <s v="INTRADEVCO"/>
    <s v="H403B000"/>
    <s v="0"/>
    <s v="0"/>
    <n v="1"/>
    <s v="-"/>
    <m/>
    <n v="65.400000000000006"/>
    <n v="1570"/>
    <n v="3.7117737003058102"/>
    <n v="16.24617737003058"/>
    <n v="0"/>
    <n v="4"/>
    <m/>
    <m/>
    <m/>
    <n v="646"/>
    <n v="320"/>
    <s v="L"/>
    <n v="1464"/>
    <m/>
    <m/>
    <n v="-3.38"/>
    <m/>
    <m/>
    <m/>
    <n v="9.1237113402061851"/>
    <s v="30/04/2015"/>
    <s v="20/08/2015"/>
    <n v="0.8101534484698677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97"/>
    <n v="3.92"/>
    <m/>
    <m/>
    <n v="12"/>
    <n v="1"/>
    <n v="10000000000"/>
    <n v="971"/>
    <n v="11"/>
    <x v="1"/>
    <n v="0.99"/>
    <n v="4179"/>
    <n v="0"/>
    <n v="0"/>
    <n v="0"/>
    <n v="0"/>
    <n v="60"/>
    <n v="4250"/>
    <n v="0"/>
    <m/>
    <n v="243"/>
    <n v="911.55000000000007"/>
    <n v="0"/>
    <n v="0.84831199999999995"/>
    <n v="0"/>
    <n v="1"/>
    <s v="30/04/2015"/>
    <s v="INTRADEVCO  INDUSTRIAL S.A."/>
    <n v="0.98867147270854794"/>
    <n v="0"/>
    <m/>
  </r>
  <r>
    <s v="DISMA"/>
    <s v="CENTRAL.xlsm"/>
    <x v="0"/>
    <s v="INTRADEVCO  INDUSTRIAL S.A."/>
    <s v="INTRADEVCO"/>
    <s v="H407A000"/>
    <s v="0"/>
    <s v="0"/>
    <n v="1"/>
    <s v="-"/>
    <m/>
    <n v="13.1"/>
    <n v="314"/>
    <n v="9.6946564885496187"/>
    <n v="38.81679389312977"/>
    <n v="0"/>
    <n v="0"/>
    <m/>
    <m/>
    <m/>
    <n v="338"/>
    <n v="168"/>
    <s v="L"/>
    <n v="730"/>
    <m/>
    <m/>
    <n v="-3"/>
    <m/>
    <m/>
    <m/>
    <n v="6.7702702702702711"/>
    <s v="30/04/2015"/>
    <s v="20/08/2015"/>
    <n v="0.48130818574369755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74"/>
    <n v="2.41"/>
    <m/>
    <m/>
    <n v="12"/>
    <n v="1"/>
    <n v="10000000000"/>
    <n v="508"/>
    <n v="78"/>
    <x v="1"/>
    <n v="0.85"/>
    <n v="1956"/>
    <n v="0"/>
    <n v="0"/>
    <n v="0"/>
    <n v="0"/>
    <n v="0"/>
    <n v="2034"/>
    <n v="0"/>
    <m/>
    <n v="127"/>
    <n v="150.30000000000001"/>
    <n v="0"/>
    <n v="0.73685900000000004"/>
    <n v="0"/>
    <n v="1"/>
    <s v="30/04/2015"/>
    <s v="INTRADEVCO  INDUSTRIAL S.A."/>
    <n v="0.84645669291338588"/>
    <n v="0"/>
    <m/>
  </r>
  <r>
    <s v="DISMA"/>
    <s v="CENTRAL.xlsm"/>
    <x v="0"/>
    <s v="INTRADEVCO  INDUSTRIAL S.A."/>
    <s v="INTRADEVCO"/>
    <s v="H410A000"/>
    <s v="0"/>
    <s v="0"/>
    <n v="1"/>
    <s v="-"/>
    <s v="BUF"/>
    <n v="160.5"/>
    <n v="3852"/>
    <n v="3.2352024922118381"/>
    <n v="12.989096573208723"/>
    <n v="0"/>
    <n v="0"/>
    <m/>
    <m/>
    <m/>
    <n v="1381"/>
    <n v="685"/>
    <s v="L"/>
    <n v="3153"/>
    <m/>
    <m/>
    <n v="-3.01"/>
    <m/>
    <m/>
    <m/>
    <n v="6.1463414634146343"/>
    <s v="30/04/2015"/>
    <s v="20/08/2015"/>
    <n v="0.15714251545563698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82"/>
    <n v="2.5"/>
    <m/>
    <m/>
    <n v="12"/>
    <n v="1"/>
    <n v="10000000000"/>
    <n v="2077"/>
    <n v="560"/>
    <x v="1"/>
    <n v="0.73"/>
    <n v="7779"/>
    <n v="0"/>
    <n v="0"/>
    <n v="0"/>
    <n v="0"/>
    <n v="0"/>
    <n v="8339"/>
    <n v="0"/>
    <m/>
    <n v="519"/>
    <n v="210.00000000000003"/>
    <n v="0"/>
    <n v="0.98347799999999996"/>
    <n v="0"/>
    <n v="1"/>
    <s v="30/04/2015"/>
    <s v="INTRADEVCO  INDUSTRIAL S.A."/>
    <n v="0.73038035628310061"/>
    <n v="0"/>
    <m/>
  </r>
  <r>
    <s v="DISMA"/>
    <s v="CENTRAL.xlsm"/>
    <x v="0"/>
    <s v="INTRADEVCO  INDUSTRIAL S.A."/>
    <s v="INTRADEVCO"/>
    <s v="H410B000"/>
    <s v="0"/>
    <s v="0"/>
    <n v="1"/>
    <s v="-"/>
    <m/>
    <n v="173.9"/>
    <n v="4174"/>
    <n v="4.4910868315123631"/>
    <n v="18.32806210465785"/>
    <n v="0"/>
    <n v="0"/>
    <m/>
    <m/>
    <m/>
    <n v="2077"/>
    <n v="1031"/>
    <s v="L"/>
    <n v="4705"/>
    <m/>
    <m/>
    <n v="-3.08"/>
    <m/>
    <m/>
    <m/>
    <n v="6.1463414634146361"/>
    <s v="30/04/2015"/>
    <s v="20/08/2015"/>
    <n v="0.62978985421992917"/>
    <n v="0"/>
    <n v="0"/>
    <n v="0.10344827586206896"/>
    <n v="0"/>
    <n v="0"/>
    <n v="0.13793103448275862"/>
    <n v="0"/>
    <n v="0"/>
    <m/>
    <m/>
    <m/>
    <m/>
    <s v="19/02/2015"/>
    <s v="10/04/2015"/>
    <m/>
    <m/>
    <m/>
    <s v="NO MANUFACTURA VARIOS"/>
    <n v="0.82"/>
    <n v="2.5"/>
    <m/>
    <m/>
    <n v="12"/>
    <n v="1"/>
    <n v="10000000000"/>
    <n v="3124"/>
    <n v="683"/>
    <x v="1"/>
    <n v="0.78"/>
    <n v="12066"/>
    <n v="0"/>
    <n v="0"/>
    <n v="0"/>
    <n v="0"/>
    <n v="0"/>
    <n v="12749"/>
    <n v="0"/>
    <m/>
    <n v="781"/>
    <n v="584.6400000000001"/>
    <n v="0"/>
    <n v="1.0621940000000001"/>
    <n v="0"/>
    <n v="1"/>
    <s v="30/04/2015"/>
    <s v="INTRADEVCO  INDUSTRIAL S.A."/>
    <n v="0.78137003841229191"/>
    <n v="0"/>
    <m/>
  </r>
  <r>
    <s v="DISMA"/>
    <s v="CENTRAL.xlsm"/>
    <x v="0"/>
    <s v="INTRADEVCO  INDUSTRIAL S.A."/>
    <s v="INTRADEVCO"/>
    <s v="H410C000"/>
    <s v="0"/>
    <s v="0"/>
    <n v="1"/>
    <s v="-"/>
    <m/>
    <n v="179.1"/>
    <n v="4298"/>
    <n v="5.4941373534338362"/>
    <n v="20.605806811836963"/>
    <n v="0"/>
    <n v="0"/>
    <m/>
    <m/>
    <m/>
    <n v="2617"/>
    <n v="1299"/>
    <s v="L"/>
    <n v="5928"/>
    <m/>
    <m/>
    <n v="-2.75"/>
    <m/>
    <m/>
    <m/>
    <n v="6.6153846153846159"/>
    <s v="30/04/2015"/>
    <s v="20/08/2015"/>
    <n v="0.66637215034301656"/>
    <n v="0"/>
    <n v="0"/>
    <n v="0.13793103448275862"/>
    <n v="0.10344827586206896"/>
    <n v="0"/>
    <n v="0"/>
    <n v="0"/>
    <n v="0"/>
    <m/>
    <m/>
    <m/>
    <m/>
    <s v="13/03/2015"/>
    <s v="08/05/2015"/>
    <m/>
    <m/>
    <m/>
    <s v="NO MANUFACTURA VARIOS"/>
    <n v="0.78"/>
    <n v="2.5"/>
    <m/>
    <m/>
    <n v="12"/>
    <n v="1"/>
    <n v="10000000000"/>
    <n v="3936"/>
    <n v="1511"/>
    <x v="0"/>
    <n v="0.62"/>
    <n v="13251"/>
    <n v="0"/>
    <n v="0"/>
    <n v="0"/>
    <n v="0"/>
    <n v="0"/>
    <n v="14762"/>
    <n v="0"/>
    <m/>
    <n v="984"/>
    <n v="0"/>
    <n v="0"/>
    <n v="0.94297200000000003"/>
    <n v="0"/>
    <n v="1"/>
    <s v="30/04/2015"/>
    <s v="INTRADEVCO  INDUSTRIAL S.A."/>
    <n v="0.61610772357723576"/>
    <n v="0"/>
    <m/>
  </r>
  <r>
    <s v="DISMA"/>
    <s v="CENTRAL.xlsm"/>
    <x v="0"/>
    <s v="INTRADEVCO  INDUSTRIAL S.A."/>
    <s v="INTRADEVCO"/>
    <s v="H450A000"/>
    <s v="0"/>
    <s v="0"/>
    <n v="1"/>
    <s v="-"/>
    <s v="BUF"/>
    <n v="291.7"/>
    <n v="7001"/>
    <n v="2.309736030167981"/>
    <n v="7.4400068563592736"/>
    <n v="0"/>
    <n v="0"/>
    <m/>
    <m/>
    <m/>
    <n v="1792"/>
    <n v="889"/>
    <s v="L"/>
    <n v="4053"/>
    <m/>
    <m/>
    <n v="-2.2200000000000002"/>
    <m/>
    <m/>
    <m/>
    <n v="2.6988847583643127"/>
    <s v="30/04/2015"/>
    <s v="20/08/2015"/>
    <n v="0.24242137391359234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2.69"/>
    <n v="5.1100000000000003"/>
    <m/>
    <m/>
    <n v="4"/>
    <n v="1"/>
    <n v="10000000000"/>
    <n v="2695"/>
    <n v="1739"/>
    <x v="0"/>
    <n v="0.35"/>
    <n v="6942"/>
    <n v="0"/>
    <n v="0"/>
    <n v="0"/>
    <n v="0"/>
    <n v="0"/>
    <n v="8681"/>
    <n v="0"/>
    <m/>
    <n v="674"/>
    <n v="0"/>
    <n v="0"/>
    <n v="0.34347"/>
    <n v="0"/>
    <n v="1"/>
    <s v="30/04/2015"/>
    <s v="INTRADEVCO  INDUSTRIAL S.A."/>
    <n v="0.35473098330241187"/>
    <n v="0"/>
    <m/>
  </r>
  <r>
    <s v="DISMA"/>
    <s v="CENTRAL.xlsm"/>
    <x v="0"/>
    <s v="INTRADEVCO  INDUSTRIAL S.A."/>
    <s v="INTRADEVCO"/>
    <s v="H450B200"/>
    <s v="0"/>
    <s v="0"/>
    <n v="1"/>
    <m/>
    <m/>
    <n v="186"/>
    <n v="4464"/>
    <n v="7.94489247311828"/>
    <n v="18.100806451612904"/>
    <n v="0"/>
    <n v="0"/>
    <m/>
    <m/>
    <m/>
    <n v="3931"/>
    <n v="1951"/>
    <s v="L"/>
    <n v="8957"/>
    <m/>
    <m/>
    <n v="-1.28"/>
    <m/>
    <m/>
    <m/>
    <n v="2.279220779220779"/>
    <s v="30/04/2015"/>
    <s v="20/08/2015"/>
    <n v="6.9085146531608452E-2"/>
    <n v="0"/>
    <n v="0"/>
    <n v="0"/>
    <n v="0"/>
    <n v="0.13793103448275862"/>
    <n v="0.10344827586206896"/>
    <n v="0"/>
    <n v="0"/>
    <m/>
    <m/>
    <m/>
    <m/>
    <s v="19/02/2015"/>
    <s v="10/04/2015"/>
    <m/>
    <m/>
    <m/>
    <s v="NO MANUFACTURA VARIOS"/>
    <n v="1.54"/>
    <n v="2.71"/>
    <m/>
    <m/>
    <n v="6"/>
    <n v="1"/>
    <n v="10000000000"/>
    <n v="5911"/>
    <n v="6702"/>
    <x v="2"/>
    <n v="-0.13"/>
    <n v="6765"/>
    <n v="0"/>
    <n v="0"/>
    <n v="0"/>
    <n v="0"/>
    <n v="0"/>
    <n v="13467"/>
    <n v="0"/>
    <m/>
    <n v="1478"/>
    <n v="0"/>
    <n v="1218.1400000000001"/>
    <n v="6.1957999999999999E-2"/>
    <n v="0"/>
    <n v="1"/>
    <s v="30/04/2015"/>
    <s v="INTRADEVCO  INDUSTRIAL S.A."/>
    <n v="-0.13381830485535443"/>
    <n v="0"/>
    <m/>
  </r>
  <r>
    <s v="DISMA"/>
    <s v="CENTRAL.xlsm"/>
    <x v="0"/>
    <s v="INTRADEVCO  INDUSTRIAL S.A."/>
    <s v="INTRADEVCO"/>
    <s v="H450C200"/>
    <s v="0"/>
    <s v="0"/>
    <n v="1"/>
    <m/>
    <m/>
    <n v="270.89999999999998"/>
    <n v="6502"/>
    <n v="4.5717977113325956"/>
    <n v="7.8469915097822085"/>
    <n v="0"/>
    <n v="0"/>
    <m/>
    <m/>
    <m/>
    <n v="3294"/>
    <n v="1635"/>
    <s v="L"/>
    <n v="7444"/>
    <m/>
    <m/>
    <n v="-0.72"/>
    <m/>
    <m/>
    <m/>
    <n v="3.76"/>
    <s v="30/04/2015"/>
    <s v="20/08/2015"/>
    <n v="3.1013821782046865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75"/>
    <n v="1.69"/>
    <m/>
    <m/>
    <n v="12"/>
    <n v="1"/>
    <n v="10000000000"/>
    <n v="4954"/>
    <n v="8503"/>
    <x v="2"/>
    <n v="-0.72"/>
    <n v="0"/>
    <n v="0"/>
    <n v="0"/>
    <n v="0"/>
    <n v="0"/>
    <n v="0"/>
    <n v="8503"/>
    <n v="0"/>
    <m/>
    <n v="1239"/>
    <n v="0"/>
    <n v="2661.75"/>
    <n v="0.41474899999999998"/>
    <n v="0"/>
    <n v="1"/>
    <s v="30/04/2015"/>
    <s v="INTRADEVCO  INDUSTRIAL S.A."/>
    <n v="-0.71639079531691563"/>
    <n v="0"/>
    <m/>
  </r>
  <r>
    <s v="DISMA"/>
    <s v="CENTRAL.xlsm"/>
    <x v="0"/>
    <s v="INTRADEVCO  INDUSTRIAL S.A."/>
    <s v="INTRADEVCO"/>
    <s v="H450D100"/>
    <s v="0"/>
    <s v="0"/>
    <n v="1"/>
    <m/>
    <s v="BUF"/>
    <n v="1570.3"/>
    <n v="37687"/>
    <n v="1.1494618862637713"/>
    <n v="7.0734891422021269"/>
    <n v="0"/>
    <n v="0"/>
    <m/>
    <m/>
    <m/>
    <n v="4801"/>
    <n v="2383"/>
    <s v="L"/>
    <n v="10410"/>
    <m/>
    <m/>
    <n v="-5.15"/>
    <m/>
    <m/>
    <m/>
    <n v="3.2647058823529407"/>
    <s v="30/04/2015"/>
    <s v="20/08/2015"/>
    <n v="4.562351014546321E-2"/>
    <n v="0"/>
    <n v="0"/>
    <n v="0"/>
    <n v="0"/>
    <n v="0"/>
    <n v="0.2413793103448276"/>
    <n v="0"/>
    <n v="0"/>
    <m/>
    <m/>
    <m/>
    <m/>
    <s v="22/01/2015"/>
    <s v="06/03/2015"/>
    <m/>
    <m/>
    <m/>
    <s v="NO MANUFACTURA VARIOS"/>
    <n v="0.34"/>
    <n v="0.71"/>
    <m/>
    <m/>
    <n v="24"/>
    <n v="1"/>
    <n v="10000000000"/>
    <n v="7220"/>
    <n v="44430"/>
    <x v="2"/>
    <n v="-5.15"/>
    <n v="0"/>
    <n v="0"/>
    <n v="0"/>
    <n v="0"/>
    <n v="0"/>
    <n v="0"/>
    <n v="44430"/>
    <n v="0"/>
    <m/>
    <n v="1805"/>
    <n v="0"/>
    <n v="12651.400000000001"/>
    <n v="3.5318559999999999"/>
    <n v="0"/>
    <n v="1"/>
    <s v="30/04/2015"/>
    <s v="INTRADEVCO  INDUSTRIAL S.A."/>
    <n v="-5.1537396121883656"/>
    <n v="0"/>
    <m/>
  </r>
  <r>
    <s v="DISMA"/>
    <s v="CENTRAL.xlsm"/>
    <x v="0"/>
    <s v="INTRADEVCO  INDUSTRIAL S.A."/>
    <s v="INTRADEVCO"/>
    <s v="H450E000"/>
    <s v="0"/>
    <s v="0"/>
    <n v="1"/>
    <m/>
    <s v="BUF"/>
    <n v="308.10000000000002"/>
    <n v="7394"/>
    <n v="1.7437520285621551"/>
    <n v="3.4996754300551767"/>
    <n v="0"/>
    <n v="0"/>
    <m/>
    <m/>
    <m/>
    <n v="1429"/>
    <n v="709"/>
    <s v="L"/>
    <n v="3147"/>
    <m/>
    <m/>
    <n v="-1.01"/>
    <m/>
    <m/>
    <m/>
    <n v="4.7368421052631575"/>
    <s v="30/04/2015"/>
    <s v="20/08/2015"/>
    <n v="0.5656347592386558"/>
    <n v="0"/>
    <n v="0"/>
    <n v="0"/>
    <n v="0.13793103448275862"/>
    <n v="0"/>
    <n v="0.10344827586206896"/>
    <n v="0"/>
    <n v="0"/>
    <m/>
    <m/>
    <m/>
    <m/>
    <m/>
    <m/>
    <m/>
    <m/>
    <m/>
    <s v="NO MANUFACTURA VARIOS"/>
    <n v="0.19"/>
    <n v="0.49"/>
    <m/>
    <m/>
    <n v="24"/>
    <n v="1"/>
    <n v="10000000000"/>
    <n v="2149"/>
    <n v="4313"/>
    <x v="2"/>
    <n v="-1.01"/>
    <n v="0"/>
    <n v="0"/>
    <n v="0"/>
    <n v="0"/>
    <n v="0"/>
    <n v="0"/>
    <n v="4313"/>
    <n v="0"/>
    <m/>
    <n v="537"/>
    <n v="0"/>
    <n v="411.16"/>
    <n v="7.1881659999999998"/>
    <n v="0"/>
    <n v="1"/>
    <s v="30/04/2015"/>
    <s v="INTRADEVCO  INDUSTRIAL S.A."/>
    <n v="-1.0069799906933457"/>
    <n v="0"/>
    <m/>
  </r>
  <r>
    <s v="DISMA"/>
    <s v="CENTRAL.xlsm"/>
    <x v="0"/>
    <s v="INTRADEVCO  INDUSTRIAL S.A."/>
    <s v="INTRADEVCO"/>
    <s v="H451B200"/>
    <s v="0"/>
    <s v="0"/>
    <n v="1"/>
    <m/>
    <m/>
    <n v="141"/>
    <n v="3384"/>
    <n v="8.6950354609929086"/>
    <n v="16.950354609929079"/>
    <n v="0"/>
    <n v="0"/>
    <m/>
    <m/>
    <m/>
    <n v="3261"/>
    <n v="1618"/>
    <s v="L"/>
    <n v="7422"/>
    <m/>
    <m/>
    <n v="-0.95"/>
    <m/>
    <m/>
    <m/>
    <n v="2.279220779220779"/>
    <s v="30/04/2015"/>
    <s v="20/08/2015"/>
    <n v="6.900953426449602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1.54"/>
    <n v="2.71"/>
    <m/>
    <m/>
    <n v="6"/>
    <n v="1"/>
    <n v="10000000000"/>
    <n v="4904"/>
    <n v="6353"/>
    <x v="2"/>
    <n v="-0.3"/>
    <n v="3207"/>
    <n v="0"/>
    <n v="0"/>
    <n v="0"/>
    <n v="0"/>
    <n v="0"/>
    <n v="9560"/>
    <n v="0"/>
    <m/>
    <n v="1226"/>
    <n v="0"/>
    <n v="2231.46"/>
    <n v="4.3034000000000003E-2"/>
    <n v="0"/>
    <n v="1"/>
    <s v="30/04/2015"/>
    <s v="INTRADEVCO  INDUSTRIAL S.A."/>
    <n v="-0.29547308319738991"/>
    <n v="0"/>
    <m/>
  </r>
  <r>
    <s v="DISMA"/>
    <s v="CENTRAL.xlsm"/>
    <x v="0"/>
    <s v="INTRADEVCO  INDUSTRIAL S.A."/>
    <s v="INTRADEVCO"/>
    <s v="H451C200"/>
    <s v="0"/>
    <s v="0"/>
    <n v="1"/>
    <m/>
    <m/>
    <n v="217.6"/>
    <n v="5222"/>
    <n v="4.5358455882352944"/>
    <n v="8.727022058823529"/>
    <n v="0"/>
    <n v="0"/>
    <m/>
    <m/>
    <m/>
    <n v="2625"/>
    <n v="1303"/>
    <s v="L"/>
    <n v="5959"/>
    <m/>
    <m/>
    <n v="-0.92"/>
    <m/>
    <m/>
    <m/>
    <n v="3.7600000000000002"/>
    <s v="30/04/2015"/>
    <s v="20/08/2015"/>
    <n v="3.9473804029215742E-2"/>
    <n v="0"/>
    <n v="0"/>
    <n v="0"/>
    <n v="0"/>
    <n v="0"/>
    <n v="0.2413793103448276"/>
    <n v="0"/>
    <n v="0"/>
    <m/>
    <m/>
    <m/>
    <m/>
    <s v="22/01/2015"/>
    <s v="06/03/2015"/>
    <m/>
    <m/>
    <m/>
    <s v="NO MANUFACTURA VARIOS"/>
    <n v="0.75"/>
    <n v="1.69"/>
    <m/>
    <m/>
    <n v="12"/>
    <n v="1"/>
    <n v="10000000000"/>
    <n v="3948"/>
    <n v="7596"/>
    <x v="2"/>
    <n v="-0.92"/>
    <n v="0"/>
    <n v="0"/>
    <n v="0"/>
    <n v="0"/>
    <n v="0"/>
    <n v="0"/>
    <n v="7596"/>
    <n v="0"/>
    <m/>
    <n v="987"/>
    <n v="0"/>
    <n v="2736"/>
    <n v="0.43296200000000001"/>
    <n v="0"/>
    <n v="1"/>
    <s v="30/04/2015"/>
    <s v="INTRADEVCO  INDUSTRIAL S.A."/>
    <n v="-0.92401215805471126"/>
    <n v="0"/>
    <m/>
  </r>
  <r>
    <s v="DISMA"/>
    <s v="CENTRAL.xlsm"/>
    <x v="0"/>
    <s v="INTRADEVCO  INDUSTRIAL S.A."/>
    <s v="INTRADEVCO"/>
    <s v="H451D100"/>
    <s v="0"/>
    <s v="0"/>
    <n v="1"/>
    <m/>
    <s v="BUF"/>
    <n v="1492.8"/>
    <n v="35827"/>
    <n v="1.3705787781350482"/>
    <n v="6.857750535905681"/>
    <n v="0"/>
    <n v="0"/>
    <m/>
    <m/>
    <m/>
    <n v="5442"/>
    <n v="2701"/>
    <s v="L"/>
    <n v="11875"/>
    <m/>
    <m/>
    <n v="-4"/>
    <m/>
    <m/>
    <m/>
    <n v="3.2647058823529398"/>
    <s v="30/04/2015"/>
    <s v="20/08/2015"/>
    <n v="5.028802728501288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4"/>
    <n v="0.71"/>
    <m/>
    <m/>
    <n v="24"/>
    <n v="1"/>
    <n v="10000000000"/>
    <n v="8184"/>
    <n v="40949"/>
    <x v="2"/>
    <n v="-4"/>
    <n v="0"/>
    <n v="0"/>
    <n v="0"/>
    <n v="0"/>
    <n v="0"/>
    <n v="0"/>
    <n v="40949"/>
    <n v="0"/>
    <m/>
    <n v="2046"/>
    <n v="0"/>
    <n v="11140.1"/>
    <n v="3.70594"/>
    <n v="0"/>
    <n v="1"/>
    <s v="30/04/2015"/>
    <s v="INTRADEVCO  INDUSTRIAL S.A."/>
    <n v="-4.0035434995112418"/>
    <n v="0"/>
    <m/>
  </r>
  <r>
    <s v="DISMA"/>
    <s v="CENTRAL.xlsm"/>
    <x v="0"/>
    <s v="INTRADEVCO  INDUSTRIAL S.A."/>
    <s v="INTRADEVCO"/>
    <s v="H451E000"/>
    <s v="0"/>
    <s v="0"/>
    <n v="1"/>
    <m/>
    <s v="BUF"/>
    <n v="341.5"/>
    <n v="8196"/>
    <n v="1.5380673499267936"/>
    <n v="3.1617862371888728"/>
    <n v="0"/>
    <n v="0"/>
    <m/>
    <m/>
    <m/>
    <n v="1397"/>
    <n v="693"/>
    <s v="L"/>
    <n v="3000"/>
    <m/>
    <m/>
    <n v="-1.06"/>
    <m/>
    <m/>
    <m/>
    <n v="5.1666666666666661"/>
    <s v="30/04/2015"/>
    <s v="20/08/2015"/>
    <n v="0.55751765986999224"/>
    <n v="0"/>
    <n v="0"/>
    <n v="0"/>
    <n v="8.0459770114942528E-2"/>
    <n v="5.7471264367816091E-2"/>
    <n v="0.10344827586206896"/>
    <n v="0"/>
    <n v="0"/>
    <m/>
    <m/>
    <m/>
    <m/>
    <m/>
    <m/>
    <m/>
    <m/>
    <m/>
    <s v="NO MANUFACTURA VARIOS"/>
    <n v="0.18"/>
    <n v="0.49"/>
    <m/>
    <m/>
    <n v="24"/>
    <n v="1"/>
    <n v="10000000000"/>
    <n v="2101"/>
    <n v="4319"/>
    <x v="2"/>
    <n v="-1.06"/>
    <n v="0"/>
    <n v="0"/>
    <n v="0"/>
    <n v="0"/>
    <n v="0"/>
    <n v="0"/>
    <n v="4319"/>
    <n v="0"/>
    <m/>
    <n v="525"/>
    <n v="0"/>
    <n v="399.24"/>
    <n v="7.2214289999999997"/>
    <n v="0"/>
    <n v="1"/>
    <s v="30/04/2015"/>
    <s v="INTRADEVCO  INDUSTRIAL S.A."/>
    <n v="-1.0556877677296526"/>
    <n v="0"/>
    <m/>
  </r>
  <r>
    <s v="DISMA"/>
    <s v="CENTRAL.xlsm"/>
    <x v="0"/>
    <s v="INTRADEVCO  INDUSTRIAL S.A."/>
    <s v="INTRADEVCO"/>
    <s v="H453A000"/>
    <s v="0"/>
    <s v="0"/>
    <n v="1"/>
    <s v="-"/>
    <s v="BUF"/>
    <n v="338.2"/>
    <n v="8117"/>
    <n v="3.1741573033707868"/>
    <n v="10.400650502661147"/>
    <n v="0"/>
    <n v="0"/>
    <m/>
    <m/>
    <m/>
    <n v="2856"/>
    <n v="1417"/>
    <s v="L"/>
    <n v="6534"/>
    <m/>
    <m/>
    <n v="-2.2799999999999998"/>
    <m/>
    <m/>
    <m/>
    <n v="2.554347826086957"/>
    <s v="30/04/2015"/>
    <s v="20/08/2015"/>
    <n v="0.27147331810303454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2.76"/>
    <n v="5.1100000000000003"/>
    <m/>
    <m/>
    <n v="4"/>
    <n v="1"/>
    <n v="10000000000"/>
    <n v="4294"/>
    <n v="2766"/>
    <x v="0"/>
    <n v="0.36"/>
    <n v="11304"/>
    <n v="0"/>
    <n v="0"/>
    <n v="0"/>
    <n v="0"/>
    <n v="0"/>
    <n v="14070"/>
    <n v="0"/>
    <m/>
    <n v="1074"/>
    <n v="0"/>
    <n v="0"/>
    <n v="0.28038800000000003"/>
    <n v="0"/>
    <n v="1"/>
    <s v="30/04/2015"/>
    <s v="INTRADEVCO  INDUSTRIAL S.A."/>
    <n v="0.35584536562645552"/>
    <n v="0"/>
    <m/>
  </r>
  <r>
    <s v="DISMA"/>
    <s v="CENTRAL.xlsm"/>
    <x v="0"/>
    <s v="INTRADEVCO  INDUSTRIAL S.A."/>
    <s v="INTRADEVCO"/>
    <s v="H453B200"/>
    <s v="0"/>
    <s v="0"/>
    <n v="1"/>
    <m/>
    <m/>
    <n v="39.1"/>
    <n v="938"/>
    <n v="4.085677749360614"/>
    <n v="7.0588235294117645"/>
    <n v="0"/>
    <n v="0"/>
    <m/>
    <m/>
    <m/>
    <n v="425"/>
    <n v="211"/>
    <s v="L"/>
    <n v="947"/>
    <m/>
    <m/>
    <n v="-0.73"/>
    <m/>
    <m/>
    <m/>
    <n v="2.3137254901960782"/>
    <s v="30/04/2015"/>
    <s v="20/08/2015"/>
    <n v="0.1685917972920089"/>
    <n v="0"/>
    <n v="0"/>
    <n v="0"/>
    <n v="0"/>
    <n v="0"/>
    <n v="0.2413793103448276"/>
    <n v="0"/>
    <n v="0"/>
    <m/>
    <m/>
    <m/>
    <m/>
    <s v="22/01/2015"/>
    <s v="06/03/2015"/>
    <m/>
    <m/>
    <m/>
    <s v="NO MANUFACTURA VARIOS"/>
    <n v="1.53"/>
    <n v="2.71"/>
    <m/>
    <m/>
    <n v="6"/>
    <n v="1"/>
    <n v="10000000000"/>
    <n v="639"/>
    <n v="1104"/>
    <x v="2"/>
    <n v="-0.73"/>
    <n v="0"/>
    <n v="0"/>
    <n v="0"/>
    <n v="0"/>
    <n v="0"/>
    <n v="0"/>
    <n v="1104"/>
    <n v="0"/>
    <m/>
    <n v="160"/>
    <n v="0"/>
    <n v="711.45"/>
    <n v="0.35594799999999999"/>
    <n v="0"/>
    <n v="1"/>
    <s v="30/04/2015"/>
    <s v="INTRADEVCO  INDUSTRIAL S.A."/>
    <n v="-0.72769953051643188"/>
    <n v="0"/>
    <m/>
  </r>
  <r>
    <s v="DISMA"/>
    <s v="CENTRAL.xlsm"/>
    <x v="0"/>
    <s v="INTRADEVCO  INDUSTRIAL S.A."/>
    <s v="INTRADEVCO"/>
    <s v="H453C200"/>
    <s v="0"/>
    <s v="0"/>
    <n v="1"/>
    <s v="-"/>
    <m/>
    <n v="66.3"/>
    <n v="1591"/>
    <n v="6.5761689291101062"/>
    <n v="22.828054298642535"/>
    <n v="0"/>
    <n v="0"/>
    <m/>
    <m/>
    <m/>
    <n v="1160"/>
    <n v="576"/>
    <s v="L"/>
    <n v="2592"/>
    <m/>
    <m/>
    <n v="-2.4700000000000002"/>
    <m/>
    <m/>
    <m/>
    <n v="3.76"/>
    <s v="30/04/2015"/>
    <s v="20/08/2015"/>
    <n v="0.56511833346424678"/>
    <n v="0"/>
    <n v="0"/>
    <n v="0.13793103448275862"/>
    <n v="0.10344827586206896"/>
    <n v="0"/>
    <n v="0"/>
    <n v="0"/>
    <n v="0"/>
    <m/>
    <m/>
    <m/>
    <m/>
    <s v="19/02/2015"/>
    <s v="10/04/2015"/>
    <m/>
    <m/>
    <m/>
    <s v="NO MANUFACTURA VARIOS"/>
    <n v="0.75"/>
    <n v="1.69"/>
    <m/>
    <m/>
    <n v="12"/>
    <n v="1"/>
    <n v="10000000000"/>
    <n v="1744"/>
    <n v="861"/>
    <x v="0"/>
    <n v="0.51"/>
    <n v="5193"/>
    <n v="0"/>
    <n v="0"/>
    <n v="0"/>
    <n v="0"/>
    <n v="0"/>
    <n v="6054"/>
    <n v="0"/>
    <m/>
    <n v="436"/>
    <n v="0"/>
    <n v="0"/>
    <n v="1.038991"/>
    <n v="0"/>
    <n v="1"/>
    <s v="30/04/2015"/>
    <s v="INTRADEVCO  INDUSTRIAL S.A."/>
    <n v="0.50630733944954132"/>
    <n v="0"/>
    <m/>
  </r>
  <r>
    <s v="DISMA"/>
    <s v="CENTRAL.xlsm"/>
    <x v="0"/>
    <s v="INTRADEVCO  INDUSTRIAL S.A."/>
    <s v="INTRADEVCO"/>
    <s v="H453D100"/>
    <s v="0"/>
    <s v="0"/>
    <n v="1"/>
    <m/>
    <s v="BUF"/>
    <n v="763.1"/>
    <n v="18314"/>
    <n v="0.63622067881011657"/>
    <n v="9.6569912200235883"/>
    <n v="0"/>
    <n v="0"/>
    <m/>
    <m/>
    <m/>
    <n v="1291"/>
    <n v="641"/>
    <s v="L"/>
    <n v="2779"/>
    <m/>
    <m/>
    <n v="-14.18"/>
    <m/>
    <m/>
    <m/>
    <n v="3.4545454545454541"/>
    <s v="30/04/2015"/>
    <s v="20/08/2015"/>
    <n v="2.5407444401458729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3"/>
    <n v="0.71"/>
    <m/>
    <m/>
    <n v="24"/>
    <n v="1"/>
    <n v="10000000000"/>
    <n v="1942"/>
    <n v="29477"/>
    <x v="2"/>
    <n v="-14.18"/>
    <n v="0"/>
    <n v="0"/>
    <n v="0"/>
    <n v="0"/>
    <n v="0"/>
    <n v="0"/>
    <n v="29477"/>
    <n v="0"/>
    <m/>
    <n v="486"/>
    <n v="0"/>
    <n v="9086.5500000000011"/>
    <n v="8.3778050000000004"/>
    <n v="0"/>
    <n v="1"/>
    <s v="30/04/2015"/>
    <s v="INTRADEVCO  INDUSTRIAL S.A."/>
    <n v="-14.178681771369721"/>
    <n v="0"/>
    <m/>
  </r>
  <r>
    <s v="DISMA"/>
    <s v="CENTRAL.xlsm"/>
    <x v="0"/>
    <s v="INTRADEVCO  INDUSTRIAL S.A."/>
    <s v="INTRADEVCO"/>
    <s v="H453E000"/>
    <s v="0"/>
    <s v="0"/>
    <n v="1"/>
    <m/>
    <s v="BUF"/>
    <n v="310.39999999999998"/>
    <n v="7450"/>
    <n v="1.7268041237113403"/>
    <n v="3.5309278350515467"/>
    <n v="0"/>
    <n v="0"/>
    <m/>
    <m/>
    <m/>
    <n v="1426"/>
    <n v="708"/>
    <s v="L"/>
    <n v="3151"/>
    <m/>
    <m/>
    <n v="-1.04"/>
    <m/>
    <m/>
    <m/>
    <n v="4.7368421052631575"/>
    <s v="30/04/2015"/>
    <s v="20/08/2015"/>
    <n v="0.54292556219979671"/>
    <n v="0"/>
    <n v="0"/>
    <n v="0"/>
    <n v="0"/>
    <n v="0.13793103448275862"/>
    <n v="0.10344827586206896"/>
    <n v="0"/>
    <n v="0"/>
    <m/>
    <m/>
    <m/>
    <m/>
    <m/>
    <m/>
    <m/>
    <m/>
    <m/>
    <s v="NO MANUFACTURA VARIOS"/>
    <n v="0.19"/>
    <n v="0.49"/>
    <m/>
    <m/>
    <n v="24"/>
    <n v="1"/>
    <n v="10000000000"/>
    <n v="2144"/>
    <n v="4384"/>
    <x v="2"/>
    <n v="-1.04"/>
    <n v="0"/>
    <n v="0"/>
    <n v="0"/>
    <n v="0"/>
    <n v="0"/>
    <n v="0"/>
    <n v="4384"/>
    <n v="0"/>
    <m/>
    <n v="536"/>
    <n v="0"/>
    <n v="425.6"/>
    <n v="7.3841320000000001"/>
    <n v="0"/>
    <n v="1"/>
    <s v="30/04/2015"/>
    <s v="INTRADEVCO  INDUSTRIAL S.A."/>
    <n v="-1.044776119402985"/>
    <n v="0"/>
    <m/>
  </r>
  <r>
    <s v="DISMA"/>
    <s v="CENTRAL.xlsm"/>
    <x v="0"/>
    <s v="INTRADEVCO  INDUSTRIAL S.A."/>
    <s v="INTRADEVCO"/>
    <s v="H460A000"/>
    <s v="0"/>
    <s v="0"/>
    <n v="1"/>
    <s v="-"/>
    <m/>
    <n v="35.6"/>
    <n v="854"/>
    <n v="5.3441011235955056"/>
    <n v="21.116573033707866"/>
    <n v="0"/>
    <n v="14"/>
    <m/>
    <m/>
    <m/>
    <n v="506"/>
    <n v="251"/>
    <s v="L"/>
    <n v="1125"/>
    <m/>
    <m/>
    <n v="-2.95"/>
    <m/>
    <m/>
    <m/>
    <n v="2.2695652173913037"/>
    <s v="30/04/2015"/>
    <s v="20/08/2015"/>
    <n v="1.183215956619923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3.45"/>
    <n v="6.06"/>
    <m/>
    <m/>
    <n v="4"/>
    <n v="1"/>
    <n v="10000000000"/>
    <n v="761"/>
    <n v="184"/>
    <x v="1"/>
    <n v="0.76"/>
    <n v="2823"/>
    <n v="0"/>
    <n v="0"/>
    <n v="0"/>
    <n v="0"/>
    <n v="0"/>
    <n v="3007"/>
    <n v="0"/>
    <m/>
    <n v="190"/>
    <n v="174.86999999999995"/>
    <n v="0"/>
    <n v="0.22891300000000001"/>
    <n v="0"/>
    <n v="1"/>
    <s v="30/04/2015"/>
    <s v="INTRADEVCO  INDUSTRIAL S.A."/>
    <n v="0.75821287779237845"/>
    <n v="0"/>
    <m/>
  </r>
  <r>
    <s v="DISMA"/>
    <s v="CENTRAL.xlsm"/>
    <x v="0"/>
    <s v="INTRADEVCO  INDUSTRIAL S.A."/>
    <s v="INTRADEVCO"/>
    <s v="H460B000"/>
    <s v="0"/>
    <s v="0"/>
    <n v="1"/>
    <s v="-"/>
    <m/>
    <n v="86.4"/>
    <n v="2074"/>
    <n v="3.7065972222222219"/>
    <n v="16.380208333333332"/>
    <n v="0"/>
    <n v="40"/>
    <m/>
    <m/>
    <m/>
    <n v="852"/>
    <n v="423"/>
    <s v="L"/>
    <n v="1947"/>
    <m/>
    <m/>
    <n v="-3.42"/>
    <m/>
    <m/>
    <m/>
    <n v="3.8297872340425538"/>
    <s v="30/04/2015"/>
    <s v="20/08/2015"/>
    <n v="1"/>
    <n v="0"/>
    <n v="0.2413793103448276"/>
    <n v="0"/>
    <n v="0"/>
    <n v="0"/>
    <n v="0"/>
    <n v="0"/>
    <n v="0"/>
    <m/>
    <m/>
    <m/>
    <m/>
    <s v="19/02/2015"/>
    <s v="10/04/2015"/>
    <m/>
    <m/>
    <m/>
    <s v="NO MANUFACTURA VARIOS"/>
    <n v="1.41"/>
    <n v="3.21"/>
    <m/>
    <m/>
    <n v="6"/>
    <n v="1"/>
    <n v="10000000000"/>
    <n v="1281"/>
    <n v="0"/>
    <x v="4"/>
    <n v="1"/>
    <n v="5571"/>
    <n v="0"/>
    <n v="0"/>
    <n v="0"/>
    <n v="0"/>
    <n v="90"/>
    <n v="5661"/>
    <n v="0"/>
    <m/>
    <n v="320"/>
    <n v="761.4"/>
    <n v="0"/>
    <n v="0.85759700000000005"/>
    <n v="0"/>
    <n v="1"/>
    <s v="30/04/2015"/>
    <s v="INTRADEVCO  INDUSTRIAL S.A."/>
    <n v="1"/>
    <n v="0"/>
    <m/>
  </r>
  <r>
    <s v="DISMA"/>
    <s v="CENTRAL.xlsm"/>
    <x v="0"/>
    <s v="INTRADEVCO  INDUSTRIAL S.A."/>
    <s v="INTRADEVCO"/>
    <s v="H460C000"/>
    <s v="0"/>
    <s v="0"/>
    <n v="1"/>
    <s v="-"/>
    <m/>
    <n v="300.3"/>
    <n v="7207"/>
    <n v="4.7943722943722946"/>
    <n v="15.635198135198134"/>
    <n v="0"/>
    <n v="0"/>
    <m/>
    <m/>
    <m/>
    <n v="3830"/>
    <n v="1900"/>
    <s v="L"/>
    <n v="8787"/>
    <m/>
    <m/>
    <n v="-2.2599999999999998"/>
    <m/>
    <m/>
    <m/>
    <n v="3.8846153846153841"/>
    <s v="30/04/2015"/>
    <s v="20/08/2015"/>
    <n v="0.18036283663485819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0.78"/>
    <n v="1.79"/>
    <m/>
    <m/>
    <n v="12"/>
    <n v="1"/>
    <n v="10000000000"/>
    <n v="5759"/>
    <n v="3790"/>
    <x v="0"/>
    <n v="0.34"/>
    <n v="14991"/>
    <n v="0"/>
    <n v="0"/>
    <n v="0"/>
    <n v="0"/>
    <n v="0"/>
    <n v="18781"/>
    <n v="0"/>
    <m/>
    <n v="1440"/>
    <n v="0"/>
    <n v="0"/>
    <n v="1.079915"/>
    <n v="0"/>
    <n v="1"/>
    <s v="30/04/2015"/>
    <s v="INTRADEVCO  INDUSTRIAL S.A."/>
    <n v="0.34189963535335993"/>
    <n v="0"/>
    <m/>
  </r>
  <r>
    <s v="DISMA"/>
    <s v="CENTRAL.xlsm"/>
    <x v="0"/>
    <s v="INTRADEVCO  INDUSTRIAL S.A."/>
    <s v="INTRADEVCO"/>
    <s v="H460D100"/>
    <s v="0"/>
    <s v="0"/>
    <n v="1"/>
    <s v="-"/>
    <m/>
    <n v="1574.2"/>
    <n v="37781"/>
    <n v="5.0776584932028968"/>
    <n v="17.201594460678439"/>
    <n v="0"/>
    <n v="0"/>
    <m/>
    <m/>
    <m/>
    <n v="21262"/>
    <n v="10551"/>
    <s v="L"/>
    <n v="45365"/>
    <m/>
    <m/>
    <n v="-2.39"/>
    <m/>
    <m/>
    <m/>
    <n v="4.7500000000000009"/>
    <s v="30/04/2015"/>
    <s v="20/08/2015"/>
    <n v="4.6519517116609621E-2"/>
    <n v="0"/>
    <n v="0"/>
    <n v="0"/>
    <n v="0.2413793103448276"/>
    <n v="0"/>
    <n v="0"/>
    <n v="0"/>
    <n v="0"/>
    <m/>
    <m/>
    <m/>
    <m/>
    <s v="05/12/2014"/>
    <s v="09/01/2015"/>
    <m/>
    <m/>
    <m/>
    <s v="NO MANUFACTURA VARIOS"/>
    <n v="0.36"/>
    <n v="0.93"/>
    <m/>
    <m/>
    <n v="24"/>
    <n v="1"/>
    <n v="10000000000"/>
    <n v="31973"/>
    <n v="13890"/>
    <x v="0"/>
    <n v="0.56999999999999995"/>
    <n v="94425"/>
    <n v="0"/>
    <n v="0"/>
    <n v="0"/>
    <n v="0"/>
    <n v="0"/>
    <n v="108315"/>
    <n v="0"/>
    <m/>
    <n v="7993"/>
    <n v="0"/>
    <n v="0"/>
    <n v="2.9094859999999998"/>
    <n v="0"/>
    <n v="1"/>
    <s v="30/04/2015"/>
    <s v="INTRADEVCO  INDUSTRIAL S.A."/>
    <n v="0.56557095048947548"/>
    <n v="0"/>
    <m/>
  </r>
  <r>
    <s v="DISMA"/>
    <s v="CENTRAL.xlsm"/>
    <x v="0"/>
    <s v="INTRADEVCO  INDUSTRIAL S.A."/>
    <s v="INTRADEVCO"/>
    <s v="H461A000"/>
    <s v="0"/>
    <s v="0"/>
    <n v="1"/>
    <s v="-"/>
    <m/>
    <n v="45.4"/>
    <n v="1090"/>
    <n v="3.893171806167401"/>
    <n v="16.272026431718061"/>
    <n v="0"/>
    <n v="8"/>
    <m/>
    <m/>
    <m/>
    <n v="470"/>
    <n v="233"/>
    <s v="L"/>
    <n v="1059"/>
    <m/>
    <m/>
    <n v="-3.18"/>
    <m/>
    <m/>
    <m/>
    <n v="2.2695652173913037"/>
    <s v="30/04/2015"/>
    <s v="20/08/2015"/>
    <n v="1.1510838608445473"/>
    <n v="0"/>
    <n v="9.1954022988505746E-2"/>
    <n v="0.14942528735632185"/>
    <n v="0"/>
    <n v="0"/>
    <n v="0"/>
    <n v="0"/>
    <n v="0"/>
    <m/>
    <m/>
    <m/>
    <m/>
    <s v="13/03/2015"/>
    <s v="08/05/2015"/>
    <m/>
    <m/>
    <m/>
    <s v="NO MANUFACTURA VARIOS"/>
    <n v="3.45"/>
    <n v="6.06"/>
    <m/>
    <m/>
    <n v="4"/>
    <n v="1"/>
    <n v="10000000000"/>
    <n v="707"/>
    <n v="111"/>
    <x v="1"/>
    <n v="0.84"/>
    <n v="2844"/>
    <n v="0"/>
    <n v="0"/>
    <n v="0"/>
    <n v="0"/>
    <n v="0"/>
    <n v="2955"/>
    <n v="0"/>
    <m/>
    <n v="177"/>
    <n v="318.41999999999996"/>
    <n v="0"/>
    <n v="0.33659299999999998"/>
    <n v="0"/>
    <n v="1"/>
    <s v="30/04/2015"/>
    <s v="INTRADEVCO  INDUSTRIAL S.A."/>
    <n v="0.84299858557284302"/>
    <n v="0"/>
    <m/>
  </r>
  <r>
    <s v="DISMA"/>
    <s v="CENTRAL.xlsm"/>
    <x v="0"/>
    <s v="INTRADEVCO  INDUSTRIAL S.A."/>
    <s v="INTRADEVCO"/>
    <s v="H461B000"/>
    <s v="0"/>
    <s v="0"/>
    <n v="1"/>
    <s v="-"/>
    <s v="BUF"/>
    <n v="96.7"/>
    <n v="2321"/>
    <n v="2.8464322647362978"/>
    <n v="11.889865563598759"/>
    <n v="0"/>
    <n v="0"/>
    <m/>
    <m/>
    <m/>
    <n v="732"/>
    <n v="363"/>
    <s v="L"/>
    <n v="1667"/>
    <m/>
    <m/>
    <n v="-3.18"/>
    <m/>
    <m/>
    <m/>
    <n v="4.295454545454545"/>
    <s v="30/04/2015"/>
    <s v="20/08/2015"/>
    <n v="0.58735117685987293"/>
    <n v="0"/>
    <n v="0"/>
    <n v="0.2413793103448276"/>
    <n v="0"/>
    <n v="0"/>
    <n v="0"/>
    <n v="0"/>
    <n v="0"/>
    <m/>
    <m/>
    <m/>
    <m/>
    <s v="19/02/2015"/>
    <s v="10/04/2015"/>
    <m/>
    <m/>
    <m/>
    <s v="NO MANUFACTURA VARIOS"/>
    <n v="1.32"/>
    <n v="3.21"/>
    <m/>
    <m/>
    <n v="6"/>
    <n v="1"/>
    <n v="10000000000"/>
    <n v="1101"/>
    <n v="15"/>
    <x v="1"/>
    <n v="0.99"/>
    <n v="4398"/>
    <n v="0"/>
    <n v="0"/>
    <n v="0"/>
    <n v="0"/>
    <n v="186"/>
    <n v="4599"/>
    <n v="0"/>
    <m/>
    <n v="275"/>
    <n v="657.71999999999991"/>
    <n v="0"/>
    <n v="0.91514600000000002"/>
    <n v="0"/>
    <n v="1"/>
    <s v="30/04/2015"/>
    <s v="INTRADEVCO  INDUSTRIAL S.A."/>
    <n v="0.98637602179836514"/>
    <n v="0"/>
    <m/>
  </r>
  <r>
    <s v="DISMA"/>
    <s v="CENTRAL.xlsm"/>
    <x v="0"/>
    <s v="INTRADEVCO  INDUSTRIAL S.A."/>
    <s v="INTRADEVCO"/>
    <s v="H461C000"/>
    <s v="0"/>
    <s v="0"/>
    <n v="1"/>
    <s v="-"/>
    <m/>
    <n v="338.8"/>
    <n v="8131"/>
    <n v="4.839876033057851"/>
    <n v="20.038370720188901"/>
    <n v="0"/>
    <n v="0"/>
    <m/>
    <m/>
    <m/>
    <n v="4362"/>
    <n v="2164"/>
    <s v="L"/>
    <n v="9964"/>
    <m/>
    <m/>
    <n v="-3.14"/>
    <m/>
    <m/>
    <m/>
    <n v="3.8846153846153846"/>
    <s v="30/04/2015"/>
    <s v="20/08/2015"/>
    <n v="1.1041328160777455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78"/>
    <n v="1.79"/>
    <m/>
    <m/>
    <n v="12"/>
    <n v="1"/>
    <n v="10000000000"/>
    <n v="6559"/>
    <n v="1368"/>
    <x v="1"/>
    <n v="0.79"/>
    <n v="25788"/>
    <n v="0"/>
    <n v="0"/>
    <n v="0"/>
    <n v="0"/>
    <n v="0"/>
    <n v="27156"/>
    <n v="0"/>
    <m/>
    <n v="1640"/>
    <n v="803.96"/>
    <n v="0"/>
    <n v="1.2898700000000001"/>
    <n v="0"/>
    <n v="1"/>
    <s v="30/04/2015"/>
    <s v="INTRADEVCO  INDUSTRIAL S.A."/>
    <n v="0.79143162067388317"/>
    <n v="0"/>
    <m/>
  </r>
  <r>
    <s v="DISMA"/>
    <s v="CENTRAL.xlsm"/>
    <x v="0"/>
    <s v="INTRADEVCO  INDUSTRIAL S.A."/>
    <s v="INTRADEVCO"/>
    <s v="H461D100"/>
    <s v="0"/>
    <s v="0"/>
    <n v="1"/>
    <s v="-"/>
    <m/>
    <n v="1651.7"/>
    <n v="39641"/>
    <n v="4.9199309802022162"/>
    <n v="18.656535690500696"/>
    <n v="0"/>
    <n v="0"/>
    <m/>
    <m/>
    <m/>
    <n v="21616"/>
    <n v="10727"/>
    <s v="L"/>
    <n v="46658"/>
    <m/>
    <m/>
    <n v="-2.79"/>
    <m/>
    <m/>
    <m/>
    <n v="4.7500000000000009"/>
    <s v="30/04/2015"/>
    <s v="20/08/2015"/>
    <n v="0.24114837515790785"/>
    <n v="0"/>
    <n v="0"/>
    <n v="0.2413793103448276"/>
    <n v="0"/>
    <n v="0"/>
    <n v="0"/>
    <n v="0"/>
    <n v="0"/>
    <m/>
    <m/>
    <m/>
    <m/>
    <s v="05/12/2014"/>
    <s v="09/01/2015"/>
    <m/>
    <m/>
    <m/>
    <s v="NO MANUFACTURA VARIOS"/>
    <n v="0.36"/>
    <n v="0.93"/>
    <m/>
    <m/>
    <n v="24"/>
    <n v="1"/>
    <n v="10000000000"/>
    <n v="32505"/>
    <n v="8357"/>
    <x v="1"/>
    <n v="0.74"/>
    <n v="114903"/>
    <n v="0"/>
    <n v="0"/>
    <n v="0"/>
    <n v="0"/>
    <n v="0"/>
    <n v="123260"/>
    <n v="0"/>
    <m/>
    <n v="8126"/>
    <n v="1350.9"/>
    <n v="0"/>
    <n v="2.9559549999999999"/>
    <n v="0"/>
    <n v="1"/>
    <s v="30/04/2015"/>
    <s v="INTRADEVCO  INDUSTRIAL S.A."/>
    <n v="0.74290109213967082"/>
    <n v="0"/>
    <m/>
  </r>
  <r>
    <s v="DISMA"/>
    <s v="CENTRAL.xlsm"/>
    <x v="0"/>
    <s v="INTRADEVCO  INDUSTRIAL S.A."/>
    <s v="INTRADEVCO"/>
    <s v="H462A000"/>
    <s v="0"/>
    <s v="0"/>
    <n v="1"/>
    <s v="-"/>
    <m/>
    <n v="35.700000000000003"/>
    <n v="857"/>
    <n v="4.9229691876750694"/>
    <n v="19.264705882352938"/>
    <n v="0"/>
    <n v="0"/>
    <m/>
    <m/>
    <m/>
    <n v="467"/>
    <n v="232"/>
    <s v="L"/>
    <n v="1049"/>
    <m/>
    <m/>
    <n v="-2.91"/>
    <m/>
    <m/>
    <m/>
    <n v="2.2695652173913041"/>
    <s v="30/04/2015"/>
    <s v="20/08/2015"/>
    <n v="0.83182349208627127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3.45"/>
    <n v="6.06"/>
    <m/>
    <m/>
    <n v="4"/>
    <n v="1"/>
    <n v="10000000000"/>
    <n v="703"/>
    <n v="198"/>
    <x v="1"/>
    <n v="0.72"/>
    <n v="2553"/>
    <n v="0"/>
    <n v="0"/>
    <n v="0"/>
    <n v="0"/>
    <n v="0"/>
    <n v="2751"/>
    <n v="0"/>
    <m/>
    <n v="176"/>
    <n v="88.739999999999981"/>
    <n v="0"/>
    <n v="0.26923900000000001"/>
    <n v="0"/>
    <n v="1"/>
    <s v="30/04/2015"/>
    <s v="INTRADEVCO  INDUSTRIAL S.A."/>
    <n v="0.71834992887624471"/>
    <n v="0"/>
    <m/>
  </r>
  <r>
    <s v="DISMA"/>
    <s v="CENTRAL.xlsm"/>
    <x v="0"/>
    <s v="INTRADEVCO  INDUSTRIAL S.A."/>
    <s v="INTRADEVCO"/>
    <s v="H462B000"/>
    <s v="0"/>
    <s v="0"/>
    <n v="1"/>
    <s v="-"/>
    <m/>
    <n v="74.3"/>
    <n v="1783"/>
    <n v="4.3775235531628534"/>
    <n v="18.135935397039031"/>
    <n v="0"/>
    <n v="0"/>
    <m/>
    <m/>
    <m/>
    <n v="865"/>
    <n v="429"/>
    <s v="L"/>
    <n v="1978"/>
    <m/>
    <m/>
    <n v="-3.14"/>
    <m/>
    <m/>
    <m/>
    <n v="3.6413793103448278"/>
    <s v="30/04/2015"/>
    <s v="20/08/2015"/>
    <n v="0.29167820845122883"/>
    <n v="0"/>
    <n v="0"/>
    <n v="0.2413793103448276"/>
    <n v="0"/>
    <n v="0"/>
    <n v="0"/>
    <n v="0"/>
    <n v="0"/>
    <m/>
    <m/>
    <m/>
    <m/>
    <s v="19/02/2015"/>
    <s v="10/04/2015"/>
    <m/>
    <m/>
    <m/>
    <s v="NO MANUFACTURA VARIOS"/>
    <n v="1.45"/>
    <n v="3.21"/>
    <m/>
    <m/>
    <n v="6"/>
    <n v="1"/>
    <n v="10000000000"/>
    <n v="1301"/>
    <n v="26"/>
    <x v="1"/>
    <n v="0.98"/>
    <n v="5118"/>
    <n v="0"/>
    <n v="0"/>
    <n v="0"/>
    <n v="0"/>
    <n v="246"/>
    <n v="5390"/>
    <n v="0"/>
    <m/>
    <n v="325"/>
    <n v="709.28"/>
    <n v="0"/>
    <n v="0.485568"/>
    <n v="0"/>
    <n v="1"/>
    <s v="30/04/2015"/>
    <s v="INTRADEVCO  INDUSTRIAL S.A."/>
    <n v="0.98001537279016138"/>
    <n v="0"/>
    <m/>
  </r>
  <r>
    <s v="DISMA"/>
    <s v="CENTRAL.xlsm"/>
    <x v="0"/>
    <s v="INTRADEVCO  INDUSTRIAL S.A."/>
    <s v="INTRADEVCO"/>
    <s v="H462C000"/>
    <s v="0"/>
    <s v="0"/>
    <n v="1"/>
    <s v="-"/>
    <m/>
    <n v="446.9"/>
    <n v="10726"/>
    <n v="4.2554262698590293"/>
    <n v="18.850413962855225"/>
    <n v="0"/>
    <n v="11"/>
    <m/>
    <m/>
    <m/>
    <n v="5059"/>
    <n v="2510"/>
    <s v="L"/>
    <n v="11507"/>
    <m/>
    <m/>
    <n v="-3.43"/>
    <m/>
    <m/>
    <m/>
    <n v="3.7974683544303791"/>
    <s v="30/04/2015"/>
    <s v="20/08/2015"/>
    <n v="1.1809946133624076"/>
    <n v="0"/>
    <n v="0.12643678160919541"/>
    <n v="0.11494252873563218"/>
    <n v="0"/>
    <n v="0"/>
    <n v="0"/>
    <n v="0"/>
    <n v="0"/>
    <m/>
    <m/>
    <m/>
    <m/>
    <s v="09/04/2015"/>
    <s v="05/06/2015"/>
    <m/>
    <m/>
    <m/>
    <s v="NO MANUFACTURA VARIOS"/>
    <n v="0.79"/>
    <n v="1.79"/>
    <m/>
    <m/>
    <n v="12"/>
    <n v="1"/>
    <n v="10000000000"/>
    <n v="7607"/>
    <n v="412"/>
    <x v="1"/>
    <n v="0.95"/>
    <n v="33285"/>
    <n v="0"/>
    <n v="0"/>
    <n v="0"/>
    <n v="0"/>
    <n v="0"/>
    <n v="33697"/>
    <n v="0"/>
    <m/>
    <n v="1902"/>
    <n v="2098"/>
    <n v="0"/>
    <n v="1.371821"/>
    <n v="0"/>
    <n v="1"/>
    <s v="30/04/2015"/>
    <s v="INTRADEVCO  INDUSTRIAL S.A."/>
    <n v="0.94583935848560541"/>
    <n v="0"/>
    <m/>
  </r>
  <r>
    <s v="DISMA"/>
    <s v="CENTRAL.xlsm"/>
    <x v="0"/>
    <s v="INTRADEVCO  INDUSTRIAL S.A."/>
    <s v="INTRADEVCO"/>
    <s v="H462D100"/>
    <s v="0"/>
    <s v="0"/>
    <n v="1"/>
    <s v="-"/>
    <m/>
    <n v="933.3"/>
    <n v="22399"/>
    <n v="5.3302796528447445"/>
    <n v="16.979802850101791"/>
    <n v="0"/>
    <n v="0"/>
    <m/>
    <m/>
    <m/>
    <n v="13233"/>
    <n v="6567"/>
    <s v="L"/>
    <n v="28799"/>
    <m/>
    <m/>
    <n v="-2.19"/>
    <m/>
    <m/>
    <m/>
    <n v="4.7500000000000018"/>
    <s v="30/04/2015"/>
    <s v="20/08/2015"/>
    <n v="0.11943976114597139"/>
    <n v="0"/>
    <n v="0"/>
    <n v="0"/>
    <n v="0.2413793103448276"/>
    <n v="0"/>
    <n v="0"/>
    <n v="0"/>
    <n v="0"/>
    <m/>
    <m/>
    <m/>
    <m/>
    <s v="05/12/2014"/>
    <s v="09/01/2015"/>
    <m/>
    <m/>
    <m/>
    <s v="NO MANUFACTURA VARIOS"/>
    <n v="0.36"/>
    <n v="0.93"/>
    <m/>
    <m/>
    <n v="24"/>
    <n v="1"/>
    <n v="10000000000"/>
    <n v="19899"/>
    <n v="11504"/>
    <x v="0"/>
    <n v="0.42"/>
    <n v="51885"/>
    <n v="0"/>
    <n v="0"/>
    <n v="0"/>
    <n v="0"/>
    <n v="0"/>
    <n v="63389"/>
    <n v="0"/>
    <m/>
    <n v="4975"/>
    <n v="0"/>
    <n v="0"/>
    <n v="2.7266859999999999"/>
    <n v="0"/>
    <n v="1"/>
    <s v="30/04/2015"/>
    <s v="INTRADEVCO  INDUSTRIAL S.A."/>
    <n v="0.4218804965073622"/>
    <n v="0"/>
    <m/>
  </r>
  <r>
    <s v="DISMA"/>
    <s v="CENTRAL.xlsm"/>
    <x v="0"/>
    <s v="INTRADEVCO  INDUSTRIAL S.A."/>
    <s v="INTRADEVCO"/>
    <s v="H511A100"/>
    <s v="0"/>
    <s v="0"/>
    <n v="1"/>
    <s v="-"/>
    <m/>
    <n v="513.9"/>
    <n v="12334"/>
    <n v="6.4278069663358632"/>
    <n v="23.114905623662192"/>
    <n v="0"/>
    <n v="0"/>
    <m/>
    <m/>
    <m/>
    <n v="8787"/>
    <n v="4360"/>
    <s v="L"/>
    <n v="20191"/>
    <m/>
    <m/>
    <n v="-2.6"/>
    <m/>
    <m/>
    <m/>
    <n v="4.2692307692307683"/>
    <s v="30/04/2015"/>
    <s v="20/08/2015"/>
    <n v="0.26217675483240899"/>
    <n v="0"/>
    <n v="0"/>
    <n v="0.11494252873563218"/>
    <n v="0.12643678160919541"/>
    <n v="0"/>
    <n v="0"/>
    <n v="0"/>
    <n v="0"/>
    <m/>
    <m/>
    <m/>
    <m/>
    <s v="13/03/2015"/>
    <s v="08/05/2015"/>
    <m/>
    <m/>
    <m/>
    <s v="NO MANUFACTURA VARIOS"/>
    <n v="0.52"/>
    <n v="1.26"/>
    <m/>
    <m/>
    <n v="12"/>
    <n v="1"/>
    <n v="10000000000"/>
    <n v="13213"/>
    <n v="6529"/>
    <x v="0"/>
    <n v="0.51"/>
    <n v="40986"/>
    <n v="0"/>
    <n v="0"/>
    <n v="0"/>
    <n v="0"/>
    <n v="0"/>
    <n v="47515"/>
    <n v="0"/>
    <m/>
    <n v="3303"/>
    <n v="0"/>
    <n v="0"/>
    <n v="1.563582"/>
    <n v="0"/>
    <n v="1"/>
    <s v="30/04/2015"/>
    <s v="INTRADEVCO  INDUSTRIAL S.A."/>
    <n v="0.50586543555589192"/>
    <n v="0"/>
    <m/>
  </r>
  <r>
    <s v="DISMA"/>
    <s v="CENTRAL.xlsm"/>
    <x v="0"/>
    <s v="INTRADEVCO  INDUSTRIAL S.A."/>
    <s v="INTRADEVCO"/>
    <s v="H511C000"/>
    <s v="0"/>
    <s v="0"/>
    <n v="1"/>
    <s v="-"/>
    <s v="BUF"/>
    <n v="1.1000000000000001"/>
    <n v="26"/>
    <n v="622.72727272727263"/>
    <n v="2645.454545454545"/>
    <n v="0"/>
    <n v="0"/>
    <m/>
    <m/>
    <m/>
    <n v="1822"/>
    <n v="904"/>
    <s v="L"/>
    <n v="3904"/>
    <m/>
    <m/>
    <n v="-3.25"/>
    <m/>
    <m/>
    <m/>
    <n v="-3"/>
    <s v="30/04/2015"/>
    <s v="20/08/2015"/>
    <n v="0"/>
    <n v="0"/>
    <n v="0"/>
    <n v="0.2413793103448276"/>
    <n v="0"/>
    <n v="0"/>
    <n v="0"/>
    <n v="0"/>
    <n v="0"/>
    <m/>
    <m/>
    <m/>
    <m/>
    <m/>
    <m/>
    <m/>
    <m/>
    <m/>
    <s v="NO MANUFACTURA VARIOS"/>
    <n v="0.32"/>
    <n v="0"/>
    <m/>
    <m/>
    <m/>
    <n v="1"/>
    <n v="10000000000"/>
    <n v="2740"/>
    <n v="36"/>
    <x v="1"/>
    <n v="0.99"/>
    <n v="11604"/>
    <n v="0"/>
    <n v="0"/>
    <n v="0"/>
    <n v="0"/>
    <n v="0"/>
    <n v="11640"/>
    <n v="0"/>
    <m/>
    <n v="685"/>
    <n v="-277.76"/>
    <n v="0"/>
    <n v="0"/>
    <n v="0"/>
    <n v="1"/>
    <s v="30/04/2015"/>
    <s v="INTRADEVCO  INDUSTRIAL S.A."/>
    <n v="0.98686131386861309"/>
    <n v="0"/>
    <m/>
  </r>
  <r>
    <s v="DISMA"/>
    <s v="CENTRAL.xlsm"/>
    <x v="0"/>
    <s v="INTRADEVCO  INDUSTRIAL S.A."/>
    <s v="INTRADEVCO"/>
    <s v="H511C100"/>
    <s v="0"/>
    <s v="0"/>
    <n v="1"/>
    <s v="-"/>
    <m/>
    <n v="147"/>
    <n v="3528"/>
    <n v="19.222789115646258"/>
    <n v="53.547619047619051"/>
    <n v="0"/>
    <n v="0"/>
    <m/>
    <m/>
    <m/>
    <n v="7516"/>
    <n v="3730"/>
    <s v="L"/>
    <n v="15498"/>
    <m/>
    <m/>
    <n v="-1.79"/>
    <m/>
    <m/>
    <m/>
    <n v="7.7419354838709671"/>
    <s v="30/04/2015"/>
    <s v="20/08/2015"/>
    <n v="7.7068245903437013E-2"/>
    <n v="0"/>
    <n v="0"/>
    <n v="0"/>
    <n v="0.2413793103448276"/>
    <n v="0"/>
    <n v="0"/>
    <n v="0"/>
    <n v="0"/>
    <m/>
    <m/>
    <m/>
    <m/>
    <s v="05/12/2014"/>
    <s v="23/01/2015"/>
    <m/>
    <m/>
    <m/>
    <s v="NO MANUFACTURA VARIOS"/>
    <n v="0.31"/>
    <n v="1.1100000000000001"/>
    <m/>
    <m/>
    <n v="24"/>
    <n v="1"/>
    <n v="10000000000"/>
    <n v="11303"/>
    <n v="7504"/>
    <x v="0"/>
    <n v="0.34"/>
    <n v="23982"/>
    <n v="0"/>
    <n v="0"/>
    <n v="0"/>
    <n v="0"/>
    <n v="0"/>
    <n v="31486"/>
    <n v="0"/>
    <m/>
    <n v="2826"/>
    <n v="0"/>
    <n v="0"/>
    <n v="0.92182200000000003"/>
    <n v="0"/>
    <n v="1"/>
    <s v="30/04/2015"/>
    <s v="INTRADEVCO  INDUSTRIAL S.A."/>
    <n v="0.33610545872777137"/>
    <n v="0"/>
    <m/>
  </r>
  <r>
    <s v="DISMA"/>
    <s v="CENTRAL.xlsm"/>
    <x v="0"/>
    <s v="INTRADEVCO  INDUSTRIAL S.A."/>
    <s v="INTRADEVCO"/>
    <s v="H512A100"/>
    <s v="0"/>
    <s v="0"/>
    <n v="1"/>
    <s v="-"/>
    <m/>
    <n v="1130.8"/>
    <n v="27139"/>
    <n v="7.0699946940219318"/>
    <n v="24.586354793066857"/>
    <n v="0"/>
    <n v="0"/>
    <m/>
    <m/>
    <m/>
    <n v="21266"/>
    <n v="10553"/>
    <s v="L"/>
    <n v="49055"/>
    <m/>
    <m/>
    <n v="-2.48"/>
    <m/>
    <m/>
    <m/>
    <n v="3.9999999999999991"/>
    <s v="30/04/2015"/>
    <s v="20/08/2015"/>
    <n v="0.31599002845851654"/>
    <n v="0"/>
    <n v="0"/>
    <n v="0"/>
    <n v="0.16091954022988506"/>
    <n v="8.0459770114942528E-2"/>
    <n v="0"/>
    <n v="0"/>
    <n v="0"/>
    <m/>
    <m/>
    <m/>
    <m/>
    <s v="03/03/2015"/>
    <s v="10/04/2015"/>
    <m/>
    <m/>
    <m/>
    <s v="NO MANUFACTURA VARIOS"/>
    <n v="0.54"/>
    <n v="1.26"/>
    <m/>
    <m/>
    <n v="12"/>
    <n v="1"/>
    <n v="10000000000"/>
    <n v="31979"/>
    <n v="17978"/>
    <x v="0"/>
    <n v="0.44"/>
    <n v="93231"/>
    <n v="0"/>
    <n v="0"/>
    <n v="0"/>
    <n v="0"/>
    <n v="0"/>
    <n v="111209"/>
    <n v="0"/>
    <m/>
    <n v="7995"/>
    <n v="0"/>
    <n v="0"/>
    <n v="1.3375680000000001"/>
    <n v="0"/>
    <n v="1"/>
    <s v="30/04/2015"/>
    <s v="INTRADEVCO  INDUSTRIAL S.A."/>
    <n v="0.43781856843553579"/>
    <n v="0"/>
    <m/>
  </r>
  <r>
    <s v="DISMA"/>
    <s v="CENTRAL.xlsm"/>
    <x v="0"/>
    <s v="INTRADEVCO  INDUSTRIAL S.A."/>
    <s v="INTRADEVCO"/>
    <s v="H512C000"/>
    <s v="0"/>
    <s v="0"/>
    <n v="1"/>
    <m/>
    <m/>
    <n v="0.8"/>
    <n v="19"/>
    <n v="6.5625"/>
    <n v="52.8125"/>
    <n v="0"/>
    <n v="0"/>
    <m/>
    <m/>
    <m/>
    <n v="14"/>
    <n v="7"/>
    <s v="L"/>
    <n v="27"/>
    <m/>
    <m/>
    <n v="-7.05"/>
    <m/>
    <m/>
    <m/>
    <n v="-3"/>
    <s v="30/04/2015"/>
    <s v="20/08/2015"/>
    <n v="8.6258194917794278E-3"/>
    <n v="0"/>
    <n v="0"/>
    <n v="0"/>
    <n v="0"/>
    <n v="0"/>
    <n v="0.2413793103448276"/>
    <n v="0"/>
    <n v="0"/>
    <m/>
    <m/>
    <m/>
    <m/>
    <m/>
    <m/>
    <m/>
    <m/>
    <m/>
    <s v="NO MANUFACTURA VARIOS"/>
    <n v="0.34"/>
    <n v="0"/>
    <m/>
    <m/>
    <m/>
    <n v="1"/>
    <n v="10000000000"/>
    <n v="21"/>
    <n v="169"/>
    <x v="2"/>
    <n v="-7.05"/>
    <n v="0"/>
    <n v="0"/>
    <n v="0"/>
    <n v="0"/>
    <n v="0"/>
    <n v="0"/>
    <n v="169"/>
    <n v="0"/>
    <m/>
    <n v="5"/>
    <n v="0"/>
    <n v="50.32"/>
    <n v="2.5210080000000001"/>
    <n v="0"/>
    <n v="1"/>
    <s v="30/04/2015"/>
    <s v="INTRADEVCO  INDUSTRIAL S.A."/>
    <n v="-7.0476190476190474"/>
    <n v="0"/>
    <m/>
  </r>
  <r>
    <s v="DISMA"/>
    <s v="CENTRAL.xlsm"/>
    <x v="0"/>
    <s v="INTRADEVCO  INDUSTRIAL S.A."/>
    <s v="INTRADEVCO"/>
    <s v="H512C100"/>
    <s v="0"/>
    <s v="0"/>
    <n v="1"/>
    <s v="-"/>
    <m/>
    <n v="238.5"/>
    <n v="5724"/>
    <n v="12.082809224318659"/>
    <n v="30.426624737945492"/>
    <n v="0"/>
    <n v="0"/>
    <m/>
    <m/>
    <m/>
    <n v="7665"/>
    <n v="3804"/>
    <s v="L"/>
    <n v="15851"/>
    <m/>
    <m/>
    <n v="-1.52"/>
    <m/>
    <m/>
    <m/>
    <n v="8.4827586206896566"/>
    <s v="30/04/2015"/>
    <s v="20/08/2015"/>
    <n v="9.5168104979327844E-2"/>
    <n v="0"/>
    <n v="0"/>
    <n v="0"/>
    <n v="5.7471264367816091E-2"/>
    <n v="0.18390804597701149"/>
    <n v="0"/>
    <n v="0"/>
    <n v="0"/>
    <m/>
    <m/>
    <m/>
    <m/>
    <m/>
    <m/>
    <m/>
    <m/>
    <m/>
    <s v="NO MANUFACTURA VARIOS"/>
    <n v="0.28999999999999998"/>
    <n v="1.1100000000000001"/>
    <m/>
    <m/>
    <n v="24"/>
    <n v="1"/>
    <n v="10000000000"/>
    <n v="11527"/>
    <n v="9263"/>
    <x v="3"/>
    <n v="0.2"/>
    <n v="19764"/>
    <n v="0"/>
    <n v="0"/>
    <n v="0"/>
    <n v="0"/>
    <n v="0"/>
    <n v="29027"/>
    <n v="0"/>
    <m/>
    <n v="2882"/>
    <n v="0"/>
    <n v="0"/>
    <n v="1.5262519999999999"/>
    <n v="0"/>
    <n v="1"/>
    <s v="30/04/2015"/>
    <s v="INTRADEVCO  INDUSTRIAL S.A."/>
    <n v="0.19640843237616032"/>
    <n v="0"/>
    <m/>
  </r>
  <r>
    <s v="DISMA"/>
    <s v="CENTRAL.xlsm"/>
    <x v="0"/>
    <s v="INTRADEVCO  INDUSTRIAL S.A."/>
    <s v="INTRADEVCO"/>
    <s v="H515A000"/>
    <s v="0"/>
    <s v="0"/>
    <n v="1"/>
    <s v="-"/>
    <m/>
    <n v="810.4"/>
    <n v="19450"/>
    <n v="6.5517028627838103"/>
    <n v="20.974518756169793"/>
    <n v="0"/>
    <n v="0"/>
    <m/>
    <m/>
    <m/>
    <n v="14123"/>
    <n v="7009"/>
    <s v="L"/>
    <n v="32549"/>
    <m/>
    <m/>
    <n v="-2.2000000000000002"/>
    <m/>
    <m/>
    <m/>
    <n v="3.9999999999999996"/>
    <s v="30/04/2015"/>
    <s v="20/08/2015"/>
    <n v="7.0269206039243137E-2"/>
    <n v="0"/>
    <n v="0"/>
    <n v="0"/>
    <n v="0"/>
    <n v="0.2413793103448276"/>
    <n v="0"/>
    <n v="0"/>
    <n v="0"/>
    <m/>
    <m/>
    <m/>
    <m/>
    <s v="03/03/2015"/>
    <s v="10/04/2015"/>
    <m/>
    <m/>
    <m/>
    <s v="NO MANUFACTURA VARIOS"/>
    <n v="0.54"/>
    <n v="1.26"/>
    <m/>
    <m/>
    <n v="12"/>
    <n v="1"/>
    <n v="10000000000"/>
    <n v="21238"/>
    <n v="14828"/>
    <x v="3"/>
    <n v="0.3"/>
    <n v="53163"/>
    <n v="0"/>
    <n v="0"/>
    <n v="0"/>
    <n v="0"/>
    <n v="0"/>
    <n v="67991"/>
    <n v="0"/>
    <m/>
    <n v="5310"/>
    <n v="0"/>
    <n v="0"/>
    <n v="1.4553750000000001"/>
    <n v="0"/>
    <n v="1"/>
    <s v="30/04/2015"/>
    <s v="INTRADEVCO  INDUSTRIAL S.A."/>
    <n v="0.30181749693944815"/>
    <n v="0"/>
    <m/>
  </r>
  <r>
    <s v="DISMA"/>
    <s v="CENTRAL.xlsm"/>
    <x v="0"/>
    <s v="INTRADEVCO  INDUSTRIAL S.A."/>
    <s v="INTRADEVCO"/>
    <s v="H521A000"/>
    <s v="0"/>
    <s v="0"/>
    <n v="1"/>
    <s v="-"/>
    <m/>
    <n v="2712"/>
    <n v="65088"/>
    <n v="4.3276179941002946"/>
    <n v="19.550884955752213"/>
    <n v="0"/>
    <n v="0"/>
    <m/>
    <m/>
    <m/>
    <n v="31219"/>
    <n v="15492"/>
    <s v="L"/>
    <n v="70752"/>
    <m/>
    <m/>
    <n v="-3.52"/>
    <m/>
    <m/>
    <m/>
    <n v="2.2058823529411766"/>
    <s v="30/04/2015"/>
    <s v="20/08/2015"/>
    <n v="0.88849016150991367"/>
    <n v="0"/>
    <n v="0"/>
    <n v="0.10344827586206896"/>
    <n v="0.13793103448275862"/>
    <n v="0"/>
    <n v="0"/>
    <n v="0"/>
    <n v="0"/>
    <s v="12/05/2015"/>
    <m/>
    <m/>
    <m/>
    <s v="09/04/2015"/>
    <s v="05/06/2015"/>
    <m/>
    <m/>
    <m/>
    <s v="NO MANUFACTURA VARIOS"/>
    <n v="1.02"/>
    <n v="1.77"/>
    <m/>
    <m/>
    <n v="6"/>
    <n v="1"/>
    <n v="10000000000"/>
    <n v="46946"/>
    <n v="2"/>
    <x v="1"/>
    <n v="1"/>
    <n v="212004"/>
    <n v="0"/>
    <n v="0"/>
    <n v="0"/>
    <n v="0"/>
    <n v="82"/>
    <n v="212088"/>
    <n v="0"/>
    <m/>
    <n v="11737"/>
    <n v="11617.5"/>
    <n v="0"/>
    <n v="1.0444420000000001"/>
    <n v="0"/>
    <n v="1"/>
    <s v="30/04/2015"/>
    <s v="INTRADEVCO  INDUSTRIAL S.A."/>
    <n v="0.99995739786137261"/>
    <n v="0"/>
    <m/>
  </r>
  <r>
    <s v="DISMA"/>
    <s v="CENTRAL.xlsm"/>
    <x v="0"/>
    <s v="INTRADEVCO  INDUSTRIAL S.A."/>
    <s v="INTRADEVCO"/>
    <s v="H521B200"/>
    <s v="0"/>
    <s v="0"/>
    <n v="1"/>
    <s v="-"/>
    <m/>
    <n v="657.4"/>
    <n v="15778"/>
    <n v="6.6911317310617591"/>
    <n v="24.598037724368726"/>
    <n v="0"/>
    <n v="0"/>
    <m/>
    <m/>
    <m/>
    <n v="11701"/>
    <n v="5806"/>
    <s v="L"/>
    <n v="26357"/>
    <m/>
    <m/>
    <n v="-2.68"/>
    <m/>
    <m/>
    <m/>
    <n v="2.1063829787234045"/>
    <s v="30/04/2015"/>
    <s v="20/08/2015"/>
    <n v="0.50738960653112664"/>
    <n v="0"/>
    <n v="0"/>
    <n v="0"/>
    <n v="0.10344827586206896"/>
    <n v="0"/>
    <n v="0.13793103448275862"/>
    <n v="0"/>
    <n v="0"/>
    <m/>
    <m/>
    <m/>
    <m/>
    <s v="03/03/2015"/>
    <s v="10/04/2015"/>
    <m/>
    <m/>
    <m/>
    <s v="NO MANUFACTURA VARIOS"/>
    <n v="0.47"/>
    <n v="0.8"/>
    <m/>
    <m/>
    <n v="12"/>
    <n v="1"/>
    <n v="10000000000"/>
    <n v="17595"/>
    <n v="7194"/>
    <x v="0"/>
    <n v="0.59"/>
    <n v="57489"/>
    <n v="0"/>
    <n v="0"/>
    <n v="0"/>
    <n v="0"/>
    <n v="0"/>
    <n v="64683"/>
    <n v="0"/>
    <m/>
    <n v="4399"/>
    <n v="0"/>
    <n v="0"/>
    <n v="1.7318750000000001"/>
    <n v="0"/>
    <n v="1"/>
    <s v="30/04/2015"/>
    <s v="INTRADEVCO  INDUSTRIAL S.A."/>
    <n v="0.59113384484228471"/>
    <n v="0"/>
    <m/>
  </r>
  <r>
    <s v="DISMA"/>
    <s v="CENTRAL.xlsm"/>
    <x v="0"/>
    <s v="INTRADEVCO  INDUSTRIAL S.A."/>
    <s v="INTRADEVCO"/>
    <s v="H521C200"/>
    <s v="0"/>
    <s v="0"/>
    <n v="1"/>
    <s v="-"/>
    <m/>
    <n v="7025.6"/>
    <n v="168614"/>
    <n v="5.6011586199043499"/>
    <n v="19.779485026189931"/>
    <n v="0"/>
    <n v="0"/>
    <m/>
    <m/>
    <m/>
    <n v="104675"/>
    <n v="51944"/>
    <s v="L"/>
    <n v="239265"/>
    <m/>
    <m/>
    <n v="-2.5299999999999998"/>
    <m/>
    <m/>
    <m/>
    <n v="3"/>
    <s v="30/04/2015"/>
    <s v="20/08/2015"/>
    <n v="6.5246350602809575E-2"/>
    <n v="0"/>
    <n v="0"/>
    <n v="0"/>
    <n v="0.2413793103448276"/>
    <n v="0"/>
    <n v="0"/>
    <n v="0"/>
    <n v="0"/>
    <m/>
    <m/>
    <m/>
    <m/>
    <s v="03/03/2015"/>
    <s v="10/04/2015"/>
    <m/>
    <m/>
    <m/>
    <s v="NO MANUFACTURA VARIOS"/>
    <n v="0.39"/>
    <n v="0.78"/>
    <m/>
    <m/>
    <n v="12"/>
    <n v="1"/>
    <n v="10000000000"/>
    <n v="157406"/>
    <n v="80972"/>
    <x v="0"/>
    <n v="0.49"/>
    <n v="474879"/>
    <n v="0"/>
    <n v="0"/>
    <n v="0"/>
    <n v="0"/>
    <n v="0"/>
    <n v="555851"/>
    <n v="0"/>
    <m/>
    <n v="39352"/>
    <n v="0"/>
    <n v="0"/>
    <n v="1.9742189999999999"/>
    <n v="0"/>
    <n v="1"/>
    <s v="30/04/2015"/>
    <s v="INTRADEVCO  INDUSTRIAL S.A."/>
    <n v="0.48558504758395488"/>
    <n v="0"/>
    <m/>
  </r>
  <r>
    <s v="DISMA"/>
    <s v="CENTRAL.xlsm"/>
    <x v="0"/>
    <s v="INTRADEVCO  INDUSTRIAL S.A."/>
    <s v="INTRADEVCO"/>
    <s v="H522A000"/>
    <s v="0"/>
    <s v="0"/>
    <n v="1"/>
    <s v="-"/>
    <m/>
    <n v="3623.3"/>
    <n v="86959"/>
    <n v="4.581665884690751"/>
    <n v="20.822523666271078"/>
    <n v="0"/>
    <n v="1"/>
    <m/>
    <m/>
    <m/>
    <n v="44158"/>
    <n v="21913"/>
    <s v="L"/>
    <n v="101003"/>
    <m/>
    <m/>
    <n v="-3.54"/>
    <m/>
    <m/>
    <m/>
    <n v="2.3636363636363638"/>
    <s v="30/04/2015"/>
    <s v="20/08/2015"/>
    <n v="0.89000790242779737"/>
    <n v="0"/>
    <n v="0"/>
    <n v="0.16091954022988506"/>
    <n v="8.0459770114942528E-2"/>
    <n v="0"/>
    <n v="0"/>
    <n v="0"/>
    <n v="0"/>
    <m/>
    <m/>
    <m/>
    <m/>
    <s v="13/03/2015"/>
    <s v="08/05/2015"/>
    <m/>
    <m/>
    <m/>
    <s v="NO MANUFACTURA VARIOS"/>
    <n v="0.99"/>
    <n v="1.77"/>
    <m/>
    <m/>
    <n v="6"/>
    <n v="1"/>
    <n v="10000000000"/>
    <n v="66403"/>
    <n v="6"/>
    <x v="1"/>
    <n v="1"/>
    <n v="301173"/>
    <n v="0"/>
    <n v="0"/>
    <n v="0"/>
    <n v="0"/>
    <n v="606"/>
    <n v="301785"/>
    <n v="0"/>
    <m/>
    <n v="16601"/>
    <n v="17087.46"/>
    <n v="0"/>
    <n v="0.95567400000000002"/>
    <n v="0"/>
    <n v="1"/>
    <s v="30/04/2015"/>
    <s v="INTRADEVCO  INDUSTRIAL S.A."/>
    <n v="0.99990964263662785"/>
    <n v="0"/>
    <m/>
  </r>
  <r>
    <s v="DISMA"/>
    <s v="CENTRAL.xlsm"/>
    <x v="0"/>
    <s v="INTRADEVCO  INDUSTRIAL S.A."/>
    <s v="INTRADEVCO"/>
    <s v="H522C200"/>
    <s v="0"/>
    <s v="0"/>
    <n v="1"/>
    <s v="-"/>
    <m/>
    <n v="8969.4"/>
    <n v="215266"/>
    <n v="5.1226949405757356"/>
    <n v="21.024845586103865"/>
    <n v="0"/>
    <n v="0"/>
    <m/>
    <m/>
    <m/>
    <n v="122220"/>
    <n v="60651"/>
    <s v="L"/>
    <n v="279703"/>
    <m/>
    <m/>
    <n v="-3.1"/>
    <m/>
    <m/>
    <m/>
    <n v="2.5714285714285716"/>
    <s v="30/04/2015"/>
    <s v="20/08/2015"/>
    <n v="0.365224169709776"/>
    <n v="0"/>
    <n v="0"/>
    <n v="0.16091954022988506"/>
    <n v="8.0459770114942528E-2"/>
    <n v="0"/>
    <n v="0"/>
    <n v="0"/>
    <n v="0"/>
    <m/>
    <m/>
    <m/>
    <m/>
    <s v="13/03/2015"/>
    <s v="08/05/2015"/>
    <m/>
    <m/>
    <m/>
    <s v="NO MANUFACTURA VARIOS"/>
    <n v="0.42"/>
    <n v="0.78"/>
    <m/>
    <m/>
    <n v="12"/>
    <n v="1"/>
    <n v="10000000000"/>
    <n v="183790"/>
    <n v="42394"/>
    <x v="1"/>
    <n v="0.77"/>
    <n v="711927"/>
    <n v="0"/>
    <n v="0"/>
    <n v="0"/>
    <n v="0"/>
    <n v="0"/>
    <n v="754321"/>
    <n v="0"/>
    <m/>
    <n v="45948"/>
    <n v="6572.52"/>
    <n v="0"/>
    <n v="2.1719789999999999"/>
    <n v="0"/>
    <n v="1"/>
    <s v="30/04/2015"/>
    <s v="INTRADEVCO  INDUSTRIAL S.A."/>
    <n v="0.76933456662495237"/>
    <n v="0"/>
    <m/>
  </r>
  <r>
    <s v="DISMA"/>
    <s v="CENTRAL.xlsm"/>
    <x v="0"/>
    <s v="INTRADEVCO  INDUSTRIAL S.A."/>
    <s v="INTRADEVCO"/>
    <s v="H522E000"/>
    <s v="0"/>
    <s v="0"/>
    <n v="1"/>
    <s v="-"/>
    <m/>
    <n v="739.8"/>
    <n v="17755"/>
    <n v="5.7522303325223039"/>
    <n v="20.322722357393893"/>
    <n v="0"/>
    <n v="0"/>
    <m/>
    <m/>
    <m/>
    <n v="11320"/>
    <n v="5617"/>
    <s v="L"/>
    <n v="25429"/>
    <m/>
    <m/>
    <n v="-2.5299999999999998"/>
    <m/>
    <m/>
    <m/>
    <n v="2.106382978723405"/>
    <s v="30/04/2015"/>
    <s v="20/08/2015"/>
    <n v="0.50098142380481814"/>
    <n v="0"/>
    <n v="0"/>
    <n v="0"/>
    <n v="0.10344827586206896"/>
    <n v="0"/>
    <n v="0.13793103448275862"/>
    <n v="0"/>
    <n v="0"/>
    <m/>
    <m/>
    <m/>
    <m/>
    <s v="03/03/2015"/>
    <s v="10/04/2015"/>
    <m/>
    <m/>
    <m/>
    <s v="NO MANUFACTURA VARIOS"/>
    <n v="0.47"/>
    <n v="0.8"/>
    <m/>
    <m/>
    <n v="12"/>
    <n v="1"/>
    <n v="10000000000"/>
    <n v="17022"/>
    <n v="8074"/>
    <x v="0"/>
    <n v="0.53"/>
    <n v="52065"/>
    <n v="0"/>
    <n v="0"/>
    <n v="0"/>
    <n v="0"/>
    <n v="0"/>
    <n v="60139"/>
    <n v="0"/>
    <m/>
    <n v="4256"/>
    <n v="0"/>
    <n v="0"/>
    <n v="1.9962899999999999"/>
    <n v="0"/>
    <n v="1"/>
    <s v="30/04/2015"/>
    <s v="INTRADEVCO  INDUSTRIAL S.A."/>
    <n v="0.52567265891199622"/>
    <n v="0"/>
    <m/>
  </r>
  <r>
    <s v="DISMA"/>
    <s v="CENTRAL.xlsm"/>
    <x v="0"/>
    <s v="INTRADEVCO  INDUSTRIAL S.A."/>
    <s v="INTRADEVCO"/>
    <s v="H523A000"/>
    <s v="0"/>
    <s v="0"/>
    <n v="1"/>
    <s v="-"/>
    <m/>
    <n v="1333.3"/>
    <n v="31999"/>
    <n v="4.5522388059701493"/>
    <n v="19.789619740493514"/>
    <n v="0"/>
    <n v="0"/>
    <m/>
    <m/>
    <m/>
    <n v="16145"/>
    <n v="8012"/>
    <s v="L"/>
    <n v="36806"/>
    <m/>
    <m/>
    <n v="-3.35"/>
    <m/>
    <m/>
    <m/>
    <n v="2.5312500000000004"/>
    <s v="30/04/2015"/>
    <s v="20/08/2015"/>
    <n v="0.71436568256513455"/>
    <n v="0"/>
    <n v="0"/>
    <n v="0.10344827586206896"/>
    <n v="0"/>
    <n v="0.13793103448275862"/>
    <n v="0"/>
    <n v="0"/>
    <n v="0"/>
    <m/>
    <m/>
    <m/>
    <m/>
    <s v="03/03/2015"/>
    <s v="10/04/2015"/>
    <m/>
    <m/>
    <m/>
    <s v="NO MANUFACTURA VARIOS"/>
    <n v="0.96"/>
    <n v="1.77"/>
    <m/>
    <m/>
    <n v="6"/>
    <n v="1"/>
    <n v="10000000000"/>
    <n v="24278"/>
    <n v="2438"/>
    <x v="1"/>
    <n v="0.9"/>
    <n v="103104"/>
    <n v="0"/>
    <n v="0"/>
    <n v="0"/>
    <n v="0"/>
    <n v="0"/>
    <n v="105542"/>
    <n v="0"/>
    <m/>
    <n v="6070"/>
    <n v="4514.9400000000005"/>
    <n v="0"/>
    <n v="1.236116"/>
    <n v="0"/>
    <n v="1"/>
    <s v="30/04/2015"/>
    <s v="INTRADEVCO  INDUSTRIAL S.A."/>
    <n v="0.89957986654584399"/>
    <n v="0"/>
    <m/>
  </r>
  <r>
    <s v="DISMA"/>
    <s v="CENTRAL.xlsm"/>
    <x v="0"/>
    <s v="INTRADEVCO  INDUSTRIAL S.A."/>
    <s v="INTRADEVCO"/>
    <s v="H523B100"/>
    <s v="0"/>
    <s v="0"/>
    <n v="1"/>
    <s v="-"/>
    <m/>
    <n v="606.5"/>
    <n v="14556"/>
    <n v="6.7543281121187135"/>
    <n v="24.460840890354493"/>
    <n v="0"/>
    <n v="0"/>
    <m/>
    <m/>
    <m/>
    <n v="10897"/>
    <n v="5407"/>
    <s v="L"/>
    <n v="24508"/>
    <m/>
    <m/>
    <n v="-2.62"/>
    <m/>
    <m/>
    <m/>
    <n v="2.106382978723405"/>
    <s v="30/04/2015"/>
    <s v="20/08/2015"/>
    <n v="0.4995030285681703"/>
    <n v="0"/>
    <n v="0"/>
    <n v="0"/>
    <n v="0.10344827586206896"/>
    <n v="0"/>
    <n v="0.13793103448275862"/>
    <n v="0"/>
    <n v="0"/>
    <m/>
    <m/>
    <m/>
    <m/>
    <s v="03/03/2015"/>
    <s v="10/04/2015"/>
    <m/>
    <m/>
    <m/>
    <s v="NO MANUFACTURA VARIOS"/>
    <n v="0.47"/>
    <n v="0.8"/>
    <m/>
    <m/>
    <n v="12"/>
    <n v="1"/>
    <n v="10000000000"/>
    <n v="16386"/>
    <n v="7091"/>
    <x v="0"/>
    <n v="0.56999999999999995"/>
    <n v="52251"/>
    <n v="0"/>
    <n v="0"/>
    <n v="0"/>
    <n v="0"/>
    <n v="0"/>
    <n v="59342"/>
    <n v="0"/>
    <m/>
    <n v="4097"/>
    <n v="0"/>
    <n v="0"/>
    <n v="1.7016340000000001"/>
    <n v="0"/>
    <n v="1"/>
    <s v="30/04/2015"/>
    <s v="INTRADEVCO  INDUSTRIAL S.A."/>
    <n v="0.567252532649823"/>
    <n v="0"/>
    <m/>
  </r>
  <r>
    <s v="DISMA"/>
    <s v="CENTRAL.xlsm"/>
    <x v="0"/>
    <s v="INTRADEVCO  INDUSTRIAL S.A."/>
    <s v="INTRADEVCO"/>
    <s v="H523C200"/>
    <s v="0"/>
    <s v="0"/>
    <n v="1"/>
    <s v="-"/>
    <m/>
    <n v="8146.4"/>
    <n v="195514"/>
    <n v="5.5247409898851032"/>
    <n v="22.652275851910048"/>
    <n v="0"/>
    <n v="0"/>
    <m/>
    <m/>
    <m/>
    <n v="119718"/>
    <n v="59409"/>
    <s v="L"/>
    <n v="273760"/>
    <m/>
    <m/>
    <n v="-3.1"/>
    <m/>
    <m/>
    <m/>
    <n v="2.7073170731707323"/>
    <s v="30/04/2015"/>
    <s v="20/08/2015"/>
    <n v="0.36876022925995544"/>
    <n v="0"/>
    <n v="0"/>
    <n v="0.16091954022988506"/>
    <n v="8.0459770114942528E-2"/>
    <n v="0"/>
    <n v="0"/>
    <n v="0"/>
    <n v="0"/>
    <m/>
    <m/>
    <m/>
    <m/>
    <s v="13/03/2015"/>
    <s v="08/05/2015"/>
    <m/>
    <m/>
    <m/>
    <s v="NO MANUFACTURA VARIOS"/>
    <n v="0.41"/>
    <n v="0.78"/>
    <m/>
    <m/>
    <n v="12"/>
    <n v="1"/>
    <n v="10000000000"/>
    <n v="180027"/>
    <n v="41571"/>
    <x v="1"/>
    <n v="0.77"/>
    <n v="696567"/>
    <n v="0"/>
    <n v="0"/>
    <n v="0"/>
    <n v="0"/>
    <n v="0"/>
    <n v="738138"/>
    <n v="0"/>
    <m/>
    <n v="45007"/>
    <n v="6600.0600000000013"/>
    <n v="0"/>
    <n v="1.999822"/>
    <n v="0"/>
    <n v="1"/>
    <s v="30/04/2015"/>
    <s v="INTRADEVCO  INDUSTRIAL S.A."/>
    <n v="0.76908463730440435"/>
    <n v="0"/>
    <m/>
  </r>
  <r>
    <s v="DISMA"/>
    <s v="CENTRAL.xlsm"/>
    <x v="0"/>
    <s v="INTRADEVCO  INDUSTRIAL S.A."/>
    <s v="INTRADEVCO"/>
    <s v="H611A100"/>
    <s v="0"/>
    <s v="0"/>
    <n v="1"/>
    <s v="-"/>
    <m/>
    <n v="1042.3"/>
    <n v="25015"/>
    <n v="3.6385877386548979"/>
    <n v="11.54825865873549"/>
    <n v="0"/>
    <n v="0"/>
    <m/>
    <m/>
    <m/>
    <n v="10088"/>
    <n v="5006"/>
    <s v="L"/>
    <n v="23239"/>
    <m/>
    <m/>
    <n v="-2.17"/>
    <m/>
    <m/>
    <m/>
    <n v="9.486486486486486"/>
    <s v="30/04/2015"/>
    <s v="20/08/2015"/>
    <n v="4.9179154615249153E-2"/>
    <n v="0"/>
    <n v="0"/>
    <n v="0"/>
    <n v="5.7471264367816091E-2"/>
    <n v="0.18390804597701149"/>
    <n v="0"/>
    <n v="0"/>
    <n v="0"/>
    <m/>
    <m/>
    <m/>
    <m/>
    <s v="19/02/2015"/>
    <s v="10/04/2015"/>
    <m/>
    <m/>
    <m/>
    <s v="NO MANUFACTURA VARIOS"/>
    <n v="0.74"/>
    <n v="3.08"/>
    <m/>
    <m/>
    <n v="12"/>
    <n v="1"/>
    <n v="10000000000"/>
    <n v="15170"/>
    <n v="10785"/>
    <x v="3"/>
    <n v="0.28999999999999998"/>
    <n v="37362"/>
    <n v="0"/>
    <n v="0"/>
    <n v="0"/>
    <n v="0"/>
    <n v="0"/>
    <n v="48147"/>
    <n v="0"/>
    <m/>
    <n v="3793"/>
    <n v="0"/>
    <n v="0"/>
    <n v="1.7580929999999999"/>
    <n v="0"/>
    <n v="1"/>
    <s v="30/04/2015"/>
    <s v="INTRADEVCO  INDUSTRIAL S.A."/>
    <n v="0.28905735003295979"/>
    <n v="0"/>
    <m/>
  </r>
  <r>
    <s v="DISMA"/>
    <s v="CENTRAL.xlsm"/>
    <x v="0"/>
    <s v="INTRADEVCO  INDUSTRIAL S.A."/>
    <s v="INTRADEVCO"/>
    <s v="H621A100"/>
    <s v="0"/>
    <s v="0"/>
    <n v="1"/>
    <m/>
    <s v="BUF"/>
    <n v="6714"/>
    <n v="161136"/>
    <n v="2.9185284480190647"/>
    <n v="6.2515638963360143"/>
    <n v="0"/>
    <n v="0"/>
    <m/>
    <m/>
    <m/>
    <n v="52123"/>
    <n v="25865"/>
    <s v="L"/>
    <n v="118102"/>
    <m/>
    <m/>
    <n v="-1.1399999999999999"/>
    <m/>
    <m/>
    <m/>
    <n v="6.625"/>
    <s v="30/04/2015"/>
    <s v="20/08/2015"/>
    <n v="0.17349061123584297"/>
    <n v="0"/>
    <n v="0"/>
    <n v="0"/>
    <n v="0"/>
    <n v="0"/>
    <n v="0.2413793103448276"/>
    <n v="0"/>
    <n v="0"/>
    <m/>
    <m/>
    <m/>
    <m/>
    <s v="22/01/2015"/>
    <s v="06/03/2015"/>
    <m/>
    <m/>
    <m/>
    <s v="NO MANUFACTURA VARIOS"/>
    <n v="0.96"/>
    <n v="3.08"/>
    <m/>
    <m/>
    <n v="12"/>
    <n v="1"/>
    <n v="10000000000"/>
    <n v="78380"/>
    <n v="167892"/>
    <x v="2"/>
    <n v="-1.1399999999999999"/>
    <n v="0"/>
    <n v="0"/>
    <n v="0"/>
    <n v="0"/>
    <n v="0"/>
    <n v="0"/>
    <n v="167892"/>
    <n v="0"/>
    <m/>
    <n v="19595"/>
    <n v="0"/>
    <n v="85931.520000000004"/>
    <n v="1.770249"/>
    <n v="0"/>
    <n v="1"/>
    <s v="30/04/2015"/>
    <s v="INTRADEVCO  INDUSTRIAL S.A."/>
    <n v="-1.1420260270477163"/>
    <n v="0"/>
    <m/>
  </r>
  <r>
    <s v="DISMA"/>
    <s v="CENTRAL.xlsm"/>
    <x v="0"/>
    <s v="INTRADEVCO  INDUSTRIAL S.A."/>
    <s v="INTRADEVCO"/>
    <s v="H622B100"/>
    <s v="0"/>
    <s v="0"/>
    <n v="1"/>
    <m/>
    <s v="BUF"/>
    <n v="4482.1000000000004"/>
    <n v="107570"/>
    <n v="1.9893018897391845"/>
    <n v="3.1947078378438674"/>
    <n v="0"/>
    <n v="0"/>
    <m/>
    <m/>
    <m/>
    <n v="23717"/>
    <n v="11769"/>
    <s v="L"/>
    <n v="54182"/>
    <m/>
    <m/>
    <n v="-0.61"/>
    <m/>
    <m/>
    <m/>
    <n v="5.5714285714285721"/>
    <s v="30/04/2015"/>
    <s v="20/08/2015"/>
    <n v="0.12911113331931393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77"/>
    <n v="2.2000000000000002"/>
    <m/>
    <m/>
    <n v="12"/>
    <n v="1"/>
    <n v="10000000000"/>
    <n v="35665"/>
    <n v="57276"/>
    <x v="2"/>
    <n v="-0.61"/>
    <n v="0"/>
    <n v="0"/>
    <n v="0"/>
    <n v="0"/>
    <n v="0"/>
    <n v="0"/>
    <n v="57276"/>
    <n v="0"/>
    <m/>
    <n v="8916"/>
    <n v="0"/>
    <n v="16640.47"/>
    <n v="1.8610770000000001"/>
    <n v="0"/>
    <n v="1"/>
    <s v="30/04/2015"/>
    <s v="INTRADEVCO  INDUSTRIAL S.A."/>
    <n v="-0.60594420300014018"/>
    <n v="0"/>
    <m/>
  </r>
  <r>
    <s v="DISMA"/>
    <s v="CENTRAL.xlsm"/>
    <x v="0"/>
    <s v="INTRADEVCO  INDUSTRIAL S.A."/>
    <s v="INTRADEVCO"/>
    <s v="H631A100"/>
    <s v="0"/>
    <s v="0"/>
    <n v="1"/>
    <m/>
    <s v="BUF"/>
    <n v="14105.5"/>
    <n v="338532"/>
    <n v="2.6987522597568323"/>
    <n v="5.0915423061926202"/>
    <n v="0"/>
    <n v="0"/>
    <m/>
    <m/>
    <m/>
    <n v="101259"/>
    <n v="50249"/>
    <s v="L"/>
    <n v="221731"/>
    <m/>
    <m/>
    <n v="-0.89"/>
    <m/>
    <m/>
    <m/>
    <n v="8.4074074074074066"/>
    <s v="30/04/2015"/>
    <s v="20/08/2015"/>
    <n v="0.52419665572027974"/>
    <n v="0"/>
    <n v="0"/>
    <n v="0"/>
    <n v="0.13793103448275862"/>
    <n v="0"/>
    <n v="0.10344827586206896"/>
    <n v="0"/>
    <n v="0"/>
    <m/>
    <m/>
    <m/>
    <m/>
    <s v="19/02/2015"/>
    <s v="10/04/2015"/>
    <m/>
    <m/>
    <m/>
    <s v="NO MANUFACTURA VARIOS"/>
    <n v="0.81"/>
    <n v="3.08"/>
    <m/>
    <m/>
    <n v="12"/>
    <n v="1"/>
    <n v="10000000000"/>
    <n v="152269"/>
    <n v="188959"/>
    <x v="2"/>
    <n v="-0.24"/>
    <n v="98316"/>
    <n v="0"/>
    <n v="0"/>
    <n v="0"/>
    <n v="0"/>
    <n v="0"/>
    <n v="287275"/>
    <n v="0"/>
    <m/>
    <n v="38067"/>
    <n v="0"/>
    <n v="29718.9"/>
    <n v="2.291032"/>
    <n v="0"/>
    <n v="1"/>
    <s v="30/04/2015"/>
    <s v="INTRADEVCO  INDUSTRIAL S.A."/>
    <n v="-0.24095515173804255"/>
    <n v="0"/>
    <m/>
  </r>
  <r>
    <s v="DISMA"/>
    <s v="CENTRAL.xlsm"/>
    <x v="0"/>
    <s v="INTRADEVCO  INDUSTRIAL S.A."/>
    <s v="INTRADEVCO"/>
    <s v="H632B100"/>
    <s v="0"/>
    <s v="0"/>
    <n v="1"/>
    <m/>
    <s v="BUF"/>
    <n v="4447.7"/>
    <n v="106745"/>
    <n v="2.2441374193403334"/>
    <n v="5.191053803089237"/>
    <n v="0"/>
    <n v="0"/>
    <m/>
    <m/>
    <m/>
    <n v="26550"/>
    <n v="13175"/>
    <s v="L"/>
    <n v="60449"/>
    <m/>
    <m/>
    <n v="-1.31"/>
    <m/>
    <m/>
    <m/>
    <n v="7.1538461538461551"/>
    <s v="30/04/2015"/>
    <s v="20/08/2015"/>
    <n v="9.0597708541824334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65"/>
    <n v="2.2000000000000002"/>
    <m/>
    <m/>
    <n v="12"/>
    <n v="1"/>
    <n v="10000000000"/>
    <n v="39925"/>
    <n v="92353"/>
    <x v="2"/>
    <n v="-1.31"/>
    <n v="0"/>
    <n v="0"/>
    <n v="0"/>
    <n v="0"/>
    <n v="0"/>
    <n v="0"/>
    <n v="92353"/>
    <n v="0"/>
    <m/>
    <n v="9981"/>
    <n v="0"/>
    <n v="34078.200000000004"/>
    <n v="3.1244350000000001"/>
    <n v="0"/>
    <n v="1"/>
    <s v="30/04/2015"/>
    <s v="INTRADEVCO  INDUSTRIAL S.A."/>
    <n v="-1.3131621790857859"/>
    <n v="0"/>
    <m/>
  </r>
  <r>
    <s v="DISMA"/>
    <s v="CENTRAL.xlsm"/>
    <x v="0"/>
    <s v="INTRADEVCO  INDUSTRIAL S.A."/>
    <s v="INTRADEVCO"/>
    <s v="H634A000"/>
    <s v="0"/>
    <s v="0"/>
    <n v="1"/>
    <m/>
    <m/>
    <n v="288.39999999999998"/>
    <n v="6922"/>
    <n v="3.9112343966712904"/>
    <n v="7.426317614424411"/>
    <n v="0"/>
    <n v="0"/>
    <m/>
    <m/>
    <m/>
    <n v="3000"/>
    <n v="1489"/>
    <s v="L"/>
    <n v="6927"/>
    <m/>
    <m/>
    <n v="-0.9"/>
    <m/>
    <m/>
    <m/>
    <n v="5.8000000000000007"/>
    <s v="30/04/2015"/>
    <s v="20/08/2015"/>
    <n v="8.5294259746142367E-2"/>
    <n v="0"/>
    <n v="0"/>
    <n v="0"/>
    <n v="0"/>
    <n v="0"/>
    <n v="0.2413793103448276"/>
    <n v="0"/>
    <n v="0"/>
    <m/>
    <m/>
    <m/>
    <m/>
    <s v="22/12/2014"/>
    <s v="13/02/2015"/>
    <m/>
    <m/>
    <m/>
    <s v="NO MANUFACTURA VARIOS"/>
    <n v="0.3"/>
    <n v="0.88"/>
    <m/>
    <m/>
    <n v="12"/>
    <n v="1"/>
    <n v="10000000000"/>
    <n v="4512"/>
    <n v="8567"/>
    <x v="2"/>
    <n v="-0.9"/>
    <n v="0"/>
    <n v="0"/>
    <n v="0"/>
    <n v="0"/>
    <n v="0"/>
    <n v="0"/>
    <n v="8567"/>
    <n v="0"/>
    <m/>
    <n v="1128"/>
    <n v="0"/>
    <n v="1216.5"/>
    <n v="2.9041079999999999"/>
    <n v="0"/>
    <n v="1"/>
    <s v="30/04/2015"/>
    <s v="INTRADEVCO  INDUSTRIAL S.A."/>
    <n v="-0.89871453900709219"/>
    <n v="0"/>
    <m/>
  </r>
  <r>
    <s v="DISMA"/>
    <s v="CENTRAL.xlsm"/>
    <x v="0"/>
    <s v="INTRADEVCO  INDUSTRIAL S.A."/>
    <s v="INTRADEVCO"/>
    <s v="H635A000"/>
    <s v="0"/>
    <s v="0"/>
    <n v="1"/>
    <m/>
    <s v="BUF"/>
    <n v="273.8"/>
    <n v="6571"/>
    <n v="3.5052958363769173"/>
    <n v="7.8122717311906502"/>
    <n v="0"/>
    <n v="0"/>
    <m/>
    <m/>
    <m/>
    <n v="2553"/>
    <n v="1267"/>
    <s v="L"/>
    <n v="5681"/>
    <m/>
    <m/>
    <n v="-1.23"/>
    <m/>
    <m/>
    <m/>
    <n v="3.8266666666666667"/>
    <s v="30/04/2015"/>
    <s v="20/08/2015"/>
    <n v="0.10834796100625926"/>
    <n v="0"/>
    <n v="0"/>
    <n v="0"/>
    <n v="0"/>
    <n v="0"/>
    <n v="0.2413793103448276"/>
    <n v="0"/>
    <n v="0"/>
    <m/>
    <m/>
    <m/>
    <m/>
    <s v="22/12/2014"/>
    <s v="13/02/2015"/>
    <m/>
    <m/>
    <m/>
    <s v="NO MANUFACTURA VARIOS"/>
    <n v="2.25"/>
    <n v="5.12"/>
    <m/>
    <m/>
    <n v="6"/>
    <n v="1"/>
    <n v="10000000000"/>
    <n v="3839"/>
    <n v="8556"/>
    <x v="2"/>
    <n v="-1.23"/>
    <n v="0"/>
    <n v="0"/>
    <n v="0"/>
    <n v="0"/>
    <n v="0"/>
    <n v="0"/>
    <n v="8556"/>
    <n v="0"/>
    <m/>
    <n v="960"/>
    <n v="0"/>
    <n v="10613.25"/>
    <n v="0.52745200000000003"/>
    <n v="0"/>
    <n v="1"/>
    <s v="30/04/2015"/>
    <s v="INTRADEVCO  INDUSTRIAL S.A."/>
    <n v="-1.2287053920291742"/>
    <n v="0"/>
    <m/>
  </r>
  <r>
    <s v="DISMA"/>
    <s v="CENTRAL.xlsm"/>
    <x v="0"/>
    <s v="INTRADEVCO  INDUSTRIAL S.A."/>
    <s v="INTRADEVCO"/>
    <s v="H636A000"/>
    <s v="0"/>
    <s v="0"/>
    <n v="1"/>
    <m/>
    <s v="BUF"/>
    <n v="251.5"/>
    <n v="6036"/>
    <n v="3.3966202783300199"/>
    <n v="7.4264413518886681"/>
    <n v="0"/>
    <n v="0"/>
    <m/>
    <m/>
    <m/>
    <n v="2272"/>
    <n v="1128"/>
    <s v="L"/>
    <n v="5185"/>
    <m/>
    <m/>
    <n v="-1.19"/>
    <m/>
    <m/>
    <m/>
    <n v="7.8000000000000007"/>
    <s v="30/04/2015"/>
    <s v="20/08/2015"/>
    <n v="0.1194810547826103"/>
    <n v="0"/>
    <n v="0"/>
    <n v="0"/>
    <n v="0"/>
    <n v="0.12643678160919541"/>
    <n v="0.11494252873563218"/>
    <n v="0"/>
    <n v="0"/>
    <m/>
    <m/>
    <m/>
    <m/>
    <s v="19/02/2015"/>
    <s v="10/04/2015"/>
    <m/>
    <m/>
    <m/>
    <s v="NO MANUFACTURA VARIOS"/>
    <n v="0.7"/>
    <n v="2.52"/>
    <m/>
    <m/>
    <n v="12"/>
    <n v="1"/>
    <n v="10000000000"/>
    <n v="3417"/>
    <n v="4042"/>
    <x v="2"/>
    <n v="-0.18"/>
    <n v="3429"/>
    <n v="0"/>
    <n v="0"/>
    <n v="0"/>
    <n v="0"/>
    <n v="0"/>
    <n v="7471"/>
    <n v="0"/>
    <m/>
    <n v="854"/>
    <n v="0"/>
    <n v="437.5"/>
    <n v="1.6363559999999999"/>
    <n v="0"/>
    <n v="1"/>
    <s v="30/04/2015"/>
    <s v="INTRADEVCO  INDUSTRIAL S.A."/>
    <n v="-0.18290898448931811"/>
    <n v="0"/>
    <m/>
  </r>
  <r>
    <s v="DISMA"/>
    <s v="CENTRAL.xlsm"/>
    <x v="0"/>
    <s v="INTRADEVCO  INDUSTRIAL S.A."/>
    <s v="INTRADEVCO"/>
    <s v="H641A100"/>
    <s v="0"/>
    <s v="0"/>
    <n v="1"/>
    <s v="-"/>
    <s v="BUF"/>
    <n v="359"/>
    <n v="8616"/>
    <n v="3.4066852367688023"/>
    <n v="10.075208913649025"/>
    <n v="0"/>
    <n v="0"/>
    <m/>
    <m/>
    <m/>
    <n v="3253"/>
    <n v="1614"/>
    <s v="L"/>
    <n v="7452"/>
    <m/>
    <m/>
    <n v="-1.96"/>
    <m/>
    <m/>
    <m/>
    <n v="10.200000000000001"/>
    <s v="30/04/2015"/>
    <s v="20/08/2015"/>
    <n v="0.26498587211805563"/>
    <n v="0"/>
    <n v="0"/>
    <n v="0"/>
    <n v="0.13793103448275862"/>
    <n v="0.10344827586206896"/>
    <n v="0"/>
    <n v="0"/>
    <n v="0"/>
    <m/>
    <m/>
    <m/>
    <m/>
    <s v="19/02/2015"/>
    <s v="10/04/2015"/>
    <m/>
    <m/>
    <m/>
    <s v="NO MANUFACTURA VARIOS"/>
    <n v="0.7"/>
    <n v="3.08"/>
    <m/>
    <m/>
    <n v="12"/>
    <n v="1"/>
    <n v="10000000000"/>
    <n v="4892"/>
    <n v="3944"/>
    <x v="3"/>
    <n v="0.19"/>
    <n v="10524"/>
    <n v="0"/>
    <n v="0"/>
    <n v="0"/>
    <n v="0"/>
    <n v="0"/>
    <n v="14468"/>
    <n v="0"/>
    <m/>
    <n v="1223"/>
    <n v="0"/>
    <n v="0"/>
    <n v="1.971732"/>
    <n v="0"/>
    <n v="1"/>
    <s v="30/04/2015"/>
    <s v="INTRADEVCO  INDUSTRIAL S.A."/>
    <n v="0.1937857726901063"/>
    <n v="0"/>
    <m/>
  </r>
  <r>
    <s v="DISMA"/>
    <s v="CENTRAL.xlsm"/>
    <x v="0"/>
    <s v="INTRADEVCO  INDUSTRIAL S.A."/>
    <s v="INTRADEVCO"/>
    <s v="H651A000"/>
    <s v="0"/>
    <s v="0"/>
    <n v="1"/>
    <m/>
    <s v="BUF"/>
    <n v="535.5"/>
    <n v="12852"/>
    <n v="1.8977591036414565"/>
    <n v="4.1881419234360413"/>
    <n v="0"/>
    <n v="0"/>
    <m/>
    <m/>
    <m/>
    <n v="2703"/>
    <n v="1341"/>
    <s v="L"/>
    <n v="6147"/>
    <m/>
    <m/>
    <n v="-1.21"/>
    <m/>
    <m/>
    <m/>
    <n v="3.0560747663551404"/>
    <s v="30/04/2015"/>
    <s v="20/08/2015"/>
    <n v="7.5387572126665872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1.07"/>
    <n v="2.16"/>
    <m/>
    <m/>
    <n v="6"/>
    <n v="1"/>
    <n v="10000000000"/>
    <n v="4065"/>
    <n v="8971"/>
    <x v="2"/>
    <n v="-1.21"/>
    <n v="0"/>
    <n v="0"/>
    <n v="0"/>
    <n v="0"/>
    <n v="0"/>
    <n v="0"/>
    <n v="8971"/>
    <n v="0"/>
    <m/>
    <n v="1016"/>
    <n v="0"/>
    <n v="5249.42"/>
    <n v="1.0886180000000001"/>
    <n v="0"/>
    <n v="1"/>
    <s v="30/04/2015"/>
    <s v="INTRADEVCO  INDUSTRIAL S.A."/>
    <n v="-1.2068880688806889"/>
    <n v="0"/>
    <m/>
  </r>
  <r>
    <s v="DISMA"/>
    <s v="CENTRAL.xlsm"/>
    <x v="0"/>
    <s v="INTRADEVCO  INDUSTRIAL S.A."/>
    <s v="INTRADEVCO"/>
    <s v="H652A100"/>
    <s v="0"/>
    <s v="0"/>
    <n v="1"/>
    <s v="-"/>
    <s v="BUF"/>
    <n v="406.3"/>
    <n v="9751"/>
    <n v="3.3195914349003197"/>
    <n v="10.829436377061285"/>
    <n v="0"/>
    <n v="0"/>
    <m/>
    <m/>
    <m/>
    <n v="3588"/>
    <n v="1780"/>
    <s v="L"/>
    <n v="7978"/>
    <m/>
    <m/>
    <n v="-2.2599999999999998"/>
    <m/>
    <m/>
    <m/>
    <n v="5.1649484536082486"/>
    <s v="30/04/2015"/>
    <s v="20/08/2015"/>
    <n v="0.8372464897336831"/>
    <n v="0"/>
    <n v="0"/>
    <n v="0.13793103448275862"/>
    <n v="0.10344827586206896"/>
    <n v="0"/>
    <n v="0"/>
    <n v="0"/>
    <n v="0"/>
    <m/>
    <m/>
    <m/>
    <m/>
    <s v="22/12/2014"/>
    <s v="13/02/2015"/>
    <m/>
    <m/>
    <m/>
    <s v="NO MANUFACTURA VARIOS"/>
    <n v="0.97"/>
    <n v="2.64"/>
    <m/>
    <m/>
    <n v="12"/>
    <n v="1"/>
    <n v="10000000000"/>
    <n v="5395"/>
    <n v="3167"/>
    <x v="0"/>
    <n v="0.41"/>
    <n v="14433"/>
    <n v="0"/>
    <n v="0"/>
    <n v="0"/>
    <n v="0"/>
    <n v="0"/>
    <n v="17600"/>
    <n v="0"/>
    <m/>
    <n v="1349"/>
    <n v="0"/>
    <n v="0"/>
    <n v="1.5514559999999999"/>
    <n v="0"/>
    <n v="1"/>
    <s v="30/04/2015"/>
    <s v="INTRADEVCO  INDUSTRIAL S.A."/>
    <n v="0.41297497683039852"/>
    <n v="0"/>
    <m/>
  </r>
  <r>
    <s v="DISMA"/>
    <s v="CENTRAL.xlsm"/>
    <x v="0"/>
    <s v="INTRADEVCO  INDUSTRIAL S.A."/>
    <s v="INTRADEVCO"/>
    <s v="H671A000"/>
    <s v="0"/>
    <s v="0"/>
    <n v="1"/>
    <s v="-"/>
    <m/>
    <n v="438"/>
    <n v="10512"/>
    <n v="4.355593607305936"/>
    <n v="18.767123287671232"/>
    <n v="0"/>
    <n v="21"/>
    <m/>
    <m/>
    <m/>
    <n v="5075"/>
    <n v="2518"/>
    <s v="L"/>
    <n v="11636"/>
    <m/>
    <m/>
    <n v="-3.31"/>
    <m/>
    <m/>
    <m/>
    <n v="15.45882352941177"/>
    <s v="30/04/2015"/>
    <s v="20/08/2015"/>
    <n v="1.1832159566199232"/>
    <n v="0"/>
    <n v="0.13793103448275862"/>
    <n v="0.10344827586206896"/>
    <n v="0"/>
    <n v="0"/>
    <n v="0"/>
    <n v="0"/>
    <n v="0"/>
    <m/>
    <m/>
    <m/>
    <m/>
    <s v="19/02/2015"/>
    <s v="10/04/2015"/>
    <m/>
    <m/>
    <m/>
    <s v="NO MANUFACTURA VARIOS"/>
    <n v="0.85"/>
    <n v="5.23"/>
    <m/>
    <m/>
    <n v="12"/>
    <n v="1"/>
    <n v="10000000000"/>
    <n v="7631"/>
    <n v="1014"/>
    <x v="1"/>
    <n v="0.87"/>
    <n v="31866"/>
    <n v="0"/>
    <n v="0"/>
    <n v="0"/>
    <n v="0"/>
    <n v="0"/>
    <n v="32880"/>
    <n v="0"/>
    <m/>
    <n v="1908"/>
    <n v="6587.5200000000013"/>
    <n v="0"/>
    <n v="1.353766"/>
    <n v="0"/>
    <n v="1"/>
    <s v="30/04/2015"/>
    <s v="INTRADEVCO  INDUSTRIAL S.A."/>
    <n v="0.86712095400340716"/>
    <n v="0"/>
    <m/>
  </r>
  <r>
    <s v="DISMA"/>
    <s v="CENTRAL.xlsm"/>
    <x v="0"/>
    <s v="INTRADEVCO  INDUSTRIAL S.A."/>
    <s v="INTRADEVCO"/>
    <s v="H681A000"/>
    <s v="0"/>
    <s v="0"/>
    <n v="1"/>
    <s v="-"/>
    <m/>
    <n v="723.6"/>
    <n v="17366"/>
    <n v="4.0343421779988944"/>
    <n v="14.337686567164178"/>
    <n v="0"/>
    <n v="0"/>
    <m/>
    <m/>
    <m/>
    <n v="7765"/>
    <n v="3853"/>
    <s v="L"/>
    <n v="17985"/>
    <m/>
    <m/>
    <n v="-2.5499999999999998"/>
    <m/>
    <m/>
    <m/>
    <n v="13.086956521739133"/>
    <s v="30/04/2015"/>
    <s v="20/08/2015"/>
    <n v="0.40056335793384201"/>
    <n v="0"/>
    <n v="0"/>
    <n v="0.13793103448275862"/>
    <n v="0.10344827586206896"/>
    <n v="0"/>
    <n v="0"/>
    <n v="0"/>
    <n v="0"/>
    <m/>
    <m/>
    <m/>
    <m/>
    <s v="19/02/2015"/>
    <s v="10/04/2015"/>
    <m/>
    <m/>
    <m/>
    <s v="NO MANUFACTURA VARIOS"/>
    <n v="0.69"/>
    <n v="3.7"/>
    <m/>
    <m/>
    <n v="12"/>
    <n v="1"/>
    <n v="10000000000"/>
    <n v="11677"/>
    <n v="6228"/>
    <x v="0"/>
    <n v="0.47"/>
    <n v="35271"/>
    <n v="0"/>
    <n v="0"/>
    <n v="0"/>
    <n v="0"/>
    <n v="0"/>
    <n v="41499"/>
    <n v="0"/>
    <m/>
    <n v="2919"/>
    <n v="0"/>
    <n v="0"/>
    <n v="1.756829"/>
    <n v="0"/>
    <n v="1"/>
    <s v="30/04/2015"/>
    <s v="INTRADEVCO  INDUSTRIAL S.A."/>
    <n v="0.46664382975079216"/>
    <n v="0"/>
    <m/>
  </r>
  <r>
    <s v="DISMA"/>
    <s v="CENTRAL.xlsm"/>
    <x v="0"/>
    <s v="INTRADEVCO  INDUSTRIAL S.A."/>
    <s v="INTRADEVCO"/>
    <s v="H700A000"/>
    <s v="0"/>
    <s v="0"/>
    <n v="1"/>
    <s v="-"/>
    <m/>
    <n v="522.29999999999995"/>
    <n v="12535"/>
    <n v="6.894505073712426"/>
    <n v="23.482194141298105"/>
    <n v="0"/>
    <n v="0"/>
    <m/>
    <m/>
    <m/>
    <n v="9579"/>
    <n v="4753"/>
    <s v="L"/>
    <n v="21795"/>
    <m/>
    <m/>
    <n v="-2.41"/>
    <m/>
    <m/>
    <m/>
    <n v="2.1787521079258014"/>
    <s v="30/04/2015"/>
    <s v="20/08/2015"/>
    <n v="0.28259339726456517"/>
    <n v="0"/>
    <n v="0"/>
    <n v="1.1494252873563218E-2"/>
    <n v="0.14942528735632185"/>
    <n v="8.0459770114942528E-2"/>
    <n v="0"/>
    <n v="0"/>
    <n v="0"/>
    <m/>
    <m/>
    <m/>
    <m/>
    <s v="03/03/2015"/>
    <s v="10/04/2015"/>
    <m/>
    <m/>
    <m/>
    <s v="NO MANUFACTURA VARIOS"/>
    <n v="17.79"/>
    <n v="30.71"/>
    <m/>
    <m/>
    <n v="1"/>
    <n v="1"/>
    <n v="10000000000"/>
    <n v="14404"/>
    <n v="8163"/>
    <x v="0"/>
    <n v="0.43"/>
    <n v="40896"/>
    <n v="0"/>
    <n v="0"/>
    <n v="0"/>
    <n v="0"/>
    <n v="0"/>
    <n v="49059"/>
    <n v="0"/>
    <m/>
    <n v="3601"/>
    <n v="0"/>
    <n v="0"/>
    <n v="2.8604999999999998E-2"/>
    <n v="0"/>
    <n v="1"/>
    <s v="30/04/2015"/>
    <s v="INTRADEVCO  INDUSTRIAL S.A."/>
    <n v="0.43328242154956959"/>
    <n v="0"/>
    <m/>
  </r>
  <r>
    <s v="DISMA"/>
    <s v="CENTRAL.xlsm"/>
    <x v="0"/>
    <s v="INTRADEVCO  INDUSTRIAL S.A."/>
    <s v="INTRADEVCO"/>
    <s v="H710C200"/>
    <s v="0"/>
    <s v="0"/>
    <n v="1"/>
    <s v="-"/>
    <s v="BUF"/>
    <n v="463.4"/>
    <n v="11122"/>
    <n v="22.77406128614588"/>
    <n v="78.86329305135952"/>
    <n v="0"/>
    <n v="0"/>
    <m/>
    <m/>
    <m/>
    <n v="28072"/>
    <n v="13931"/>
    <s v="L"/>
    <n v="63447"/>
    <m/>
    <m/>
    <n v="-2.46"/>
    <m/>
    <m/>
    <m/>
    <n v="3.5"/>
    <s v="30/04/2015"/>
    <s v="20/08/2015"/>
    <n v="0.16683566049022497"/>
    <n v="0"/>
    <n v="0"/>
    <n v="0"/>
    <n v="0.14942528735632185"/>
    <n v="9.1954022988505746E-2"/>
    <n v="0"/>
    <n v="0"/>
    <n v="0"/>
    <m/>
    <m/>
    <m/>
    <m/>
    <s v="03/03/2015"/>
    <s v="10/04/2015"/>
    <m/>
    <m/>
    <m/>
    <s v="NO MANUFACTURA VARIOS"/>
    <n v="0.18"/>
    <n v="0.39"/>
    <m/>
    <m/>
    <n v="60"/>
    <n v="1"/>
    <n v="10000000000"/>
    <n v="42214"/>
    <n v="22080"/>
    <x v="0"/>
    <n v="0.48"/>
    <n v="124101"/>
    <n v="0"/>
    <n v="0"/>
    <n v="0"/>
    <n v="0"/>
    <n v="0"/>
    <n v="146181"/>
    <n v="0"/>
    <m/>
    <n v="10554"/>
    <n v="0"/>
    <n v="0"/>
    <n v="1.279196"/>
    <n v="0"/>
    <n v="1"/>
    <s v="30/04/2015"/>
    <s v="INTRADEVCO  INDUSTRIAL S.A."/>
    <n v="0.47695077462453217"/>
    <n v="0"/>
    <m/>
  </r>
  <r>
    <s v="DISMA"/>
    <s v="CENTRAL.xlsm"/>
    <x v="0"/>
    <s v="INTRADEVCO  INDUSTRIAL S.A."/>
    <s v="INTRADEVCO"/>
    <s v="H710F200"/>
    <s v="0"/>
    <s v="0"/>
    <n v="1"/>
    <s v="-"/>
    <m/>
    <n v="464.3"/>
    <n v="11143"/>
    <n v="6.9954770622442384"/>
    <n v="25.239069567090244"/>
    <n v="0"/>
    <n v="0"/>
    <m/>
    <m/>
    <m/>
    <n v="8640"/>
    <n v="4287"/>
    <s v="L"/>
    <n v="19624"/>
    <m/>
    <m/>
    <n v="-2.61"/>
    <m/>
    <m/>
    <m/>
    <n v="2.2625000000000002"/>
    <s v="30/04/2015"/>
    <s v="20/08/2015"/>
    <n v="0.34052877623402461"/>
    <n v="0"/>
    <n v="0"/>
    <n v="4.5977011494252873E-2"/>
    <n v="0.11494252873563218"/>
    <n v="8.0459770114942528E-2"/>
    <n v="0"/>
    <n v="0"/>
    <n v="0"/>
    <m/>
    <m/>
    <m/>
    <m/>
    <s v="03/03/2015"/>
    <s v="10/04/2015"/>
    <m/>
    <m/>
    <m/>
    <s v="NO MANUFACTURA VARIOS"/>
    <n v="2.4"/>
    <n v="4.21"/>
    <m/>
    <m/>
    <n v="6"/>
    <n v="1"/>
    <n v="10000000000"/>
    <n v="12992"/>
    <n v="5999"/>
    <x v="0"/>
    <n v="0.54"/>
    <n v="40875"/>
    <n v="0"/>
    <n v="0"/>
    <n v="0"/>
    <n v="0"/>
    <n v="0"/>
    <n v="46874"/>
    <n v="0"/>
    <m/>
    <n v="3248"/>
    <n v="0"/>
    <n v="0"/>
    <n v="0.32253799999999999"/>
    <n v="0"/>
    <n v="1"/>
    <s v="30/04/2015"/>
    <s v="INTRADEVCO  INDUSTRIAL S.A."/>
    <n v="0.53825431034482762"/>
    <n v="0"/>
    <m/>
  </r>
  <r>
    <s v="DISMA"/>
    <s v="CENTRAL.xlsm"/>
    <x v="0"/>
    <s v="INTRADEVCO  INDUSTRIAL S.A."/>
    <s v="INTRADEVCO"/>
    <s v="H710G000"/>
    <s v="0"/>
    <s v="0"/>
    <n v="1"/>
    <s v="-"/>
    <m/>
    <n v="962.5"/>
    <n v="23100"/>
    <n v="6.2716883116883118"/>
    <n v="25.195064935064934"/>
    <n v="0"/>
    <n v="12"/>
    <m/>
    <m/>
    <m/>
    <n v="16057"/>
    <n v="7968"/>
    <s v="L"/>
    <n v="36565"/>
    <m/>
    <m/>
    <n v="-3.02"/>
    <m/>
    <m/>
    <m/>
    <n v="3.1276595744680851"/>
    <s v="30/04/2015"/>
    <s v="20/08/2015"/>
    <n v="1.1832159566199232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0.47"/>
    <n v="0.96"/>
    <m/>
    <m/>
    <n v="20"/>
    <n v="1"/>
    <n v="10000000000"/>
    <n v="24146"/>
    <n v="6347"/>
    <x v="1"/>
    <n v="0.74"/>
    <n v="90654"/>
    <n v="0"/>
    <n v="0"/>
    <n v="0"/>
    <n v="0"/>
    <n v="0"/>
    <n v="97001"/>
    <n v="0"/>
    <m/>
    <n v="6037"/>
    <n v="794.29"/>
    <n v="0"/>
    <n v="1.852031"/>
    <n v="0"/>
    <n v="1"/>
    <s v="30/04/2015"/>
    <s v="INTRADEVCO  INDUSTRIAL S.A."/>
    <n v="0.73714072724260749"/>
    <n v="0"/>
    <m/>
  </r>
  <r>
    <s v="DISMA"/>
    <s v="CENTRAL.xlsm"/>
    <x v="0"/>
    <s v="INTRADEVCO  INDUSTRIAL S.A."/>
    <s v="INTRADEVCO"/>
    <s v="H710H000"/>
    <s v="0"/>
    <s v="0"/>
    <n v="1"/>
    <m/>
    <m/>
    <n v="1538.7"/>
    <n v="36929"/>
    <n v="3.6472346786248129"/>
    <n v="7.850133229349451"/>
    <n v="0"/>
    <n v="0"/>
    <m/>
    <m/>
    <m/>
    <n v="14928"/>
    <n v="7408"/>
    <s v="L"/>
    <n v="33980"/>
    <m/>
    <m/>
    <n v="-1.1499999999999999"/>
    <m/>
    <m/>
    <m/>
    <n v="2.4269662921348316"/>
    <s v="30/04/2015"/>
    <s v="20/08/2015"/>
    <n v="0.23511645276553425"/>
    <n v="0"/>
    <n v="0"/>
    <n v="0"/>
    <n v="4.5977011494252873E-2"/>
    <n v="9.1954022988505746E-2"/>
    <n v="0.10344827586206896"/>
    <n v="0"/>
    <n v="0"/>
    <m/>
    <m/>
    <m/>
    <m/>
    <s v="03/03/2015"/>
    <s v="02/04/2015"/>
    <m/>
    <m/>
    <m/>
    <s v="NO MANUFACTURA VARIOS"/>
    <n v="0.89"/>
    <n v="1.61"/>
    <m/>
    <m/>
    <n v="15"/>
    <n v="1"/>
    <n v="10000000000"/>
    <n v="22448"/>
    <n v="26812"/>
    <x v="2"/>
    <n v="-0.19"/>
    <n v="21504"/>
    <n v="0"/>
    <n v="0"/>
    <n v="0"/>
    <n v="0"/>
    <n v="0"/>
    <n v="48316"/>
    <n v="0"/>
    <m/>
    <n v="5612"/>
    <n v="0"/>
    <n v="3883.96"/>
    <n v="1.3273619999999999"/>
    <n v="0"/>
    <n v="1"/>
    <s v="30/04/2015"/>
    <s v="INTRADEVCO  INDUSTRIAL S.A."/>
    <n v="-0.19440484675694938"/>
    <n v="0"/>
    <m/>
  </r>
  <r>
    <s v="DISMA"/>
    <s v="CENTRAL.xlsm"/>
    <x v="0"/>
    <s v="INTRADEVCO  INDUSTRIAL S.A."/>
    <s v="INTRADEVCO"/>
    <s v="H711C200"/>
    <s v="0"/>
    <s v="0"/>
    <n v="1"/>
    <s v="-"/>
    <m/>
    <n v="1314.8"/>
    <n v="31555"/>
    <n v="6.3184514755095833"/>
    <n v="23.130514146638273"/>
    <n v="0"/>
    <n v="0"/>
    <m/>
    <m/>
    <m/>
    <n v="22098"/>
    <n v="10966"/>
    <s v="L"/>
    <n v="49220"/>
    <m/>
    <m/>
    <n v="-2.66"/>
    <m/>
    <m/>
    <m/>
    <n v="4.3125"/>
    <s v="30/04/2015"/>
    <s v="20/08/2015"/>
    <n v="0.23419741062462593"/>
    <n v="0"/>
    <n v="0"/>
    <n v="4.5977011494252873E-2"/>
    <n v="0.19540229885057472"/>
    <n v="0"/>
    <n v="0"/>
    <n v="0"/>
    <n v="0"/>
    <m/>
    <m/>
    <m/>
    <m/>
    <s v="13/03/2015"/>
    <s v="08/05/2015"/>
    <m/>
    <m/>
    <m/>
    <s v="NO MANUFACTURA VARIOS"/>
    <n v="0.16"/>
    <n v="0.39"/>
    <m/>
    <m/>
    <n v="60"/>
    <n v="1"/>
    <n v="10000000000"/>
    <n v="33230"/>
    <n v="13006"/>
    <x v="0"/>
    <n v="0.61"/>
    <n v="108642"/>
    <n v="0"/>
    <n v="0"/>
    <n v="0"/>
    <n v="0"/>
    <n v="0"/>
    <n v="121648"/>
    <n v="0"/>
    <m/>
    <n v="8308"/>
    <n v="0"/>
    <n v="0"/>
    <n v="5.3624359999999998"/>
    <n v="0"/>
    <n v="1"/>
    <s v="30/04/2015"/>
    <s v="INTRADEVCO  INDUSTRIAL S.A."/>
    <n v="0.60860668071020163"/>
    <n v="0"/>
    <m/>
  </r>
  <r>
    <s v="DISMA"/>
    <s v="CENTRAL.xlsm"/>
    <x v="0"/>
    <s v="INTRADEVCO  INDUSTRIAL S.A."/>
    <s v="INTRADEVCO"/>
    <s v="H711F200"/>
    <s v="0"/>
    <s v="0"/>
    <n v="1"/>
    <s v="-"/>
    <m/>
    <n v="325.2"/>
    <n v="7805"/>
    <n v="7.084870848708487"/>
    <n v="23.323339483394836"/>
    <n v="0"/>
    <n v="0"/>
    <m/>
    <m/>
    <m/>
    <n v="6129"/>
    <n v="3041"/>
    <s v="L"/>
    <n v="13887"/>
    <m/>
    <m/>
    <n v="-2.29"/>
    <m/>
    <m/>
    <m/>
    <n v="2.1341463414634148"/>
    <s v="30/04/2015"/>
    <s v="20/08/2015"/>
    <n v="0.29308993854472282"/>
    <n v="0"/>
    <n v="0"/>
    <n v="0"/>
    <n v="0.14942528735632185"/>
    <n v="9.1954022988505746E-2"/>
    <n v="0"/>
    <n v="0"/>
    <n v="0"/>
    <m/>
    <m/>
    <m/>
    <m/>
    <s v="03/03/2015"/>
    <s v="10/04/2015"/>
    <m/>
    <m/>
    <m/>
    <s v="NO MANUFACTURA VARIOS"/>
    <n v="2.46"/>
    <n v="4.21"/>
    <m/>
    <m/>
    <n v="6"/>
    <n v="1"/>
    <n v="10000000000"/>
    <n v="9216"/>
    <n v="5661"/>
    <x v="0"/>
    <n v="0.39"/>
    <n v="24678"/>
    <n v="0"/>
    <n v="0"/>
    <n v="0"/>
    <n v="0"/>
    <n v="0"/>
    <n v="30339"/>
    <n v="0"/>
    <m/>
    <n v="2304"/>
    <n v="0"/>
    <n v="0"/>
    <n v="0.30981799999999998"/>
    <n v="0"/>
    <n v="1"/>
    <s v="30/04/2015"/>
    <s v="INTRADEVCO  INDUSTRIAL S.A."/>
    <n v="0.3857421875"/>
    <n v="0"/>
    <m/>
  </r>
  <r>
    <s v="DISMA"/>
    <s v="CENTRAL.xlsm"/>
    <x v="0"/>
    <s v="INTRADEVCO  INDUSTRIAL S.A."/>
    <s v="INTRADEVCO"/>
    <s v="H711G100"/>
    <s v="0"/>
    <s v="0"/>
    <n v="1"/>
    <s v="-"/>
    <m/>
    <n v="637.20000000000005"/>
    <n v="15293"/>
    <n v="6.0969868173258002"/>
    <n v="16.397912743251727"/>
    <n v="0"/>
    <n v="0"/>
    <m/>
    <m/>
    <m/>
    <n v="10334"/>
    <n v="5128"/>
    <s v="L"/>
    <n v="23125"/>
    <m/>
    <m/>
    <n v="-1.69"/>
    <m/>
    <m/>
    <m/>
    <n v="2.1428571428571415"/>
    <s v="30/04/2015"/>
    <s v="20/08/2015"/>
    <n v="0.69085031504414285"/>
    <n v="0"/>
    <n v="0"/>
    <n v="5.7471264367816091E-2"/>
    <n v="8.0459770114942528E-2"/>
    <n v="0.10344827586206896"/>
    <n v="0"/>
    <n v="0"/>
    <n v="0"/>
    <m/>
    <m/>
    <m/>
    <m/>
    <s v="03/03/2015"/>
    <s v="10/04/2015"/>
    <m/>
    <m/>
    <m/>
    <s v="NO MANUFACTURA VARIOS"/>
    <n v="0.56000000000000005"/>
    <n v="0.96"/>
    <m/>
    <m/>
    <n v="20"/>
    <n v="1"/>
    <n v="10000000000"/>
    <n v="15540"/>
    <n v="13790"/>
    <x v="3"/>
    <n v="0.11"/>
    <n v="28005"/>
    <n v="0"/>
    <n v="0"/>
    <n v="0"/>
    <n v="0"/>
    <n v="0"/>
    <n v="41795"/>
    <n v="0"/>
    <m/>
    <n v="3885"/>
    <n v="0"/>
    <n v="0"/>
    <n v="1.5997889999999999"/>
    <n v="0"/>
    <n v="1"/>
    <s v="30/04/2015"/>
    <s v="INTRADEVCO  INDUSTRIAL S.A."/>
    <n v="0.11261261261261261"/>
    <n v="0"/>
    <m/>
  </r>
  <r>
    <s v="DISMA"/>
    <s v="CENTRAL.xlsm"/>
    <x v="0"/>
    <s v="INTRADEVCO  INDUSTRIAL S.A."/>
    <s v="INTRADEVCO"/>
    <s v="H711H000"/>
    <s v="0"/>
    <s v="0"/>
    <n v="1"/>
    <m/>
    <m/>
    <n v="1341.5"/>
    <n v="32196"/>
    <n v="4.733879985091316"/>
    <n v="11.225307491613865"/>
    <n v="0"/>
    <n v="0"/>
    <m/>
    <m/>
    <m/>
    <n v="16892"/>
    <n v="8383"/>
    <s v="L"/>
    <n v="38387"/>
    <m/>
    <m/>
    <n v="-1.37"/>
    <m/>
    <m/>
    <m/>
    <n v="2.4269662921348321"/>
    <s v="30/04/2015"/>
    <s v="20/08/2015"/>
    <n v="0.17086768137567765"/>
    <n v="0"/>
    <n v="0"/>
    <n v="0"/>
    <n v="4.5977011494252873E-2"/>
    <n v="9.1954022988505746E-2"/>
    <n v="0.10344827586206896"/>
    <n v="0"/>
    <n v="0"/>
    <m/>
    <m/>
    <m/>
    <m/>
    <s v="03/03/2015"/>
    <s v="10/04/2015"/>
    <m/>
    <m/>
    <m/>
    <s v="NO MANUFACTURA VARIOS"/>
    <n v="0.89"/>
    <n v="1.61"/>
    <m/>
    <m/>
    <n v="15"/>
    <n v="1"/>
    <n v="10000000000"/>
    <n v="25402"/>
    <n v="27463"/>
    <x v="2"/>
    <n v="-0.08"/>
    <n v="32772"/>
    <n v="0"/>
    <n v="0"/>
    <n v="0"/>
    <n v="0"/>
    <n v="0"/>
    <n v="60235"/>
    <n v="0"/>
    <m/>
    <n v="6351"/>
    <n v="0"/>
    <n v="1834.29"/>
    <n v="1.0342899999999999"/>
    <n v="0"/>
    <n v="1"/>
    <s v="30/04/2015"/>
    <s v="INTRADEVCO  INDUSTRIAL S.A."/>
    <n v="-8.1135343673726476E-2"/>
    <n v="0"/>
    <m/>
  </r>
  <r>
    <s v="DISMA"/>
    <s v="CENTRAL.xlsm"/>
    <x v="0"/>
    <s v="INTRADEVCO  INDUSTRIAL S.A."/>
    <s v="INTRADEVCO"/>
    <s v="H952A100"/>
    <s v="0"/>
    <s v="0"/>
    <n v="1"/>
    <m/>
    <m/>
    <n v="283.60000000000002"/>
    <n v="6806"/>
    <n v="5.0952045133991533"/>
    <n v="10.202750352609309"/>
    <n v="0"/>
    <n v="0"/>
    <m/>
    <m/>
    <m/>
    <n v="3844"/>
    <n v="1907"/>
    <s v="L"/>
    <n v="8642"/>
    <m/>
    <m/>
    <n v="-1"/>
    <m/>
    <m/>
    <m/>
    <n v="2.3478260869565215"/>
    <s v="30/04/2015"/>
    <s v="20/08/2015"/>
    <n v="7.3556032801238E-2"/>
    <n v="0"/>
    <n v="0"/>
    <n v="0"/>
    <n v="0"/>
    <n v="0"/>
    <n v="0.2413793103448276"/>
    <n v="0"/>
    <n v="0"/>
    <m/>
    <m/>
    <m/>
    <m/>
    <s v="22/12/2014"/>
    <s v="06/02/2015"/>
    <m/>
    <m/>
    <m/>
    <s v="NO MANUFACTURA VARIOS"/>
    <n v="0.23"/>
    <n v="0.41"/>
    <m/>
    <m/>
    <n v="144"/>
    <n v="1"/>
    <n v="10000000000"/>
    <n v="5780"/>
    <n v="11574"/>
    <x v="2"/>
    <n v="-1"/>
    <n v="0"/>
    <n v="0"/>
    <n v="0"/>
    <n v="0"/>
    <n v="0"/>
    <n v="0"/>
    <n v="11574"/>
    <n v="0"/>
    <m/>
    <n v="1445"/>
    <n v="0"/>
    <n v="1332.6200000000001"/>
    <n v="4.2899050000000001"/>
    <n v="0"/>
    <n v="1"/>
    <s v="30/04/2015"/>
    <s v="INTRADEVCO  INDUSTRIAL S.A."/>
    <n v="-1.0024221453287196"/>
    <n v="0"/>
    <m/>
  </r>
  <r>
    <s v="DISMA"/>
    <s v="CENTRAL.xlsm"/>
    <x v="0"/>
    <s v="INTRADEVCO  INDUSTRIAL S.A."/>
    <s v="INTRADEVCO"/>
    <s v="H953A000"/>
    <s v="0"/>
    <s v="0"/>
    <n v="1"/>
    <s v="-"/>
    <m/>
    <n v="2176.6"/>
    <n v="52238"/>
    <n v="3.865202609574566"/>
    <n v="17.468528898281726"/>
    <n v="0"/>
    <n v="29"/>
    <m/>
    <m/>
    <m/>
    <n v="22379"/>
    <n v="11105"/>
    <s v="L"/>
    <n v="50856"/>
    <m/>
    <m/>
    <n v="-3.52"/>
    <m/>
    <m/>
    <m/>
    <n v="4.0714285714285712"/>
    <s v="30/04/2015"/>
    <s v="20/08/2015"/>
    <n v="1.1832159566199232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0.14000000000000001"/>
    <n v="0.33"/>
    <m/>
    <m/>
    <n v="48"/>
    <n v="1"/>
    <n v="10000000000"/>
    <n v="33652"/>
    <n v="240"/>
    <x v="1"/>
    <n v="0.99"/>
    <n v="151848"/>
    <n v="0"/>
    <n v="0"/>
    <n v="0"/>
    <n v="0"/>
    <n v="0"/>
    <n v="152088"/>
    <n v="0"/>
    <m/>
    <n v="8413"/>
    <n v="2064.35"/>
    <n v="0"/>
    <n v="6.6983920000000001"/>
    <n v="0"/>
    <n v="1"/>
    <s v="30/04/2015"/>
    <s v="INTRADEVCO  INDUSTRIAL S.A."/>
    <n v="0.99286818019731371"/>
    <n v="0"/>
    <m/>
  </r>
  <r>
    <s v="DISMA"/>
    <s v="CENTRAL.xlsm"/>
    <x v="0"/>
    <s v="ARMORED AUTOGROUP"/>
    <s v="ARMORED AUTOGROUP"/>
    <s v="T411A000"/>
    <s v="0"/>
    <s v="0"/>
    <n v="1"/>
    <s v="-"/>
    <m/>
    <n v="756.5"/>
    <n v="18156"/>
    <n v="9.7676801057501645"/>
    <n v="9.7709847984137479"/>
    <n v="0"/>
    <n v="0"/>
    <m/>
    <m/>
    <m/>
    <n v="19655"/>
    <n v="9754"/>
    <s v="L"/>
    <m/>
    <m/>
    <m/>
    <n v="0"/>
    <m/>
    <m/>
    <m/>
    <n v="2.8264462809917354"/>
    <s v="30/04/2015"/>
    <s v="20/08/2015"/>
    <n v="0.28718476916413149"/>
    <n v="0"/>
    <n v="0"/>
    <n v="0.2413793103448276"/>
    <n v="0"/>
    <n v="0"/>
    <n v="0"/>
    <n v="0"/>
    <n v="0"/>
    <m/>
    <m/>
    <m/>
    <m/>
    <s v="13/03/2015"/>
    <s v="04/05/2015"/>
    <m/>
    <m/>
    <m/>
    <s v="NO MANUFACTURA VARIOS"/>
    <n v="2.42"/>
    <n v="4.7"/>
    <m/>
    <m/>
    <n v="12"/>
    <n v="1"/>
    <n v="10000000000"/>
    <n v="29557"/>
    <n v="8471"/>
    <x v="1"/>
    <n v="0.71"/>
    <n v="21096"/>
    <n v="0"/>
    <n v="0"/>
    <n v="0"/>
    <n v="0"/>
    <n v="0"/>
    <n v="29567"/>
    <n v="0"/>
    <m/>
    <n v="14779"/>
    <n v="2925.2400000000002"/>
    <n v="0"/>
    <n v="0.22170400000000001"/>
    <n v="0"/>
    <n v="1"/>
    <s v="30/04/2015"/>
    <s v="ARMORED AUTOGROUP"/>
    <n v="0.71340122475217371"/>
    <n v="0"/>
    <m/>
  </r>
  <r>
    <s v="DISMA"/>
    <s v="CENTRAL.xlsm"/>
    <x v="0"/>
    <s v="ARMORED AUTOGROUP"/>
    <s v="ARMORED AUTOGROUP"/>
    <s v="T411B000"/>
    <s v="0"/>
    <s v="0"/>
    <n v="1"/>
    <s v="-"/>
    <m/>
    <n v="659.5"/>
    <n v="15828"/>
    <n v="8.9234268385140254"/>
    <n v="8.9317664897649731"/>
    <n v="0"/>
    <n v="0"/>
    <m/>
    <m/>
    <m/>
    <n v="15654"/>
    <n v="7768"/>
    <s v="L"/>
    <m/>
    <m/>
    <m/>
    <n v="0"/>
    <m/>
    <m/>
    <m/>
    <n v="3.1401869158878499"/>
    <s v="30/04/2015"/>
    <s v="20/08/2015"/>
    <n v="0.19688634211217396"/>
    <n v="0"/>
    <n v="0"/>
    <n v="0.12643678160919541"/>
    <n v="0.11494252873563218"/>
    <n v="0"/>
    <n v="0"/>
    <n v="0"/>
    <n v="0"/>
    <m/>
    <m/>
    <m/>
    <m/>
    <s v="13/03/2015"/>
    <s v="04/05/2015"/>
    <m/>
    <m/>
    <m/>
    <s v="NO MANUFACTURA VARIOS"/>
    <n v="1.07"/>
    <n v="2.19"/>
    <m/>
    <m/>
    <n v="24"/>
    <n v="1"/>
    <n v="10000000000"/>
    <n v="23540"/>
    <n v="10602"/>
    <x v="0"/>
    <n v="0.55000000000000004"/>
    <n v="12960"/>
    <n v="0"/>
    <n v="0"/>
    <n v="0"/>
    <n v="0"/>
    <n v="0"/>
    <n v="23562"/>
    <n v="0"/>
    <m/>
    <n v="11770"/>
    <n v="0"/>
    <n v="0"/>
    <n v="0.569998"/>
    <n v="0"/>
    <n v="1"/>
    <s v="30/04/2015"/>
    <s v="ARMORED AUTOGROUP"/>
    <n v="0.54961767204757861"/>
    <n v="0"/>
    <m/>
  </r>
  <r>
    <s v="DISMA"/>
    <s v="CENTRAL.xlsm"/>
    <x v="0"/>
    <s v="ARMORED AUTOGROUP"/>
    <s v="ARMORED AUTOGROUP"/>
    <s v="T415A000"/>
    <s v="0"/>
    <s v="0"/>
    <n v="1"/>
    <s v="-"/>
    <m/>
    <n v="217.5"/>
    <n v="5220"/>
    <n v="11.005747126436782"/>
    <n v="11.014942528735633"/>
    <n v="0"/>
    <n v="0"/>
    <m/>
    <m/>
    <m/>
    <n v="6367"/>
    <n v="3160"/>
    <s v="L"/>
    <m/>
    <m/>
    <m/>
    <n v="0"/>
    <m/>
    <m/>
    <m/>
    <n v="2.7206477732793513"/>
    <s v="30/04/2015"/>
    <s v="20/08/2015"/>
    <n v="0.87204311480711449"/>
    <n v="0"/>
    <n v="0"/>
    <n v="0.2413793103448276"/>
    <n v="0"/>
    <n v="0"/>
    <n v="0"/>
    <n v="0"/>
    <n v="0"/>
    <m/>
    <m/>
    <m/>
    <m/>
    <s v="13/03/2015"/>
    <s v="04/05/2015"/>
    <m/>
    <m/>
    <m/>
    <s v="NO MANUFACTURA VARIOS"/>
    <n v="2.4700000000000002"/>
    <n v="4.71"/>
    <m/>
    <m/>
    <n v="12"/>
    <n v="1"/>
    <n v="10000000000"/>
    <n v="9575"/>
    <n v="2359"/>
    <x v="1"/>
    <n v="0.75"/>
    <n v="7224"/>
    <n v="0"/>
    <n v="0"/>
    <n v="0"/>
    <n v="0"/>
    <n v="0"/>
    <n v="9583"/>
    <n v="0"/>
    <m/>
    <n v="4788"/>
    <n v="1794.2399999999998"/>
    <n v="0"/>
    <n v="0.202323"/>
    <n v="0"/>
    <n v="1"/>
    <s v="30/04/2015"/>
    <s v="ARMORED AUTOGROUP"/>
    <n v="0.75362924281984334"/>
    <n v="0"/>
    <m/>
  </r>
  <r>
    <s v="DISMA"/>
    <s v="CENTRAL.xlsm"/>
    <x v="0"/>
    <s v="ARMORED AUTOGROUP"/>
    <s v="ARMORED AUTOGROUP"/>
    <s v="T415A100"/>
    <s v="0"/>
    <s v="0"/>
    <n v="1"/>
    <s v="-"/>
    <m/>
    <n v="20.100000000000001"/>
    <n v="482"/>
    <n v="5.2238805970149249"/>
    <n v="5.2487562189054726"/>
    <n v="0"/>
    <n v="0"/>
    <m/>
    <m/>
    <m/>
    <n v="279"/>
    <n v="139"/>
    <s v="L"/>
    <m/>
    <m/>
    <m/>
    <n v="0"/>
    <m/>
    <m/>
    <m/>
    <n v="2.6819787985865724"/>
    <s v="30/04/2015"/>
    <s v="20/08/2015"/>
    <n v="0.33509302379126421"/>
    <n v="0"/>
    <n v="0"/>
    <n v="0.2413793103448276"/>
    <n v="0"/>
    <n v="0"/>
    <n v="0"/>
    <n v="0"/>
    <n v="0"/>
    <m/>
    <m/>
    <m/>
    <m/>
    <s v="13/03/2015"/>
    <s v="04/05/2015"/>
    <m/>
    <m/>
    <m/>
    <s v="NO MANUFACTURA VARIOS"/>
    <n v="2.83"/>
    <n v="5.36"/>
    <m/>
    <m/>
    <n v="6"/>
    <n v="1"/>
    <n v="10000000000"/>
    <n v="420"/>
    <n v="122"/>
    <x v="1"/>
    <n v="0.71"/>
    <n v="300"/>
    <n v="0"/>
    <n v="0"/>
    <n v="0"/>
    <n v="0"/>
    <n v="0"/>
    <n v="422"/>
    <n v="0"/>
    <m/>
    <n v="210"/>
    <n v="43.010000000000005"/>
    <n v="0"/>
    <n v="0.35419800000000001"/>
    <n v="0"/>
    <n v="1"/>
    <s v="30/04/2015"/>
    <s v="ARMORED AUTOGROUP"/>
    <n v="0.70952380952380956"/>
    <n v="0"/>
    <m/>
  </r>
  <r>
    <s v="DISMA"/>
    <s v="CENTRAL.xlsm"/>
    <x v="0"/>
    <s v="ARMORED AUTOGROUP"/>
    <s v="ARMORED AUTOGROUP"/>
    <s v="T420A000"/>
    <s v="0"/>
    <s v="0"/>
    <n v="1"/>
    <s v="-"/>
    <m/>
    <n v="221.8"/>
    <n v="5323"/>
    <n v="8.3104147880973844"/>
    <n v="8.313796212804327"/>
    <n v="0"/>
    <n v="0"/>
    <m/>
    <m/>
    <m/>
    <n v="4903"/>
    <n v="2433"/>
    <s v="L"/>
    <n v="5500"/>
    <m/>
    <m/>
    <n v="0"/>
    <m/>
    <m/>
    <m/>
    <n v="3.1434782608695655"/>
    <s v="30/04/2015"/>
    <s v="20/08/2015"/>
    <n v="0"/>
    <n v="0"/>
    <n v="0"/>
    <n v="0.2413793103448276"/>
    <n v="0"/>
    <n v="0"/>
    <n v="0"/>
    <n v="0"/>
    <n v="0"/>
    <m/>
    <m/>
    <s v="28/10/2014"/>
    <m/>
    <s v="13/03/2015"/>
    <s v="04/05/2015"/>
    <m/>
    <m/>
    <m/>
    <s v="NO MANUFACTURA VARIOS"/>
    <n v="2.2999999999999998"/>
    <n v="4.71"/>
    <m/>
    <m/>
    <n v="6"/>
    <n v="1"/>
    <n v="10000000000"/>
    <n v="7373"/>
    <n v="2"/>
    <x v="1"/>
    <n v="1"/>
    <n v="7302"/>
    <n v="0"/>
    <n v="0"/>
    <n v="0"/>
    <n v="0"/>
    <n v="72"/>
    <n v="7376"/>
    <n v="0"/>
    <m/>
    <n v="3687"/>
    <n v="5858.71"/>
    <n v="0"/>
    <n v="0.28517700000000001"/>
    <n v="0"/>
    <n v="1"/>
    <s v="30/04/2015"/>
    <s v="ARMORED AUTOGROUP"/>
    <n v="0.9997287399972874"/>
    <n v="0"/>
    <m/>
  </r>
  <r>
    <s v="DISMA"/>
    <s v="CENTRAL.xlsm"/>
    <x v="0"/>
    <s v="ARMORED AUTOGROUP"/>
    <s v="ARMORED AUTOGROUP"/>
    <s v="T420B000"/>
    <s v="0"/>
    <s v="0"/>
    <n v="1"/>
    <m/>
    <m/>
    <n v="0"/>
    <n v="0"/>
    <n v="0"/>
    <n v="0"/>
    <n v="0"/>
    <n v="0"/>
    <m/>
    <m/>
    <m/>
    <n v="128"/>
    <n v="63"/>
    <s v="L"/>
    <m/>
    <m/>
    <m/>
    <n v="-0.81"/>
    <m/>
    <m/>
    <m/>
    <n v="4.3960396039603955"/>
    <s v="30/04/2015"/>
    <s v="20/08/2015"/>
    <n v="0"/>
    <n v="0"/>
    <n v="0"/>
    <n v="0"/>
    <n v="0"/>
    <n v="0"/>
    <n v="0.2413793103448276"/>
    <n v="0"/>
    <n v="0"/>
    <m/>
    <m/>
    <m/>
    <m/>
    <s v="29/12/2014"/>
    <s v="20/02/2015"/>
    <m/>
    <m/>
    <m/>
    <s v="NO MANUFACTURA VARIOS"/>
    <n v="1.01"/>
    <n v="2.4900000000000002"/>
    <m/>
    <m/>
    <n v="12"/>
    <n v="1"/>
    <n v="10000000000"/>
    <n v="192"/>
    <n v="347"/>
    <x v="2"/>
    <n v="-0.81"/>
    <n v="0"/>
    <n v="0"/>
    <n v="0"/>
    <n v="0"/>
    <n v="0"/>
    <n v="0"/>
    <n v="347"/>
    <n v="0"/>
    <m/>
    <n v="96"/>
    <n v="0"/>
    <n v="156.55000000000001"/>
    <n v="0"/>
    <n v="0"/>
    <n v="1"/>
    <s v="30/04/2015"/>
    <s v="ARMORED AUTOGROUP"/>
    <n v="-0.80729166666666663"/>
    <n v="0"/>
    <m/>
  </r>
  <r>
    <s v="DISMA"/>
    <s v="CENTRAL.xlsm"/>
    <x v="0"/>
    <s v="ARMORED AUTOGROUP"/>
    <s v="ARMORED AUTOGROUP"/>
    <s v="T421A000"/>
    <s v="0"/>
    <s v="0"/>
    <n v="1"/>
    <s v="-"/>
    <m/>
    <n v="43.6"/>
    <n v="1046"/>
    <n v="7.7981651376146788"/>
    <n v="7.8211009174311927"/>
    <n v="0"/>
    <n v="0"/>
    <m/>
    <m/>
    <m/>
    <n v="904"/>
    <n v="449"/>
    <s v="L"/>
    <m/>
    <m/>
    <m/>
    <n v="0"/>
    <m/>
    <m/>
    <m/>
    <n v="2.1097560975609762"/>
    <s v="30/04/2015"/>
    <s v="20/08/2015"/>
    <n v="0.22201579277569855"/>
    <n v="0"/>
    <n v="0"/>
    <n v="0"/>
    <n v="0.13793103448275862"/>
    <n v="0.10344827586206896"/>
    <n v="0"/>
    <n v="0"/>
    <n v="0"/>
    <m/>
    <m/>
    <m/>
    <m/>
    <s v="13/03/2015"/>
    <s v="04/05/2015"/>
    <m/>
    <m/>
    <m/>
    <s v="NO MANUFACTURA VARIOS"/>
    <n v="2.46"/>
    <n v="4.1900000000000004"/>
    <m/>
    <m/>
    <n v="6"/>
    <n v="1"/>
    <n v="10000000000"/>
    <n v="1360"/>
    <n v="962"/>
    <x v="3"/>
    <n v="0.28999999999999998"/>
    <n v="402"/>
    <n v="0"/>
    <n v="0"/>
    <n v="0"/>
    <n v="0"/>
    <n v="0"/>
    <n v="1364"/>
    <n v="0"/>
    <m/>
    <n v="680"/>
    <n v="0"/>
    <n v="0"/>
    <n v="0.26751599999999998"/>
    <n v="0"/>
    <n v="1"/>
    <s v="30/04/2015"/>
    <s v="ARMORED AUTOGROUP"/>
    <n v="0.29264705882352943"/>
    <n v="0"/>
    <m/>
  </r>
  <r>
    <s v="DISMA"/>
    <s v="CENTRAL.xlsm"/>
    <x v="0"/>
    <s v="ARMORED AUTOGROUP"/>
    <s v="ARMORED AUTOGROUP"/>
    <s v="T424B000"/>
    <s v="0"/>
    <s v="0"/>
    <n v="1"/>
    <s v="-"/>
    <m/>
    <n v="38.799999999999997"/>
    <n v="931"/>
    <n v="9.0012886597938149"/>
    <n v="9.0077319587628875"/>
    <n v="0"/>
    <n v="0"/>
    <m/>
    <m/>
    <m/>
    <n v="929"/>
    <n v="461"/>
    <s v="L"/>
    <m/>
    <m/>
    <m/>
    <n v="0"/>
    <m/>
    <m/>
    <m/>
    <n v="2.5438596491228074"/>
    <s v="30/04/2015"/>
    <s v="20/08/2015"/>
    <n v="7.4626068633289758E-2"/>
    <n v="0"/>
    <n v="0"/>
    <n v="0"/>
    <n v="0"/>
    <n v="0.2413793103448276"/>
    <n v="0"/>
    <n v="0"/>
    <n v="0"/>
    <m/>
    <m/>
    <m/>
    <m/>
    <s v="13/03/2015"/>
    <s v="04/05/2015"/>
    <m/>
    <m/>
    <m/>
    <s v="NO MANUFACTURA VARIOS"/>
    <n v="1.71"/>
    <n v="3.16"/>
    <m/>
    <m/>
    <n v="6"/>
    <n v="1"/>
    <n v="10000000000"/>
    <n v="1397"/>
    <n v="1116"/>
    <x v="3"/>
    <n v="0.2"/>
    <n v="282"/>
    <n v="0"/>
    <n v="0"/>
    <n v="0"/>
    <n v="0"/>
    <n v="0"/>
    <n v="1398"/>
    <n v="0"/>
    <m/>
    <n v="699"/>
    <n v="0"/>
    <n v="0"/>
    <n v="0.34870000000000001"/>
    <n v="0"/>
    <n v="1"/>
    <s v="30/04/2015"/>
    <s v="ARMORED AUTOGROUP"/>
    <n v="0.20114531138153185"/>
    <n v="0"/>
    <m/>
  </r>
  <r>
    <s v="DISMA"/>
    <s v="CENTRAL.xlsm"/>
    <x v="0"/>
    <s v="ARMORED AUTOGROUP"/>
    <s v="ARMORED AUTOGROUP"/>
    <s v="T425A000"/>
    <s v="0"/>
    <s v="0"/>
    <n v="1"/>
    <s v="-"/>
    <m/>
    <n v="26"/>
    <n v="624"/>
    <n v="9.5192307692307701"/>
    <n v="9.5192307692307701"/>
    <n v="0"/>
    <n v="0"/>
    <m/>
    <m/>
    <m/>
    <n v="658"/>
    <n v="327"/>
    <s v="V"/>
    <m/>
    <m/>
    <m/>
    <n v="0"/>
    <m/>
    <m/>
    <m/>
    <n v="2.4782608695652169"/>
    <s v="30/04/2015"/>
    <s v="20/08/2015"/>
    <n v="0.14313141466746376"/>
    <n v="0"/>
    <n v="0"/>
    <n v="0"/>
    <n v="0.2413793103448276"/>
    <n v="0"/>
    <n v="0"/>
    <n v="0"/>
    <n v="0"/>
    <m/>
    <m/>
    <m/>
    <m/>
    <s v="13/03/2015"/>
    <s v="04/05/2015"/>
    <m/>
    <m/>
    <m/>
    <s v="NO MANUFACTURA VARIOS"/>
    <n v="3.91"/>
    <n v="7.14"/>
    <m/>
    <m/>
    <n v="6"/>
    <n v="1"/>
    <n v="10000000000"/>
    <n v="990"/>
    <n v="582"/>
    <x v="0"/>
    <n v="0.41"/>
    <n v="408"/>
    <n v="0"/>
    <n v="0"/>
    <n v="0"/>
    <n v="0"/>
    <n v="0"/>
    <n v="990"/>
    <n v="0"/>
    <m/>
    <n v="495"/>
    <n v="0"/>
    <n v="0"/>
    <n v="0.12710199999999999"/>
    <n v="0"/>
    <n v="1"/>
    <s v="30/04/2015"/>
    <s v="ARMORED AUTOGROUP"/>
    <n v="0.41212121212121211"/>
    <n v="0"/>
    <m/>
  </r>
  <r>
    <s v="DISMA"/>
    <s v="CENTRAL.xlsm"/>
    <x v="0"/>
    <s v="ARMORED AUTOGROUP"/>
    <s v="ARMORED AUTOGROUP"/>
    <s v="T427A000"/>
    <s v="0"/>
    <s v="0"/>
    <n v="1"/>
    <s v="-"/>
    <m/>
    <n v="5.3"/>
    <n v="127"/>
    <n v="121.98113207547171"/>
    <n v="122.26415094339623"/>
    <n v="0"/>
    <n v="42"/>
    <m/>
    <m/>
    <m/>
    <n v="1720"/>
    <n v="853"/>
    <s v="L"/>
    <m/>
    <m/>
    <m/>
    <n v="0"/>
    <m/>
    <m/>
    <m/>
    <n v="3.6964285714285707"/>
    <s v="30/04/2015"/>
    <s v="20/08/2015"/>
    <n v="1"/>
    <n v="0"/>
    <n v="0.2413793103448276"/>
    <n v="0"/>
    <n v="0"/>
    <n v="0"/>
    <n v="0"/>
    <n v="0"/>
    <n v="0"/>
    <m/>
    <m/>
    <m/>
    <m/>
    <s v="29/12/2014"/>
    <s v="20/02/2015"/>
    <m/>
    <m/>
    <m/>
    <s v="NO MANUFACTURA VARIOS"/>
    <n v="1.1200000000000001"/>
    <n v="2.5"/>
    <m/>
    <m/>
    <n v="24"/>
    <n v="1"/>
    <n v="10000000000"/>
    <n v="2586"/>
    <n v="0"/>
    <x v="4"/>
    <n v="1"/>
    <n v="2400"/>
    <n v="0"/>
    <n v="0"/>
    <n v="0"/>
    <n v="0"/>
    <n v="192"/>
    <n v="2592"/>
    <n v="0"/>
    <m/>
    <n v="1293"/>
    <n v="1177.1399999999999"/>
    <n v="0"/>
    <n v="4.0740999999999999E-2"/>
    <n v="0"/>
    <n v="1"/>
    <s v="30/04/2015"/>
    <s v="ARMORED AUTOGROUP"/>
    <n v="1"/>
    <n v="0"/>
    <m/>
  </r>
  <r>
    <s v="DISMA"/>
    <s v="CENTRAL.xlsm"/>
    <x v="0"/>
    <s v="ARMORED AUTOGROUP"/>
    <s v="ARMORED AUTOGROUP"/>
    <s v="T427A100"/>
    <s v="0"/>
    <s v="0"/>
    <n v="1"/>
    <s v="-"/>
    <m/>
    <n v="33.1"/>
    <n v="794"/>
    <n v="26.253776435045317"/>
    <n v="26.283987915407852"/>
    <n v="0"/>
    <n v="42"/>
    <m/>
    <m/>
    <m/>
    <n v="2312"/>
    <n v="1147"/>
    <s v="L"/>
    <m/>
    <m/>
    <m/>
    <n v="0"/>
    <m/>
    <m/>
    <m/>
    <n v="3.6371681415929213"/>
    <s v="30/04/2015"/>
    <s v="20/08/2015"/>
    <n v="1"/>
    <n v="0"/>
    <n v="0.2413793103448276"/>
    <n v="0"/>
    <n v="0"/>
    <n v="0"/>
    <n v="0"/>
    <n v="0"/>
    <n v="0"/>
    <m/>
    <m/>
    <m/>
    <m/>
    <s v="29/12/2014"/>
    <s v="20/02/2015"/>
    <m/>
    <m/>
    <m/>
    <s v="NO MANUFACTURA VARIOS"/>
    <n v="1.1299999999999999"/>
    <n v="2.5"/>
    <m/>
    <m/>
    <n v="24"/>
    <n v="1"/>
    <n v="10000000000"/>
    <n v="3476"/>
    <n v="0"/>
    <x v="4"/>
    <n v="1"/>
    <n v="3264"/>
    <n v="0"/>
    <n v="0"/>
    <n v="0"/>
    <n v="0"/>
    <n v="216"/>
    <n v="3480"/>
    <n v="0"/>
    <m/>
    <n v="1738"/>
    <n v="1571.39"/>
    <n v="0"/>
    <n v="0.17846799999999999"/>
    <n v="0"/>
    <n v="1"/>
    <s v="30/04/2015"/>
    <s v="ARMORED AUTOGROUP"/>
    <n v="1"/>
    <n v="0"/>
    <m/>
  </r>
  <r>
    <s v="DISMA"/>
    <s v="CENTRAL.xlsm"/>
    <x v="0"/>
    <s v="ARMORED AUTOGROUP"/>
    <s v="ARMORED AUTOGROUP"/>
    <s v="T427B000"/>
    <s v="0"/>
    <s v="0"/>
    <n v="1"/>
    <s v="-"/>
    <m/>
    <n v="56.8"/>
    <n v="1363"/>
    <n v="6.932218309859155"/>
    <n v="6.9806338028169019"/>
    <n v="0"/>
    <n v="0"/>
    <m/>
    <m/>
    <m/>
    <n v="1047"/>
    <n v="520"/>
    <s v="L"/>
    <m/>
    <m/>
    <m/>
    <n v="-0.01"/>
    <m/>
    <m/>
    <m/>
    <n v="4.7142857142857126"/>
    <s v="30/04/2015"/>
    <s v="20/08/2015"/>
    <n v="1.0276818095542588"/>
    <n v="0"/>
    <n v="0"/>
    <n v="0.2413793103448276"/>
    <n v="0"/>
    <n v="0"/>
    <n v="0"/>
    <n v="0"/>
    <n v="0"/>
    <m/>
    <m/>
    <m/>
    <m/>
    <s v="29/12/2014"/>
    <s v="20/02/2015"/>
    <m/>
    <m/>
    <m/>
    <s v="NO MANUFACTURA VARIOS"/>
    <n v="1.61"/>
    <n v="4.1399999999999997"/>
    <m/>
    <m/>
    <n v="24"/>
    <n v="1"/>
    <n v="10000000000"/>
    <n v="1575"/>
    <n v="290"/>
    <x v="1"/>
    <n v="0.82"/>
    <n v="1296"/>
    <n v="0"/>
    <n v="0"/>
    <n v="0"/>
    <n v="0"/>
    <n v="0"/>
    <n v="1586"/>
    <n v="0"/>
    <m/>
    <n v="788"/>
    <n v="581.89999999999986"/>
    <n v="0"/>
    <n v="0.52923200000000004"/>
    <n v="0"/>
    <n v="1"/>
    <s v="30/04/2015"/>
    <s v="ARMORED AUTOGROUP"/>
    <n v="0.81587301587301586"/>
    <n v="0"/>
    <m/>
  </r>
  <r>
    <s v="DISMA"/>
    <s v="CENTRAL.xlsm"/>
    <x v="0"/>
    <s v="ARMORED AUTOGROUP"/>
    <s v="ARMORED AUTOGROUP"/>
    <s v="T427B300"/>
    <s v="0"/>
    <s v="0"/>
    <n v="1"/>
    <s v="-"/>
    <m/>
    <n v="52.4"/>
    <n v="1258"/>
    <n v="11.93702290076336"/>
    <n v="11.999045801526718"/>
    <n v="0"/>
    <n v="0"/>
    <m/>
    <m/>
    <m/>
    <n v="1664"/>
    <n v="826"/>
    <s v="L"/>
    <m/>
    <m/>
    <m/>
    <n v="-0.01"/>
    <m/>
    <m/>
    <m/>
    <n v="4.8113207547169807"/>
    <s v="30/04/2015"/>
    <s v="20/08/2015"/>
    <n v="1.153590212177217"/>
    <n v="0"/>
    <n v="0"/>
    <n v="0.2413793103448276"/>
    <n v="0"/>
    <n v="0"/>
    <n v="0"/>
    <n v="0"/>
    <n v="0"/>
    <m/>
    <m/>
    <m/>
    <m/>
    <s v="29/12/2014"/>
    <s v="20/02/2015"/>
    <m/>
    <m/>
    <m/>
    <s v="NO MANUFACTURA VARIOS"/>
    <n v="1.59"/>
    <n v="4.1399999999999997"/>
    <m/>
    <m/>
    <n v="24"/>
    <n v="1"/>
    <n v="10000000000"/>
    <n v="2502"/>
    <n v="643"/>
    <x v="1"/>
    <n v="0.74"/>
    <n v="1872"/>
    <n v="0"/>
    <n v="0"/>
    <n v="0"/>
    <n v="0"/>
    <n v="0"/>
    <n v="2515"/>
    <n v="0"/>
    <m/>
    <n v="1251"/>
    <n v="466.65"/>
    <n v="0"/>
    <n v="0.30642200000000003"/>
    <n v="0"/>
    <n v="1"/>
    <s v="30/04/2015"/>
    <s v="ARMORED AUTOGROUP"/>
    <n v="0.74300559552358114"/>
    <n v="0"/>
    <m/>
  </r>
  <r>
    <s v="DISMA"/>
    <s v="CENTRAL.xlsm"/>
    <x v="0"/>
    <s v="INTRADEVCO  INDUSTRIAL S.A."/>
    <s v="INTRADEVCO"/>
    <s v="T531B100"/>
    <s v="0"/>
    <s v="0"/>
    <n v="1"/>
    <s v="-"/>
    <m/>
    <n v="178.8"/>
    <n v="4291"/>
    <n v="6.0710290827740492"/>
    <n v="26.518456375838923"/>
    <n v="0"/>
    <n v="11"/>
    <m/>
    <m/>
    <m/>
    <n v="2887"/>
    <n v="1433"/>
    <s v="L"/>
    <n v="6546"/>
    <m/>
    <m/>
    <n v="-3.37"/>
    <m/>
    <m/>
    <m/>
    <n v="2.5078125"/>
    <s v="30/04/2015"/>
    <s v="20/08/2015"/>
    <n v="1.0599826198468383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1.28"/>
    <n v="2.35"/>
    <m/>
    <m/>
    <n v="12"/>
    <n v="1"/>
    <n v="10000000000"/>
    <n v="4342"/>
    <n v="336"/>
    <x v="1"/>
    <n v="0.92"/>
    <n v="18630"/>
    <n v="0"/>
    <n v="0"/>
    <n v="0"/>
    <n v="0"/>
    <n v="0"/>
    <n v="18966"/>
    <n v="0"/>
    <m/>
    <n v="1086"/>
    <n v="1173.79"/>
    <n v="0"/>
    <n v="0.67095400000000005"/>
    <n v="0"/>
    <n v="1"/>
    <s v="30/04/2015"/>
    <s v="INTRADEVCO  INDUSTRIAL S.A."/>
    <n v="0.92261630584983878"/>
    <n v="0"/>
    <m/>
  </r>
  <r>
    <s v="DISMA"/>
    <s v="CENTRAL.xlsm"/>
    <x v="0"/>
    <s v="ARMORED AUTOGROUP"/>
    <s v="ARMORED AUTOGROUP"/>
    <s v="T611A100"/>
    <s v="0"/>
    <s v="0"/>
    <n v="1"/>
    <s v="-"/>
    <m/>
    <n v="241.2"/>
    <n v="5789"/>
    <n v="6.7744610281923716"/>
    <n v="6.775497512437811"/>
    <n v="0"/>
    <n v="0"/>
    <m/>
    <m/>
    <m/>
    <n v="4346"/>
    <n v="2157"/>
    <s v="L"/>
    <m/>
    <m/>
    <m/>
    <n v="0"/>
    <m/>
    <m/>
    <m/>
    <n v="2.5"/>
    <s v="30/04/2015"/>
    <s v="20/08/2015"/>
    <n v="0.61584385973453015"/>
    <n v="0"/>
    <n v="0"/>
    <n v="0.2413793103448276"/>
    <n v="0"/>
    <n v="0"/>
    <n v="0"/>
    <n v="0"/>
    <n v="0"/>
    <m/>
    <m/>
    <m/>
    <m/>
    <s v="13/03/2015"/>
    <s v="04/05/2015"/>
    <m/>
    <m/>
    <m/>
    <s v="NO MANUFACTURA VARIOS"/>
    <n v="1.62"/>
    <n v="2.97"/>
    <m/>
    <m/>
    <n v="12"/>
    <n v="1"/>
    <n v="10000000000"/>
    <n v="6536"/>
    <n v="2121"/>
    <x v="1"/>
    <n v="0.68"/>
    <n v="4416"/>
    <n v="0"/>
    <n v="0"/>
    <n v="0"/>
    <n v="0"/>
    <n v="0"/>
    <n v="6537"/>
    <n v="0"/>
    <m/>
    <n v="3268"/>
    <n v="48.6"/>
    <n v="0"/>
    <n v="0.48544100000000001"/>
    <n v="0"/>
    <n v="1"/>
    <s v="30/04/2015"/>
    <s v="ARMORED AUTOGROUP"/>
    <n v="0.67548959608323134"/>
    <n v="0"/>
    <m/>
  </r>
  <r>
    <s v="DISMA"/>
    <s v="CENTRAL.xlsm"/>
    <x v="0"/>
    <s v="ARMORED AUTOGROUP"/>
    <s v="ARMORED AUTOGROUP"/>
    <s v="T613A100"/>
    <s v="0"/>
    <s v="0"/>
    <n v="1"/>
    <s v="-"/>
    <m/>
    <n v="82.5"/>
    <n v="1980"/>
    <n v="9.3666666666666671"/>
    <n v="9.3909090909090907"/>
    <n v="0"/>
    <n v="0"/>
    <m/>
    <m/>
    <m/>
    <n v="2056"/>
    <n v="1020"/>
    <s v="L"/>
    <m/>
    <m/>
    <m/>
    <n v="0"/>
    <m/>
    <m/>
    <m/>
    <n v="2.7500000000000009"/>
    <s v="30/04/2015"/>
    <s v="20/08/2015"/>
    <n v="0.20841358187301398"/>
    <n v="0"/>
    <n v="0"/>
    <n v="0.13793103448275862"/>
    <n v="0.10344827586206896"/>
    <n v="0"/>
    <n v="0"/>
    <n v="0"/>
    <n v="0"/>
    <m/>
    <m/>
    <m/>
    <m/>
    <s v="13/03/2015"/>
    <s v="04/05/2015"/>
    <m/>
    <m/>
    <m/>
    <s v="NO MANUFACTURA VARIOS"/>
    <n v="1.92"/>
    <n v="3.68"/>
    <m/>
    <m/>
    <n v="12"/>
    <n v="1"/>
    <n v="10000000000"/>
    <n v="3091"/>
    <n v="1299"/>
    <x v="0"/>
    <n v="0.57999999999999996"/>
    <n v="1800"/>
    <n v="0"/>
    <n v="0"/>
    <n v="0"/>
    <n v="0"/>
    <n v="0"/>
    <n v="3099"/>
    <n v="0"/>
    <m/>
    <n v="1546"/>
    <n v="0"/>
    <n v="0"/>
    <n v="0.28746100000000002"/>
    <n v="0"/>
    <n v="1"/>
    <s v="30/04/2015"/>
    <s v="ARMORED AUTOGROUP"/>
    <n v="0.57974765448075061"/>
    <n v="0"/>
    <m/>
  </r>
  <r>
    <s v="DISMA"/>
    <s v="CENTRAL.xlsm"/>
    <x v="0"/>
    <s v="ARMORED AUTOGROUP"/>
    <s v="ARMORED AUTOGROUP"/>
    <s v="T614A100"/>
    <s v="0"/>
    <s v="0"/>
    <n v="1"/>
    <s v="-"/>
    <m/>
    <n v="39"/>
    <n v="936"/>
    <n v="5.3461538461538458"/>
    <n v="5.384615384615385"/>
    <n v="0"/>
    <n v="0"/>
    <m/>
    <m/>
    <m/>
    <n v="555"/>
    <n v="275"/>
    <s v="L"/>
    <m/>
    <m/>
    <m/>
    <n v="-0.01"/>
    <m/>
    <m/>
    <m/>
    <n v="3.2090592334494774"/>
    <s v="30/04/2015"/>
    <s v="20/08/2015"/>
    <n v="0.14272550685216118"/>
    <n v="0"/>
    <n v="0"/>
    <n v="0.22988505747126436"/>
    <n v="1.1494252873563218E-2"/>
    <n v="0"/>
    <n v="0"/>
    <n v="0"/>
    <n v="0"/>
    <m/>
    <m/>
    <m/>
    <m/>
    <s v="13/03/2015"/>
    <s v="04/05/2015"/>
    <m/>
    <m/>
    <m/>
    <s v="NO MANUFACTURA VARIOS"/>
    <n v="2.87"/>
    <n v="5.94"/>
    <m/>
    <m/>
    <n v="12"/>
    <n v="1"/>
    <n v="10000000000"/>
    <n v="834"/>
    <n v="180"/>
    <x v="1"/>
    <n v="0.78"/>
    <n v="660"/>
    <n v="0"/>
    <n v="0"/>
    <n v="0"/>
    <n v="0"/>
    <n v="0"/>
    <n v="840"/>
    <n v="0"/>
    <m/>
    <n v="417"/>
    <n v="291.65000000000003"/>
    <n v="0"/>
    <n v="0.3054"/>
    <n v="0"/>
    <n v="1"/>
    <s v="30/04/2015"/>
    <s v="ARMORED AUTOGROUP"/>
    <n v="0.78417266187050361"/>
    <n v="0"/>
    <m/>
  </r>
  <r>
    <s v="DISMA"/>
    <s v="CENTRAL.xlsm"/>
    <x v="0"/>
    <s v="ARMORED AUTOGROUP"/>
    <s v="ARMORED AUTOGROUP"/>
    <s v="T615A100"/>
    <s v="0"/>
    <s v="0"/>
    <n v="1"/>
    <s v="-"/>
    <m/>
    <n v="35.799999999999997"/>
    <n v="859"/>
    <n v="12.87709497206704"/>
    <n v="12.953910614525141"/>
    <n v="0"/>
    <n v="0"/>
    <m/>
    <m/>
    <m/>
    <n v="1226"/>
    <n v="609"/>
    <s v="L"/>
    <m/>
    <m/>
    <m/>
    <n v="-0.01"/>
    <m/>
    <m/>
    <m/>
    <n v="3.1043478260869568"/>
    <s v="30/04/2015"/>
    <s v="20/08/2015"/>
    <n v="0.11111751304262694"/>
    <n v="0"/>
    <n v="0"/>
    <n v="0"/>
    <n v="0.2413793103448276"/>
    <n v="0"/>
    <n v="0"/>
    <n v="0"/>
    <n v="0"/>
    <m/>
    <m/>
    <m/>
    <m/>
    <s v="29/12/2014"/>
    <s v="20/02/2015"/>
    <m/>
    <m/>
    <m/>
    <s v="NO MANUFACTURA VARIOS"/>
    <n v="1.1499999999999999"/>
    <n v="2.34"/>
    <m/>
    <m/>
    <n v="12"/>
    <n v="1"/>
    <n v="10000000000"/>
    <n v="1844"/>
    <n v="1147"/>
    <x v="0"/>
    <n v="0.38"/>
    <n v="708"/>
    <n v="0"/>
    <n v="0"/>
    <n v="0"/>
    <n v="0"/>
    <n v="0"/>
    <n v="1855"/>
    <n v="0"/>
    <m/>
    <n v="922"/>
    <n v="0"/>
    <n v="0"/>
    <n v="0.35084399999999999"/>
    <n v="0"/>
    <n v="1"/>
    <s v="30/04/2015"/>
    <s v="ARMORED AUTOGROUP"/>
    <n v="0.3779826464208243"/>
    <n v="0"/>
    <m/>
  </r>
  <r>
    <s v="DISMA"/>
    <s v="CENTRAL.xlsm"/>
    <x v="0"/>
    <s v="ARMORED AUTOGROUP"/>
    <s v="ARMORED AUTOGROUP"/>
    <s v="T616A100"/>
    <s v="0"/>
    <s v="0"/>
    <n v="1"/>
    <s v="-"/>
    <m/>
    <n v="85.1"/>
    <n v="2042"/>
    <n v="9.2685076380728564"/>
    <n v="9.2978848413631034"/>
    <n v="0"/>
    <n v="0"/>
    <m/>
    <m/>
    <m/>
    <n v="2098"/>
    <n v="1041"/>
    <s v="L"/>
    <m/>
    <m/>
    <m/>
    <n v="0"/>
    <m/>
    <m/>
    <m/>
    <n v="2.7115384615384608"/>
    <s v="30/04/2015"/>
    <s v="20/08/2015"/>
    <n v="0.20351670281011411"/>
    <n v="0"/>
    <n v="0"/>
    <n v="5.7471264367816091E-2"/>
    <n v="0.18390804597701149"/>
    <n v="0"/>
    <n v="0"/>
    <n v="0"/>
    <n v="0"/>
    <m/>
    <m/>
    <m/>
    <m/>
    <s v="13/03/2015"/>
    <s v="04/05/2015"/>
    <m/>
    <m/>
    <m/>
    <s v="NO MANUFACTURA VARIOS"/>
    <n v="1.04"/>
    <n v="1.98"/>
    <m/>
    <m/>
    <n v="12"/>
    <n v="1"/>
    <n v="10000000000"/>
    <n v="3155"/>
    <n v="1557"/>
    <x v="0"/>
    <n v="0.51"/>
    <n v="1608"/>
    <n v="0"/>
    <n v="0"/>
    <n v="0"/>
    <n v="0"/>
    <n v="0"/>
    <n v="3165"/>
    <n v="0"/>
    <m/>
    <n v="1578"/>
    <n v="0"/>
    <n v="0"/>
    <n v="0.48336000000000001"/>
    <n v="0"/>
    <n v="1"/>
    <s v="30/04/2015"/>
    <s v="ARMORED AUTOGROUP"/>
    <n v="0.50649762282091915"/>
    <n v="0"/>
    <m/>
  </r>
  <r>
    <s v="DISMA"/>
    <s v="CENTRAL.xlsm"/>
    <x v="0"/>
    <s v="ARMORED AUTOGROUP"/>
    <s v="ARMORED AUTOGROUP"/>
    <s v="T617A000"/>
    <s v="0"/>
    <s v="0"/>
    <n v="1"/>
    <s v="-"/>
    <m/>
    <n v="40.700000000000003"/>
    <n v="977"/>
    <n v="9.330466830466829"/>
    <n v="9.330466830466829"/>
    <n v="0"/>
    <n v="0"/>
    <m/>
    <m/>
    <m/>
    <n v="1010"/>
    <n v="501"/>
    <s v="V"/>
    <m/>
    <m/>
    <m/>
    <n v="0"/>
    <m/>
    <m/>
    <m/>
    <n v="2.9739130434782615"/>
    <s v="30/04/2015"/>
    <s v="20/08/2015"/>
    <n v="9.999201986587683E-2"/>
    <n v="0"/>
    <n v="0"/>
    <n v="0"/>
    <n v="0.2413793103448276"/>
    <n v="0"/>
    <n v="0"/>
    <n v="0"/>
    <n v="0"/>
    <m/>
    <m/>
    <m/>
    <m/>
    <s v="13/03/2015"/>
    <s v="04/05/2015"/>
    <m/>
    <m/>
    <m/>
    <s v="NO MANUFACTURA VARIOS"/>
    <n v="2.2999999999999998"/>
    <n v="4.58"/>
    <m/>
    <m/>
    <n v="6"/>
    <n v="1"/>
    <n v="10000000000"/>
    <n v="1519"/>
    <n v="1003"/>
    <x v="0"/>
    <n v="0.34"/>
    <n v="516"/>
    <n v="0"/>
    <n v="0"/>
    <n v="0"/>
    <n v="0"/>
    <n v="0"/>
    <n v="1519"/>
    <n v="0"/>
    <m/>
    <n v="760"/>
    <n v="0"/>
    <n v="0"/>
    <n v="0.25073699999999999"/>
    <n v="0"/>
    <n v="1"/>
    <s v="30/04/2015"/>
    <s v="ARMORED AUTOGROUP"/>
    <n v="0.33969716919025672"/>
    <n v="0"/>
    <m/>
  </r>
  <r>
    <s v="DISMA"/>
    <s v="CENTRAL.xlsm"/>
    <x v="0"/>
    <s v="ARMORED AUTOGROUP"/>
    <s v="ARMORED AUTOGROUP"/>
    <s v="T619A000"/>
    <s v="0"/>
    <s v="0"/>
    <n v="1"/>
    <s v="-"/>
    <m/>
    <n v="25.5"/>
    <n v="612"/>
    <n v="8.7156862745098032"/>
    <n v="8.8137254901960791"/>
    <n v="0"/>
    <n v="0"/>
    <m/>
    <m/>
    <m/>
    <n v="591"/>
    <n v="293"/>
    <s v="L"/>
    <m/>
    <m/>
    <m/>
    <n v="-0.01"/>
    <m/>
    <m/>
    <m/>
    <n v="4.1333333333333337"/>
    <s v="30/04/2015"/>
    <s v="20/08/2015"/>
    <n v="8.1681764164348802E-2"/>
    <n v="0"/>
    <n v="0"/>
    <n v="0"/>
    <n v="0.2413793103448276"/>
    <n v="0"/>
    <n v="0"/>
    <n v="0"/>
    <n v="0"/>
    <m/>
    <m/>
    <m/>
    <m/>
    <s v="13/03/2015"/>
    <s v="04/05/2015"/>
    <m/>
    <m/>
    <m/>
    <s v="NO MANUFACTURA VARIOS"/>
    <n v="0.9"/>
    <n v="2.14"/>
    <m/>
    <m/>
    <n v="12"/>
    <n v="1"/>
    <n v="10000000000"/>
    <n v="889"/>
    <n v="383"/>
    <x v="0"/>
    <n v="0.56999999999999995"/>
    <n v="516"/>
    <n v="0"/>
    <n v="0"/>
    <n v="0"/>
    <n v="0"/>
    <n v="0"/>
    <n v="899"/>
    <n v="0"/>
    <m/>
    <n v="445"/>
    <n v="0"/>
    <n v="0"/>
    <n v="0.64491900000000002"/>
    <n v="0"/>
    <n v="1"/>
    <s v="30/04/2015"/>
    <s v="ARMORED AUTOGROUP"/>
    <n v="0.56917885264341961"/>
    <n v="0"/>
    <m/>
  </r>
  <r>
    <s v="DISMA"/>
    <s v="CENTRAL.xlsm"/>
    <x v="0"/>
    <s v="ARMORED AUTOGROUP"/>
    <s v="ARMORED AUTOGROUP"/>
    <s v="T619A100"/>
    <s v="0"/>
    <s v="0"/>
    <n v="1"/>
    <s v="-"/>
    <m/>
    <n v="30.9"/>
    <n v="742"/>
    <n v="9.5226537216828486"/>
    <n v="9.6035598705501624"/>
    <n v="0"/>
    <n v="0"/>
    <m/>
    <m/>
    <m/>
    <n v="783"/>
    <n v="388"/>
    <s v="L"/>
    <m/>
    <m/>
    <m/>
    <n v="-0.01"/>
    <m/>
    <m/>
    <m/>
    <n v="2.3553719008264471"/>
    <s v="30/04/2015"/>
    <s v="20/08/2015"/>
    <n v="0.37730566683956285"/>
    <n v="0"/>
    <n v="0"/>
    <n v="0.2413793103448276"/>
    <n v="0"/>
    <n v="0"/>
    <n v="0"/>
    <n v="0"/>
    <n v="0"/>
    <m/>
    <m/>
    <m/>
    <m/>
    <s v="13/03/2015"/>
    <s v="04/05/2015"/>
    <m/>
    <m/>
    <m/>
    <s v="NO MANUFACTURA VARIOS"/>
    <n v="1.21"/>
    <n v="2.16"/>
    <m/>
    <m/>
    <n v="12"/>
    <n v="1"/>
    <n v="10000000000"/>
    <n v="1177"/>
    <n v="347"/>
    <x v="1"/>
    <n v="0.71"/>
    <n v="840"/>
    <n v="0"/>
    <n v="0"/>
    <n v="0"/>
    <n v="0"/>
    <n v="0"/>
    <n v="1187"/>
    <n v="0"/>
    <m/>
    <n v="589"/>
    <n v="38.95000000000001"/>
    <n v="0"/>
    <n v="0.471854"/>
    <n v="0"/>
    <n v="1"/>
    <s v="30/04/2015"/>
    <s v="ARMORED AUTOGROUP"/>
    <n v="0.70518266779949024"/>
    <n v="0"/>
    <m/>
  </r>
  <r>
    <s v="DISMA"/>
    <s v="CENTRAL.xlsm"/>
    <x v="0"/>
    <s v="ARMORED AUTOGROUP"/>
    <s v="ARMORED AUTOGROUP"/>
    <s v="T620A000"/>
    <s v="0"/>
    <s v="0"/>
    <n v="1"/>
    <s v="-"/>
    <m/>
    <n v="40.700000000000003"/>
    <n v="977"/>
    <n v="9.7235872235872236"/>
    <n v="9.7235872235872236"/>
    <n v="0"/>
    <n v="0"/>
    <m/>
    <m/>
    <m/>
    <n v="1053"/>
    <n v="522"/>
    <s v="V"/>
    <m/>
    <m/>
    <m/>
    <n v="0"/>
    <m/>
    <m/>
    <m/>
    <n v="3.8749999999999996"/>
    <s v="30/04/2015"/>
    <s v="20/08/2015"/>
    <n v="0.10955843254131292"/>
    <n v="0"/>
    <n v="0"/>
    <n v="0"/>
    <n v="0.13793103448275862"/>
    <n v="0.10344827586206896"/>
    <n v="0"/>
    <n v="0"/>
    <n v="0"/>
    <m/>
    <m/>
    <m/>
    <m/>
    <s v="13/03/2015"/>
    <s v="04/05/2015"/>
    <m/>
    <m/>
    <m/>
    <s v="NO MANUFACTURA VARIOS"/>
    <n v="1.44"/>
    <n v="3.3"/>
    <m/>
    <m/>
    <n v="12"/>
    <n v="1"/>
    <n v="10000000000"/>
    <n v="1583"/>
    <n v="1151"/>
    <x v="3"/>
    <n v="0.27"/>
    <n v="432"/>
    <n v="0"/>
    <n v="0"/>
    <n v="0"/>
    <n v="0"/>
    <n v="0"/>
    <n v="1583"/>
    <n v="0"/>
    <m/>
    <n v="792"/>
    <n v="0"/>
    <n v="0"/>
    <n v="0.38911699999999999"/>
    <n v="0"/>
    <n v="1"/>
    <s v="30/04/2015"/>
    <s v="ARMORED AUTOGROUP"/>
    <n v="0.27289955780164243"/>
    <n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7" firstHeaderRow="0" firstDataRow="0" firstDataCol="0" rowPageCount="2" colPageCount="1"/>
  <pivotFields count="36">
    <pivotField showAll="0"/>
    <pivotField axis="axisPage" showAll="0">
      <items count="36">
        <item x="3"/>
        <item m="1" x="16"/>
        <item x="2"/>
        <item m="1" x="14"/>
        <item x="1"/>
        <item m="1" x="9"/>
        <item m="1" x="19"/>
        <item m="1" x="24"/>
        <item x="0"/>
        <item x="4"/>
        <item m="1" x="34"/>
        <item m="1" x="22"/>
        <item m="1" x="13"/>
        <item m="1" x="20"/>
        <item m="1" x="11"/>
        <item m="1" x="29"/>
        <item m="1" x="33"/>
        <item m="1" x="8"/>
        <item m="1" x="10"/>
        <item m="1" x="25"/>
        <item m="1" x="7"/>
        <item x="5"/>
        <item m="1" x="31"/>
        <item m="1" x="26"/>
        <item m="1" x="30"/>
        <item m="1" x="27"/>
        <item m="1" x="18"/>
        <item m="1" x="28"/>
        <item x="6"/>
        <item m="1" x="23"/>
        <item m="1" x="15"/>
        <item m="1" x="32"/>
        <item m="1" x="12"/>
        <item m="1" x="17"/>
        <item m="1" x="21"/>
        <item t="default"/>
      </items>
    </pivotField>
    <pivotField showAll="0">
      <items count="9">
        <item x="2"/>
        <item m="1" x="5"/>
        <item x="1"/>
        <item m="1" x="3"/>
        <item m="1" x="7"/>
        <item m="1" x="4"/>
        <item x="0"/>
        <item m="1"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name="Bodega " axis="axisPage" showAll="0">
      <items count="8">
        <item m="1" x="6"/>
        <item x="2"/>
        <item x="1"/>
        <item x="0"/>
        <item x="3"/>
        <item x="4"/>
        <item x="5"/>
        <item t="default"/>
      </items>
    </pivotField>
    <pivotField showAll="0"/>
    <pivotField showAll="0"/>
    <pivotField showAll="0"/>
  </pivotFields>
  <pageFields count="2">
    <pageField fld="1" item="21" hier="-1"/>
    <pageField fld="32" hier="-1"/>
  </pageFields>
  <formats count="5">
    <format dxfId="87">
      <pivotArea field="1" type="button" dataOnly="0" labelOnly="1" outline="0" axis="axisPage" fieldPosition="0"/>
    </format>
    <format dxfId="86">
      <pivotArea dataOnly="0" labelOnly="1" outline="0" fieldPosition="0">
        <references count="1">
          <reference field="1" count="0"/>
        </references>
      </pivotArea>
    </format>
    <format dxfId="85">
      <pivotArea field="2" type="button" dataOnly="0" labelOnly="1" outline="0"/>
    </format>
    <format dxfId="84">
      <pivotArea field="32" type="button" dataOnly="0" labelOnly="1" outline="0" axis="axisPage" fieldPosition="1"/>
    </format>
    <format dxfId="83">
      <pivotArea dataOnly="0" labelOnly="1" outline="0" fieldPosition="0">
        <references count="1">
          <reference field="32" count="0"/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vtOrigen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12" firstHeaderRow="0" firstDataRow="0" firstDataCol="0" rowPageCount="2" colPageCount="1"/>
  <pivotFields count="36">
    <pivotField showAll="0"/>
    <pivotField axis="axisPage" showAll="0">
      <items count="36">
        <item x="3"/>
        <item m="1" x="16"/>
        <item x="2"/>
        <item m="1" x="14"/>
        <item x="1"/>
        <item m="1" x="9"/>
        <item m="1" x="19"/>
        <item m="1" x="24"/>
        <item x="0"/>
        <item x="4"/>
        <item m="1" x="34"/>
        <item m="1" x="22"/>
        <item m="1" x="13"/>
        <item m="1" x="20"/>
        <item m="1" x="11"/>
        <item m="1" x="29"/>
        <item m="1" x="33"/>
        <item m="1" x="8"/>
        <item m="1" x="10"/>
        <item m="1" x="25"/>
        <item m="1" x="7"/>
        <item x="5"/>
        <item m="1" x="31"/>
        <item m="1" x="26"/>
        <item m="1" x="30"/>
        <item m="1" x="27"/>
        <item m="1" x="18"/>
        <item m="1" x="28"/>
        <item x="6"/>
        <item m="1" x="23"/>
        <item m="1" x="15"/>
        <item m="1" x="32"/>
        <item m="1" x="12"/>
        <item m="1" x="17"/>
        <item m="1" x="21"/>
        <item t="default"/>
      </items>
    </pivotField>
    <pivotField showAll="0">
      <items count="9">
        <item x="2"/>
        <item m="1" x="5"/>
        <item x="1"/>
        <item m="1" x="3"/>
        <item m="1" x="7"/>
        <item m="1" x="4"/>
        <item x="0"/>
        <item m="1"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name="Bodega " axis="axisPage" showAll="0">
      <items count="8">
        <item m="1" x="6"/>
        <item x="2"/>
        <item x="1"/>
        <item x="0"/>
        <item x="3"/>
        <item x="4"/>
        <item x="5"/>
        <item t="default"/>
      </items>
    </pivotField>
    <pivotField showAll="0"/>
    <pivotField showAll="0"/>
    <pivotField showAll="0"/>
  </pivotFields>
  <pageFields count="2">
    <pageField fld="1" hier="-1"/>
    <pageField fld="32" hier="-1"/>
  </pageFields>
  <formats count="5">
    <format dxfId="92">
      <pivotArea field="1" type="button" dataOnly="0" labelOnly="1" outline="0" axis="axisPage" fieldPosition="0"/>
    </format>
    <format dxfId="91">
      <pivotArea dataOnly="0" labelOnly="1" outline="0" fieldPosition="0">
        <references count="1">
          <reference field="1" count="0"/>
        </references>
      </pivotArea>
    </format>
    <format dxfId="90">
      <pivotArea field="2" type="button" dataOnly="0" labelOnly="1" outline="0"/>
    </format>
    <format dxfId="89">
      <pivotArea field="32" type="button" dataOnly="0" labelOnly="1" outline="0" axis="axisPage" fieldPosition="1"/>
    </format>
    <format dxfId="88">
      <pivotArea dataOnly="0" labelOnly="1" outline="0" fieldPosition="0">
        <references count="1">
          <reference field="32" count="0"/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Tabla_Grafico_Buffer_por_Color" cacheId="1" applyNumberFormats="0" applyBorderFormats="0" applyFontFormats="0" applyPatternFormats="0" applyAlignmentFormats="0" applyWidthHeightFormats="1" dataCaption="Valores" updatedVersion="5" minRefreshableVersion="3" showCalcMbrs="0" useAutoFormatting="1" rowGrandTotals="0" colGrandTotals="0" itemPrintTitles="1" createdVersion="3" indent="0" outline="1" outlineData="1" multipleFieldFilters="0" chartFormat="1">
  <location ref="T2:Y4" firstHeaderRow="1" firstDataRow="2" firstDataCol="1"/>
  <pivotFields count="83">
    <pivotField showAll="0"/>
    <pivotField showAll="0"/>
    <pivotField axis="axisRow" showAll="0">
      <items count="59">
        <item m="1" x="27"/>
        <item m="1" x="48"/>
        <item m="1" x="28"/>
        <item m="1" x="14"/>
        <item m="1" x="6"/>
        <item m="1" x="16"/>
        <item m="1" x="55"/>
        <item m="1" x="26"/>
        <item m="1" x="53"/>
        <item m="1" x="32"/>
        <item m="1" x="39"/>
        <item m="1" x="49"/>
        <item m="1" x="13"/>
        <item m="1" x="34"/>
        <item m="1" x="44"/>
        <item m="1" x="30"/>
        <item m="1" x="25"/>
        <item m="1" x="45"/>
        <item m="1" x="33"/>
        <item m="1" x="37"/>
        <item m="1" x="43"/>
        <item m="1" x="9"/>
        <item m="1" x="17"/>
        <item m="1" x="35"/>
        <item m="1" x="36"/>
        <item m="1" x="24"/>
        <item m="1" x="29"/>
        <item m="1" x="3"/>
        <item m="1" x="20"/>
        <item m="1" x="46"/>
        <item m="1" x="18"/>
        <item m="1" x="21"/>
        <item m="1" x="50"/>
        <item m="1" x="47"/>
        <item m="1" x="12"/>
        <item m="1" x="22"/>
        <item m="1" x="42"/>
        <item m="1" x="8"/>
        <item m="1" x="2"/>
        <item m="1" x="11"/>
        <item m="1" x="5"/>
        <item m="1" x="10"/>
        <item m="1" x="31"/>
        <item m="1" x="38"/>
        <item m="1" x="19"/>
        <item m="1" x="56"/>
        <item m="1" x="57"/>
        <item m="1" x="41"/>
        <item m="1" x="54"/>
        <item m="1" x="1"/>
        <item m="1" x="40"/>
        <item m="1" x="23"/>
        <item m="1" x="7"/>
        <item m="1" x="4"/>
        <item m="1" x="52"/>
        <item m="1" x="51"/>
        <item m="1" x="15"/>
        <item x="0"/>
        <item t="default"/>
      </items>
    </pivotField>
    <pivotField showAll="0"/>
    <pivotField showAll="0" defaultSubtota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numFmtId="9" showAll="0" defaultSubtotal="0"/>
    <pivotField showAll="0"/>
    <pivotField showAll="0"/>
    <pivotField showAll="0"/>
    <pivotField axis="axisCol" dataField="1" showAll="0">
      <items count="8">
        <item x="4"/>
        <item x="1"/>
        <item x="0"/>
        <item x="3"/>
        <item x="2"/>
        <item m="1" x="5"/>
        <item m="1" x="6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</pivotFields>
  <rowFields count="1">
    <field x="2"/>
  </rowFields>
  <rowItems count="1">
    <i>
      <x v="57"/>
    </i>
  </rowItems>
  <colFields count="1">
    <field x="61"/>
  </colFields>
  <colItems count="5">
    <i>
      <x/>
    </i>
    <i>
      <x v="1"/>
    </i>
    <i>
      <x v="2"/>
    </i>
    <i>
      <x v="3"/>
    </i>
    <i>
      <x v="4"/>
    </i>
  </colItems>
  <dataFields count="1">
    <dataField name="Cuenta de Color" fld="61" subtotal="count" baseField="0" baseItem="0"/>
  </dataFields>
  <chartFormats count="12">
    <chartFormat chart="0" format="0" series="1">
      <pivotArea type="data" outline="0" fieldPosition="0">
        <references count="1">
          <reference field="61" count="1" selected="0">
            <x v="2"/>
          </reference>
        </references>
      </pivotArea>
    </chartFormat>
    <chartFormat chart="0" format="2" series="1">
      <pivotArea type="data" outline="0" fieldPosition="0">
        <references count="1">
          <reference field="61" count="1" selected="0">
            <x v="4"/>
          </reference>
        </references>
      </pivotArea>
    </chartFormat>
    <chartFormat chart="0" format="3" series="1">
      <pivotArea type="data" outline="0" fieldPosition="0">
        <references count="1">
          <reference field="61" count="1" selected="0">
            <x v="0"/>
          </reference>
        </references>
      </pivotArea>
    </chartFormat>
    <chartFormat chart="0" format="4" series="1">
      <pivotArea type="data" outline="0" fieldPosition="0">
        <references count="1">
          <reference field="61" count="1" selected="0">
            <x v="1"/>
          </reference>
        </references>
      </pivotArea>
    </chartFormat>
    <chartFormat chart="0" format="5" series="1">
      <pivotArea type="data" outline="0" fieldPosition="0">
        <references count="1">
          <reference field="61" count="1" selected="0">
            <x v="3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2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0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4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1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3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5"/>
          </reference>
        </references>
      </pivotArea>
    </chartFormat>
    <chartFormat chart="0" format="141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Tabla_Buffer_por_Color" cacheId="1" applyNumberFormats="0" applyBorderFormats="0" applyFontFormats="0" applyPatternFormats="0" applyAlignmentFormats="0" applyWidthHeightFormats="1" dataCaption="Valores" missingCaption="0" updatedVersion="5" minRefreshableVersion="3" showCalcMbrs="0" useAutoFormatting="1" colGrandTotals="0" itemPrintTitles="1" createdVersion="3" indent="0" compact="0" compactData="0" multipleFieldFilters="0" chartFormat="2">
  <location ref="A3:K7" firstHeaderRow="1" firstDataRow="3" firstDataCol="1"/>
  <pivotFields count="83">
    <pivotField compact="0" outline="0" showAll="0"/>
    <pivotField compact="0" outline="0" showAll="0"/>
    <pivotField axis="axisRow" compact="0" outline="0" showAll="0">
      <items count="59">
        <item m="1" x="27"/>
        <item m="1" x="48"/>
        <item m="1" x="28"/>
        <item m="1" x="14"/>
        <item m="1" x="6"/>
        <item m="1" x="16"/>
        <item m="1" x="55"/>
        <item m="1" x="26"/>
        <item m="1" x="53"/>
        <item m="1" x="32"/>
        <item m="1" x="39"/>
        <item m="1" x="49"/>
        <item m="1" x="13"/>
        <item m="1" x="34"/>
        <item m="1" x="44"/>
        <item m="1" x="30"/>
        <item m="1" x="25"/>
        <item m="1" x="45"/>
        <item m="1" x="33"/>
        <item m="1" x="37"/>
        <item m="1" x="43"/>
        <item m="1" x="9"/>
        <item m="1" x="17"/>
        <item m="1" x="35"/>
        <item m="1" x="36"/>
        <item m="1" x="24"/>
        <item m="1" x="29"/>
        <item m="1" x="3"/>
        <item m="1" x="20"/>
        <item m="1" x="46"/>
        <item m="1" x="18"/>
        <item m="1" x="21"/>
        <item m="1" x="50"/>
        <item m="1" x="47"/>
        <item m="1" x="12"/>
        <item m="1" x="22"/>
        <item m="1" x="42"/>
        <item m="1" x="8"/>
        <item m="1" x="2"/>
        <item m="1" x="11"/>
        <item m="1" x="5"/>
        <item m="1" x="10"/>
        <item m="1" x="31"/>
        <item m="1" x="38"/>
        <item m="1" x="19"/>
        <item m="1" x="56"/>
        <item m="1" x="57"/>
        <item m="1" x="41"/>
        <item m="1" x="54"/>
        <item m="1" x="1"/>
        <item m="1" x="40"/>
        <item m="1" x="23"/>
        <item m="1" x="7"/>
        <item m="1" x="4"/>
        <item m="1" x="52"/>
        <item m="1" x="51"/>
        <item m="1" x="15"/>
        <item x="0"/>
        <item t="default"/>
      </items>
    </pivotField>
    <pivotField compact="0" outline="0" showAl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numFmtId="9" outline="0" showAll="0" defaultSubtotal="0"/>
    <pivotField compact="0" outline="0" showAll="0"/>
    <pivotField compact="0" outline="0" showAll="0"/>
    <pivotField compact="0" outline="0" showAll="0"/>
    <pivotField axis="axisCol" dataField="1" compact="0" outline="0" showAll="0" defaultSubtotal="0">
      <items count="7">
        <item x="4"/>
        <item x="1"/>
        <item x="0"/>
        <item x="3"/>
        <item x="2"/>
        <item m="1" x="5"/>
        <item m="1" x="6"/>
      </items>
    </pivotField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</pivotFields>
  <rowFields count="1">
    <field x="2"/>
  </rowFields>
  <rowItems count="2">
    <i>
      <x v="57"/>
    </i>
    <i t="grand">
      <x/>
    </i>
  </rowItems>
  <colFields count="2">
    <field x="61"/>
    <field x="-2"/>
  </colFields>
  <colItems count="10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</colItems>
  <dataFields count="2">
    <dataField name="Num" fld="61" subtotal="count" baseField="0" baseItem="0"/>
    <dataField name="Porc" fld="61" subtotal="count" showDataAs="percentOfRow" baseField="0" baseItem="0"/>
  </dataFields>
  <formats count="32">
    <format dxfId="39">
      <pivotArea dataOnly="0" labelOnly="1" outline="0" fieldPosition="0">
        <references count="1">
          <reference field="61" count="0"/>
        </references>
      </pivotArea>
    </format>
    <format dxfId="38">
      <pivotArea dataOnly="0" labelOnly="1" outline="0" fieldPosition="0">
        <references count="1">
          <reference field="61" count="1">
            <x v="0"/>
          </reference>
        </references>
      </pivotArea>
    </format>
    <format dxfId="37">
      <pivotArea dataOnly="0" labelOnly="1" outline="0" fieldPosition="0">
        <references count="1">
          <reference field="61" count="1">
            <x v="1"/>
          </reference>
        </references>
      </pivotArea>
    </format>
    <format dxfId="36">
      <pivotArea dataOnly="0" labelOnly="1" outline="0" fieldPosition="0">
        <references count="1">
          <reference field="61" count="1">
            <x v="2"/>
          </reference>
        </references>
      </pivotArea>
    </format>
    <format dxfId="35">
      <pivotArea dataOnly="0" labelOnly="1" outline="0" fieldPosition="0">
        <references count="1">
          <reference field="61" count="1">
            <x v="3"/>
          </reference>
        </references>
      </pivotArea>
    </format>
    <format dxfId="34">
      <pivotArea dataOnly="0" labelOnly="1" outline="0" fieldPosition="0">
        <references count="1">
          <reference field="61" count="1">
            <x v="4"/>
          </reference>
        </references>
      </pivotArea>
    </format>
    <format dxfId="33">
      <pivotArea dataOnly="0" labelOnly="1" outline="0" fieldPosition="0">
        <references count="1">
          <reference field="61" count="1">
            <x v="0"/>
          </reference>
        </references>
      </pivotArea>
    </format>
    <format dxfId="32">
      <pivotArea dataOnly="0" labelOnly="1" outline="0" fieldPosition="0">
        <references count="1">
          <reference field="61" count="1">
            <x v="0"/>
          </reference>
        </references>
      </pivotArea>
    </format>
    <format dxfId="31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0"/>
          </reference>
        </references>
      </pivotArea>
    </format>
    <format dxfId="30">
      <pivotArea dataOnly="0" labelOnly="1" outline="0" fieldPosition="0">
        <references count="1">
          <reference field="61" count="1">
            <x v="1"/>
          </reference>
        </references>
      </pivotArea>
    </format>
    <format dxfId="29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1"/>
          </reference>
        </references>
      </pivotArea>
    </format>
    <format dxfId="28">
      <pivotArea dataOnly="0" labelOnly="1" outline="0" fieldPosition="0">
        <references count="1">
          <reference field="61" count="1">
            <x v="2"/>
          </reference>
        </references>
      </pivotArea>
    </format>
    <format dxfId="27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2"/>
          </reference>
        </references>
      </pivotArea>
    </format>
    <format dxfId="26">
      <pivotArea dataOnly="0" labelOnly="1" outline="0" fieldPosition="0">
        <references count="1">
          <reference field="61" count="1">
            <x v="2"/>
          </reference>
        </references>
      </pivotArea>
    </format>
    <format dxfId="25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2"/>
          </reference>
        </references>
      </pivotArea>
    </format>
    <format dxfId="24">
      <pivotArea dataOnly="0" labelOnly="1" outline="0" fieldPosition="0">
        <references count="1">
          <reference field="61" count="1">
            <x v="3"/>
          </reference>
        </references>
      </pivotArea>
    </format>
    <format dxfId="23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3"/>
          </reference>
        </references>
      </pivotArea>
    </format>
    <format dxfId="22">
      <pivotArea dataOnly="0" labelOnly="1" outline="0" fieldPosition="0">
        <references count="1">
          <reference field="61" count="1">
            <x v="4"/>
          </reference>
        </references>
      </pivotArea>
    </format>
    <format dxfId="21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4"/>
          </reference>
        </references>
      </pivotArea>
    </format>
    <format dxfId="20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0"/>
          </reference>
        </references>
      </pivotArea>
    </format>
    <format dxfId="19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1"/>
          </reference>
        </references>
      </pivotArea>
    </format>
    <format dxfId="18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2"/>
          </reference>
        </references>
      </pivotArea>
    </format>
    <format dxfId="17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3"/>
          </reference>
        </references>
      </pivotArea>
    </format>
    <format dxfId="16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4"/>
          </reference>
        </references>
      </pivotArea>
    </format>
    <format dxfId="15">
      <pivotArea outline="0" fieldPosition="0">
        <references count="1">
          <reference field="4294967294" count="1">
            <x v="1"/>
          </reference>
        </references>
      </pivotArea>
    </format>
    <format dxfId="14">
      <pivotArea outline="0" collapsedLevelsAreSubtotals="1" fieldPosition="0"/>
    </format>
    <format dxfId="13">
      <pivotArea dataOnly="0" labelOnly="1" outline="0" fieldPosition="0">
        <references count="1">
          <reference field="61" count="1">
            <x v="5"/>
          </reference>
        </references>
      </pivotArea>
    </format>
    <format dxfId="12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5"/>
          </reference>
        </references>
      </pivotArea>
    </format>
    <format dxfId="11">
      <pivotArea dataOnly="0" labelOnly="1" outline="0" fieldPosition="0">
        <references count="1">
          <reference field="61" count="1">
            <x v="5"/>
          </reference>
        </references>
      </pivotArea>
    </format>
    <format dxfId="10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5"/>
          </reference>
        </references>
      </pivotArea>
    </format>
    <format dxfId="9">
      <pivotArea dataOnly="0" labelOnly="1" outline="0" fieldPosition="0">
        <references count="1">
          <reference field="61" count="1">
            <x v="5"/>
          </reference>
        </references>
      </pivotArea>
    </format>
    <format dxfId="8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5"/>
          </reference>
        </references>
      </pivotArea>
    </format>
  </formats>
  <pivotTableStyleInfo name="PivotStyleDark2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Consulta desde jjdk" backgroundRefresh="0" connectionId="4" autoFormatId="16" applyNumberFormats="0" applyBorderFormats="0" applyFontFormats="0" applyPatternFormats="0" applyAlignmentFormats="0" applyWidthHeightFormats="0">
  <queryTableRefresh nextId="2">
    <queryTableFields count="1">
      <queryTableField id="1" name="TipoCompra" tableColumnId="1"/>
    </queryTableFields>
  </queryTableRefresh>
</queryTable>
</file>

<file path=xl/queryTables/queryTable2.xml><?xml version="1.0" encoding="utf-8"?>
<queryTable xmlns="http://schemas.openxmlformats.org/spreadsheetml/2006/main" name="Consulta desde Buffers Agrota" backgroundRefresh="0" connectionId="1" autoFormatId="16" applyNumberFormats="0" applyBorderFormats="0" applyFontFormats="0" applyPatternFormats="0" applyAlignmentFormats="0" applyWidthHeightFormats="0">
  <queryTableRefresh nextId="4">
    <queryTableFields count="3">
      <queryTableField id="1" name="CODIGO " tableColumnId="1"/>
      <queryTableField id="2" name="COMPRA" tableColumnId="2"/>
      <queryTableField id="3" name="PED PROM" tableColumnId="3"/>
    </queryTableFields>
  </queryTableRefresh>
</queryTable>
</file>

<file path=xl/queryTables/queryTable3.xml><?xml version="1.0" encoding="utf-8"?>
<queryTable xmlns="http://schemas.openxmlformats.org/spreadsheetml/2006/main" name="Consulta desde HHH" connectionId="3" autoFormatId="16" applyNumberFormats="0" applyBorderFormats="0" applyFontFormats="0" applyPatternFormats="0" applyAlignmentFormats="0" applyWidthHeightFormats="0">
  <queryTableRefresh nextId="5">
    <queryTableFields count="3">
      <queryTableField id="1" name="CODIGO " tableColumnId="1"/>
      <queryTableField id="2" name="COMPRA" tableColumnId="2"/>
      <queryTableField id="4" name="PED PROM" tableColumnId="4"/>
    </queryTableFields>
  </queryTableRefresh>
</queryTable>
</file>

<file path=xl/queryTables/queryTable4.xml><?xml version="1.0" encoding="utf-8"?>
<queryTable xmlns="http://schemas.openxmlformats.org/spreadsheetml/2006/main" name="Consulta desde BUFFERS SUKAMPO" connectionId="2" autoFormatId="16" applyNumberFormats="0" applyBorderFormats="0" applyFontFormats="0" applyPatternFormats="0" applyAlignmentFormats="0" applyWidthHeightFormats="0">
  <queryTableRefresh nextId="4">
    <queryTableFields count="3">
      <queryTableField id="1" name="CODIGO " tableColumnId="1"/>
      <queryTableField id="2" name="COMPRA" tableColumnId="2"/>
      <queryTableField id="3" name="PEDIDOS PROMEDIO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id="1" name="Tabla_Tipo_Compra" displayName="Tabla_Tipo_Compra" ref="I1:I2" tableType="queryTable" totalsRowShown="0" headerRowDxfId="95" dataDxfId="94">
  <autoFilter ref="I1:I2"/>
  <tableColumns count="1">
    <tableColumn id="1" uniqueName="1" name="TipoCompra" queryTableFieldId="1" dataDxfId="93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1" name="tbl_empresa" displayName="tbl_empresa" ref="A1:A3" totalsRowShown="0">
  <autoFilter ref="A1:A3"/>
  <tableColumns count="1">
    <tableColumn id="1" name="Nombre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2" name="tbl_bodega" displayName="tbl_bodega" ref="E1:E88" totalsRowShown="0">
  <autoFilter ref="E1:E88"/>
  <tableColumns count="1">
    <tableColumn id="1" name="Nombre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13" name="tbl_proveedor" displayName="tbl_proveedor" ref="I1:I2" insertRow="1" totalsRowShown="0">
  <autoFilter ref="I1:I2"/>
  <tableColumns count="1">
    <tableColumn id="1" name="Nombre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14" name="tbl_marca" displayName="tbl_marca" ref="M1:M154" totalsRowShown="0">
  <autoFilter ref="M1:M154"/>
  <tableColumns count="1">
    <tableColumn id="1" name="Nombre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15" name="tbl_grupo" displayName="tbl_grupo" ref="Q1:Q248" totalsRowShown="0">
  <autoFilter ref="Q1:Q248"/>
  <tableColumns count="1">
    <tableColumn id="1" name="Nombre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16" name="tbl_linea" displayName="tbl_linea" ref="U1:U24" totalsRowShown="0">
  <autoFilter ref="U1:U24"/>
  <tableColumns count="1">
    <tableColumn id="1" name="Nombre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17" name="tbl_sublinea" displayName="tbl_sublinea" ref="Y1:Y2" totalsRowShown="0">
  <autoFilter ref="Y1:Y2"/>
  <tableColumns count="1">
    <tableColumn id="1" name="Nombre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18" name="tbl_modelo" displayName="tbl_modelo" ref="AC1:AC2" totalsRowShown="0">
  <autoFilter ref="AC1:AC2"/>
  <tableColumns count="1">
    <tableColumn id="1" name="Nombre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19" name="tbl_familia" displayName="tbl_familia" ref="AG1:AG2" totalsRowShown="0">
  <autoFilter ref="AG1:AG2"/>
  <tableColumns count="1">
    <tableColumn id="1" name="Nombre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20" name="tbl_subfamilia" displayName="tbl_subfamilia" ref="AK1:AK2" insertRow="1" totalsRowShown="0">
  <autoFilter ref="AK1:AK2"/>
  <tableColumns count="1">
    <tableColumn id="1" name="Nombre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21" name="tbl_categoria" displayName="tbl_categoria" ref="AO1:AO89" totalsRowShown="0">
  <autoFilter ref="AO1:AO89"/>
  <tableColumns count="1">
    <tableColumn id="1" name="Nombre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id="22" name="tbl_tipo" displayName="tbl_tipo" ref="AS1:AS2" totalsRowShown="0">
  <autoFilter ref="AS1:AS2"/>
  <tableColumns count="1">
    <tableColumn id="1" name="Nombre"/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23" name="tbl_estatus" displayName="tbl_estatus" ref="AW1:AW2" totalsRowShown="0">
  <autoFilter ref="AW1:AW2"/>
  <tableColumns count="1">
    <tableColumn id="1" name="Nombre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id="24" name="tbl_clasificacion" displayName="tbl_clasificacion" ref="BA1:BA2" totalsRowShown="0">
  <autoFilter ref="BA1:BA2"/>
  <tableColumns count="1">
    <tableColumn id="1" name="Nombre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id="25" name="tbl_responsable" displayName="tbl_responsable" ref="BE1:BE2" totalsRowShown="0">
  <autoFilter ref="BE1:BE2"/>
  <tableColumns count="1">
    <tableColumn id="1" name="Nombre"/>
  </tableColumns>
  <tableStyleInfo name="TableStyleMedium9" showFirstColumn="0" showLastColumn="0" showRowStripes="1" showColumnStripes="0"/>
</table>
</file>

<file path=xl/tables/table17.xml><?xml version="1.0" encoding="utf-8"?>
<table xmlns="http://schemas.openxmlformats.org/spreadsheetml/2006/main" id="26" name="tbl_perfil" displayName="tbl_perfil" ref="BI1:BI23" totalsRowShown="0">
  <autoFilter ref="BI1:BI23"/>
  <tableColumns count="1">
    <tableColumn id="1" name="Nombre"/>
  </tableColumns>
  <tableStyleInfo name="TableStyleMedium9" showFirstColumn="0" showLastColumn="0" showRowStripes="1" showColumnStripes="0"/>
</table>
</file>

<file path=xl/tables/table18.xml><?xml version="1.0" encoding="utf-8"?>
<table xmlns="http://schemas.openxmlformats.org/spreadsheetml/2006/main" id="27" name="tbl_color" displayName="tbl_color" ref="BM1:BM7" totalsRowShown="0">
  <autoFilter ref="BM1:BM7"/>
  <tableColumns count="1">
    <tableColumn id="1" name="Nombre"/>
  </tableColumns>
  <tableStyleInfo name="TableStyleMedium9" showFirstColumn="0" showLastColumn="0" showRowStripes="1" showColumnStripes="0"/>
</table>
</file>

<file path=xl/tables/table19.xml><?xml version="1.0" encoding="utf-8"?>
<table xmlns="http://schemas.openxmlformats.org/spreadsheetml/2006/main" id="28" name="tbl_calendarioe" displayName="tbl_calendarioe" ref="BQ1:BQ2" insertRow="1" totalsRowShown="0">
  <autoFilter ref="BQ1:BQ2"/>
  <tableColumns count="1">
    <tableColumn id="1" name="Nombre"/>
  </tableColumns>
  <tableStyleInfo name="TableStyleMedium9" showFirstColumn="0" showLastColumn="0" showRowStripes="1" showColumnStripes="0"/>
</table>
</file>

<file path=xl/tables/table20.xml><?xml version="1.0" encoding="utf-8"?>
<table xmlns="http://schemas.openxmlformats.org/spreadsheetml/2006/main" id="29" name="tbl_hojacb" displayName="tbl_hojacb" ref="BU1:BU2" totalsRowShown="0">
  <autoFilter ref="BU1:BU2"/>
  <tableColumns count="1">
    <tableColumn id="1" name="Nombre"/>
  </tableColumns>
  <tableStyleInfo name="TableStyleMedium9" showFirstColumn="0" showLastColumn="0" showRowStripes="1" showColumnStripes="0"/>
</table>
</file>

<file path=xl/tables/table21.xml><?xml version="1.0" encoding="utf-8"?>
<table xmlns="http://schemas.openxmlformats.org/spreadsheetml/2006/main" id="3" name="TRANSFERENCIA_ESPECIAL" displayName="TRANSFERENCIA_ESPECIAL" ref="A1:N2" totalsRowShown="0">
  <autoFilter ref="A1:N2"/>
  <tableColumns count="14">
    <tableColumn id="1" name="Codigo" dataDxfId="82"/>
    <tableColumn id="2" name="Descripcion" dataDxfId="81"/>
    <tableColumn id="3" name="Grupo"/>
    <tableColumn id="4" name="Linea"/>
    <tableColumn id="5" name="Ped Prom" dataDxfId="80">
      <calculatedColumnFormula>IFERROR(INDEX(TABLACONSOLIDADA[PEDID Prom],SUMPRODUCT(--((DESTINO&amp;TRANSFERENCIA_ESPECIAL[[#This Row],[Codigo]]=TABLACONSOLIDADA[Bodega]&amp;TABLACONSOLIDADA[Codigo])),ROW(TABLACONSOLIDADA[Codigo]))-1),"")</calculatedColumnFormula>
    </tableColumn>
    <tableColumn id="6" name="CTV" dataDxfId="79">
      <calculatedColumnFormula>IFERROR(INDEX(TABLACONSOLIDADA[CTV],SUMPRODUCT(--((DESTINO&amp;TRANSFERENCIA_ESPECIAL[[#This Row],[Codigo]]=TABLACONSOLIDADA[Bodega]&amp;TABLACONSOLIDADA[Codigo])),ROW(TABLACONSOLIDADA[Codigo]))-1),"")</calculatedColumnFormula>
    </tableColumn>
    <tableColumn id="7" name="PVP" dataDxfId="78">
      <calculatedColumnFormula>IFERROR(INDEX(TABLACONSOLIDADA[PV],SUMPRODUCT(--((DESTINO&amp;TRANSFERENCIA_ESPECIAL[[#This Row],[Codigo]]=TABLACONSOLIDADA[Bodega]&amp;TABLACONSOLIDADA[Codigo])),ROW(TABLACONSOLIDADA[Codigo]))-1),"")</calculatedColumnFormula>
    </tableColumn>
    <tableColumn id="8" name="BUFFER" dataDxfId="77">
      <calculatedColumnFormula>IFERROR(INDEX(TABLACONSOLIDADA[Buff Act],SUMPRODUCT(--((DESTINO&amp;TRANSFERENCIA_ESPECIAL[[#This Row],[Codigo]]=TABLACONSOLIDADA[Bodega]&amp;TABLACONSOLIDADA[Codigo])),ROW(TABLACONSOLIDADA[Codigo]))-1),"")</calculatedColumnFormula>
    </tableColumn>
    <tableColumn id="9" name="CONS BUFF" dataDxfId="76">
      <calculatedColumnFormula>IFERROR(INDEX(TABLACONSOLIDADA[Consumo],SUMPRODUCT(--((DESTINO&amp;TRANSFERENCIA_ESPECIAL[[#This Row],[Codigo]]=TABLACONSOLIDADA[Bodega]&amp;TABLACONSOLIDADA[Codigo])),ROW(TABLACONSOLIDADA[Codigo]))-1),"")</calculatedColumnFormula>
    </tableColumn>
    <tableColumn id="10" name="RENTABILIDAD" dataDxfId="75">
      <calculatedColumnFormula>IFERROR(INDEX(TABLACONSOLIDADA[Rentabilid],SUMPRODUCT(--((DESTINO&amp;TRANSFERENCIA_ESPECIAL[[#This Row],[Codigo]]=TABLACONSOLIDADA[Bodega]&amp;TABLACONSOLIDADA[Codigo])),ROW(TABLACONSOLIDADA[Codigo]))-1),"")</calculatedColumnFormula>
    </tableColumn>
    <tableColumn id="11" name="REQUERIM" dataDxfId="74"/>
    <tableColumn id="13" name="VEL EFECT" dataDxfId="73">
      <calculatedColumnFormula>IFERROR(INDEX(TABLACONSOLIDADA[Vel Efect],SUMPRODUCT(--((DESTINO&amp;TRANSFERENCIA_ESPECIAL[[#This Row],[Codigo]]=TABLACONSOLIDADA[Bodega]&amp;TABLACONSOLIDADA[Codigo])),ROW(TABLACONSOLIDADA[Codigo]))-1),"")</calculatedColumnFormula>
    </tableColumn>
    <tableColumn id="14" name="SERVICIO" dataDxfId="72">
      <calculatedColumnFormula>IFERROR(INDEX(TABLACONSOLIDADA[Servicio],SUMPRODUCT(--((DESTINO&amp;TRANSFERENCIA_ESPECIAL[[#This Row],[Codigo]]=TABLACONSOLIDADA[Bodega]&amp;TABLACONSOLIDADA[Codigo])),ROW(TABLACONSOLIDADA[Codigo]))-1),"")</calculatedColumnFormula>
    </tableColumn>
    <tableColumn id="12" name="REQ TOTAL" dataDxfId="71">
      <calculatedColumnFormula>IFERROR(INDEX(TABLACONSOLIDADA[PEDIDCalc],SUMPRODUCT(--((DESTINO&amp;TRANSFERENCIA_ESPECIAL[[#This Row],[Codigo]]=TABLACONSOLIDADA[Bodega]&amp;TABLACONSOLIDADA[Codigo])),ROW(TABLACONSOLIDADA[Codigo]))-1),"")</calculatedColumnFormula>
    </tableColumn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4" name="TABLACONSOLIDADA" displayName="TABLACONSOLIDADA" ref="A1:CE2" insertRow="1" totalsRowShown="0" headerRowDxfId="70">
  <autoFilter ref="A1:CE2"/>
  <tableColumns count="83">
    <tableColumn id="1" name="Empresa"/>
    <tableColumn id="19" name="Archivo"/>
    <tableColumn id="18" name="Bodega"/>
    <tableColumn id="2" name="Proveedor"/>
    <tableColumn id="37" name="Perfil"/>
    <tableColumn id="3" name="Codigo"/>
    <tableColumn id="38" name="CODIGO GENERICO"/>
    <tableColumn id="39" name="CODIGO VINCULADO"/>
    <tableColumn id="47" name="GDB"/>
    <tableColumn id="48" name="Cam"/>
    <tableColumn id="50" name="Comportamiento"/>
    <tableColumn id="51" name="Consumo1"/>
    <tableColumn id="52" name="Buff Calc"/>
    <tableColumn id="53" name="Cobertura Buffer"/>
    <tableColumn id="54" name="Cobertura Inv Proy"/>
    <tableColumn id="55" name="Cobertura Ped Min"/>
    <tableColumn id="56" name="Días Desabastecimiento"/>
    <tableColumn id="57" name="Buff Min"/>
    <tableColumn id="58" name="Buff Max"/>
    <tableColumn id="59" name="Impacto Faltante"/>
    <tableColumn id="60" name="Zona Amar"/>
    <tableColumn id="61" name="Zona Roja"/>
    <tableColumn id="62" name="Color1"/>
    <tableColumn id="63" name="Ult Buffer"/>
    <tableColumn id="64" name="Buff Ant Estacion"/>
    <tableColumn id="65" name="Buff Estacional"/>
    <tableColumn id="66" name="Estado Buffer Proy"/>
    <tableColumn id="67" name="Calendario Estacional"/>
    <tableColumn id="68" name="Acción Estacional"/>
    <tableColumn id="69" name="Etapa Estacional"/>
    <tableColumn id="70" name="Rentabilidad Proy" dataDxfId="69"/>
    <tableColumn id="72" name="Inicio Per"/>
    <tableColumn id="73" name="Fin Per"/>
    <tableColumn id="74" name="Var"/>
    <tableColumn id="76" name="Rojo Acum"/>
    <tableColumn id="77" name="Negro"/>
    <tableColumn id="78" name="Rojo"/>
    <tableColumn id="79" name="Amarillo"/>
    <tableColumn id="80" name="Verde"/>
    <tableColumn id="81" name="Lila"/>
    <tableColumn id="4" name="Ingresos"/>
    <tableColumn id="5" name="Egresos"/>
    <tableColumn id="6" name="Posponer BUF"/>
    <tableColumn id="49" name="Posponer RED"/>
    <tableColumn id="71" name="Posponer GDB"/>
    <tableColumn id="75" name="Estatus"/>
    <tableColumn id="82" name="Ult Transfer Inicial"/>
    <tableColumn id="83" name="Ult Transfer Final"/>
    <tableColumn id="21" name="Nuevo Buff Sug"/>
    <tableColumn id="22" name="Nuevo Buff Real"/>
    <tableColumn id="23" name="Observaciones"/>
    <tableColumn id="24" name="Tipo"/>
    <tableColumn id="28" name="CTV" dataDxfId="68"/>
    <tableColumn id="29" name="PV" dataDxfId="67"/>
    <tableColumn id="40" name="PEDID Min" dataDxfId="66"/>
    <tableColumn id="41" name="PEDID Min Grupo" dataDxfId="65"/>
    <tableColumn id="42" name="Unidad Empaque" dataDxfId="64"/>
    <tableColumn id="43" name="Porc Aten" dataDxfId="63"/>
    <tableColumn id="25" name="Inv Proveed"/>
    <tableColumn id="7" name="Buff Act"/>
    <tableColumn id="8" name="Inv Fís Act" dataDxfId="62"/>
    <tableColumn id="30" name="Color"/>
    <tableColumn id="9" name="Estado Buffer" dataDxfId="61"/>
    <tableColumn id="10" name="Tráns Act"/>
    <tableColumn id="44" name="Negociación"/>
    <tableColumn id="45" name="Producción"/>
    <tableColumn id="46" name="Embarcado"/>
    <tableColumn id="11" name="Comprom"/>
    <tableColumn id="12" name="Backorders"/>
    <tableColumn id="13" name="Inv Proy Act"/>
    <tableColumn id="14" name="PEDIDCalc"/>
    <tableColumn id="15" name="PEDID Real"/>
    <tableColumn id="31" name="PEDID Prom"/>
    <tableColumn id="32" name="T$D" dataDxfId="60"/>
    <tableColumn id="33" name="I$D" dataDxfId="59"/>
    <tableColumn id="16" name="Rentabilid" dataDxfId="58"/>
    <tableColumn id="34" name="Vel Efect"/>
    <tableColumn id="35" name="Servicio" dataDxfId="57"/>
    <tableColumn id="36" name="Ult Cambio" dataDxfId="56"/>
    <tableColumn id="17" name="TipoCompra" dataDxfId="55">
      <calculatedColumnFormula>TABLACONSOLIDADA[[#This Row],[Proveedor]]</calculatedColumnFormula>
    </tableColumn>
    <tableColumn id="20" name="Consumo" dataDxfId="54">
      <calculatedColumnFormula>IFERROR((TABLACONSOLIDADA[[#This Row],[Buff Act]]-TABLACONSOLIDADA[[#This Row],[Inv Fís Act]])/TABLACONSOLIDADA[[#This Row],[Buff Act]],"")</calculatedColumnFormula>
    </tableColumn>
    <tableColumn id="26" name="Ped Prom" dataDxfId="53">
      <calculatedColumnFormula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calculatedColumnFormula>
    </tableColumn>
    <tableColumn id="27" name="FIN" dataDxfId="52"/>
  </tableColumns>
  <tableStyleInfo name="TableStyleMedium16" showFirstColumn="0" showLastColumn="0" showRowStripes="1" showColumnStripes="0"/>
</table>
</file>

<file path=xl/tables/table23.xml><?xml version="1.0" encoding="utf-8"?>
<table xmlns="http://schemas.openxmlformats.org/spreadsheetml/2006/main" id="7" name="Tabla_DECISION_COMPRA" displayName="Tabla_DECISION_COMPRA" ref="A5:J17" totalsRowShown="0">
  <autoFilter ref="A5:J17">
    <filterColumn colId="9">
      <customFilters>
        <customFilter operator="greaterThan" val="0"/>
      </customFilters>
    </filterColumn>
  </autoFilter>
  <tableColumns count="10">
    <tableColumn id="1" name="Codigo"/>
    <tableColumn id="2" name="Descripcion"/>
    <tableColumn id="3" name="Grupo"/>
    <tableColumn id="4" name="Linea"/>
    <tableColumn id="5" name="BUFFER" dataDxfId="51"/>
    <tableColumn id="10" name="INV FIS" dataDxfId="50"/>
    <tableColumn id="6" name="REQ TOTAL" dataDxfId="49"/>
    <tableColumn id="7" name="BUFFER SUCUR" dataDxfId="48">
      <calculatedColumnFormula array="1">SUM((--(Tabla_DECISION_COMPRA[[#This Row],[Codigo]]=TABLACONSOLIDADA[Codigo]))*(--(TABLACONSOLIDADA[Proveedor]=BODEGABASE))*TABLACONSOLIDADA[Buff Act])</calculatedColumnFormula>
    </tableColumn>
    <tableColumn id="8" name="INV FIS SUCUR" dataDxfId="47">
      <calculatedColumnFormula array="1">SUM((--(Tabla_DECISION_COMPRA[[#This Row],[Codigo]]=TABLACONSOLIDADA[Codigo]))*(--(TABLACONSOLIDADA[Proveedor]=BODEGABASE))*TABLACONSOLIDADA[Inv Fís Act])</calculatedColumnFormula>
    </tableColumn>
    <tableColumn id="9" name="SOBREINVENTARIO" dataDxfId="46">
      <calculatedColumnFormula>IF(Tabla_DECISION_COMPRA[[#This Row],[INV FIS SUCUR]]&gt;Tabla_DECISION_COMPRA[[#This Row],[BUFFER SUCUR]],Tabla_DECISION_COMPRA[[#This Row],[INV FIS SUCUR]]-Tabla_DECISION_COMPRA[[#This Row],[BUFFER SUCUR]],0)</calculatedColumnFormula>
    </tableColumn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id="5" name="TIPOCOMPRAAGROTA" displayName="TIPOCOMPRAAGROTA" ref="A1:C2293" tableType="queryTable" totalsRowShown="0">
  <autoFilter ref="A1:C2293"/>
  <tableColumns count="3">
    <tableColumn id="1" uniqueName="1" name="CODIGO " queryTableFieldId="1"/>
    <tableColumn id="2" uniqueName="2" name="COMPRA" queryTableFieldId="2"/>
    <tableColumn id="3" uniqueName="3" name="PED PROM" queryTableFieldId="3"/>
  </tableColumns>
  <tableStyleInfo name="TableStyleMedium9" showFirstColumn="0" showLastColumn="0" showRowStripes="1" showColumnStripes="0"/>
</table>
</file>

<file path=xl/tables/table25.xml><?xml version="1.0" encoding="utf-8"?>
<table xmlns="http://schemas.openxmlformats.org/spreadsheetml/2006/main" id="9" name="TIPOCOMPRAAGROINSUMOS" displayName="TIPOCOMPRAAGROINSUMOS" ref="E1:G445" tableType="queryTable" totalsRowShown="0">
  <autoFilter ref="E1:G445"/>
  <tableColumns count="3">
    <tableColumn id="1" uniqueName="1" name="CODIGO " queryTableFieldId="1"/>
    <tableColumn id="2" uniqueName="2" name="COMPRA" queryTableFieldId="2"/>
    <tableColumn id="4" uniqueName="4" name="PED PROM" queryTableFieldId="4"/>
  </tableColumns>
  <tableStyleInfo name="TableStyleMedium9" showFirstColumn="0" showLastColumn="0" showRowStripes="1" showColumnStripes="0"/>
</table>
</file>

<file path=xl/tables/table26.xml><?xml version="1.0" encoding="utf-8"?>
<table xmlns="http://schemas.openxmlformats.org/spreadsheetml/2006/main" id="6" name="TIPOCOMPRASUKAMPO" displayName="TIPOCOMPRASUKAMPO" ref="I1:K2293" tableType="queryTable" totalsRowShown="0">
  <autoFilter ref="I1:K2293"/>
  <tableColumns count="3">
    <tableColumn id="1" uniqueName="1" name="CODIGO " queryTableFieldId="1"/>
    <tableColumn id="2" uniqueName="2" name="COMPRA" queryTableFieldId="2"/>
    <tableColumn id="3" uniqueName="3" name="PEDIDOS PROMEDIO" queryTableFieldId="3"/>
  </tableColumns>
  <tableStyleInfo name="TableStyleMedium9" showFirstColumn="0" showLastColumn="0" showRowStripes="1" showColumnStripes="0"/>
</table>
</file>

<file path=xl/tables/table27.xml><?xml version="1.0" encoding="utf-8"?>
<table xmlns="http://schemas.openxmlformats.org/spreadsheetml/2006/main" id="8" name="Tabla_RELACION_BUFFERS" displayName="Tabla_RELACION_BUFFERS" ref="A5:J6" insertRow="1" totalsRowShown="0">
  <autoFilter ref="A5:J6"/>
  <tableColumns count="10">
    <tableColumn id="1" name="Codigo"/>
    <tableColumn id="2" name="Descripcion"/>
    <tableColumn id="3" name="Grupo"/>
    <tableColumn id="4" name="Linea"/>
    <tableColumn id="5" name="BUFFER" dataDxfId="45"/>
    <tableColumn id="10" name="INV FIS" dataDxfId="44"/>
    <tableColumn id="7" name="BUFFER SUCUR" dataDxfId="43">
      <calculatedColumnFormula array="1">SUM((--(Tabla_RELACION_BUFFERS[[#This Row],[Codigo]]=TABLACONSOLIDADA[Codigo]))*(--(TABLACONSOLIDADA[Proveedor]=BODEGABASE1))*TABLACONSOLIDADA[Buff Act])</calculatedColumnFormula>
    </tableColumn>
    <tableColumn id="8" name="INV FIS SUCUR" dataDxfId="42">
      <calculatedColumnFormula array="1">SUM((--(Tabla_RELACION_BUFFERS[[#This Row],[Codigo]]=TABLACONSOLIDADA[Codigo]))*(--(TABLACONSOLIDADA[Proveedor]=BODEGABASE1))*TABLACONSOLIDADA[Inv Fís Act])</calculatedColumnFormula>
    </tableColumn>
    <tableColumn id="9" name="RELACIÓN BUFFER" dataDxfId="41">
      <calculatedColumnFormula>IFERROR(Tabla_RELACION_BUFFERS[[#This Row],[BUFFER]]/Tabla_RELACION_BUFFERS[[#This Row],[BUFFER SUCUR]],0)</calculatedColumnFormula>
    </tableColumn>
    <tableColumn id="6" name="RELACIÓN INV FIS" dataDxfId="40">
      <calculatedColumnFormula>IFERROR(Tabla_RELACION_BUFFERS[[#This Row],[INV FIS]]/Tabla_RELACION_BUFFERS[[#This Row],[INV FIS SUCUR]],0)</calculatedColumnFormula>
    </tableColumn>
  </tableColumns>
  <tableStyleInfo name="TableStyleLight1" showFirstColumn="0" showLastColumn="0" showRowStripes="1" showColumnStripes="0"/>
</table>
</file>

<file path=xl/tables/table28.xml><?xml version="1.0" encoding="utf-8"?>
<table xmlns="http://schemas.openxmlformats.org/spreadsheetml/2006/main" id="10" name="Tabla_Proveedores" displayName="Tabla_Proveedores" ref="A1:D2" insertRow="1" totalsRowShown="0">
  <autoFilter ref="A1:D2"/>
  <tableColumns count="4">
    <tableColumn id="1" name="Empresa"/>
    <tableColumn id="2" name="Bodega"/>
    <tableColumn id="3" name="Proveedor"/>
    <tableColumn id="4" name="Prioridad"/>
  </tableColumns>
  <tableStyleInfo name="TableStyleLight1" showFirstColumn="0" showLastColumn="0" showRowStripes="1" showColumnStripes="0"/>
</table>
</file>

<file path=xl/tables/table29.xml><?xml version="1.0" encoding="utf-8"?>
<table xmlns="http://schemas.openxmlformats.org/spreadsheetml/2006/main" id="2" name="Tabla_ListaEmpresas" displayName="Tabla_ListaEmpresas" ref="A1:A2" insertRow="1" totalsRowShown="0">
  <autoFilter ref="A1:A2"/>
  <tableColumns count="1">
    <tableColumn id="1" name="EMPRESA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2.xml"/><Relationship Id="rId21" Type="http://schemas.openxmlformats.org/officeDocument/2006/relationships/ctrlProp" Target="../ctrlProps/ctrlProp7.xml"/><Relationship Id="rId42" Type="http://schemas.openxmlformats.org/officeDocument/2006/relationships/ctrlProp" Target="../ctrlProps/ctrlProp28.xml"/><Relationship Id="rId47" Type="http://schemas.openxmlformats.org/officeDocument/2006/relationships/ctrlProp" Target="../ctrlProps/ctrlProp33.xml"/><Relationship Id="rId63" Type="http://schemas.openxmlformats.org/officeDocument/2006/relationships/ctrlProp" Target="../ctrlProps/ctrlProp49.xml"/><Relationship Id="rId68" Type="http://schemas.openxmlformats.org/officeDocument/2006/relationships/ctrlProp" Target="../ctrlProps/ctrlProp54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57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2.xml"/><Relationship Id="rId29" Type="http://schemas.openxmlformats.org/officeDocument/2006/relationships/ctrlProp" Target="../ctrlProps/ctrlProp15.xml"/><Relationship Id="rId11" Type="http://schemas.openxmlformats.org/officeDocument/2006/relationships/image" Target="../media/image4.emf"/><Relationship Id="rId24" Type="http://schemas.openxmlformats.org/officeDocument/2006/relationships/ctrlProp" Target="../ctrlProps/ctrlProp10.xml"/><Relationship Id="rId32" Type="http://schemas.openxmlformats.org/officeDocument/2006/relationships/ctrlProp" Target="../ctrlProps/ctrlProp18.xml"/><Relationship Id="rId37" Type="http://schemas.openxmlformats.org/officeDocument/2006/relationships/ctrlProp" Target="../ctrlProps/ctrlProp23.xml"/><Relationship Id="rId40" Type="http://schemas.openxmlformats.org/officeDocument/2006/relationships/ctrlProp" Target="../ctrlProps/ctrlProp26.xml"/><Relationship Id="rId45" Type="http://schemas.openxmlformats.org/officeDocument/2006/relationships/ctrlProp" Target="../ctrlProps/ctrlProp31.xml"/><Relationship Id="rId53" Type="http://schemas.openxmlformats.org/officeDocument/2006/relationships/ctrlProp" Target="../ctrlProps/ctrlProp39.xml"/><Relationship Id="rId58" Type="http://schemas.openxmlformats.org/officeDocument/2006/relationships/ctrlProp" Target="../ctrlProps/ctrlProp44.xml"/><Relationship Id="rId66" Type="http://schemas.openxmlformats.org/officeDocument/2006/relationships/ctrlProp" Target="../ctrlProps/ctrlProp52.xml"/><Relationship Id="rId5" Type="http://schemas.openxmlformats.org/officeDocument/2006/relationships/image" Target="../media/image1.emf"/><Relationship Id="rId61" Type="http://schemas.openxmlformats.org/officeDocument/2006/relationships/ctrlProp" Target="../ctrlProps/ctrlProp47.xml"/><Relationship Id="rId19" Type="http://schemas.openxmlformats.org/officeDocument/2006/relationships/ctrlProp" Target="../ctrlProps/ctrlProp5.xml"/><Relationship Id="rId14" Type="http://schemas.openxmlformats.org/officeDocument/2006/relationships/image" Target="../media/image5.emf"/><Relationship Id="rId22" Type="http://schemas.openxmlformats.org/officeDocument/2006/relationships/ctrlProp" Target="../ctrlProps/ctrlProp8.xml"/><Relationship Id="rId27" Type="http://schemas.openxmlformats.org/officeDocument/2006/relationships/ctrlProp" Target="../ctrlProps/ctrlProp13.xml"/><Relationship Id="rId30" Type="http://schemas.openxmlformats.org/officeDocument/2006/relationships/ctrlProp" Target="../ctrlProps/ctrlProp16.xml"/><Relationship Id="rId35" Type="http://schemas.openxmlformats.org/officeDocument/2006/relationships/ctrlProp" Target="../ctrlProps/ctrlProp21.xml"/><Relationship Id="rId43" Type="http://schemas.openxmlformats.org/officeDocument/2006/relationships/ctrlProp" Target="../ctrlProps/ctrlProp29.xml"/><Relationship Id="rId48" Type="http://schemas.openxmlformats.org/officeDocument/2006/relationships/ctrlProp" Target="../ctrlProps/ctrlProp34.xml"/><Relationship Id="rId56" Type="http://schemas.openxmlformats.org/officeDocument/2006/relationships/ctrlProp" Target="../ctrlProps/ctrlProp42.xml"/><Relationship Id="rId64" Type="http://schemas.openxmlformats.org/officeDocument/2006/relationships/ctrlProp" Target="../ctrlProps/ctrlProp50.xml"/><Relationship Id="rId69" Type="http://schemas.openxmlformats.org/officeDocument/2006/relationships/ctrlProp" Target="../ctrlProps/ctrlProp55.xml"/><Relationship Id="rId8" Type="http://schemas.openxmlformats.org/officeDocument/2006/relationships/control" Target="../activeX/activeX3.xml"/><Relationship Id="rId51" Type="http://schemas.openxmlformats.org/officeDocument/2006/relationships/ctrlProp" Target="../ctrlProps/ctrlProp37.xml"/><Relationship Id="rId72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3.xml"/><Relationship Id="rId25" Type="http://schemas.openxmlformats.org/officeDocument/2006/relationships/ctrlProp" Target="../ctrlProps/ctrlProp11.xml"/><Relationship Id="rId33" Type="http://schemas.openxmlformats.org/officeDocument/2006/relationships/ctrlProp" Target="../ctrlProps/ctrlProp19.xml"/><Relationship Id="rId38" Type="http://schemas.openxmlformats.org/officeDocument/2006/relationships/ctrlProp" Target="../ctrlProps/ctrlProp24.xml"/><Relationship Id="rId46" Type="http://schemas.openxmlformats.org/officeDocument/2006/relationships/ctrlProp" Target="../ctrlProps/ctrlProp32.xml"/><Relationship Id="rId59" Type="http://schemas.openxmlformats.org/officeDocument/2006/relationships/ctrlProp" Target="../ctrlProps/ctrlProp45.xml"/><Relationship Id="rId67" Type="http://schemas.openxmlformats.org/officeDocument/2006/relationships/ctrlProp" Target="../ctrlProps/ctrlProp53.xml"/><Relationship Id="rId20" Type="http://schemas.openxmlformats.org/officeDocument/2006/relationships/ctrlProp" Target="../ctrlProps/ctrlProp6.xml"/><Relationship Id="rId41" Type="http://schemas.openxmlformats.org/officeDocument/2006/relationships/ctrlProp" Target="../ctrlProps/ctrlProp27.xml"/><Relationship Id="rId54" Type="http://schemas.openxmlformats.org/officeDocument/2006/relationships/ctrlProp" Target="../ctrlProps/ctrlProp40.xml"/><Relationship Id="rId62" Type="http://schemas.openxmlformats.org/officeDocument/2006/relationships/ctrlProp" Target="../ctrlProps/ctrlProp48.xml"/><Relationship Id="rId70" Type="http://schemas.openxmlformats.org/officeDocument/2006/relationships/ctrlProp" Target="../ctrlProps/ctrlProp56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trlProp" Target="../ctrlProps/ctrlProp1.xml"/><Relationship Id="rId23" Type="http://schemas.openxmlformats.org/officeDocument/2006/relationships/ctrlProp" Target="../ctrlProps/ctrlProp9.xml"/><Relationship Id="rId28" Type="http://schemas.openxmlformats.org/officeDocument/2006/relationships/ctrlProp" Target="../ctrlProps/ctrlProp14.xml"/><Relationship Id="rId36" Type="http://schemas.openxmlformats.org/officeDocument/2006/relationships/ctrlProp" Target="../ctrlProps/ctrlProp22.xml"/><Relationship Id="rId49" Type="http://schemas.openxmlformats.org/officeDocument/2006/relationships/ctrlProp" Target="../ctrlProps/ctrlProp35.xml"/><Relationship Id="rId57" Type="http://schemas.openxmlformats.org/officeDocument/2006/relationships/ctrlProp" Target="../ctrlProps/ctrlProp43.xml"/><Relationship Id="rId10" Type="http://schemas.openxmlformats.org/officeDocument/2006/relationships/control" Target="../activeX/activeX4.xml"/><Relationship Id="rId31" Type="http://schemas.openxmlformats.org/officeDocument/2006/relationships/ctrlProp" Target="../ctrlProps/ctrlProp17.xml"/><Relationship Id="rId44" Type="http://schemas.openxmlformats.org/officeDocument/2006/relationships/ctrlProp" Target="../ctrlProps/ctrlProp30.xml"/><Relationship Id="rId52" Type="http://schemas.openxmlformats.org/officeDocument/2006/relationships/ctrlProp" Target="../ctrlProps/ctrlProp38.xml"/><Relationship Id="rId60" Type="http://schemas.openxmlformats.org/officeDocument/2006/relationships/ctrlProp" Target="../ctrlProps/ctrlProp46.xml"/><Relationship Id="rId65" Type="http://schemas.openxmlformats.org/officeDocument/2006/relationships/ctrlProp" Target="../ctrlProps/ctrlProp5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ctrlProp" Target="../ctrlProps/ctrlProp4.xml"/><Relationship Id="rId39" Type="http://schemas.openxmlformats.org/officeDocument/2006/relationships/ctrlProp" Target="../ctrlProps/ctrlProp25.xml"/><Relationship Id="rId34" Type="http://schemas.openxmlformats.org/officeDocument/2006/relationships/ctrlProp" Target="../ctrlProps/ctrlProp20.xml"/><Relationship Id="rId50" Type="http://schemas.openxmlformats.org/officeDocument/2006/relationships/ctrlProp" Target="../ctrlProps/ctrlProp36.xml"/><Relationship Id="rId55" Type="http://schemas.openxmlformats.org/officeDocument/2006/relationships/ctrlProp" Target="../ctrlProps/ctrlProp4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13" Type="http://schemas.openxmlformats.org/officeDocument/2006/relationships/table" Target="../tables/table14.xml"/><Relationship Id="rId18" Type="http://schemas.openxmlformats.org/officeDocument/2006/relationships/table" Target="../tables/table1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12" Type="http://schemas.openxmlformats.org/officeDocument/2006/relationships/table" Target="../tables/table13.xml"/><Relationship Id="rId17" Type="http://schemas.openxmlformats.org/officeDocument/2006/relationships/table" Target="../tables/table18.xml"/><Relationship Id="rId2" Type="http://schemas.openxmlformats.org/officeDocument/2006/relationships/table" Target="../tables/table3.xml"/><Relationship Id="rId16" Type="http://schemas.openxmlformats.org/officeDocument/2006/relationships/table" Target="../tables/table17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5" Type="http://schemas.openxmlformats.org/officeDocument/2006/relationships/table" Target="../tables/table16.xml"/><Relationship Id="rId10" Type="http://schemas.openxmlformats.org/officeDocument/2006/relationships/table" Target="../tables/table11.xml"/><Relationship Id="rId19" Type="http://schemas.openxmlformats.org/officeDocument/2006/relationships/table" Target="../tables/table20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Relationship Id="rId14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7" Type="http://schemas.openxmlformats.org/officeDocument/2006/relationships/image" Target="../media/image6.emf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7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9.xml"/><Relationship Id="rId5" Type="http://schemas.openxmlformats.org/officeDocument/2006/relationships/image" Target="../media/image7.emf"/><Relationship Id="rId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omments" Target="../comments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3.xml"/><Relationship Id="rId5" Type="http://schemas.openxmlformats.org/officeDocument/2006/relationships/image" Target="../media/image9.emf"/><Relationship Id="rId4" Type="http://schemas.openxmlformats.org/officeDocument/2006/relationships/control" Target="../activeX/activeX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6.xml"/><Relationship Id="rId2" Type="http://schemas.openxmlformats.org/officeDocument/2006/relationships/table" Target="../tables/table25.xml"/><Relationship Id="rId1" Type="http://schemas.openxmlformats.org/officeDocument/2006/relationships/table" Target="../tables/table2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omments" Target="../comments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7.xml"/><Relationship Id="rId5" Type="http://schemas.openxmlformats.org/officeDocument/2006/relationships/image" Target="../media/image10.emf"/><Relationship Id="rId4" Type="http://schemas.openxmlformats.org/officeDocument/2006/relationships/control" Target="../activeX/activeX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7" Type="http://schemas.openxmlformats.org/officeDocument/2006/relationships/image" Target="../media/image11.emf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control" Target="../activeX/activeX12.xml"/><Relationship Id="rId5" Type="http://schemas.openxmlformats.org/officeDocument/2006/relationships/vmlDrawing" Target="../drawings/vmlDrawing6.vml"/><Relationship Id="rId4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FFFF00"/>
  </sheetPr>
  <dimension ref="A1:R26"/>
  <sheetViews>
    <sheetView showGridLines="0" showRowColHeaders="0" tabSelected="1" workbookViewId="0">
      <pane ySplit="25" topLeftCell="A26" activePane="bottomLeft" state="frozen"/>
      <selection pane="bottomLeft" activeCell="L4" sqref="L4"/>
    </sheetView>
  </sheetViews>
  <sheetFormatPr baseColWidth="10" defaultColWidth="11.42578125" defaultRowHeight="15" x14ac:dyDescent="0.25"/>
  <cols>
    <col min="1" max="1" width="14.42578125" style="44" customWidth="1"/>
    <col min="2" max="2" width="34.7109375" style="44" customWidth="1"/>
    <col min="3" max="8" width="11.42578125" style="44"/>
    <col min="9" max="9" width="14" style="44" hidden="1" customWidth="1"/>
    <col min="10" max="10" width="4.85546875" style="44" customWidth="1"/>
    <col min="11" max="18" width="11.42578125" style="44"/>
    <col min="19" max="16384" width="11.42578125" style="7"/>
  </cols>
  <sheetData>
    <row r="1" spans="1:10" ht="15.75" thickTop="1" x14ac:dyDescent="0.25">
      <c r="A1" s="45"/>
      <c r="B1" s="46"/>
      <c r="C1" s="46"/>
      <c r="D1" s="47"/>
      <c r="E1" s="48"/>
      <c r="F1" s="48"/>
      <c r="G1" s="48"/>
      <c r="H1" s="48"/>
      <c r="I1" s="48" t="s">
        <v>1138</v>
      </c>
      <c r="J1" s="49"/>
    </row>
    <row r="2" spans="1:10" ht="21" x14ac:dyDescent="0.35">
      <c r="A2" s="50"/>
      <c r="B2" s="51"/>
      <c r="C2" s="51"/>
      <c r="D2" s="51"/>
      <c r="E2" s="51"/>
      <c r="F2" s="51"/>
      <c r="G2" s="51"/>
      <c r="H2" s="51"/>
      <c r="I2" s="51" t="s">
        <v>2909</v>
      </c>
      <c r="J2" s="52"/>
    </row>
    <row r="3" spans="1:10" x14ac:dyDescent="0.25">
      <c r="A3" s="53"/>
      <c r="B3" s="54"/>
      <c r="C3" s="51"/>
      <c r="D3" s="55">
        <f t="array" ref="D3">SUM(IFERROR(--(BODEGATRANSFER&amp;PROVEEDORTRANSFER=TABLACONSOLIDADA[Bodega]&amp;TABLACONSOLIDADA[TipoCompra]),0))</f>
        <v>1</v>
      </c>
      <c r="E3" s="51"/>
      <c r="F3" s="51"/>
      <c r="G3" s="51"/>
      <c r="H3" s="51"/>
      <c r="I3" s="51"/>
      <c r="J3" s="52"/>
    </row>
    <row r="4" spans="1:10" x14ac:dyDescent="0.25">
      <c r="A4" s="53"/>
      <c r="B4" s="54"/>
      <c r="C4" s="51"/>
      <c r="D4" s="51"/>
      <c r="E4" s="51"/>
      <c r="F4" s="51"/>
      <c r="G4" s="51"/>
      <c r="H4" s="51"/>
      <c r="I4" s="51"/>
      <c r="J4" s="52"/>
    </row>
    <row r="5" spans="1:10" x14ac:dyDescent="0.25">
      <c r="A5" s="56"/>
      <c r="B5" s="51"/>
      <c r="C5" s="51"/>
      <c r="D5" s="51"/>
      <c r="E5" s="51"/>
      <c r="F5" s="51"/>
      <c r="G5" s="51"/>
      <c r="H5" s="51"/>
      <c r="I5" s="51"/>
      <c r="J5" s="52"/>
    </row>
    <row r="6" spans="1:10" x14ac:dyDescent="0.25">
      <c r="A6" s="56"/>
      <c r="B6" s="51"/>
      <c r="C6" s="51"/>
      <c r="D6" s="51"/>
      <c r="E6" s="51"/>
      <c r="F6" s="51"/>
      <c r="G6" s="51"/>
      <c r="H6" s="51"/>
      <c r="I6" s="51"/>
      <c r="J6" s="52"/>
    </row>
    <row r="7" spans="1:10" x14ac:dyDescent="0.25">
      <c r="A7" s="56"/>
      <c r="B7" s="51"/>
      <c r="C7" s="51"/>
      <c r="D7" s="51"/>
      <c r="E7" s="51"/>
      <c r="F7" s="51"/>
      <c r="G7" s="51"/>
      <c r="H7" s="51"/>
      <c r="I7" s="51"/>
      <c r="J7" s="52"/>
    </row>
    <row r="8" spans="1:10" x14ac:dyDescent="0.25">
      <c r="A8" s="56"/>
      <c r="B8" s="51"/>
      <c r="C8" s="51"/>
      <c r="D8" s="51"/>
      <c r="E8" s="51"/>
      <c r="F8" s="51"/>
      <c r="G8" s="51"/>
      <c r="H8" s="51"/>
      <c r="I8" s="51"/>
      <c r="J8" s="52"/>
    </row>
    <row r="9" spans="1:10" x14ac:dyDescent="0.25">
      <c r="A9" s="53"/>
      <c r="B9" s="54"/>
      <c r="C9" s="51"/>
      <c r="D9" s="51"/>
      <c r="E9" s="51"/>
      <c r="F9" s="51"/>
      <c r="G9" s="51"/>
      <c r="H9" s="51"/>
      <c r="I9" s="51"/>
      <c r="J9" s="52"/>
    </row>
    <row r="10" spans="1:10" x14ac:dyDescent="0.25">
      <c r="A10" s="56"/>
      <c r="B10" s="51"/>
      <c r="C10" s="51"/>
      <c r="D10" s="51"/>
      <c r="E10" s="51"/>
      <c r="F10" s="51"/>
      <c r="G10" s="51"/>
      <c r="H10" s="51"/>
      <c r="I10" s="57"/>
      <c r="J10" s="52"/>
    </row>
    <row r="11" spans="1:10" x14ac:dyDescent="0.25">
      <c r="A11" s="56"/>
      <c r="B11" s="51"/>
      <c r="C11" s="51"/>
      <c r="D11" s="51"/>
      <c r="E11" s="51"/>
      <c r="F11" s="51"/>
      <c r="G11" s="51"/>
      <c r="H11" s="51"/>
      <c r="I11" s="51"/>
      <c r="J11" s="52"/>
    </row>
    <row r="12" spans="1:10" x14ac:dyDescent="0.25">
      <c r="A12" s="56"/>
      <c r="B12" s="51"/>
      <c r="C12" s="51"/>
      <c r="D12" s="51"/>
      <c r="E12" s="51"/>
      <c r="F12" s="51"/>
      <c r="G12" s="51"/>
      <c r="H12" s="51"/>
      <c r="I12" s="51"/>
      <c r="J12" s="52"/>
    </row>
    <row r="13" spans="1:10" x14ac:dyDescent="0.25">
      <c r="A13" s="56"/>
      <c r="B13" s="51"/>
      <c r="C13" s="51"/>
      <c r="D13" s="51"/>
      <c r="E13" s="51"/>
      <c r="F13" s="51"/>
      <c r="G13" s="51"/>
      <c r="H13" s="51"/>
      <c r="I13" s="51"/>
      <c r="J13" s="52"/>
    </row>
    <row r="14" spans="1:10" x14ac:dyDescent="0.25">
      <c r="A14" s="56"/>
      <c r="B14" s="51"/>
      <c r="C14" s="51"/>
      <c r="D14" s="51"/>
      <c r="E14" s="51"/>
      <c r="F14" s="51"/>
      <c r="G14" s="51"/>
      <c r="H14" s="51"/>
      <c r="I14" s="51"/>
      <c r="J14" s="52"/>
    </row>
    <row r="15" spans="1:10" x14ac:dyDescent="0.25">
      <c r="A15" s="56"/>
      <c r="B15" s="51"/>
      <c r="C15" s="51"/>
      <c r="D15" s="51"/>
      <c r="E15" s="51"/>
      <c r="F15" s="51"/>
      <c r="G15" s="51"/>
      <c r="H15" s="51"/>
      <c r="I15" s="51"/>
      <c r="J15" s="52"/>
    </row>
    <row r="16" spans="1:10" x14ac:dyDescent="0.25">
      <c r="A16" s="56"/>
      <c r="B16" s="51"/>
      <c r="C16" s="51"/>
      <c r="D16" s="51"/>
      <c r="E16" s="51"/>
      <c r="F16" s="51"/>
      <c r="G16" s="51"/>
      <c r="H16" s="51"/>
      <c r="I16" s="51"/>
      <c r="J16" s="52"/>
    </row>
    <row r="17" spans="1:10" x14ac:dyDescent="0.25">
      <c r="A17" s="56"/>
      <c r="B17" s="51"/>
      <c r="C17" s="51"/>
      <c r="D17" s="51"/>
      <c r="E17" s="51"/>
      <c r="F17" s="51"/>
      <c r="G17" s="51"/>
      <c r="H17" s="51"/>
      <c r="I17" s="51"/>
      <c r="J17" s="52"/>
    </row>
    <row r="18" spans="1:10" x14ac:dyDescent="0.25">
      <c r="A18" s="56"/>
      <c r="B18" s="51"/>
      <c r="C18" s="51"/>
      <c r="D18" s="51"/>
      <c r="E18" s="51"/>
      <c r="F18" s="51"/>
      <c r="G18" s="51"/>
      <c r="H18" s="51"/>
      <c r="I18" s="51"/>
      <c r="J18" s="52"/>
    </row>
    <row r="19" spans="1:10" x14ac:dyDescent="0.25">
      <c r="A19" s="56"/>
      <c r="B19" s="51"/>
      <c r="C19" s="51"/>
      <c r="D19" s="51"/>
      <c r="E19" s="51"/>
      <c r="F19" s="51"/>
      <c r="G19" s="51"/>
      <c r="H19" s="51"/>
      <c r="I19" s="51"/>
      <c r="J19" s="52"/>
    </row>
    <row r="20" spans="1:10" x14ac:dyDescent="0.25">
      <c r="A20" s="56"/>
      <c r="B20" s="51"/>
      <c r="C20" s="51"/>
      <c r="D20" s="51"/>
      <c r="E20" s="51"/>
      <c r="F20" s="51"/>
      <c r="G20" s="51"/>
      <c r="H20" s="51"/>
      <c r="I20" s="51"/>
      <c r="J20" s="52"/>
    </row>
    <row r="21" spans="1:10" x14ac:dyDescent="0.25">
      <c r="A21" s="56"/>
      <c r="B21" s="51"/>
      <c r="C21" s="51"/>
      <c r="D21" s="51"/>
      <c r="E21" s="51"/>
      <c r="F21" s="51"/>
      <c r="G21" s="51"/>
      <c r="H21" s="51"/>
      <c r="I21" s="51"/>
      <c r="J21" s="52"/>
    </row>
    <row r="22" spans="1:10" x14ac:dyDescent="0.25">
      <c r="A22" s="56"/>
      <c r="B22" s="51"/>
      <c r="C22" s="51"/>
      <c r="D22" s="51"/>
      <c r="E22" s="51"/>
      <c r="F22" s="51"/>
      <c r="G22" s="51"/>
      <c r="H22" s="51"/>
      <c r="I22" s="51"/>
      <c r="J22" s="52"/>
    </row>
    <row r="23" spans="1:10" x14ac:dyDescent="0.25">
      <c r="A23" s="56"/>
      <c r="B23" s="51"/>
      <c r="C23" s="51"/>
      <c r="D23" s="51"/>
      <c r="E23" s="51"/>
      <c r="F23" s="51"/>
      <c r="G23" s="51"/>
      <c r="H23" s="51"/>
      <c r="I23" s="51"/>
      <c r="J23" s="52"/>
    </row>
    <row r="24" spans="1:10" x14ac:dyDescent="0.25">
      <c r="A24" s="56"/>
      <c r="B24" s="51"/>
      <c r="C24" s="51"/>
      <c r="D24" s="51"/>
      <c r="E24" s="51"/>
      <c r="F24" s="51"/>
      <c r="G24" s="51"/>
      <c r="H24" s="51"/>
      <c r="I24" s="51"/>
      <c r="J24" s="52"/>
    </row>
    <row r="25" spans="1:10" ht="15.75" thickBot="1" x14ac:dyDescent="0.3">
      <c r="A25" s="58"/>
      <c r="B25" s="59"/>
      <c r="C25" s="59"/>
      <c r="D25" s="59"/>
      <c r="E25" s="59"/>
      <c r="F25" s="59"/>
      <c r="G25" s="59"/>
      <c r="H25" s="59"/>
      <c r="I25" s="59"/>
      <c r="J25" s="60"/>
    </row>
    <row r="26" spans="1:10" ht="15.75" thickTop="1" x14ac:dyDescent="0.25"/>
  </sheetData>
  <sheetProtection algorithmName="SHA-512" hashValue="NGcF665lEKYV4bb0Sed9OHFJ+vkBWzUQUInmRONT5T+f4Jkki5IErWccbpijYe0iu2x/7AEkzMGuDWuz0V+0mw==" saltValue="kjvknCfzNywJXtod/D9tWw==" spinCount="100000" sheet="1" objects="1" scenarios="1" sort="0" autoFilter="0"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6" r:id="rId4" name="optEscasez">
          <controlPr defaultSize="0" autoLine="0" r:id="rId5">
            <anchor moveWithCells="1">
              <from>
                <xdr:col>1</xdr:col>
                <xdr:colOff>771525</xdr:colOff>
                <xdr:row>20</xdr:row>
                <xdr:rowOff>104775</xdr:rowOff>
              </from>
              <to>
                <xdr:col>2</xdr:col>
                <xdr:colOff>533400</xdr:colOff>
                <xdr:row>21</xdr:row>
                <xdr:rowOff>171450</xdr:rowOff>
              </to>
            </anchor>
          </controlPr>
        </control>
      </mc:Choice>
      <mc:Fallback>
        <control shapeId="2056" r:id="rId4" name="optEscasez"/>
      </mc:Fallback>
    </mc:AlternateContent>
    <mc:AlternateContent xmlns:mc="http://schemas.openxmlformats.org/markup-compatibility/2006">
      <mc:Choice Requires="x14">
        <control shapeId="2055" r:id="rId6" name="optNoEscasez">
          <controlPr defaultSize="0" autoLine="0" r:id="rId7">
            <anchor moveWithCells="1">
              <from>
                <xdr:col>0</xdr:col>
                <xdr:colOff>133350</xdr:colOff>
                <xdr:row>20</xdr:row>
                <xdr:rowOff>104775</xdr:rowOff>
              </from>
              <to>
                <xdr:col>1</xdr:col>
                <xdr:colOff>781050</xdr:colOff>
                <xdr:row>21</xdr:row>
                <xdr:rowOff>171450</xdr:rowOff>
              </to>
            </anchor>
          </controlPr>
        </control>
      </mc:Choice>
      <mc:Fallback>
        <control shapeId="2055" r:id="rId6" name="optNoEscasez"/>
      </mc:Fallback>
    </mc:AlternateContent>
    <mc:AlternateContent xmlns:mc="http://schemas.openxmlformats.org/markup-compatibility/2006">
      <mc:Choice Requires="x14">
        <control shapeId="2051" r:id="rId8" name="cmdFiltrar">
          <controlPr defaultSize="0" autoLine="0" r:id="rId9">
            <anchor>
              <from>
                <xdr:col>3</xdr:col>
                <xdr:colOff>133350</xdr:colOff>
                <xdr:row>19</xdr:row>
                <xdr:rowOff>57150</xdr:rowOff>
              </from>
              <to>
                <xdr:col>4</xdr:col>
                <xdr:colOff>95250</xdr:colOff>
                <xdr:row>21</xdr:row>
                <xdr:rowOff>9525</xdr:rowOff>
              </to>
            </anchor>
          </controlPr>
        </control>
      </mc:Choice>
      <mc:Fallback>
        <control shapeId="2051" r:id="rId8" name="cmdFiltrar"/>
      </mc:Fallback>
    </mc:AlternateContent>
    <mc:AlternateContent xmlns:mc="http://schemas.openxmlformats.org/markup-compatibility/2006">
      <mc:Choice Requires="x14">
        <control shapeId="2052" r:id="rId10" name="lstBodega">
          <controlPr defaultSize="0" autoLine="0" r:id="rId11">
            <anchor>
              <from>
                <xdr:col>19</xdr:col>
                <xdr:colOff>628650</xdr:colOff>
                <xdr:row>2</xdr:row>
                <xdr:rowOff>38100</xdr:rowOff>
              </from>
              <to>
                <xdr:col>26</xdr:col>
                <xdr:colOff>95250</xdr:colOff>
                <xdr:row>21</xdr:row>
                <xdr:rowOff>123825</xdr:rowOff>
              </to>
            </anchor>
          </controlPr>
        </control>
      </mc:Choice>
      <mc:Fallback>
        <control shapeId="2052" r:id="rId10" name="lstBodega"/>
      </mc:Fallback>
    </mc:AlternateContent>
    <mc:AlternateContent xmlns:mc="http://schemas.openxmlformats.org/markup-compatibility/2006">
      <mc:Choice Requires="x14">
        <control shapeId="2053" r:id="rId12" name="lstProveedor">
          <controlPr defaultSize="0" autoLine="0" r:id="rId11">
            <anchor>
              <from>
                <xdr:col>25</xdr:col>
                <xdr:colOff>9525</xdr:colOff>
                <xdr:row>2</xdr:row>
                <xdr:rowOff>19050</xdr:rowOff>
              </from>
              <to>
                <xdr:col>31</xdr:col>
                <xdr:colOff>238125</xdr:colOff>
                <xdr:row>21</xdr:row>
                <xdr:rowOff>104775</xdr:rowOff>
              </to>
            </anchor>
          </controlPr>
        </control>
      </mc:Choice>
      <mc:Fallback>
        <control shapeId="2053" r:id="rId12" name="lstProveedor"/>
      </mc:Fallback>
    </mc:AlternateContent>
    <mc:AlternateContent xmlns:mc="http://schemas.openxmlformats.org/markup-compatibility/2006">
      <mc:Choice Requires="x14">
        <control shapeId="2112" r:id="rId13" name="cmdCancelar">
          <controlPr defaultSize="0" autoLine="0" r:id="rId14">
            <anchor>
              <from>
                <xdr:col>3</xdr:col>
                <xdr:colOff>133350</xdr:colOff>
                <xdr:row>21</xdr:row>
                <xdr:rowOff>47625</xdr:rowOff>
              </from>
              <to>
                <xdr:col>4</xdr:col>
                <xdr:colOff>95250</xdr:colOff>
                <xdr:row>23</xdr:row>
                <xdr:rowOff>0</xdr:rowOff>
              </to>
            </anchor>
          </controlPr>
        </control>
      </mc:Choice>
      <mc:Fallback>
        <control shapeId="2112" r:id="rId13" name="cmdCancelar"/>
      </mc:Fallback>
    </mc:AlternateContent>
    <mc:AlternateContent xmlns:mc="http://schemas.openxmlformats.org/markup-compatibility/2006">
      <mc:Choice Requires="x14">
        <control shapeId="2058" r:id="rId15" name="lstEmpresa">
          <controlPr defaultSize="0" autoLine="0" autoPict="0" macro="[0]!Actualiza_Combos">
            <anchor>
              <from>
                <xdr:col>0</xdr:col>
                <xdr:colOff>66675</xdr:colOff>
                <xdr:row>5</xdr:row>
                <xdr:rowOff>104775</xdr:rowOff>
              </from>
              <to>
                <xdr:col>1</xdr:col>
                <xdr:colOff>1190625</xdr:colOff>
                <xdr:row>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0" r:id="rId16" name="cboBodegas">
          <controlPr defaultSize="0" autoLine="0" autoPict="0" macro="[0]!Actualiza_Combos_Seleccion_Bodega">
            <anchor>
              <from>
                <xdr:col>0</xdr:col>
                <xdr:colOff>66675</xdr:colOff>
                <xdr:row>9</xdr:row>
                <xdr:rowOff>0</xdr:rowOff>
              </from>
              <to>
                <xdr:col>1</xdr:col>
                <xdr:colOff>1390650</xdr:colOff>
                <xdr:row>18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1" r:id="rId17" name="cboProveedores">
          <controlPr defaultSize="0" autoLine="0" autoPict="0">
            <anchor>
              <from>
                <xdr:col>1</xdr:col>
                <xdr:colOff>1562100</xdr:colOff>
                <xdr:row>5</xdr:row>
                <xdr:rowOff>104775</xdr:rowOff>
              </from>
              <to>
                <xdr:col>4</xdr:col>
                <xdr:colOff>38100</xdr:colOff>
                <xdr:row>18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3" r:id="rId18" name="lstMarca">
          <controlPr defaultSize="0" autoLine="0" autoPict="0">
            <anchor>
              <from>
                <xdr:col>5</xdr:col>
                <xdr:colOff>161925</xdr:colOff>
                <xdr:row>18</xdr:row>
                <xdr:rowOff>104775</xdr:rowOff>
              </from>
              <to>
                <xdr:col>7</xdr:col>
                <xdr:colOff>619125</xdr:colOff>
                <xdr:row>19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5" r:id="rId19" name="Label 17">
          <controlPr defaultSize="0" autoFill="0" autoLine="0" autoPict="0">
            <anchor>
              <from>
                <xdr:col>4</xdr:col>
                <xdr:colOff>542925</xdr:colOff>
                <xdr:row>18</xdr:row>
                <xdr:rowOff>123825</xdr:rowOff>
              </from>
              <to>
                <xdr:col>5</xdr:col>
                <xdr:colOff>104775</xdr:colOff>
                <xdr:row>19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6" r:id="rId20" name="Label 18">
          <controlPr defaultSize="0" autoFill="0" autoLine="0" autoPict="0">
            <anchor>
              <from>
                <xdr:col>0</xdr:col>
                <xdr:colOff>66675</xdr:colOff>
                <xdr:row>4</xdr:row>
                <xdr:rowOff>114300</xdr:rowOff>
              </from>
              <to>
                <xdr:col>0</xdr:col>
                <xdr:colOff>552450</xdr:colOff>
                <xdr:row>5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7" r:id="rId21" name="Label 19">
          <controlPr defaultSize="0" autoFill="0" autoLine="0" autoPict="0">
            <anchor>
              <from>
                <xdr:col>0</xdr:col>
                <xdr:colOff>66675</xdr:colOff>
                <xdr:row>8</xdr:row>
                <xdr:rowOff>9525</xdr:rowOff>
              </from>
              <to>
                <xdr:col>0</xdr:col>
                <xdr:colOff>523875</xdr:colOff>
                <xdr:row>8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8" r:id="rId22" name="Label 20">
          <controlPr defaultSize="0" autoFill="0" autoLine="0" autoPict="0">
            <anchor>
              <from>
                <xdr:col>1</xdr:col>
                <xdr:colOff>1562100</xdr:colOff>
                <xdr:row>4</xdr:row>
                <xdr:rowOff>114300</xdr:rowOff>
              </from>
              <to>
                <xdr:col>1</xdr:col>
                <xdr:colOff>2209800</xdr:colOff>
                <xdr:row>5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1" r:id="rId23" name="Label 23">
          <controlPr defaultSize="0" autoFill="0" autoLine="0" autoPict="0">
            <anchor>
              <from>
                <xdr:col>0</xdr:col>
                <xdr:colOff>133350</xdr:colOff>
                <xdr:row>19</xdr:row>
                <xdr:rowOff>66675</xdr:rowOff>
              </from>
              <to>
                <xdr:col>1</xdr:col>
                <xdr:colOff>161925</xdr:colOff>
                <xdr:row>20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2" r:id="rId24" name="lstGrupo">
          <controlPr defaultSize="0" autoLine="0" autoPict="0">
            <anchor>
              <from>
                <xdr:col>5</xdr:col>
                <xdr:colOff>161925</xdr:colOff>
                <xdr:row>7</xdr:row>
                <xdr:rowOff>114300</xdr:rowOff>
              </from>
              <to>
                <xdr:col>7</xdr:col>
                <xdr:colOff>619125</xdr:colOff>
                <xdr:row>8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4" r:id="rId25" name="Label 26">
          <controlPr defaultSize="0" autoFill="0" autoLine="0" autoPict="0">
            <anchor>
              <from>
                <xdr:col>4</xdr:col>
                <xdr:colOff>523875</xdr:colOff>
                <xdr:row>7</xdr:row>
                <xdr:rowOff>133350</xdr:rowOff>
              </from>
              <to>
                <xdr:col>5</xdr:col>
                <xdr:colOff>104775</xdr:colOff>
                <xdr:row>8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5" r:id="rId26" name="lstLinea">
          <controlPr defaultSize="0" autoLine="0" autoPict="0">
            <anchor>
              <from>
                <xdr:col>5</xdr:col>
                <xdr:colOff>161925</xdr:colOff>
                <xdr:row>8</xdr:row>
                <xdr:rowOff>180975</xdr:rowOff>
              </from>
              <to>
                <xdr:col>7</xdr:col>
                <xdr:colOff>619125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7" r:id="rId27" name="Label 29">
          <controlPr defaultSize="0" autoFill="0" autoLine="0" autoPict="0">
            <anchor>
              <from>
                <xdr:col>4</xdr:col>
                <xdr:colOff>581025</xdr:colOff>
                <xdr:row>9</xdr:row>
                <xdr:rowOff>9525</xdr:rowOff>
              </from>
              <to>
                <xdr:col>5</xdr:col>
                <xdr:colOff>104775</xdr:colOff>
                <xdr:row>9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8" r:id="rId28" name="lstSublinea">
          <controlPr defaultSize="0" autoLine="0" autoPict="0">
            <anchor>
              <from>
                <xdr:col>5</xdr:col>
                <xdr:colOff>161925</xdr:colOff>
                <xdr:row>10</xdr:row>
                <xdr:rowOff>66675</xdr:rowOff>
              </from>
              <to>
                <xdr:col>7</xdr:col>
                <xdr:colOff>619125</xdr:colOff>
                <xdr:row>11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0" r:id="rId29" name="Label 32">
          <controlPr defaultSize="0" autoFill="0" autoLine="0" autoPict="0">
            <anchor>
              <from>
                <xdr:col>4</xdr:col>
                <xdr:colOff>409575</xdr:colOff>
                <xdr:row>10</xdr:row>
                <xdr:rowOff>76200</xdr:rowOff>
              </from>
              <to>
                <xdr:col>5</xdr:col>
                <xdr:colOff>104775</xdr:colOff>
                <xdr:row>11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1" r:id="rId30" name="lstModelo">
          <controlPr defaultSize="0" autoLine="0" autoPict="0">
            <anchor>
              <from>
                <xdr:col>5</xdr:col>
                <xdr:colOff>161925</xdr:colOff>
                <xdr:row>11</xdr:row>
                <xdr:rowOff>133350</xdr:rowOff>
              </from>
              <to>
                <xdr:col>7</xdr:col>
                <xdr:colOff>619125</xdr:colOff>
                <xdr:row>12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3" r:id="rId31" name="Label 35">
          <controlPr defaultSize="0" autoFill="0" autoLine="0" autoPict="0">
            <anchor>
              <from>
                <xdr:col>4</xdr:col>
                <xdr:colOff>457200</xdr:colOff>
                <xdr:row>11</xdr:row>
                <xdr:rowOff>152400</xdr:rowOff>
              </from>
              <to>
                <xdr:col>5</xdr:col>
                <xdr:colOff>104775</xdr:colOff>
                <xdr:row>12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4" r:id="rId32" name="lstFamilia">
          <controlPr defaultSize="0" autoLine="0" autoPict="0">
            <anchor>
              <from>
                <xdr:col>5</xdr:col>
                <xdr:colOff>161925</xdr:colOff>
                <xdr:row>13</xdr:row>
                <xdr:rowOff>19050</xdr:rowOff>
              </from>
              <to>
                <xdr:col>7</xdr:col>
                <xdr:colOff>619125</xdr:colOff>
                <xdr:row>14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5" r:id="rId33" name="Label 37">
          <controlPr defaultSize="0" autoFill="0" autoLine="0" autoPict="0">
            <anchor>
              <from>
                <xdr:col>4</xdr:col>
                <xdr:colOff>495300</xdr:colOff>
                <xdr:row>13</xdr:row>
                <xdr:rowOff>28575</xdr:rowOff>
              </from>
              <to>
                <xdr:col>5</xdr:col>
                <xdr:colOff>104775</xdr:colOff>
                <xdr:row>14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6" r:id="rId34" name="lstSubfamilia">
          <controlPr defaultSize="0" autoLine="0" autoPict="0">
            <anchor>
              <from>
                <xdr:col>5</xdr:col>
                <xdr:colOff>161925</xdr:colOff>
                <xdr:row>14</xdr:row>
                <xdr:rowOff>85725</xdr:rowOff>
              </from>
              <to>
                <xdr:col>7</xdr:col>
                <xdr:colOff>619125</xdr:colOff>
                <xdr:row>15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7" r:id="rId35" name="Label 39">
          <controlPr defaultSize="0" autoFill="0" autoLine="0" autoPict="0">
            <anchor>
              <from>
                <xdr:col>4</xdr:col>
                <xdr:colOff>323850</xdr:colOff>
                <xdr:row>14</xdr:row>
                <xdr:rowOff>104775</xdr:rowOff>
              </from>
              <to>
                <xdr:col>5</xdr:col>
                <xdr:colOff>104775</xdr:colOff>
                <xdr:row>15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9" r:id="rId36" name="lstCategoria">
          <controlPr defaultSize="0" autoLine="0" autoPict="0">
            <anchor>
              <from>
                <xdr:col>5</xdr:col>
                <xdr:colOff>161925</xdr:colOff>
                <xdr:row>15</xdr:row>
                <xdr:rowOff>152400</xdr:rowOff>
              </from>
              <to>
                <xdr:col>7</xdr:col>
                <xdr:colOff>619125</xdr:colOff>
                <xdr:row>16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0" r:id="rId37" name="Label 42">
          <controlPr defaultSize="0" autoFill="0" autoLine="0" autoPict="0">
            <anchor>
              <from>
                <xdr:col>4</xdr:col>
                <xdr:colOff>361950</xdr:colOff>
                <xdr:row>15</xdr:row>
                <xdr:rowOff>171450</xdr:rowOff>
              </from>
              <to>
                <xdr:col>5</xdr:col>
                <xdr:colOff>104775</xdr:colOff>
                <xdr:row>16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1" r:id="rId38" name="lstTipo">
          <controlPr defaultSize="0" autoLine="0" autoPict="0">
            <anchor>
              <from>
                <xdr:col>5</xdr:col>
                <xdr:colOff>161925</xdr:colOff>
                <xdr:row>17</xdr:row>
                <xdr:rowOff>38100</xdr:rowOff>
              </from>
              <to>
                <xdr:col>7</xdr:col>
                <xdr:colOff>619125</xdr:colOff>
                <xdr:row>18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2" r:id="rId39" name="Label 44">
          <controlPr defaultSize="0" autoFill="0" autoLine="0" autoPict="0">
            <anchor>
              <from>
                <xdr:col>4</xdr:col>
                <xdr:colOff>628650</xdr:colOff>
                <xdr:row>17</xdr:row>
                <xdr:rowOff>57150</xdr:rowOff>
              </from>
              <to>
                <xdr:col>5</xdr:col>
                <xdr:colOff>104775</xdr:colOff>
                <xdr:row>18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3" r:id="rId40" name="lstEstatus">
          <controlPr defaultSize="0" autoLine="0" autoPict="0">
            <anchor>
              <from>
                <xdr:col>5</xdr:col>
                <xdr:colOff>161925</xdr:colOff>
                <xdr:row>3</xdr:row>
                <xdr:rowOff>28575</xdr:rowOff>
              </from>
              <to>
                <xdr:col>7</xdr:col>
                <xdr:colOff>619125</xdr:colOff>
                <xdr:row>4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4" r:id="rId41" name="Label 46">
          <controlPr defaultSize="0" autoFill="0" autoLine="0" autoPict="0">
            <anchor>
              <from>
                <xdr:col>4</xdr:col>
                <xdr:colOff>533400</xdr:colOff>
                <xdr:row>3</xdr:row>
                <xdr:rowOff>47625</xdr:rowOff>
              </from>
              <to>
                <xdr:col>5</xdr:col>
                <xdr:colOff>152400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5" r:id="rId42" name="lstClasificacion">
          <controlPr defaultSize="0" autoLine="0" autoPict="0">
            <anchor>
              <from>
                <xdr:col>5</xdr:col>
                <xdr:colOff>161925</xdr:colOff>
                <xdr:row>4</xdr:row>
                <xdr:rowOff>95250</xdr:rowOff>
              </from>
              <to>
                <xdr:col>7</xdr:col>
                <xdr:colOff>619125</xdr:colOff>
                <xdr:row>5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6" r:id="rId43" name="Label 48">
          <controlPr defaultSize="0" autoFill="0" autoLine="0" autoPict="0">
            <anchor>
              <from>
                <xdr:col>4</xdr:col>
                <xdr:colOff>276225</xdr:colOff>
                <xdr:row>4</xdr:row>
                <xdr:rowOff>114300</xdr:rowOff>
              </from>
              <to>
                <xdr:col>5</xdr:col>
                <xdr:colOff>152400</xdr:colOff>
                <xdr:row>5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7" r:id="rId44" name="lstResponsable">
          <controlPr defaultSize="0" autoLine="0" autoPict="0">
            <anchor>
              <from>
                <xdr:col>5</xdr:col>
                <xdr:colOff>161925</xdr:colOff>
                <xdr:row>5</xdr:row>
                <xdr:rowOff>161925</xdr:rowOff>
              </from>
              <to>
                <xdr:col>7</xdr:col>
                <xdr:colOff>619125</xdr:colOff>
                <xdr:row>6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8" r:id="rId45" name="Label 50">
          <controlPr defaultSize="0" autoFill="0" autoLine="0" autoPict="0">
            <anchor>
              <from>
                <xdr:col>4</xdr:col>
                <xdr:colOff>257175</xdr:colOff>
                <xdr:row>5</xdr:row>
                <xdr:rowOff>180975</xdr:rowOff>
              </from>
              <to>
                <xdr:col>5</xdr:col>
                <xdr:colOff>152400</xdr:colOff>
                <xdr:row>6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9" r:id="rId46" name="Check Box 51">
          <controlPr defaultSize="0" autoFill="0" autoLine="0" autoPict="0">
            <anchor>
              <from>
                <xdr:col>7</xdr:col>
                <xdr:colOff>647700</xdr:colOff>
                <xdr:row>3</xdr:row>
                <xdr:rowOff>38100</xdr:rowOff>
              </from>
              <to>
                <xdr:col>9</xdr:col>
                <xdr:colOff>114300</xdr:colOff>
                <xdr:row>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0" r:id="rId47" name="Check Box 52">
          <controlPr defaultSize="0" autoFill="0" autoLine="0" autoPict="0">
            <anchor>
              <from>
                <xdr:col>7</xdr:col>
                <xdr:colOff>647700</xdr:colOff>
                <xdr:row>4</xdr:row>
                <xdr:rowOff>114300</xdr:rowOff>
              </from>
              <to>
                <xdr:col>9</xdr:col>
                <xdr:colOff>114300</xdr:colOff>
                <xdr:row>5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1" r:id="rId48" name="Check Box 53">
          <controlPr defaultSize="0" autoFill="0" autoLine="0" autoPict="0">
            <anchor>
              <from>
                <xdr:col>7</xdr:col>
                <xdr:colOff>647700</xdr:colOff>
                <xdr:row>6</xdr:row>
                <xdr:rowOff>0</xdr:rowOff>
              </from>
              <to>
                <xdr:col>9</xdr:col>
                <xdr:colOff>114300</xdr:colOff>
                <xdr:row>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2" r:id="rId49" name="Check Box 54">
          <controlPr defaultSize="0" autoFill="0" autoLine="0" autoPict="0">
            <anchor>
              <from>
                <xdr:col>7</xdr:col>
                <xdr:colOff>647700</xdr:colOff>
                <xdr:row>7</xdr:row>
                <xdr:rowOff>76200</xdr:rowOff>
              </from>
              <to>
                <xdr:col>9</xdr:col>
                <xdr:colOff>114300</xdr:colOff>
                <xdr:row>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3" r:id="rId50" name="Check Box 55">
          <controlPr defaultSize="0" autoFill="0" autoLine="0" autoPict="0">
            <anchor>
              <from>
                <xdr:col>7</xdr:col>
                <xdr:colOff>647700</xdr:colOff>
                <xdr:row>8</xdr:row>
                <xdr:rowOff>152400</xdr:rowOff>
              </from>
              <to>
                <xdr:col>9</xdr:col>
                <xdr:colOff>114300</xdr:colOff>
                <xdr:row>9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4" r:id="rId51" name="Check Box 56">
          <controlPr defaultSize="0" autoFill="0" autoLine="0" autoPict="0">
            <anchor>
              <from>
                <xdr:col>7</xdr:col>
                <xdr:colOff>647700</xdr:colOff>
                <xdr:row>10</xdr:row>
                <xdr:rowOff>38100</xdr:rowOff>
              </from>
              <to>
                <xdr:col>9</xdr:col>
                <xdr:colOff>114300</xdr:colOff>
                <xdr:row>11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5" r:id="rId52" name="Check Box 57">
          <controlPr defaultSize="0" autoFill="0" autoLine="0" autoPict="0">
            <anchor>
              <from>
                <xdr:col>7</xdr:col>
                <xdr:colOff>647700</xdr:colOff>
                <xdr:row>11</xdr:row>
                <xdr:rowOff>104775</xdr:rowOff>
              </from>
              <to>
                <xdr:col>9</xdr:col>
                <xdr:colOff>114300</xdr:colOff>
                <xdr:row>12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6" r:id="rId53" name="Check Box 58">
          <controlPr defaultSize="0" autoFill="0" autoLine="0" autoPict="0">
            <anchor>
              <from>
                <xdr:col>7</xdr:col>
                <xdr:colOff>647700</xdr:colOff>
                <xdr:row>12</xdr:row>
                <xdr:rowOff>180975</xdr:rowOff>
              </from>
              <to>
                <xdr:col>9</xdr:col>
                <xdr:colOff>114300</xdr:colOff>
                <xdr:row>14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7" r:id="rId54" name="Check Box 59">
          <controlPr defaultSize="0" autoFill="0" autoLine="0" autoPict="0">
            <anchor>
              <from>
                <xdr:col>7</xdr:col>
                <xdr:colOff>647700</xdr:colOff>
                <xdr:row>14</xdr:row>
                <xdr:rowOff>66675</xdr:rowOff>
              </from>
              <to>
                <xdr:col>9</xdr:col>
                <xdr:colOff>114300</xdr:colOff>
                <xdr:row>15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8" r:id="rId55" name="Check Box 60">
          <controlPr defaultSize="0" autoFill="0" autoLine="0" autoPict="0">
            <anchor>
              <from>
                <xdr:col>7</xdr:col>
                <xdr:colOff>647700</xdr:colOff>
                <xdr:row>15</xdr:row>
                <xdr:rowOff>142875</xdr:rowOff>
              </from>
              <to>
                <xdr:col>9</xdr:col>
                <xdr:colOff>114300</xdr:colOff>
                <xdr:row>16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9" r:id="rId56" name="Check Box 61">
          <controlPr defaultSize="0" autoFill="0" autoLine="0" autoPict="0">
            <anchor>
              <from>
                <xdr:col>7</xdr:col>
                <xdr:colOff>647700</xdr:colOff>
                <xdr:row>17</xdr:row>
                <xdr:rowOff>28575</xdr:rowOff>
              </from>
              <to>
                <xdr:col>9</xdr:col>
                <xdr:colOff>114300</xdr:colOff>
                <xdr:row>18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0" r:id="rId57" name="Check Box 62">
          <controlPr defaultSize="0" autoFill="0" autoLine="0" autoPict="0">
            <anchor>
              <from>
                <xdr:col>7</xdr:col>
                <xdr:colOff>647700</xdr:colOff>
                <xdr:row>18</xdr:row>
                <xdr:rowOff>104775</xdr:rowOff>
              </from>
              <to>
                <xdr:col>9</xdr:col>
                <xdr:colOff>114300</xdr:colOff>
                <xdr:row>19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3" r:id="rId58" name="lstCalendarioe">
          <controlPr defaultSize="0" autoLine="0" autoPict="0">
            <anchor>
              <from>
                <xdr:col>5</xdr:col>
                <xdr:colOff>161925</xdr:colOff>
                <xdr:row>23</xdr:row>
                <xdr:rowOff>9525</xdr:rowOff>
              </from>
              <to>
                <xdr:col>7</xdr:col>
                <xdr:colOff>619125</xdr:colOff>
                <xdr:row>24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4" r:id="rId59" name="Label 66">
          <controlPr defaultSize="0" autoFill="0" autoLine="0" autoPict="0">
            <anchor>
              <from>
                <xdr:col>4</xdr:col>
                <xdr:colOff>333375</xdr:colOff>
                <xdr:row>22</xdr:row>
                <xdr:rowOff>180975</xdr:rowOff>
              </from>
              <to>
                <xdr:col>5</xdr:col>
                <xdr:colOff>133350</xdr:colOff>
                <xdr:row>24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5" r:id="rId60" name="lstPerfil">
          <controlPr defaultSize="0" autoLine="0" autoPict="0">
            <anchor>
              <from>
                <xdr:col>5</xdr:col>
                <xdr:colOff>161925</xdr:colOff>
                <xdr:row>20</xdr:row>
                <xdr:rowOff>57150</xdr:rowOff>
              </from>
              <to>
                <xdr:col>7</xdr:col>
                <xdr:colOff>619125</xdr:colOff>
                <xdr:row>21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6" r:id="rId61" name="Label 68">
          <controlPr defaultSize="0" autoFill="0" autoLine="0" autoPict="0">
            <anchor>
              <from>
                <xdr:col>4</xdr:col>
                <xdr:colOff>590550</xdr:colOff>
                <xdr:row>20</xdr:row>
                <xdr:rowOff>76200</xdr:rowOff>
              </from>
              <to>
                <xdr:col>5</xdr:col>
                <xdr:colOff>104775</xdr:colOff>
                <xdr:row>21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7" r:id="rId62" name="lstColor">
          <controlPr defaultSize="0" autoLine="0" autoPict="0">
            <anchor>
              <from>
                <xdr:col>5</xdr:col>
                <xdr:colOff>161925</xdr:colOff>
                <xdr:row>21</xdr:row>
                <xdr:rowOff>133350</xdr:rowOff>
              </from>
              <to>
                <xdr:col>7</xdr:col>
                <xdr:colOff>619125</xdr:colOff>
                <xdr:row>22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8" r:id="rId63" name="Label 70">
          <controlPr defaultSize="0" autoFill="0" autoLine="0" autoPict="0">
            <anchor>
              <from>
                <xdr:col>4</xdr:col>
                <xdr:colOff>571500</xdr:colOff>
                <xdr:row>21</xdr:row>
                <xdr:rowOff>152400</xdr:rowOff>
              </from>
              <to>
                <xdr:col>5</xdr:col>
                <xdr:colOff>104775</xdr:colOff>
                <xdr:row>22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9" r:id="rId64" name="Check Box 71">
          <controlPr defaultSize="0" autoFill="0" autoLine="0" autoPict="0">
            <anchor>
              <from>
                <xdr:col>7</xdr:col>
                <xdr:colOff>647700</xdr:colOff>
                <xdr:row>20</xdr:row>
                <xdr:rowOff>47625</xdr:rowOff>
              </from>
              <to>
                <xdr:col>9</xdr:col>
                <xdr:colOff>114300</xdr:colOff>
                <xdr:row>21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0" r:id="rId65" name="Check Box 72">
          <controlPr defaultSize="0" autoFill="0" autoLine="0" autoPict="0">
            <anchor>
              <from>
                <xdr:col>7</xdr:col>
                <xdr:colOff>647700</xdr:colOff>
                <xdr:row>21</xdr:row>
                <xdr:rowOff>123825</xdr:rowOff>
              </from>
              <to>
                <xdr:col>9</xdr:col>
                <xdr:colOff>114300</xdr:colOff>
                <xdr:row>22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1" r:id="rId66" name="Check Box 73">
          <controlPr defaultSize="0" autoFill="0" autoLine="0" autoPict="0">
            <anchor>
              <from>
                <xdr:col>7</xdr:col>
                <xdr:colOff>647700</xdr:colOff>
                <xdr:row>23</xdr:row>
                <xdr:rowOff>9525</xdr:rowOff>
              </from>
              <to>
                <xdr:col>9</xdr:col>
                <xdr:colOff>114300</xdr:colOff>
                <xdr:row>24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2" r:id="rId67" name="lstHojaCB">
          <controlPr defaultSize="0" autoLine="0" autoPict="0">
            <anchor>
              <from>
                <xdr:col>5</xdr:col>
                <xdr:colOff>161925</xdr:colOff>
                <xdr:row>1</xdr:row>
                <xdr:rowOff>238125</xdr:rowOff>
              </from>
              <to>
                <xdr:col>7</xdr:col>
                <xdr:colOff>619125</xdr:colOff>
                <xdr:row>2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3" r:id="rId68" name="Label 75">
          <controlPr defaultSize="0" autoFill="0" autoLine="0" autoPict="0">
            <anchor>
              <from>
                <xdr:col>4</xdr:col>
                <xdr:colOff>495300</xdr:colOff>
                <xdr:row>1</xdr:row>
                <xdr:rowOff>257175</xdr:rowOff>
              </from>
              <to>
                <xdr:col>5</xdr:col>
                <xdr:colOff>152400</xdr:colOff>
                <xdr:row>2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4" r:id="rId69" name="Check Box 76">
          <controlPr defaultSize="0" autoFill="0" autoLine="0" autoPict="0">
            <anchor>
              <from>
                <xdr:col>7</xdr:col>
                <xdr:colOff>647700</xdr:colOff>
                <xdr:row>1</xdr:row>
                <xdr:rowOff>247650</xdr:rowOff>
              </from>
              <to>
                <xdr:col>9</xdr:col>
                <xdr:colOff>114300</xdr:colOff>
                <xdr:row>2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5" r:id="rId70" name="cmdRefrescaDatos">
          <controlPr defaultSize="0" print="0" autoFill="0" autoPict="0" macro="[0]!Actualiza_Todo">
            <anchor>
              <from>
                <xdr:col>1</xdr:col>
                <xdr:colOff>1209675</xdr:colOff>
                <xdr:row>5</xdr:row>
                <xdr:rowOff>104775</xdr:rowOff>
              </from>
              <to>
                <xdr:col>1</xdr:col>
                <xdr:colOff>1390650</xdr:colOff>
                <xdr:row>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6" r:id="rId71" name="Check Box 78">
          <controlPr defaultSize="0" autoFill="0" autoLine="0" autoPict="0">
            <anchor>
              <from>
                <xdr:col>0</xdr:col>
                <xdr:colOff>95250</xdr:colOff>
                <xdr:row>22</xdr:row>
                <xdr:rowOff>38100</xdr:rowOff>
              </from>
              <to>
                <xdr:col>1</xdr:col>
                <xdr:colOff>1009650</xdr:colOff>
                <xdr:row>23</xdr:row>
                <xdr:rowOff>123825</xdr:rowOff>
              </to>
            </anchor>
          </controlPr>
        </control>
      </mc:Choice>
    </mc:AlternateContent>
  </controls>
  <tableParts count="1">
    <tablePart r:id="rId7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"/>
  <sheetViews>
    <sheetView workbookViewId="0"/>
  </sheetViews>
  <sheetFormatPr baseColWidth="10" defaultRowHeight="15" x14ac:dyDescent="0.25"/>
  <sheetData>
    <row r="1" spans="1:1" x14ac:dyDescent="0.25">
      <c r="A1" t="s">
        <v>3479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CB248"/>
  <sheetViews>
    <sheetView showGridLines="0" workbookViewId="0">
      <selection activeCell="BQ2" sqref="BQ2"/>
    </sheetView>
  </sheetViews>
  <sheetFormatPr baseColWidth="10" defaultRowHeight="15" x14ac:dyDescent="0.25"/>
  <cols>
    <col min="2" max="2" width="4.5703125" customWidth="1"/>
    <col min="4" max="4" width="7.140625" customWidth="1"/>
    <col min="6" max="6" width="4.5703125" customWidth="1"/>
    <col min="10" max="10" width="4.42578125" customWidth="1"/>
    <col min="14" max="14" width="5.5703125" customWidth="1"/>
    <col min="18" max="18" width="6.5703125" customWidth="1"/>
    <col min="22" max="22" width="5.5703125" customWidth="1"/>
    <col min="26" max="26" width="6.28515625" customWidth="1"/>
    <col min="30" max="30" width="4.5703125" customWidth="1"/>
    <col min="34" max="34" width="5.85546875" customWidth="1"/>
    <col min="38" max="38" width="5.5703125" customWidth="1"/>
    <col min="42" max="42" width="6.140625" customWidth="1"/>
    <col min="46" max="46" width="5" customWidth="1"/>
    <col min="50" max="50" width="6.5703125" customWidth="1"/>
    <col min="54" max="54" width="5.140625" customWidth="1"/>
    <col min="58" max="58" width="6" customWidth="1"/>
    <col min="62" max="62" width="5.7109375" customWidth="1"/>
    <col min="70" max="70" width="8.140625" customWidth="1"/>
    <col min="74" max="74" width="6.28515625" customWidth="1"/>
    <col min="78" max="78" width="18.42578125" customWidth="1"/>
    <col min="80" max="80" width="23" bestFit="1" customWidth="1"/>
  </cols>
  <sheetData>
    <row r="1" spans="1:80" x14ac:dyDescent="0.25">
      <c r="A1" t="s">
        <v>2894</v>
      </c>
      <c r="C1">
        <v>1</v>
      </c>
      <c r="E1" t="s">
        <v>2894</v>
      </c>
      <c r="G1">
        <v>1</v>
      </c>
      <c r="I1" t="s">
        <v>2894</v>
      </c>
      <c r="K1">
        <v>1</v>
      </c>
      <c r="M1" t="s">
        <v>2894</v>
      </c>
      <c r="O1">
        <v>1</v>
      </c>
      <c r="Q1" t="s">
        <v>2894</v>
      </c>
      <c r="S1">
        <v>1</v>
      </c>
      <c r="U1" t="s">
        <v>2894</v>
      </c>
      <c r="W1">
        <v>1</v>
      </c>
      <c r="Y1" t="s">
        <v>2894</v>
      </c>
      <c r="AA1">
        <v>1</v>
      </c>
      <c r="AC1" t="s">
        <v>2894</v>
      </c>
      <c r="AE1">
        <v>1</v>
      </c>
      <c r="AG1" t="s">
        <v>2894</v>
      </c>
      <c r="AI1">
        <v>1</v>
      </c>
      <c r="AK1" t="s">
        <v>2894</v>
      </c>
      <c r="AM1">
        <v>1</v>
      </c>
      <c r="AO1" t="s">
        <v>2894</v>
      </c>
      <c r="AQ1">
        <v>1</v>
      </c>
      <c r="AS1" t="s">
        <v>2894</v>
      </c>
      <c r="AU1">
        <v>1</v>
      </c>
      <c r="AW1" t="s">
        <v>2894</v>
      </c>
      <c r="AY1">
        <v>1</v>
      </c>
      <c r="BA1" t="s">
        <v>2894</v>
      </c>
      <c r="BC1">
        <v>1</v>
      </c>
      <c r="BE1" t="s">
        <v>2894</v>
      </c>
      <c r="BG1">
        <v>1</v>
      </c>
      <c r="BI1" t="s">
        <v>2894</v>
      </c>
      <c r="BK1">
        <v>1</v>
      </c>
      <c r="BM1" t="s">
        <v>2894</v>
      </c>
      <c r="BO1">
        <v>1</v>
      </c>
      <c r="BQ1" t="s">
        <v>2894</v>
      </c>
      <c r="BS1">
        <v>1</v>
      </c>
      <c r="BU1" t="s">
        <v>2894</v>
      </c>
      <c r="BW1">
        <v>1</v>
      </c>
      <c r="BY1" t="s">
        <v>2895</v>
      </c>
      <c r="BZ1" t="s">
        <v>209</v>
      </c>
      <c r="CB1" t="s">
        <v>2908</v>
      </c>
    </row>
    <row r="2" spans="1:80" x14ac:dyDescent="0.25">
      <c r="A2" t="s">
        <v>2911</v>
      </c>
      <c r="C2" t="str">
        <f>IFERROR(INDEX(tbl_empresa[Nombre],num_empresa_seleccionada,1),$A$2)</f>
        <v>AGROTA</v>
      </c>
      <c r="E2" t="s">
        <v>3407</v>
      </c>
      <c r="G2" t="str">
        <f>IFERROR(INDEX(tbl_bodega[Nombre],num_bodega_seleccionada,1),$E$2)</f>
        <v>Activos Agrota Feria Libre</v>
      </c>
      <c r="K2">
        <f>IFERROR(INDEX(tbl_proveedor[Nombre],num_proveedor_seleccionada,1),$I$2)</f>
        <v>0</v>
      </c>
      <c r="M2" t="s">
        <v>2948</v>
      </c>
      <c r="O2" t="str">
        <f>IFERROR(INDEX(tbl_marca[Nombre],num_marca_seleccionada,1),$M$2)</f>
        <v>AA (No Aplica)</v>
      </c>
      <c r="Q2" t="s">
        <v>2936</v>
      </c>
      <c r="S2" t="str">
        <f>IFERROR(INDEX(tbl_grupo[Nombre],num_grupo_seleccionada,1),$Q$2)</f>
        <v>0-20-55</v>
      </c>
      <c r="U2" t="s">
        <v>2948</v>
      </c>
      <c r="W2" t="str">
        <f>IFERROR(INDEX(tbl_linea[Nombre],num_linea_seleccionada,1),$U$2)</f>
        <v>AA (No Aplica)</v>
      </c>
      <c r="AA2">
        <f>IFERROR(INDEX(tbl_sublinea[Nombre],num_sublinea_seleccionada,1),$Y$2)</f>
        <v>0</v>
      </c>
      <c r="AE2">
        <f>IFERROR(INDEX(tbl_modelo[Nombre],num_modelo_seleccionada,1),$AC$2)</f>
        <v>0</v>
      </c>
      <c r="AI2">
        <f>IFERROR(INDEX(tbl_familia[Nombre],num_familia_seleccionada,1),$AG$2)</f>
        <v>0</v>
      </c>
      <c r="AM2">
        <f>IFERROR(INDEX(tbl_subfamilia[Nombre],num_subfamilia_seleccionada,1),$AK$2)</f>
        <v>0</v>
      </c>
      <c r="AO2" t="s">
        <v>2948</v>
      </c>
      <c r="AQ2" t="str">
        <f>IFERROR(INDEX(tbl_categoria[Nombre],num_categoria_seleccionada,1),$AO$2)</f>
        <v>AA (No Aplica)</v>
      </c>
      <c r="AU2">
        <f>IFERROR(INDEX(tbl_tipo[Nombre],num_tipo_seleccionada,1),$AS$2)</f>
        <v>0</v>
      </c>
      <c r="AY2">
        <f>IFERROR(INDEX(tbl_estatus[Nombre],num_estatus_seleccionada,1),$AW$2)</f>
        <v>0</v>
      </c>
      <c r="BC2">
        <f>IFERROR(INDEX(tbl_clasificacion[Nombre],num_clasificacion_seleccionada,1),$BA$2)</f>
        <v>0</v>
      </c>
      <c r="BG2">
        <f>IFERROR(INDEX(tbl_responsable[Nombre],num_responsable_seleccionada,1),$BE$2)</f>
        <v>0</v>
      </c>
      <c r="BI2" t="s">
        <v>253</v>
      </c>
      <c r="BK2" t="str">
        <f>IFERROR(INDEX(tbl_perfil[Nombre],num_perfil_seleccionada,1),$BI$2)</f>
        <v>LOCAL</v>
      </c>
      <c r="BM2" t="s">
        <v>1982</v>
      </c>
      <c r="BO2" t="str">
        <f>IFERROR(INDEX(tbl_color[Nombre],num_color_seleccionada,1),$BM$2)</f>
        <v>A</v>
      </c>
      <c r="BS2">
        <f>IFERROR(INDEX(tbl_calendarioe[Nombre],num_calendarioe_seleccionada,1),$BQ$2)</f>
        <v>0</v>
      </c>
      <c r="BU2" t="s">
        <v>2935</v>
      </c>
      <c r="BW2" t="str">
        <f>IFERROR(INDEX(tbl_hojacb[Nombre],num_hojacb_seleccionada,1),$BU$2)</f>
        <v>Maquinas ECHO - SHINDAIWA.xlsm</v>
      </c>
      <c r="BY2" t="s">
        <v>2907</v>
      </c>
      <c r="BZ2" t="b">
        <v>0</v>
      </c>
      <c r="CB2" t="b">
        <v>1</v>
      </c>
    </row>
    <row r="3" spans="1:80" x14ac:dyDescent="0.25">
      <c r="A3" t="s">
        <v>3406</v>
      </c>
      <c r="E3" t="s">
        <v>3408</v>
      </c>
      <c r="M3" t="s">
        <v>3244</v>
      </c>
      <c r="Q3" t="s">
        <v>2937</v>
      </c>
      <c r="U3" t="s">
        <v>3173</v>
      </c>
      <c r="AO3" t="s">
        <v>3191</v>
      </c>
      <c r="BI3" t="s">
        <v>3390</v>
      </c>
      <c r="BM3" t="s">
        <v>2906</v>
      </c>
      <c r="BY3" t="s">
        <v>2888</v>
      </c>
      <c r="BZ3" t="b">
        <v>0</v>
      </c>
    </row>
    <row r="4" spans="1:80" x14ac:dyDescent="0.25">
      <c r="E4" t="s">
        <v>2912</v>
      </c>
      <c r="M4" t="s">
        <v>3245</v>
      </c>
      <c r="Q4" t="s">
        <v>2938</v>
      </c>
      <c r="U4" t="s">
        <v>1401</v>
      </c>
      <c r="AO4" t="s">
        <v>2910</v>
      </c>
      <c r="BI4" t="s">
        <v>3391</v>
      </c>
      <c r="BM4" t="s">
        <v>1981</v>
      </c>
      <c r="BY4" t="s">
        <v>2896</v>
      </c>
      <c r="BZ4" t="b">
        <v>0</v>
      </c>
    </row>
    <row r="5" spans="1:80" x14ac:dyDescent="0.25">
      <c r="E5" t="s">
        <v>3409</v>
      </c>
      <c r="M5" t="s">
        <v>3246</v>
      </c>
      <c r="Q5" t="s">
        <v>2939</v>
      </c>
      <c r="U5" t="s">
        <v>3174</v>
      </c>
      <c r="AO5" t="s">
        <v>3175</v>
      </c>
      <c r="BI5" t="s">
        <v>3188</v>
      </c>
      <c r="BM5" t="s">
        <v>1196</v>
      </c>
      <c r="BY5" t="s">
        <v>2897</v>
      </c>
      <c r="BZ5" t="b">
        <v>0</v>
      </c>
    </row>
    <row r="6" spans="1:80" x14ac:dyDescent="0.25">
      <c r="E6" t="s">
        <v>3410</v>
      </c>
      <c r="M6" t="s">
        <v>3247</v>
      </c>
      <c r="Q6" t="s">
        <v>2940</v>
      </c>
      <c r="U6" t="s">
        <v>3175</v>
      </c>
      <c r="AO6" t="s">
        <v>3192</v>
      </c>
      <c r="BI6" t="s">
        <v>3392</v>
      </c>
      <c r="BM6" t="s">
        <v>1983</v>
      </c>
      <c r="BY6" t="s">
        <v>7</v>
      </c>
      <c r="BZ6" t="b">
        <v>0</v>
      </c>
    </row>
    <row r="7" spans="1:80" x14ac:dyDescent="0.25">
      <c r="E7" t="s">
        <v>3411</v>
      </c>
      <c r="M7" t="s">
        <v>3248</v>
      </c>
      <c r="Q7" t="s">
        <v>2941</v>
      </c>
      <c r="U7" t="s">
        <v>3176</v>
      </c>
      <c r="AO7" t="s">
        <v>3193</v>
      </c>
      <c r="BI7" t="s">
        <v>3393</v>
      </c>
      <c r="BM7" t="s">
        <v>2824</v>
      </c>
      <c r="BY7" t="s">
        <v>2898</v>
      </c>
      <c r="BZ7" t="b">
        <v>0</v>
      </c>
    </row>
    <row r="8" spans="1:80" x14ac:dyDescent="0.25">
      <c r="E8" t="s">
        <v>3412</v>
      </c>
      <c r="M8" t="s">
        <v>3249</v>
      </c>
      <c r="Q8" t="s">
        <v>2942</v>
      </c>
      <c r="U8" t="s">
        <v>3177</v>
      </c>
      <c r="AO8" t="s">
        <v>3194</v>
      </c>
      <c r="BI8" t="s">
        <v>3394</v>
      </c>
      <c r="BY8" t="s">
        <v>2899</v>
      </c>
      <c r="BZ8" t="b">
        <v>0</v>
      </c>
    </row>
    <row r="9" spans="1:80" x14ac:dyDescent="0.25">
      <c r="E9" t="s">
        <v>3413</v>
      </c>
      <c r="M9" t="s">
        <v>3250</v>
      </c>
      <c r="Q9" t="s">
        <v>2943</v>
      </c>
      <c r="U9" t="s">
        <v>3178</v>
      </c>
      <c r="AO9" t="s">
        <v>2984</v>
      </c>
      <c r="BI9" t="s">
        <v>3395</v>
      </c>
      <c r="BY9" t="s">
        <v>2900</v>
      </c>
      <c r="BZ9" t="b">
        <v>0</v>
      </c>
    </row>
    <row r="10" spans="1:80" x14ac:dyDescent="0.25">
      <c r="E10" t="s">
        <v>3414</v>
      </c>
      <c r="M10" t="s">
        <v>3251</v>
      </c>
      <c r="Q10" t="s">
        <v>2944</v>
      </c>
      <c r="U10" t="s">
        <v>3179</v>
      </c>
      <c r="AO10" t="s">
        <v>2985</v>
      </c>
      <c r="BI10" t="s">
        <v>3398</v>
      </c>
      <c r="BY10" t="s">
        <v>2901</v>
      </c>
      <c r="BZ10" t="b">
        <v>0</v>
      </c>
    </row>
    <row r="11" spans="1:80" x14ac:dyDescent="0.25">
      <c r="E11" t="s">
        <v>3415</v>
      </c>
      <c r="M11" t="s">
        <v>3476</v>
      </c>
      <c r="Q11" t="s">
        <v>2945</v>
      </c>
      <c r="U11" t="s">
        <v>3180</v>
      </c>
      <c r="AO11" t="s">
        <v>3195</v>
      </c>
      <c r="BI11" t="s">
        <v>3400</v>
      </c>
      <c r="BY11" t="s">
        <v>2902</v>
      </c>
      <c r="BZ11" t="b">
        <v>0</v>
      </c>
    </row>
    <row r="12" spans="1:80" x14ac:dyDescent="0.25">
      <c r="E12" t="s">
        <v>2913</v>
      </c>
      <c r="M12" t="s">
        <v>3252</v>
      </c>
      <c r="Q12" t="s">
        <v>2946</v>
      </c>
      <c r="U12" t="s">
        <v>3181</v>
      </c>
      <c r="AO12" t="s">
        <v>3196</v>
      </c>
      <c r="BI12" t="s">
        <v>3401</v>
      </c>
      <c r="BY12" t="s">
        <v>2903</v>
      </c>
      <c r="BZ12" t="b">
        <v>0</v>
      </c>
    </row>
    <row r="13" spans="1:80" x14ac:dyDescent="0.25">
      <c r="E13" t="s">
        <v>2914</v>
      </c>
      <c r="M13" t="s">
        <v>3253</v>
      </c>
      <c r="Q13" t="s">
        <v>2947</v>
      </c>
      <c r="U13" t="s">
        <v>3182</v>
      </c>
      <c r="AO13" t="s">
        <v>3197</v>
      </c>
      <c r="BI13" t="s">
        <v>3402</v>
      </c>
      <c r="BY13" t="s">
        <v>1153</v>
      </c>
      <c r="BZ13" t="b">
        <v>0</v>
      </c>
    </row>
    <row r="14" spans="1:80" x14ac:dyDescent="0.25">
      <c r="E14" t="s">
        <v>2915</v>
      </c>
      <c r="M14" t="s">
        <v>3254</v>
      </c>
      <c r="Q14" t="s">
        <v>2948</v>
      </c>
      <c r="U14" t="s">
        <v>3183</v>
      </c>
      <c r="AO14" t="s">
        <v>3198</v>
      </c>
      <c r="BI14" t="s">
        <v>3403</v>
      </c>
      <c r="BY14" t="s">
        <v>2904</v>
      </c>
      <c r="BZ14" t="b">
        <v>0</v>
      </c>
    </row>
    <row r="15" spans="1:80" x14ac:dyDescent="0.25">
      <c r="E15" t="s">
        <v>2916</v>
      </c>
      <c r="M15" t="s">
        <v>3255</v>
      </c>
      <c r="Q15" t="s">
        <v>2949</v>
      </c>
      <c r="U15" t="s">
        <v>3184</v>
      </c>
      <c r="AO15" t="s">
        <v>3199</v>
      </c>
      <c r="BI15" t="s">
        <v>3301</v>
      </c>
      <c r="BY15" t="s">
        <v>2847</v>
      </c>
      <c r="BZ15" t="b">
        <v>0</v>
      </c>
    </row>
    <row r="16" spans="1:80" x14ac:dyDescent="0.25">
      <c r="E16" t="s">
        <v>3416</v>
      </c>
      <c r="M16" t="s">
        <v>3256</v>
      </c>
      <c r="Q16" t="s">
        <v>2950</v>
      </c>
      <c r="U16" t="s">
        <v>3185</v>
      </c>
      <c r="AO16" t="s">
        <v>3200</v>
      </c>
      <c r="BI16" t="s">
        <v>3404</v>
      </c>
      <c r="BY16" t="s">
        <v>1195</v>
      </c>
      <c r="BZ16" t="b">
        <v>0</v>
      </c>
    </row>
    <row r="17" spans="5:78" x14ac:dyDescent="0.25">
      <c r="E17" t="s">
        <v>2917</v>
      </c>
      <c r="M17" t="s">
        <v>3257</v>
      </c>
      <c r="Q17" t="s">
        <v>2910</v>
      </c>
      <c r="U17" t="s">
        <v>3186</v>
      </c>
      <c r="AO17" t="s">
        <v>2990</v>
      </c>
      <c r="BI17" t="s">
        <v>3378</v>
      </c>
      <c r="BY17" t="s">
        <v>2905</v>
      </c>
      <c r="BZ17" t="b">
        <v>0</v>
      </c>
    </row>
    <row r="18" spans="5:78" x14ac:dyDescent="0.25">
      <c r="E18" t="s">
        <v>2918</v>
      </c>
      <c r="M18" t="s">
        <v>3258</v>
      </c>
      <c r="Q18" t="s">
        <v>2951</v>
      </c>
      <c r="U18" t="s">
        <v>3187</v>
      </c>
      <c r="AO18" t="s">
        <v>2991</v>
      </c>
      <c r="BI18" t="s">
        <v>3405</v>
      </c>
    </row>
    <row r="19" spans="5:78" x14ac:dyDescent="0.25">
      <c r="E19" t="s">
        <v>3417</v>
      </c>
      <c r="M19" t="s">
        <v>3259</v>
      </c>
      <c r="Q19" t="s">
        <v>2952</v>
      </c>
      <c r="U19" t="s">
        <v>3188</v>
      </c>
      <c r="AO19" t="s">
        <v>3201</v>
      </c>
      <c r="BI19" t="s">
        <v>3375</v>
      </c>
    </row>
    <row r="20" spans="5:78" x14ac:dyDescent="0.25">
      <c r="E20" t="s">
        <v>2919</v>
      </c>
      <c r="M20" t="s">
        <v>3260</v>
      </c>
      <c r="Q20" t="s">
        <v>2953</v>
      </c>
      <c r="U20" t="s">
        <v>3120</v>
      </c>
      <c r="AO20" t="s">
        <v>3002</v>
      </c>
      <c r="BI20" t="s">
        <v>3396</v>
      </c>
    </row>
    <row r="21" spans="5:78" x14ac:dyDescent="0.25">
      <c r="E21" t="s">
        <v>3418</v>
      </c>
      <c r="M21" t="s">
        <v>3261</v>
      </c>
      <c r="Q21" t="s">
        <v>2954</v>
      </c>
      <c r="U21" t="s">
        <v>3144</v>
      </c>
      <c r="AO21" t="s">
        <v>3202</v>
      </c>
      <c r="BI21" t="s">
        <v>3397</v>
      </c>
    </row>
    <row r="22" spans="5:78" x14ac:dyDescent="0.25">
      <c r="E22" t="s">
        <v>3419</v>
      </c>
      <c r="M22" t="s">
        <v>3262</v>
      </c>
      <c r="Q22" t="s">
        <v>2955</v>
      </c>
      <c r="U22" t="s">
        <v>3189</v>
      </c>
      <c r="AO22" t="s">
        <v>3203</v>
      </c>
      <c r="BI22" t="s">
        <v>3399</v>
      </c>
    </row>
    <row r="23" spans="5:78" x14ac:dyDescent="0.25">
      <c r="E23" t="s">
        <v>3420</v>
      </c>
      <c r="M23" t="s">
        <v>3263</v>
      </c>
      <c r="Q23" t="s">
        <v>3480</v>
      </c>
      <c r="U23" t="s">
        <v>3190</v>
      </c>
      <c r="AO23" t="s">
        <v>3204</v>
      </c>
      <c r="BI23" t="s">
        <v>3478</v>
      </c>
    </row>
    <row r="24" spans="5:78" x14ac:dyDescent="0.25">
      <c r="E24" t="s">
        <v>2920</v>
      </c>
      <c r="M24" t="s">
        <v>3264</v>
      </c>
      <c r="Q24" t="s">
        <v>2956</v>
      </c>
      <c r="U24" t="s">
        <v>3171</v>
      </c>
      <c r="AO24" t="s">
        <v>3012</v>
      </c>
    </row>
    <row r="25" spans="5:78" x14ac:dyDescent="0.25">
      <c r="E25" t="s">
        <v>2921</v>
      </c>
      <c r="M25" t="s">
        <v>3265</v>
      </c>
      <c r="Q25" t="s">
        <v>2957</v>
      </c>
      <c r="AO25" t="s">
        <v>3205</v>
      </c>
    </row>
    <row r="26" spans="5:78" x14ac:dyDescent="0.25">
      <c r="E26" t="s">
        <v>2922</v>
      </c>
      <c r="M26" t="s">
        <v>3266</v>
      </c>
      <c r="Q26" t="s">
        <v>2958</v>
      </c>
      <c r="AO26" t="s">
        <v>3206</v>
      </c>
    </row>
    <row r="27" spans="5:78" x14ac:dyDescent="0.25">
      <c r="E27" t="s">
        <v>2923</v>
      </c>
      <c r="M27" t="s">
        <v>3267</v>
      </c>
      <c r="Q27" t="s">
        <v>2959</v>
      </c>
      <c r="AO27" t="s">
        <v>3207</v>
      </c>
    </row>
    <row r="28" spans="5:78" x14ac:dyDescent="0.25">
      <c r="E28" t="s">
        <v>2924</v>
      </c>
      <c r="M28" t="s">
        <v>3268</v>
      </c>
      <c r="Q28" t="s">
        <v>2960</v>
      </c>
      <c r="AO28" t="s">
        <v>3208</v>
      </c>
    </row>
    <row r="29" spans="5:78" x14ac:dyDescent="0.25">
      <c r="E29" t="s">
        <v>2925</v>
      </c>
      <c r="M29" t="s">
        <v>3269</v>
      </c>
      <c r="Q29" t="s">
        <v>2961</v>
      </c>
      <c r="AO29" t="s">
        <v>3209</v>
      </c>
    </row>
    <row r="30" spans="5:78" x14ac:dyDescent="0.25">
      <c r="E30" t="s">
        <v>3421</v>
      </c>
      <c r="M30" t="s">
        <v>3270</v>
      </c>
      <c r="Q30" t="s">
        <v>2962</v>
      </c>
      <c r="AO30" t="s">
        <v>3210</v>
      </c>
    </row>
    <row r="31" spans="5:78" x14ac:dyDescent="0.25">
      <c r="E31" t="s">
        <v>3422</v>
      </c>
      <c r="M31" t="s">
        <v>3271</v>
      </c>
      <c r="Q31" t="s">
        <v>2963</v>
      </c>
      <c r="AO31" t="s">
        <v>3211</v>
      </c>
    </row>
    <row r="32" spans="5:78" x14ac:dyDescent="0.25">
      <c r="E32" t="s">
        <v>2926</v>
      </c>
      <c r="M32" t="s">
        <v>3272</v>
      </c>
      <c r="Q32" t="s">
        <v>2964</v>
      </c>
      <c r="AO32" t="s">
        <v>3212</v>
      </c>
    </row>
    <row r="33" spans="5:41" x14ac:dyDescent="0.25">
      <c r="E33" t="s">
        <v>2927</v>
      </c>
      <c r="M33" t="s">
        <v>3273</v>
      </c>
      <c r="Q33" t="s">
        <v>2965</v>
      </c>
      <c r="AO33" t="s">
        <v>3213</v>
      </c>
    </row>
    <row r="34" spans="5:41" x14ac:dyDescent="0.25">
      <c r="E34" t="s">
        <v>2928</v>
      </c>
      <c r="M34" t="s">
        <v>3274</v>
      </c>
      <c r="Q34" t="s">
        <v>2966</v>
      </c>
      <c r="AO34" t="s">
        <v>3214</v>
      </c>
    </row>
    <row r="35" spans="5:41" x14ac:dyDescent="0.25">
      <c r="E35" t="s">
        <v>3423</v>
      </c>
      <c r="M35" t="s">
        <v>3275</v>
      </c>
      <c r="Q35" t="s">
        <v>2967</v>
      </c>
      <c r="AO35" t="s">
        <v>3215</v>
      </c>
    </row>
    <row r="36" spans="5:41" x14ac:dyDescent="0.25">
      <c r="E36" t="s">
        <v>3424</v>
      </c>
      <c r="M36" t="s">
        <v>3276</v>
      </c>
      <c r="Q36" t="s">
        <v>2968</v>
      </c>
      <c r="AO36" t="s">
        <v>3216</v>
      </c>
    </row>
    <row r="37" spans="5:41" x14ac:dyDescent="0.25">
      <c r="E37" t="s">
        <v>3425</v>
      </c>
      <c r="M37" t="s">
        <v>3277</v>
      </c>
      <c r="Q37" t="s">
        <v>2969</v>
      </c>
      <c r="AO37" t="s">
        <v>3217</v>
      </c>
    </row>
    <row r="38" spans="5:41" x14ac:dyDescent="0.25">
      <c r="E38" t="s">
        <v>3426</v>
      </c>
      <c r="M38" t="s">
        <v>3278</v>
      </c>
      <c r="Q38" t="s">
        <v>2970</v>
      </c>
      <c r="AO38" t="s">
        <v>3218</v>
      </c>
    </row>
    <row r="39" spans="5:41" x14ac:dyDescent="0.25">
      <c r="E39" t="s">
        <v>3427</v>
      </c>
      <c r="M39" t="s">
        <v>3279</v>
      </c>
      <c r="Q39" t="s">
        <v>2971</v>
      </c>
      <c r="AO39" t="s">
        <v>3219</v>
      </c>
    </row>
    <row r="40" spans="5:41" x14ac:dyDescent="0.25">
      <c r="E40" t="s">
        <v>3428</v>
      </c>
      <c r="M40" t="s">
        <v>3280</v>
      </c>
      <c r="Q40" t="s">
        <v>2972</v>
      </c>
      <c r="AO40" t="s">
        <v>3220</v>
      </c>
    </row>
    <row r="41" spans="5:41" x14ac:dyDescent="0.25">
      <c r="E41" t="s">
        <v>3429</v>
      </c>
      <c r="M41" t="s">
        <v>3281</v>
      </c>
      <c r="Q41" t="s">
        <v>2973</v>
      </c>
      <c r="AO41" t="s">
        <v>3053</v>
      </c>
    </row>
    <row r="42" spans="5:41" x14ac:dyDescent="0.25">
      <c r="E42" t="s">
        <v>2929</v>
      </c>
      <c r="M42" t="s">
        <v>3282</v>
      </c>
      <c r="Q42" t="s">
        <v>2974</v>
      </c>
      <c r="AO42" t="s">
        <v>3177</v>
      </c>
    </row>
    <row r="43" spans="5:41" x14ac:dyDescent="0.25">
      <c r="E43" t="s">
        <v>3430</v>
      </c>
      <c r="M43" t="s">
        <v>3283</v>
      </c>
      <c r="Q43" t="s">
        <v>2975</v>
      </c>
      <c r="AO43" t="s">
        <v>3221</v>
      </c>
    </row>
    <row r="44" spans="5:41" x14ac:dyDescent="0.25">
      <c r="E44" t="s">
        <v>2930</v>
      </c>
      <c r="M44" t="s">
        <v>3284</v>
      </c>
      <c r="Q44" t="s">
        <v>2976</v>
      </c>
      <c r="AO44" t="s">
        <v>3057</v>
      </c>
    </row>
    <row r="45" spans="5:41" x14ac:dyDescent="0.25">
      <c r="E45" t="s">
        <v>2931</v>
      </c>
      <c r="M45" t="s">
        <v>3285</v>
      </c>
      <c r="Q45" t="s">
        <v>2977</v>
      </c>
      <c r="AO45" t="s">
        <v>3222</v>
      </c>
    </row>
    <row r="46" spans="5:41" x14ac:dyDescent="0.25">
      <c r="E46" t="s">
        <v>3431</v>
      </c>
      <c r="M46" t="s">
        <v>3286</v>
      </c>
      <c r="Q46" t="s">
        <v>2978</v>
      </c>
      <c r="AO46" t="s">
        <v>3223</v>
      </c>
    </row>
    <row r="47" spans="5:41" x14ac:dyDescent="0.25">
      <c r="E47" t="s">
        <v>3432</v>
      </c>
      <c r="M47" t="s">
        <v>3287</v>
      </c>
      <c r="Q47" t="s">
        <v>3481</v>
      </c>
      <c r="AO47" t="s">
        <v>3224</v>
      </c>
    </row>
    <row r="48" spans="5:41" x14ac:dyDescent="0.25">
      <c r="E48" t="s">
        <v>3433</v>
      </c>
      <c r="M48" t="s">
        <v>3288</v>
      </c>
      <c r="Q48" t="s">
        <v>2979</v>
      </c>
      <c r="AO48" t="s">
        <v>3225</v>
      </c>
    </row>
    <row r="49" spans="5:41" x14ac:dyDescent="0.25">
      <c r="E49" t="s">
        <v>3434</v>
      </c>
      <c r="M49" t="s">
        <v>3289</v>
      </c>
      <c r="Q49" t="s">
        <v>2980</v>
      </c>
      <c r="AO49" t="s">
        <v>3226</v>
      </c>
    </row>
    <row r="50" spans="5:41" x14ac:dyDescent="0.25">
      <c r="E50" t="s">
        <v>2932</v>
      </c>
      <c r="M50" t="s">
        <v>3290</v>
      </c>
      <c r="Q50" t="s">
        <v>2981</v>
      </c>
      <c r="AO50" t="s">
        <v>3065</v>
      </c>
    </row>
    <row r="51" spans="5:41" x14ac:dyDescent="0.25">
      <c r="E51" t="s">
        <v>3435</v>
      </c>
      <c r="M51" t="s">
        <v>3291</v>
      </c>
      <c r="Q51" t="s">
        <v>2982</v>
      </c>
      <c r="AO51" t="s">
        <v>3068</v>
      </c>
    </row>
    <row r="52" spans="5:41" x14ac:dyDescent="0.25">
      <c r="E52" t="s">
        <v>3436</v>
      </c>
      <c r="M52" t="s">
        <v>3292</v>
      </c>
      <c r="Q52" t="s">
        <v>2983</v>
      </c>
      <c r="AO52" t="s">
        <v>3227</v>
      </c>
    </row>
    <row r="53" spans="5:41" x14ac:dyDescent="0.25">
      <c r="E53" t="s">
        <v>3437</v>
      </c>
      <c r="M53" t="s">
        <v>3293</v>
      </c>
      <c r="Q53" t="s">
        <v>2984</v>
      </c>
      <c r="AO53" t="s">
        <v>3228</v>
      </c>
    </row>
    <row r="54" spans="5:41" x14ac:dyDescent="0.25">
      <c r="E54" t="s">
        <v>3438</v>
      </c>
      <c r="M54" t="s">
        <v>3294</v>
      </c>
      <c r="Q54" t="s">
        <v>2985</v>
      </c>
      <c r="AO54" t="s">
        <v>3072</v>
      </c>
    </row>
    <row r="55" spans="5:41" x14ac:dyDescent="0.25">
      <c r="E55" t="s">
        <v>3439</v>
      </c>
      <c r="M55" t="s">
        <v>3295</v>
      </c>
      <c r="Q55" t="s">
        <v>2986</v>
      </c>
      <c r="AO55" t="s">
        <v>3229</v>
      </c>
    </row>
    <row r="56" spans="5:41" x14ac:dyDescent="0.25">
      <c r="E56" t="s">
        <v>3440</v>
      </c>
      <c r="M56" t="s">
        <v>3296</v>
      </c>
      <c r="Q56" t="s">
        <v>2987</v>
      </c>
      <c r="AO56" t="s">
        <v>3074</v>
      </c>
    </row>
    <row r="57" spans="5:41" x14ac:dyDescent="0.25">
      <c r="E57" t="s">
        <v>3441</v>
      </c>
      <c r="M57" t="s">
        <v>3297</v>
      </c>
      <c r="Q57" t="s">
        <v>2988</v>
      </c>
      <c r="AO57" t="s">
        <v>3230</v>
      </c>
    </row>
    <row r="58" spans="5:41" x14ac:dyDescent="0.25">
      <c r="E58" t="s">
        <v>3442</v>
      </c>
      <c r="M58" t="s">
        <v>3298</v>
      </c>
      <c r="Q58" t="s">
        <v>2989</v>
      </c>
      <c r="AO58" t="s">
        <v>3075</v>
      </c>
    </row>
    <row r="59" spans="5:41" x14ac:dyDescent="0.25">
      <c r="E59" t="s">
        <v>3443</v>
      </c>
      <c r="M59" t="s">
        <v>3299</v>
      </c>
      <c r="Q59" t="s">
        <v>2990</v>
      </c>
      <c r="AO59" t="s">
        <v>3078</v>
      </c>
    </row>
    <row r="60" spans="5:41" x14ac:dyDescent="0.25">
      <c r="E60" t="s">
        <v>3444</v>
      </c>
      <c r="M60" t="s">
        <v>3300</v>
      </c>
      <c r="Q60" t="s">
        <v>2991</v>
      </c>
      <c r="AO60" t="s">
        <v>2933</v>
      </c>
    </row>
    <row r="61" spans="5:41" x14ac:dyDescent="0.25">
      <c r="E61" t="s">
        <v>3445</v>
      </c>
      <c r="M61" t="s">
        <v>3301</v>
      </c>
      <c r="Q61" t="s">
        <v>2992</v>
      </c>
      <c r="AO61" t="s">
        <v>3231</v>
      </c>
    </row>
    <row r="62" spans="5:41" x14ac:dyDescent="0.25">
      <c r="E62" t="s">
        <v>3446</v>
      </c>
      <c r="M62" t="s">
        <v>3302</v>
      </c>
      <c r="Q62" t="s">
        <v>2993</v>
      </c>
      <c r="AO62" t="s">
        <v>3083</v>
      </c>
    </row>
    <row r="63" spans="5:41" x14ac:dyDescent="0.25">
      <c r="E63" t="s">
        <v>3447</v>
      </c>
      <c r="M63" t="s">
        <v>3303</v>
      </c>
      <c r="Q63" t="s">
        <v>2994</v>
      </c>
      <c r="AO63" t="s">
        <v>3087</v>
      </c>
    </row>
    <row r="64" spans="5:41" x14ac:dyDescent="0.25">
      <c r="E64" t="s">
        <v>3448</v>
      </c>
      <c r="M64" t="s">
        <v>3304</v>
      </c>
      <c r="Q64" t="s">
        <v>2995</v>
      </c>
      <c r="AO64" t="s">
        <v>3088</v>
      </c>
    </row>
    <row r="65" spans="5:41" x14ac:dyDescent="0.25">
      <c r="E65" t="s">
        <v>3449</v>
      </c>
      <c r="M65" t="s">
        <v>3305</v>
      </c>
      <c r="Q65" t="s">
        <v>2996</v>
      </c>
      <c r="AO65" t="s">
        <v>3089</v>
      </c>
    </row>
    <row r="66" spans="5:41" x14ac:dyDescent="0.25">
      <c r="E66" t="s">
        <v>3450</v>
      </c>
      <c r="M66" t="s">
        <v>3306</v>
      </c>
      <c r="Q66" t="s">
        <v>2997</v>
      </c>
      <c r="AO66" t="s">
        <v>3090</v>
      </c>
    </row>
    <row r="67" spans="5:41" x14ac:dyDescent="0.25">
      <c r="E67" t="s">
        <v>3451</v>
      </c>
      <c r="M67" t="s">
        <v>3307</v>
      </c>
      <c r="Q67" t="s">
        <v>2998</v>
      </c>
      <c r="AO67" t="s">
        <v>1456</v>
      </c>
    </row>
    <row r="68" spans="5:41" x14ac:dyDescent="0.25">
      <c r="E68" t="s">
        <v>3452</v>
      </c>
      <c r="M68" t="s">
        <v>3308</v>
      </c>
      <c r="Q68" t="s">
        <v>2999</v>
      </c>
      <c r="AO68" t="s">
        <v>3232</v>
      </c>
    </row>
    <row r="69" spans="5:41" x14ac:dyDescent="0.25">
      <c r="E69" t="s">
        <v>3453</v>
      </c>
      <c r="M69" t="s">
        <v>3309</v>
      </c>
      <c r="Q69" t="s">
        <v>3000</v>
      </c>
      <c r="AO69" t="s">
        <v>3233</v>
      </c>
    </row>
    <row r="70" spans="5:41" x14ac:dyDescent="0.25">
      <c r="E70" t="s">
        <v>3454</v>
      </c>
      <c r="M70" t="s">
        <v>3310</v>
      </c>
      <c r="Q70" t="s">
        <v>3001</v>
      </c>
      <c r="AO70" t="s">
        <v>3234</v>
      </c>
    </row>
    <row r="71" spans="5:41" x14ac:dyDescent="0.25">
      <c r="E71" t="s">
        <v>3455</v>
      </c>
      <c r="M71" t="s">
        <v>3311</v>
      </c>
      <c r="Q71" t="s">
        <v>3002</v>
      </c>
      <c r="AO71" t="s">
        <v>3235</v>
      </c>
    </row>
    <row r="72" spans="5:41" x14ac:dyDescent="0.25">
      <c r="E72" t="s">
        <v>3456</v>
      </c>
      <c r="M72" t="s">
        <v>3312</v>
      </c>
      <c r="Q72" t="s">
        <v>3003</v>
      </c>
      <c r="AO72" t="s">
        <v>3236</v>
      </c>
    </row>
    <row r="73" spans="5:41" x14ac:dyDescent="0.25">
      <c r="E73" t="s">
        <v>3457</v>
      </c>
      <c r="M73" t="s">
        <v>3313</v>
      </c>
      <c r="Q73" t="s">
        <v>3004</v>
      </c>
      <c r="AO73" t="s">
        <v>3237</v>
      </c>
    </row>
    <row r="74" spans="5:41" x14ac:dyDescent="0.25">
      <c r="E74" t="s">
        <v>3458</v>
      </c>
      <c r="M74" t="s">
        <v>3314</v>
      </c>
      <c r="Q74" t="s">
        <v>3005</v>
      </c>
      <c r="AO74" t="s">
        <v>1910</v>
      </c>
    </row>
    <row r="75" spans="5:41" x14ac:dyDescent="0.25">
      <c r="E75" t="s">
        <v>3459</v>
      </c>
      <c r="M75" t="s">
        <v>3315</v>
      </c>
      <c r="Q75" t="s">
        <v>3470</v>
      </c>
      <c r="AO75" t="s">
        <v>3120</v>
      </c>
    </row>
    <row r="76" spans="5:41" x14ac:dyDescent="0.25">
      <c r="E76" t="s">
        <v>2933</v>
      </c>
      <c r="M76" t="s">
        <v>3316</v>
      </c>
      <c r="Q76" t="s">
        <v>3006</v>
      </c>
      <c r="AO76" t="s">
        <v>3238</v>
      </c>
    </row>
    <row r="77" spans="5:41" x14ac:dyDescent="0.25">
      <c r="E77" t="s">
        <v>3460</v>
      </c>
      <c r="M77" t="s">
        <v>3317</v>
      </c>
      <c r="Q77" t="s">
        <v>3007</v>
      </c>
      <c r="AO77" t="s">
        <v>3126</v>
      </c>
    </row>
    <row r="78" spans="5:41" x14ac:dyDescent="0.25">
      <c r="E78" t="s">
        <v>3461</v>
      </c>
      <c r="M78" t="s">
        <v>3318</v>
      </c>
      <c r="Q78" t="s">
        <v>3008</v>
      </c>
      <c r="AO78" t="s">
        <v>3239</v>
      </c>
    </row>
    <row r="79" spans="5:41" x14ac:dyDescent="0.25">
      <c r="E79" t="s">
        <v>3462</v>
      </c>
      <c r="M79" t="s">
        <v>3319</v>
      </c>
      <c r="Q79" t="s">
        <v>3009</v>
      </c>
      <c r="AO79" t="s">
        <v>3143</v>
      </c>
    </row>
    <row r="80" spans="5:41" x14ac:dyDescent="0.25">
      <c r="E80" t="s">
        <v>3463</v>
      </c>
      <c r="M80" t="s">
        <v>3320</v>
      </c>
      <c r="Q80" t="s">
        <v>3010</v>
      </c>
      <c r="AO80" t="s">
        <v>3144</v>
      </c>
    </row>
    <row r="81" spans="5:41" x14ac:dyDescent="0.25">
      <c r="E81" t="s">
        <v>3464</v>
      </c>
      <c r="M81" t="s">
        <v>3321</v>
      </c>
      <c r="Q81" t="s">
        <v>3011</v>
      </c>
      <c r="AO81" t="s">
        <v>3148</v>
      </c>
    </row>
    <row r="82" spans="5:41" x14ac:dyDescent="0.25">
      <c r="E82" t="s">
        <v>3465</v>
      </c>
      <c r="M82" t="s">
        <v>3322</v>
      </c>
      <c r="Q82" t="s">
        <v>3012</v>
      </c>
      <c r="AO82" t="s">
        <v>3240</v>
      </c>
    </row>
    <row r="83" spans="5:41" x14ac:dyDescent="0.25">
      <c r="E83" t="s">
        <v>3466</v>
      </c>
      <c r="M83" t="s">
        <v>3323</v>
      </c>
      <c r="Q83" t="s">
        <v>3013</v>
      </c>
      <c r="AO83" t="s">
        <v>3152</v>
      </c>
    </row>
    <row r="84" spans="5:41" x14ac:dyDescent="0.25">
      <c r="E84" t="s">
        <v>3467</v>
      </c>
      <c r="M84" t="s">
        <v>3324</v>
      </c>
      <c r="Q84" t="s">
        <v>3014</v>
      </c>
      <c r="AO84" t="s">
        <v>3241</v>
      </c>
    </row>
    <row r="85" spans="5:41" x14ac:dyDescent="0.25">
      <c r="E85" t="s">
        <v>3468</v>
      </c>
      <c r="M85" t="s">
        <v>3325</v>
      </c>
      <c r="Q85" t="s">
        <v>3015</v>
      </c>
      <c r="AO85" t="s">
        <v>3165</v>
      </c>
    </row>
    <row r="86" spans="5:41" x14ac:dyDescent="0.25">
      <c r="E86" t="s">
        <v>3188</v>
      </c>
      <c r="M86" t="s">
        <v>3326</v>
      </c>
      <c r="Q86" t="s">
        <v>3016</v>
      </c>
      <c r="AO86" t="s">
        <v>3242</v>
      </c>
    </row>
    <row r="87" spans="5:41" x14ac:dyDescent="0.25">
      <c r="E87" t="s">
        <v>2934</v>
      </c>
      <c r="M87" t="s">
        <v>3327</v>
      </c>
      <c r="Q87" t="s">
        <v>3017</v>
      </c>
      <c r="AO87" t="s">
        <v>3243</v>
      </c>
    </row>
    <row r="88" spans="5:41" x14ac:dyDescent="0.25">
      <c r="E88" t="s">
        <v>3469</v>
      </c>
      <c r="M88" t="s">
        <v>3328</v>
      </c>
      <c r="Q88" t="s">
        <v>3018</v>
      </c>
      <c r="AO88" t="s">
        <v>3171</v>
      </c>
    </row>
    <row r="89" spans="5:41" x14ac:dyDescent="0.25">
      <c r="M89" t="s">
        <v>3329</v>
      </c>
      <c r="Q89" t="s">
        <v>3019</v>
      </c>
      <c r="AO89" t="s">
        <v>3172</v>
      </c>
    </row>
    <row r="90" spans="5:41" x14ac:dyDescent="0.25">
      <c r="M90" t="s">
        <v>253</v>
      </c>
      <c r="Q90" t="s">
        <v>3020</v>
      </c>
    </row>
    <row r="91" spans="5:41" x14ac:dyDescent="0.25">
      <c r="M91" t="s">
        <v>3482</v>
      </c>
      <c r="Q91" t="s">
        <v>3021</v>
      </c>
    </row>
    <row r="92" spans="5:41" x14ac:dyDescent="0.25">
      <c r="M92" t="s">
        <v>3330</v>
      </c>
      <c r="Q92" t="s">
        <v>3022</v>
      </c>
    </row>
    <row r="93" spans="5:41" x14ac:dyDescent="0.25">
      <c r="M93" t="s">
        <v>3331</v>
      </c>
      <c r="Q93" t="s">
        <v>3023</v>
      </c>
    </row>
    <row r="94" spans="5:41" x14ac:dyDescent="0.25">
      <c r="M94" t="s">
        <v>3477</v>
      </c>
      <c r="Q94" t="s">
        <v>3024</v>
      </c>
    </row>
    <row r="95" spans="5:41" x14ac:dyDescent="0.25">
      <c r="M95" t="s">
        <v>3332</v>
      </c>
      <c r="Q95" t="s">
        <v>3025</v>
      </c>
    </row>
    <row r="96" spans="5:41" x14ac:dyDescent="0.25">
      <c r="M96" t="s">
        <v>3333</v>
      </c>
      <c r="Q96" t="s">
        <v>3026</v>
      </c>
    </row>
    <row r="97" spans="13:17" x14ac:dyDescent="0.25">
      <c r="M97" t="s">
        <v>3334</v>
      </c>
      <c r="Q97" t="s">
        <v>3027</v>
      </c>
    </row>
    <row r="98" spans="13:17" x14ac:dyDescent="0.25">
      <c r="M98" t="s">
        <v>3335</v>
      </c>
      <c r="Q98" t="s">
        <v>3028</v>
      </c>
    </row>
    <row r="99" spans="13:17" x14ac:dyDescent="0.25">
      <c r="M99" t="s">
        <v>3336</v>
      </c>
      <c r="Q99" t="s">
        <v>3471</v>
      </c>
    </row>
    <row r="100" spans="13:17" x14ac:dyDescent="0.25">
      <c r="M100" t="s">
        <v>3337</v>
      </c>
      <c r="Q100" t="s">
        <v>3029</v>
      </c>
    </row>
    <row r="101" spans="13:17" x14ac:dyDescent="0.25">
      <c r="M101" t="s">
        <v>3338</v>
      </c>
      <c r="Q101" t="s">
        <v>3030</v>
      </c>
    </row>
    <row r="102" spans="13:17" x14ac:dyDescent="0.25">
      <c r="M102" t="s">
        <v>3339</v>
      </c>
      <c r="Q102" t="s">
        <v>3031</v>
      </c>
    </row>
    <row r="103" spans="13:17" x14ac:dyDescent="0.25">
      <c r="M103" t="s">
        <v>3340</v>
      </c>
      <c r="Q103" t="s">
        <v>3032</v>
      </c>
    </row>
    <row r="104" spans="13:17" x14ac:dyDescent="0.25">
      <c r="M104" t="s">
        <v>3341</v>
      </c>
      <c r="Q104" t="s">
        <v>3033</v>
      </c>
    </row>
    <row r="105" spans="13:17" x14ac:dyDescent="0.25">
      <c r="M105" t="s">
        <v>3342</v>
      </c>
      <c r="Q105" t="s">
        <v>3034</v>
      </c>
    </row>
    <row r="106" spans="13:17" x14ac:dyDescent="0.25">
      <c r="M106" t="s">
        <v>3343</v>
      </c>
      <c r="Q106" t="s">
        <v>3035</v>
      </c>
    </row>
    <row r="107" spans="13:17" x14ac:dyDescent="0.25">
      <c r="M107" t="s">
        <v>3344</v>
      </c>
      <c r="Q107" t="s">
        <v>3036</v>
      </c>
    </row>
    <row r="108" spans="13:17" x14ac:dyDescent="0.25">
      <c r="M108" t="s">
        <v>3235</v>
      </c>
      <c r="Q108" t="s">
        <v>3037</v>
      </c>
    </row>
    <row r="109" spans="13:17" x14ac:dyDescent="0.25">
      <c r="M109" t="s">
        <v>3345</v>
      </c>
      <c r="Q109" t="s">
        <v>3038</v>
      </c>
    </row>
    <row r="110" spans="13:17" x14ac:dyDescent="0.25">
      <c r="M110" t="s">
        <v>3346</v>
      </c>
      <c r="Q110" t="s">
        <v>3039</v>
      </c>
    </row>
    <row r="111" spans="13:17" x14ac:dyDescent="0.25">
      <c r="M111" t="s">
        <v>3347</v>
      </c>
      <c r="Q111" t="s">
        <v>3040</v>
      </c>
    </row>
    <row r="112" spans="13:17" x14ac:dyDescent="0.25">
      <c r="M112" t="s">
        <v>3348</v>
      </c>
      <c r="Q112" t="s">
        <v>3041</v>
      </c>
    </row>
    <row r="113" spans="13:17" x14ac:dyDescent="0.25">
      <c r="M113" t="s">
        <v>3349</v>
      </c>
      <c r="Q113" t="s">
        <v>3042</v>
      </c>
    </row>
    <row r="114" spans="13:17" x14ac:dyDescent="0.25">
      <c r="M114" t="s">
        <v>3350</v>
      </c>
      <c r="Q114" t="s">
        <v>3043</v>
      </c>
    </row>
    <row r="115" spans="13:17" x14ac:dyDescent="0.25">
      <c r="M115" t="s">
        <v>3351</v>
      </c>
      <c r="Q115" t="s">
        <v>3044</v>
      </c>
    </row>
    <row r="116" spans="13:17" x14ac:dyDescent="0.25">
      <c r="M116" t="s">
        <v>3352</v>
      </c>
      <c r="Q116" t="s">
        <v>3045</v>
      </c>
    </row>
    <row r="117" spans="13:17" x14ac:dyDescent="0.25">
      <c r="M117" t="s">
        <v>3353</v>
      </c>
      <c r="Q117" t="s">
        <v>3046</v>
      </c>
    </row>
    <row r="118" spans="13:17" x14ac:dyDescent="0.25">
      <c r="M118" t="s">
        <v>3354</v>
      </c>
      <c r="Q118" t="s">
        <v>3047</v>
      </c>
    </row>
    <row r="119" spans="13:17" x14ac:dyDescent="0.25">
      <c r="M119" t="s">
        <v>3355</v>
      </c>
      <c r="Q119" t="s">
        <v>3048</v>
      </c>
    </row>
    <row r="120" spans="13:17" x14ac:dyDescent="0.25">
      <c r="M120" t="s">
        <v>3143</v>
      </c>
      <c r="Q120" t="s">
        <v>3049</v>
      </c>
    </row>
    <row r="121" spans="13:17" x14ac:dyDescent="0.25">
      <c r="M121" t="s">
        <v>3356</v>
      </c>
      <c r="Q121" t="s">
        <v>3050</v>
      </c>
    </row>
    <row r="122" spans="13:17" x14ac:dyDescent="0.25">
      <c r="M122" t="s">
        <v>3357</v>
      </c>
      <c r="Q122" t="s">
        <v>3051</v>
      </c>
    </row>
    <row r="123" spans="13:17" x14ac:dyDescent="0.25">
      <c r="M123" t="s">
        <v>3358</v>
      </c>
      <c r="Q123" t="s">
        <v>3052</v>
      </c>
    </row>
    <row r="124" spans="13:17" x14ac:dyDescent="0.25">
      <c r="M124" t="s">
        <v>3359</v>
      </c>
      <c r="Q124" t="s">
        <v>3053</v>
      </c>
    </row>
    <row r="125" spans="13:17" x14ac:dyDescent="0.25">
      <c r="M125" t="s">
        <v>3360</v>
      </c>
      <c r="Q125" t="s">
        <v>3054</v>
      </c>
    </row>
    <row r="126" spans="13:17" x14ac:dyDescent="0.25">
      <c r="M126" t="s">
        <v>3361</v>
      </c>
      <c r="Q126" t="s">
        <v>3055</v>
      </c>
    </row>
    <row r="127" spans="13:17" x14ac:dyDescent="0.25">
      <c r="M127" t="s">
        <v>3362</v>
      </c>
      <c r="Q127" t="s">
        <v>3056</v>
      </c>
    </row>
    <row r="128" spans="13:17" x14ac:dyDescent="0.25">
      <c r="M128" t="s">
        <v>3363</v>
      </c>
      <c r="Q128" t="s">
        <v>3057</v>
      </c>
    </row>
    <row r="129" spans="13:17" x14ac:dyDescent="0.25">
      <c r="M129" t="s">
        <v>3364</v>
      </c>
      <c r="Q129" t="s">
        <v>3058</v>
      </c>
    </row>
    <row r="130" spans="13:17" x14ac:dyDescent="0.25">
      <c r="M130" t="s">
        <v>3365</v>
      </c>
      <c r="Q130" t="s">
        <v>3059</v>
      </c>
    </row>
    <row r="131" spans="13:17" x14ac:dyDescent="0.25">
      <c r="M131" t="s">
        <v>3366</v>
      </c>
      <c r="Q131" t="s">
        <v>3060</v>
      </c>
    </row>
    <row r="132" spans="13:17" x14ac:dyDescent="0.25">
      <c r="M132" t="s">
        <v>3367</v>
      </c>
      <c r="Q132" t="s">
        <v>3061</v>
      </c>
    </row>
    <row r="133" spans="13:17" x14ac:dyDescent="0.25">
      <c r="M133" t="s">
        <v>3368</v>
      </c>
      <c r="Q133" t="s">
        <v>3062</v>
      </c>
    </row>
    <row r="134" spans="13:17" x14ac:dyDescent="0.25">
      <c r="M134" t="s">
        <v>3369</v>
      </c>
      <c r="Q134" t="s">
        <v>3063</v>
      </c>
    </row>
    <row r="135" spans="13:17" x14ac:dyDescent="0.25">
      <c r="M135" t="s">
        <v>3370</v>
      </c>
      <c r="Q135" t="s">
        <v>3064</v>
      </c>
    </row>
    <row r="136" spans="13:17" x14ac:dyDescent="0.25">
      <c r="M136" t="s">
        <v>3371</v>
      </c>
      <c r="Q136" t="s">
        <v>3065</v>
      </c>
    </row>
    <row r="137" spans="13:17" x14ac:dyDescent="0.25">
      <c r="M137" t="s">
        <v>3372</v>
      </c>
      <c r="Q137" t="s">
        <v>3066</v>
      </c>
    </row>
    <row r="138" spans="13:17" x14ac:dyDescent="0.25">
      <c r="M138" t="s">
        <v>3373</v>
      </c>
      <c r="Q138" t="s">
        <v>3067</v>
      </c>
    </row>
    <row r="139" spans="13:17" x14ac:dyDescent="0.25">
      <c r="M139" t="s">
        <v>3374</v>
      </c>
      <c r="Q139" t="s">
        <v>3068</v>
      </c>
    </row>
    <row r="140" spans="13:17" x14ac:dyDescent="0.25">
      <c r="M140" t="s">
        <v>3375</v>
      </c>
      <c r="Q140" t="s">
        <v>3069</v>
      </c>
    </row>
    <row r="141" spans="13:17" x14ac:dyDescent="0.25">
      <c r="M141" t="s">
        <v>3376</v>
      </c>
      <c r="Q141" t="s">
        <v>3070</v>
      </c>
    </row>
    <row r="142" spans="13:17" x14ac:dyDescent="0.25">
      <c r="M142" t="s">
        <v>3377</v>
      </c>
      <c r="Q142" t="s">
        <v>3071</v>
      </c>
    </row>
    <row r="143" spans="13:17" x14ac:dyDescent="0.25">
      <c r="M143" t="s">
        <v>3378</v>
      </c>
      <c r="Q143" t="s">
        <v>3072</v>
      </c>
    </row>
    <row r="144" spans="13:17" x14ac:dyDescent="0.25">
      <c r="M144" t="s">
        <v>3379</v>
      </c>
      <c r="Q144" t="s">
        <v>3073</v>
      </c>
    </row>
    <row r="145" spans="13:17" x14ac:dyDescent="0.25">
      <c r="M145" t="s">
        <v>3380</v>
      </c>
      <c r="Q145" t="s">
        <v>3074</v>
      </c>
    </row>
    <row r="146" spans="13:17" x14ac:dyDescent="0.25">
      <c r="M146" t="s">
        <v>3381</v>
      </c>
      <c r="Q146" t="s">
        <v>3075</v>
      </c>
    </row>
    <row r="147" spans="13:17" x14ac:dyDescent="0.25">
      <c r="M147" t="s">
        <v>3382</v>
      </c>
      <c r="Q147" t="s">
        <v>3076</v>
      </c>
    </row>
    <row r="148" spans="13:17" x14ac:dyDescent="0.25">
      <c r="M148" t="s">
        <v>3383</v>
      </c>
      <c r="Q148" t="s">
        <v>3077</v>
      </c>
    </row>
    <row r="149" spans="13:17" x14ac:dyDescent="0.25">
      <c r="M149" t="s">
        <v>3384</v>
      </c>
      <c r="Q149" t="s">
        <v>3078</v>
      </c>
    </row>
    <row r="150" spans="13:17" x14ac:dyDescent="0.25">
      <c r="M150" t="s">
        <v>3385</v>
      </c>
      <c r="Q150" t="s">
        <v>2933</v>
      </c>
    </row>
    <row r="151" spans="13:17" x14ac:dyDescent="0.25">
      <c r="M151" t="s">
        <v>3386</v>
      </c>
      <c r="Q151" t="s">
        <v>3079</v>
      </c>
    </row>
    <row r="152" spans="13:17" x14ac:dyDescent="0.25">
      <c r="M152" t="s">
        <v>3387</v>
      </c>
      <c r="Q152" t="s">
        <v>3080</v>
      </c>
    </row>
    <row r="153" spans="13:17" x14ac:dyDescent="0.25">
      <c r="M153" t="s">
        <v>3388</v>
      </c>
      <c r="Q153" t="s">
        <v>3081</v>
      </c>
    </row>
    <row r="154" spans="13:17" x14ac:dyDescent="0.25">
      <c r="M154" t="s">
        <v>3389</v>
      </c>
      <c r="Q154" t="s">
        <v>3082</v>
      </c>
    </row>
    <row r="155" spans="13:17" x14ac:dyDescent="0.25">
      <c r="Q155" t="s">
        <v>3083</v>
      </c>
    </row>
    <row r="156" spans="13:17" x14ac:dyDescent="0.25">
      <c r="Q156" t="s">
        <v>3084</v>
      </c>
    </row>
    <row r="157" spans="13:17" x14ac:dyDescent="0.25">
      <c r="Q157" t="s">
        <v>3085</v>
      </c>
    </row>
    <row r="158" spans="13:17" x14ac:dyDescent="0.25">
      <c r="Q158" t="s">
        <v>3086</v>
      </c>
    </row>
    <row r="159" spans="13:17" x14ac:dyDescent="0.25">
      <c r="Q159" t="s">
        <v>3087</v>
      </c>
    </row>
    <row r="160" spans="13:17" x14ac:dyDescent="0.25">
      <c r="Q160" t="s">
        <v>3088</v>
      </c>
    </row>
    <row r="161" spans="17:17" x14ac:dyDescent="0.25">
      <c r="Q161" t="s">
        <v>3089</v>
      </c>
    </row>
    <row r="162" spans="17:17" x14ac:dyDescent="0.25">
      <c r="Q162" t="s">
        <v>3090</v>
      </c>
    </row>
    <row r="163" spans="17:17" x14ac:dyDescent="0.25">
      <c r="Q163" t="s">
        <v>3091</v>
      </c>
    </row>
    <row r="164" spans="17:17" x14ac:dyDescent="0.25">
      <c r="Q164" t="s">
        <v>3092</v>
      </c>
    </row>
    <row r="165" spans="17:17" x14ac:dyDescent="0.25">
      <c r="Q165" t="s">
        <v>3093</v>
      </c>
    </row>
    <row r="166" spans="17:17" x14ac:dyDescent="0.25">
      <c r="Q166" t="s">
        <v>3094</v>
      </c>
    </row>
    <row r="167" spans="17:17" x14ac:dyDescent="0.25">
      <c r="Q167" t="s">
        <v>3095</v>
      </c>
    </row>
    <row r="168" spans="17:17" x14ac:dyDescent="0.25">
      <c r="Q168" t="s">
        <v>3096</v>
      </c>
    </row>
    <row r="169" spans="17:17" x14ac:dyDescent="0.25">
      <c r="Q169" t="s">
        <v>3097</v>
      </c>
    </row>
    <row r="170" spans="17:17" x14ac:dyDescent="0.25">
      <c r="Q170" t="s">
        <v>3098</v>
      </c>
    </row>
    <row r="171" spans="17:17" x14ac:dyDescent="0.25">
      <c r="Q171" t="s">
        <v>3099</v>
      </c>
    </row>
    <row r="172" spans="17:17" x14ac:dyDescent="0.25">
      <c r="Q172" t="s">
        <v>3100</v>
      </c>
    </row>
    <row r="173" spans="17:17" x14ac:dyDescent="0.25">
      <c r="Q173" t="s">
        <v>3101</v>
      </c>
    </row>
    <row r="174" spans="17:17" x14ac:dyDescent="0.25">
      <c r="Q174" t="s">
        <v>3102</v>
      </c>
    </row>
    <row r="175" spans="17:17" x14ac:dyDescent="0.25">
      <c r="Q175" t="s">
        <v>3103</v>
      </c>
    </row>
    <row r="176" spans="17:17" x14ac:dyDescent="0.25">
      <c r="Q176" t="s">
        <v>3104</v>
      </c>
    </row>
    <row r="177" spans="17:17" x14ac:dyDescent="0.25">
      <c r="Q177" t="s">
        <v>3105</v>
      </c>
    </row>
    <row r="178" spans="17:17" x14ac:dyDescent="0.25">
      <c r="Q178" t="s">
        <v>3106</v>
      </c>
    </row>
    <row r="179" spans="17:17" x14ac:dyDescent="0.25">
      <c r="Q179" t="s">
        <v>3107</v>
      </c>
    </row>
    <row r="180" spans="17:17" x14ac:dyDescent="0.25">
      <c r="Q180" t="s">
        <v>3108</v>
      </c>
    </row>
    <row r="181" spans="17:17" x14ac:dyDescent="0.25">
      <c r="Q181" t="s">
        <v>3109</v>
      </c>
    </row>
    <row r="182" spans="17:17" x14ac:dyDescent="0.25">
      <c r="Q182" t="s">
        <v>3110</v>
      </c>
    </row>
    <row r="183" spans="17:17" x14ac:dyDescent="0.25">
      <c r="Q183" t="s">
        <v>3111</v>
      </c>
    </row>
    <row r="184" spans="17:17" x14ac:dyDescent="0.25">
      <c r="Q184" t="s">
        <v>3112</v>
      </c>
    </row>
    <row r="185" spans="17:17" x14ac:dyDescent="0.25">
      <c r="Q185" t="s">
        <v>3113</v>
      </c>
    </row>
    <row r="186" spans="17:17" x14ac:dyDescent="0.25">
      <c r="Q186" t="s">
        <v>3114</v>
      </c>
    </row>
    <row r="187" spans="17:17" x14ac:dyDescent="0.25">
      <c r="Q187" t="s">
        <v>3115</v>
      </c>
    </row>
    <row r="188" spans="17:17" x14ac:dyDescent="0.25">
      <c r="Q188" t="s">
        <v>3116</v>
      </c>
    </row>
    <row r="189" spans="17:17" x14ac:dyDescent="0.25">
      <c r="Q189" t="s">
        <v>3117</v>
      </c>
    </row>
    <row r="190" spans="17:17" x14ac:dyDescent="0.25">
      <c r="Q190" t="s">
        <v>3118</v>
      </c>
    </row>
    <row r="191" spans="17:17" x14ac:dyDescent="0.25">
      <c r="Q191" t="s">
        <v>3119</v>
      </c>
    </row>
    <row r="192" spans="17:17" x14ac:dyDescent="0.25">
      <c r="Q192" t="s">
        <v>3120</v>
      </c>
    </row>
    <row r="193" spans="17:17" x14ac:dyDescent="0.25">
      <c r="Q193" t="s">
        <v>3121</v>
      </c>
    </row>
    <row r="194" spans="17:17" x14ac:dyDescent="0.25">
      <c r="Q194" t="s">
        <v>3122</v>
      </c>
    </row>
    <row r="195" spans="17:17" x14ac:dyDescent="0.25">
      <c r="Q195" t="s">
        <v>3123</v>
      </c>
    </row>
    <row r="196" spans="17:17" x14ac:dyDescent="0.25">
      <c r="Q196" t="s">
        <v>3124</v>
      </c>
    </row>
    <row r="197" spans="17:17" x14ac:dyDescent="0.25">
      <c r="Q197" t="s">
        <v>3125</v>
      </c>
    </row>
    <row r="198" spans="17:17" x14ac:dyDescent="0.25">
      <c r="Q198" t="s">
        <v>3126</v>
      </c>
    </row>
    <row r="199" spans="17:17" x14ac:dyDescent="0.25">
      <c r="Q199" t="s">
        <v>3127</v>
      </c>
    </row>
    <row r="200" spans="17:17" x14ac:dyDescent="0.25">
      <c r="Q200" t="s">
        <v>3128</v>
      </c>
    </row>
    <row r="201" spans="17:17" x14ac:dyDescent="0.25">
      <c r="Q201" t="s">
        <v>3129</v>
      </c>
    </row>
    <row r="202" spans="17:17" x14ac:dyDescent="0.25">
      <c r="Q202" t="s">
        <v>3130</v>
      </c>
    </row>
    <row r="203" spans="17:17" x14ac:dyDescent="0.25">
      <c r="Q203" t="s">
        <v>3131</v>
      </c>
    </row>
    <row r="204" spans="17:17" x14ac:dyDescent="0.25">
      <c r="Q204" t="s">
        <v>3132</v>
      </c>
    </row>
    <row r="205" spans="17:17" x14ac:dyDescent="0.25">
      <c r="Q205" t="s">
        <v>3133</v>
      </c>
    </row>
    <row r="206" spans="17:17" x14ac:dyDescent="0.25">
      <c r="Q206" t="s">
        <v>3134</v>
      </c>
    </row>
    <row r="207" spans="17:17" x14ac:dyDescent="0.25">
      <c r="Q207" t="s">
        <v>3472</v>
      </c>
    </row>
    <row r="208" spans="17:17" x14ac:dyDescent="0.25">
      <c r="Q208" t="s">
        <v>3135</v>
      </c>
    </row>
    <row r="209" spans="17:17" x14ac:dyDescent="0.25">
      <c r="Q209" t="s">
        <v>3136</v>
      </c>
    </row>
    <row r="210" spans="17:17" x14ac:dyDescent="0.25">
      <c r="Q210" t="s">
        <v>3137</v>
      </c>
    </row>
    <row r="211" spans="17:17" x14ac:dyDescent="0.25">
      <c r="Q211" t="s">
        <v>3138</v>
      </c>
    </row>
    <row r="212" spans="17:17" x14ac:dyDescent="0.25">
      <c r="Q212" t="s">
        <v>3473</v>
      </c>
    </row>
    <row r="213" spans="17:17" x14ac:dyDescent="0.25">
      <c r="Q213" t="s">
        <v>3139</v>
      </c>
    </row>
    <row r="214" spans="17:17" x14ac:dyDescent="0.25">
      <c r="Q214" t="s">
        <v>3140</v>
      </c>
    </row>
    <row r="215" spans="17:17" x14ac:dyDescent="0.25">
      <c r="Q215" t="s">
        <v>3141</v>
      </c>
    </row>
    <row r="216" spans="17:17" x14ac:dyDescent="0.25">
      <c r="Q216" t="s">
        <v>3142</v>
      </c>
    </row>
    <row r="217" spans="17:17" x14ac:dyDescent="0.25">
      <c r="Q217" t="s">
        <v>3143</v>
      </c>
    </row>
    <row r="218" spans="17:17" x14ac:dyDescent="0.25">
      <c r="Q218" t="s">
        <v>3144</v>
      </c>
    </row>
    <row r="219" spans="17:17" x14ac:dyDescent="0.25">
      <c r="Q219" t="s">
        <v>3145</v>
      </c>
    </row>
    <row r="220" spans="17:17" x14ac:dyDescent="0.25">
      <c r="Q220" t="s">
        <v>3146</v>
      </c>
    </row>
    <row r="221" spans="17:17" x14ac:dyDescent="0.25">
      <c r="Q221" t="s">
        <v>3147</v>
      </c>
    </row>
    <row r="222" spans="17:17" x14ac:dyDescent="0.25">
      <c r="Q222" t="s">
        <v>3148</v>
      </c>
    </row>
    <row r="223" spans="17:17" x14ac:dyDescent="0.25">
      <c r="Q223" t="s">
        <v>3149</v>
      </c>
    </row>
    <row r="224" spans="17:17" x14ac:dyDescent="0.25">
      <c r="Q224" t="s">
        <v>3150</v>
      </c>
    </row>
    <row r="225" spans="17:17" x14ac:dyDescent="0.25">
      <c r="Q225" t="s">
        <v>3151</v>
      </c>
    </row>
    <row r="226" spans="17:17" x14ac:dyDescent="0.25">
      <c r="Q226" t="s">
        <v>3152</v>
      </c>
    </row>
    <row r="227" spans="17:17" x14ac:dyDescent="0.25">
      <c r="Q227" t="s">
        <v>3153</v>
      </c>
    </row>
    <row r="228" spans="17:17" x14ac:dyDescent="0.25">
      <c r="Q228" t="s">
        <v>3154</v>
      </c>
    </row>
    <row r="229" spans="17:17" x14ac:dyDescent="0.25">
      <c r="Q229" t="s">
        <v>3474</v>
      </c>
    </row>
    <row r="230" spans="17:17" x14ac:dyDescent="0.25">
      <c r="Q230" t="s">
        <v>3155</v>
      </c>
    </row>
    <row r="231" spans="17:17" x14ac:dyDescent="0.25">
      <c r="Q231" t="s">
        <v>3156</v>
      </c>
    </row>
    <row r="232" spans="17:17" x14ac:dyDescent="0.25">
      <c r="Q232" t="s">
        <v>3157</v>
      </c>
    </row>
    <row r="233" spans="17:17" x14ac:dyDescent="0.25">
      <c r="Q233" t="s">
        <v>3158</v>
      </c>
    </row>
    <row r="234" spans="17:17" x14ac:dyDescent="0.25">
      <c r="Q234" t="s">
        <v>3159</v>
      </c>
    </row>
    <row r="235" spans="17:17" x14ac:dyDescent="0.25">
      <c r="Q235" t="s">
        <v>3160</v>
      </c>
    </row>
    <row r="236" spans="17:17" x14ac:dyDescent="0.25">
      <c r="Q236" t="s">
        <v>3161</v>
      </c>
    </row>
    <row r="237" spans="17:17" x14ac:dyDescent="0.25">
      <c r="Q237" t="s">
        <v>3475</v>
      </c>
    </row>
    <row r="238" spans="17:17" x14ac:dyDescent="0.25">
      <c r="Q238" t="s">
        <v>3162</v>
      </c>
    </row>
    <row r="239" spans="17:17" x14ac:dyDescent="0.25">
      <c r="Q239" t="s">
        <v>3163</v>
      </c>
    </row>
    <row r="240" spans="17:17" x14ac:dyDescent="0.25">
      <c r="Q240" t="s">
        <v>3164</v>
      </c>
    </row>
    <row r="241" spans="17:17" x14ac:dyDescent="0.25">
      <c r="Q241" t="s">
        <v>3165</v>
      </c>
    </row>
    <row r="242" spans="17:17" x14ac:dyDescent="0.25">
      <c r="Q242" t="s">
        <v>3166</v>
      </c>
    </row>
    <row r="243" spans="17:17" x14ac:dyDescent="0.25">
      <c r="Q243" t="s">
        <v>3167</v>
      </c>
    </row>
    <row r="244" spans="17:17" x14ac:dyDescent="0.25">
      <c r="Q244" t="s">
        <v>3168</v>
      </c>
    </row>
    <row r="245" spans="17:17" x14ac:dyDescent="0.25">
      <c r="Q245" t="s">
        <v>3169</v>
      </c>
    </row>
    <row r="246" spans="17:17" x14ac:dyDescent="0.25">
      <c r="Q246" t="s">
        <v>3170</v>
      </c>
    </row>
    <row r="247" spans="17:17" x14ac:dyDescent="0.25">
      <c r="Q247" t="s">
        <v>3171</v>
      </c>
    </row>
    <row r="248" spans="17:17" x14ac:dyDescent="0.25">
      <c r="Q248" t="s">
        <v>3172</v>
      </c>
    </row>
  </sheetData>
  <pageMargins left="0.7" right="0.7" top="0.75" bottom="0.75" header="0.3" footer="0.3"/>
  <tableParts count="19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rgb="FFFFC000"/>
  </sheetPr>
  <dimension ref="A1:C10"/>
  <sheetViews>
    <sheetView showGridLines="0" workbookViewId="0"/>
  </sheetViews>
  <sheetFormatPr baseColWidth="10" defaultColWidth="9.140625" defaultRowHeight="15" x14ac:dyDescent="0.25"/>
  <cols>
    <col min="1" max="1" width="11" customWidth="1"/>
    <col min="2" max="2" width="12.42578125" customWidth="1"/>
    <col min="3" max="3" width="11.85546875" bestFit="1" customWidth="1"/>
    <col min="8" max="9" width="11.85546875" bestFit="1" customWidth="1"/>
  </cols>
  <sheetData>
    <row r="1" spans="1:3" ht="26.25" x14ac:dyDescent="0.4">
      <c r="A1" s="6" t="s">
        <v>1162</v>
      </c>
    </row>
    <row r="2" spans="1:3" x14ac:dyDescent="0.25">
      <c r="B2" s="11"/>
    </row>
    <row r="3" spans="1:3" ht="21" x14ac:dyDescent="0.35">
      <c r="A3" s="10" t="s">
        <v>1178</v>
      </c>
    </row>
    <row r="4" spans="1:3" ht="21" x14ac:dyDescent="0.35">
      <c r="A4" s="8" t="s">
        <v>0</v>
      </c>
      <c r="B4" s="4" t="s">
        <v>2825</v>
      </c>
      <c r="C4" s="9" t="b">
        <f>NOT(OR(AND($B$4&lt;&gt;"(Todas)",$B$5&lt;&gt;"(Todas)"),AND($B$4="(Todas)",$B$5="(Todas)"),DESTINO=ORIGEN,IF(LEFT(DESTINO,4)=LEFT(ORIGEN,4),LEFT(DESTINO,5)&lt;&gt;LEFT(ORIGEN,5),FALSE)))</f>
        <v>1</v>
      </c>
    </row>
    <row r="5" spans="1:3" ht="21" x14ac:dyDescent="0.35">
      <c r="A5" s="8" t="s">
        <v>1177</v>
      </c>
      <c r="B5" s="4" t="s">
        <v>1194</v>
      </c>
      <c r="C5" s="17" t="str">
        <f>IF($B$4="(Todas)",$B$5,IF($B$5="(Todas)",$B$4,0))</f>
        <v>AGROINSUMOSLAFINCA</v>
      </c>
    </row>
    <row r="8" spans="1:3" ht="21" x14ac:dyDescent="0.35">
      <c r="A8" s="10" t="s">
        <v>1179</v>
      </c>
    </row>
    <row r="9" spans="1:3" ht="21" x14ac:dyDescent="0.35">
      <c r="A9" s="8" t="s">
        <v>0</v>
      </c>
      <c r="B9" s="4" t="s">
        <v>1194</v>
      </c>
      <c r="C9" s="9" t="b">
        <f>NOT(OR(AND($B$9&lt;&gt;"(Todas)",$B$10&lt;&gt;"(Todas)"),AND($B$9="(Todas)",$B$10="(Todas)"),DESTINO=ORIGEN,IF(LEFT(DESTINO,4)=LEFT(ORIGEN,4),LEFT(DESTINO,5)&lt;&gt;LEFT(ORIGEN,5),FALSE)))</f>
        <v>0</v>
      </c>
    </row>
    <row r="10" spans="1:3" ht="21" x14ac:dyDescent="0.35">
      <c r="A10" s="8" t="s">
        <v>1177</v>
      </c>
      <c r="B10" s="4" t="s">
        <v>1194</v>
      </c>
      <c r="C10" s="17" t="str">
        <f>IF($B$9="(Todas)",$B$10,IF($B$10="(Todas)",$B$9,0))</f>
        <v>(Todas)</v>
      </c>
    </row>
  </sheetData>
  <conditionalFormatting sqref="C9:C10">
    <cfRule type="expression" dxfId="7" priority="4">
      <formula>OR(AND($B$9&lt;&gt;"(Todas)",$B$10&lt;&gt;"(Todas)"),AND($B$9="(Todas)",$B$10="(Todas)"),DESTINO=ORIGEN)</formula>
    </cfRule>
  </conditionalFormatting>
  <conditionalFormatting sqref="C4:C5">
    <cfRule type="expression" dxfId="6" priority="3">
      <formula>OR(AND($B$4&lt;&gt;"(Todas)",$B$5&lt;&gt;"(Todas)"),AND($B$4="(Todas)",$B$5="(Todas)"),DESTINO=ORIGEN)</formula>
    </cfRule>
  </conditionalFormatting>
  <pageMargins left="0.7" right="0.7" top="0.75" bottom="0.75" header="0.3" footer="0.3"/>
  <pageSetup paperSize="9" orientation="portrait" horizontalDpi="300" verticalDpi="300" r:id="rId3"/>
  <drawing r:id="rId4"/>
  <legacyDrawing r:id="rId5"/>
  <controls>
    <mc:AlternateContent xmlns:mc="http://schemas.openxmlformats.org/markup-compatibility/2006">
      <mc:Choice Requires="x14">
        <control shapeId="4097" r:id="rId6" name="cmdFiltrar">
          <controlPr defaultSize="0" autoLine="0" r:id="rId7">
            <anchor moveWithCells="1">
              <from>
                <xdr:col>3</xdr:col>
                <xdr:colOff>304800</xdr:colOff>
                <xdr:row>2</xdr:row>
                <xdr:rowOff>161925</xdr:rowOff>
              </from>
              <to>
                <xdr:col>5</xdr:col>
                <xdr:colOff>95250</xdr:colOff>
                <xdr:row>3</xdr:row>
                <xdr:rowOff>142875</xdr:rowOff>
              </to>
            </anchor>
          </controlPr>
        </control>
      </mc:Choice>
      <mc:Fallback>
        <control shapeId="4097" r:id="rId6" name="cmdFiltrar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A1:N2"/>
  <sheetViews>
    <sheetView showGridLines="0" workbookViewId="0">
      <selection activeCell="K9" sqref="K9"/>
    </sheetView>
  </sheetViews>
  <sheetFormatPr baseColWidth="10" defaultColWidth="11.42578125" defaultRowHeight="15" x14ac:dyDescent="0.25"/>
  <cols>
    <col min="1" max="1" width="14" bestFit="1" customWidth="1"/>
    <col min="2" max="2" width="40.5703125" bestFit="1" customWidth="1"/>
    <col min="3" max="3" width="39" bestFit="1" customWidth="1"/>
    <col min="4" max="4" width="32.7109375" bestFit="1" customWidth="1"/>
    <col min="5" max="5" width="11.7109375" hidden="1" customWidth="1"/>
    <col min="6" max="8" width="11.42578125" hidden="1" customWidth="1"/>
    <col min="9" max="9" width="13.140625" hidden="1" customWidth="1"/>
    <col min="10" max="10" width="16" hidden="1" customWidth="1"/>
    <col min="11" max="11" width="12.7109375" customWidth="1"/>
    <col min="12" max="14" width="12.7109375" hidden="1" customWidth="1"/>
  </cols>
  <sheetData>
    <row r="1" spans="1:14" x14ac:dyDescent="0.25">
      <c r="A1" t="s">
        <v>5</v>
      </c>
      <c r="B1" t="s">
        <v>6</v>
      </c>
      <c r="C1" t="s">
        <v>7</v>
      </c>
      <c r="D1" t="s">
        <v>8</v>
      </c>
      <c r="E1" t="s">
        <v>1158</v>
      </c>
      <c r="F1" t="s">
        <v>1164</v>
      </c>
      <c r="G1" t="s">
        <v>1180</v>
      </c>
      <c r="H1" t="s">
        <v>210</v>
      </c>
      <c r="I1" t="s">
        <v>1149</v>
      </c>
      <c r="J1" t="s">
        <v>1147</v>
      </c>
      <c r="K1" t="s">
        <v>211</v>
      </c>
      <c r="L1" t="s">
        <v>1990</v>
      </c>
      <c r="M1" t="s">
        <v>1991</v>
      </c>
      <c r="N1" t="s">
        <v>1163</v>
      </c>
    </row>
    <row r="2" spans="1:14" x14ac:dyDescent="0.25">
      <c r="A2" s="27" t="s">
        <v>49</v>
      </c>
      <c r="B2" s="27"/>
      <c r="C2" s="27"/>
      <c r="D2" s="27"/>
      <c r="E2" s="12" t="str">
        <f>IFERROR(INDEX(TABLACONSOLIDADA[PEDID Prom],SUMPRODUCT(--((DESTINO&amp;TRANSFERENCIA_ESPECIAL[[#This Row],[Codigo]]=TABLACONSOLIDADA[Bodega]&amp;TABLACONSOLIDADA[Codigo])),ROW(TABLACONSOLIDADA[Codigo]))-1),"")</f>
        <v/>
      </c>
      <c r="F2" s="12" t="str">
        <f>IFERROR(INDEX(TABLACONSOLIDADA[CTV],SUMPRODUCT(--((DESTINO&amp;TRANSFERENCIA_ESPECIAL[[#This Row],[Codigo]]=TABLACONSOLIDADA[Bodega]&amp;TABLACONSOLIDADA[Codigo])),ROW(TABLACONSOLIDADA[Codigo]))-1),"")</f>
        <v/>
      </c>
      <c r="G2" s="12" t="str">
        <f>IFERROR(INDEX(TABLACONSOLIDADA[PV],SUMPRODUCT(--((DESTINO&amp;TRANSFERENCIA_ESPECIAL[[#This Row],[Codigo]]=TABLACONSOLIDADA[Bodega]&amp;TABLACONSOLIDADA[Codigo])),ROW(TABLACONSOLIDADA[Codigo]))-1),"")</f>
        <v/>
      </c>
      <c r="H2" s="12" t="str">
        <f>IFERROR(INDEX(TABLACONSOLIDADA[Buff Act],SUMPRODUCT(--((DESTINO&amp;TRANSFERENCIA_ESPECIAL[[#This Row],[Codigo]]=TABLACONSOLIDADA[Bodega]&amp;TABLACONSOLIDADA[Codigo])),ROW(TABLACONSOLIDADA[Codigo]))-1),"")</f>
        <v/>
      </c>
      <c r="I2" s="18" t="str">
        <f>IFERROR(INDEX(TABLACONSOLIDADA[Consumo],SUMPRODUCT(--((DESTINO&amp;TRANSFERENCIA_ESPECIAL[[#This Row],[Codigo]]=TABLACONSOLIDADA[Bodega]&amp;TABLACONSOLIDADA[Codigo])),ROW(TABLACONSOLIDADA[Codigo]))-1),"")</f>
        <v/>
      </c>
      <c r="J2" s="13" t="str">
        <f>IFERROR(INDEX(TABLACONSOLIDADA[Rentabilid],SUMPRODUCT(--((DESTINO&amp;TRANSFERENCIA_ESPECIAL[[#This Row],[Codigo]]=TABLACONSOLIDADA[Bodega]&amp;TABLACONSOLIDADA[Codigo])),ROW(TABLACONSOLIDADA[Codigo]))-1),"")</f>
        <v/>
      </c>
      <c r="K2" s="28">
        <v>5</v>
      </c>
      <c r="L2" s="28" t="str">
        <f>IFERROR(INDEX(TABLACONSOLIDADA[Vel Efect],SUMPRODUCT(--((DESTINO&amp;TRANSFERENCIA_ESPECIAL[[#This Row],[Codigo]]=TABLACONSOLIDADA[Bodega]&amp;TABLACONSOLIDADA[Codigo])),ROW(TABLACONSOLIDADA[Codigo]))-1),"")</f>
        <v/>
      </c>
      <c r="M2" s="28" t="str">
        <f>IFERROR(INDEX(TABLACONSOLIDADA[Servicio],SUMPRODUCT(--((DESTINO&amp;TRANSFERENCIA_ESPECIAL[[#This Row],[Codigo]]=TABLACONSOLIDADA[Bodega]&amp;TABLACONSOLIDADA[Codigo])),ROW(TABLACONSOLIDADA[Codigo]))-1),"")</f>
        <v/>
      </c>
      <c r="N2" s="12" t="str">
        <f>IFERROR(INDEX(TABLACONSOLIDADA[PEDIDCalc],SUMPRODUCT(--((DESTINO&amp;TRANSFERENCIA_ESPECIAL[[#This Row],[Codigo]]=TABLACONSOLIDADA[Bodega]&amp;TABLACONSOLIDADA[Codigo])),ROW(TABLACONSOLIDADA[Codigo]))-1),"")</f>
        <v/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7170" r:id="rId4" name="cmdCancel">
          <controlPr defaultSize="0" autoLine="0" r:id="rId5">
            <anchor>
              <from>
                <xdr:col>14</xdr:col>
                <xdr:colOff>38100</xdr:colOff>
                <xdr:row>1</xdr:row>
                <xdr:rowOff>123825</xdr:rowOff>
              </from>
              <to>
                <xdr:col>15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7170" r:id="rId4" name="cmdCancel"/>
      </mc:Fallback>
    </mc:AlternateContent>
    <mc:AlternateContent xmlns:mc="http://schemas.openxmlformats.org/markup-compatibility/2006">
      <mc:Choice Requires="x14">
        <control shapeId="7169" r:id="rId6" name="cmdCrear">
          <controlPr defaultSize="0" autoLine="0" r:id="rId7">
            <anchor>
              <from>
                <xdr:col>14</xdr:col>
                <xdr:colOff>38100</xdr:colOff>
                <xdr:row>0</xdr:row>
                <xdr:rowOff>57150</xdr:rowOff>
              </from>
              <to>
                <xdr:col>15</xdr:col>
                <xdr:colOff>19050</xdr:colOff>
                <xdr:row>1</xdr:row>
                <xdr:rowOff>123825</xdr:rowOff>
              </to>
            </anchor>
          </controlPr>
        </control>
      </mc:Choice>
      <mc:Fallback>
        <control shapeId="7169" r:id="rId6" name="cmdCrear"/>
      </mc:Fallback>
    </mc:AlternateContent>
  </controls>
  <tableParts count="1"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3" tint="-0.499984740745262"/>
  </sheetPr>
  <dimension ref="A1:CE2"/>
  <sheetViews>
    <sheetView showGridLines="0" zoomScale="80" zoomScaleNormal="80" workbookViewId="0">
      <selection activeCell="D12" sqref="D12"/>
    </sheetView>
  </sheetViews>
  <sheetFormatPr baseColWidth="10" defaultColWidth="11.42578125" defaultRowHeight="15" x14ac:dyDescent="0.25"/>
  <cols>
    <col min="1" max="1" width="15.28515625" style="1" bestFit="1" customWidth="1"/>
    <col min="2" max="2" width="18.7109375" style="1" bestFit="1" customWidth="1"/>
    <col min="3" max="3" width="14.140625" style="1" bestFit="1" customWidth="1"/>
    <col min="4" max="4" width="17.28515625" style="1" bestFit="1" customWidth="1"/>
    <col min="5" max="6" width="13.5703125" style="1" bestFit="1" customWidth="1"/>
    <col min="7" max="7" width="25.28515625" style="1" bestFit="1" customWidth="1"/>
    <col min="8" max="8" width="27.28515625" style="1" bestFit="1" customWidth="1"/>
    <col min="9" max="9" width="11" style="1" bestFit="1" customWidth="1"/>
    <col min="10" max="10" width="11" style="1" customWidth="1"/>
    <col min="11" max="11" width="24.140625" style="1" bestFit="1" customWidth="1"/>
    <col min="12" max="12" width="26.28515625" style="1" bestFit="1" customWidth="1"/>
    <col min="13" max="13" width="15.140625" style="1" bestFit="1" customWidth="1"/>
    <col min="14" max="14" width="23.7109375" style="1" bestFit="1" customWidth="1"/>
    <col min="15" max="15" width="25.5703125" style="1" bestFit="1" customWidth="1"/>
    <col min="16" max="16" width="25.7109375" style="1" bestFit="1" customWidth="1"/>
    <col min="17" max="17" width="30.28515625" style="1" bestFit="1" customWidth="1"/>
    <col min="18" max="18" width="15.140625" style="1" bestFit="1" customWidth="1"/>
    <col min="19" max="19" width="15.5703125" style="1" bestFit="1" customWidth="1"/>
    <col min="20" max="20" width="23.5703125" style="1" bestFit="1" customWidth="1"/>
    <col min="21" max="21" width="17.42578125" style="1" bestFit="1" customWidth="1"/>
    <col min="22" max="22" width="16.28515625" style="1" bestFit="1" customWidth="1"/>
    <col min="23" max="23" width="13.42578125" style="1" bestFit="1" customWidth="1"/>
    <col min="24" max="24" width="16.42578125" style="1" bestFit="1" customWidth="1"/>
    <col min="25" max="25" width="23.5703125" style="1" bestFit="1" customWidth="1"/>
    <col min="26" max="26" width="20.85546875" style="1" bestFit="1" customWidth="1"/>
    <col min="27" max="27" width="25.140625" style="1" bestFit="1" customWidth="1"/>
    <col min="28" max="28" width="27.42578125" style="1" bestFit="1" customWidth="1"/>
    <col min="29" max="29" width="23.42578125" style="1" bestFit="1" customWidth="1"/>
    <col min="30" max="30" width="22.28515625" style="1" bestFit="1" customWidth="1"/>
    <col min="31" max="31" width="24.28515625" style="1" bestFit="1" customWidth="1"/>
    <col min="32" max="32" width="15.85546875" style="1" bestFit="1" customWidth="1"/>
    <col min="33" max="33" width="13.7109375" style="1" bestFit="1" customWidth="1"/>
    <col min="34" max="34" width="10.28515625" style="1" bestFit="1" customWidth="1"/>
    <col min="35" max="35" width="17.28515625" style="1" bestFit="1" customWidth="1"/>
    <col min="36" max="36" width="13" style="1" bestFit="1" customWidth="1"/>
    <col min="37" max="37" width="11.28515625" style="1" bestFit="1" customWidth="1"/>
    <col min="38" max="38" width="15.140625" style="1" bestFit="1" customWidth="1"/>
    <col min="39" max="39" width="13" style="1" bestFit="1" customWidth="1"/>
    <col min="40" max="40" width="10.140625" style="1" bestFit="1" customWidth="1"/>
    <col min="41" max="48" width="10.140625" style="1" customWidth="1"/>
    <col min="49" max="49" width="21.7109375" style="1" bestFit="1" customWidth="1"/>
    <col min="50" max="50" width="22.42578125" style="1" bestFit="1" customWidth="1"/>
    <col min="51" max="51" width="22.28515625" style="1" bestFit="1" customWidth="1"/>
    <col min="52" max="52" width="11" style="1" bestFit="1" customWidth="1"/>
    <col min="53" max="53" width="10.7109375" style="38" bestFit="1" customWidth="1"/>
    <col min="54" max="54" width="11.5703125" style="38" bestFit="1" customWidth="1"/>
    <col min="55" max="55" width="17" style="5" bestFit="1" customWidth="1"/>
    <col min="56" max="56" width="23.7109375" style="5" bestFit="1" customWidth="1"/>
    <col min="57" max="57" width="23.5703125" style="5" bestFit="1" customWidth="1"/>
    <col min="58" max="58" width="17.85546875" style="2" bestFit="1" customWidth="1"/>
    <col min="59" max="59" width="18.5703125" style="1" bestFit="1" customWidth="1"/>
    <col min="60" max="60" width="18.85546875" style="1" bestFit="1" customWidth="1"/>
    <col min="61" max="61" width="23" style="29" bestFit="1" customWidth="1"/>
    <col min="62" max="62" width="18.42578125" style="1" bestFit="1" customWidth="1"/>
    <col min="63" max="63" width="20" style="2" bestFit="1" customWidth="1"/>
    <col min="64" max="64" width="18.7109375" style="1" bestFit="1" customWidth="1"/>
    <col min="65" max="65" width="18.5703125" style="1" bestFit="1" customWidth="1"/>
    <col min="66" max="67" width="17.7109375" style="1" bestFit="1" customWidth="1"/>
    <col min="68" max="68" width="16.7109375" style="1" bestFit="1" customWidth="1"/>
    <col min="69" max="69" width="17.7109375" style="1" bestFit="1" customWidth="1"/>
    <col min="70" max="70" width="18.5703125" style="1" bestFit="1" customWidth="1"/>
    <col min="71" max="71" width="16.42578125" style="1" bestFit="1" customWidth="1"/>
    <col min="72" max="72" width="17.28515625" style="1" bestFit="1" customWidth="1"/>
    <col min="73" max="73" width="18.5703125" style="1" bestFit="1" customWidth="1"/>
    <col min="74" max="74" width="10.7109375" style="39" bestFit="1" customWidth="1"/>
    <col min="75" max="75" width="10.140625" style="39" bestFit="1" customWidth="1"/>
    <col min="76" max="76" width="16.7109375" style="41" bestFit="1" customWidth="1"/>
    <col min="77" max="77" width="15.5703125" style="1" bestFit="1" customWidth="1"/>
    <col min="78" max="78" width="14.42578125" style="2" bestFit="1" customWidth="1"/>
    <col min="79" max="79" width="17.7109375" style="1" bestFit="1" customWidth="1"/>
    <col min="80" max="80" width="18.7109375" style="5" bestFit="1" customWidth="1"/>
    <col min="81" max="81" width="16" style="2" bestFit="1" customWidth="1"/>
    <col min="82" max="82" width="16.5703125" style="5" bestFit="1" customWidth="1"/>
    <col min="83" max="83" width="10.140625" style="5" bestFit="1" customWidth="1"/>
  </cols>
  <sheetData>
    <row r="1" spans="1:83" ht="51.75" customHeight="1" x14ac:dyDescent="0.25">
      <c r="A1" s="40" t="s">
        <v>2</v>
      </c>
      <c r="B1" s="40" t="s">
        <v>1141</v>
      </c>
      <c r="C1" s="40" t="s">
        <v>0</v>
      </c>
      <c r="D1" s="40" t="s">
        <v>1</v>
      </c>
      <c r="E1" s="40" t="s">
        <v>2847</v>
      </c>
      <c r="F1" s="40" t="s">
        <v>5</v>
      </c>
      <c r="G1" s="40" t="s">
        <v>2841</v>
      </c>
      <c r="H1" s="40" t="s">
        <v>2842</v>
      </c>
      <c r="I1" s="42" t="s">
        <v>2851</v>
      </c>
      <c r="J1" s="42" t="s">
        <v>2852</v>
      </c>
      <c r="K1" s="42" t="s">
        <v>2853</v>
      </c>
      <c r="L1" s="42" t="s">
        <v>2882</v>
      </c>
      <c r="M1" s="42" t="s">
        <v>2854</v>
      </c>
      <c r="N1" s="42" t="s">
        <v>2855</v>
      </c>
      <c r="O1" s="42" t="s">
        <v>2856</v>
      </c>
      <c r="P1" s="42" t="s">
        <v>2857</v>
      </c>
      <c r="Q1" s="42" t="s">
        <v>2858</v>
      </c>
      <c r="R1" s="42" t="s">
        <v>2859</v>
      </c>
      <c r="S1" s="42" t="s">
        <v>2860</v>
      </c>
      <c r="T1" s="42" t="s">
        <v>2861</v>
      </c>
      <c r="U1" s="42" t="s">
        <v>2862</v>
      </c>
      <c r="V1" s="42" t="s">
        <v>2863</v>
      </c>
      <c r="W1" s="42" t="s">
        <v>2864</v>
      </c>
      <c r="X1" s="42" t="s">
        <v>2865</v>
      </c>
      <c r="Y1" s="42" t="s">
        <v>2866</v>
      </c>
      <c r="Z1" s="42" t="s">
        <v>2867</v>
      </c>
      <c r="AA1" s="42" t="s">
        <v>2868</v>
      </c>
      <c r="AB1" s="42" t="s">
        <v>2869</v>
      </c>
      <c r="AC1" s="42" t="s">
        <v>2870</v>
      </c>
      <c r="AD1" s="42" t="s">
        <v>2871</v>
      </c>
      <c r="AE1" s="42" t="s">
        <v>2872</v>
      </c>
      <c r="AF1" s="42" t="s">
        <v>2873</v>
      </c>
      <c r="AG1" s="42" t="s">
        <v>2874</v>
      </c>
      <c r="AH1" s="42" t="s">
        <v>2875</v>
      </c>
      <c r="AI1" s="42" t="s">
        <v>2876</v>
      </c>
      <c r="AJ1" s="42" t="s">
        <v>2877</v>
      </c>
      <c r="AK1" s="42" t="s">
        <v>2878</v>
      </c>
      <c r="AL1" s="42" t="s">
        <v>2879</v>
      </c>
      <c r="AM1" s="42" t="s">
        <v>2880</v>
      </c>
      <c r="AN1" s="42" t="s">
        <v>2881</v>
      </c>
      <c r="AO1" s="42" t="s">
        <v>2883</v>
      </c>
      <c r="AP1" s="42" t="s">
        <v>2884</v>
      </c>
      <c r="AQ1" s="42" t="s">
        <v>2885</v>
      </c>
      <c r="AR1" s="42" t="s">
        <v>2886</v>
      </c>
      <c r="AS1" s="42" t="s">
        <v>2887</v>
      </c>
      <c r="AT1" s="42" t="s">
        <v>2888</v>
      </c>
      <c r="AU1" s="42" t="s">
        <v>2889</v>
      </c>
      <c r="AV1" s="42" t="s">
        <v>2890</v>
      </c>
      <c r="AW1" s="40" t="s">
        <v>1150</v>
      </c>
      <c r="AX1" s="40" t="s">
        <v>1151</v>
      </c>
      <c r="AY1" s="40" t="s">
        <v>1152</v>
      </c>
      <c r="AZ1" s="40" t="s">
        <v>1153</v>
      </c>
      <c r="BA1" s="40" t="s">
        <v>1164</v>
      </c>
      <c r="BB1" s="40" t="s">
        <v>1165</v>
      </c>
      <c r="BC1" s="40" t="s">
        <v>2843</v>
      </c>
      <c r="BD1" s="40" t="s">
        <v>2844</v>
      </c>
      <c r="BE1" s="40" t="s">
        <v>2845</v>
      </c>
      <c r="BF1" s="40" t="s">
        <v>2846</v>
      </c>
      <c r="BG1" s="40" t="s">
        <v>1156</v>
      </c>
      <c r="BH1" s="40" t="s">
        <v>9</v>
      </c>
      <c r="BI1" s="40" t="s">
        <v>10</v>
      </c>
      <c r="BJ1" s="40" t="s">
        <v>1195</v>
      </c>
      <c r="BK1" s="40" t="s">
        <v>11</v>
      </c>
      <c r="BL1" s="40" t="s">
        <v>12</v>
      </c>
      <c r="BM1" s="40" t="s">
        <v>2848</v>
      </c>
      <c r="BN1" s="40" t="s">
        <v>2849</v>
      </c>
      <c r="BO1" s="40" t="s">
        <v>2850</v>
      </c>
      <c r="BP1" s="40" t="s">
        <v>3</v>
      </c>
      <c r="BQ1" s="40" t="s">
        <v>4</v>
      </c>
      <c r="BR1" s="40" t="s">
        <v>13</v>
      </c>
      <c r="BS1" s="40" t="s">
        <v>1154</v>
      </c>
      <c r="BT1" s="40" t="s">
        <v>1155</v>
      </c>
      <c r="BU1" s="40" t="s">
        <v>1984</v>
      </c>
      <c r="BV1" s="40" t="s">
        <v>1985</v>
      </c>
      <c r="BW1" s="40" t="s">
        <v>1986</v>
      </c>
      <c r="BX1" s="40" t="s">
        <v>14</v>
      </c>
      <c r="BY1" s="40" t="s">
        <v>1987</v>
      </c>
      <c r="BZ1" s="40" t="s">
        <v>1988</v>
      </c>
      <c r="CA1" s="40" t="s">
        <v>1989</v>
      </c>
      <c r="CB1" s="40" t="s">
        <v>1138</v>
      </c>
      <c r="CC1" s="40" t="s">
        <v>1148</v>
      </c>
      <c r="CD1" s="40" t="s">
        <v>1158</v>
      </c>
      <c r="CE1" s="40" t="s">
        <v>1161</v>
      </c>
    </row>
    <row r="2" spans="1:83" x14ac:dyDescent="0.25">
      <c r="AE2" s="5"/>
      <c r="CA2" s="43"/>
    </row>
  </sheetData>
  <sheetProtection algorithmName="SHA-512" hashValue="rNkFkpyKyuEEkaSc9cUM98l9nZ06OTw++wudmw/z0DC+plPdqxsmYOjJKOS1D+gxnPlsnv0iDPR9S6GQ5iV6Wg==" saltValue="klsABwnYaaF1PNKpBqbQFw==" spinCount="100000" sheet="1" objects="1" scenarios="1" sort="0" autoFilter="0"/>
  <conditionalFormatting sqref="BI2">
    <cfRule type="expression" dxfId="5" priority="1">
      <formula>BJ2="G"</formula>
    </cfRule>
    <cfRule type="expression" dxfId="4" priority="2">
      <formula>BJ2="N"</formula>
    </cfRule>
    <cfRule type="expression" dxfId="3" priority="3">
      <formula>BJ2="R"</formula>
    </cfRule>
    <cfRule type="expression" dxfId="2" priority="4">
      <formula>BJ2="A"</formula>
    </cfRule>
    <cfRule type="expression" dxfId="1" priority="5">
      <formula>BJ2="V"</formula>
    </cfRule>
    <cfRule type="expression" dxfId="0" priority="6">
      <formula>BJ2="L"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/>
  <dimension ref="A3:J17"/>
  <sheetViews>
    <sheetView showGridLines="0" workbookViewId="0">
      <selection activeCell="E20" sqref="E20"/>
    </sheetView>
  </sheetViews>
  <sheetFormatPr baseColWidth="10" defaultColWidth="11.42578125" defaultRowHeight="15" x14ac:dyDescent="0.25"/>
  <cols>
    <col min="1" max="1" width="14.7109375" bestFit="1" customWidth="1"/>
    <col min="2" max="2" width="42.7109375" customWidth="1"/>
    <col min="3" max="3" width="33.5703125" bestFit="1" customWidth="1"/>
    <col min="7" max="7" width="12.7109375" customWidth="1"/>
    <col min="8" max="8" width="16.42578125" customWidth="1"/>
    <col min="9" max="9" width="16" customWidth="1"/>
    <col min="10" max="10" width="20" customWidth="1"/>
  </cols>
  <sheetData>
    <row r="3" spans="1:10" ht="21" x14ac:dyDescent="0.35">
      <c r="A3" s="14" t="s">
        <v>1185</v>
      </c>
      <c r="B3" s="4" t="s">
        <v>1399</v>
      </c>
    </row>
    <row r="5" spans="1:10" x14ac:dyDescent="0.25">
      <c r="A5" t="s">
        <v>5</v>
      </c>
      <c r="B5" t="s">
        <v>6</v>
      </c>
      <c r="C5" t="s">
        <v>7</v>
      </c>
      <c r="D5" t="s">
        <v>8</v>
      </c>
      <c r="E5" t="s">
        <v>210</v>
      </c>
      <c r="F5" t="s">
        <v>1186</v>
      </c>
      <c r="G5" t="s">
        <v>1163</v>
      </c>
      <c r="H5" t="s">
        <v>1182</v>
      </c>
      <c r="I5" t="s">
        <v>1183</v>
      </c>
      <c r="J5" s="19" t="s">
        <v>1184</v>
      </c>
    </row>
    <row r="6" spans="1:10" ht="15" hidden="1" customHeight="1" x14ac:dyDescent="0.25">
      <c r="A6" t="s">
        <v>1869</v>
      </c>
      <c r="B6" t="s">
        <v>1870</v>
      </c>
      <c r="C6" t="s">
        <v>1866</v>
      </c>
      <c r="D6" t="s">
        <v>1401</v>
      </c>
      <c r="E6" s="3">
        <v>105</v>
      </c>
      <c r="F6" s="3">
        <v>31</v>
      </c>
      <c r="G6" s="3">
        <v>6</v>
      </c>
      <c r="H6" s="15">
        <f t="array" ref="H6">SUM((--(Tabla_DECISION_COMPRA[[#This Row],[Codigo]]=TABLACONSOLIDADA[Codigo]))*(--(TABLACONSOLIDADA[Proveedor]=BODEGABASE))*TABLACONSOLIDADA[Buff Act])</f>
        <v>0</v>
      </c>
      <c r="I6" s="15">
        <f t="array" ref="I6">SUM((--(Tabla_DECISION_COMPRA[[#This Row],[Codigo]]=TABLACONSOLIDADA[Codigo]))*(--(TABLACONSOLIDADA[Proveedor]=BODEGABASE))*TABLACONSOLIDADA[Inv Fís Act])</f>
        <v>0</v>
      </c>
      <c r="J6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7" spans="1:10" hidden="1" x14ac:dyDescent="0.25">
      <c r="A7" t="s">
        <v>2837</v>
      </c>
      <c r="B7" t="s">
        <v>2838</v>
      </c>
      <c r="C7" t="s">
        <v>1400</v>
      </c>
      <c r="D7" t="s">
        <v>1401</v>
      </c>
      <c r="E7" s="3">
        <v>20</v>
      </c>
      <c r="F7" s="3">
        <v>8</v>
      </c>
      <c r="G7" s="3">
        <v>12</v>
      </c>
      <c r="H7" s="15">
        <f t="array" ref="H7">SUM((--(Tabla_DECISION_COMPRA[[#This Row],[Codigo]]=TABLACONSOLIDADA[Codigo]))*(--(TABLACONSOLIDADA[Proveedor]=BODEGABASE))*TABLACONSOLIDADA[Buff Act])</f>
        <v>0</v>
      </c>
      <c r="I7" s="15">
        <f t="array" ref="I7">SUM((--(Tabla_DECISION_COMPRA[[#This Row],[Codigo]]=TABLACONSOLIDADA[Codigo]))*(--(TABLACONSOLIDADA[Proveedor]=BODEGABASE))*TABLACONSOLIDADA[Inv Fís Act])</f>
        <v>0</v>
      </c>
      <c r="J7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8" spans="1:10" hidden="1" x14ac:dyDescent="0.25">
      <c r="A8" t="s">
        <v>2834</v>
      </c>
      <c r="B8" t="s">
        <v>2835</v>
      </c>
      <c r="C8" t="s">
        <v>1402</v>
      </c>
      <c r="D8" t="s">
        <v>1401</v>
      </c>
      <c r="E8" s="3">
        <v>2</v>
      </c>
      <c r="F8" s="3">
        <v>1</v>
      </c>
      <c r="G8" s="3">
        <v>1</v>
      </c>
      <c r="H8" s="15">
        <f t="array" ref="H8">SUM((--(Tabla_DECISION_COMPRA[[#This Row],[Codigo]]=TABLACONSOLIDADA[Codigo]))*(--(TABLACONSOLIDADA[Proveedor]=BODEGABASE))*TABLACONSOLIDADA[Buff Act])</f>
        <v>0</v>
      </c>
      <c r="I8" s="15">
        <f t="array" ref="I8">SUM((--(Tabla_DECISION_COMPRA[[#This Row],[Codigo]]=TABLACONSOLIDADA[Codigo]))*(--(TABLACONSOLIDADA[Proveedor]=BODEGABASE))*TABLACONSOLIDADA[Inv Fís Act])</f>
        <v>0</v>
      </c>
      <c r="J8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9" spans="1:10" hidden="1" x14ac:dyDescent="0.25">
      <c r="A9" t="s">
        <v>1881</v>
      </c>
      <c r="B9" t="s">
        <v>1974</v>
      </c>
      <c r="C9" t="s">
        <v>1661</v>
      </c>
      <c r="D9" t="s">
        <v>1401</v>
      </c>
      <c r="E9" s="3">
        <v>650</v>
      </c>
      <c r="F9" s="3">
        <v>141</v>
      </c>
      <c r="G9" s="3">
        <v>207</v>
      </c>
      <c r="H9" s="15">
        <f t="array" ref="H9">SUM((--(Tabla_DECISION_COMPRA[[#This Row],[Codigo]]=TABLACONSOLIDADA[Codigo]))*(--(TABLACONSOLIDADA[Proveedor]=BODEGABASE))*TABLACONSOLIDADA[Buff Act])</f>
        <v>0</v>
      </c>
      <c r="I9" s="15">
        <f t="array" ref="I9">SUM((--(Tabla_DECISION_COMPRA[[#This Row],[Codigo]]=TABLACONSOLIDADA[Codigo]))*(--(TABLACONSOLIDADA[Proveedor]=BODEGABASE))*TABLACONSOLIDADA[Inv Fís Act])</f>
        <v>0</v>
      </c>
      <c r="J9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0" spans="1:10" hidden="1" x14ac:dyDescent="0.25">
      <c r="A10" t="s">
        <v>1882</v>
      </c>
      <c r="B10" t="s">
        <v>1883</v>
      </c>
      <c r="C10" t="s">
        <v>1661</v>
      </c>
      <c r="D10" t="s">
        <v>1401</v>
      </c>
      <c r="E10" s="3">
        <v>150</v>
      </c>
      <c r="F10" s="3">
        <v>11</v>
      </c>
      <c r="G10" s="3">
        <v>67</v>
      </c>
      <c r="H10" s="15">
        <f t="array" ref="H10">SUM((--(Tabla_DECISION_COMPRA[[#This Row],[Codigo]]=TABLACONSOLIDADA[Codigo]))*(--(TABLACONSOLIDADA[Proveedor]=BODEGABASE))*TABLACONSOLIDADA[Buff Act])</f>
        <v>0</v>
      </c>
      <c r="I10" s="15">
        <f t="array" ref="I10">SUM((--(Tabla_DECISION_COMPRA[[#This Row],[Codigo]]=TABLACONSOLIDADA[Codigo]))*(--(TABLACONSOLIDADA[Proveedor]=BODEGABASE))*TABLACONSOLIDADA[Inv Fís Act])</f>
        <v>0</v>
      </c>
      <c r="J10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1" spans="1:10" hidden="1" x14ac:dyDescent="0.25">
      <c r="A11" t="s">
        <v>1905</v>
      </c>
      <c r="B11" t="s">
        <v>2829</v>
      </c>
      <c r="C11" t="s">
        <v>1456</v>
      </c>
      <c r="D11" t="s">
        <v>1401</v>
      </c>
      <c r="E11" s="3">
        <v>20</v>
      </c>
      <c r="F11" s="3">
        <v>2</v>
      </c>
      <c r="G11" s="3">
        <v>7</v>
      </c>
      <c r="H11" s="15">
        <f t="array" ref="H11">SUM((--(Tabla_DECISION_COMPRA[[#This Row],[Codigo]]=TABLACONSOLIDADA[Codigo]))*(--(TABLACONSOLIDADA[Proveedor]=BODEGABASE))*TABLACONSOLIDADA[Buff Act])</f>
        <v>0</v>
      </c>
      <c r="I11" s="15">
        <f t="array" ref="I11">SUM((--(Tabla_DECISION_COMPRA[[#This Row],[Codigo]]=TABLACONSOLIDADA[Codigo]))*(--(TABLACONSOLIDADA[Proveedor]=BODEGABASE))*TABLACONSOLIDADA[Inv Fís Act])</f>
        <v>0</v>
      </c>
      <c r="J11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2" spans="1:10" hidden="1" x14ac:dyDescent="0.25">
      <c r="A12" t="s">
        <v>2828</v>
      </c>
      <c r="B12" t="s">
        <v>2831</v>
      </c>
      <c r="C12" t="s">
        <v>1456</v>
      </c>
      <c r="D12" t="s">
        <v>1401</v>
      </c>
      <c r="E12" s="3">
        <v>15</v>
      </c>
      <c r="F12" s="3">
        <v>2</v>
      </c>
      <c r="G12" s="3">
        <v>5</v>
      </c>
      <c r="H12" s="15">
        <f t="array" ref="H12">SUM((--(Tabla_DECISION_COMPRA[[#This Row],[Codigo]]=TABLACONSOLIDADA[Codigo]))*(--(TABLACONSOLIDADA[Proveedor]=BODEGABASE))*TABLACONSOLIDADA[Buff Act])</f>
        <v>0</v>
      </c>
      <c r="I12" s="15">
        <f t="array" ref="I12">SUM((--(Tabla_DECISION_COMPRA[[#This Row],[Codigo]]=TABLACONSOLIDADA[Codigo]))*(--(TABLACONSOLIDADA[Proveedor]=BODEGABASE))*TABLACONSOLIDADA[Inv Fís Act])</f>
        <v>0</v>
      </c>
      <c r="J12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3" spans="1:10" hidden="1" x14ac:dyDescent="0.25">
      <c r="A13" t="s">
        <v>2630</v>
      </c>
      <c r="B13" t="s">
        <v>1979</v>
      </c>
      <c r="C13" t="s">
        <v>1531</v>
      </c>
      <c r="D13" t="s">
        <v>1401</v>
      </c>
      <c r="E13" s="3">
        <v>80</v>
      </c>
      <c r="F13" s="3">
        <v>19</v>
      </c>
      <c r="G13" s="3">
        <v>31</v>
      </c>
      <c r="H13" s="15">
        <f t="array" ref="H13">SUM((--(Tabla_DECISION_COMPRA[[#This Row],[Codigo]]=TABLACONSOLIDADA[Codigo]))*(--(TABLACONSOLIDADA[Proveedor]=BODEGABASE))*TABLACONSOLIDADA[Buff Act])</f>
        <v>0</v>
      </c>
      <c r="I13" s="15">
        <f t="array" ref="I13">SUM((--(Tabla_DECISION_COMPRA[[#This Row],[Codigo]]=TABLACONSOLIDADA[Codigo]))*(--(TABLACONSOLIDADA[Proveedor]=BODEGABASE))*TABLACONSOLIDADA[Inv Fís Act])</f>
        <v>0</v>
      </c>
      <c r="J13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4" spans="1:10" hidden="1" x14ac:dyDescent="0.25">
      <c r="A14" t="s">
        <v>2832</v>
      </c>
      <c r="B14" t="s">
        <v>2833</v>
      </c>
      <c r="C14" t="s">
        <v>1437</v>
      </c>
      <c r="D14" t="s">
        <v>1401</v>
      </c>
      <c r="E14" s="3">
        <v>3</v>
      </c>
      <c r="F14" s="3">
        <v>1</v>
      </c>
      <c r="G14" s="3">
        <v>2</v>
      </c>
      <c r="H14" s="15">
        <f t="array" ref="H14">SUM((--(Tabla_DECISION_COMPRA[[#This Row],[Codigo]]=TABLACONSOLIDADA[Codigo]))*(--(TABLACONSOLIDADA[Proveedor]=BODEGABASE))*TABLACONSOLIDADA[Buff Act])</f>
        <v>0</v>
      </c>
      <c r="I14" s="15">
        <f t="array" ref="I14">SUM((--(Tabla_DECISION_COMPRA[[#This Row],[Codigo]]=TABLACONSOLIDADA[Codigo]))*(--(TABLACONSOLIDADA[Proveedor]=BODEGABASE))*TABLACONSOLIDADA[Inv Fís Act])</f>
        <v>0</v>
      </c>
      <c r="J14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5" spans="1:10" hidden="1" x14ac:dyDescent="0.25">
      <c r="A15" t="s">
        <v>1911</v>
      </c>
      <c r="B15" t="s">
        <v>1912</v>
      </c>
      <c r="C15" t="s">
        <v>1910</v>
      </c>
      <c r="D15" t="s">
        <v>1401</v>
      </c>
      <c r="E15" s="3">
        <v>24</v>
      </c>
      <c r="F15" s="3">
        <v>10</v>
      </c>
      <c r="G15" s="3">
        <v>6</v>
      </c>
      <c r="H15" s="15">
        <f t="array" ref="H15">SUM((--(Tabla_DECISION_COMPRA[[#This Row],[Codigo]]=TABLACONSOLIDADA[Codigo]))*(--(TABLACONSOLIDADA[Proveedor]=BODEGABASE))*TABLACONSOLIDADA[Buff Act])</f>
        <v>0</v>
      </c>
      <c r="I15" s="15">
        <f t="array" ref="I15">SUM((--(Tabla_DECISION_COMPRA[[#This Row],[Codigo]]=TABLACONSOLIDADA[Codigo]))*(--(TABLACONSOLIDADA[Proveedor]=BODEGABASE))*TABLACONSOLIDADA[Inv Fís Act])</f>
        <v>0</v>
      </c>
      <c r="J15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6" spans="1:10" hidden="1" x14ac:dyDescent="0.25">
      <c r="A16" t="s">
        <v>1888</v>
      </c>
      <c r="B16" t="s">
        <v>2830</v>
      </c>
      <c r="C16" t="s">
        <v>1661</v>
      </c>
      <c r="D16" t="s">
        <v>1401</v>
      </c>
      <c r="E16" s="3">
        <v>16</v>
      </c>
      <c r="F16" s="3">
        <v>10</v>
      </c>
      <c r="G16" s="3">
        <v>2</v>
      </c>
      <c r="H16" s="15">
        <f t="array" ref="H16">SUM((--(Tabla_DECISION_COMPRA[[#This Row],[Codigo]]=TABLACONSOLIDADA[Codigo]))*(--(TABLACONSOLIDADA[Proveedor]=BODEGABASE))*TABLACONSOLIDADA[Buff Act])</f>
        <v>0</v>
      </c>
      <c r="I16" s="15">
        <f t="array" ref="I16">SUM((--(Tabla_DECISION_COMPRA[[#This Row],[Codigo]]=TABLACONSOLIDADA[Codigo]))*(--(TABLACONSOLIDADA[Proveedor]=BODEGABASE))*TABLACONSOLIDADA[Inv Fís Act])</f>
        <v>0</v>
      </c>
      <c r="J16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7" spans="1:10" hidden="1" x14ac:dyDescent="0.25">
      <c r="A17" t="s">
        <v>2154</v>
      </c>
      <c r="B17" t="s">
        <v>2836</v>
      </c>
      <c r="C17" t="s">
        <v>1400</v>
      </c>
      <c r="D17" t="s">
        <v>1401</v>
      </c>
      <c r="E17" s="3">
        <v>36</v>
      </c>
      <c r="F17" s="3">
        <v>10</v>
      </c>
      <c r="G17" s="3">
        <v>11</v>
      </c>
      <c r="H17" s="15">
        <f t="array" ref="H17">SUM((--(Tabla_DECISION_COMPRA[[#This Row],[Codigo]]=TABLACONSOLIDADA[Codigo]))*(--(TABLACONSOLIDADA[Proveedor]=BODEGABASE))*TABLACONSOLIDADA[Buff Act])</f>
        <v>0</v>
      </c>
      <c r="I17" s="15">
        <f t="array" ref="I17">SUM((--(Tabla_DECISION_COMPRA[[#This Row],[Codigo]]=TABLACONSOLIDADA[Codigo]))*(--(TABLACONSOLIDADA[Proveedor]=BODEGABASE))*TABLACONSOLIDADA[Inv Fís Act])</f>
        <v>0</v>
      </c>
      <c r="J17" s="15">
        <f>IF(Tabla_DECISION_COMPRA[[#This Row],[INV FIS SUCUR]]&gt;Tabla_DECISION_COMPRA[[#This Row],[BUFFER SUCUR]],Tabla_DECISION_COMPRA[[#This Row],[INV FIS SUCUR]]-Tabla_DECISION_COMPRA[[#This Row],[BUFFER SUCUR]],0)</f>
        <v>0</v>
      </c>
    </row>
  </sheetData>
  <conditionalFormatting sqref="J6:J17">
    <cfRule type="dataBar" priority="10">
      <dataBar>
        <cfvo type="min"/>
        <cfvo type="max"/>
        <color rgb="FFFF555A"/>
      </dataBar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9217" r:id="rId4" name="cmdVolver">
          <controlPr defaultSize="0" autoLine="0" autoPict="0" r:id="rId5">
            <anchor moveWithCells="1">
              <from>
                <xdr:col>2</xdr:col>
                <xdr:colOff>19050</xdr:colOff>
                <xdr:row>0</xdr:row>
                <xdr:rowOff>47625</xdr:rowOff>
              </from>
              <to>
                <xdr:col>2</xdr:col>
                <xdr:colOff>752475</xdr:colOff>
                <xdr:row>1</xdr:row>
                <xdr:rowOff>114300</xdr:rowOff>
              </to>
            </anchor>
          </controlPr>
        </control>
      </mc:Choice>
      <mc:Fallback>
        <control shapeId="9217" r:id="rId4" name="cmdVolver"/>
      </mc:Fallback>
    </mc:AlternateContent>
  </controls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K2293"/>
  <sheetViews>
    <sheetView workbookViewId="0">
      <selection activeCell="I7" sqref="I7"/>
    </sheetView>
  </sheetViews>
  <sheetFormatPr baseColWidth="10" defaultColWidth="11.42578125" defaultRowHeight="15" x14ac:dyDescent="0.25"/>
  <cols>
    <col min="1" max="1" width="20.140625" bestFit="1" customWidth="1"/>
    <col min="2" max="2" width="14" bestFit="1" customWidth="1"/>
    <col min="3" max="3" width="12.7109375" bestFit="1" customWidth="1"/>
    <col min="5" max="5" width="12.140625" customWidth="1"/>
    <col min="6" max="6" width="20.42578125" customWidth="1"/>
    <col min="7" max="7" width="12.7109375" customWidth="1"/>
    <col min="8" max="8" width="20.42578125" customWidth="1"/>
    <col min="9" max="9" width="20.140625" bestFit="1" customWidth="1"/>
    <col min="10" max="10" width="11.28515625" bestFit="1" customWidth="1"/>
    <col min="11" max="11" width="21.42578125" bestFit="1" customWidth="1"/>
  </cols>
  <sheetData>
    <row r="1" spans="1:11" x14ac:dyDescent="0.25">
      <c r="A1" t="s">
        <v>212</v>
      </c>
      <c r="B1" t="s">
        <v>213</v>
      </c>
      <c r="C1" t="s">
        <v>1157</v>
      </c>
      <c r="E1" t="s">
        <v>212</v>
      </c>
      <c r="F1" t="s">
        <v>213</v>
      </c>
      <c r="G1" t="s">
        <v>1157</v>
      </c>
      <c r="I1" t="s">
        <v>212</v>
      </c>
      <c r="J1" t="s">
        <v>213</v>
      </c>
      <c r="K1" t="s">
        <v>2821</v>
      </c>
    </row>
    <row r="2" spans="1:11" x14ac:dyDescent="0.25">
      <c r="A2" t="s">
        <v>1101</v>
      </c>
      <c r="B2" t="s">
        <v>253</v>
      </c>
      <c r="C2">
        <v>2.5499999999999998</v>
      </c>
      <c r="E2" t="s">
        <v>31</v>
      </c>
      <c r="F2" t="s">
        <v>253</v>
      </c>
      <c r="G2">
        <v>0</v>
      </c>
      <c r="I2" t="s">
        <v>1101</v>
      </c>
      <c r="J2" t="s">
        <v>253</v>
      </c>
      <c r="K2" t="s">
        <v>2822</v>
      </c>
    </row>
    <row r="3" spans="1:11" x14ac:dyDescent="0.25">
      <c r="A3" t="s">
        <v>1102</v>
      </c>
      <c r="B3" t="s">
        <v>253</v>
      </c>
      <c r="C3">
        <v>9.82</v>
      </c>
      <c r="E3" t="s">
        <v>32</v>
      </c>
      <c r="F3" t="s">
        <v>253</v>
      </c>
      <c r="G3">
        <v>0</v>
      </c>
      <c r="I3" t="s">
        <v>1102</v>
      </c>
      <c r="J3" t="s">
        <v>253</v>
      </c>
      <c r="K3" t="s">
        <v>2822</v>
      </c>
    </row>
    <row r="4" spans="1:11" x14ac:dyDescent="0.25">
      <c r="A4" t="s">
        <v>1104</v>
      </c>
      <c r="B4" t="s">
        <v>253</v>
      </c>
      <c r="C4">
        <v>22.55</v>
      </c>
      <c r="E4" t="s">
        <v>33</v>
      </c>
      <c r="F4" t="s">
        <v>253</v>
      </c>
      <c r="G4">
        <v>0</v>
      </c>
      <c r="I4" t="s">
        <v>1104</v>
      </c>
      <c r="J4" t="s">
        <v>253</v>
      </c>
      <c r="K4" t="s">
        <v>2822</v>
      </c>
    </row>
    <row r="5" spans="1:11" x14ac:dyDescent="0.25">
      <c r="A5" t="s">
        <v>1103</v>
      </c>
      <c r="B5" t="s">
        <v>253</v>
      </c>
      <c r="C5">
        <v>23.64</v>
      </c>
      <c r="E5" t="s">
        <v>1169</v>
      </c>
      <c r="F5" t="s">
        <v>253</v>
      </c>
      <c r="G5">
        <v>0</v>
      </c>
      <c r="I5" t="s">
        <v>1103</v>
      </c>
      <c r="J5" t="s">
        <v>253</v>
      </c>
      <c r="K5" t="s">
        <v>2822</v>
      </c>
    </row>
    <row r="6" spans="1:11" x14ac:dyDescent="0.25">
      <c r="A6" t="s">
        <v>1105</v>
      </c>
      <c r="B6" t="s">
        <v>253</v>
      </c>
      <c r="C6">
        <v>3.64</v>
      </c>
      <c r="E6" t="s">
        <v>1143</v>
      </c>
      <c r="F6" t="s">
        <v>253</v>
      </c>
      <c r="G6">
        <v>0</v>
      </c>
      <c r="I6" t="s">
        <v>1105</v>
      </c>
      <c r="J6" t="s">
        <v>253</v>
      </c>
      <c r="K6" t="s">
        <v>2822</v>
      </c>
    </row>
    <row r="7" spans="1:11" x14ac:dyDescent="0.25">
      <c r="A7" t="s">
        <v>1106</v>
      </c>
      <c r="B7" t="s">
        <v>253</v>
      </c>
      <c r="C7">
        <v>4</v>
      </c>
      <c r="E7" t="s">
        <v>1189</v>
      </c>
      <c r="F7" t="s">
        <v>253</v>
      </c>
      <c r="G7">
        <v>0</v>
      </c>
      <c r="I7" t="s">
        <v>1106</v>
      </c>
      <c r="J7" t="s">
        <v>253</v>
      </c>
      <c r="K7" t="s">
        <v>2822</v>
      </c>
    </row>
    <row r="8" spans="1:11" x14ac:dyDescent="0.25">
      <c r="A8" t="s">
        <v>1107</v>
      </c>
      <c r="B8" t="s">
        <v>253</v>
      </c>
      <c r="C8">
        <v>2.5499999999999998</v>
      </c>
      <c r="E8" t="s">
        <v>1142</v>
      </c>
      <c r="F8" t="s">
        <v>253</v>
      </c>
      <c r="G8">
        <v>0</v>
      </c>
      <c r="I8" t="s">
        <v>1107</v>
      </c>
      <c r="J8" t="s">
        <v>253</v>
      </c>
      <c r="K8" t="s">
        <v>2822</v>
      </c>
    </row>
    <row r="9" spans="1:11" x14ac:dyDescent="0.25">
      <c r="A9" t="s">
        <v>1064</v>
      </c>
      <c r="B9" t="s">
        <v>253</v>
      </c>
      <c r="C9">
        <v>4</v>
      </c>
      <c r="E9" t="s">
        <v>34</v>
      </c>
      <c r="F9" t="s">
        <v>253</v>
      </c>
      <c r="G9">
        <v>0</v>
      </c>
      <c r="I9" t="s">
        <v>1064</v>
      </c>
      <c r="J9" t="s">
        <v>253</v>
      </c>
      <c r="K9" t="s">
        <v>2822</v>
      </c>
    </row>
    <row r="10" spans="1:11" x14ac:dyDescent="0.25">
      <c r="A10" t="s">
        <v>1063</v>
      </c>
      <c r="B10" t="s">
        <v>253</v>
      </c>
      <c r="C10">
        <v>0</v>
      </c>
      <c r="E10" t="s">
        <v>35</v>
      </c>
      <c r="F10" t="s">
        <v>253</v>
      </c>
      <c r="G10">
        <v>0</v>
      </c>
      <c r="I10" t="s">
        <v>1063</v>
      </c>
      <c r="J10" t="s">
        <v>253</v>
      </c>
      <c r="K10" t="s">
        <v>2823</v>
      </c>
    </row>
    <row r="11" spans="1:11" x14ac:dyDescent="0.25">
      <c r="A11" t="s">
        <v>994</v>
      </c>
      <c r="B11" t="s">
        <v>214</v>
      </c>
      <c r="C11">
        <v>1.2</v>
      </c>
      <c r="E11" t="s">
        <v>36</v>
      </c>
      <c r="F11" t="s">
        <v>253</v>
      </c>
      <c r="G11">
        <v>0</v>
      </c>
      <c r="I11" t="s">
        <v>994</v>
      </c>
      <c r="J11" t="s">
        <v>253</v>
      </c>
      <c r="K11" t="s">
        <v>2822</v>
      </c>
    </row>
    <row r="12" spans="1:11" x14ac:dyDescent="0.25">
      <c r="A12" t="s">
        <v>989</v>
      </c>
      <c r="B12" t="s">
        <v>214</v>
      </c>
      <c r="C12">
        <v>0</v>
      </c>
      <c r="E12" t="s">
        <v>37</v>
      </c>
      <c r="F12" t="s">
        <v>253</v>
      </c>
      <c r="G12">
        <v>0</v>
      </c>
      <c r="I12" t="s">
        <v>989</v>
      </c>
      <c r="J12" t="s">
        <v>253</v>
      </c>
      <c r="K12" t="s">
        <v>2822</v>
      </c>
    </row>
    <row r="13" spans="1:11" x14ac:dyDescent="0.25">
      <c r="A13" t="s">
        <v>990</v>
      </c>
      <c r="B13" t="s">
        <v>214</v>
      </c>
      <c r="C13">
        <v>0</v>
      </c>
      <c r="E13" t="s">
        <v>170</v>
      </c>
      <c r="F13" t="s">
        <v>253</v>
      </c>
      <c r="G13">
        <v>0</v>
      </c>
      <c r="I13" t="s">
        <v>990</v>
      </c>
      <c r="J13" t="s">
        <v>253</v>
      </c>
      <c r="K13" t="s">
        <v>2822</v>
      </c>
    </row>
    <row r="14" spans="1:11" x14ac:dyDescent="0.25">
      <c r="A14" t="s">
        <v>1012</v>
      </c>
      <c r="B14" t="s">
        <v>214</v>
      </c>
      <c r="C14">
        <v>1.2</v>
      </c>
      <c r="E14" t="s">
        <v>171</v>
      </c>
      <c r="F14" t="s">
        <v>214</v>
      </c>
      <c r="G14">
        <v>0</v>
      </c>
      <c r="I14" t="s">
        <v>1012</v>
      </c>
      <c r="J14" t="s">
        <v>253</v>
      </c>
      <c r="K14" t="s">
        <v>2822</v>
      </c>
    </row>
    <row r="15" spans="1:11" x14ac:dyDescent="0.25">
      <c r="A15" t="s">
        <v>1013</v>
      </c>
      <c r="B15" t="s">
        <v>214</v>
      </c>
      <c r="C15">
        <v>2.4</v>
      </c>
      <c r="E15" t="s">
        <v>172</v>
      </c>
      <c r="F15" t="s">
        <v>2642</v>
      </c>
      <c r="G15">
        <v>0</v>
      </c>
      <c r="I15" t="s">
        <v>1013</v>
      </c>
      <c r="J15" t="s">
        <v>253</v>
      </c>
      <c r="K15" t="s">
        <v>2822</v>
      </c>
    </row>
    <row r="16" spans="1:11" x14ac:dyDescent="0.25">
      <c r="A16" t="s">
        <v>244</v>
      </c>
      <c r="B16" t="s">
        <v>214</v>
      </c>
      <c r="C16">
        <v>1.2</v>
      </c>
      <c r="E16" t="s">
        <v>38</v>
      </c>
      <c r="F16" t="s">
        <v>253</v>
      </c>
      <c r="G16">
        <v>0</v>
      </c>
      <c r="I16" t="s">
        <v>244</v>
      </c>
      <c r="J16" t="s">
        <v>253</v>
      </c>
      <c r="K16" t="s">
        <v>2822</v>
      </c>
    </row>
    <row r="17" spans="1:11" x14ac:dyDescent="0.25">
      <c r="A17" t="s">
        <v>956</v>
      </c>
      <c r="B17" t="s">
        <v>214</v>
      </c>
      <c r="C17">
        <v>0.8</v>
      </c>
      <c r="E17" t="s">
        <v>39</v>
      </c>
      <c r="F17" t="s">
        <v>253</v>
      </c>
      <c r="G17">
        <v>0</v>
      </c>
      <c r="I17" t="s">
        <v>956</v>
      </c>
      <c r="J17" t="s">
        <v>253</v>
      </c>
      <c r="K17" t="s">
        <v>2822</v>
      </c>
    </row>
    <row r="18" spans="1:11" x14ac:dyDescent="0.25">
      <c r="A18" t="s">
        <v>1021</v>
      </c>
      <c r="B18" t="s">
        <v>214</v>
      </c>
      <c r="C18">
        <v>1.2</v>
      </c>
      <c r="E18" t="s">
        <v>2696</v>
      </c>
      <c r="G18">
        <v>0</v>
      </c>
      <c r="I18" t="s">
        <v>1021</v>
      </c>
      <c r="J18" t="s">
        <v>253</v>
      </c>
      <c r="K18" t="s">
        <v>2822</v>
      </c>
    </row>
    <row r="19" spans="1:11" x14ac:dyDescent="0.25">
      <c r="A19" t="s">
        <v>1025</v>
      </c>
      <c r="B19" t="s">
        <v>214</v>
      </c>
      <c r="C19">
        <v>0.8</v>
      </c>
      <c r="E19" t="s">
        <v>2643</v>
      </c>
      <c r="F19" t="s">
        <v>2789</v>
      </c>
      <c r="G19">
        <v>0</v>
      </c>
      <c r="I19" t="s">
        <v>1025</v>
      </c>
      <c r="J19" t="s">
        <v>253</v>
      </c>
      <c r="K19" t="s">
        <v>2822</v>
      </c>
    </row>
    <row r="20" spans="1:11" x14ac:dyDescent="0.25">
      <c r="A20" t="s">
        <v>1030</v>
      </c>
      <c r="B20" t="s">
        <v>214</v>
      </c>
      <c r="C20">
        <v>0</v>
      </c>
      <c r="E20" t="s">
        <v>2644</v>
      </c>
      <c r="F20" t="s">
        <v>2789</v>
      </c>
      <c r="G20">
        <v>0</v>
      </c>
      <c r="I20" t="s">
        <v>1030</v>
      </c>
      <c r="J20" t="s">
        <v>253</v>
      </c>
      <c r="K20" t="s">
        <v>2822</v>
      </c>
    </row>
    <row r="21" spans="1:11" x14ac:dyDescent="0.25">
      <c r="A21" t="s">
        <v>957</v>
      </c>
      <c r="B21" t="s">
        <v>214</v>
      </c>
      <c r="C21">
        <v>1.2</v>
      </c>
      <c r="E21" t="s">
        <v>2698</v>
      </c>
      <c r="F21" t="s">
        <v>2789</v>
      </c>
      <c r="G21">
        <v>0</v>
      </c>
      <c r="I21" t="s">
        <v>957</v>
      </c>
      <c r="J21" t="s">
        <v>253</v>
      </c>
      <c r="K21" t="s">
        <v>2822</v>
      </c>
    </row>
    <row r="22" spans="1:11" x14ac:dyDescent="0.25">
      <c r="A22" t="s">
        <v>1022</v>
      </c>
      <c r="B22" t="s">
        <v>214</v>
      </c>
      <c r="C22">
        <v>2</v>
      </c>
      <c r="E22" t="s">
        <v>2699</v>
      </c>
      <c r="F22" t="s">
        <v>2789</v>
      </c>
      <c r="G22">
        <v>0</v>
      </c>
      <c r="I22" t="s">
        <v>1022</v>
      </c>
      <c r="J22" t="s">
        <v>253</v>
      </c>
      <c r="K22" t="s">
        <v>2822</v>
      </c>
    </row>
    <row r="23" spans="1:11" x14ac:dyDescent="0.25">
      <c r="A23" t="s">
        <v>1027</v>
      </c>
      <c r="B23" t="s">
        <v>214</v>
      </c>
      <c r="C23">
        <v>1.2</v>
      </c>
      <c r="E23" t="s">
        <v>2645</v>
      </c>
      <c r="F23" t="s">
        <v>2789</v>
      </c>
      <c r="G23">
        <v>0</v>
      </c>
      <c r="I23" t="s">
        <v>1027</v>
      </c>
      <c r="J23" t="s">
        <v>253</v>
      </c>
      <c r="K23" t="s">
        <v>2822</v>
      </c>
    </row>
    <row r="24" spans="1:11" x14ac:dyDescent="0.25">
      <c r="A24" t="s">
        <v>1031</v>
      </c>
      <c r="B24" t="s">
        <v>214</v>
      </c>
      <c r="C24">
        <v>0</v>
      </c>
      <c r="E24" t="s">
        <v>2646</v>
      </c>
      <c r="F24" t="s">
        <v>2789</v>
      </c>
      <c r="G24">
        <v>0</v>
      </c>
      <c r="I24" t="s">
        <v>1031</v>
      </c>
      <c r="J24" t="s">
        <v>253</v>
      </c>
      <c r="K24" t="s">
        <v>2822</v>
      </c>
    </row>
    <row r="25" spans="1:11" x14ac:dyDescent="0.25">
      <c r="A25" t="s">
        <v>961</v>
      </c>
      <c r="B25" t="s">
        <v>214</v>
      </c>
      <c r="C25">
        <v>1.2</v>
      </c>
      <c r="E25" t="s">
        <v>2647</v>
      </c>
      <c r="F25" t="s">
        <v>2789</v>
      </c>
      <c r="G25">
        <v>0</v>
      </c>
      <c r="I25" t="s">
        <v>961</v>
      </c>
      <c r="J25" t="s">
        <v>253</v>
      </c>
      <c r="K25" t="s">
        <v>2822</v>
      </c>
    </row>
    <row r="26" spans="1:11" x14ac:dyDescent="0.25">
      <c r="A26" t="s">
        <v>1109</v>
      </c>
      <c r="B26" t="s">
        <v>214</v>
      </c>
      <c r="C26">
        <v>0</v>
      </c>
      <c r="E26" t="s">
        <v>2648</v>
      </c>
      <c r="F26" t="s">
        <v>2789</v>
      </c>
      <c r="G26">
        <v>0</v>
      </c>
      <c r="I26" t="s">
        <v>1109</v>
      </c>
      <c r="J26" t="s">
        <v>253</v>
      </c>
      <c r="K26" t="s">
        <v>2822</v>
      </c>
    </row>
    <row r="27" spans="1:11" x14ac:dyDescent="0.25">
      <c r="A27" t="s">
        <v>965</v>
      </c>
      <c r="B27" t="s">
        <v>214</v>
      </c>
      <c r="C27">
        <v>0</v>
      </c>
      <c r="E27" t="s">
        <v>2649</v>
      </c>
      <c r="F27" t="s">
        <v>2789</v>
      </c>
      <c r="G27">
        <v>0</v>
      </c>
      <c r="I27" t="s">
        <v>965</v>
      </c>
      <c r="J27" t="s">
        <v>253</v>
      </c>
      <c r="K27" t="s">
        <v>2822</v>
      </c>
    </row>
    <row r="28" spans="1:11" x14ac:dyDescent="0.25">
      <c r="A28" t="s">
        <v>950</v>
      </c>
      <c r="B28" t="s">
        <v>214</v>
      </c>
      <c r="C28">
        <v>0.8</v>
      </c>
      <c r="E28" t="s">
        <v>2700</v>
      </c>
      <c r="F28" t="s">
        <v>2789</v>
      </c>
      <c r="G28">
        <v>0</v>
      </c>
      <c r="I28" t="s">
        <v>950</v>
      </c>
      <c r="J28" t="s">
        <v>253</v>
      </c>
      <c r="K28" t="s">
        <v>2822</v>
      </c>
    </row>
    <row r="29" spans="1:11" x14ac:dyDescent="0.25">
      <c r="A29" t="s">
        <v>951</v>
      </c>
      <c r="B29" t="s">
        <v>214</v>
      </c>
      <c r="C29">
        <v>0.8</v>
      </c>
      <c r="E29" t="s">
        <v>2701</v>
      </c>
      <c r="F29" t="s">
        <v>2789</v>
      </c>
      <c r="G29">
        <v>0</v>
      </c>
      <c r="I29" t="s">
        <v>951</v>
      </c>
      <c r="J29" t="s">
        <v>253</v>
      </c>
      <c r="K29" t="s">
        <v>2822</v>
      </c>
    </row>
    <row r="30" spans="1:11" x14ac:dyDescent="0.25">
      <c r="A30" t="s">
        <v>2565</v>
      </c>
      <c r="B30" t="s">
        <v>214</v>
      </c>
      <c r="E30" t="s">
        <v>2650</v>
      </c>
      <c r="F30" t="s">
        <v>2789</v>
      </c>
      <c r="G30">
        <v>0</v>
      </c>
      <c r="I30" t="s">
        <v>2565</v>
      </c>
      <c r="J30" t="s">
        <v>253</v>
      </c>
      <c r="K30" t="s">
        <v>2822</v>
      </c>
    </row>
    <row r="31" spans="1:11" x14ac:dyDescent="0.25">
      <c r="A31" t="s">
        <v>1066</v>
      </c>
      <c r="B31" t="s">
        <v>253</v>
      </c>
      <c r="C31">
        <v>0</v>
      </c>
      <c r="E31" t="s">
        <v>2651</v>
      </c>
      <c r="F31" t="s">
        <v>2789</v>
      </c>
      <c r="G31">
        <v>0</v>
      </c>
      <c r="I31" t="s">
        <v>1066</v>
      </c>
      <c r="J31" t="s">
        <v>253</v>
      </c>
      <c r="K31" t="s">
        <v>2822</v>
      </c>
    </row>
    <row r="32" spans="1:11" x14ac:dyDescent="0.25">
      <c r="A32" t="s">
        <v>1074</v>
      </c>
      <c r="B32" t="s">
        <v>253</v>
      </c>
      <c r="C32">
        <v>0</v>
      </c>
      <c r="E32" t="s">
        <v>2702</v>
      </c>
      <c r="G32">
        <v>0</v>
      </c>
      <c r="I32" t="s">
        <v>1074</v>
      </c>
      <c r="J32" t="s">
        <v>253</v>
      </c>
      <c r="K32" t="s">
        <v>2822</v>
      </c>
    </row>
    <row r="33" spans="1:11" x14ac:dyDescent="0.25">
      <c r="A33" t="s">
        <v>946</v>
      </c>
      <c r="B33" t="s">
        <v>214</v>
      </c>
      <c r="C33">
        <v>0</v>
      </c>
      <c r="E33" t="s">
        <v>2652</v>
      </c>
      <c r="F33" t="s">
        <v>2789</v>
      </c>
      <c r="G33">
        <v>0</v>
      </c>
      <c r="I33" t="s">
        <v>946</v>
      </c>
      <c r="J33" t="s">
        <v>253</v>
      </c>
      <c r="K33" t="s">
        <v>2822</v>
      </c>
    </row>
    <row r="34" spans="1:11" x14ac:dyDescent="0.25">
      <c r="A34" t="s">
        <v>949</v>
      </c>
      <c r="B34" t="s">
        <v>214</v>
      </c>
      <c r="C34">
        <v>0</v>
      </c>
      <c r="E34" t="s">
        <v>2653</v>
      </c>
      <c r="F34" t="s">
        <v>2789</v>
      </c>
      <c r="G34">
        <v>0</v>
      </c>
      <c r="I34" t="s">
        <v>949</v>
      </c>
      <c r="J34" t="s">
        <v>253</v>
      </c>
      <c r="K34" t="s">
        <v>2822</v>
      </c>
    </row>
    <row r="35" spans="1:11" x14ac:dyDescent="0.25">
      <c r="A35" t="s">
        <v>996</v>
      </c>
      <c r="B35" t="s">
        <v>214</v>
      </c>
      <c r="C35">
        <v>12</v>
      </c>
      <c r="E35" t="s">
        <v>2703</v>
      </c>
      <c r="F35" t="s">
        <v>2789</v>
      </c>
      <c r="G35">
        <v>0</v>
      </c>
      <c r="I35" t="s">
        <v>996</v>
      </c>
      <c r="J35" t="s">
        <v>253</v>
      </c>
      <c r="K35" t="s">
        <v>2822</v>
      </c>
    </row>
    <row r="36" spans="1:11" x14ac:dyDescent="0.25">
      <c r="A36" t="s">
        <v>945</v>
      </c>
      <c r="B36" t="s">
        <v>214</v>
      </c>
      <c r="C36">
        <v>0</v>
      </c>
      <c r="E36" t="s">
        <v>2654</v>
      </c>
      <c r="F36" t="s">
        <v>2789</v>
      </c>
      <c r="G36">
        <v>0</v>
      </c>
      <c r="I36" t="s">
        <v>945</v>
      </c>
      <c r="J36" t="s">
        <v>253</v>
      </c>
      <c r="K36" t="s">
        <v>2822</v>
      </c>
    </row>
    <row r="37" spans="1:11" x14ac:dyDescent="0.25">
      <c r="A37" t="s">
        <v>948</v>
      </c>
      <c r="B37" t="s">
        <v>214</v>
      </c>
      <c r="C37">
        <v>0</v>
      </c>
      <c r="E37" t="s">
        <v>2655</v>
      </c>
      <c r="F37" t="s">
        <v>2789</v>
      </c>
      <c r="G37">
        <v>0</v>
      </c>
      <c r="I37" t="s">
        <v>948</v>
      </c>
      <c r="J37" t="s">
        <v>253</v>
      </c>
      <c r="K37" t="s">
        <v>2822</v>
      </c>
    </row>
    <row r="38" spans="1:11" x14ac:dyDescent="0.25">
      <c r="A38" t="s">
        <v>1065</v>
      </c>
      <c r="B38" t="s">
        <v>253</v>
      </c>
      <c r="C38">
        <v>1.5</v>
      </c>
      <c r="E38" t="s">
        <v>2704</v>
      </c>
      <c r="F38" t="s">
        <v>2789</v>
      </c>
      <c r="G38">
        <v>0</v>
      </c>
      <c r="I38" t="s">
        <v>1065</v>
      </c>
      <c r="J38" t="s">
        <v>253</v>
      </c>
      <c r="K38" t="s">
        <v>2822</v>
      </c>
    </row>
    <row r="39" spans="1:11" x14ac:dyDescent="0.25">
      <c r="A39" t="s">
        <v>1046</v>
      </c>
      <c r="B39" t="s">
        <v>214</v>
      </c>
      <c r="C39">
        <v>12.8</v>
      </c>
      <c r="E39" t="s">
        <v>2705</v>
      </c>
      <c r="F39" t="s">
        <v>2789</v>
      </c>
      <c r="G39">
        <v>0</v>
      </c>
      <c r="I39" t="s">
        <v>1046</v>
      </c>
      <c r="J39" t="s">
        <v>253</v>
      </c>
      <c r="K39" t="s">
        <v>2822</v>
      </c>
    </row>
    <row r="40" spans="1:11" x14ac:dyDescent="0.25">
      <c r="A40" t="s">
        <v>995</v>
      </c>
      <c r="B40" t="s">
        <v>214</v>
      </c>
      <c r="C40">
        <v>0.4</v>
      </c>
      <c r="E40" t="s">
        <v>2656</v>
      </c>
      <c r="F40" t="s">
        <v>2789</v>
      </c>
      <c r="G40">
        <v>0</v>
      </c>
      <c r="I40" t="s">
        <v>995</v>
      </c>
      <c r="J40" t="s">
        <v>253</v>
      </c>
      <c r="K40" t="s">
        <v>2822</v>
      </c>
    </row>
    <row r="41" spans="1:11" x14ac:dyDescent="0.25">
      <c r="A41" t="s">
        <v>1132</v>
      </c>
      <c r="B41" t="s">
        <v>214</v>
      </c>
      <c r="C41">
        <v>0</v>
      </c>
      <c r="E41" t="s">
        <v>2706</v>
      </c>
      <c r="F41" t="s">
        <v>2789</v>
      </c>
      <c r="G41">
        <v>0</v>
      </c>
      <c r="I41" t="s">
        <v>1132</v>
      </c>
      <c r="J41" t="s">
        <v>253</v>
      </c>
      <c r="K41" t="s">
        <v>2822</v>
      </c>
    </row>
    <row r="42" spans="1:11" x14ac:dyDescent="0.25">
      <c r="A42" t="s">
        <v>1133</v>
      </c>
      <c r="B42" t="s">
        <v>214</v>
      </c>
      <c r="C42">
        <v>0</v>
      </c>
      <c r="E42" t="s">
        <v>2657</v>
      </c>
      <c r="F42" t="s">
        <v>2789</v>
      </c>
      <c r="G42">
        <v>0</v>
      </c>
      <c r="I42" t="s">
        <v>1133</v>
      </c>
      <c r="J42" t="s">
        <v>253</v>
      </c>
      <c r="K42" t="s">
        <v>2822</v>
      </c>
    </row>
    <row r="43" spans="1:11" x14ac:dyDescent="0.25">
      <c r="A43" t="s">
        <v>1136</v>
      </c>
      <c r="B43" t="s">
        <v>214</v>
      </c>
      <c r="C43">
        <v>0</v>
      </c>
      <c r="E43" t="s">
        <v>2707</v>
      </c>
      <c r="F43" t="s">
        <v>2789</v>
      </c>
      <c r="G43">
        <v>0</v>
      </c>
      <c r="I43" t="s">
        <v>1136</v>
      </c>
      <c r="J43" t="s">
        <v>253</v>
      </c>
      <c r="K43" t="s">
        <v>2822</v>
      </c>
    </row>
    <row r="44" spans="1:11" x14ac:dyDescent="0.25">
      <c r="A44" t="s">
        <v>1137</v>
      </c>
      <c r="B44" t="s">
        <v>214</v>
      </c>
      <c r="C44">
        <v>0</v>
      </c>
      <c r="E44" t="s">
        <v>2658</v>
      </c>
      <c r="F44" t="s">
        <v>2789</v>
      </c>
      <c r="G44">
        <v>0</v>
      </c>
      <c r="I44" t="s">
        <v>1137</v>
      </c>
      <c r="J44" t="s">
        <v>253</v>
      </c>
      <c r="K44" t="s">
        <v>2822</v>
      </c>
    </row>
    <row r="45" spans="1:11" x14ac:dyDescent="0.25">
      <c r="A45" t="s">
        <v>1134</v>
      </c>
      <c r="B45" t="s">
        <v>214</v>
      </c>
      <c r="C45">
        <v>0</v>
      </c>
      <c r="E45" t="s">
        <v>2708</v>
      </c>
      <c r="F45" t="s">
        <v>2789</v>
      </c>
      <c r="G45">
        <v>0</v>
      </c>
      <c r="I45" t="s">
        <v>1134</v>
      </c>
      <c r="J45" t="s">
        <v>253</v>
      </c>
      <c r="K45" t="s">
        <v>2822</v>
      </c>
    </row>
    <row r="46" spans="1:11" x14ac:dyDescent="0.25">
      <c r="A46" t="s">
        <v>1135</v>
      </c>
      <c r="B46" t="s">
        <v>214</v>
      </c>
      <c r="C46">
        <v>0</v>
      </c>
      <c r="E46" t="s">
        <v>2659</v>
      </c>
      <c r="F46" t="s">
        <v>2789</v>
      </c>
      <c r="G46">
        <v>0</v>
      </c>
      <c r="I46" t="s">
        <v>1135</v>
      </c>
      <c r="J46" t="s">
        <v>253</v>
      </c>
      <c r="K46" t="s">
        <v>2822</v>
      </c>
    </row>
    <row r="47" spans="1:11" x14ac:dyDescent="0.25">
      <c r="A47" t="s">
        <v>1129</v>
      </c>
      <c r="B47" t="s">
        <v>214</v>
      </c>
      <c r="C47">
        <v>0</v>
      </c>
      <c r="E47" t="s">
        <v>40</v>
      </c>
      <c r="F47" t="s">
        <v>253</v>
      </c>
      <c r="G47">
        <v>0</v>
      </c>
      <c r="I47" t="s">
        <v>1129</v>
      </c>
      <c r="J47" t="s">
        <v>253</v>
      </c>
      <c r="K47" t="s">
        <v>2822</v>
      </c>
    </row>
    <row r="48" spans="1:11" x14ac:dyDescent="0.25">
      <c r="A48" t="s">
        <v>1130</v>
      </c>
      <c r="B48" t="s">
        <v>214</v>
      </c>
      <c r="C48">
        <v>0</v>
      </c>
      <c r="E48" t="s">
        <v>2790</v>
      </c>
      <c r="F48" t="s">
        <v>2789</v>
      </c>
      <c r="G48">
        <v>0</v>
      </c>
      <c r="I48" t="s">
        <v>1130</v>
      </c>
      <c r="J48" t="s">
        <v>253</v>
      </c>
      <c r="K48" t="s">
        <v>2822</v>
      </c>
    </row>
    <row r="49" spans="1:11" x14ac:dyDescent="0.25">
      <c r="A49" t="s">
        <v>1131</v>
      </c>
      <c r="B49" t="s">
        <v>214</v>
      </c>
      <c r="C49">
        <v>0</v>
      </c>
      <c r="E49" t="s">
        <v>2709</v>
      </c>
      <c r="F49" t="s">
        <v>2789</v>
      </c>
      <c r="G49">
        <v>0</v>
      </c>
      <c r="I49" t="s">
        <v>1131</v>
      </c>
      <c r="J49" t="s">
        <v>253</v>
      </c>
      <c r="K49" t="s">
        <v>2822</v>
      </c>
    </row>
    <row r="50" spans="1:11" x14ac:dyDescent="0.25">
      <c r="A50" t="s">
        <v>1011</v>
      </c>
      <c r="B50" t="s">
        <v>214</v>
      </c>
      <c r="C50">
        <v>1.6</v>
      </c>
      <c r="E50" t="s">
        <v>2660</v>
      </c>
      <c r="F50" t="s">
        <v>2789</v>
      </c>
      <c r="G50">
        <v>0</v>
      </c>
      <c r="I50" t="s">
        <v>1011</v>
      </c>
      <c r="J50" t="s">
        <v>253</v>
      </c>
      <c r="K50" t="s">
        <v>2822</v>
      </c>
    </row>
    <row r="51" spans="1:11" x14ac:dyDescent="0.25">
      <c r="A51" t="s">
        <v>1015</v>
      </c>
      <c r="B51" t="s">
        <v>214</v>
      </c>
      <c r="C51">
        <v>2</v>
      </c>
      <c r="E51" t="s">
        <v>2710</v>
      </c>
      <c r="F51" t="s">
        <v>2789</v>
      </c>
      <c r="G51">
        <v>0</v>
      </c>
      <c r="I51" t="s">
        <v>1015</v>
      </c>
      <c r="J51" t="s">
        <v>253</v>
      </c>
      <c r="K51" t="s">
        <v>2822</v>
      </c>
    </row>
    <row r="52" spans="1:11" x14ac:dyDescent="0.25">
      <c r="A52" t="s">
        <v>1020</v>
      </c>
      <c r="B52" t="s">
        <v>214</v>
      </c>
      <c r="C52">
        <v>1.6</v>
      </c>
      <c r="E52" t="s">
        <v>2711</v>
      </c>
      <c r="F52" t="s">
        <v>2789</v>
      </c>
      <c r="G52">
        <v>0</v>
      </c>
      <c r="I52" t="s">
        <v>1020</v>
      </c>
      <c r="J52" t="s">
        <v>253</v>
      </c>
      <c r="K52" t="s">
        <v>2822</v>
      </c>
    </row>
    <row r="53" spans="1:11" x14ac:dyDescent="0.25">
      <c r="A53" t="s">
        <v>975</v>
      </c>
      <c r="B53" t="s">
        <v>214</v>
      </c>
      <c r="C53">
        <v>0</v>
      </c>
      <c r="E53" t="s">
        <v>2661</v>
      </c>
      <c r="F53" t="s">
        <v>2789</v>
      </c>
      <c r="G53">
        <v>0</v>
      </c>
      <c r="I53" t="s">
        <v>975</v>
      </c>
      <c r="J53" t="s">
        <v>253</v>
      </c>
      <c r="K53" t="s">
        <v>2822</v>
      </c>
    </row>
    <row r="54" spans="1:11" x14ac:dyDescent="0.25">
      <c r="A54" t="s">
        <v>1014</v>
      </c>
      <c r="B54" t="s">
        <v>214</v>
      </c>
      <c r="C54">
        <v>3.2</v>
      </c>
      <c r="E54" t="s">
        <v>2791</v>
      </c>
      <c r="F54" t="s">
        <v>2789</v>
      </c>
      <c r="G54">
        <v>0</v>
      </c>
      <c r="I54" t="s">
        <v>1014</v>
      </c>
      <c r="J54" t="s">
        <v>253</v>
      </c>
      <c r="K54" t="s">
        <v>2822</v>
      </c>
    </row>
    <row r="55" spans="1:11" x14ac:dyDescent="0.25">
      <c r="A55" t="s">
        <v>1053</v>
      </c>
      <c r="B55" t="s">
        <v>253</v>
      </c>
      <c r="C55">
        <v>0</v>
      </c>
      <c r="E55" t="s">
        <v>2712</v>
      </c>
      <c r="F55" t="s">
        <v>2789</v>
      </c>
      <c r="G55">
        <v>0</v>
      </c>
      <c r="I55" t="s">
        <v>1053</v>
      </c>
      <c r="J55" t="s">
        <v>253</v>
      </c>
      <c r="K55" t="s">
        <v>2822</v>
      </c>
    </row>
    <row r="56" spans="1:11" x14ac:dyDescent="0.25">
      <c r="A56" t="s">
        <v>959</v>
      </c>
      <c r="B56" t="s">
        <v>214</v>
      </c>
      <c r="C56">
        <v>1.2</v>
      </c>
      <c r="E56" t="s">
        <v>173</v>
      </c>
      <c r="F56" t="s">
        <v>214</v>
      </c>
      <c r="G56">
        <v>0</v>
      </c>
      <c r="I56" t="s">
        <v>959</v>
      </c>
      <c r="J56" t="s">
        <v>253</v>
      </c>
      <c r="K56" t="s">
        <v>2822</v>
      </c>
    </row>
    <row r="57" spans="1:11" x14ac:dyDescent="0.25">
      <c r="A57" t="s">
        <v>958</v>
      </c>
      <c r="B57" t="s">
        <v>214</v>
      </c>
      <c r="C57">
        <v>1.2</v>
      </c>
      <c r="E57" t="s">
        <v>174</v>
      </c>
      <c r="F57" t="s">
        <v>214</v>
      </c>
      <c r="G57">
        <v>0</v>
      </c>
      <c r="I57" t="s">
        <v>958</v>
      </c>
      <c r="J57" t="s">
        <v>253</v>
      </c>
      <c r="K57" t="s">
        <v>2822</v>
      </c>
    </row>
    <row r="58" spans="1:11" x14ac:dyDescent="0.25">
      <c r="A58" t="s">
        <v>967</v>
      </c>
      <c r="B58" t="s">
        <v>214</v>
      </c>
      <c r="C58">
        <v>0.8</v>
      </c>
      <c r="E58" t="s">
        <v>2792</v>
      </c>
      <c r="F58" t="s">
        <v>2789</v>
      </c>
      <c r="G58">
        <v>0</v>
      </c>
      <c r="I58" t="s">
        <v>967</v>
      </c>
      <c r="J58" t="s">
        <v>253</v>
      </c>
      <c r="K58" t="s">
        <v>2822</v>
      </c>
    </row>
    <row r="59" spans="1:11" x14ac:dyDescent="0.25">
      <c r="A59" t="s">
        <v>953</v>
      </c>
      <c r="B59" t="s">
        <v>214</v>
      </c>
      <c r="C59">
        <v>0</v>
      </c>
      <c r="E59" t="s">
        <v>175</v>
      </c>
      <c r="F59" t="s">
        <v>214</v>
      </c>
      <c r="G59">
        <v>0</v>
      </c>
      <c r="I59" t="s">
        <v>953</v>
      </c>
      <c r="J59" t="s">
        <v>253</v>
      </c>
      <c r="K59" t="s">
        <v>2822</v>
      </c>
    </row>
    <row r="60" spans="1:11" x14ac:dyDescent="0.25">
      <c r="A60" t="s">
        <v>954</v>
      </c>
      <c r="B60" t="s">
        <v>214</v>
      </c>
      <c r="C60">
        <v>0.8</v>
      </c>
      <c r="E60" t="s">
        <v>1146</v>
      </c>
      <c r="F60" t="s">
        <v>214</v>
      </c>
      <c r="G60">
        <v>0</v>
      </c>
      <c r="I60" t="s">
        <v>954</v>
      </c>
      <c r="J60" t="s">
        <v>253</v>
      </c>
      <c r="K60" t="s">
        <v>2822</v>
      </c>
    </row>
    <row r="61" spans="1:11" x14ac:dyDescent="0.25">
      <c r="A61" t="s">
        <v>973</v>
      </c>
      <c r="B61" t="s">
        <v>214</v>
      </c>
      <c r="C61">
        <v>3.2</v>
      </c>
      <c r="E61" t="s">
        <v>2793</v>
      </c>
      <c r="F61" t="s">
        <v>2789</v>
      </c>
      <c r="G61">
        <v>0</v>
      </c>
      <c r="I61" t="s">
        <v>973</v>
      </c>
      <c r="J61" t="s">
        <v>253</v>
      </c>
      <c r="K61" t="s">
        <v>2822</v>
      </c>
    </row>
    <row r="62" spans="1:11" x14ac:dyDescent="0.25">
      <c r="A62" t="s">
        <v>1003</v>
      </c>
      <c r="B62" t="s">
        <v>214</v>
      </c>
      <c r="C62">
        <v>0</v>
      </c>
      <c r="E62" t="s">
        <v>2027</v>
      </c>
      <c r="F62" t="s">
        <v>214</v>
      </c>
      <c r="G62">
        <v>0</v>
      </c>
      <c r="I62" t="s">
        <v>1003</v>
      </c>
      <c r="J62" t="s">
        <v>253</v>
      </c>
      <c r="K62" t="s">
        <v>2822</v>
      </c>
    </row>
    <row r="63" spans="1:11" x14ac:dyDescent="0.25">
      <c r="A63" t="s">
        <v>1004</v>
      </c>
      <c r="B63" t="s">
        <v>214</v>
      </c>
      <c r="C63">
        <v>0</v>
      </c>
      <c r="E63" t="s">
        <v>2794</v>
      </c>
      <c r="F63" t="s">
        <v>2789</v>
      </c>
      <c r="G63">
        <v>0</v>
      </c>
      <c r="I63" t="s">
        <v>1004</v>
      </c>
      <c r="J63" t="s">
        <v>253</v>
      </c>
      <c r="K63" t="s">
        <v>2822</v>
      </c>
    </row>
    <row r="64" spans="1:11" x14ac:dyDescent="0.25">
      <c r="A64" t="s">
        <v>1005</v>
      </c>
      <c r="B64" t="s">
        <v>214</v>
      </c>
      <c r="C64">
        <v>0</v>
      </c>
      <c r="E64" t="s">
        <v>2713</v>
      </c>
      <c r="F64" t="s">
        <v>2789</v>
      </c>
      <c r="G64">
        <v>0</v>
      </c>
      <c r="I64" t="s">
        <v>1005</v>
      </c>
      <c r="J64" t="s">
        <v>253</v>
      </c>
      <c r="K64" t="s">
        <v>2822</v>
      </c>
    </row>
    <row r="65" spans="1:11" x14ac:dyDescent="0.25">
      <c r="A65" t="s">
        <v>1010</v>
      </c>
      <c r="B65" t="s">
        <v>214</v>
      </c>
      <c r="C65">
        <v>1.2</v>
      </c>
      <c r="E65" t="s">
        <v>2714</v>
      </c>
      <c r="F65" t="s">
        <v>2789</v>
      </c>
      <c r="G65">
        <v>0</v>
      </c>
      <c r="I65" t="s">
        <v>1010</v>
      </c>
      <c r="J65" t="s">
        <v>253</v>
      </c>
      <c r="K65" t="s">
        <v>2822</v>
      </c>
    </row>
    <row r="66" spans="1:11" x14ac:dyDescent="0.25">
      <c r="A66" t="s">
        <v>955</v>
      </c>
      <c r="B66" t="s">
        <v>214</v>
      </c>
      <c r="C66">
        <v>1.6</v>
      </c>
      <c r="E66" t="s">
        <v>2715</v>
      </c>
      <c r="F66" t="s">
        <v>2789</v>
      </c>
      <c r="G66">
        <v>0</v>
      </c>
      <c r="I66" t="s">
        <v>955</v>
      </c>
      <c r="J66" t="s">
        <v>253</v>
      </c>
      <c r="K66" t="s">
        <v>2822</v>
      </c>
    </row>
    <row r="67" spans="1:11" x14ac:dyDescent="0.25">
      <c r="A67" t="s">
        <v>972</v>
      </c>
      <c r="B67" t="s">
        <v>214</v>
      </c>
      <c r="C67">
        <v>3.2</v>
      </c>
      <c r="E67" t="s">
        <v>2716</v>
      </c>
      <c r="F67" t="s">
        <v>2789</v>
      </c>
      <c r="G67">
        <v>0</v>
      </c>
      <c r="I67" t="s">
        <v>972</v>
      </c>
      <c r="J67" t="s">
        <v>253</v>
      </c>
      <c r="K67" t="s">
        <v>2822</v>
      </c>
    </row>
    <row r="68" spans="1:11" x14ac:dyDescent="0.25">
      <c r="A68" t="s">
        <v>976</v>
      </c>
      <c r="B68" t="s">
        <v>214</v>
      </c>
      <c r="C68">
        <v>1.6</v>
      </c>
      <c r="E68" t="s">
        <v>176</v>
      </c>
      <c r="F68" t="s">
        <v>253</v>
      </c>
      <c r="G68">
        <v>0</v>
      </c>
      <c r="I68" t="s">
        <v>976</v>
      </c>
      <c r="J68" t="s">
        <v>253</v>
      </c>
      <c r="K68" t="s">
        <v>2822</v>
      </c>
    </row>
    <row r="69" spans="1:11" x14ac:dyDescent="0.25">
      <c r="A69" t="s">
        <v>960</v>
      </c>
      <c r="B69" t="s">
        <v>214</v>
      </c>
      <c r="C69">
        <v>1.2</v>
      </c>
      <c r="E69" t="s">
        <v>1999</v>
      </c>
      <c r="F69" t="s">
        <v>253</v>
      </c>
      <c r="G69">
        <v>0</v>
      </c>
      <c r="I69" t="s">
        <v>960</v>
      </c>
      <c r="J69" t="s">
        <v>253</v>
      </c>
      <c r="K69" t="s">
        <v>2822</v>
      </c>
    </row>
    <row r="70" spans="1:11" x14ac:dyDescent="0.25">
      <c r="A70" t="s">
        <v>1073</v>
      </c>
      <c r="B70" t="s">
        <v>253</v>
      </c>
      <c r="C70">
        <v>1.5</v>
      </c>
      <c r="E70" t="s">
        <v>41</v>
      </c>
      <c r="F70" t="s">
        <v>253</v>
      </c>
      <c r="G70">
        <v>0</v>
      </c>
      <c r="I70" t="s">
        <v>1938</v>
      </c>
      <c r="J70" t="s">
        <v>253</v>
      </c>
      <c r="K70" t="s">
        <v>2822</v>
      </c>
    </row>
    <row r="71" spans="1:11" x14ac:dyDescent="0.25">
      <c r="A71" t="s">
        <v>1041</v>
      </c>
      <c r="B71" t="s">
        <v>214</v>
      </c>
      <c r="C71">
        <v>1.6</v>
      </c>
      <c r="E71" t="s">
        <v>2717</v>
      </c>
      <c r="G71">
        <v>0</v>
      </c>
      <c r="I71" t="s">
        <v>1073</v>
      </c>
      <c r="J71" t="s">
        <v>253</v>
      </c>
      <c r="K71" t="s">
        <v>2822</v>
      </c>
    </row>
    <row r="72" spans="1:11" x14ac:dyDescent="0.25">
      <c r="A72" t="s">
        <v>1040</v>
      </c>
      <c r="B72" t="s">
        <v>214</v>
      </c>
      <c r="C72">
        <v>0.8</v>
      </c>
      <c r="E72" t="s">
        <v>2718</v>
      </c>
      <c r="G72">
        <v>0</v>
      </c>
      <c r="I72" t="s">
        <v>1041</v>
      </c>
      <c r="J72" t="s">
        <v>253</v>
      </c>
      <c r="K72" t="s">
        <v>2822</v>
      </c>
    </row>
    <row r="73" spans="1:11" x14ac:dyDescent="0.25">
      <c r="A73" t="s">
        <v>1055</v>
      </c>
      <c r="B73" t="s">
        <v>214</v>
      </c>
      <c r="C73">
        <v>0.8</v>
      </c>
      <c r="E73" t="s">
        <v>2719</v>
      </c>
      <c r="G73">
        <v>0</v>
      </c>
      <c r="I73" t="s">
        <v>1040</v>
      </c>
      <c r="J73" t="s">
        <v>253</v>
      </c>
      <c r="K73" t="s">
        <v>2822</v>
      </c>
    </row>
    <row r="74" spans="1:11" x14ac:dyDescent="0.25">
      <c r="A74" t="s">
        <v>805</v>
      </c>
      <c r="B74" t="s">
        <v>214</v>
      </c>
      <c r="C74">
        <v>3.2</v>
      </c>
      <c r="E74" t="s">
        <v>2720</v>
      </c>
      <c r="G74">
        <v>0</v>
      </c>
      <c r="I74" t="s">
        <v>1055</v>
      </c>
      <c r="J74" t="s">
        <v>253</v>
      </c>
      <c r="K74" t="s">
        <v>2822</v>
      </c>
    </row>
    <row r="75" spans="1:11" x14ac:dyDescent="0.25">
      <c r="A75" t="s">
        <v>804</v>
      </c>
      <c r="B75" t="s">
        <v>214</v>
      </c>
      <c r="C75">
        <v>0</v>
      </c>
      <c r="E75" t="s">
        <v>2721</v>
      </c>
      <c r="G75">
        <v>0</v>
      </c>
      <c r="I75" t="s">
        <v>805</v>
      </c>
      <c r="J75" t="s">
        <v>253</v>
      </c>
      <c r="K75" t="s">
        <v>2822</v>
      </c>
    </row>
    <row r="76" spans="1:11" x14ac:dyDescent="0.25">
      <c r="A76" t="s">
        <v>261</v>
      </c>
      <c r="B76" t="s">
        <v>214</v>
      </c>
      <c r="C76">
        <v>1.6</v>
      </c>
      <c r="E76" t="s">
        <v>2662</v>
      </c>
      <c r="F76" t="s">
        <v>2789</v>
      </c>
      <c r="G76">
        <v>0</v>
      </c>
      <c r="I76" t="s">
        <v>804</v>
      </c>
      <c r="J76" t="s">
        <v>253</v>
      </c>
      <c r="K76" t="s">
        <v>2822</v>
      </c>
    </row>
    <row r="77" spans="1:11" x14ac:dyDescent="0.25">
      <c r="A77" t="s">
        <v>341</v>
      </c>
      <c r="B77" t="s">
        <v>214</v>
      </c>
      <c r="C77">
        <v>1.2</v>
      </c>
      <c r="E77" t="s">
        <v>2722</v>
      </c>
      <c r="F77" t="s">
        <v>2789</v>
      </c>
      <c r="G77">
        <v>0</v>
      </c>
      <c r="I77" t="s">
        <v>261</v>
      </c>
      <c r="J77" t="s">
        <v>253</v>
      </c>
      <c r="K77" t="s">
        <v>2822</v>
      </c>
    </row>
    <row r="78" spans="1:11" x14ac:dyDescent="0.25">
      <c r="A78" t="s">
        <v>1099</v>
      </c>
      <c r="B78" t="s">
        <v>214</v>
      </c>
      <c r="C78">
        <v>3.64</v>
      </c>
      <c r="E78" t="s">
        <v>2663</v>
      </c>
      <c r="F78" t="s">
        <v>2789</v>
      </c>
      <c r="G78">
        <v>0</v>
      </c>
      <c r="I78" t="s">
        <v>341</v>
      </c>
      <c r="J78" t="s">
        <v>253</v>
      </c>
      <c r="K78" t="s">
        <v>2822</v>
      </c>
    </row>
    <row r="79" spans="1:11" x14ac:dyDescent="0.25">
      <c r="A79" t="s">
        <v>1059</v>
      </c>
      <c r="B79" t="s">
        <v>214</v>
      </c>
      <c r="C79">
        <v>0.8</v>
      </c>
      <c r="E79" t="s">
        <v>80</v>
      </c>
      <c r="F79" t="s">
        <v>253</v>
      </c>
      <c r="G79">
        <v>0</v>
      </c>
      <c r="I79" t="s">
        <v>1099</v>
      </c>
      <c r="J79" t="s">
        <v>253</v>
      </c>
      <c r="K79" t="s">
        <v>2822</v>
      </c>
    </row>
    <row r="80" spans="1:11" x14ac:dyDescent="0.25">
      <c r="A80" t="s">
        <v>1121</v>
      </c>
      <c r="B80" t="s">
        <v>214</v>
      </c>
      <c r="C80">
        <v>2</v>
      </c>
      <c r="E80" t="s">
        <v>81</v>
      </c>
      <c r="F80" t="s">
        <v>253</v>
      </c>
      <c r="G80">
        <v>0</v>
      </c>
      <c r="I80" t="s">
        <v>1059</v>
      </c>
      <c r="J80" t="s">
        <v>253</v>
      </c>
      <c r="K80" t="s">
        <v>2822</v>
      </c>
    </row>
    <row r="81" spans="1:11" x14ac:dyDescent="0.25">
      <c r="A81" t="s">
        <v>1122</v>
      </c>
      <c r="B81" t="s">
        <v>214</v>
      </c>
      <c r="C81">
        <v>1.2</v>
      </c>
      <c r="E81" t="s">
        <v>82</v>
      </c>
      <c r="F81" t="s">
        <v>253</v>
      </c>
      <c r="G81">
        <v>0</v>
      </c>
      <c r="I81" t="s">
        <v>1121</v>
      </c>
      <c r="J81" t="s">
        <v>253</v>
      </c>
      <c r="K81" t="s">
        <v>2822</v>
      </c>
    </row>
    <row r="82" spans="1:11" x14ac:dyDescent="0.25">
      <c r="A82" t="s">
        <v>1934</v>
      </c>
      <c r="B82" t="s">
        <v>253</v>
      </c>
      <c r="E82" t="s">
        <v>1992</v>
      </c>
      <c r="F82" t="s">
        <v>253</v>
      </c>
      <c r="G82">
        <v>0</v>
      </c>
      <c r="I82" t="s">
        <v>1122</v>
      </c>
      <c r="J82" t="s">
        <v>253</v>
      </c>
      <c r="K82" t="s">
        <v>2822</v>
      </c>
    </row>
    <row r="83" spans="1:11" x14ac:dyDescent="0.25">
      <c r="A83" t="s">
        <v>1933</v>
      </c>
      <c r="B83" t="s">
        <v>253</v>
      </c>
      <c r="E83" t="s">
        <v>2000</v>
      </c>
      <c r="F83" t="s">
        <v>253</v>
      </c>
      <c r="G83">
        <v>0</v>
      </c>
      <c r="I83" t="s">
        <v>1934</v>
      </c>
      <c r="J83" t="s">
        <v>253</v>
      </c>
      <c r="K83" t="s">
        <v>2822</v>
      </c>
    </row>
    <row r="84" spans="1:11" x14ac:dyDescent="0.25">
      <c r="A84" t="s">
        <v>992</v>
      </c>
      <c r="B84" t="s">
        <v>214</v>
      </c>
      <c r="C84">
        <v>0</v>
      </c>
      <c r="E84" t="s">
        <v>42</v>
      </c>
      <c r="F84" t="s">
        <v>253</v>
      </c>
      <c r="G84">
        <v>187.5</v>
      </c>
      <c r="I84" t="s">
        <v>1933</v>
      </c>
      <c r="J84" t="s">
        <v>253</v>
      </c>
      <c r="K84" t="s">
        <v>2822</v>
      </c>
    </row>
    <row r="85" spans="1:11" x14ac:dyDescent="0.25">
      <c r="A85" t="s">
        <v>2566</v>
      </c>
      <c r="B85" t="s">
        <v>214</v>
      </c>
      <c r="C85">
        <v>0</v>
      </c>
      <c r="E85" t="s">
        <v>1993</v>
      </c>
      <c r="F85" t="s">
        <v>253</v>
      </c>
      <c r="G85">
        <v>0</v>
      </c>
      <c r="I85" t="s">
        <v>992</v>
      </c>
      <c r="J85" t="s">
        <v>253</v>
      </c>
      <c r="K85" t="s">
        <v>2822</v>
      </c>
    </row>
    <row r="86" spans="1:11" x14ac:dyDescent="0.25">
      <c r="A86" t="s">
        <v>2567</v>
      </c>
      <c r="B86" t="s">
        <v>214</v>
      </c>
      <c r="E86" t="s">
        <v>43</v>
      </c>
      <c r="F86" t="s">
        <v>253</v>
      </c>
      <c r="G86">
        <v>0</v>
      </c>
      <c r="I86" t="s">
        <v>2566</v>
      </c>
      <c r="J86" t="s">
        <v>253</v>
      </c>
      <c r="K86" t="s">
        <v>2822</v>
      </c>
    </row>
    <row r="87" spans="1:11" x14ac:dyDescent="0.25">
      <c r="A87" t="s">
        <v>1323</v>
      </c>
      <c r="B87" t="s">
        <v>214</v>
      </c>
      <c r="C87">
        <v>0.8</v>
      </c>
      <c r="E87" t="s">
        <v>1200</v>
      </c>
      <c r="F87" t="s">
        <v>253</v>
      </c>
      <c r="G87">
        <v>25</v>
      </c>
      <c r="I87" t="s">
        <v>2567</v>
      </c>
      <c r="J87" t="s">
        <v>253</v>
      </c>
      <c r="K87" t="s">
        <v>2822</v>
      </c>
    </row>
    <row r="88" spans="1:11" x14ac:dyDescent="0.25">
      <c r="A88" t="s">
        <v>1939</v>
      </c>
      <c r="B88" t="s">
        <v>214</v>
      </c>
      <c r="E88" t="s">
        <v>44</v>
      </c>
      <c r="F88" t="s">
        <v>253</v>
      </c>
      <c r="G88">
        <v>37.5</v>
      </c>
      <c r="I88" t="s">
        <v>1323</v>
      </c>
      <c r="J88" t="s">
        <v>253</v>
      </c>
      <c r="K88" t="s">
        <v>2822</v>
      </c>
    </row>
    <row r="89" spans="1:11" x14ac:dyDescent="0.25">
      <c r="A89" t="s">
        <v>2562</v>
      </c>
      <c r="B89" t="s">
        <v>214</v>
      </c>
      <c r="E89" t="s">
        <v>1187</v>
      </c>
      <c r="F89" t="s">
        <v>253</v>
      </c>
      <c r="G89">
        <v>75</v>
      </c>
      <c r="I89" t="s">
        <v>1939</v>
      </c>
      <c r="J89" t="s">
        <v>253</v>
      </c>
      <c r="K89" t="s">
        <v>2822</v>
      </c>
    </row>
    <row r="90" spans="1:11" x14ac:dyDescent="0.25">
      <c r="A90" t="s">
        <v>947</v>
      </c>
      <c r="B90" t="s">
        <v>214</v>
      </c>
      <c r="C90">
        <v>0</v>
      </c>
      <c r="E90" t="s">
        <v>45</v>
      </c>
      <c r="F90" t="s">
        <v>253</v>
      </c>
      <c r="G90">
        <v>0</v>
      </c>
      <c r="I90" t="s">
        <v>2562</v>
      </c>
      <c r="J90" t="s">
        <v>253</v>
      </c>
      <c r="K90" t="s">
        <v>2822</v>
      </c>
    </row>
    <row r="91" spans="1:11" x14ac:dyDescent="0.25">
      <c r="A91" t="s">
        <v>944</v>
      </c>
      <c r="B91" t="s">
        <v>214</v>
      </c>
      <c r="C91">
        <v>0.4</v>
      </c>
      <c r="E91" t="s">
        <v>46</v>
      </c>
      <c r="F91" t="s">
        <v>253</v>
      </c>
      <c r="G91">
        <v>37.5</v>
      </c>
      <c r="I91" t="s">
        <v>947</v>
      </c>
      <c r="J91" t="s">
        <v>253</v>
      </c>
      <c r="K91" t="s">
        <v>2822</v>
      </c>
    </row>
    <row r="92" spans="1:11" x14ac:dyDescent="0.25">
      <c r="A92" t="s">
        <v>1043</v>
      </c>
      <c r="B92" t="s">
        <v>214</v>
      </c>
      <c r="C92">
        <v>0.8</v>
      </c>
      <c r="E92" t="s">
        <v>1994</v>
      </c>
      <c r="F92" t="s">
        <v>253</v>
      </c>
      <c r="G92">
        <v>0</v>
      </c>
      <c r="I92" t="s">
        <v>944</v>
      </c>
      <c r="J92" t="s">
        <v>253</v>
      </c>
      <c r="K92" t="s">
        <v>2822</v>
      </c>
    </row>
    <row r="93" spans="1:11" x14ac:dyDescent="0.25">
      <c r="A93" t="s">
        <v>1044</v>
      </c>
      <c r="B93" t="s">
        <v>214</v>
      </c>
      <c r="C93">
        <v>0.8</v>
      </c>
      <c r="E93" t="s">
        <v>1188</v>
      </c>
      <c r="F93" t="s">
        <v>253</v>
      </c>
      <c r="G93">
        <v>75</v>
      </c>
      <c r="I93" t="s">
        <v>1043</v>
      </c>
      <c r="J93" t="s">
        <v>253</v>
      </c>
      <c r="K93" t="s">
        <v>2822</v>
      </c>
    </row>
    <row r="94" spans="1:11" x14ac:dyDescent="0.25">
      <c r="A94" t="s">
        <v>1045</v>
      </c>
      <c r="B94" t="s">
        <v>214</v>
      </c>
      <c r="C94">
        <v>0</v>
      </c>
      <c r="E94" t="s">
        <v>47</v>
      </c>
      <c r="F94" t="s">
        <v>253</v>
      </c>
      <c r="G94">
        <v>0</v>
      </c>
      <c r="I94" t="s">
        <v>1044</v>
      </c>
      <c r="J94" t="s">
        <v>253</v>
      </c>
      <c r="K94" t="s">
        <v>2822</v>
      </c>
    </row>
    <row r="95" spans="1:11" x14ac:dyDescent="0.25">
      <c r="A95" t="s">
        <v>1927</v>
      </c>
      <c r="B95" t="s">
        <v>214</v>
      </c>
      <c r="E95" t="s">
        <v>83</v>
      </c>
      <c r="F95" t="s">
        <v>253</v>
      </c>
      <c r="G95">
        <v>0</v>
      </c>
      <c r="I95" t="s">
        <v>1045</v>
      </c>
      <c r="J95" t="s">
        <v>253</v>
      </c>
      <c r="K95" t="s">
        <v>2822</v>
      </c>
    </row>
    <row r="96" spans="1:11" x14ac:dyDescent="0.25">
      <c r="A96" t="s">
        <v>1042</v>
      </c>
      <c r="B96" t="s">
        <v>214</v>
      </c>
      <c r="C96">
        <v>3.6</v>
      </c>
      <c r="E96" t="s">
        <v>48</v>
      </c>
      <c r="F96" t="s">
        <v>253</v>
      </c>
      <c r="G96">
        <v>0</v>
      </c>
      <c r="I96" t="s">
        <v>1927</v>
      </c>
      <c r="J96" t="s">
        <v>253</v>
      </c>
      <c r="K96" t="s">
        <v>2822</v>
      </c>
    </row>
    <row r="97" spans="1:11" x14ac:dyDescent="0.25">
      <c r="A97" t="s">
        <v>1928</v>
      </c>
      <c r="B97" t="s">
        <v>214</v>
      </c>
      <c r="E97" t="s">
        <v>177</v>
      </c>
      <c r="F97" t="s">
        <v>214</v>
      </c>
      <c r="G97">
        <v>0</v>
      </c>
      <c r="I97" t="s">
        <v>1042</v>
      </c>
      <c r="J97" t="s">
        <v>253</v>
      </c>
      <c r="K97" t="s">
        <v>2822</v>
      </c>
    </row>
    <row r="98" spans="1:11" x14ac:dyDescent="0.25">
      <c r="A98" t="s">
        <v>943</v>
      </c>
      <c r="B98" t="s">
        <v>214</v>
      </c>
      <c r="C98">
        <v>0</v>
      </c>
      <c r="E98" t="s">
        <v>178</v>
      </c>
      <c r="F98" t="s">
        <v>214</v>
      </c>
      <c r="G98">
        <v>0</v>
      </c>
      <c r="I98" t="s">
        <v>1928</v>
      </c>
      <c r="J98" t="s">
        <v>253</v>
      </c>
      <c r="K98" t="s">
        <v>2822</v>
      </c>
    </row>
    <row r="99" spans="1:11" x14ac:dyDescent="0.25">
      <c r="A99" t="s">
        <v>1028</v>
      </c>
      <c r="B99" t="s">
        <v>214</v>
      </c>
      <c r="C99">
        <v>1.6</v>
      </c>
      <c r="E99" t="s">
        <v>179</v>
      </c>
      <c r="F99" t="s">
        <v>214</v>
      </c>
      <c r="G99">
        <v>0</v>
      </c>
      <c r="I99" t="s">
        <v>943</v>
      </c>
      <c r="J99" t="s">
        <v>253</v>
      </c>
      <c r="K99" t="s">
        <v>2822</v>
      </c>
    </row>
    <row r="100" spans="1:11" x14ac:dyDescent="0.25">
      <c r="A100" t="s">
        <v>1023</v>
      </c>
      <c r="B100" t="s">
        <v>214</v>
      </c>
      <c r="C100">
        <v>4</v>
      </c>
      <c r="E100" t="s">
        <v>180</v>
      </c>
      <c r="F100" t="s">
        <v>214</v>
      </c>
      <c r="G100">
        <v>0</v>
      </c>
      <c r="I100" t="s">
        <v>1028</v>
      </c>
      <c r="J100" t="s">
        <v>253</v>
      </c>
      <c r="K100" t="s">
        <v>2822</v>
      </c>
    </row>
    <row r="101" spans="1:11" x14ac:dyDescent="0.25">
      <c r="A101" t="s">
        <v>1017</v>
      </c>
      <c r="B101" t="s">
        <v>214</v>
      </c>
      <c r="C101">
        <v>2.4</v>
      </c>
      <c r="E101" t="s">
        <v>2028</v>
      </c>
      <c r="F101" t="s">
        <v>214</v>
      </c>
      <c r="G101">
        <v>0</v>
      </c>
      <c r="I101" t="s">
        <v>1023</v>
      </c>
      <c r="J101" t="s">
        <v>253</v>
      </c>
      <c r="K101" t="s">
        <v>2822</v>
      </c>
    </row>
    <row r="102" spans="1:11" x14ac:dyDescent="0.25">
      <c r="A102" t="s">
        <v>1018</v>
      </c>
      <c r="B102" t="s">
        <v>214</v>
      </c>
      <c r="C102">
        <v>2.4</v>
      </c>
      <c r="E102" t="s">
        <v>181</v>
      </c>
      <c r="F102" t="s">
        <v>214</v>
      </c>
      <c r="G102">
        <v>0</v>
      </c>
      <c r="I102" t="s">
        <v>1017</v>
      </c>
      <c r="J102" t="s">
        <v>253</v>
      </c>
      <c r="K102" t="s">
        <v>2822</v>
      </c>
    </row>
    <row r="103" spans="1:11" x14ac:dyDescent="0.25">
      <c r="A103" t="s">
        <v>1016</v>
      </c>
      <c r="B103" t="s">
        <v>214</v>
      </c>
      <c r="C103">
        <v>3.2</v>
      </c>
      <c r="E103" t="s">
        <v>182</v>
      </c>
      <c r="F103" t="s">
        <v>214</v>
      </c>
      <c r="G103">
        <v>0</v>
      </c>
      <c r="I103" t="s">
        <v>1018</v>
      </c>
      <c r="J103" t="s">
        <v>253</v>
      </c>
      <c r="K103" t="s">
        <v>2822</v>
      </c>
    </row>
    <row r="104" spans="1:11" x14ac:dyDescent="0.25">
      <c r="A104" t="s">
        <v>1026</v>
      </c>
      <c r="B104" t="s">
        <v>214</v>
      </c>
      <c r="C104">
        <v>0.4</v>
      </c>
      <c r="E104" t="s">
        <v>2795</v>
      </c>
      <c r="F104" t="s">
        <v>2789</v>
      </c>
      <c r="G104">
        <v>0</v>
      </c>
      <c r="I104" t="s">
        <v>1016</v>
      </c>
      <c r="J104" t="s">
        <v>253</v>
      </c>
      <c r="K104" t="s">
        <v>2822</v>
      </c>
    </row>
    <row r="105" spans="1:11" x14ac:dyDescent="0.25">
      <c r="A105" t="s">
        <v>974</v>
      </c>
      <c r="B105" t="s">
        <v>214</v>
      </c>
      <c r="C105">
        <v>0.4</v>
      </c>
      <c r="E105" t="s">
        <v>2796</v>
      </c>
      <c r="F105" t="s">
        <v>2789</v>
      </c>
      <c r="G105">
        <v>0</v>
      </c>
      <c r="I105" t="s">
        <v>1026</v>
      </c>
      <c r="J105" t="s">
        <v>253</v>
      </c>
      <c r="K105" t="s">
        <v>2822</v>
      </c>
    </row>
    <row r="106" spans="1:11" x14ac:dyDescent="0.25">
      <c r="A106" t="s">
        <v>1120</v>
      </c>
      <c r="B106" t="s">
        <v>214</v>
      </c>
      <c r="C106">
        <v>0</v>
      </c>
      <c r="E106" t="s">
        <v>183</v>
      </c>
      <c r="F106" t="s">
        <v>214</v>
      </c>
      <c r="G106">
        <v>0</v>
      </c>
      <c r="I106" t="s">
        <v>974</v>
      </c>
      <c r="J106" t="s">
        <v>253</v>
      </c>
      <c r="K106" t="s">
        <v>2822</v>
      </c>
    </row>
    <row r="107" spans="1:11" x14ac:dyDescent="0.25">
      <c r="A107" t="s">
        <v>1118</v>
      </c>
      <c r="B107" t="s">
        <v>214</v>
      </c>
      <c r="C107">
        <v>0.73</v>
      </c>
      <c r="E107" t="s">
        <v>1144</v>
      </c>
      <c r="F107" t="s">
        <v>214</v>
      </c>
      <c r="G107">
        <v>0</v>
      </c>
      <c r="I107" t="s">
        <v>1120</v>
      </c>
      <c r="J107" t="s">
        <v>253</v>
      </c>
      <c r="K107" t="s">
        <v>2822</v>
      </c>
    </row>
    <row r="108" spans="1:11" x14ac:dyDescent="0.25">
      <c r="A108" t="s">
        <v>1119</v>
      </c>
      <c r="B108" t="s">
        <v>214</v>
      </c>
      <c r="C108">
        <v>0</v>
      </c>
      <c r="E108" t="s">
        <v>184</v>
      </c>
      <c r="F108" t="s">
        <v>214</v>
      </c>
      <c r="G108">
        <v>0</v>
      </c>
      <c r="I108" t="s">
        <v>1118</v>
      </c>
      <c r="J108" t="s">
        <v>253</v>
      </c>
      <c r="K108" t="s">
        <v>2822</v>
      </c>
    </row>
    <row r="109" spans="1:11" x14ac:dyDescent="0.25">
      <c r="A109" t="s">
        <v>1029</v>
      </c>
      <c r="B109" t="s">
        <v>214</v>
      </c>
      <c r="C109">
        <v>0.8</v>
      </c>
      <c r="E109" t="s">
        <v>2797</v>
      </c>
      <c r="F109" t="s">
        <v>2789</v>
      </c>
      <c r="G109">
        <v>0</v>
      </c>
      <c r="I109" t="s">
        <v>1119</v>
      </c>
      <c r="J109" t="s">
        <v>253</v>
      </c>
      <c r="K109" t="s">
        <v>2822</v>
      </c>
    </row>
    <row r="110" spans="1:11" x14ac:dyDescent="0.25">
      <c r="A110" t="s">
        <v>962</v>
      </c>
      <c r="B110" t="s">
        <v>214</v>
      </c>
      <c r="C110">
        <v>1.2</v>
      </c>
      <c r="E110" t="s">
        <v>2798</v>
      </c>
      <c r="F110" t="s">
        <v>2789</v>
      </c>
      <c r="G110">
        <v>0</v>
      </c>
      <c r="I110" t="s">
        <v>1029</v>
      </c>
      <c r="J110" t="s">
        <v>253</v>
      </c>
      <c r="K110" t="s">
        <v>2822</v>
      </c>
    </row>
    <row r="111" spans="1:11" x14ac:dyDescent="0.25">
      <c r="A111" t="s">
        <v>1024</v>
      </c>
      <c r="B111" t="s">
        <v>214</v>
      </c>
      <c r="C111">
        <v>0.8</v>
      </c>
      <c r="E111" t="s">
        <v>84</v>
      </c>
      <c r="F111" t="s">
        <v>253</v>
      </c>
      <c r="G111">
        <v>0</v>
      </c>
      <c r="I111" t="s">
        <v>962</v>
      </c>
      <c r="J111" t="s">
        <v>253</v>
      </c>
      <c r="K111" t="s">
        <v>2822</v>
      </c>
    </row>
    <row r="112" spans="1:11" x14ac:dyDescent="0.25">
      <c r="A112" t="s">
        <v>1002</v>
      </c>
      <c r="B112" t="s">
        <v>214</v>
      </c>
      <c r="C112">
        <v>0.4</v>
      </c>
      <c r="E112" t="s">
        <v>2724</v>
      </c>
      <c r="F112" t="s">
        <v>2789</v>
      </c>
      <c r="G112">
        <v>0</v>
      </c>
      <c r="I112" t="s">
        <v>1024</v>
      </c>
      <c r="J112" t="s">
        <v>253</v>
      </c>
      <c r="K112" t="s">
        <v>2822</v>
      </c>
    </row>
    <row r="113" spans="1:11" x14ac:dyDescent="0.25">
      <c r="A113" t="s">
        <v>1019</v>
      </c>
      <c r="B113" t="s">
        <v>214</v>
      </c>
      <c r="C113">
        <v>0.4</v>
      </c>
      <c r="E113" t="s">
        <v>2725</v>
      </c>
      <c r="F113" t="s">
        <v>2789</v>
      </c>
      <c r="G113">
        <v>0</v>
      </c>
      <c r="I113" t="s">
        <v>1002</v>
      </c>
      <c r="J113" t="s">
        <v>253</v>
      </c>
      <c r="K113" t="s">
        <v>2822</v>
      </c>
    </row>
    <row r="114" spans="1:11" x14ac:dyDescent="0.25">
      <c r="A114" t="s">
        <v>964</v>
      </c>
      <c r="B114" t="s">
        <v>214</v>
      </c>
      <c r="C114">
        <v>0.4</v>
      </c>
      <c r="E114" t="s">
        <v>185</v>
      </c>
      <c r="F114" t="s">
        <v>214</v>
      </c>
      <c r="G114">
        <v>0</v>
      </c>
      <c r="I114" t="s">
        <v>1019</v>
      </c>
      <c r="J114" t="s">
        <v>253</v>
      </c>
      <c r="K114" t="s">
        <v>2822</v>
      </c>
    </row>
    <row r="115" spans="1:11" x14ac:dyDescent="0.25">
      <c r="A115" t="s">
        <v>1033</v>
      </c>
      <c r="B115" t="s">
        <v>214</v>
      </c>
      <c r="C115">
        <v>0.4</v>
      </c>
      <c r="E115" t="s">
        <v>2799</v>
      </c>
      <c r="F115" t="s">
        <v>2789</v>
      </c>
      <c r="G115">
        <v>0</v>
      </c>
      <c r="I115" t="s">
        <v>964</v>
      </c>
      <c r="J115" t="s">
        <v>253</v>
      </c>
      <c r="K115" t="s">
        <v>2822</v>
      </c>
    </row>
    <row r="116" spans="1:11" x14ac:dyDescent="0.25">
      <c r="A116" t="s">
        <v>970</v>
      </c>
      <c r="B116" t="s">
        <v>214</v>
      </c>
      <c r="C116">
        <v>0</v>
      </c>
      <c r="E116" t="s">
        <v>2029</v>
      </c>
      <c r="F116" t="s">
        <v>214</v>
      </c>
      <c r="G116">
        <v>0</v>
      </c>
      <c r="I116" t="s">
        <v>1033</v>
      </c>
      <c r="J116" t="s">
        <v>253</v>
      </c>
      <c r="K116" t="s">
        <v>2822</v>
      </c>
    </row>
    <row r="117" spans="1:11" x14ac:dyDescent="0.25">
      <c r="A117" t="s">
        <v>991</v>
      </c>
      <c r="B117" t="s">
        <v>214</v>
      </c>
      <c r="C117">
        <v>4</v>
      </c>
      <c r="E117" t="s">
        <v>2723</v>
      </c>
      <c r="F117" t="s">
        <v>2789</v>
      </c>
      <c r="G117">
        <v>0</v>
      </c>
      <c r="I117" t="s">
        <v>970</v>
      </c>
      <c r="J117" t="s">
        <v>253</v>
      </c>
      <c r="K117" t="s">
        <v>2822</v>
      </c>
    </row>
    <row r="118" spans="1:11" x14ac:dyDescent="0.25">
      <c r="A118" t="s">
        <v>993</v>
      </c>
      <c r="B118" t="s">
        <v>214</v>
      </c>
      <c r="C118">
        <v>0</v>
      </c>
      <c r="E118" t="s">
        <v>2664</v>
      </c>
      <c r="F118" t="s">
        <v>2789</v>
      </c>
      <c r="G118">
        <v>0</v>
      </c>
      <c r="I118" t="s">
        <v>991</v>
      </c>
      <c r="J118" t="s">
        <v>253</v>
      </c>
      <c r="K118" t="s">
        <v>2822</v>
      </c>
    </row>
    <row r="119" spans="1:11" x14ac:dyDescent="0.25">
      <c r="A119" t="s">
        <v>1937</v>
      </c>
      <c r="B119" t="s">
        <v>214</v>
      </c>
      <c r="E119" t="s">
        <v>2726</v>
      </c>
      <c r="F119" t="s">
        <v>2789</v>
      </c>
      <c r="G119">
        <v>0</v>
      </c>
      <c r="I119" t="s">
        <v>993</v>
      </c>
      <c r="J119" t="s">
        <v>253</v>
      </c>
      <c r="K119" t="s">
        <v>2822</v>
      </c>
    </row>
    <row r="120" spans="1:11" x14ac:dyDescent="0.25">
      <c r="A120" t="s">
        <v>2564</v>
      </c>
      <c r="B120" t="s">
        <v>214</v>
      </c>
      <c r="E120" t="s">
        <v>2727</v>
      </c>
      <c r="F120" t="s">
        <v>2789</v>
      </c>
      <c r="G120">
        <v>0</v>
      </c>
      <c r="I120" t="s">
        <v>1937</v>
      </c>
      <c r="J120" t="s">
        <v>253</v>
      </c>
      <c r="K120" t="s">
        <v>2822</v>
      </c>
    </row>
    <row r="121" spans="1:11" x14ac:dyDescent="0.25">
      <c r="A121" t="s">
        <v>1108</v>
      </c>
      <c r="B121" t="s">
        <v>214</v>
      </c>
      <c r="C121">
        <v>1.6</v>
      </c>
      <c r="E121" t="s">
        <v>186</v>
      </c>
      <c r="F121" t="s">
        <v>214</v>
      </c>
      <c r="G121">
        <v>0</v>
      </c>
      <c r="I121" t="s">
        <v>2564</v>
      </c>
      <c r="J121" t="s">
        <v>253</v>
      </c>
      <c r="K121" t="s">
        <v>2822</v>
      </c>
    </row>
    <row r="122" spans="1:11" x14ac:dyDescent="0.25">
      <c r="A122" t="s">
        <v>1929</v>
      </c>
      <c r="B122" t="s">
        <v>214</v>
      </c>
      <c r="E122" t="s">
        <v>1159</v>
      </c>
      <c r="F122" t="s">
        <v>253</v>
      </c>
      <c r="G122">
        <v>0</v>
      </c>
      <c r="I122" t="s">
        <v>1108</v>
      </c>
      <c r="J122" t="s">
        <v>253</v>
      </c>
      <c r="K122" t="s">
        <v>2822</v>
      </c>
    </row>
    <row r="123" spans="1:11" x14ac:dyDescent="0.25">
      <c r="A123" t="s">
        <v>1123</v>
      </c>
      <c r="B123" t="s">
        <v>214</v>
      </c>
      <c r="C123">
        <v>0.8</v>
      </c>
      <c r="E123" t="s">
        <v>187</v>
      </c>
      <c r="F123" t="s">
        <v>214</v>
      </c>
      <c r="G123">
        <v>0</v>
      </c>
      <c r="I123" t="s">
        <v>1929</v>
      </c>
      <c r="J123" t="s">
        <v>253</v>
      </c>
      <c r="K123" t="s">
        <v>2822</v>
      </c>
    </row>
    <row r="124" spans="1:11" x14ac:dyDescent="0.25">
      <c r="A124" t="s">
        <v>1181</v>
      </c>
      <c r="B124" t="s">
        <v>214</v>
      </c>
      <c r="E124" t="s">
        <v>2030</v>
      </c>
      <c r="F124" t="s">
        <v>214</v>
      </c>
      <c r="G124">
        <v>0</v>
      </c>
      <c r="I124" t="s">
        <v>1123</v>
      </c>
      <c r="J124" t="s">
        <v>253</v>
      </c>
      <c r="K124" t="s">
        <v>2822</v>
      </c>
    </row>
    <row r="125" spans="1:11" x14ac:dyDescent="0.25">
      <c r="A125" t="s">
        <v>1204</v>
      </c>
      <c r="B125" t="s">
        <v>214</v>
      </c>
      <c r="C125">
        <v>1.0900000000000001</v>
      </c>
      <c r="E125" t="s">
        <v>2731</v>
      </c>
      <c r="F125" t="s">
        <v>2789</v>
      </c>
      <c r="G125">
        <v>0</v>
      </c>
      <c r="I125" t="s">
        <v>1181</v>
      </c>
      <c r="J125" t="s">
        <v>253</v>
      </c>
      <c r="K125" t="s">
        <v>2822</v>
      </c>
    </row>
    <row r="126" spans="1:11" x14ac:dyDescent="0.25">
      <c r="A126" t="s">
        <v>262</v>
      </c>
      <c r="B126" t="s">
        <v>214</v>
      </c>
      <c r="C126">
        <v>10.91</v>
      </c>
      <c r="E126" t="s">
        <v>2689</v>
      </c>
      <c r="F126" t="s">
        <v>2789</v>
      </c>
      <c r="G126">
        <v>0</v>
      </c>
      <c r="I126" t="s">
        <v>1204</v>
      </c>
      <c r="J126" t="s">
        <v>253</v>
      </c>
      <c r="K126" t="s">
        <v>2822</v>
      </c>
    </row>
    <row r="127" spans="1:11" x14ac:dyDescent="0.25">
      <c r="A127" t="s">
        <v>1706</v>
      </c>
      <c r="B127" t="s">
        <v>214</v>
      </c>
      <c r="E127" t="s">
        <v>2031</v>
      </c>
      <c r="F127" t="s">
        <v>214</v>
      </c>
      <c r="G127">
        <v>0</v>
      </c>
      <c r="I127" t="s">
        <v>262</v>
      </c>
      <c r="J127" t="s">
        <v>253</v>
      </c>
      <c r="K127" t="s">
        <v>2822</v>
      </c>
    </row>
    <row r="128" spans="1:11" x14ac:dyDescent="0.25">
      <c r="A128" t="s">
        <v>2151</v>
      </c>
      <c r="B128" t="s">
        <v>214</v>
      </c>
      <c r="E128" t="s">
        <v>50</v>
      </c>
      <c r="F128" t="s">
        <v>253</v>
      </c>
      <c r="G128">
        <v>0</v>
      </c>
      <c r="I128" t="s">
        <v>1706</v>
      </c>
      <c r="J128" t="s">
        <v>253</v>
      </c>
      <c r="K128" t="s">
        <v>2822</v>
      </c>
    </row>
    <row r="129" spans="1:11" x14ac:dyDescent="0.25">
      <c r="A129" t="s">
        <v>263</v>
      </c>
      <c r="B129" t="s">
        <v>214</v>
      </c>
      <c r="C129">
        <v>1.82</v>
      </c>
      <c r="E129" t="s">
        <v>49</v>
      </c>
      <c r="F129" t="s">
        <v>214</v>
      </c>
      <c r="G129">
        <v>0</v>
      </c>
      <c r="I129" t="s">
        <v>2151</v>
      </c>
      <c r="J129" t="s">
        <v>253</v>
      </c>
      <c r="K129" t="s">
        <v>2822</v>
      </c>
    </row>
    <row r="130" spans="1:11" x14ac:dyDescent="0.25">
      <c r="A130" t="s">
        <v>264</v>
      </c>
      <c r="B130" t="s">
        <v>214</v>
      </c>
      <c r="C130">
        <v>7.27</v>
      </c>
      <c r="E130" t="s">
        <v>2032</v>
      </c>
      <c r="F130" t="s">
        <v>214</v>
      </c>
      <c r="G130">
        <v>0</v>
      </c>
      <c r="I130" t="s">
        <v>263</v>
      </c>
      <c r="J130" t="s">
        <v>253</v>
      </c>
      <c r="K130" t="s">
        <v>2822</v>
      </c>
    </row>
    <row r="131" spans="1:11" x14ac:dyDescent="0.25">
      <c r="A131" t="s">
        <v>2123</v>
      </c>
      <c r="B131" t="s">
        <v>214</v>
      </c>
      <c r="E131" t="s">
        <v>51</v>
      </c>
      <c r="F131" t="s">
        <v>253</v>
      </c>
      <c r="G131">
        <v>0</v>
      </c>
      <c r="I131" t="s">
        <v>264</v>
      </c>
      <c r="J131" t="s">
        <v>253</v>
      </c>
      <c r="K131" t="s">
        <v>2822</v>
      </c>
    </row>
    <row r="132" spans="1:11" x14ac:dyDescent="0.25">
      <c r="A132" t="s">
        <v>265</v>
      </c>
      <c r="B132" t="s">
        <v>214</v>
      </c>
      <c r="C132">
        <v>7.27</v>
      </c>
      <c r="E132" t="s">
        <v>52</v>
      </c>
      <c r="F132" t="s">
        <v>253</v>
      </c>
      <c r="G132">
        <v>0</v>
      </c>
      <c r="I132" t="s">
        <v>2123</v>
      </c>
      <c r="J132" t="s">
        <v>253</v>
      </c>
      <c r="K132" t="s">
        <v>2822</v>
      </c>
    </row>
    <row r="133" spans="1:11" x14ac:dyDescent="0.25">
      <c r="A133" t="s">
        <v>266</v>
      </c>
      <c r="B133" t="s">
        <v>214</v>
      </c>
      <c r="C133">
        <v>36.36</v>
      </c>
      <c r="E133" t="s">
        <v>53</v>
      </c>
      <c r="F133" t="s">
        <v>253</v>
      </c>
      <c r="G133">
        <v>0</v>
      </c>
      <c r="I133" t="s">
        <v>265</v>
      </c>
      <c r="J133" t="s">
        <v>253</v>
      </c>
      <c r="K133" t="s">
        <v>2822</v>
      </c>
    </row>
    <row r="134" spans="1:11" x14ac:dyDescent="0.25">
      <c r="A134" t="s">
        <v>1497</v>
      </c>
      <c r="B134" t="s">
        <v>214</v>
      </c>
      <c r="E134" t="s">
        <v>54</v>
      </c>
      <c r="F134" t="s">
        <v>253</v>
      </c>
      <c r="G134">
        <v>0</v>
      </c>
      <c r="I134" t="s">
        <v>266</v>
      </c>
      <c r="J134" t="s">
        <v>253</v>
      </c>
      <c r="K134" t="s">
        <v>2822</v>
      </c>
    </row>
    <row r="135" spans="1:11" x14ac:dyDescent="0.25">
      <c r="A135" t="s">
        <v>1498</v>
      </c>
      <c r="B135" t="s">
        <v>214</v>
      </c>
      <c r="E135" t="s">
        <v>55</v>
      </c>
      <c r="F135" t="s">
        <v>253</v>
      </c>
      <c r="G135">
        <v>0</v>
      </c>
      <c r="I135" t="s">
        <v>1497</v>
      </c>
      <c r="J135" t="s">
        <v>253</v>
      </c>
      <c r="K135" t="s">
        <v>2822</v>
      </c>
    </row>
    <row r="136" spans="1:11" x14ac:dyDescent="0.25">
      <c r="A136" t="s">
        <v>1205</v>
      </c>
      <c r="B136" t="s">
        <v>214</v>
      </c>
      <c r="C136">
        <v>7.27</v>
      </c>
      <c r="E136" t="s">
        <v>56</v>
      </c>
      <c r="F136" t="s">
        <v>253</v>
      </c>
      <c r="G136">
        <v>0</v>
      </c>
      <c r="I136" t="s">
        <v>1498</v>
      </c>
      <c r="J136" t="s">
        <v>253</v>
      </c>
      <c r="K136" t="s">
        <v>2822</v>
      </c>
    </row>
    <row r="137" spans="1:11" x14ac:dyDescent="0.25">
      <c r="A137" t="s">
        <v>1206</v>
      </c>
      <c r="B137" t="s">
        <v>214</v>
      </c>
      <c r="C137">
        <v>10.91</v>
      </c>
      <c r="E137" t="s">
        <v>188</v>
      </c>
      <c r="F137" t="s">
        <v>214</v>
      </c>
      <c r="G137">
        <v>0</v>
      </c>
      <c r="I137" t="s">
        <v>1205</v>
      </c>
      <c r="J137" t="s">
        <v>253</v>
      </c>
      <c r="K137" t="s">
        <v>2822</v>
      </c>
    </row>
    <row r="138" spans="1:11" x14ac:dyDescent="0.25">
      <c r="A138" t="s">
        <v>1207</v>
      </c>
      <c r="B138" t="s">
        <v>214</v>
      </c>
      <c r="C138">
        <v>2.1800000000000002</v>
      </c>
      <c r="E138" t="s">
        <v>189</v>
      </c>
      <c r="F138" t="s">
        <v>214</v>
      </c>
      <c r="G138">
        <v>0</v>
      </c>
      <c r="I138" t="s">
        <v>1206</v>
      </c>
      <c r="J138" t="s">
        <v>253</v>
      </c>
      <c r="K138" t="s">
        <v>2822</v>
      </c>
    </row>
    <row r="139" spans="1:11" x14ac:dyDescent="0.25">
      <c r="A139" t="s">
        <v>267</v>
      </c>
      <c r="B139" t="s">
        <v>214</v>
      </c>
      <c r="C139">
        <v>14.55</v>
      </c>
      <c r="E139" t="s">
        <v>1202</v>
      </c>
      <c r="F139" t="s">
        <v>214</v>
      </c>
      <c r="G139">
        <v>0</v>
      </c>
      <c r="I139" t="s">
        <v>1207</v>
      </c>
      <c r="J139" t="s">
        <v>253</v>
      </c>
      <c r="K139" t="s">
        <v>2822</v>
      </c>
    </row>
    <row r="140" spans="1:11" x14ac:dyDescent="0.25">
      <c r="A140" t="s">
        <v>268</v>
      </c>
      <c r="B140" t="s">
        <v>214</v>
      </c>
      <c r="C140">
        <v>21.82</v>
      </c>
      <c r="E140" t="s">
        <v>2033</v>
      </c>
      <c r="F140" t="s">
        <v>214</v>
      </c>
      <c r="G140">
        <v>0</v>
      </c>
      <c r="I140" t="s">
        <v>267</v>
      </c>
      <c r="J140" t="s">
        <v>253</v>
      </c>
      <c r="K140" t="s">
        <v>2822</v>
      </c>
    </row>
    <row r="141" spans="1:11" x14ac:dyDescent="0.25">
      <c r="A141" t="s">
        <v>1208</v>
      </c>
      <c r="B141" t="s">
        <v>214</v>
      </c>
      <c r="C141">
        <v>3.64</v>
      </c>
      <c r="E141" t="s">
        <v>190</v>
      </c>
      <c r="F141" t="s">
        <v>214</v>
      </c>
      <c r="G141">
        <v>0</v>
      </c>
      <c r="I141" t="s">
        <v>268</v>
      </c>
      <c r="J141" t="s">
        <v>253</v>
      </c>
      <c r="K141" t="s">
        <v>2822</v>
      </c>
    </row>
    <row r="142" spans="1:11" x14ac:dyDescent="0.25">
      <c r="A142" t="s">
        <v>2130</v>
      </c>
      <c r="B142" t="s">
        <v>214</v>
      </c>
      <c r="E142" t="s">
        <v>2034</v>
      </c>
      <c r="F142" t="s">
        <v>214</v>
      </c>
      <c r="G142">
        <v>0</v>
      </c>
      <c r="I142" t="s">
        <v>1208</v>
      </c>
      <c r="J142" t="s">
        <v>253</v>
      </c>
      <c r="K142" t="s">
        <v>2822</v>
      </c>
    </row>
    <row r="143" spans="1:11" x14ac:dyDescent="0.25">
      <c r="A143" t="s">
        <v>1209</v>
      </c>
      <c r="B143" t="s">
        <v>214</v>
      </c>
      <c r="C143">
        <v>0.73</v>
      </c>
      <c r="E143" t="s">
        <v>2035</v>
      </c>
      <c r="F143" t="s">
        <v>214</v>
      </c>
      <c r="G143">
        <v>0</v>
      </c>
      <c r="I143" t="s">
        <v>2130</v>
      </c>
      <c r="J143" t="s">
        <v>253</v>
      </c>
      <c r="K143" t="s">
        <v>2822</v>
      </c>
    </row>
    <row r="144" spans="1:11" x14ac:dyDescent="0.25">
      <c r="A144" t="s">
        <v>1210</v>
      </c>
      <c r="B144" t="s">
        <v>214</v>
      </c>
      <c r="C144">
        <v>0.73</v>
      </c>
      <c r="E144" t="s">
        <v>2036</v>
      </c>
      <c r="F144" t="s">
        <v>214</v>
      </c>
      <c r="G144">
        <v>0</v>
      </c>
      <c r="I144" t="s">
        <v>1209</v>
      </c>
      <c r="J144" t="s">
        <v>253</v>
      </c>
      <c r="K144" t="s">
        <v>2822</v>
      </c>
    </row>
    <row r="145" spans="1:11" x14ac:dyDescent="0.25">
      <c r="A145" t="s">
        <v>1211</v>
      </c>
      <c r="B145" t="s">
        <v>214</v>
      </c>
      <c r="C145">
        <v>0.73</v>
      </c>
      <c r="E145" t="s">
        <v>57</v>
      </c>
      <c r="F145" t="s">
        <v>253</v>
      </c>
      <c r="G145">
        <v>0</v>
      </c>
      <c r="I145" t="s">
        <v>1210</v>
      </c>
      <c r="J145" t="s">
        <v>253</v>
      </c>
      <c r="K145" t="s">
        <v>2822</v>
      </c>
    </row>
    <row r="146" spans="1:11" x14ac:dyDescent="0.25">
      <c r="A146" t="s">
        <v>2114</v>
      </c>
      <c r="B146" t="s">
        <v>214</v>
      </c>
      <c r="E146" t="s">
        <v>1191</v>
      </c>
      <c r="F146" t="s">
        <v>253</v>
      </c>
      <c r="G146">
        <v>0</v>
      </c>
      <c r="I146" t="s">
        <v>1211</v>
      </c>
      <c r="J146" t="s">
        <v>253</v>
      </c>
      <c r="K146" t="s">
        <v>2822</v>
      </c>
    </row>
    <row r="147" spans="1:11" x14ac:dyDescent="0.25">
      <c r="A147" t="s">
        <v>1573</v>
      </c>
      <c r="B147" t="s">
        <v>214</v>
      </c>
      <c r="E147" t="s">
        <v>191</v>
      </c>
      <c r="F147" t="s">
        <v>214</v>
      </c>
      <c r="G147">
        <v>0</v>
      </c>
      <c r="I147" t="s">
        <v>2114</v>
      </c>
      <c r="J147" t="s">
        <v>253</v>
      </c>
      <c r="K147" t="s">
        <v>2822</v>
      </c>
    </row>
    <row r="148" spans="1:11" x14ac:dyDescent="0.25">
      <c r="A148" t="s">
        <v>1212</v>
      </c>
      <c r="B148" t="s">
        <v>214</v>
      </c>
      <c r="C148">
        <v>0.36</v>
      </c>
      <c r="E148" t="s">
        <v>58</v>
      </c>
      <c r="F148" t="s">
        <v>253</v>
      </c>
      <c r="G148">
        <v>0</v>
      </c>
      <c r="I148" t="s">
        <v>1573</v>
      </c>
      <c r="J148" t="s">
        <v>253</v>
      </c>
      <c r="K148" t="s">
        <v>2822</v>
      </c>
    </row>
    <row r="149" spans="1:11" x14ac:dyDescent="0.25">
      <c r="A149" t="s">
        <v>2407</v>
      </c>
      <c r="B149" t="s">
        <v>214</v>
      </c>
      <c r="E149" t="s">
        <v>59</v>
      </c>
      <c r="F149" t="s">
        <v>253</v>
      </c>
      <c r="G149">
        <v>0</v>
      </c>
      <c r="I149" t="s">
        <v>1212</v>
      </c>
      <c r="J149" t="s">
        <v>253</v>
      </c>
      <c r="K149" t="s">
        <v>2822</v>
      </c>
    </row>
    <row r="150" spans="1:11" x14ac:dyDescent="0.25">
      <c r="A150" t="s">
        <v>2519</v>
      </c>
      <c r="B150" t="s">
        <v>214</v>
      </c>
      <c r="E150" t="s">
        <v>60</v>
      </c>
      <c r="F150" t="s">
        <v>253</v>
      </c>
      <c r="G150">
        <v>0</v>
      </c>
      <c r="I150" t="s">
        <v>2407</v>
      </c>
      <c r="J150" t="s">
        <v>253</v>
      </c>
      <c r="K150" t="s">
        <v>2822</v>
      </c>
    </row>
    <row r="151" spans="1:11" x14ac:dyDescent="0.25">
      <c r="A151" t="s">
        <v>1213</v>
      </c>
      <c r="B151" t="s">
        <v>214</v>
      </c>
      <c r="C151">
        <v>3.64</v>
      </c>
      <c r="E151" t="s">
        <v>192</v>
      </c>
      <c r="F151" t="s">
        <v>214</v>
      </c>
      <c r="G151">
        <v>0</v>
      </c>
      <c r="I151" t="s">
        <v>2519</v>
      </c>
      <c r="J151" t="s">
        <v>253</v>
      </c>
      <c r="K151" t="s">
        <v>2822</v>
      </c>
    </row>
    <row r="152" spans="1:11" x14ac:dyDescent="0.25">
      <c r="A152" t="s">
        <v>1568</v>
      </c>
      <c r="B152" t="s">
        <v>214</v>
      </c>
      <c r="E152" t="s">
        <v>193</v>
      </c>
      <c r="F152" t="s">
        <v>214</v>
      </c>
      <c r="G152">
        <v>0</v>
      </c>
      <c r="I152" t="s">
        <v>1213</v>
      </c>
      <c r="J152" t="s">
        <v>253</v>
      </c>
      <c r="K152" t="s">
        <v>2822</v>
      </c>
    </row>
    <row r="153" spans="1:11" x14ac:dyDescent="0.25">
      <c r="A153" t="s">
        <v>1214</v>
      </c>
      <c r="B153" t="s">
        <v>214</v>
      </c>
      <c r="C153">
        <v>1.0900000000000001</v>
      </c>
      <c r="E153" t="s">
        <v>194</v>
      </c>
      <c r="F153" t="s">
        <v>214</v>
      </c>
      <c r="G153">
        <v>0</v>
      </c>
      <c r="I153" t="s">
        <v>1568</v>
      </c>
      <c r="J153" t="s">
        <v>253</v>
      </c>
      <c r="K153" t="s">
        <v>2822</v>
      </c>
    </row>
    <row r="154" spans="1:11" x14ac:dyDescent="0.25">
      <c r="A154" t="s">
        <v>1570</v>
      </c>
      <c r="B154" t="s">
        <v>214</v>
      </c>
      <c r="E154" t="s">
        <v>195</v>
      </c>
      <c r="F154" t="s">
        <v>214</v>
      </c>
      <c r="G154">
        <v>0</v>
      </c>
      <c r="I154" t="s">
        <v>1214</v>
      </c>
      <c r="J154" t="s">
        <v>253</v>
      </c>
      <c r="K154" t="s">
        <v>2822</v>
      </c>
    </row>
    <row r="155" spans="1:11" x14ac:dyDescent="0.25">
      <c r="A155" t="s">
        <v>1215</v>
      </c>
      <c r="B155" t="s">
        <v>214</v>
      </c>
      <c r="C155">
        <v>0.73</v>
      </c>
      <c r="E155" t="s">
        <v>196</v>
      </c>
      <c r="F155" t="s">
        <v>214</v>
      </c>
      <c r="G155">
        <v>0</v>
      </c>
      <c r="I155" t="s">
        <v>1570</v>
      </c>
      <c r="J155" t="s">
        <v>253</v>
      </c>
      <c r="K155" t="s">
        <v>2822</v>
      </c>
    </row>
    <row r="156" spans="1:11" x14ac:dyDescent="0.25">
      <c r="A156" t="s">
        <v>1216</v>
      </c>
      <c r="B156" t="s">
        <v>214</v>
      </c>
      <c r="C156">
        <v>0.73</v>
      </c>
      <c r="E156" t="s">
        <v>61</v>
      </c>
      <c r="F156" t="s">
        <v>253</v>
      </c>
      <c r="G156">
        <v>0</v>
      </c>
      <c r="I156" t="s">
        <v>1215</v>
      </c>
      <c r="J156" t="s">
        <v>253</v>
      </c>
      <c r="K156" t="s">
        <v>2822</v>
      </c>
    </row>
    <row r="157" spans="1:11" x14ac:dyDescent="0.25">
      <c r="A157" t="s">
        <v>1799</v>
      </c>
      <c r="B157" t="s">
        <v>214</v>
      </c>
      <c r="E157" t="s">
        <v>2732</v>
      </c>
      <c r="F157" t="s">
        <v>2789</v>
      </c>
      <c r="G157">
        <v>0</v>
      </c>
      <c r="I157" t="s">
        <v>1216</v>
      </c>
      <c r="J157" t="s">
        <v>253</v>
      </c>
      <c r="K157" t="s">
        <v>2822</v>
      </c>
    </row>
    <row r="158" spans="1:11" x14ac:dyDescent="0.25">
      <c r="A158" t="s">
        <v>1795</v>
      </c>
      <c r="B158" t="s">
        <v>214</v>
      </c>
      <c r="E158" t="s">
        <v>2001</v>
      </c>
      <c r="F158" t="s">
        <v>253</v>
      </c>
      <c r="G158">
        <v>0</v>
      </c>
      <c r="I158" t="s">
        <v>1799</v>
      </c>
      <c r="J158" t="s">
        <v>253</v>
      </c>
      <c r="K158" t="s">
        <v>2822</v>
      </c>
    </row>
    <row r="159" spans="1:11" x14ac:dyDescent="0.25">
      <c r="A159" t="s">
        <v>1798</v>
      </c>
      <c r="B159" t="s">
        <v>214</v>
      </c>
      <c r="E159" t="s">
        <v>2002</v>
      </c>
      <c r="F159" t="s">
        <v>253</v>
      </c>
      <c r="G159">
        <v>0</v>
      </c>
      <c r="I159" t="s">
        <v>1795</v>
      </c>
      <c r="J159" t="s">
        <v>253</v>
      </c>
      <c r="K159" t="s">
        <v>2822</v>
      </c>
    </row>
    <row r="160" spans="1:11" x14ac:dyDescent="0.25">
      <c r="A160" t="s">
        <v>1796</v>
      </c>
      <c r="B160" t="s">
        <v>214</v>
      </c>
      <c r="E160" t="s">
        <v>2003</v>
      </c>
      <c r="F160" t="s">
        <v>253</v>
      </c>
      <c r="G160">
        <v>0</v>
      </c>
      <c r="I160" t="s">
        <v>1798</v>
      </c>
      <c r="J160" t="s">
        <v>253</v>
      </c>
      <c r="K160" t="s">
        <v>2822</v>
      </c>
    </row>
    <row r="161" spans="1:11" x14ac:dyDescent="0.25">
      <c r="A161" t="s">
        <v>1641</v>
      </c>
      <c r="B161" t="s">
        <v>214</v>
      </c>
      <c r="E161" t="s">
        <v>85</v>
      </c>
      <c r="F161" t="s">
        <v>253</v>
      </c>
      <c r="G161">
        <v>0</v>
      </c>
      <c r="I161" t="s">
        <v>1796</v>
      </c>
      <c r="J161" t="s">
        <v>253</v>
      </c>
      <c r="K161" t="s">
        <v>2822</v>
      </c>
    </row>
    <row r="162" spans="1:11" x14ac:dyDescent="0.25">
      <c r="A162" t="s">
        <v>1643</v>
      </c>
      <c r="B162" t="s">
        <v>214</v>
      </c>
      <c r="E162" t="s">
        <v>86</v>
      </c>
      <c r="F162" t="s">
        <v>253</v>
      </c>
      <c r="G162">
        <v>0</v>
      </c>
      <c r="I162" t="s">
        <v>1641</v>
      </c>
      <c r="J162" t="s">
        <v>253</v>
      </c>
      <c r="K162" t="s">
        <v>2822</v>
      </c>
    </row>
    <row r="163" spans="1:11" x14ac:dyDescent="0.25">
      <c r="A163" t="s">
        <v>1644</v>
      </c>
      <c r="B163" t="s">
        <v>214</v>
      </c>
      <c r="E163" t="s">
        <v>87</v>
      </c>
      <c r="F163" t="s">
        <v>253</v>
      </c>
      <c r="G163">
        <v>0</v>
      </c>
      <c r="I163" t="s">
        <v>1643</v>
      </c>
      <c r="J163" t="s">
        <v>253</v>
      </c>
      <c r="K163" t="s">
        <v>2822</v>
      </c>
    </row>
    <row r="164" spans="1:11" x14ac:dyDescent="0.25">
      <c r="A164" t="s">
        <v>1217</v>
      </c>
      <c r="B164" t="s">
        <v>214</v>
      </c>
      <c r="C164">
        <v>3.64</v>
      </c>
      <c r="E164" t="s">
        <v>88</v>
      </c>
      <c r="F164" t="s">
        <v>253</v>
      </c>
      <c r="G164">
        <v>0</v>
      </c>
      <c r="I164" t="s">
        <v>1644</v>
      </c>
      <c r="J164" t="s">
        <v>253</v>
      </c>
      <c r="K164" t="s">
        <v>2822</v>
      </c>
    </row>
    <row r="165" spans="1:11" x14ac:dyDescent="0.25">
      <c r="A165" t="s">
        <v>1218</v>
      </c>
      <c r="B165" t="s">
        <v>214</v>
      </c>
      <c r="C165">
        <v>3.64</v>
      </c>
      <c r="E165" t="s">
        <v>89</v>
      </c>
      <c r="F165" t="s">
        <v>253</v>
      </c>
      <c r="G165">
        <v>0</v>
      </c>
      <c r="I165" t="s">
        <v>1217</v>
      </c>
      <c r="J165" t="s">
        <v>253</v>
      </c>
      <c r="K165" t="s">
        <v>2822</v>
      </c>
    </row>
    <row r="166" spans="1:11" x14ac:dyDescent="0.25">
      <c r="A166" t="s">
        <v>1489</v>
      </c>
      <c r="B166" t="s">
        <v>214</v>
      </c>
      <c r="E166" t="s">
        <v>90</v>
      </c>
      <c r="F166" t="s">
        <v>253</v>
      </c>
      <c r="G166">
        <v>0</v>
      </c>
      <c r="I166" t="s">
        <v>1218</v>
      </c>
      <c r="J166" t="s">
        <v>253</v>
      </c>
      <c r="K166" t="s">
        <v>2822</v>
      </c>
    </row>
    <row r="167" spans="1:11" x14ac:dyDescent="0.25">
      <c r="A167" t="s">
        <v>1488</v>
      </c>
      <c r="B167" t="s">
        <v>214</v>
      </c>
      <c r="E167" t="s">
        <v>91</v>
      </c>
      <c r="F167" t="s">
        <v>253</v>
      </c>
      <c r="G167">
        <v>0</v>
      </c>
      <c r="I167" t="s">
        <v>1489</v>
      </c>
      <c r="J167" t="s">
        <v>253</v>
      </c>
      <c r="K167" t="s">
        <v>2822</v>
      </c>
    </row>
    <row r="168" spans="1:11" x14ac:dyDescent="0.25">
      <c r="A168" t="s">
        <v>1740</v>
      </c>
      <c r="B168" t="s">
        <v>214</v>
      </c>
      <c r="E168" t="s">
        <v>92</v>
      </c>
      <c r="F168" t="s">
        <v>253</v>
      </c>
      <c r="G168">
        <v>0</v>
      </c>
      <c r="I168" t="s">
        <v>1488</v>
      </c>
      <c r="J168" t="s">
        <v>253</v>
      </c>
      <c r="K168" t="s">
        <v>2822</v>
      </c>
    </row>
    <row r="169" spans="1:11" x14ac:dyDescent="0.25">
      <c r="A169" t="s">
        <v>1219</v>
      </c>
      <c r="B169" t="s">
        <v>214</v>
      </c>
      <c r="C169">
        <v>1.45</v>
      </c>
      <c r="E169" t="s">
        <v>93</v>
      </c>
      <c r="F169" t="s">
        <v>253</v>
      </c>
      <c r="G169">
        <v>0</v>
      </c>
      <c r="I169" t="s">
        <v>1740</v>
      </c>
      <c r="J169" t="s">
        <v>253</v>
      </c>
      <c r="K169" t="s">
        <v>2822</v>
      </c>
    </row>
    <row r="170" spans="1:11" x14ac:dyDescent="0.25">
      <c r="A170" t="s">
        <v>1487</v>
      </c>
      <c r="B170" t="s">
        <v>214</v>
      </c>
      <c r="E170" t="s">
        <v>94</v>
      </c>
      <c r="F170" t="s">
        <v>253</v>
      </c>
      <c r="G170">
        <v>0</v>
      </c>
      <c r="I170" t="s">
        <v>1219</v>
      </c>
      <c r="J170" t="s">
        <v>253</v>
      </c>
      <c r="K170" t="s">
        <v>2822</v>
      </c>
    </row>
    <row r="171" spans="1:11" x14ac:dyDescent="0.25">
      <c r="A171" t="s">
        <v>1486</v>
      </c>
      <c r="B171" t="s">
        <v>214</v>
      </c>
      <c r="E171" t="s">
        <v>95</v>
      </c>
      <c r="F171" t="s">
        <v>253</v>
      </c>
      <c r="G171">
        <v>0</v>
      </c>
      <c r="I171" t="s">
        <v>1487</v>
      </c>
      <c r="J171" t="s">
        <v>253</v>
      </c>
      <c r="K171" t="s">
        <v>2822</v>
      </c>
    </row>
    <row r="172" spans="1:11" x14ac:dyDescent="0.25">
      <c r="A172" t="s">
        <v>1220</v>
      </c>
      <c r="B172" t="s">
        <v>214</v>
      </c>
      <c r="C172">
        <v>1.45</v>
      </c>
      <c r="E172" t="s">
        <v>96</v>
      </c>
      <c r="F172" t="s">
        <v>253</v>
      </c>
      <c r="G172">
        <v>0</v>
      </c>
      <c r="I172" t="s">
        <v>1486</v>
      </c>
      <c r="J172" t="s">
        <v>253</v>
      </c>
      <c r="K172" t="s">
        <v>2822</v>
      </c>
    </row>
    <row r="173" spans="1:11" x14ac:dyDescent="0.25">
      <c r="A173" t="s">
        <v>1490</v>
      </c>
      <c r="B173" t="s">
        <v>214</v>
      </c>
      <c r="E173" t="s">
        <v>97</v>
      </c>
      <c r="F173" t="s">
        <v>253</v>
      </c>
      <c r="G173">
        <v>0</v>
      </c>
      <c r="I173" t="s">
        <v>1220</v>
      </c>
      <c r="J173" t="s">
        <v>253</v>
      </c>
      <c r="K173" t="s">
        <v>2822</v>
      </c>
    </row>
    <row r="174" spans="1:11" x14ac:dyDescent="0.25">
      <c r="A174" t="s">
        <v>271</v>
      </c>
      <c r="B174" t="s">
        <v>214</v>
      </c>
      <c r="C174">
        <v>5.45</v>
      </c>
      <c r="E174" t="s">
        <v>98</v>
      </c>
      <c r="F174" t="s">
        <v>253</v>
      </c>
      <c r="G174">
        <v>0</v>
      </c>
      <c r="I174" t="s">
        <v>1490</v>
      </c>
      <c r="J174" t="s">
        <v>253</v>
      </c>
      <c r="K174" t="s">
        <v>2822</v>
      </c>
    </row>
    <row r="175" spans="1:11" x14ac:dyDescent="0.25">
      <c r="A175" t="s">
        <v>1650</v>
      </c>
      <c r="B175" t="s">
        <v>214</v>
      </c>
      <c r="E175" t="s">
        <v>99</v>
      </c>
      <c r="F175" t="s">
        <v>253</v>
      </c>
      <c r="G175">
        <v>0</v>
      </c>
      <c r="I175" t="s">
        <v>271</v>
      </c>
      <c r="J175" t="s">
        <v>253</v>
      </c>
      <c r="K175" t="s">
        <v>2822</v>
      </c>
    </row>
    <row r="176" spans="1:11" x14ac:dyDescent="0.25">
      <c r="A176" t="s">
        <v>1221</v>
      </c>
      <c r="B176" t="s">
        <v>214</v>
      </c>
      <c r="C176">
        <v>3.64</v>
      </c>
      <c r="E176" t="s">
        <v>100</v>
      </c>
      <c r="F176" t="s">
        <v>253</v>
      </c>
      <c r="G176">
        <v>0</v>
      </c>
      <c r="I176" t="s">
        <v>1650</v>
      </c>
      <c r="J176" t="s">
        <v>253</v>
      </c>
      <c r="K176" t="s">
        <v>2822</v>
      </c>
    </row>
    <row r="177" spans="1:11" x14ac:dyDescent="0.25">
      <c r="A177" t="s">
        <v>1222</v>
      </c>
      <c r="B177" t="s">
        <v>214</v>
      </c>
      <c r="C177">
        <v>7.27</v>
      </c>
      <c r="E177" t="s">
        <v>101</v>
      </c>
      <c r="F177" t="s">
        <v>253</v>
      </c>
      <c r="G177">
        <v>0</v>
      </c>
      <c r="I177" t="s">
        <v>1221</v>
      </c>
      <c r="J177" t="s">
        <v>253</v>
      </c>
      <c r="K177" t="s">
        <v>2822</v>
      </c>
    </row>
    <row r="178" spans="1:11" x14ac:dyDescent="0.25">
      <c r="A178" t="s">
        <v>272</v>
      </c>
      <c r="B178" t="s">
        <v>214</v>
      </c>
      <c r="C178">
        <v>18.18</v>
      </c>
      <c r="E178" t="s">
        <v>102</v>
      </c>
      <c r="F178" t="s">
        <v>253</v>
      </c>
      <c r="G178">
        <v>0</v>
      </c>
      <c r="I178" t="s">
        <v>1222</v>
      </c>
      <c r="J178" t="s">
        <v>253</v>
      </c>
      <c r="K178" t="s">
        <v>2822</v>
      </c>
    </row>
    <row r="179" spans="1:11" x14ac:dyDescent="0.25">
      <c r="A179" t="s">
        <v>1651</v>
      </c>
      <c r="B179" t="s">
        <v>214</v>
      </c>
      <c r="E179" t="s">
        <v>103</v>
      </c>
      <c r="F179" t="s">
        <v>253</v>
      </c>
      <c r="G179">
        <v>0</v>
      </c>
      <c r="I179" t="s">
        <v>272</v>
      </c>
      <c r="J179" t="s">
        <v>253</v>
      </c>
      <c r="K179" t="s">
        <v>2822</v>
      </c>
    </row>
    <row r="180" spans="1:11" x14ac:dyDescent="0.25">
      <c r="A180" t="s">
        <v>273</v>
      </c>
      <c r="B180" t="s">
        <v>214</v>
      </c>
      <c r="C180">
        <v>7.27</v>
      </c>
      <c r="E180" t="s">
        <v>104</v>
      </c>
      <c r="F180" t="s">
        <v>253</v>
      </c>
      <c r="G180">
        <v>0</v>
      </c>
      <c r="I180" t="s">
        <v>1651</v>
      </c>
      <c r="J180" t="s">
        <v>253</v>
      </c>
      <c r="K180" t="s">
        <v>2822</v>
      </c>
    </row>
    <row r="181" spans="1:11" x14ac:dyDescent="0.25">
      <c r="A181" t="s">
        <v>274</v>
      </c>
      <c r="B181" t="s">
        <v>214</v>
      </c>
      <c r="C181">
        <v>5.45</v>
      </c>
      <c r="E181" t="s">
        <v>105</v>
      </c>
      <c r="F181" t="s">
        <v>253</v>
      </c>
      <c r="G181">
        <v>0</v>
      </c>
      <c r="I181" t="s">
        <v>273</v>
      </c>
      <c r="J181" t="s">
        <v>253</v>
      </c>
      <c r="K181" t="s">
        <v>2822</v>
      </c>
    </row>
    <row r="182" spans="1:11" x14ac:dyDescent="0.25">
      <c r="A182" t="s">
        <v>1586</v>
      </c>
      <c r="B182" t="s">
        <v>214</v>
      </c>
      <c r="E182" t="s">
        <v>2004</v>
      </c>
      <c r="F182" t="s">
        <v>253</v>
      </c>
      <c r="G182">
        <v>0</v>
      </c>
      <c r="I182" t="s">
        <v>274</v>
      </c>
      <c r="J182" t="s">
        <v>253</v>
      </c>
      <c r="K182" t="s">
        <v>2822</v>
      </c>
    </row>
    <row r="183" spans="1:11" x14ac:dyDescent="0.25">
      <c r="A183" t="s">
        <v>275</v>
      </c>
      <c r="B183" t="s">
        <v>214</v>
      </c>
      <c r="C183">
        <v>1.45</v>
      </c>
      <c r="E183" t="s">
        <v>2005</v>
      </c>
      <c r="F183" t="s">
        <v>253</v>
      </c>
      <c r="G183">
        <v>0</v>
      </c>
      <c r="I183" t="s">
        <v>1586</v>
      </c>
      <c r="J183" t="s">
        <v>253</v>
      </c>
      <c r="K183" t="s">
        <v>2822</v>
      </c>
    </row>
    <row r="184" spans="1:11" x14ac:dyDescent="0.25">
      <c r="A184" t="s">
        <v>1584</v>
      </c>
      <c r="B184" t="s">
        <v>214</v>
      </c>
      <c r="E184" t="s">
        <v>2006</v>
      </c>
      <c r="F184" t="s">
        <v>253</v>
      </c>
      <c r="G184">
        <v>0</v>
      </c>
      <c r="I184" t="s">
        <v>275</v>
      </c>
      <c r="J184" t="s">
        <v>253</v>
      </c>
      <c r="K184" t="s">
        <v>2822</v>
      </c>
    </row>
    <row r="185" spans="1:11" x14ac:dyDescent="0.25">
      <c r="A185" t="s">
        <v>1223</v>
      </c>
      <c r="B185" t="s">
        <v>214</v>
      </c>
      <c r="C185">
        <v>1.45</v>
      </c>
      <c r="E185" t="s">
        <v>2007</v>
      </c>
      <c r="F185" t="s">
        <v>253</v>
      </c>
      <c r="G185">
        <v>0</v>
      </c>
      <c r="I185" t="s">
        <v>1584</v>
      </c>
      <c r="J185" t="s">
        <v>253</v>
      </c>
      <c r="K185" t="s">
        <v>2822</v>
      </c>
    </row>
    <row r="186" spans="1:11" x14ac:dyDescent="0.25">
      <c r="A186" t="s">
        <v>276</v>
      </c>
      <c r="B186" t="s">
        <v>214</v>
      </c>
      <c r="C186">
        <v>1.0900000000000001</v>
      </c>
      <c r="E186" t="s">
        <v>2008</v>
      </c>
      <c r="F186" t="s">
        <v>253</v>
      </c>
      <c r="G186">
        <v>0</v>
      </c>
      <c r="I186" t="s">
        <v>1223</v>
      </c>
      <c r="J186" t="s">
        <v>253</v>
      </c>
      <c r="K186" t="s">
        <v>2822</v>
      </c>
    </row>
    <row r="187" spans="1:11" x14ac:dyDescent="0.25">
      <c r="A187" t="s">
        <v>1896</v>
      </c>
      <c r="B187" t="s">
        <v>214</v>
      </c>
      <c r="E187" t="s">
        <v>106</v>
      </c>
      <c r="F187" t="s">
        <v>253</v>
      </c>
      <c r="G187">
        <v>0</v>
      </c>
      <c r="I187" t="s">
        <v>276</v>
      </c>
      <c r="J187" t="s">
        <v>253</v>
      </c>
      <c r="K187" t="s">
        <v>2822</v>
      </c>
    </row>
    <row r="188" spans="1:11" x14ac:dyDescent="0.25">
      <c r="A188" t="s">
        <v>1778</v>
      </c>
      <c r="B188" t="s">
        <v>214</v>
      </c>
      <c r="E188" t="s">
        <v>107</v>
      </c>
      <c r="F188" t="s">
        <v>253</v>
      </c>
      <c r="G188">
        <v>0</v>
      </c>
      <c r="I188" t="s">
        <v>1896</v>
      </c>
      <c r="J188" t="s">
        <v>253</v>
      </c>
      <c r="K188" t="s">
        <v>2822</v>
      </c>
    </row>
    <row r="189" spans="1:11" x14ac:dyDescent="0.25">
      <c r="A189" t="s">
        <v>2107</v>
      </c>
      <c r="B189" t="s">
        <v>214</v>
      </c>
      <c r="E189" t="s">
        <v>108</v>
      </c>
      <c r="F189" t="s">
        <v>253</v>
      </c>
      <c r="G189">
        <v>0</v>
      </c>
      <c r="I189" t="s">
        <v>1778</v>
      </c>
      <c r="J189" t="s">
        <v>253</v>
      </c>
      <c r="K189" t="s">
        <v>2822</v>
      </c>
    </row>
    <row r="190" spans="1:11" x14ac:dyDescent="0.25">
      <c r="A190" t="s">
        <v>2108</v>
      </c>
      <c r="B190" t="s">
        <v>214</v>
      </c>
      <c r="E190" t="s">
        <v>109</v>
      </c>
      <c r="F190" t="s">
        <v>253</v>
      </c>
      <c r="G190">
        <v>0</v>
      </c>
      <c r="I190" t="s">
        <v>2107</v>
      </c>
      <c r="J190" t="s">
        <v>253</v>
      </c>
      <c r="K190" t="s">
        <v>2822</v>
      </c>
    </row>
    <row r="191" spans="1:11" x14ac:dyDescent="0.25">
      <c r="A191" t="s">
        <v>2061</v>
      </c>
      <c r="B191" t="s">
        <v>214</v>
      </c>
      <c r="E191" t="s">
        <v>110</v>
      </c>
      <c r="F191" t="s">
        <v>253</v>
      </c>
      <c r="G191">
        <v>0</v>
      </c>
      <c r="I191" t="s">
        <v>2108</v>
      </c>
      <c r="J191" t="s">
        <v>253</v>
      </c>
      <c r="K191" t="s">
        <v>2822</v>
      </c>
    </row>
    <row r="192" spans="1:11" x14ac:dyDescent="0.25">
      <c r="A192" t="s">
        <v>1563</v>
      </c>
      <c r="B192" t="s">
        <v>214</v>
      </c>
      <c r="E192" t="s">
        <v>111</v>
      </c>
      <c r="F192" t="s">
        <v>253</v>
      </c>
      <c r="G192">
        <v>0</v>
      </c>
      <c r="I192" t="s">
        <v>2061</v>
      </c>
      <c r="J192" t="s">
        <v>253</v>
      </c>
      <c r="K192" t="s">
        <v>2822</v>
      </c>
    </row>
    <row r="193" spans="1:11" x14ac:dyDescent="0.25">
      <c r="A193" t="s">
        <v>1608</v>
      </c>
      <c r="B193" t="s">
        <v>214</v>
      </c>
      <c r="E193" t="s">
        <v>112</v>
      </c>
      <c r="F193" t="s">
        <v>253</v>
      </c>
      <c r="G193">
        <v>0</v>
      </c>
      <c r="I193" t="s">
        <v>1563</v>
      </c>
      <c r="J193" t="s">
        <v>253</v>
      </c>
      <c r="K193" t="s">
        <v>2822</v>
      </c>
    </row>
    <row r="194" spans="1:11" x14ac:dyDescent="0.25">
      <c r="A194" t="s">
        <v>1731</v>
      </c>
      <c r="B194" t="s">
        <v>214</v>
      </c>
      <c r="E194" t="s">
        <v>113</v>
      </c>
      <c r="F194" t="s">
        <v>253</v>
      </c>
      <c r="G194">
        <v>0</v>
      </c>
      <c r="I194" t="s">
        <v>1608</v>
      </c>
      <c r="J194" t="s">
        <v>253</v>
      </c>
      <c r="K194" t="s">
        <v>2822</v>
      </c>
    </row>
    <row r="195" spans="1:11" x14ac:dyDescent="0.25">
      <c r="A195" t="s">
        <v>1664</v>
      </c>
      <c r="B195" t="s">
        <v>214</v>
      </c>
      <c r="E195" t="s">
        <v>114</v>
      </c>
      <c r="F195" t="s">
        <v>253</v>
      </c>
      <c r="G195">
        <v>0</v>
      </c>
      <c r="I195" t="s">
        <v>1731</v>
      </c>
      <c r="J195" t="s">
        <v>253</v>
      </c>
      <c r="K195" t="s">
        <v>2822</v>
      </c>
    </row>
    <row r="196" spans="1:11" x14ac:dyDescent="0.25">
      <c r="A196" t="s">
        <v>1850</v>
      </c>
      <c r="B196" t="s">
        <v>214</v>
      </c>
      <c r="E196" t="s">
        <v>115</v>
      </c>
      <c r="F196" t="s">
        <v>253</v>
      </c>
      <c r="G196">
        <v>0</v>
      </c>
      <c r="I196" t="s">
        <v>1664</v>
      </c>
      <c r="J196" t="s">
        <v>253</v>
      </c>
      <c r="K196" t="s">
        <v>2822</v>
      </c>
    </row>
    <row r="197" spans="1:11" x14ac:dyDescent="0.25">
      <c r="A197" t="s">
        <v>1655</v>
      </c>
      <c r="B197" t="s">
        <v>214</v>
      </c>
      <c r="E197" t="s">
        <v>116</v>
      </c>
      <c r="F197" t="s">
        <v>253</v>
      </c>
      <c r="G197">
        <v>0</v>
      </c>
      <c r="I197" t="s">
        <v>1850</v>
      </c>
      <c r="J197" t="s">
        <v>253</v>
      </c>
      <c r="K197" t="s">
        <v>2822</v>
      </c>
    </row>
    <row r="198" spans="1:11" x14ac:dyDescent="0.25">
      <c r="A198" t="s">
        <v>1611</v>
      </c>
      <c r="B198" t="s">
        <v>214</v>
      </c>
      <c r="E198" t="s">
        <v>117</v>
      </c>
      <c r="F198" t="s">
        <v>253</v>
      </c>
      <c r="G198">
        <v>0</v>
      </c>
      <c r="I198" t="s">
        <v>1655</v>
      </c>
      <c r="J198" t="s">
        <v>253</v>
      </c>
      <c r="K198" t="s">
        <v>2822</v>
      </c>
    </row>
    <row r="199" spans="1:11" x14ac:dyDescent="0.25">
      <c r="A199" t="s">
        <v>1224</v>
      </c>
      <c r="B199" t="s">
        <v>214</v>
      </c>
      <c r="C199">
        <v>0.73</v>
      </c>
      <c r="E199" t="s">
        <v>118</v>
      </c>
      <c r="F199" t="s">
        <v>253</v>
      </c>
      <c r="G199">
        <v>0</v>
      </c>
      <c r="I199" t="s">
        <v>1611</v>
      </c>
      <c r="J199" t="s">
        <v>253</v>
      </c>
      <c r="K199" t="s">
        <v>2822</v>
      </c>
    </row>
    <row r="200" spans="1:11" x14ac:dyDescent="0.25">
      <c r="A200" t="s">
        <v>283</v>
      </c>
      <c r="B200" t="s">
        <v>214</v>
      </c>
      <c r="C200">
        <v>2.91</v>
      </c>
      <c r="E200" t="s">
        <v>119</v>
      </c>
      <c r="F200" t="s">
        <v>253</v>
      </c>
      <c r="G200">
        <v>0</v>
      </c>
      <c r="I200" t="s">
        <v>1224</v>
      </c>
      <c r="J200" t="s">
        <v>253</v>
      </c>
      <c r="K200" t="s">
        <v>2822</v>
      </c>
    </row>
    <row r="201" spans="1:11" x14ac:dyDescent="0.25">
      <c r="A201" t="s">
        <v>1565</v>
      </c>
      <c r="B201" t="s">
        <v>214</v>
      </c>
      <c r="E201" t="s">
        <v>120</v>
      </c>
      <c r="F201" t="s">
        <v>253</v>
      </c>
      <c r="G201">
        <v>0</v>
      </c>
      <c r="I201" t="s">
        <v>283</v>
      </c>
      <c r="J201" t="s">
        <v>253</v>
      </c>
      <c r="K201" t="s">
        <v>2822</v>
      </c>
    </row>
    <row r="202" spans="1:11" x14ac:dyDescent="0.25">
      <c r="A202" t="s">
        <v>284</v>
      </c>
      <c r="B202" t="s">
        <v>214</v>
      </c>
      <c r="C202">
        <v>2.91</v>
      </c>
      <c r="E202" t="s">
        <v>121</v>
      </c>
      <c r="F202" t="s">
        <v>253</v>
      </c>
      <c r="G202">
        <v>0</v>
      </c>
      <c r="I202" t="s">
        <v>1565</v>
      </c>
      <c r="J202" t="s">
        <v>253</v>
      </c>
      <c r="K202" t="s">
        <v>2822</v>
      </c>
    </row>
    <row r="203" spans="1:11" x14ac:dyDescent="0.25">
      <c r="A203" t="s">
        <v>285</v>
      </c>
      <c r="B203" t="s">
        <v>214</v>
      </c>
      <c r="C203">
        <v>1.45</v>
      </c>
      <c r="E203" t="s">
        <v>122</v>
      </c>
      <c r="F203" t="s">
        <v>253</v>
      </c>
      <c r="G203">
        <v>0</v>
      </c>
      <c r="I203" t="s">
        <v>284</v>
      </c>
      <c r="J203" t="s">
        <v>253</v>
      </c>
      <c r="K203" t="s">
        <v>2822</v>
      </c>
    </row>
    <row r="204" spans="1:11" x14ac:dyDescent="0.25">
      <c r="A204" t="s">
        <v>1225</v>
      </c>
      <c r="B204" t="s">
        <v>214</v>
      </c>
      <c r="C204">
        <v>0.73</v>
      </c>
      <c r="E204" t="s">
        <v>123</v>
      </c>
      <c r="F204" t="s">
        <v>253</v>
      </c>
      <c r="G204">
        <v>0</v>
      </c>
      <c r="I204" t="s">
        <v>285</v>
      </c>
      <c r="J204" t="s">
        <v>253</v>
      </c>
      <c r="K204" t="s">
        <v>2822</v>
      </c>
    </row>
    <row r="205" spans="1:11" x14ac:dyDescent="0.25">
      <c r="A205" t="s">
        <v>286</v>
      </c>
      <c r="B205" t="s">
        <v>214</v>
      </c>
      <c r="C205">
        <v>1.0900000000000001</v>
      </c>
      <c r="E205" t="s">
        <v>124</v>
      </c>
      <c r="F205" t="s">
        <v>253</v>
      </c>
      <c r="G205">
        <v>0</v>
      </c>
      <c r="I205" t="s">
        <v>1225</v>
      </c>
      <c r="J205" t="s">
        <v>253</v>
      </c>
      <c r="K205" t="s">
        <v>2822</v>
      </c>
    </row>
    <row r="206" spans="1:11" x14ac:dyDescent="0.25">
      <c r="A206" t="s">
        <v>1707</v>
      </c>
      <c r="B206" t="s">
        <v>214</v>
      </c>
      <c r="E206" t="s">
        <v>125</v>
      </c>
      <c r="F206" t="s">
        <v>253</v>
      </c>
      <c r="G206">
        <v>0</v>
      </c>
      <c r="I206" t="s">
        <v>286</v>
      </c>
      <c r="J206" t="s">
        <v>253</v>
      </c>
      <c r="K206" t="s">
        <v>2822</v>
      </c>
    </row>
    <row r="207" spans="1:11" x14ac:dyDescent="0.25">
      <c r="A207" t="s">
        <v>1610</v>
      </c>
      <c r="B207" t="s">
        <v>214</v>
      </c>
      <c r="E207" t="s">
        <v>2009</v>
      </c>
      <c r="F207" t="s">
        <v>253</v>
      </c>
      <c r="G207">
        <v>0</v>
      </c>
      <c r="I207" t="s">
        <v>1707</v>
      </c>
      <c r="J207" t="s">
        <v>253</v>
      </c>
      <c r="K207" t="s">
        <v>2822</v>
      </c>
    </row>
    <row r="208" spans="1:11" x14ac:dyDescent="0.25">
      <c r="A208" t="s">
        <v>1442</v>
      </c>
      <c r="B208" t="s">
        <v>214</v>
      </c>
      <c r="C208">
        <v>1.0900000000000001</v>
      </c>
      <c r="E208" t="s">
        <v>2010</v>
      </c>
      <c r="F208" t="s">
        <v>253</v>
      </c>
      <c r="G208">
        <v>0</v>
      </c>
      <c r="I208" t="s">
        <v>1610</v>
      </c>
      <c r="J208" t="s">
        <v>253</v>
      </c>
      <c r="K208" t="s">
        <v>2822</v>
      </c>
    </row>
    <row r="209" spans="1:11" x14ac:dyDescent="0.25">
      <c r="A209" t="s">
        <v>287</v>
      </c>
      <c r="B209" t="s">
        <v>214</v>
      </c>
      <c r="C209">
        <v>3.64</v>
      </c>
      <c r="E209" t="s">
        <v>126</v>
      </c>
      <c r="F209" t="s">
        <v>253</v>
      </c>
      <c r="G209">
        <v>0</v>
      </c>
      <c r="I209" t="s">
        <v>1442</v>
      </c>
      <c r="J209" t="s">
        <v>253</v>
      </c>
      <c r="K209" t="s">
        <v>2822</v>
      </c>
    </row>
    <row r="210" spans="1:11" x14ac:dyDescent="0.25">
      <c r="A210" t="s">
        <v>288</v>
      </c>
      <c r="B210" t="s">
        <v>214</v>
      </c>
      <c r="C210">
        <v>3.64</v>
      </c>
      <c r="E210" t="s">
        <v>127</v>
      </c>
      <c r="F210" t="s">
        <v>253</v>
      </c>
      <c r="G210">
        <v>0</v>
      </c>
      <c r="I210" t="s">
        <v>287</v>
      </c>
      <c r="J210" t="s">
        <v>253</v>
      </c>
      <c r="K210" t="s">
        <v>2822</v>
      </c>
    </row>
    <row r="211" spans="1:11" x14ac:dyDescent="0.25">
      <c r="A211" t="s">
        <v>289</v>
      </c>
      <c r="B211" t="s">
        <v>214</v>
      </c>
      <c r="C211">
        <v>7.27</v>
      </c>
      <c r="E211" t="s">
        <v>128</v>
      </c>
      <c r="F211" t="s">
        <v>253</v>
      </c>
      <c r="G211">
        <v>0</v>
      </c>
      <c r="I211" t="s">
        <v>288</v>
      </c>
      <c r="J211" t="s">
        <v>253</v>
      </c>
      <c r="K211" t="s">
        <v>2822</v>
      </c>
    </row>
    <row r="212" spans="1:11" x14ac:dyDescent="0.25">
      <c r="A212" t="s">
        <v>1777</v>
      </c>
      <c r="B212" t="s">
        <v>214</v>
      </c>
      <c r="E212" t="s">
        <v>129</v>
      </c>
      <c r="F212" t="s">
        <v>253</v>
      </c>
      <c r="G212">
        <v>0</v>
      </c>
      <c r="I212" t="s">
        <v>289</v>
      </c>
      <c r="J212" t="s">
        <v>253</v>
      </c>
      <c r="K212" t="s">
        <v>2822</v>
      </c>
    </row>
    <row r="213" spans="1:11" x14ac:dyDescent="0.25">
      <c r="A213" t="s">
        <v>1729</v>
      </c>
      <c r="B213" t="s">
        <v>214</v>
      </c>
      <c r="E213" t="s">
        <v>130</v>
      </c>
      <c r="F213" t="s">
        <v>253</v>
      </c>
      <c r="G213">
        <v>0</v>
      </c>
      <c r="I213" t="s">
        <v>1777</v>
      </c>
      <c r="J213" t="s">
        <v>253</v>
      </c>
      <c r="K213" t="s">
        <v>2822</v>
      </c>
    </row>
    <row r="214" spans="1:11" x14ac:dyDescent="0.25">
      <c r="A214" t="s">
        <v>290</v>
      </c>
      <c r="B214" t="s">
        <v>214</v>
      </c>
      <c r="C214">
        <v>7.27</v>
      </c>
      <c r="E214" t="s">
        <v>131</v>
      </c>
      <c r="F214" t="s">
        <v>253</v>
      </c>
      <c r="G214">
        <v>0</v>
      </c>
      <c r="I214" t="s">
        <v>1729</v>
      </c>
      <c r="J214" t="s">
        <v>253</v>
      </c>
      <c r="K214" t="s">
        <v>2822</v>
      </c>
    </row>
    <row r="215" spans="1:11" x14ac:dyDescent="0.25">
      <c r="A215" t="s">
        <v>291</v>
      </c>
      <c r="B215" t="s">
        <v>214</v>
      </c>
      <c r="C215">
        <v>7.27</v>
      </c>
      <c r="E215" t="s">
        <v>132</v>
      </c>
      <c r="F215" t="s">
        <v>253</v>
      </c>
      <c r="G215">
        <v>0</v>
      </c>
      <c r="I215" t="s">
        <v>290</v>
      </c>
      <c r="J215" t="s">
        <v>253</v>
      </c>
      <c r="K215" t="s">
        <v>2822</v>
      </c>
    </row>
    <row r="216" spans="1:11" x14ac:dyDescent="0.25">
      <c r="A216" t="s">
        <v>1653</v>
      </c>
      <c r="B216" t="s">
        <v>214</v>
      </c>
      <c r="E216" t="s">
        <v>133</v>
      </c>
      <c r="F216" t="s">
        <v>253</v>
      </c>
      <c r="G216">
        <v>0</v>
      </c>
      <c r="I216" t="s">
        <v>291</v>
      </c>
      <c r="J216" t="s">
        <v>253</v>
      </c>
      <c r="K216" t="s">
        <v>2822</v>
      </c>
    </row>
    <row r="217" spans="1:11" x14ac:dyDescent="0.25">
      <c r="A217" t="s">
        <v>292</v>
      </c>
      <c r="B217" t="s">
        <v>214</v>
      </c>
      <c r="C217">
        <v>3.64</v>
      </c>
      <c r="E217" t="s">
        <v>134</v>
      </c>
      <c r="F217" t="s">
        <v>253</v>
      </c>
      <c r="G217">
        <v>0</v>
      </c>
      <c r="I217" t="s">
        <v>1653</v>
      </c>
      <c r="J217" t="s">
        <v>253</v>
      </c>
      <c r="K217" t="s">
        <v>2822</v>
      </c>
    </row>
    <row r="218" spans="1:11" x14ac:dyDescent="0.25">
      <c r="A218" t="s">
        <v>2120</v>
      </c>
      <c r="B218" t="s">
        <v>214</v>
      </c>
      <c r="E218" t="s">
        <v>135</v>
      </c>
      <c r="F218" t="s">
        <v>253</v>
      </c>
      <c r="G218">
        <v>0</v>
      </c>
      <c r="I218" t="s">
        <v>292</v>
      </c>
      <c r="J218" t="s">
        <v>253</v>
      </c>
      <c r="K218" t="s">
        <v>2822</v>
      </c>
    </row>
    <row r="219" spans="1:11" x14ac:dyDescent="0.25">
      <c r="A219" t="s">
        <v>1654</v>
      </c>
      <c r="B219" t="s">
        <v>214</v>
      </c>
      <c r="E219" t="s">
        <v>136</v>
      </c>
      <c r="F219" t="s">
        <v>253</v>
      </c>
      <c r="G219">
        <v>0</v>
      </c>
      <c r="I219" t="s">
        <v>2120</v>
      </c>
      <c r="J219" t="s">
        <v>253</v>
      </c>
      <c r="K219" t="s">
        <v>2822</v>
      </c>
    </row>
    <row r="220" spans="1:11" x14ac:dyDescent="0.25">
      <c r="A220" t="s">
        <v>1652</v>
      </c>
      <c r="B220" t="s">
        <v>214</v>
      </c>
      <c r="E220" t="s">
        <v>137</v>
      </c>
      <c r="F220" t="s">
        <v>253</v>
      </c>
      <c r="G220">
        <v>0</v>
      </c>
      <c r="I220" t="s">
        <v>1654</v>
      </c>
      <c r="J220" t="s">
        <v>253</v>
      </c>
      <c r="K220" t="s">
        <v>2822</v>
      </c>
    </row>
    <row r="221" spans="1:11" x14ac:dyDescent="0.25">
      <c r="A221" t="s">
        <v>293</v>
      </c>
      <c r="B221" t="s">
        <v>214</v>
      </c>
      <c r="C221">
        <v>3.64</v>
      </c>
      <c r="E221" t="s">
        <v>1170</v>
      </c>
      <c r="F221" t="s">
        <v>253</v>
      </c>
      <c r="G221">
        <v>0</v>
      </c>
      <c r="I221" t="s">
        <v>1652</v>
      </c>
      <c r="J221" t="s">
        <v>253</v>
      </c>
      <c r="K221" t="s">
        <v>2822</v>
      </c>
    </row>
    <row r="222" spans="1:11" x14ac:dyDescent="0.25">
      <c r="A222" t="s">
        <v>1609</v>
      </c>
      <c r="B222" t="s">
        <v>214</v>
      </c>
      <c r="E222" t="s">
        <v>1171</v>
      </c>
      <c r="F222" t="s">
        <v>253</v>
      </c>
      <c r="G222">
        <v>0</v>
      </c>
      <c r="I222" t="s">
        <v>293</v>
      </c>
      <c r="J222" t="s">
        <v>253</v>
      </c>
      <c r="K222" t="s">
        <v>2822</v>
      </c>
    </row>
    <row r="223" spans="1:11" x14ac:dyDescent="0.25">
      <c r="A223" t="s">
        <v>1226</v>
      </c>
      <c r="B223" t="s">
        <v>214</v>
      </c>
      <c r="C223">
        <v>3.64</v>
      </c>
      <c r="E223" t="s">
        <v>138</v>
      </c>
      <c r="F223" t="s">
        <v>253</v>
      </c>
      <c r="G223">
        <v>0</v>
      </c>
      <c r="I223" t="s">
        <v>1609</v>
      </c>
      <c r="J223" t="s">
        <v>253</v>
      </c>
      <c r="K223" t="s">
        <v>2822</v>
      </c>
    </row>
    <row r="224" spans="1:11" x14ac:dyDescent="0.25">
      <c r="A224" t="s">
        <v>294</v>
      </c>
      <c r="B224" t="s">
        <v>214</v>
      </c>
      <c r="C224">
        <v>3.64</v>
      </c>
      <c r="E224" t="s">
        <v>139</v>
      </c>
      <c r="F224" t="s">
        <v>253</v>
      </c>
      <c r="G224">
        <v>0</v>
      </c>
      <c r="I224" t="s">
        <v>1226</v>
      </c>
      <c r="J224" t="s">
        <v>253</v>
      </c>
      <c r="K224" t="s">
        <v>2822</v>
      </c>
    </row>
    <row r="225" spans="1:11" x14ac:dyDescent="0.25">
      <c r="A225" t="s">
        <v>2338</v>
      </c>
      <c r="B225" t="s">
        <v>214</v>
      </c>
      <c r="E225" t="s">
        <v>140</v>
      </c>
      <c r="F225" t="s">
        <v>253</v>
      </c>
      <c r="G225">
        <v>0</v>
      </c>
      <c r="I225" t="s">
        <v>294</v>
      </c>
      <c r="J225" t="s">
        <v>253</v>
      </c>
      <c r="K225" t="s">
        <v>2822</v>
      </c>
    </row>
    <row r="226" spans="1:11" x14ac:dyDescent="0.25">
      <c r="A226" t="s">
        <v>1227</v>
      </c>
      <c r="B226" t="s">
        <v>214</v>
      </c>
      <c r="C226">
        <v>7.27</v>
      </c>
      <c r="E226" t="s">
        <v>141</v>
      </c>
      <c r="F226" t="s">
        <v>253</v>
      </c>
      <c r="G226">
        <v>0</v>
      </c>
      <c r="I226" t="s">
        <v>2338</v>
      </c>
      <c r="J226" t="s">
        <v>253</v>
      </c>
      <c r="K226" t="s">
        <v>2822</v>
      </c>
    </row>
    <row r="227" spans="1:11" x14ac:dyDescent="0.25">
      <c r="A227" t="s">
        <v>1425</v>
      </c>
      <c r="B227" t="s">
        <v>214</v>
      </c>
      <c r="E227" t="s">
        <v>142</v>
      </c>
      <c r="F227" t="s">
        <v>253</v>
      </c>
      <c r="G227">
        <v>0</v>
      </c>
      <c r="I227" t="s">
        <v>1227</v>
      </c>
      <c r="J227" t="s">
        <v>253</v>
      </c>
      <c r="K227" t="s">
        <v>2822</v>
      </c>
    </row>
    <row r="228" spans="1:11" x14ac:dyDescent="0.25">
      <c r="A228" t="s">
        <v>1228</v>
      </c>
      <c r="B228" t="s">
        <v>214</v>
      </c>
      <c r="C228">
        <v>7.27</v>
      </c>
      <c r="E228" t="s">
        <v>2014</v>
      </c>
      <c r="F228" t="s">
        <v>253</v>
      </c>
      <c r="G228">
        <v>0</v>
      </c>
      <c r="I228" t="s">
        <v>1425</v>
      </c>
      <c r="J228" t="s">
        <v>253</v>
      </c>
      <c r="K228" t="s">
        <v>2822</v>
      </c>
    </row>
    <row r="229" spans="1:11" x14ac:dyDescent="0.25">
      <c r="A229" t="s">
        <v>1445</v>
      </c>
      <c r="B229" t="s">
        <v>214</v>
      </c>
      <c r="C229">
        <v>7.27</v>
      </c>
      <c r="E229" t="s">
        <v>143</v>
      </c>
      <c r="F229" t="s">
        <v>253</v>
      </c>
      <c r="G229">
        <v>0</v>
      </c>
      <c r="I229" t="s">
        <v>1228</v>
      </c>
      <c r="J229" t="s">
        <v>253</v>
      </c>
      <c r="K229" t="s">
        <v>2822</v>
      </c>
    </row>
    <row r="230" spans="1:11" x14ac:dyDescent="0.25">
      <c r="A230" t="s">
        <v>1229</v>
      </c>
      <c r="B230" t="s">
        <v>214</v>
      </c>
      <c r="C230">
        <v>3.64</v>
      </c>
      <c r="E230" t="s">
        <v>2015</v>
      </c>
      <c r="F230" t="s">
        <v>253</v>
      </c>
      <c r="G230">
        <v>0</v>
      </c>
      <c r="I230" t="s">
        <v>1445</v>
      </c>
      <c r="J230" t="s">
        <v>253</v>
      </c>
      <c r="K230" t="s">
        <v>2822</v>
      </c>
    </row>
    <row r="231" spans="1:11" x14ac:dyDescent="0.25">
      <c r="A231" t="s">
        <v>1230</v>
      </c>
      <c r="B231" t="s">
        <v>214</v>
      </c>
      <c r="C231">
        <v>2.91</v>
      </c>
      <c r="E231" t="s">
        <v>2016</v>
      </c>
      <c r="F231" t="s">
        <v>253</v>
      </c>
      <c r="G231">
        <v>0</v>
      </c>
      <c r="I231" t="s">
        <v>1229</v>
      </c>
      <c r="J231" t="s">
        <v>253</v>
      </c>
      <c r="K231" t="s">
        <v>2822</v>
      </c>
    </row>
    <row r="232" spans="1:11" x14ac:dyDescent="0.25">
      <c r="A232" t="s">
        <v>1417</v>
      </c>
      <c r="B232" t="s">
        <v>214</v>
      </c>
      <c r="E232" t="s">
        <v>1172</v>
      </c>
      <c r="F232" t="s">
        <v>253</v>
      </c>
      <c r="G232">
        <v>0</v>
      </c>
      <c r="I232" t="s">
        <v>1230</v>
      </c>
      <c r="J232" t="s">
        <v>253</v>
      </c>
      <c r="K232" t="s">
        <v>2822</v>
      </c>
    </row>
    <row r="233" spans="1:11" x14ac:dyDescent="0.25">
      <c r="A233" t="s">
        <v>2386</v>
      </c>
      <c r="B233" t="s">
        <v>214</v>
      </c>
      <c r="E233" t="s">
        <v>2017</v>
      </c>
      <c r="F233" t="s">
        <v>253</v>
      </c>
      <c r="G233">
        <v>0</v>
      </c>
      <c r="I233" t="s">
        <v>1417</v>
      </c>
      <c r="J233" t="s">
        <v>253</v>
      </c>
      <c r="K233" t="s">
        <v>2822</v>
      </c>
    </row>
    <row r="234" spans="1:11" x14ac:dyDescent="0.25">
      <c r="A234" t="s">
        <v>1231</v>
      </c>
      <c r="B234" t="s">
        <v>214</v>
      </c>
      <c r="C234">
        <v>1.82</v>
      </c>
      <c r="E234" t="s">
        <v>1173</v>
      </c>
      <c r="F234" t="s">
        <v>253</v>
      </c>
      <c r="G234">
        <v>0</v>
      </c>
      <c r="I234" t="s">
        <v>2386</v>
      </c>
      <c r="J234" t="s">
        <v>253</v>
      </c>
      <c r="K234" t="s">
        <v>2822</v>
      </c>
    </row>
    <row r="235" spans="1:11" x14ac:dyDescent="0.25">
      <c r="A235" t="s">
        <v>1232</v>
      </c>
      <c r="B235" t="s">
        <v>214</v>
      </c>
      <c r="C235">
        <v>2.91</v>
      </c>
      <c r="E235" t="s">
        <v>1174</v>
      </c>
      <c r="F235" t="s">
        <v>253</v>
      </c>
      <c r="G235">
        <v>0</v>
      </c>
      <c r="I235" t="s">
        <v>1231</v>
      </c>
      <c r="J235" t="s">
        <v>253</v>
      </c>
      <c r="K235" t="s">
        <v>2822</v>
      </c>
    </row>
    <row r="236" spans="1:11" x14ac:dyDescent="0.25">
      <c r="A236" t="s">
        <v>2221</v>
      </c>
      <c r="B236" t="s">
        <v>214</v>
      </c>
      <c r="E236" t="s">
        <v>144</v>
      </c>
      <c r="F236" t="s">
        <v>253</v>
      </c>
      <c r="G236">
        <v>0</v>
      </c>
      <c r="I236" t="s">
        <v>1232</v>
      </c>
      <c r="J236" t="s">
        <v>253</v>
      </c>
      <c r="K236" t="s">
        <v>2822</v>
      </c>
    </row>
    <row r="237" spans="1:11" x14ac:dyDescent="0.25">
      <c r="A237" t="s">
        <v>2223</v>
      </c>
      <c r="B237" t="s">
        <v>214</v>
      </c>
      <c r="E237" t="s">
        <v>145</v>
      </c>
      <c r="F237" t="s">
        <v>253</v>
      </c>
      <c r="G237">
        <v>0</v>
      </c>
      <c r="I237" t="s">
        <v>2221</v>
      </c>
      <c r="J237" t="s">
        <v>253</v>
      </c>
      <c r="K237" t="s">
        <v>2822</v>
      </c>
    </row>
    <row r="238" spans="1:11" x14ac:dyDescent="0.25">
      <c r="A238" t="s">
        <v>2205</v>
      </c>
      <c r="B238" t="s">
        <v>214</v>
      </c>
      <c r="E238" t="s">
        <v>1190</v>
      </c>
      <c r="F238" t="s">
        <v>253</v>
      </c>
      <c r="G238">
        <v>0</v>
      </c>
      <c r="I238" t="s">
        <v>2223</v>
      </c>
      <c r="J238" t="s">
        <v>253</v>
      </c>
      <c r="K238" t="s">
        <v>2822</v>
      </c>
    </row>
    <row r="239" spans="1:11" x14ac:dyDescent="0.25">
      <c r="A239" t="s">
        <v>1233</v>
      </c>
      <c r="B239" t="s">
        <v>214</v>
      </c>
      <c r="C239">
        <v>1.82</v>
      </c>
      <c r="E239" t="s">
        <v>146</v>
      </c>
      <c r="F239" t="s">
        <v>253</v>
      </c>
      <c r="G239">
        <v>0</v>
      </c>
      <c r="I239" t="s">
        <v>2205</v>
      </c>
      <c r="J239" t="s">
        <v>253</v>
      </c>
      <c r="K239" t="s">
        <v>2822</v>
      </c>
    </row>
    <row r="240" spans="1:11" x14ac:dyDescent="0.25">
      <c r="A240" t="s">
        <v>1423</v>
      </c>
      <c r="B240" t="s">
        <v>214</v>
      </c>
      <c r="E240" t="s">
        <v>147</v>
      </c>
      <c r="F240" t="s">
        <v>253</v>
      </c>
      <c r="G240">
        <v>0</v>
      </c>
      <c r="I240" t="s">
        <v>1233</v>
      </c>
      <c r="J240" t="s">
        <v>253</v>
      </c>
      <c r="K240" t="s">
        <v>2822</v>
      </c>
    </row>
    <row r="241" spans="1:11" x14ac:dyDescent="0.25">
      <c r="A241" t="s">
        <v>1234</v>
      </c>
      <c r="B241" t="s">
        <v>214</v>
      </c>
      <c r="C241">
        <v>2.91</v>
      </c>
      <c r="E241" t="s">
        <v>148</v>
      </c>
      <c r="F241" t="s">
        <v>253</v>
      </c>
      <c r="G241">
        <v>0</v>
      </c>
      <c r="I241" t="s">
        <v>1423</v>
      </c>
      <c r="J241" t="s">
        <v>253</v>
      </c>
      <c r="K241" t="s">
        <v>2822</v>
      </c>
    </row>
    <row r="242" spans="1:11" x14ac:dyDescent="0.25">
      <c r="A242" t="s">
        <v>1235</v>
      </c>
      <c r="B242" t="s">
        <v>214</v>
      </c>
      <c r="C242">
        <v>3.64</v>
      </c>
      <c r="E242" t="s">
        <v>149</v>
      </c>
      <c r="F242" t="s">
        <v>253</v>
      </c>
      <c r="G242">
        <v>0</v>
      </c>
      <c r="I242" t="s">
        <v>1234</v>
      </c>
      <c r="J242" t="s">
        <v>253</v>
      </c>
      <c r="K242" t="s">
        <v>2822</v>
      </c>
    </row>
    <row r="243" spans="1:11" x14ac:dyDescent="0.25">
      <c r="A243" t="s">
        <v>1422</v>
      </c>
      <c r="B243" t="s">
        <v>214</v>
      </c>
      <c r="E243" t="s">
        <v>150</v>
      </c>
      <c r="F243" t="s">
        <v>253</v>
      </c>
      <c r="G243">
        <v>0</v>
      </c>
      <c r="I243" t="s">
        <v>1235</v>
      </c>
      <c r="J243" t="s">
        <v>253</v>
      </c>
      <c r="K243" t="s">
        <v>2822</v>
      </c>
    </row>
    <row r="244" spans="1:11" x14ac:dyDescent="0.25">
      <c r="A244" t="s">
        <v>1439</v>
      </c>
      <c r="B244" t="s">
        <v>214</v>
      </c>
      <c r="C244">
        <v>7.27</v>
      </c>
      <c r="E244" t="s">
        <v>151</v>
      </c>
      <c r="F244" t="s">
        <v>253</v>
      </c>
      <c r="G244">
        <v>0</v>
      </c>
      <c r="I244" t="s">
        <v>1422</v>
      </c>
      <c r="J244" t="s">
        <v>253</v>
      </c>
      <c r="K244" t="s">
        <v>2822</v>
      </c>
    </row>
    <row r="245" spans="1:11" x14ac:dyDescent="0.25">
      <c r="A245" t="s">
        <v>2335</v>
      </c>
      <c r="B245" t="s">
        <v>214</v>
      </c>
      <c r="E245" t="s">
        <v>152</v>
      </c>
      <c r="F245" t="s">
        <v>253</v>
      </c>
      <c r="G245">
        <v>0</v>
      </c>
      <c r="I245" t="s">
        <v>1439</v>
      </c>
      <c r="J245" t="s">
        <v>253</v>
      </c>
      <c r="K245" t="s">
        <v>2822</v>
      </c>
    </row>
    <row r="246" spans="1:11" x14ac:dyDescent="0.25">
      <c r="A246" t="s">
        <v>1848</v>
      </c>
      <c r="B246" t="s">
        <v>214</v>
      </c>
      <c r="C246">
        <v>3.64</v>
      </c>
      <c r="E246" t="s">
        <v>153</v>
      </c>
      <c r="F246" t="s">
        <v>253</v>
      </c>
      <c r="G246">
        <v>0</v>
      </c>
      <c r="I246" t="s">
        <v>2335</v>
      </c>
      <c r="J246" t="s">
        <v>253</v>
      </c>
      <c r="K246" t="s">
        <v>2822</v>
      </c>
    </row>
    <row r="247" spans="1:11" x14ac:dyDescent="0.25">
      <c r="A247" t="s">
        <v>1533</v>
      </c>
      <c r="B247" t="s">
        <v>214</v>
      </c>
      <c r="E247" t="s">
        <v>154</v>
      </c>
      <c r="F247" t="s">
        <v>253</v>
      </c>
      <c r="G247">
        <v>0</v>
      </c>
      <c r="I247" t="s">
        <v>1848</v>
      </c>
      <c r="J247" t="s">
        <v>253</v>
      </c>
      <c r="K247" t="s">
        <v>2822</v>
      </c>
    </row>
    <row r="248" spans="1:11" x14ac:dyDescent="0.25">
      <c r="A248" t="s">
        <v>1236</v>
      </c>
      <c r="B248" t="s">
        <v>214</v>
      </c>
      <c r="C248">
        <v>3.64</v>
      </c>
      <c r="E248" t="s">
        <v>155</v>
      </c>
      <c r="F248" t="s">
        <v>253</v>
      </c>
      <c r="G248">
        <v>0</v>
      </c>
      <c r="I248" t="s">
        <v>1533</v>
      </c>
      <c r="J248" t="s">
        <v>253</v>
      </c>
      <c r="K248" t="s">
        <v>2822</v>
      </c>
    </row>
    <row r="249" spans="1:11" x14ac:dyDescent="0.25">
      <c r="A249" t="s">
        <v>295</v>
      </c>
      <c r="B249" t="s">
        <v>214</v>
      </c>
      <c r="C249">
        <v>7.27</v>
      </c>
      <c r="E249" t="s">
        <v>156</v>
      </c>
      <c r="F249" t="s">
        <v>253</v>
      </c>
      <c r="G249">
        <v>0</v>
      </c>
      <c r="I249" t="s">
        <v>1236</v>
      </c>
      <c r="J249" t="s">
        <v>253</v>
      </c>
      <c r="K249" t="s">
        <v>2822</v>
      </c>
    </row>
    <row r="250" spans="1:11" x14ac:dyDescent="0.25">
      <c r="A250" t="s">
        <v>1237</v>
      </c>
      <c r="B250" t="s">
        <v>214</v>
      </c>
      <c r="C250">
        <v>3.64</v>
      </c>
      <c r="E250" t="s">
        <v>157</v>
      </c>
      <c r="F250" t="s">
        <v>253</v>
      </c>
      <c r="G250">
        <v>0</v>
      </c>
      <c r="I250" t="s">
        <v>295</v>
      </c>
      <c r="J250" t="s">
        <v>253</v>
      </c>
      <c r="K250" t="s">
        <v>2822</v>
      </c>
    </row>
    <row r="251" spans="1:11" x14ac:dyDescent="0.25">
      <c r="A251" t="s">
        <v>296</v>
      </c>
      <c r="B251" t="s">
        <v>214</v>
      </c>
      <c r="C251">
        <v>3.64</v>
      </c>
      <c r="E251" t="s">
        <v>158</v>
      </c>
      <c r="F251" t="s">
        <v>253</v>
      </c>
      <c r="G251">
        <v>0</v>
      </c>
      <c r="I251" t="s">
        <v>1237</v>
      </c>
      <c r="J251" t="s">
        <v>253</v>
      </c>
      <c r="K251" t="s">
        <v>2822</v>
      </c>
    </row>
    <row r="252" spans="1:11" x14ac:dyDescent="0.25">
      <c r="A252" t="s">
        <v>297</v>
      </c>
      <c r="B252" t="s">
        <v>214</v>
      </c>
      <c r="C252">
        <v>7.27</v>
      </c>
      <c r="E252" t="s">
        <v>159</v>
      </c>
      <c r="F252" t="s">
        <v>253</v>
      </c>
      <c r="G252">
        <v>0</v>
      </c>
      <c r="I252" t="s">
        <v>296</v>
      </c>
      <c r="J252" t="s">
        <v>253</v>
      </c>
      <c r="K252" t="s">
        <v>2822</v>
      </c>
    </row>
    <row r="253" spans="1:11" x14ac:dyDescent="0.25">
      <c r="A253" t="s">
        <v>2171</v>
      </c>
      <c r="B253" t="s">
        <v>214</v>
      </c>
      <c r="E253" t="s">
        <v>160</v>
      </c>
      <c r="F253" t="s">
        <v>253</v>
      </c>
      <c r="G253">
        <v>0</v>
      </c>
      <c r="I253" t="s">
        <v>297</v>
      </c>
      <c r="J253" t="s">
        <v>253</v>
      </c>
      <c r="K253" t="s">
        <v>2822</v>
      </c>
    </row>
    <row r="254" spans="1:11" x14ac:dyDescent="0.25">
      <c r="A254" t="s">
        <v>298</v>
      </c>
      <c r="B254" t="s">
        <v>214</v>
      </c>
      <c r="C254">
        <v>7.27</v>
      </c>
      <c r="E254" t="s">
        <v>161</v>
      </c>
      <c r="F254" t="s">
        <v>253</v>
      </c>
      <c r="G254">
        <v>0</v>
      </c>
      <c r="I254" t="s">
        <v>2171</v>
      </c>
      <c r="J254" t="s">
        <v>253</v>
      </c>
      <c r="K254" t="s">
        <v>2822</v>
      </c>
    </row>
    <row r="255" spans="1:11" x14ac:dyDescent="0.25">
      <c r="A255" t="s">
        <v>1513</v>
      </c>
      <c r="B255" t="s">
        <v>214</v>
      </c>
      <c r="E255" t="s">
        <v>162</v>
      </c>
      <c r="F255" t="s">
        <v>253</v>
      </c>
      <c r="G255">
        <v>0</v>
      </c>
      <c r="I255" t="s">
        <v>298</v>
      </c>
      <c r="J255" t="s">
        <v>253</v>
      </c>
      <c r="K255" t="s">
        <v>2822</v>
      </c>
    </row>
    <row r="256" spans="1:11" x14ac:dyDescent="0.25">
      <c r="A256" t="s">
        <v>1238</v>
      </c>
      <c r="B256" t="s">
        <v>214</v>
      </c>
      <c r="C256">
        <v>1.0900000000000001</v>
      </c>
      <c r="E256" t="s">
        <v>163</v>
      </c>
      <c r="F256" t="s">
        <v>253</v>
      </c>
      <c r="G256">
        <v>0</v>
      </c>
      <c r="I256" t="s">
        <v>1513</v>
      </c>
      <c r="J256" t="s">
        <v>253</v>
      </c>
      <c r="K256" t="s">
        <v>2822</v>
      </c>
    </row>
    <row r="257" spans="1:11" x14ac:dyDescent="0.25">
      <c r="A257" t="s">
        <v>300</v>
      </c>
      <c r="B257" t="s">
        <v>214</v>
      </c>
      <c r="C257">
        <v>1.0900000000000001</v>
      </c>
      <c r="E257" t="s">
        <v>164</v>
      </c>
      <c r="F257" t="s">
        <v>253</v>
      </c>
      <c r="G257">
        <v>0</v>
      </c>
      <c r="I257" t="s">
        <v>1238</v>
      </c>
      <c r="J257" t="s">
        <v>253</v>
      </c>
      <c r="K257" t="s">
        <v>2822</v>
      </c>
    </row>
    <row r="258" spans="1:11" x14ac:dyDescent="0.25">
      <c r="A258" t="s">
        <v>301</v>
      </c>
      <c r="B258" t="s">
        <v>214</v>
      </c>
      <c r="C258">
        <v>1.45</v>
      </c>
      <c r="E258" t="s">
        <v>165</v>
      </c>
      <c r="F258" t="s">
        <v>253</v>
      </c>
      <c r="G258">
        <v>0</v>
      </c>
      <c r="I258" t="s">
        <v>300</v>
      </c>
      <c r="J258" t="s">
        <v>253</v>
      </c>
      <c r="K258" t="s">
        <v>2822</v>
      </c>
    </row>
    <row r="259" spans="1:11" x14ac:dyDescent="0.25">
      <c r="A259" t="s">
        <v>1632</v>
      </c>
      <c r="B259" t="s">
        <v>214</v>
      </c>
      <c r="E259" t="s">
        <v>166</v>
      </c>
      <c r="F259" t="s">
        <v>253</v>
      </c>
      <c r="G259">
        <v>0</v>
      </c>
      <c r="I259" t="s">
        <v>301</v>
      </c>
      <c r="J259" t="s">
        <v>253</v>
      </c>
      <c r="K259" t="s">
        <v>2822</v>
      </c>
    </row>
    <row r="260" spans="1:11" x14ac:dyDescent="0.25">
      <c r="A260" t="s">
        <v>1239</v>
      </c>
      <c r="B260" t="s">
        <v>214</v>
      </c>
      <c r="C260">
        <v>1.82</v>
      </c>
      <c r="E260" t="s">
        <v>167</v>
      </c>
      <c r="F260" t="s">
        <v>253</v>
      </c>
      <c r="G260">
        <v>0</v>
      </c>
      <c r="I260" t="s">
        <v>1632</v>
      </c>
      <c r="J260" t="s">
        <v>253</v>
      </c>
      <c r="K260" t="s">
        <v>2822</v>
      </c>
    </row>
    <row r="261" spans="1:11" x14ac:dyDescent="0.25">
      <c r="A261" t="s">
        <v>1473</v>
      </c>
      <c r="B261" t="s">
        <v>214</v>
      </c>
      <c r="E261" t="s">
        <v>168</v>
      </c>
      <c r="F261" t="s">
        <v>253</v>
      </c>
      <c r="G261">
        <v>0</v>
      </c>
      <c r="I261" t="s">
        <v>1239</v>
      </c>
      <c r="J261" t="s">
        <v>253</v>
      </c>
      <c r="K261" t="s">
        <v>2822</v>
      </c>
    </row>
    <row r="262" spans="1:11" x14ac:dyDescent="0.25">
      <c r="A262" t="s">
        <v>1665</v>
      </c>
      <c r="B262" t="s">
        <v>214</v>
      </c>
      <c r="E262" t="s">
        <v>169</v>
      </c>
      <c r="F262" t="s">
        <v>253</v>
      </c>
      <c r="G262">
        <v>0</v>
      </c>
      <c r="I262" t="s">
        <v>1473</v>
      </c>
      <c r="J262" t="s">
        <v>253</v>
      </c>
      <c r="K262" t="s">
        <v>2822</v>
      </c>
    </row>
    <row r="263" spans="1:11" x14ac:dyDescent="0.25">
      <c r="A263" t="s">
        <v>1433</v>
      </c>
      <c r="B263" t="s">
        <v>214</v>
      </c>
      <c r="E263" t="s">
        <v>62</v>
      </c>
      <c r="F263" t="s">
        <v>253</v>
      </c>
      <c r="G263">
        <v>0</v>
      </c>
      <c r="I263" t="s">
        <v>1665</v>
      </c>
      <c r="J263" t="s">
        <v>253</v>
      </c>
      <c r="K263" t="s">
        <v>2822</v>
      </c>
    </row>
    <row r="264" spans="1:11" x14ac:dyDescent="0.25">
      <c r="A264" t="s">
        <v>1482</v>
      </c>
      <c r="B264" t="s">
        <v>214</v>
      </c>
      <c r="E264" t="s">
        <v>2800</v>
      </c>
      <c r="F264" t="s">
        <v>2789</v>
      </c>
      <c r="G264">
        <v>0</v>
      </c>
      <c r="I264" t="s">
        <v>1433</v>
      </c>
      <c r="J264" t="s">
        <v>253</v>
      </c>
      <c r="K264" t="s">
        <v>2822</v>
      </c>
    </row>
    <row r="265" spans="1:11" x14ac:dyDescent="0.25">
      <c r="A265" t="s">
        <v>302</v>
      </c>
      <c r="B265" t="s">
        <v>214</v>
      </c>
      <c r="C265">
        <v>2.1800000000000002</v>
      </c>
      <c r="E265" t="s">
        <v>2801</v>
      </c>
      <c r="F265" t="s">
        <v>2789</v>
      </c>
      <c r="G265">
        <v>0</v>
      </c>
      <c r="I265" t="s">
        <v>1482</v>
      </c>
      <c r="J265" t="s">
        <v>253</v>
      </c>
      <c r="K265" t="s">
        <v>2822</v>
      </c>
    </row>
    <row r="266" spans="1:11" x14ac:dyDescent="0.25">
      <c r="A266" t="s">
        <v>303</v>
      </c>
      <c r="B266" t="s">
        <v>214</v>
      </c>
      <c r="C266">
        <v>2.1800000000000002</v>
      </c>
      <c r="E266" t="s">
        <v>2802</v>
      </c>
      <c r="F266" t="s">
        <v>2789</v>
      </c>
      <c r="G266">
        <v>0</v>
      </c>
      <c r="I266" t="s">
        <v>302</v>
      </c>
      <c r="J266" t="s">
        <v>253</v>
      </c>
      <c r="K266" t="s">
        <v>2822</v>
      </c>
    </row>
    <row r="267" spans="1:11" x14ac:dyDescent="0.25">
      <c r="A267" t="s">
        <v>304</v>
      </c>
      <c r="B267" t="s">
        <v>214</v>
      </c>
      <c r="C267">
        <v>2.1800000000000002</v>
      </c>
      <c r="E267" t="s">
        <v>197</v>
      </c>
      <c r="F267" t="s">
        <v>214</v>
      </c>
      <c r="G267">
        <v>0</v>
      </c>
      <c r="I267" t="s">
        <v>303</v>
      </c>
      <c r="J267" t="s">
        <v>253</v>
      </c>
      <c r="K267" t="s">
        <v>2822</v>
      </c>
    </row>
    <row r="268" spans="1:11" x14ac:dyDescent="0.25">
      <c r="A268" t="s">
        <v>1240</v>
      </c>
      <c r="B268" t="s">
        <v>214</v>
      </c>
      <c r="C268">
        <v>1.82</v>
      </c>
      <c r="E268" t="s">
        <v>198</v>
      </c>
      <c r="F268" t="s">
        <v>214</v>
      </c>
      <c r="G268">
        <v>0</v>
      </c>
      <c r="I268" t="s">
        <v>304</v>
      </c>
      <c r="J268" t="s">
        <v>253</v>
      </c>
      <c r="K268" t="s">
        <v>2822</v>
      </c>
    </row>
    <row r="269" spans="1:11" x14ac:dyDescent="0.25">
      <c r="A269" t="s">
        <v>2102</v>
      </c>
      <c r="B269" t="s">
        <v>214</v>
      </c>
      <c r="E269" t="s">
        <v>2803</v>
      </c>
      <c r="F269" t="s">
        <v>2789</v>
      </c>
      <c r="G269">
        <v>0</v>
      </c>
      <c r="I269" t="s">
        <v>1240</v>
      </c>
      <c r="J269" t="s">
        <v>253</v>
      </c>
      <c r="K269" t="s">
        <v>2822</v>
      </c>
    </row>
    <row r="270" spans="1:11" x14ac:dyDescent="0.25">
      <c r="A270" t="s">
        <v>1241</v>
      </c>
      <c r="B270" t="s">
        <v>214</v>
      </c>
      <c r="C270">
        <v>2.5499999999999998</v>
      </c>
      <c r="E270" t="s">
        <v>2804</v>
      </c>
      <c r="F270" t="s">
        <v>2789</v>
      </c>
      <c r="G270">
        <v>0</v>
      </c>
      <c r="I270" t="s">
        <v>2102</v>
      </c>
      <c r="J270" t="s">
        <v>253</v>
      </c>
      <c r="K270" t="s">
        <v>2822</v>
      </c>
    </row>
    <row r="271" spans="1:11" x14ac:dyDescent="0.25">
      <c r="A271" t="s">
        <v>305</v>
      </c>
      <c r="B271" t="s">
        <v>214</v>
      </c>
      <c r="C271">
        <v>3.64</v>
      </c>
      <c r="E271" t="s">
        <v>2805</v>
      </c>
      <c r="F271" t="s">
        <v>2789</v>
      </c>
      <c r="G271">
        <v>0</v>
      </c>
      <c r="I271" t="s">
        <v>1241</v>
      </c>
      <c r="J271" t="s">
        <v>253</v>
      </c>
      <c r="K271" t="s">
        <v>2822</v>
      </c>
    </row>
    <row r="272" spans="1:11" x14ac:dyDescent="0.25">
      <c r="A272" t="s">
        <v>1242</v>
      </c>
      <c r="B272" t="s">
        <v>214</v>
      </c>
      <c r="C272">
        <v>1.0900000000000001</v>
      </c>
      <c r="E272" t="s">
        <v>63</v>
      </c>
      <c r="F272" t="s">
        <v>253</v>
      </c>
      <c r="G272">
        <v>0</v>
      </c>
      <c r="I272" t="s">
        <v>305</v>
      </c>
      <c r="J272" t="s">
        <v>253</v>
      </c>
      <c r="K272" t="s">
        <v>2822</v>
      </c>
    </row>
    <row r="273" spans="1:11" x14ac:dyDescent="0.25">
      <c r="A273" t="s">
        <v>1685</v>
      </c>
      <c r="B273" t="s">
        <v>214</v>
      </c>
      <c r="E273" t="s">
        <v>1995</v>
      </c>
      <c r="F273" t="s">
        <v>253</v>
      </c>
      <c r="G273">
        <v>0</v>
      </c>
      <c r="I273" t="s">
        <v>1242</v>
      </c>
      <c r="J273" t="s">
        <v>253</v>
      </c>
      <c r="K273" t="s">
        <v>2822</v>
      </c>
    </row>
    <row r="274" spans="1:11" x14ac:dyDescent="0.25">
      <c r="A274" t="s">
        <v>1683</v>
      </c>
      <c r="B274" t="s">
        <v>214</v>
      </c>
      <c r="E274" t="s">
        <v>1175</v>
      </c>
      <c r="F274" t="s">
        <v>253</v>
      </c>
      <c r="G274">
        <v>0</v>
      </c>
      <c r="I274" t="s">
        <v>1685</v>
      </c>
      <c r="J274" t="s">
        <v>253</v>
      </c>
      <c r="K274" t="s">
        <v>2822</v>
      </c>
    </row>
    <row r="275" spans="1:11" x14ac:dyDescent="0.25">
      <c r="A275" t="s">
        <v>1243</v>
      </c>
      <c r="B275" t="s">
        <v>214</v>
      </c>
      <c r="C275">
        <v>1.0900000000000001</v>
      </c>
      <c r="E275" t="s">
        <v>2736</v>
      </c>
      <c r="F275" t="s">
        <v>2789</v>
      </c>
      <c r="G275">
        <v>0</v>
      </c>
      <c r="I275" t="s">
        <v>1683</v>
      </c>
      <c r="J275" t="s">
        <v>253</v>
      </c>
      <c r="K275" t="s">
        <v>2822</v>
      </c>
    </row>
    <row r="276" spans="1:11" x14ac:dyDescent="0.25">
      <c r="A276" t="s">
        <v>306</v>
      </c>
      <c r="B276" t="s">
        <v>214</v>
      </c>
      <c r="C276">
        <v>5.45</v>
      </c>
      <c r="E276" t="s">
        <v>64</v>
      </c>
      <c r="F276" t="s">
        <v>253</v>
      </c>
      <c r="G276">
        <v>0</v>
      </c>
      <c r="I276" t="s">
        <v>1243</v>
      </c>
      <c r="J276" t="s">
        <v>253</v>
      </c>
      <c r="K276" t="s">
        <v>2822</v>
      </c>
    </row>
    <row r="277" spans="1:11" x14ac:dyDescent="0.25">
      <c r="A277" t="s">
        <v>307</v>
      </c>
      <c r="B277" t="s">
        <v>214</v>
      </c>
      <c r="C277">
        <v>3.64</v>
      </c>
      <c r="E277" t="s">
        <v>65</v>
      </c>
      <c r="F277" t="s">
        <v>253</v>
      </c>
      <c r="G277">
        <v>0</v>
      </c>
      <c r="I277" t="s">
        <v>306</v>
      </c>
      <c r="J277" t="s">
        <v>253</v>
      </c>
      <c r="K277" t="s">
        <v>2822</v>
      </c>
    </row>
    <row r="278" spans="1:11" x14ac:dyDescent="0.25">
      <c r="A278" t="s">
        <v>1244</v>
      </c>
      <c r="B278" t="s">
        <v>214</v>
      </c>
      <c r="C278">
        <v>3.64</v>
      </c>
      <c r="E278" t="s">
        <v>2737</v>
      </c>
      <c r="F278" t="s">
        <v>2789</v>
      </c>
      <c r="G278">
        <v>0</v>
      </c>
      <c r="I278" t="s">
        <v>307</v>
      </c>
      <c r="J278" t="s">
        <v>253</v>
      </c>
      <c r="K278" t="s">
        <v>2822</v>
      </c>
    </row>
    <row r="279" spans="1:11" x14ac:dyDescent="0.25">
      <c r="A279" t="s">
        <v>1687</v>
      </c>
      <c r="B279" t="s">
        <v>214</v>
      </c>
      <c r="E279" t="s">
        <v>2738</v>
      </c>
      <c r="F279" t="s">
        <v>2789</v>
      </c>
      <c r="G279">
        <v>0</v>
      </c>
      <c r="I279" t="s">
        <v>1244</v>
      </c>
      <c r="J279" t="s">
        <v>253</v>
      </c>
      <c r="K279" t="s">
        <v>2822</v>
      </c>
    </row>
    <row r="280" spans="1:11" x14ac:dyDescent="0.25">
      <c r="A280" t="s">
        <v>308</v>
      </c>
      <c r="B280" t="s">
        <v>214</v>
      </c>
      <c r="C280">
        <v>3.64</v>
      </c>
      <c r="E280" t="s">
        <v>2739</v>
      </c>
      <c r="F280" t="s">
        <v>2789</v>
      </c>
      <c r="G280">
        <v>0</v>
      </c>
      <c r="I280" t="s">
        <v>1687</v>
      </c>
      <c r="J280" t="s">
        <v>253</v>
      </c>
      <c r="K280" t="s">
        <v>2822</v>
      </c>
    </row>
    <row r="281" spans="1:11" x14ac:dyDescent="0.25">
      <c r="A281" t="s">
        <v>309</v>
      </c>
      <c r="B281" t="s">
        <v>214</v>
      </c>
      <c r="C281">
        <v>1.82</v>
      </c>
      <c r="E281" t="s">
        <v>2740</v>
      </c>
      <c r="F281" t="s">
        <v>2789</v>
      </c>
      <c r="G281">
        <v>0</v>
      </c>
      <c r="I281" t="s">
        <v>308</v>
      </c>
      <c r="J281" t="s">
        <v>253</v>
      </c>
      <c r="K281" t="s">
        <v>2822</v>
      </c>
    </row>
    <row r="282" spans="1:11" x14ac:dyDescent="0.25">
      <c r="A282" t="s">
        <v>2522</v>
      </c>
      <c r="B282" t="s">
        <v>214</v>
      </c>
      <c r="E282" t="s">
        <v>199</v>
      </c>
      <c r="F282" t="s">
        <v>214</v>
      </c>
      <c r="G282">
        <v>0</v>
      </c>
      <c r="I282" t="s">
        <v>309</v>
      </c>
      <c r="J282" t="s">
        <v>253</v>
      </c>
      <c r="K282" t="s">
        <v>2822</v>
      </c>
    </row>
    <row r="283" spans="1:11" x14ac:dyDescent="0.25">
      <c r="A283" t="s">
        <v>1245</v>
      </c>
      <c r="B283" t="s">
        <v>214</v>
      </c>
      <c r="C283">
        <v>1.45</v>
      </c>
      <c r="E283" t="s">
        <v>200</v>
      </c>
      <c r="F283" t="s">
        <v>214</v>
      </c>
      <c r="G283">
        <v>0</v>
      </c>
      <c r="I283" t="s">
        <v>2522</v>
      </c>
      <c r="J283" t="s">
        <v>253</v>
      </c>
      <c r="K283" t="s">
        <v>2822</v>
      </c>
    </row>
    <row r="284" spans="1:11" x14ac:dyDescent="0.25">
      <c r="A284" t="s">
        <v>1246</v>
      </c>
      <c r="B284" t="s">
        <v>214</v>
      </c>
      <c r="C284">
        <v>1.82</v>
      </c>
      <c r="E284" t="s">
        <v>201</v>
      </c>
      <c r="F284" t="s">
        <v>214</v>
      </c>
      <c r="G284">
        <v>0</v>
      </c>
      <c r="I284" t="s">
        <v>1245</v>
      </c>
      <c r="J284" t="s">
        <v>253</v>
      </c>
      <c r="K284" t="s">
        <v>2822</v>
      </c>
    </row>
    <row r="285" spans="1:11" x14ac:dyDescent="0.25">
      <c r="A285" t="s">
        <v>1247</v>
      </c>
      <c r="B285" t="s">
        <v>214</v>
      </c>
      <c r="C285">
        <v>1.82</v>
      </c>
      <c r="E285" t="s">
        <v>202</v>
      </c>
      <c r="F285" t="s">
        <v>214</v>
      </c>
      <c r="G285">
        <v>0</v>
      </c>
      <c r="I285" t="s">
        <v>1246</v>
      </c>
      <c r="J285" t="s">
        <v>253</v>
      </c>
      <c r="K285" t="s">
        <v>2822</v>
      </c>
    </row>
    <row r="286" spans="1:11" x14ac:dyDescent="0.25">
      <c r="A286" t="s">
        <v>1718</v>
      </c>
      <c r="B286" t="s">
        <v>214</v>
      </c>
      <c r="E286" t="s">
        <v>1145</v>
      </c>
      <c r="F286" t="s">
        <v>214</v>
      </c>
      <c r="G286">
        <v>0</v>
      </c>
      <c r="I286" t="s">
        <v>1247</v>
      </c>
      <c r="J286" t="s">
        <v>253</v>
      </c>
      <c r="K286" t="s">
        <v>2822</v>
      </c>
    </row>
    <row r="287" spans="1:11" x14ac:dyDescent="0.25">
      <c r="A287" t="s">
        <v>1248</v>
      </c>
      <c r="B287" t="s">
        <v>214</v>
      </c>
      <c r="C287">
        <v>1.82</v>
      </c>
      <c r="E287" t="s">
        <v>2806</v>
      </c>
      <c r="F287" t="s">
        <v>2789</v>
      </c>
      <c r="G287">
        <v>0</v>
      </c>
      <c r="I287" t="s">
        <v>1718</v>
      </c>
      <c r="J287" t="s">
        <v>253</v>
      </c>
      <c r="K287" t="s">
        <v>2822</v>
      </c>
    </row>
    <row r="288" spans="1:11" x14ac:dyDescent="0.25">
      <c r="A288" t="s">
        <v>1249</v>
      </c>
      <c r="B288" t="s">
        <v>214</v>
      </c>
      <c r="C288">
        <v>1.82</v>
      </c>
      <c r="E288" t="s">
        <v>2665</v>
      </c>
      <c r="F288" t="s">
        <v>2789</v>
      </c>
      <c r="G288">
        <v>0</v>
      </c>
      <c r="I288" t="s">
        <v>1248</v>
      </c>
      <c r="J288" t="s">
        <v>253</v>
      </c>
      <c r="K288" t="s">
        <v>2822</v>
      </c>
    </row>
    <row r="289" spans="1:11" x14ac:dyDescent="0.25">
      <c r="A289" t="s">
        <v>1754</v>
      </c>
      <c r="B289" t="s">
        <v>214</v>
      </c>
      <c r="E289" t="s">
        <v>2666</v>
      </c>
      <c r="F289" t="s">
        <v>2789</v>
      </c>
      <c r="G289">
        <v>0</v>
      </c>
      <c r="I289" t="s">
        <v>1249</v>
      </c>
      <c r="J289" t="s">
        <v>253</v>
      </c>
      <c r="K289" t="s">
        <v>2822</v>
      </c>
    </row>
    <row r="290" spans="1:11" x14ac:dyDescent="0.25">
      <c r="A290" t="s">
        <v>1493</v>
      </c>
      <c r="B290" t="s">
        <v>214</v>
      </c>
      <c r="E290" t="s">
        <v>2743</v>
      </c>
      <c r="F290" t="s">
        <v>2789</v>
      </c>
      <c r="G290">
        <v>0</v>
      </c>
      <c r="I290" t="s">
        <v>1754</v>
      </c>
      <c r="J290" t="s">
        <v>253</v>
      </c>
      <c r="K290" t="s">
        <v>2822</v>
      </c>
    </row>
    <row r="291" spans="1:11" x14ac:dyDescent="0.25">
      <c r="A291" t="s">
        <v>1250</v>
      </c>
      <c r="B291" t="s">
        <v>214</v>
      </c>
      <c r="C291">
        <v>2.91</v>
      </c>
      <c r="E291" t="s">
        <v>2690</v>
      </c>
      <c r="F291" t="s">
        <v>2789</v>
      </c>
      <c r="G291">
        <v>0</v>
      </c>
      <c r="I291" t="s">
        <v>1493</v>
      </c>
      <c r="J291" t="s">
        <v>253</v>
      </c>
      <c r="K291" t="s">
        <v>2822</v>
      </c>
    </row>
    <row r="292" spans="1:11" x14ac:dyDescent="0.25">
      <c r="A292" t="s">
        <v>1822</v>
      </c>
      <c r="B292" t="s">
        <v>214</v>
      </c>
      <c r="E292" t="s">
        <v>2667</v>
      </c>
      <c r="F292" t="s">
        <v>2789</v>
      </c>
      <c r="G292">
        <v>0</v>
      </c>
      <c r="I292" t="s">
        <v>1250</v>
      </c>
      <c r="J292" t="s">
        <v>253</v>
      </c>
      <c r="K292" t="s">
        <v>2822</v>
      </c>
    </row>
    <row r="293" spans="1:11" x14ac:dyDescent="0.25">
      <c r="A293" t="s">
        <v>1251</v>
      </c>
      <c r="B293" t="s">
        <v>214</v>
      </c>
      <c r="C293">
        <v>0.73</v>
      </c>
      <c r="E293" t="s">
        <v>2745</v>
      </c>
      <c r="F293" t="s">
        <v>2789</v>
      </c>
      <c r="G293">
        <v>0</v>
      </c>
      <c r="I293" t="s">
        <v>1822</v>
      </c>
      <c r="J293" t="s">
        <v>253</v>
      </c>
      <c r="K293" t="s">
        <v>2822</v>
      </c>
    </row>
    <row r="294" spans="1:11" x14ac:dyDescent="0.25">
      <c r="A294" t="s">
        <v>1688</v>
      </c>
      <c r="B294" t="s">
        <v>214</v>
      </c>
      <c r="E294" t="s">
        <v>2744</v>
      </c>
      <c r="F294" t="s">
        <v>2789</v>
      </c>
      <c r="G294">
        <v>0</v>
      </c>
      <c r="I294" t="s">
        <v>1251</v>
      </c>
      <c r="J294" t="s">
        <v>253</v>
      </c>
      <c r="K294" t="s">
        <v>2822</v>
      </c>
    </row>
    <row r="295" spans="1:11" x14ac:dyDescent="0.25">
      <c r="A295" t="s">
        <v>1252</v>
      </c>
      <c r="B295" t="s">
        <v>214</v>
      </c>
      <c r="C295">
        <v>5.45</v>
      </c>
      <c r="E295" t="s">
        <v>2668</v>
      </c>
      <c r="F295" t="s">
        <v>2789</v>
      </c>
      <c r="G295">
        <v>0</v>
      </c>
      <c r="I295" t="s">
        <v>1688</v>
      </c>
      <c r="J295" t="s">
        <v>253</v>
      </c>
      <c r="K295" t="s">
        <v>2822</v>
      </c>
    </row>
    <row r="296" spans="1:11" x14ac:dyDescent="0.25">
      <c r="A296" t="s">
        <v>1253</v>
      </c>
      <c r="B296" t="s">
        <v>214</v>
      </c>
      <c r="C296">
        <v>1.45</v>
      </c>
      <c r="E296" t="s">
        <v>203</v>
      </c>
      <c r="F296" t="s">
        <v>214</v>
      </c>
      <c r="G296">
        <v>0</v>
      </c>
      <c r="I296" t="s">
        <v>1252</v>
      </c>
      <c r="J296" t="s">
        <v>253</v>
      </c>
      <c r="K296" t="s">
        <v>2822</v>
      </c>
    </row>
    <row r="297" spans="1:11" x14ac:dyDescent="0.25">
      <c r="A297" t="s">
        <v>1254</v>
      </c>
      <c r="B297" t="s">
        <v>214</v>
      </c>
      <c r="C297">
        <v>14.55</v>
      </c>
      <c r="E297" t="s">
        <v>2807</v>
      </c>
      <c r="F297" t="s">
        <v>2789</v>
      </c>
      <c r="G297">
        <v>0</v>
      </c>
      <c r="I297" t="s">
        <v>1253</v>
      </c>
      <c r="J297" t="s">
        <v>253</v>
      </c>
      <c r="K297" t="s">
        <v>2822</v>
      </c>
    </row>
    <row r="298" spans="1:11" x14ac:dyDescent="0.25">
      <c r="A298" t="s">
        <v>1410</v>
      </c>
      <c r="B298" t="s">
        <v>214</v>
      </c>
      <c r="E298" t="s">
        <v>2746</v>
      </c>
      <c r="F298" t="s">
        <v>2789</v>
      </c>
      <c r="G298">
        <v>0</v>
      </c>
      <c r="I298" t="s">
        <v>1254</v>
      </c>
      <c r="J298" t="s">
        <v>253</v>
      </c>
      <c r="K298" t="s">
        <v>2822</v>
      </c>
    </row>
    <row r="299" spans="1:11" x14ac:dyDescent="0.25">
      <c r="A299" t="s">
        <v>1255</v>
      </c>
      <c r="B299" t="s">
        <v>214</v>
      </c>
      <c r="C299">
        <v>1.82</v>
      </c>
      <c r="E299" t="s">
        <v>2808</v>
      </c>
      <c r="F299" t="s">
        <v>2789</v>
      </c>
      <c r="G299">
        <v>0</v>
      </c>
      <c r="I299" t="s">
        <v>1410</v>
      </c>
      <c r="J299" t="s">
        <v>253</v>
      </c>
      <c r="K299" t="s">
        <v>2822</v>
      </c>
    </row>
    <row r="300" spans="1:11" x14ac:dyDescent="0.25">
      <c r="A300" t="s">
        <v>1256</v>
      </c>
      <c r="B300" t="s">
        <v>214</v>
      </c>
      <c r="C300">
        <v>2.1800000000000002</v>
      </c>
      <c r="E300" t="s">
        <v>2809</v>
      </c>
      <c r="F300" t="s">
        <v>2789</v>
      </c>
      <c r="G300">
        <v>0</v>
      </c>
      <c r="I300" t="s">
        <v>1255</v>
      </c>
      <c r="J300" t="s">
        <v>253</v>
      </c>
      <c r="K300" t="s">
        <v>2822</v>
      </c>
    </row>
    <row r="301" spans="1:11" x14ac:dyDescent="0.25">
      <c r="A301" t="s">
        <v>1257</v>
      </c>
      <c r="B301" t="s">
        <v>214</v>
      </c>
      <c r="C301">
        <v>1.82</v>
      </c>
      <c r="E301" t="s">
        <v>2810</v>
      </c>
      <c r="F301" t="s">
        <v>2789</v>
      </c>
      <c r="G301">
        <v>0</v>
      </c>
      <c r="I301" t="s">
        <v>2119</v>
      </c>
      <c r="J301" t="s">
        <v>253</v>
      </c>
      <c r="K301" t="s">
        <v>2822</v>
      </c>
    </row>
    <row r="302" spans="1:11" x14ac:dyDescent="0.25">
      <c r="A302" t="s">
        <v>1940</v>
      </c>
      <c r="B302" t="s">
        <v>214</v>
      </c>
      <c r="E302" t="s">
        <v>2811</v>
      </c>
      <c r="F302" t="s">
        <v>2789</v>
      </c>
      <c r="G302">
        <v>0</v>
      </c>
      <c r="I302" t="s">
        <v>1256</v>
      </c>
      <c r="J302" t="s">
        <v>253</v>
      </c>
      <c r="K302" t="s">
        <v>2822</v>
      </c>
    </row>
    <row r="303" spans="1:11" x14ac:dyDescent="0.25">
      <c r="A303" t="s">
        <v>2138</v>
      </c>
      <c r="B303" t="s">
        <v>214</v>
      </c>
      <c r="E303" t="s">
        <v>2812</v>
      </c>
      <c r="F303" t="s">
        <v>2789</v>
      </c>
      <c r="G303">
        <v>0</v>
      </c>
      <c r="I303" t="s">
        <v>1257</v>
      </c>
      <c r="J303" t="s">
        <v>253</v>
      </c>
      <c r="K303" t="s">
        <v>2822</v>
      </c>
    </row>
    <row r="304" spans="1:11" x14ac:dyDescent="0.25">
      <c r="A304" t="s">
        <v>1663</v>
      </c>
      <c r="B304" t="s">
        <v>214</v>
      </c>
      <c r="E304" t="s">
        <v>204</v>
      </c>
      <c r="F304" t="s">
        <v>214</v>
      </c>
      <c r="G304">
        <v>0</v>
      </c>
      <c r="I304" t="s">
        <v>1940</v>
      </c>
      <c r="J304" t="s">
        <v>253</v>
      </c>
      <c r="K304" t="s">
        <v>2822</v>
      </c>
    </row>
    <row r="305" spans="1:11" x14ac:dyDescent="0.25">
      <c r="A305" t="s">
        <v>1258</v>
      </c>
      <c r="B305" t="s">
        <v>214</v>
      </c>
      <c r="C305">
        <v>1.82</v>
      </c>
      <c r="E305" t="s">
        <v>205</v>
      </c>
      <c r="F305" t="s">
        <v>214</v>
      </c>
      <c r="G305">
        <v>0</v>
      </c>
      <c r="I305" t="s">
        <v>2138</v>
      </c>
      <c r="J305" t="s">
        <v>253</v>
      </c>
      <c r="K305" t="s">
        <v>2822</v>
      </c>
    </row>
    <row r="306" spans="1:11" x14ac:dyDescent="0.25">
      <c r="A306" t="s">
        <v>1403</v>
      </c>
      <c r="B306" t="s">
        <v>214</v>
      </c>
      <c r="E306" t="s">
        <v>206</v>
      </c>
      <c r="F306" t="s">
        <v>214</v>
      </c>
      <c r="G306">
        <v>0</v>
      </c>
      <c r="I306" t="s">
        <v>1663</v>
      </c>
      <c r="J306" t="s">
        <v>253</v>
      </c>
      <c r="K306" t="s">
        <v>2822</v>
      </c>
    </row>
    <row r="307" spans="1:11" x14ac:dyDescent="0.25">
      <c r="A307" t="s">
        <v>310</v>
      </c>
      <c r="B307" t="s">
        <v>214</v>
      </c>
      <c r="C307">
        <v>1.82</v>
      </c>
      <c r="E307" t="s">
        <v>2813</v>
      </c>
      <c r="F307" t="s">
        <v>2789</v>
      </c>
      <c r="G307">
        <v>0</v>
      </c>
      <c r="I307" t="s">
        <v>1258</v>
      </c>
      <c r="J307" t="s">
        <v>253</v>
      </c>
      <c r="K307" t="s">
        <v>2822</v>
      </c>
    </row>
    <row r="308" spans="1:11" x14ac:dyDescent="0.25">
      <c r="A308" t="s">
        <v>1259</v>
      </c>
      <c r="B308" t="s">
        <v>214</v>
      </c>
      <c r="C308">
        <v>1.82</v>
      </c>
      <c r="E308" t="s">
        <v>2747</v>
      </c>
      <c r="F308" t="s">
        <v>2789</v>
      </c>
      <c r="G308">
        <v>0</v>
      </c>
      <c r="I308" t="s">
        <v>2140</v>
      </c>
      <c r="J308" t="s">
        <v>253</v>
      </c>
      <c r="K308" t="s">
        <v>2822</v>
      </c>
    </row>
    <row r="309" spans="1:11" x14ac:dyDescent="0.25">
      <c r="A309" t="s">
        <v>311</v>
      </c>
      <c r="B309" t="s">
        <v>214</v>
      </c>
      <c r="C309">
        <v>1.0900000000000001</v>
      </c>
      <c r="E309" t="s">
        <v>2748</v>
      </c>
      <c r="F309" t="s">
        <v>2789</v>
      </c>
      <c r="G309">
        <v>0</v>
      </c>
      <c r="I309" t="s">
        <v>2137</v>
      </c>
      <c r="J309" t="s">
        <v>253</v>
      </c>
      <c r="K309" t="s">
        <v>2822</v>
      </c>
    </row>
    <row r="310" spans="1:11" x14ac:dyDescent="0.25">
      <c r="A310" t="s">
        <v>1528</v>
      </c>
      <c r="B310" t="s">
        <v>214</v>
      </c>
      <c r="E310" t="s">
        <v>2749</v>
      </c>
      <c r="F310" t="s">
        <v>2789</v>
      </c>
      <c r="G310">
        <v>0</v>
      </c>
      <c r="I310" t="s">
        <v>1403</v>
      </c>
      <c r="J310" t="s">
        <v>253</v>
      </c>
      <c r="K310" t="s">
        <v>2822</v>
      </c>
    </row>
    <row r="311" spans="1:11" x14ac:dyDescent="0.25">
      <c r="A311" t="s">
        <v>312</v>
      </c>
      <c r="B311" t="s">
        <v>214</v>
      </c>
      <c r="C311">
        <v>1.45</v>
      </c>
      <c r="E311" t="s">
        <v>2750</v>
      </c>
      <c r="F311" t="s">
        <v>2789</v>
      </c>
      <c r="G311">
        <v>0</v>
      </c>
      <c r="I311" t="s">
        <v>310</v>
      </c>
      <c r="J311" t="s">
        <v>253</v>
      </c>
      <c r="K311" t="s">
        <v>2822</v>
      </c>
    </row>
    <row r="312" spans="1:11" x14ac:dyDescent="0.25">
      <c r="A312" t="s">
        <v>313</v>
      </c>
      <c r="B312" t="s">
        <v>214</v>
      </c>
      <c r="C312">
        <v>1.82</v>
      </c>
      <c r="E312" t="s">
        <v>207</v>
      </c>
      <c r="F312" t="s">
        <v>214</v>
      </c>
      <c r="G312">
        <v>0</v>
      </c>
      <c r="I312" t="s">
        <v>1259</v>
      </c>
      <c r="J312" t="s">
        <v>253</v>
      </c>
      <c r="K312" t="s">
        <v>2822</v>
      </c>
    </row>
    <row r="313" spans="1:11" x14ac:dyDescent="0.25">
      <c r="A313" t="s">
        <v>1260</v>
      </c>
      <c r="B313" t="s">
        <v>214</v>
      </c>
      <c r="C313">
        <v>1.0900000000000001</v>
      </c>
      <c r="E313" t="s">
        <v>66</v>
      </c>
      <c r="F313" t="s">
        <v>253</v>
      </c>
      <c r="G313">
        <v>0</v>
      </c>
      <c r="I313" t="s">
        <v>311</v>
      </c>
      <c r="J313" t="s">
        <v>253</v>
      </c>
      <c r="K313" t="s">
        <v>2822</v>
      </c>
    </row>
    <row r="314" spans="1:11" x14ac:dyDescent="0.25">
      <c r="A314" t="s">
        <v>314</v>
      </c>
      <c r="B314" t="s">
        <v>214</v>
      </c>
      <c r="C314">
        <v>1.82</v>
      </c>
      <c r="E314" t="s">
        <v>67</v>
      </c>
      <c r="F314" t="s">
        <v>253</v>
      </c>
      <c r="G314">
        <v>0</v>
      </c>
      <c r="I314" t="s">
        <v>1528</v>
      </c>
      <c r="J314" t="s">
        <v>253</v>
      </c>
      <c r="K314" t="s">
        <v>2822</v>
      </c>
    </row>
    <row r="315" spans="1:11" x14ac:dyDescent="0.25">
      <c r="A315" t="s">
        <v>1261</v>
      </c>
      <c r="B315" t="s">
        <v>214</v>
      </c>
      <c r="C315">
        <v>1.0900000000000001</v>
      </c>
      <c r="E315" t="s">
        <v>2751</v>
      </c>
      <c r="F315" t="s">
        <v>2789</v>
      </c>
      <c r="G315">
        <v>0</v>
      </c>
      <c r="I315" t="s">
        <v>312</v>
      </c>
      <c r="J315" t="s">
        <v>253</v>
      </c>
      <c r="K315" t="s">
        <v>2822</v>
      </c>
    </row>
    <row r="316" spans="1:11" x14ac:dyDescent="0.25">
      <c r="A316" t="s">
        <v>1530</v>
      </c>
      <c r="B316" t="s">
        <v>214</v>
      </c>
      <c r="E316" t="s">
        <v>2814</v>
      </c>
      <c r="F316" t="s">
        <v>2789</v>
      </c>
      <c r="G316">
        <v>0</v>
      </c>
      <c r="I316" t="s">
        <v>313</v>
      </c>
      <c r="J316" t="s">
        <v>253</v>
      </c>
      <c r="K316" t="s">
        <v>2822</v>
      </c>
    </row>
    <row r="317" spans="1:11" x14ac:dyDescent="0.25">
      <c r="A317" t="s">
        <v>315</v>
      </c>
      <c r="B317" t="s">
        <v>214</v>
      </c>
      <c r="C317">
        <v>1.45</v>
      </c>
      <c r="E317" t="s">
        <v>2815</v>
      </c>
      <c r="F317" t="s">
        <v>2789</v>
      </c>
      <c r="G317">
        <v>0</v>
      </c>
      <c r="I317" t="s">
        <v>1260</v>
      </c>
      <c r="J317" t="s">
        <v>253</v>
      </c>
      <c r="K317" t="s">
        <v>2822</v>
      </c>
    </row>
    <row r="318" spans="1:11" x14ac:dyDescent="0.25">
      <c r="A318" t="s">
        <v>1262</v>
      </c>
      <c r="B318" t="s">
        <v>214</v>
      </c>
      <c r="C318">
        <v>0.73</v>
      </c>
      <c r="E318" t="s">
        <v>2037</v>
      </c>
      <c r="F318" t="s">
        <v>214</v>
      </c>
      <c r="G318">
        <v>0</v>
      </c>
      <c r="I318" t="s">
        <v>314</v>
      </c>
      <c r="J318" t="s">
        <v>253</v>
      </c>
      <c r="K318" t="s">
        <v>2822</v>
      </c>
    </row>
    <row r="319" spans="1:11" x14ac:dyDescent="0.25">
      <c r="A319" t="s">
        <v>1695</v>
      </c>
      <c r="B319" t="s">
        <v>214</v>
      </c>
      <c r="E319" t="s">
        <v>208</v>
      </c>
      <c r="F319" t="s">
        <v>214</v>
      </c>
      <c r="G319">
        <v>0</v>
      </c>
      <c r="I319" t="s">
        <v>1261</v>
      </c>
      <c r="J319" t="s">
        <v>253</v>
      </c>
      <c r="K319" t="s">
        <v>2822</v>
      </c>
    </row>
    <row r="320" spans="1:11" x14ac:dyDescent="0.25">
      <c r="A320" t="s">
        <v>1263</v>
      </c>
      <c r="B320" t="s">
        <v>214</v>
      </c>
      <c r="C320">
        <v>1.0900000000000001</v>
      </c>
      <c r="E320" t="s">
        <v>2038</v>
      </c>
      <c r="F320" t="s">
        <v>214</v>
      </c>
      <c r="G320">
        <v>0</v>
      </c>
      <c r="I320" t="s">
        <v>1530</v>
      </c>
      <c r="J320" t="s">
        <v>253</v>
      </c>
      <c r="K320" t="s">
        <v>2822</v>
      </c>
    </row>
    <row r="321" spans="1:11" x14ac:dyDescent="0.25">
      <c r="A321" t="s">
        <v>1630</v>
      </c>
      <c r="B321" t="s">
        <v>214</v>
      </c>
      <c r="E321" t="s">
        <v>2752</v>
      </c>
      <c r="F321" t="s">
        <v>2789</v>
      </c>
      <c r="G321">
        <v>0</v>
      </c>
      <c r="I321" t="s">
        <v>315</v>
      </c>
      <c r="J321" t="s">
        <v>253</v>
      </c>
      <c r="K321" t="s">
        <v>2822</v>
      </c>
    </row>
    <row r="322" spans="1:11" x14ac:dyDescent="0.25">
      <c r="A322" t="s">
        <v>2167</v>
      </c>
      <c r="B322" t="s">
        <v>214</v>
      </c>
      <c r="C322">
        <v>0</v>
      </c>
      <c r="E322" t="s">
        <v>2753</v>
      </c>
      <c r="F322" t="s">
        <v>2789</v>
      </c>
      <c r="G322">
        <v>0</v>
      </c>
      <c r="I322" t="s">
        <v>1262</v>
      </c>
      <c r="J322" t="s">
        <v>253</v>
      </c>
      <c r="K322" t="s">
        <v>2822</v>
      </c>
    </row>
    <row r="323" spans="1:11" x14ac:dyDescent="0.25">
      <c r="A323" t="s">
        <v>1821</v>
      </c>
      <c r="B323" t="s">
        <v>214</v>
      </c>
      <c r="E323" t="s">
        <v>2754</v>
      </c>
      <c r="F323" t="s">
        <v>2789</v>
      </c>
      <c r="G323">
        <v>0</v>
      </c>
      <c r="I323" t="s">
        <v>1695</v>
      </c>
      <c r="J323" t="s">
        <v>253</v>
      </c>
      <c r="K323" t="s">
        <v>2822</v>
      </c>
    </row>
    <row r="324" spans="1:11" x14ac:dyDescent="0.25">
      <c r="A324" t="s">
        <v>316</v>
      </c>
      <c r="B324" t="s">
        <v>214</v>
      </c>
      <c r="C324">
        <v>18.18</v>
      </c>
      <c r="E324" t="s">
        <v>2755</v>
      </c>
      <c r="F324" t="s">
        <v>2789</v>
      </c>
      <c r="G324">
        <v>0</v>
      </c>
      <c r="I324" t="s">
        <v>1263</v>
      </c>
      <c r="J324" t="s">
        <v>253</v>
      </c>
      <c r="K324" t="s">
        <v>2822</v>
      </c>
    </row>
    <row r="325" spans="1:11" x14ac:dyDescent="0.25">
      <c r="A325" t="s">
        <v>317</v>
      </c>
      <c r="B325" t="s">
        <v>214</v>
      </c>
      <c r="C325">
        <v>10.91</v>
      </c>
      <c r="E325" t="s">
        <v>68</v>
      </c>
      <c r="F325" t="s">
        <v>253</v>
      </c>
      <c r="G325">
        <v>0</v>
      </c>
      <c r="I325" t="s">
        <v>1630</v>
      </c>
      <c r="J325" t="s">
        <v>253</v>
      </c>
      <c r="K325" t="s">
        <v>2822</v>
      </c>
    </row>
    <row r="326" spans="1:11" x14ac:dyDescent="0.25">
      <c r="A326" t="s">
        <v>318</v>
      </c>
      <c r="B326" t="s">
        <v>214</v>
      </c>
      <c r="C326">
        <v>5.45</v>
      </c>
      <c r="E326" t="s">
        <v>69</v>
      </c>
      <c r="F326" t="s">
        <v>253</v>
      </c>
      <c r="G326">
        <v>0</v>
      </c>
      <c r="I326" t="s">
        <v>2167</v>
      </c>
      <c r="J326" t="s">
        <v>253</v>
      </c>
      <c r="K326" t="s">
        <v>2822</v>
      </c>
    </row>
    <row r="327" spans="1:11" x14ac:dyDescent="0.25">
      <c r="A327" t="s">
        <v>1815</v>
      </c>
      <c r="B327" t="s">
        <v>214</v>
      </c>
      <c r="E327" t="s">
        <v>2691</v>
      </c>
      <c r="F327" t="s">
        <v>2789</v>
      </c>
      <c r="G327">
        <v>0</v>
      </c>
      <c r="I327" t="s">
        <v>1821</v>
      </c>
      <c r="J327" t="s">
        <v>253</v>
      </c>
      <c r="K327" t="s">
        <v>2822</v>
      </c>
    </row>
    <row r="328" spans="1:11" x14ac:dyDescent="0.25">
      <c r="A328" t="s">
        <v>2180</v>
      </c>
      <c r="B328" t="s">
        <v>214</v>
      </c>
      <c r="E328" t="s">
        <v>2756</v>
      </c>
      <c r="F328" t="s">
        <v>2789</v>
      </c>
      <c r="G328">
        <v>0</v>
      </c>
      <c r="I328" t="s">
        <v>316</v>
      </c>
      <c r="J328" t="s">
        <v>253</v>
      </c>
      <c r="K328" t="s">
        <v>2822</v>
      </c>
    </row>
    <row r="329" spans="1:11" x14ac:dyDescent="0.25">
      <c r="A329" t="s">
        <v>319</v>
      </c>
      <c r="B329" t="s">
        <v>214</v>
      </c>
      <c r="C329">
        <v>7.27</v>
      </c>
      <c r="E329" t="s">
        <v>2669</v>
      </c>
      <c r="F329" t="s">
        <v>2789</v>
      </c>
      <c r="G329">
        <v>0</v>
      </c>
      <c r="I329" t="s">
        <v>2634</v>
      </c>
      <c r="J329" t="s">
        <v>253</v>
      </c>
      <c r="K329" t="s">
        <v>2822</v>
      </c>
    </row>
    <row r="330" spans="1:11" x14ac:dyDescent="0.25">
      <c r="A330" t="s">
        <v>320</v>
      </c>
      <c r="B330" t="s">
        <v>214</v>
      </c>
      <c r="C330">
        <v>3.64</v>
      </c>
      <c r="E330" t="s">
        <v>2757</v>
      </c>
      <c r="F330" t="s">
        <v>2789</v>
      </c>
      <c r="G330">
        <v>0</v>
      </c>
      <c r="I330" t="s">
        <v>317</v>
      </c>
      <c r="J330" t="s">
        <v>253</v>
      </c>
      <c r="K330" t="s">
        <v>2822</v>
      </c>
    </row>
    <row r="331" spans="1:11" x14ac:dyDescent="0.25">
      <c r="A331" t="s">
        <v>321</v>
      </c>
      <c r="B331" t="s">
        <v>214</v>
      </c>
      <c r="C331">
        <v>3.64</v>
      </c>
      <c r="E331" t="s">
        <v>2670</v>
      </c>
      <c r="F331" t="s">
        <v>2789</v>
      </c>
      <c r="G331">
        <v>0</v>
      </c>
      <c r="I331" t="s">
        <v>318</v>
      </c>
      <c r="J331" t="s">
        <v>253</v>
      </c>
      <c r="K331" t="s">
        <v>2822</v>
      </c>
    </row>
    <row r="332" spans="1:11" x14ac:dyDescent="0.25">
      <c r="A332" t="s">
        <v>322</v>
      </c>
      <c r="B332" t="s">
        <v>214</v>
      </c>
      <c r="C332">
        <v>10.91</v>
      </c>
      <c r="E332" t="s">
        <v>70</v>
      </c>
      <c r="F332" t="s">
        <v>253</v>
      </c>
      <c r="G332">
        <v>0</v>
      </c>
      <c r="I332" t="s">
        <v>1815</v>
      </c>
      <c r="J332" t="s">
        <v>253</v>
      </c>
      <c r="K332" t="s">
        <v>2822</v>
      </c>
    </row>
    <row r="333" spans="1:11" x14ac:dyDescent="0.25">
      <c r="A333" t="s">
        <v>323</v>
      </c>
      <c r="B333" t="s">
        <v>214</v>
      </c>
      <c r="C333">
        <v>7.27</v>
      </c>
      <c r="E333" t="s">
        <v>71</v>
      </c>
      <c r="F333" t="s">
        <v>253</v>
      </c>
      <c r="G333">
        <v>0</v>
      </c>
      <c r="I333" t="s">
        <v>2180</v>
      </c>
      <c r="J333" t="s">
        <v>253</v>
      </c>
      <c r="K333" t="s">
        <v>2822</v>
      </c>
    </row>
    <row r="334" spans="1:11" x14ac:dyDescent="0.25">
      <c r="A334" t="s">
        <v>2249</v>
      </c>
      <c r="B334" t="s">
        <v>214</v>
      </c>
      <c r="E334" t="s">
        <v>72</v>
      </c>
      <c r="F334" t="s">
        <v>253</v>
      </c>
      <c r="G334">
        <v>0</v>
      </c>
      <c r="I334" t="s">
        <v>319</v>
      </c>
      <c r="J334" t="s">
        <v>253</v>
      </c>
      <c r="K334" t="s">
        <v>2822</v>
      </c>
    </row>
    <row r="335" spans="1:11" x14ac:dyDescent="0.25">
      <c r="A335" t="s">
        <v>324</v>
      </c>
      <c r="B335" t="s">
        <v>214</v>
      </c>
      <c r="C335">
        <v>5.45</v>
      </c>
      <c r="E335" t="s">
        <v>1160</v>
      </c>
      <c r="F335" t="s">
        <v>253</v>
      </c>
      <c r="G335">
        <v>0</v>
      </c>
      <c r="I335" t="s">
        <v>320</v>
      </c>
      <c r="J335" t="s">
        <v>253</v>
      </c>
      <c r="K335" t="s">
        <v>2822</v>
      </c>
    </row>
    <row r="336" spans="1:11" x14ac:dyDescent="0.25">
      <c r="A336" t="s">
        <v>1264</v>
      </c>
      <c r="B336" t="s">
        <v>214</v>
      </c>
      <c r="C336">
        <v>3.64</v>
      </c>
      <c r="E336" t="s">
        <v>2039</v>
      </c>
      <c r="F336" t="s">
        <v>253</v>
      </c>
      <c r="G336">
        <v>0</v>
      </c>
      <c r="I336" t="s">
        <v>321</v>
      </c>
      <c r="J336" t="s">
        <v>253</v>
      </c>
      <c r="K336" t="s">
        <v>2822</v>
      </c>
    </row>
    <row r="337" spans="1:11" x14ac:dyDescent="0.25">
      <c r="A337" t="s">
        <v>1265</v>
      </c>
      <c r="B337" t="s">
        <v>214</v>
      </c>
      <c r="C337">
        <v>3.64</v>
      </c>
      <c r="E337" t="s">
        <v>2758</v>
      </c>
      <c r="F337" t="s">
        <v>2789</v>
      </c>
      <c r="G337">
        <v>0</v>
      </c>
      <c r="I337" t="s">
        <v>322</v>
      </c>
      <c r="J337" t="s">
        <v>253</v>
      </c>
      <c r="K337" t="s">
        <v>2822</v>
      </c>
    </row>
    <row r="338" spans="1:11" x14ac:dyDescent="0.25">
      <c r="A338" t="s">
        <v>1266</v>
      </c>
      <c r="B338" t="s">
        <v>214</v>
      </c>
      <c r="C338">
        <v>3.64</v>
      </c>
      <c r="E338" t="s">
        <v>2671</v>
      </c>
      <c r="F338" t="s">
        <v>2789</v>
      </c>
      <c r="G338">
        <v>0</v>
      </c>
      <c r="I338" t="s">
        <v>323</v>
      </c>
      <c r="J338" t="s">
        <v>253</v>
      </c>
      <c r="K338" t="s">
        <v>2822</v>
      </c>
    </row>
    <row r="339" spans="1:11" x14ac:dyDescent="0.25">
      <c r="A339" t="s">
        <v>1267</v>
      </c>
      <c r="B339" t="s">
        <v>214</v>
      </c>
      <c r="C339">
        <v>3.64</v>
      </c>
      <c r="E339" t="s">
        <v>73</v>
      </c>
      <c r="F339" t="s">
        <v>253</v>
      </c>
      <c r="G339">
        <v>0</v>
      </c>
      <c r="I339" t="s">
        <v>2249</v>
      </c>
      <c r="J339" t="s">
        <v>253</v>
      </c>
      <c r="K339" t="s">
        <v>2822</v>
      </c>
    </row>
    <row r="340" spans="1:11" x14ac:dyDescent="0.25">
      <c r="A340" t="s">
        <v>1268</v>
      </c>
      <c r="B340" t="s">
        <v>214</v>
      </c>
      <c r="C340">
        <v>7.27</v>
      </c>
      <c r="E340" t="s">
        <v>74</v>
      </c>
      <c r="F340" t="s">
        <v>253</v>
      </c>
      <c r="G340">
        <v>0</v>
      </c>
      <c r="I340" t="s">
        <v>324</v>
      </c>
      <c r="J340" t="s">
        <v>253</v>
      </c>
      <c r="K340" t="s">
        <v>2822</v>
      </c>
    </row>
    <row r="341" spans="1:11" x14ac:dyDescent="0.25">
      <c r="A341" t="s">
        <v>1269</v>
      </c>
      <c r="B341" t="s">
        <v>214</v>
      </c>
      <c r="C341">
        <v>1.82</v>
      </c>
      <c r="E341" t="s">
        <v>2816</v>
      </c>
      <c r="F341" t="s">
        <v>2789</v>
      </c>
      <c r="G341">
        <v>0</v>
      </c>
      <c r="I341" t="s">
        <v>1264</v>
      </c>
      <c r="J341" t="s">
        <v>253</v>
      </c>
      <c r="K341" t="s">
        <v>2822</v>
      </c>
    </row>
    <row r="342" spans="1:11" x14ac:dyDescent="0.25">
      <c r="A342" t="s">
        <v>325</v>
      </c>
      <c r="B342" t="s">
        <v>214</v>
      </c>
      <c r="C342">
        <v>1.82</v>
      </c>
      <c r="E342" t="s">
        <v>2817</v>
      </c>
      <c r="F342" t="s">
        <v>2789</v>
      </c>
      <c r="G342">
        <v>0</v>
      </c>
      <c r="I342" t="s">
        <v>1265</v>
      </c>
      <c r="J342" t="s">
        <v>253</v>
      </c>
      <c r="K342" t="s">
        <v>2822</v>
      </c>
    </row>
    <row r="343" spans="1:11" x14ac:dyDescent="0.25">
      <c r="A343" t="s">
        <v>326</v>
      </c>
      <c r="B343" t="s">
        <v>214</v>
      </c>
      <c r="C343">
        <v>1.82</v>
      </c>
      <c r="E343" t="s">
        <v>2818</v>
      </c>
      <c r="F343" t="s">
        <v>2789</v>
      </c>
      <c r="G343">
        <v>0</v>
      </c>
      <c r="I343" t="s">
        <v>1266</v>
      </c>
      <c r="J343" t="s">
        <v>253</v>
      </c>
      <c r="K343" t="s">
        <v>2822</v>
      </c>
    </row>
    <row r="344" spans="1:11" x14ac:dyDescent="0.25">
      <c r="A344" t="s">
        <v>1509</v>
      </c>
      <c r="B344" t="s">
        <v>214</v>
      </c>
      <c r="E344" t="s">
        <v>2819</v>
      </c>
      <c r="F344" t="s">
        <v>2789</v>
      </c>
      <c r="G344">
        <v>0</v>
      </c>
      <c r="I344" t="s">
        <v>1267</v>
      </c>
      <c r="J344" t="s">
        <v>253</v>
      </c>
      <c r="K344" t="s">
        <v>2822</v>
      </c>
    </row>
    <row r="345" spans="1:11" x14ac:dyDescent="0.25">
      <c r="A345" t="s">
        <v>1510</v>
      </c>
      <c r="B345" t="s">
        <v>214</v>
      </c>
      <c r="E345" t="s">
        <v>1176</v>
      </c>
      <c r="F345" t="s">
        <v>253</v>
      </c>
      <c r="G345">
        <v>0</v>
      </c>
      <c r="I345" t="s">
        <v>1268</v>
      </c>
      <c r="J345" t="s">
        <v>253</v>
      </c>
      <c r="K345" t="s">
        <v>2822</v>
      </c>
    </row>
    <row r="346" spans="1:11" x14ac:dyDescent="0.25">
      <c r="A346" t="s">
        <v>1504</v>
      </c>
      <c r="B346" t="s">
        <v>214</v>
      </c>
      <c r="E346" t="s">
        <v>2759</v>
      </c>
      <c r="F346" t="s">
        <v>2789</v>
      </c>
      <c r="G346">
        <v>0</v>
      </c>
      <c r="I346" t="s">
        <v>1269</v>
      </c>
      <c r="J346" t="s">
        <v>253</v>
      </c>
      <c r="K346" t="s">
        <v>2822</v>
      </c>
    </row>
    <row r="347" spans="1:11" x14ac:dyDescent="0.25">
      <c r="A347" t="s">
        <v>327</v>
      </c>
      <c r="B347" t="s">
        <v>214</v>
      </c>
      <c r="C347">
        <v>2.91</v>
      </c>
      <c r="E347" t="s">
        <v>2760</v>
      </c>
      <c r="G347">
        <v>0</v>
      </c>
      <c r="I347" t="s">
        <v>325</v>
      </c>
      <c r="J347" t="s">
        <v>253</v>
      </c>
      <c r="K347" t="s">
        <v>2822</v>
      </c>
    </row>
    <row r="348" spans="1:11" x14ac:dyDescent="0.25">
      <c r="A348" t="s">
        <v>328</v>
      </c>
      <c r="B348" t="s">
        <v>214</v>
      </c>
      <c r="C348">
        <v>1.82</v>
      </c>
      <c r="E348" t="s">
        <v>2761</v>
      </c>
      <c r="F348" t="s">
        <v>2789</v>
      </c>
      <c r="G348">
        <v>0</v>
      </c>
      <c r="I348" t="s">
        <v>326</v>
      </c>
      <c r="J348" t="s">
        <v>253</v>
      </c>
      <c r="K348" t="s">
        <v>2822</v>
      </c>
    </row>
    <row r="349" spans="1:11" x14ac:dyDescent="0.25">
      <c r="A349" t="s">
        <v>2152</v>
      </c>
      <c r="B349" t="s">
        <v>214</v>
      </c>
      <c r="E349" t="s">
        <v>2672</v>
      </c>
      <c r="F349" t="s">
        <v>2789</v>
      </c>
      <c r="G349">
        <v>0</v>
      </c>
      <c r="I349" t="s">
        <v>1509</v>
      </c>
      <c r="J349" t="s">
        <v>253</v>
      </c>
      <c r="K349" t="s">
        <v>2822</v>
      </c>
    </row>
    <row r="350" spans="1:11" x14ac:dyDescent="0.25">
      <c r="A350" t="s">
        <v>1761</v>
      </c>
      <c r="B350" t="s">
        <v>214</v>
      </c>
      <c r="E350" t="s">
        <v>2765</v>
      </c>
      <c r="F350" t="s">
        <v>2789</v>
      </c>
      <c r="G350">
        <v>0</v>
      </c>
      <c r="I350" t="s">
        <v>1510</v>
      </c>
      <c r="J350" t="s">
        <v>253</v>
      </c>
      <c r="K350" t="s">
        <v>2822</v>
      </c>
    </row>
    <row r="351" spans="1:11" x14ac:dyDescent="0.25">
      <c r="A351" t="s">
        <v>1270</v>
      </c>
      <c r="B351" t="s">
        <v>214</v>
      </c>
      <c r="C351">
        <v>5.45</v>
      </c>
      <c r="E351" t="s">
        <v>2762</v>
      </c>
      <c r="G351">
        <v>0</v>
      </c>
      <c r="I351" t="s">
        <v>1504</v>
      </c>
      <c r="J351" t="s">
        <v>253</v>
      </c>
      <c r="K351" t="s">
        <v>2822</v>
      </c>
    </row>
    <row r="352" spans="1:11" x14ac:dyDescent="0.25">
      <c r="A352" t="s">
        <v>329</v>
      </c>
      <c r="B352" t="s">
        <v>214</v>
      </c>
      <c r="C352">
        <v>1.82</v>
      </c>
      <c r="E352" t="s">
        <v>2763</v>
      </c>
      <c r="G352">
        <v>0</v>
      </c>
      <c r="I352" t="s">
        <v>327</v>
      </c>
      <c r="J352" t="s">
        <v>253</v>
      </c>
      <c r="K352" t="s">
        <v>2822</v>
      </c>
    </row>
    <row r="353" spans="1:11" x14ac:dyDescent="0.25">
      <c r="A353" t="s">
        <v>1812</v>
      </c>
      <c r="B353" t="s">
        <v>214</v>
      </c>
      <c r="E353" t="s">
        <v>2764</v>
      </c>
      <c r="F353" t="s">
        <v>2789</v>
      </c>
      <c r="G353">
        <v>0</v>
      </c>
      <c r="I353" t="s">
        <v>328</v>
      </c>
      <c r="J353" t="s">
        <v>253</v>
      </c>
      <c r="K353" t="s">
        <v>2822</v>
      </c>
    </row>
    <row r="354" spans="1:11" x14ac:dyDescent="0.25">
      <c r="A354" t="s">
        <v>2165</v>
      </c>
      <c r="B354" t="s">
        <v>214</v>
      </c>
      <c r="E354" t="s">
        <v>2820</v>
      </c>
      <c r="G354">
        <v>0</v>
      </c>
      <c r="I354" t="s">
        <v>2152</v>
      </c>
      <c r="J354" t="s">
        <v>253</v>
      </c>
      <c r="K354" t="s">
        <v>2822</v>
      </c>
    </row>
    <row r="355" spans="1:11" x14ac:dyDescent="0.25">
      <c r="A355" t="s">
        <v>330</v>
      </c>
      <c r="B355" t="s">
        <v>214</v>
      </c>
      <c r="C355">
        <v>3.64</v>
      </c>
      <c r="E355" t="s">
        <v>2673</v>
      </c>
      <c r="F355" t="s">
        <v>2789</v>
      </c>
      <c r="G355">
        <v>0</v>
      </c>
      <c r="I355" t="s">
        <v>1761</v>
      </c>
      <c r="J355" t="s">
        <v>253</v>
      </c>
      <c r="K355" t="s">
        <v>2822</v>
      </c>
    </row>
    <row r="356" spans="1:11" x14ac:dyDescent="0.25">
      <c r="A356" t="s">
        <v>1271</v>
      </c>
      <c r="B356" t="s">
        <v>214</v>
      </c>
      <c r="C356">
        <v>1.82</v>
      </c>
      <c r="E356" t="s">
        <v>2769</v>
      </c>
      <c r="F356" t="s">
        <v>2789</v>
      </c>
      <c r="G356">
        <v>0</v>
      </c>
      <c r="I356" t="s">
        <v>1270</v>
      </c>
      <c r="J356" t="s">
        <v>253</v>
      </c>
      <c r="K356" t="s">
        <v>2822</v>
      </c>
    </row>
    <row r="357" spans="1:11" x14ac:dyDescent="0.25">
      <c r="A357" t="s">
        <v>1272</v>
      </c>
      <c r="B357" t="s">
        <v>214</v>
      </c>
      <c r="C357">
        <v>1.0900000000000001</v>
      </c>
      <c r="E357" t="s">
        <v>2674</v>
      </c>
      <c r="F357" t="s">
        <v>2789</v>
      </c>
      <c r="G357">
        <v>0</v>
      </c>
      <c r="I357" t="s">
        <v>329</v>
      </c>
      <c r="J357" t="s">
        <v>253</v>
      </c>
      <c r="K357" t="s">
        <v>2822</v>
      </c>
    </row>
    <row r="358" spans="1:11" x14ac:dyDescent="0.25">
      <c r="A358" t="s">
        <v>1273</v>
      </c>
      <c r="B358" t="s">
        <v>214</v>
      </c>
      <c r="C358">
        <v>4.3600000000000003</v>
      </c>
      <c r="E358" t="s">
        <v>2767</v>
      </c>
      <c r="F358" t="s">
        <v>2789</v>
      </c>
      <c r="G358">
        <v>0</v>
      </c>
      <c r="I358" t="s">
        <v>1812</v>
      </c>
      <c r="J358" t="s">
        <v>253</v>
      </c>
      <c r="K358" t="s">
        <v>2822</v>
      </c>
    </row>
    <row r="359" spans="1:11" x14ac:dyDescent="0.25">
      <c r="A359" t="s">
        <v>1416</v>
      </c>
      <c r="B359" t="s">
        <v>214</v>
      </c>
      <c r="E359" t="s">
        <v>2675</v>
      </c>
      <c r="F359" t="s">
        <v>2789</v>
      </c>
      <c r="G359">
        <v>0</v>
      </c>
      <c r="I359" t="s">
        <v>2165</v>
      </c>
      <c r="J359" t="s">
        <v>253</v>
      </c>
      <c r="K359" t="s">
        <v>2822</v>
      </c>
    </row>
    <row r="360" spans="1:11" x14ac:dyDescent="0.25">
      <c r="A360" t="s">
        <v>1813</v>
      </c>
      <c r="B360" t="s">
        <v>214</v>
      </c>
      <c r="E360" t="s">
        <v>2768</v>
      </c>
      <c r="F360" t="s">
        <v>2789</v>
      </c>
      <c r="G360">
        <v>0</v>
      </c>
      <c r="I360" t="s">
        <v>330</v>
      </c>
      <c r="J360" t="s">
        <v>253</v>
      </c>
      <c r="K360" t="s">
        <v>2822</v>
      </c>
    </row>
    <row r="361" spans="1:11" x14ac:dyDescent="0.25">
      <c r="A361" t="s">
        <v>331</v>
      </c>
      <c r="B361" t="s">
        <v>214</v>
      </c>
      <c r="C361">
        <v>1.82</v>
      </c>
      <c r="E361" t="s">
        <v>2766</v>
      </c>
      <c r="F361" t="s">
        <v>2789</v>
      </c>
      <c r="G361">
        <v>0</v>
      </c>
      <c r="I361" t="s">
        <v>1271</v>
      </c>
      <c r="J361" t="s">
        <v>253</v>
      </c>
      <c r="K361" t="s">
        <v>2822</v>
      </c>
    </row>
    <row r="362" spans="1:11" x14ac:dyDescent="0.25">
      <c r="A362" t="s">
        <v>1836</v>
      </c>
      <c r="B362" t="s">
        <v>214</v>
      </c>
      <c r="E362" t="s">
        <v>2676</v>
      </c>
      <c r="F362" t="s">
        <v>2789</v>
      </c>
      <c r="G362">
        <v>0</v>
      </c>
      <c r="I362" t="s">
        <v>1272</v>
      </c>
      <c r="J362" t="s">
        <v>253</v>
      </c>
      <c r="K362" t="s">
        <v>2822</v>
      </c>
    </row>
    <row r="363" spans="1:11" x14ac:dyDescent="0.25">
      <c r="A363" t="s">
        <v>1834</v>
      </c>
      <c r="B363" t="s">
        <v>214</v>
      </c>
      <c r="E363" t="s">
        <v>2770</v>
      </c>
      <c r="F363" t="s">
        <v>2789</v>
      </c>
      <c r="G363">
        <v>0</v>
      </c>
      <c r="I363" t="s">
        <v>1273</v>
      </c>
      <c r="J363" t="s">
        <v>253</v>
      </c>
      <c r="K363" t="s">
        <v>2822</v>
      </c>
    </row>
    <row r="364" spans="1:11" x14ac:dyDescent="0.25">
      <c r="A364" t="s">
        <v>2115</v>
      </c>
      <c r="B364" t="s">
        <v>214</v>
      </c>
      <c r="E364" t="s">
        <v>2771</v>
      </c>
      <c r="F364" t="s">
        <v>2789</v>
      </c>
      <c r="G364">
        <v>0</v>
      </c>
      <c r="I364" t="s">
        <v>1416</v>
      </c>
      <c r="J364" t="s">
        <v>253</v>
      </c>
      <c r="K364" t="s">
        <v>2822</v>
      </c>
    </row>
    <row r="365" spans="1:11" x14ac:dyDescent="0.25">
      <c r="A365" t="s">
        <v>1835</v>
      </c>
      <c r="B365" t="s">
        <v>214</v>
      </c>
      <c r="E365" t="s">
        <v>2677</v>
      </c>
      <c r="F365" t="s">
        <v>2789</v>
      </c>
      <c r="G365">
        <v>0</v>
      </c>
      <c r="I365" t="s">
        <v>1813</v>
      </c>
      <c r="J365" t="s">
        <v>253</v>
      </c>
      <c r="K365" t="s">
        <v>2822</v>
      </c>
    </row>
    <row r="366" spans="1:11" x14ac:dyDescent="0.25">
      <c r="A366" t="s">
        <v>332</v>
      </c>
      <c r="B366" t="s">
        <v>214</v>
      </c>
      <c r="C366">
        <v>2.91</v>
      </c>
      <c r="E366" t="s">
        <v>2772</v>
      </c>
      <c r="F366" t="s">
        <v>2789</v>
      </c>
      <c r="G366">
        <v>0</v>
      </c>
      <c r="I366" t="s">
        <v>331</v>
      </c>
      <c r="J366" t="s">
        <v>253</v>
      </c>
      <c r="K366" t="s">
        <v>2822</v>
      </c>
    </row>
    <row r="367" spans="1:11" x14ac:dyDescent="0.25">
      <c r="A367" t="s">
        <v>2212</v>
      </c>
      <c r="B367" t="s">
        <v>214</v>
      </c>
      <c r="E367" t="s">
        <v>2678</v>
      </c>
      <c r="F367" t="s">
        <v>2789</v>
      </c>
      <c r="G367">
        <v>0</v>
      </c>
      <c r="I367" t="s">
        <v>1836</v>
      </c>
      <c r="J367" t="s">
        <v>253</v>
      </c>
      <c r="K367" t="s">
        <v>2822</v>
      </c>
    </row>
    <row r="368" spans="1:11" x14ac:dyDescent="0.25">
      <c r="A368" t="s">
        <v>1274</v>
      </c>
      <c r="B368" t="s">
        <v>214</v>
      </c>
      <c r="C368">
        <v>5.45</v>
      </c>
      <c r="E368" t="s">
        <v>2692</v>
      </c>
      <c r="F368" t="s">
        <v>2789</v>
      </c>
      <c r="G368">
        <v>0</v>
      </c>
      <c r="I368" t="s">
        <v>1834</v>
      </c>
      <c r="J368" t="s">
        <v>253</v>
      </c>
      <c r="K368" t="s">
        <v>2822</v>
      </c>
    </row>
    <row r="369" spans="1:11" x14ac:dyDescent="0.25">
      <c r="A369" t="s">
        <v>1774</v>
      </c>
      <c r="B369" t="s">
        <v>214</v>
      </c>
      <c r="E369" t="s">
        <v>2679</v>
      </c>
      <c r="F369" t="s">
        <v>2789</v>
      </c>
      <c r="G369">
        <v>0</v>
      </c>
      <c r="I369" t="s">
        <v>2115</v>
      </c>
      <c r="J369" t="s">
        <v>253</v>
      </c>
      <c r="K369" t="s">
        <v>2822</v>
      </c>
    </row>
    <row r="370" spans="1:11" x14ac:dyDescent="0.25">
      <c r="A370" t="s">
        <v>1788</v>
      </c>
      <c r="B370" t="s">
        <v>214</v>
      </c>
      <c r="E370" t="s">
        <v>2773</v>
      </c>
      <c r="F370" t="s">
        <v>2789</v>
      </c>
      <c r="G370">
        <v>0</v>
      </c>
      <c r="I370" t="s">
        <v>1835</v>
      </c>
      <c r="J370" t="s">
        <v>253</v>
      </c>
      <c r="K370" t="s">
        <v>2822</v>
      </c>
    </row>
    <row r="371" spans="1:11" x14ac:dyDescent="0.25">
      <c r="A371" t="s">
        <v>1275</v>
      </c>
      <c r="B371" t="s">
        <v>214</v>
      </c>
      <c r="C371">
        <v>3.64</v>
      </c>
      <c r="E371" t="s">
        <v>2681</v>
      </c>
      <c r="F371" t="s">
        <v>2789</v>
      </c>
      <c r="G371">
        <v>0</v>
      </c>
      <c r="I371" t="s">
        <v>332</v>
      </c>
      <c r="J371" t="s">
        <v>253</v>
      </c>
      <c r="K371" t="s">
        <v>2822</v>
      </c>
    </row>
    <row r="372" spans="1:11" x14ac:dyDescent="0.25">
      <c r="A372" t="s">
        <v>1776</v>
      </c>
      <c r="B372" t="s">
        <v>214</v>
      </c>
      <c r="E372" t="s">
        <v>2774</v>
      </c>
      <c r="G372">
        <v>0</v>
      </c>
      <c r="I372" t="s">
        <v>2212</v>
      </c>
      <c r="J372" t="s">
        <v>253</v>
      </c>
      <c r="K372" t="s">
        <v>2822</v>
      </c>
    </row>
    <row r="373" spans="1:11" x14ac:dyDescent="0.25">
      <c r="A373" t="s">
        <v>1517</v>
      </c>
      <c r="B373" t="s">
        <v>214</v>
      </c>
      <c r="E373" t="s">
        <v>2775</v>
      </c>
      <c r="F373" t="s">
        <v>2789</v>
      </c>
      <c r="G373">
        <v>0</v>
      </c>
      <c r="I373" t="s">
        <v>1274</v>
      </c>
      <c r="J373" t="s">
        <v>253</v>
      </c>
      <c r="K373" t="s">
        <v>2822</v>
      </c>
    </row>
    <row r="374" spans="1:11" x14ac:dyDescent="0.25">
      <c r="A374" t="s">
        <v>1276</v>
      </c>
      <c r="B374" t="s">
        <v>214</v>
      </c>
      <c r="C374">
        <v>1.0900000000000001</v>
      </c>
      <c r="E374" t="s">
        <v>2776</v>
      </c>
      <c r="F374" t="s">
        <v>2789</v>
      </c>
      <c r="G374">
        <v>0</v>
      </c>
      <c r="I374" t="s">
        <v>1774</v>
      </c>
      <c r="J374" t="s">
        <v>253</v>
      </c>
      <c r="K374" t="s">
        <v>2822</v>
      </c>
    </row>
    <row r="375" spans="1:11" x14ac:dyDescent="0.25">
      <c r="A375" t="s">
        <v>1277</v>
      </c>
      <c r="B375" t="s">
        <v>214</v>
      </c>
      <c r="C375">
        <v>1.0900000000000001</v>
      </c>
      <c r="E375" t="s">
        <v>2693</v>
      </c>
      <c r="F375" t="s">
        <v>2789</v>
      </c>
      <c r="G375">
        <v>0</v>
      </c>
      <c r="I375" t="s">
        <v>1788</v>
      </c>
      <c r="J375" t="s">
        <v>253</v>
      </c>
      <c r="K375" t="s">
        <v>2822</v>
      </c>
    </row>
    <row r="376" spans="1:11" x14ac:dyDescent="0.25">
      <c r="A376" t="s">
        <v>2568</v>
      </c>
      <c r="B376" t="s">
        <v>214</v>
      </c>
      <c r="C376">
        <v>10.91</v>
      </c>
      <c r="E376" t="s">
        <v>2694</v>
      </c>
      <c r="F376" t="s">
        <v>2789</v>
      </c>
      <c r="G376">
        <v>0</v>
      </c>
      <c r="I376" t="s">
        <v>1275</v>
      </c>
      <c r="J376" t="s">
        <v>253</v>
      </c>
      <c r="K376" t="s">
        <v>2822</v>
      </c>
    </row>
    <row r="377" spans="1:11" x14ac:dyDescent="0.25">
      <c r="A377" t="s">
        <v>2136</v>
      </c>
      <c r="B377" t="s">
        <v>214</v>
      </c>
      <c r="E377" t="s">
        <v>2680</v>
      </c>
      <c r="F377" t="s">
        <v>2789</v>
      </c>
      <c r="G377">
        <v>0</v>
      </c>
      <c r="I377" t="s">
        <v>1776</v>
      </c>
      <c r="J377" t="s">
        <v>253</v>
      </c>
      <c r="K377" t="s">
        <v>2822</v>
      </c>
    </row>
    <row r="378" spans="1:11" x14ac:dyDescent="0.25">
      <c r="A378" t="s">
        <v>2146</v>
      </c>
      <c r="B378" t="s">
        <v>214</v>
      </c>
      <c r="E378" t="s">
        <v>2777</v>
      </c>
      <c r="F378" t="s">
        <v>2789</v>
      </c>
      <c r="G378">
        <v>0</v>
      </c>
      <c r="I378" t="s">
        <v>1517</v>
      </c>
      <c r="J378" t="s">
        <v>253</v>
      </c>
      <c r="K378" t="s">
        <v>2822</v>
      </c>
    </row>
    <row r="379" spans="1:11" x14ac:dyDescent="0.25">
      <c r="A379" t="s">
        <v>1278</v>
      </c>
      <c r="B379" t="s">
        <v>214</v>
      </c>
      <c r="C379">
        <v>1.82</v>
      </c>
      <c r="E379" t="s">
        <v>2682</v>
      </c>
      <c r="F379" t="s">
        <v>2789</v>
      </c>
      <c r="G379">
        <v>0</v>
      </c>
      <c r="I379" t="s">
        <v>1276</v>
      </c>
      <c r="J379" t="s">
        <v>253</v>
      </c>
      <c r="K379" t="s">
        <v>2822</v>
      </c>
    </row>
    <row r="380" spans="1:11" x14ac:dyDescent="0.25">
      <c r="A380" t="s">
        <v>1775</v>
      </c>
      <c r="B380" t="s">
        <v>214</v>
      </c>
      <c r="E380" t="s">
        <v>2695</v>
      </c>
      <c r="F380" t="s">
        <v>2789</v>
      </c>
      <c r="G380">
        <v>0</v>
      </c>
      <c r="I380" t="s">
        <v>1277</v>
      </c>
      <c r="J380" t="s">
        <v>253</v>
      </c>
      <c r="K380" t="s">
        <v>2822</v>
      </c>
    </row>
    <row r="381" spans="1:11" x14ac:dyDescent="0.25">
      <c r="A381" t="s">
        <v>1781</v>
      </c>
      <c r="B381" t="s">
        <v>214</v>
      </c>
      <c r="E381" t="s">
        <v>2683</v>
      </c>
      <c r="F381" t="s">
        <v>2789</v>
      </c>
      <c r="G381">
        <v>0</v>
      </c>
      <c r="I381" t="s">
        <v>2568</v>
      </c>
      <c r="J381" t="s">
        <v>253</v>
      </c>
      <c r="K381" t="s">
        <v>2822</v>
      </c>
    </row>
    <row r="382" spans="1:11" x14ac:dyDescent="0.25">
      <c r="A382" t="s">
        <v>1782</v>
      </c>
      <c r="B382" t="s">
        <v>214</v>
      </c>
      <c r="E382" t="s">
        <v>1201</v>
      </c>
      <c r="F382" t="s">
        <v>253</v>
      </c>
      <c r="G382">
        <v>0</v>
      </c>
      <c r="I382" t="s">
        <v>2136</v>
      </c>
      <c r="J382" t="s">
        <v>253</v>
      </c>
      <c r="K382" t="s">
        <v>2822</v>
      </c>
    </row>
    <row r="383" spans="1:11" x14ac:dyDescent="0.25">
      <c r="A383" t="s">
        <v>1279</v>
      </c>
      <c r="B383" t="s">
        <v>214</v>
      </c>
      <c r="C383">
        <v>1.82</v>
      </c>
      <c r="E383" t="s">
        <v>2024</v>
      </c>
      <c r="F383" t="s">
        <v>253</v>
      </c>
      <c r="G383">
        <v>0</v>
      </c>
      <c r="I383" t="s">
        <v>2146</v>
      </c>
      <c r="J383" t="s">
        <v>253</v>
      </c>
      <c r="K383" t="s">
        <v>2822</v>
      </c>
    </row>
    <row r="384" spans="1:11" x14ac:dyDescent="0.25">
      <c r="A384" t="s">
        <v>1518</v>
      </c>
      <c r="B384" t="s">
        <v>214</v>
      </c>
      <c r="E384" t="s">
        <v>75</v>
      </c>
      <c r="F384" t="s">
        <v>253</v>
      </c>
      <c r="G384">
        <v>0</v>
      </c>
      <c r="I384" t="s">
        <v>1278</v>
      </c>
      <c r="J384" t="s">
        <v>253</v>
      </c>
      <c r="K384" t="s">
        <v>2822</v>
      </c>
    </row>
    <row r="385" spans="1:11" x14ac:dyDescent="0.25">
      <c r="A385" t="s">
        <v>1519</v>
      </c>
      <c r="B385" t="s">
        <v>214</v>
      </c>
      <c r="E385" t="s">
        <v>76</v>
      </c>
      <c r="F385" t="s">
        <v>253</v>
      </c>
      <c r="G385">
        <v>0</v>
      </c>
      <c r="I385" t="s">
        <v>1775</v>
      </c>
      <c r="J385" t="s">
        <v>253</v>
      </c>
      <c r="K385" t="s">
        <v>2822</v>
      </c>
    </row>
    <row r="386" spans="1:11" x14ac:dyDescent="0.25">
      <c r="A386" t="s">
        <v>333</v>
      </c>
      <c r="B386" t="s">
        <v>214</v>
      </c>
      <c r="C386">
        <v>9.09</v>
      </c>
      <c r="E386" t="s">
        <v>2026</v>
      </c>
      <c r="F386" t="s">
        <v>253</v>
      </c>
      <c r="G386">
        <v>0</v>
      </c>
      <c r="I386" t="s">
        <v>1781</v>
      </c>
      <c r="J386" t="s">
        <v>253</v>
      </c>
      <c r="K386" t="s">
        <v>2822</v>
      </c>
    </row>
    <row r="387" spans="1:11" x14ac:dyDescent="0.25">
      <c r="A387" t="s">
        <v>334</v>
      </c>
      <c r="B387" t="s">
        <v>214</v>
      </c>
      <c r="C387">
        <v>7.27</v>
      </c>
      <c r="E387" t="s">
        <v>2025</v>
      </c>
      <c r="F387" t="s">
        <v>253</v>
      </c>
      <c r="G387">
        <v>0</v>
      </c>
      <c r="I387" t="s">
        <v>1782</v>
      </c>
      <c r="J387" t="s">
        <v>253</v>
      </c>
      <c r="K387" t="s">
        <v>2822</v>
      </c>
    </row>
    <row r="388" spans="1:11" x14ac:dyDescent="0.25">
      <c r="A388" t="s">
        <v>1545</v>
      </c>
      <c r="B388" t="s">
        <v>214</v>
      </c>
      <c r="E388" t="s">
        <v>2684</v>
      </c>
      <c r="F388" t="s">
        <v>2789</v>
      </c>
      <c r="G388">
        <v>0</v>
      </c>
      <c r="I388" t="s">
        <v>1279</v>
      </c>
      <c r="J388" t="s">
        <v>253</v>
      </c>
      <c r="K388" t="s">
        <v>2822</v>
      </c>
    </row>
    <row r="389" spans="1:11" x14ac:dyDescent="0.25">
      <c r="A389" t="s">
        <v>335</v>
      </c>
      <c r="B389" t="s">
        <v>214</v>
      </c>
      <c r="C389">
        <v>2.91</v>
      </c>
      <c r="E389" t="s">
        <v>2780</v>
      </c>
      <c r="F389" t="s">
        <v>2789</v>
      </c>
      <c r="G389">
        <v>0</v>
      </c>
      <c r="I389" t="s">
        <v>1518</v>
      </c>
      <c r="J389" t="s">
        <v>253</v>
      </c>
      <c r="K389" t="s">
        <v>2822</v>
      </c>
    </row>
    <row r="390" spans="1:11" x14ac:dyDescent="0.25">
      <c r="A390" t="s">
        <v>1692</v>
      </c>
      <c r="B390" t="s">
        <v>214</v>
      </c>
      <c r="E390" t="s">
        <v>77</v>
      </c>
      <c r="F390" t="s">
        <v>253</v>
      </c>
      <c r="G390">
        <v>0</v>
      </c>
      <c r="I390" t="s">
        <v>1519</v>
      </c>
      <c r="J390" t="s">
        <v>253</v>
      </c>
      <c r="K390" t="s">
        <v>2822</v>
      </c>
    </row>
    <row r="391" spans="1:11" x14ac:dyDescent="0.25">
      <c r="A391" t="s">
        <v>1830</v>
      </c>
      <c r="B391" t="s">
        <v>214</v>
      </c>
      <c r="E391" t="s">
        <v>78</v>
      </c>
      <c r="F391" t="s">
        <v>253</v>
      </c>
      <c r="G391">
        <v>0</v>
      </c>
      <c r="I391" t="s">
        <v>333</v>
      </c>
      <c r="J391" t="s">
        <v>253</v>
      </c>
      <c r="K391" t="s">
        <v>2822</v>
      </c>
    </row>
    <row r="392" spans="1:11" x14ac:dyDescent="0.25">
      <c r="A392" t="s">
        <v>1732</v>
      </c>
      <c r="B392" t="s">
        <v>214</v>
      </c>
      <c r="E392" t="s">
        <v>79</v>
      </c>
      <c r="F392" t="s">
        <v>253</v>
      </c>
      <c r="G392">
        <v>0</v>
      </c>
      <c r="I392" t="s">
        <v>334</v>
      </c>
      <c r="J392" t="s">
        <v>253</v>
      </c>
      <c r="K392" t="s">
        <v>2822</v>
      </c>
    </row>
    <row r="393" spans="1:11" x14ac:dyDescent="0.25">
      <c r="A393" t="s">
        <v>1280</v>
      </c>
      <c r="B393" t="s">
        <v>214</v>
      </c>
      <c r="C393">
        <v>3.64</v>
      </c>
      <c r="E393" t="s">
        <v>2781</v>
      </c>
      <c r="F393" t="s">
        <v>2789</v>
      </c>
      <c r="G393">
        <v>0</v>
      </c>
      <c r="I393" t="s">
        <v>1545</v>
      </c>
      <c r="J393" t="s">
        <v>253</v>
      </c>
      <c r="K393" t="s">
        <v>2822</v>
      </c>
    </row>
    <row r="394" spans="1:11" x14ac:dyDescent="0.25">
      <c r="A394" t="s">
        <v>2451</v>
      </c>
      <c r="B394" t="s">
        <v>214</v>
      </c>
      <c r="E394" t="s">
        <v>2782</v>
      </c>
      <c r="F394" t="s">
        <v>2789</v>
      </c>
      <c r="G394">
        <v>0</v>
      </c>
      <c r="I394" t="s">
        <v>335</v>
      </c>
      <c r="J394" t="s">
        <v>253</v>
      </c>
      <c r="K394" t="s">
        <v>2822</v>
      </c>
    </row>
    <row r="395" spans="1:11" x14ac:dyDescent="0.25">
      <c r="A395" t="s">
        <v>2569</v>
      </c>
      <c r="B395" t="s">
        <v>214</v>
      </c>
      <c r="C395">
        <v>5.09</v>
      </c>
      <c r="E395" t="s">
        <v>2783</v>
      </c>
      <c r="F395" t="s">
        <v>2789</v>
      </c>
      <c r="G395">
        <v>0</v>
      </c>
      <c r="I395" t="s">
        <v>2632</v>
      </c>
      <c r="J395" t="s">
        <v>253</v>
      </c>
      <c r="K395" t="s">
        <v>2822</v>
      </c>
    </row>
    <row r="396" spans="1:11" x14ac:dyDescent="0.25">
      <c r="A396" t="s">
        <v>2064</v>
      </c>
      <c r="B396" t="s">
        <v>214</v>
      </c>
      <c r="E396" t="s">
        <v>2784</v>
      </c>
      <c r="F396" t="s">
        <v>2789</v>
      </c>
      <c r="G396">
        <v>0</v>
      </c>
      <c r="I396" t="s">
        <v>1692</v>
      </c>
      <c r="J396" t="s">
        <v>253</v>
      </c>
      <c r="K396" t="s">
        <v>2822</v>
      </c>
    </row>
    <row r="397" spans="1:11" x14ac:dyDescent="0.25">
      <c r="A397" t="s">
        <v>2173</v>
      </c>
      <c r="B397" t="s">
        <v>214</v>
      </c>
      <c r="E397" t="s">
        <v>2685</v>
      </c>
      <c r="F397" t="s">
        <v>2789</v>
      </c>
      <c r="G397">
        <v>0</v>
      </c>
      <c r="I397" t="s">
        <v>2635</v>
      </c>
      <c r="J397" t="s">
        <v>253</v>
      </c>
      <c r="K397" t="s">
        <v>2822</v>
      </c>
    </row>
    <row r="398" spans="1:11" x14ac:dyDescent="0.25">
      <c r="A398" t="s">
        <v>2117</v>
      </c>
      <c r="B398" t="s">
        <v>214</v>
      </c>
      <c r="E398" t="s">
        <v>2686</v>
      </c>
      <c r="F398" t="s">
        <v>2789</v>
      </c>
      <c r="G398">
        <v>0</v>
      </c>
      <c r="I398" t="s">
        <v>1830</v>
      </c>
      <c r="J398" t="s">
        <v>253</v>
      </c>
      <c r="K398" t="s">
        <v>2822</v>
      </c>
    </row>
    <row r="399" spans="1:11" x14ac:dyDescent="0.25">
      <c r="A399" t="s">
        <v>2118</v>
      </c>
      <c r="B399" t="s">
        <v>214</v>
      </c>
      <c r="E399" t="s">
        <v>2687</v>
      </c>
      <c r="F399" t="s">
        <v>2789</v>
      </c>
      <c r="G399">
        <v>0</v>
      </c>
      <c r="I399" t="s">
        <v>1732</v>
      </c>
      <c r="J399" t="s">
        <v>253</v>
      </c>
      <c r="K399" t="s">
        <v>2822</v>
      </c>
    </row>
    <row r="400" spans="1:11" x14ac:dyDescent="0.25">
      <c r="A400" t="s">
        <v>1432</v>
      </c>
      <c r="B400" t="s">
        <v>214</v>
      </c>
      <c r="C400">
        <v>7.27</v>
      </c>
      <c r="E400" t="s">
        <v>2688</v>
      </c>
      <c r="F400" t="s">
        <v>2789</v>
      </c>
      <c r="G400">
        <v>0</v>
      </c>
      <c r="I400" t="s">
        <v>1280</v>
      </c>
      <c r="J400" t="s">
        <v>253</v>
      </c>
      <c r="K400" t="s">
        <v>2822</v>
      </c>
    </row>
    <row r="401" spans="1:11" x14ac:dyDescent="0.25">
      <c r="A401" t="s">
        <v>1690</v>
      </c>
      <c r="B401" t="s">
        <v>214</v>
      </c>
      <c r="C401">
        <v>0.36</v>
      </c>
      <c r="E401" t="s">
        <v>2011</v>
      </c>
      <c r="F401" t="s">
        <v>253</v>
      </c>
      <c r="G401">
        <v>0</v>
      </c>
      <c r="I401" t="s">
        <v>2451</v>
      </c>
      <c r="J401" t="s">
        <v>253</v>
      </c>
      <c r="K401" t="s">
        <v>2822</v>
      </c>
    </row>
    <row r="402" spans="1:11" x14ac:dyDescent="0.25">
      <c r="A402" t="s">
        <v>2313</v>
      </c>
      <c r="B402" t="s">
        <v>214</v>
      </c>
      <c r="E402" t="s">
        <v>2018</v>
      </c>
      <c r="F402" t="s">
        <v>253</v>
      </c>
      <c r="G402">
        <v>0</v>
      </c>
      <c r="I402" t="s">
        <v>2569</v>
      </c>
      <c r="J402" t="s">
        <v>253</v>
      </c>
      <c r="K402" t="s">
        <v>2822</v>
      </c>
    </row>
    <row r="403" spans="1:11" x14ac:dyDescent="0.25">
      <c r="A403" t="s">
        <v>2570</v>
      </c>
      <c r="B403" t="s">
        <v>214</v>
      </c>
      <c r="C403">
        <v>18.18</v>
      </c>
      <c r="E403" t="s">
        <v>2019</v>
      </c>
      <c r="F403" t="s">
        <v>253</v>
      </c>
      <c r="G403">
        <v>0</v>
      </c>
      <c r="I403" t="s">
        <v>2064</v>
      </c>
      <c r="J403" t="s">
        <v>253</v>
      </c>
      <c r="K403" t="s">
        <v>2822</v>
      </c>
    </row>
    <row r="404" spans="1:11" x14ac:dyDescent="0.25">
      <c r="A404" t="s">
        <v>1880</v>
      </c>
      <c r="B404" t="s">
        <v>214</v>
      </c>
      <c r="E404" t="s">
        <v>1998</v>
      </c>
      <c r="F404" t="s">
        <v>253</v>
      </c>
      <c r="G404">
        <v>0</v>
      </c>
      <c r="I404" t="s">
        <v>2173</v>
      </c>
      <c r="J404" t="s">
        <v>253</v>
      </c>
      <c r="K404" t="s">
        <v>2822</v>
      </c>
    </row>
    <row r="405" spans="1:11" x14ac:dyDescent="0.25">
      <c r="A405" t="s">
        <v>2065</v>
      </c>
      <c r="B405" t="s">
        <v>214</v>
      </c>
      <c r="E405" t="s">
        <v>1996</v>
      </c>
      <c r="F405" t="s">
        <v>253</v>
      </c>
      <c r="G405">
        <v>0</v>
      </c>
      <c r="I405" t="s">
        <v>2117</v>
      </c>
      <c r="J405" t="s">
        <v>253</v>
      </c>
      <c r="K405" t="s">
        <v>2822</v>
      </c>
    </row>
    <row r="406" spans="1:11" x14ac:dyDescent="0.25">
      <c r="A406" t="s">
        <v>2139</v>
      </c>
      <c r="B406" t="s">
        <v>214</v>
      </c>
      <c r="E406" t="s">
        <v>2020</v>
      </c>
      <c r="F406" t="s">
        <v>253</v>
      </c>
      <c r="G406">
        <v>0</v>
      </c>
      <c r="I406" t="s">
        <v>2118</v>
      </c>
      <c r="J406" t="s">
        <v>253</v>
      </c>
      <c r="K406" t="s">
        <v>2822</v>
      </c>
    </row>
    <row r="407" spans="1:11" x14ac:dyDescent="0.25">
      <c r="A407" t="s">
        <v>2168</v>
      </c>
      <c r="B407" t="s">
        <v>214</v>
      </c>
      <c r="E407" t="s">
        <v>2012</v>
      </c>
      <c r="F407" t="s">
        <v>253</v>
      </c>
      <c r="G407">
        <v>0</v>
      </c>
      <c r="I407" t="s">
        <v>1432</v>
      </c>
      <c r="J407" t="s">
        <v>253</v>
      </c>
      <c r="K407" t="s">
        <v>2822</v>
      </c>
    </row>
    <row r="408" spans="1:11" x14ac:dyDescent="0.25">
      <c r="A408" t="s">
        <v>1285</v>
      </c>
      <c r="B408" t="s">
        <v>214</v>
      </c>
      <c r="C408">
        <v>2.91</v>
      </c>
      <c r="E408" t="s">
        <v>2013</v>
      </c>
      <c r="F408" t="s">
        <v>253</v>
      </c>
      <c r="G408">
        <v>0</v>
      </c>
      <c r="I408" t="s">
        <v>1690</v>
      </c>
      <c r="J408" t="s">
        <v>253</v>
      </c>
      <c r="K408" t="s">
        <v>2822</v>
      </c>
    </row>
    <row r="409" spans="1:11" x14ac:dyDescent="0.25">
      <c r="A409" t="s">
        <v>2571</v>
      </c>
      <c r="B409" t="s">
        <v>214</v>
      </c>
      <c r="E409" t="s">
        <v>2023</v>
      </c>
      <c r="F409" t="s">
        <v>253</v>
      </c>
      <c r="G409">
        <v>0</v>
      </c>
      <c r="I409" t="s">
        <v>2313</v>
      </c>
      <c r="J409" t="s">
        <v>253</v>
      </c>
      <c r="K409" t="s">
        <v>2822</v>
      </c>
    </row>
    <row r="410" spans="1:11" x14ac:dyDescent="0.25">
      <c r="A410" t="s">
        <v>2066</v>
      </c>
      <c r="B410" t="s">
        <v>214</v>
      </c>
      <c r="E410" t="s">
        <v>2741</v>
      </c>
      <c r="G410">
        <v>0</v>
      </c>
      <c r="I410" t="s">
        <v>2570</v>
      </c>
      <c r="J410" t="s">
        <v>253</v>
      </c>
      <c r="K410" t="s">
        <v>2822</v>
      </c>
    </row>
    <row r="411" spans="1:11" x14ac:dyDescent="0.25">
      <c r="A411" t="s">
        <v>1286</v>
      </c>
      <c r="B411" t="s">
        <v>214</v>
      </c>
      <c r="C411">
        <v>1.0900000000000001</v>
      </c>
      <c r="E411" t="s">
        <v>1997</v>
      </c>
      <c r="F411" t="s">
        <v>253</v>
      </c>
      <c r="G411">
        <v>0</v>
      </c>
      <c r="I411" t="s">
        <v>1880</v>
      </c>
      <c r="J411" t="s">
        <v>253</v>
      </c>
      <c r="K411" t="s">
        <v>2822</v>
      </c>
    </row>
    <row r="412" spans="1:11" x14ac:dyDescent="0.25">
      <c r="A412" t="s">
        <v>1768</v>
      </c>
      <c r="B412" t="s">
        <v>214</v>
      </c>
      <c r="E412" t="s">
        <v>2021</v>
      </c>
      <c r="F412" t="s">
        <v>253</v>
      </c>
      <c r="G412">
        <v>0</v>
      </c>
      <c r="I412" t="s">
        <v>2065</v>
      </c>
      <c r="J412" t="s">
        <v>253</v>
      </c>
      <c r="K412" t="s">
        <v>2822</v>
      </c>
    </row>
    <row r="413" spans="1:11" x14ac:dyDescent="0.25">
      <c r="A413" t="s">
        <v>1287</v>
      </c>
      <c r="B413" t="s">
        <v>214</v>
      </c>
      <c r="C413">
        <v>1.82</v>
      </c>
      <c r="E413" t="s">
        <v>2022</v>
      </c>
      <c r="F413" t="s">
        <v>253</v>
      </c>
      <c r="G413">
        <v>0</v>
      </c>
      <c r="I413" t="s">
        <v>2139</v>
      </c>
      <c r="J413" t="s">
        <v>253</v>
      </c>
      <c r="K413" t="s">
        <v>2822</v>
      </c>
    </row>
    <row r="414" spans="1:11" x14ac:dyDescent="0.25">
      <c r="A414" t="s">
        <v>2106</v>
      </c>
      <c r="B414" t="s">
        <v>214</v>
      </c>
      <c r="E414" t="s">
        <v>2040</v>
      </c>
      <c r="F414" t="s">
        <v>253</v>
      </c>
      <c r="G414">
        <v>0</v>
      </c>
      <c r="I414" t="s">
        <v>2168</v>
      </c>
      <c r="J414" t="s">
        <v>253</v>
      </c>
      <c r="K414" t="s">
        <v>2822</v>
      </c>
    </row>
    <row r="415" spans="1:11" x14ac:dyDescent="0.25">
      <c r="A415" t="s">
        <v>2103</v>
      </c>
      <c r="B415" t="s">
        <v>214</v>
      </c>
      <c r="E415" t="s">
        <v>2629</v>
      </c>
      <c r="F415" t="s">
        <v>253</v>
      </c>
      <c r="G415">
        <v>0</v>
      </c>
      <c r="I415" t="s">
        <v>1285</v>
      </c>
      <c r="J415" t="s">
        <v>253</v>
      </c>
      <c r="K415" t="s">
        <v>2822</v>
      </c>
    </row>
    <row r="416" spans="1:11" x14ac:dyDescent="0.25">
      <c r="A416" t="s">
        <v>1288</v>
      </c>
      <c r="B416" t="s">
        <v>214</v>
      </c>
      <c r="C416">
        <v>2.91</v>
      </c>
      <c r="E416" t="s">
        <v>2041</v>
      </c>
      <c r="F416" t="s">
        <v>253</v>
      </c>
      <c r="G416">
        <v>0</v>
      </c>
      <c r="I416" t="s">
        <v>2571</v>
      </c>
      <c r="J416" t="s">
        <v>253</v>
      </c>
      <c r="K416" t="s">
        <v>2822</v>
      </c>
    </row>
    <row r="417" spans="1:11" x14ac:dyDescent="0.25">
      <c r="A417" t="s">
        <v>1721</v>
      </c>
      <c r="B417" t="s">
        <v>214</v>
      </c>
      <c r="E417" t="s">
        <v>2730</v>
      </c>
      <c r="G417">
        <v>0</v>
      </c>
      <c r="I417" t="s">
        <v>2066</v>
      </c>
      <c r="J417" t="s">
        <v>253</v>
      </c>
      <c r="K417" t="s">
        <v>2822</v>
      </c>
    </row>
    <row r="418" spans="1:11" x14ac:dyDescent="0.25">
      <c r="A418" t="s">
        <v>1289</v>
      </c>
      <c r="B418" t="s">
        <v>214</v>
      </c>
      <c r="C418">
        <v>3.64</v>
      </c>
      <c r="E418" t="s">
        <v>2728</v>
      </c>
      <c r="G418">
        <v>0</v>
      </c>
      <c r="I418" t="s">
        <v>1286</v>
      </c>
      <c r="J418" t="s">
        <v>253</v>
      </c>
      <c r="K418" t="s">
        <v>2822</v>
      </c>
    </row>
    <row r="419" spans="1:11" x14ac:dyDescent="0.25">
      <c r="A419" t="s">
        <v>1290</v>
      </c>
      <c r="B419" t="s">
        <v>214</v>
      </c>
      <c r="C419">
        <v>2.91</v>
      </c>
      <c r="E419" t="s">
        <v>2621</v>
      </c>
      <c r="F419" t="s">
        <v>253</v>
      </c>
      <c r="G419">
        <v>0</v>
      </c>
      <c r="I419" t="s">
        <v>1768</v>
      </c>
      <c r="J419" t="s">
        <v>253</v>
      </c>
      <c r="K419" t="s">
        <v>2822</v>
      </c>
    </row>
    <row r="420" spans="1:11" x14ac:dyDescent="0.25">
      <c r="A420" t="s">
        <v>1291</v>
      </c>
      <c r="B420" t="s">
        <v>214</v>
      </c>
      <c r="C420">
        <v>1.82</v>
      </c>
      <c r="E420" t="s">
        <v>2729</v>
      </c>
      <c r="G420">
        <v>0</v>
      </c>
      <c r="I420" t="s">
        <v>1287</v>
      </c>
      <c r="J420" t="s">
        <v>253</v>
      </c>
      <c r="K420" t="s">
        <v>2822</v>
      </c>
    </row>
    <row r="421" spans="1:11" x14ac:dyDescent="0.25">
      <c r="A421" t="s">
        <v>2163</v>
      </c>
      <c r="B421" t="s">
        <v>214</v>
      </c>
      <c r="E421" t="s">
        <v>2628</v>
      </c>
      <c r="F421" t="s">
        <v>253</v>
      </c>
      <c r="G421">
        <v>0</v>
      </c>
      <c r="I421" t="s">
        <v>2106</v>
      </c>
      <c r="J421" t="s">
        <v>253</v>
      </c>
      <c r="K421" t="s">
        <v>2822</v>
      </c>
    </row>
    <row r="422" spans="1:11" x14ac:dyDescent="0.25">
      <c r="A422" t="s">
        <v>2572</v>
      </c>
      <c r="B422" t="s">
        <v>214</v>
      </c>
      <c r="E422" t="s">
        <v>2624</v>
      </c>
      <c r="F422" t="s">
        <v>253</v>
      </c>
      <c r="G422">
        <v>0</v>
      </c>
      <c r="I422" t="s">
        <v>2103</v>
      </c>
      <c r="J422" t="s">
        <v>253</v>
      </c>
      <c r="K422" t="s">
        <v>2822</v>
      </c>
    </row>
    <row r="423" spans="1:11" x14ac:dyDescent="0.25">
      <c r="A423" t="s">
        <v>1689</v>
      </c>
      <c r="B423" t="s">
        <v>214</v>
      </c>
      <c r="C423">
        <v>18.18</v>
      </c>
      <c r="E423" t="s">
        <v>2622</v>
      </c>
      <c r="F423" t="s">
        <v>253</v>
      </c>
      <c r="G423">
        <v>0</v>
      </c>
      <c r="I423" t="s">
        <v>1288</v>
      </c>
      <c r="J423" t="s">
        <v>253</v>
      </c>
      <c r="K423" t="s">
        <v>2822</v>
      </c>
    </row>
    <row r="424" spans="1:11" x14ac:dyDescent="0.25">
      <c r="A424" t="s">
        <v>2516</v>
      </c>
      <c r="B424" t="s">
        <v>214</v>
      </c>
      <c r="E424" t="s">
        <v>2626</v>
      </c>
      <c r="F424" t="s">
        <v>253</v>
      </c>
      <c r="G424">
        <v>0</v>
      </c>
      <c r="I424" t="s">
        <v>1721</v>
      </c>
      <c r="J424" t="s">
        <v>253</v>
      </c>
      <c r="K424" t="s">
        <v>2822</v>
      </c>
    </row>
    <row r="425" spans="1:11" x14ac:dyDescent="0.25">
      <c r="A425" t="s">
        <v>2449</v>
      </c>
      <c r="B425" t="s">
        <v>214</v>
      </c>
      <c r="E425" t="s">
        <v>2625</v>
      </c>
      <c r="F425" t="s">
        <v>253</v>
      </c>
      <c r="G425">
        <v>0</v>
      </c>
      <c r="I425" t="s">
        <v>1289</v>
      </c>
      <c r="J425" t="s">
        <v>253</v>
      </c>
      <c r="K425" t="s">
        <v>2822</v>
      </c>
    </row>
    <row r="426" spans="1:11" x14ac:dyDescent="0.25">
      <c r="A426" t="s">
        <v>2462</v>
      </c>
      <c r="B426" t="s">
        <v>214</v>
      </c>
      <c r="E426" t="s">
        <v>2623</v>
      </c>
      <c r="F426" t="s">
        <v>253</v>
      </c>
      <c r="G426">
        <v>0</v>
      </c>
      <c r="I426" t="s">
        <v>1290</v>
      </c>
      <c r="J426" t="s">
        <v>253</v>
      </c>
      <c r="K426" t="s">
        <v>2822</v>
      </c>
    </row>
    <row r="427" spans="1:11" x14ac:dyDescent="0.25">
      <c r="A427" t="s">
        <v>2409</v>
      </c>
      <c r="B427" t="s">
        <v>214</v>
      </c>
      <c r="E427" t="s">
        <v>2778</v>
      </c>
      <c r="F427" t="s">
        <v>253</v>
      </c>
      <c r="G427">
        <v>0</v>
      </c>
      <c r="I427" t="s">
        <v>1291</v>
      </c>
      <c r="J427" t="s">
        <v>253</v>
      </c>
      <c r="K427" t="s">
        <v>2822</v>
      </c>
    </row>
    <row r="428" spans="1:11" x14ac:dyDescent="0.25">
      <c r="A428" t="s">
        <v>2411</v>
      </c>
      <c r="B428" t="s">
        <v>214</v>
      </c>
      <c r="E428" t="s">
        <v>2779</v>
      </c>
      <c r="F428" t="s">
        <v>253</v>
      </c>
      <c r="G428">
        <v>0</v>
      </c>
      <c r="I428" t="s">
        <v>2163</v>
      </c>
      <c r="J428" t="s">
        <v>253</v>
      </c>
      <c r="K428" t="s">
        <v>2822</v>
      </c>
    </row>
    <row r="429" spans="1:11" x14ac:dyDescent="0.25">
      <c r="A429" t="s">
        <v>2512</v>
      </c>
      <c r="B429" t="s">
        <v>214</v>
      </c>
      <c r="E429" t="s">
        <v>2620</v>
      </c>
      <c r="F429" t="s">
        <v>253</v>
      </c>
      <c r="G429">
        <v>0</v>
      </c>
      <c r="I429" t="s">
        <v>2572</v>
      </c>
      <c r="J429" t="s">
        <v>253</v>
      </c>
      <c r="K429" t="s">
        <v>2822</v>
      </c>
    </row>
    <row r="430" spans="1:11" x14ac:dyDescent="0.25">
      <c r="A430" t="s">
        <v>2068</v>
      </c>
      <c r="B430" t="s">
        <v>214</v>
      </c>
      <c r="E430" t="s">
        <v>2627</v>
      </c>
      <c r="F430" t="s">
        <v>253</v>
      </c>
      <c r="G430">
        <v>0</v>
      </c>
      <c r="I430" t="s">
        <v>1689</v>
      </c>
      <c r="J430" t="s">
        <v>253</v>
      </c>
      <c r="K430" t="s">
        <v>2822</v>
      </c>
    </row>
    <row r="431" spans="1:11" x14ac:dyDescent="0.25">
      <c r="A431" t="s">
        <v>1862</v>
      </c>
      <c r="B431" t="s">
        <v>214</v>
      </c>
      <c r="E431" t="s">
        <v>2742</v>
      </c>
      <c r="F431" t="s">
        <v>253</v>
      </c>
      <c r="G431">
        <v>0</v>
      </c>
      <c r="I431" t="s">
        <v>2516</v>
      </c>
      <c r="J431" t="s">
        <v>253</v>
      </c>
      <c r="K431" t="s">
        <v>2822</v>
      </c>
    </row>
    <row r="432" spans="1:11" x14ac:dyDescent="0.25">
      <c r="A432" t="s">
        <v>1863</v>
      </c>
      <c r="B432" t="s">
        <v>214</v>
      </c>
      <c r="E432" t="s">
        <v>2637</v>
      </c>
      <c r="F432" t="s">
        <v>253</v>
      </c>
      <c r="G432">
        <v>0</v>
      </c>
      <c r="I432" t="s">
        <v>2449</v>
      </c>
      <c r="J432" t="s">
        <v>253</v>
      </c>
      <c r="K432" t="s">
        <v>2822</v>
      </c>
    </row>
    <row r="433" spans="1:11" x14ac:dyDescent="0.25">
      <c r="A433" t="s">
        <v>1864</v>
      </c>
      <c r="B433" t="s">
        <v>214</v>
      </c>
      <c r="E433" t="s">
        <v>2638</v>
      </c>
      <c r="F433" t="s">
        <v>253</v>
      </c>
      <c r="G433">
        <v>0</v>
      </c>
      <c r="I433" t="s">
        <v>2462</v>
      </c>
      <c r="J433" t="s">
        <v>253</v>
      </c>
      <c r="K433" t="s">
        <v>2822</v>
      </c>
    </row>
    <row r="434" spans="1:11" x14ac:dyDescent="0.25">
      <c r="A434" t="s">
        <v>1515</v>
      </c>
      <c r="B434" t="s">
        <v>214</v>
      </c>
      <c r="E434" t="s">
        <v>2639</v>
      </c>
      <c r="F434" t="s">
        <v>253</v>
      </c>
      <c r="G434">
        <v>0</v>
      </c>
      <c r="I434" t="s">
        <v>2409</v>
      </c>
      <c r="J434" t="s">
        <v>253</v>
      </c>
      <c r="K434" t="s">
        <v>2822</v>
      </c>
    </row>
    <row r="435" spans="1:11" x14ac:dyDescent="0.25">
      <c r="A435" t="s">
        <v>2067</v>
      </c>
      <c r="B435" t="s">
        <v>214</v>
      </c>
      <c r="E435" t="s">
        <v>2640</v>
      </c>
      <c r="F435" t="s">
        <v>253</v>
      </c>
      <c r="G435">
        <v>0</v>
      </c>
      <c r="I435" t="s">
        <v>2411</v>
      </c>
      <c r="J435" t="s">
        <v>253</v>
      </c>
      <c r="K435" t="s">
        <v>2822</v>
      </c>
    </row>
    <row r="436" spans="1:11" x14ac:dyDescent="0.25">
      <c r="A436" t="s">
        <v>1861</v>
      </c>
      <c r="B436" t="s">
        <v>214</v>
      </c>
      <c r="E436" t="s">
        <v>2641</v>
      </c>
      <c r="F436" t="s">
        <v>253</v>
      </c>
      <c r="G436">
        <v>0</v>
      </c>
      <c r="I436" t="s">
        <v>2512</v>
      </c>
      <c r="J436" t="s">
        <v>253</v>
      </c>
      <c r="K436" t="s">
        <v>2822</v>
      </c>
    </row>
    <row r="437" spans="1:11" x14ac:dyDescent="0.25">
      <c r="A437" t="s">
        <v>1292</v>
      </c>
      <c r="B437" t="s">
        <v>214</v>
      </c>
      <c r="C437">
        <v>2.91</v>
      </c>
      <c r="E437" t="s">
        <v>2697</v>
      </c>
      <c r="F437" t="s">
        <v>253</v>
      </c>
      <c r="G437">
        <v>0</v>
      </c>
      <c r="I437" t="s">
        <v>2068</v>
      </c>
      <c r="J437" t="s">
        <v>253</v>
      </c>
      <c r="K437" t="s">
        <v>2822</v>
      </c>
    </row>
    <row r="438" spans="1:11" x14ac:dyDescent="0.25">
      <c r="A438" t="s">
        <v>1878</v>
      </c>
      <c r="B438" t="s">
        <v>214</v>
      </c>
      <c r="E438" t="s">
        <v>2785</v>
      </c>
      <c r="F438" t="s">
        <v>253</v>
      </c>
      <c r="G438">
        <v>0</v>
      </c>
      <c r="I438" t="s">
        <v>1862</v>
      </c>
      <c r="J438" t="s">
        <v>253</v>
      </c>
      <c r="K438" t="s">
        <v>2822</v>
      </c>
    </row>
    <row r="439" spans="1:11" x14ac:dyDescent="0.25">
      <c r="A439" t="s">
        <v>1879</v>
      </c>
      <c r="B439" t="s">
        <v>214</v>
      </c>
      <c r="E439" t="s">
        <v>2786</v>
      </c>
      <c r="F439" t="s">
        <v>253</v>
      </c>
      <c r="G439">
        <v>0</v>
      </c>
      <c r="I439" t="s">
        <v>1863</v>
      </c>
      <c r="J439" t="s">
        <v>253</v>
      </c>
      <c r="K439" t="s">
        <v>2822</v>
      </c>
    </row>
    <row r="440" spans="1:11" x14ac:dyDescent="0.25">
      <c r="A440" t="s">
        <v>1877</v>
      </c>
      <c r="B440" t="s">
        <v>214</v>
      </c>
      <c r="E440" t="s">
        <v>2787</v>
      </c>
      <c r="F440" t="s">
        <v>253</v>
      </c>
      <c r="G440">
        <v>0</v>
      </c>
      <c r="I440" t="s">
        <v>1864</v>
      </c>
      <c r="J440" t="s">
        <v>253</v>
      </c>
      <c r="K440" t="s">
        <v>2822</v>
      </c>
    </row>
    <row r="441" spans="1:11" x14ac:dyDescent="0.25">
      <c r="A441" t="s">
        <v>1671</v>
      </c>
      <c r="B441" t="s">
        <v>214</v>
      </c>
      <c r="E441" t="s">
        <v>2733</v>
      </c>
      <c r="F441" t="s">
        <v>253</v>
      </c>
      <c r="G441">
        <v>0</v>
      </c>
      <c r="I441" t="s">
        <v>1515</v>
      </c>
      <c r="J441" t="s">
        <v>253</v>
      </c>
      <c r="K441" t="s">
        <v>2822</v>
      </c>
    </row>
    <row r="442" spans="1:11" x14ac:dyDescent="0.25">
      <c r="A442" t="s">
        <v>2143</v>
      </c>
      <c r="B442" t="s">
        <v>214</v>
      </c>
      <c r="E442" t="s">
        <v>2734</v>
      </c>
      <c r="F442" t="s">
        <v>253</v>
      </c>
      <c r="G442">
        <v>0</v>
      </c>
      <c r="I442" t="s">
        <v>2067</v>
      </c>
      <c r="J442" t="s">
        <v>253</v>
      </c>
      <c r="K442" t="s">
        <v>2822</v>
      </c>
    </row>
    <row r="443" spans="1:11" x14ac:dyDescent="0.25">
      <c r="A443" t="s">
        <v>1756</v>
      </c>
      <c r="B443" t="s">
        <v>214</v>
      </c>
      <c r="E443" t="s">
        <v>2735</v>
      </c>
      <c r="F443" t="s">
        <v>253</v>
      </c>
      <c r="G443">
        <v>0</v>
      </c>
      <c r="I443" t="s">
        <v>1861</v>
      </c>
      <c r="J443" t="s">
        <v>253</v>
      </c>
      <c r="K443" t="s">
        <v>2822</v>
      </c>
    </row>
    <row r="444" spans="1:11" x14ac:dyDescent="0.25">
      <c r="A444" t="s">
        <v>1828</v>
      </c>
      <c r="B444" t="s">
        <v>214</v>
      </c>
      <c r="E444" t="s">
        <v>2788</v>
      </c>
      <c r="F444" t="s">
        <v>2642</v>
      </c>
      <c r="G444">
        <v>0</v>
      </c>
      <c r="I444" t="s">
        <v>1292</v>
      </c>
      <c r="J444" t="s">
        <v>253</v>
      </c>
      <c r="K444" t="s">
        <v>2822</v>
      </c>
    </row>
    <row r="445" spans="1:11" x14ac:dyDescent="0.25">
      <c r="A445" t="s">
        <v>1842</v>
      </c>
      <c r="B445" t="s">
        <v>214</v>
      </c>
      <c r="E445" t="s">
        <v>171</v>
      </c>
      <c r="F445" t="s">
        <v>214</v>
      </c>
      <c r="G445">
        <v>0</v>
      </c>
      <c r="I445" t="s">
        <v>1878</v>
      </c>
      <c r="J445" t="s">
        <v>253</v>
      </c>
      <c r="K445" t="s">
        <v>2822</v>
      </c>
    </row>
    <row r="446" spans="1:11" x14ac:dyDescent="0.25">
      <c r="A446" t="s">
        <v>2174</v>
      </c>
      <c r="B446" t="s">
        <v>214</v>
      </c>
      <c r="I446" t="s">
        <v>1879</v>
      </c>
      <c r="J446" t="s">
        <v>253</v>
      </c>
      <c r="K446" t="s">
        <v>2822</v>
      </c>
    </row>
    <row r="447" spans="1:11" x14ac:dyDescent="0.25">
      <c r="A447" t="s">
        <v>1844</v>
      </c>
      <c r="B447" t="s">
        <v>214</v>
      </c>
      <c r="I447" t="s">
        <v>1877</v>
      </c>
      <c r="J447" t="s">
        <v>253</v>
      </c>
      <c r="K447" t="s">
        <v>2822</v>
      </c>
    </row>
    <row r="448" spans="1:11" x14ac:dyDescent="0.25">
      <c r="A448" t="s">
        <v>2175</v>
      </c>
      <c r="B448" t="s">
        <v>214</v>
      </c>
      <c r="I448" t="s">
        <v>1671</v>
      </c>
      <c r="J448" t="s">
        <v>253</v>
      </c>
      <c r="K448" t="s">
        <v>2822</v>
      </c>
    </row>
    <row r="449" spans="1:11" x14ac:dyDescent="0.25">
      <c r="A449" t="s">
        <v>1596</v>
      </c>
      <c r="B449" t="s">
        <v>214</v>
      </c>
      <c r="I449" t="s">
        <v>2143</v>
      </c>
      <c r="J449" t="s">
        <v>253</v>
      </c>
      <c r="K449" t="s">
        <v>2822</v>
      </c>
    </row>
    <row r="450" spans="1:11" x14ac:dyDescent="0.25">
      <c r="A450" t="s">
        <v>2148</v>
      </c>
      <c r="B450" t="s">
        <v>214</v>
      </c>
      <c r="I450" t="s">
        <v>1756</v>
      </c>
      <c r="J450" t="s">
        <v>253</v>
      </c>
      <c r="K450" t="s">
        <v>2822</v>
      </c>
    </row>
    <row r="451" spans="1:11" x14ac:dyDescent="0.25">
      <c r="A451" t="s">
        <v>1670</v>
      </c>
      <c r="B451" t="s">
        <v>214</v>
      </c>
      <c r="I451" t="s">
        <v>1828</v>
      </c>
      <c r="J451" t="s">
        <v>253</v>
      </c>
      <c r="K451" t="s">
        <v>2822</v>
      </c>
    </row>
    <row r="452" spans="1:11" x14ac:dyDescent="0.25">
      <c r="A452" t="s">
        <v>1534</v>
      </c>
      <c r="B452" t="s">
        <v>214</v>
      </c>
      <c r="I452" t="s">
        <v>1842</v>
      </c>
      <c r="J452" t="s">
        <v>253</v>
      </c>
      <c r="K452" t="s">
        <v>2822</v>
      </c>
    </row>
    <row r="453" spans="1:11" x14ac:dyDescent="0.25">
      <c r="A453" t="s">
        <v>1535</v>
      </c>
      <c r="B453" t="s">
        <v>214</v>
      </c>
      <c r="I453" t="s">
        <v>2174</v>
      </c>
      <c r="J453" t="s">
        <v>253</v>
      </c>
      <c r="K453" t="s">
        <v>2822</v>
      </c>
    </row>
    <row r="454" spans="1:11" x14ac:dyDescent="0.25">
      <c r="A454" t="s">
        <v>2127</v>
      </c>
      <c r="B454" t="s">
        <v>214</v>
      </c>
      <c r="C454">
        <v>0</v>
      </c>
      <c r="I454" t="s">
        <v>1844</v>
      </c>
      <c r="J454" t="s">
        <v>253</v>
      </c>
      <c r="K454" t="s">
        <v>2822</v>
      </c>
    </row>
    <row r="455" spans="1:11" x14ac:dyDescent="0.25">
      <c r="A455" t="s">
        <v>1293</v>
      </c>
      <c r="B455" t="s">
        <v>214</v>
      </c>
      <c r="C455">
        <v>3.64</v>
      </c>
      <c r="I455" t="s">
        <v>2175</v>
      </c>
      <c r="J455" t="s">
        <v>253</v>
      </c>
      <c r="K455" t="s">
        <v>2822</v>
      </c>
    </row>
    <row r="456" spans="1:11" x14ac:dyDescent="0.25">
      <c r="A456" t="s">
        <v>2440</v>
      </c>
      <c r="B456" t="s">
        <v>214</v>
      </c>
      <c r="I456" t="s">
        <v>1596</v>
      </c>
      <c r="J456" t="s">
        <v>253</v>
      </c>
      <c r="K456" t="s">
        <v>2822</v>
      </c>
    </row>
    <row r="457" spans="1:11" x14ac:dyDescent="0.25">
      <c r="A457" t="s">
        <v>1459</v>
      </c>
      <c r="B457" t="s">
        <v>214</v>
      </c>
      <c r="C457">
        <v>3.64</v>
      </c>
      <c r="I457" t="s">
        <v>2148</v>
      </c>
      <c r="J457" t="s">
        <v>253</v>
      </c>
      <c r="K457" t="s">
        <v>2822</v>
      </c>
    </row>
    <row r="458" spans="1:11" x14ac:dyDescent="0.25">
      <c r="A458" t="s">
        <v>2477</v>
      </c>
      <c r="B458" t="s">
        <v>214</v>
      </c>
      <c r="I458" t="s">
        <v>1670</v>
      </c>
      <c r="J458" t="s">
        <v>253</v>
      </c>
      <c r="K458" t="s">
        <v>2822</v>
      </c>
    </row>
    <row r="459" spans="1:11" x14ac:dyDescent="0.25">
      <c r="A459" t="s">
        <v>2573</v>
      </c>
      <c r="B459" t="s">
        <v>214</v>
      </c>
      <c r="I459" t="s">
        <v>2631</v>
      </c>
      <c r="J459" t="s">
        <v>253</v>
      </c>
      <c r="K459" t="s">
        <v>2822</v>
      </c>
    </row>
    <row r="460" spans="1:11" x14ac:dyDescent="0.25">
      <c r="A460" t="s">
        <v>2085</v>
      </c>
      <c r="B460" t="s">
        <v>214</v>
      </c>
      <c r="I460" t="s">
        <v>1534</v>
      </c>
      <c r="J460" t="s">
        <v>253</v>
      </c>
      <c r="K460" t="s">
        <v>2822</v>
      </c>
    </row>
    <row r="461" spans="1:11" x14ac:dyDescent="0.25">
      <c r="A461" t="s">
        <v>2084</v>
      </c>
      <c r="B461" t="s">
        <v>214</v>
      </c>
      <c r="I461" t="s">
        <v>1535</v>
      </c>
      <c r="J461" t="s">
        <v>253</v>
      </c>
      <c r="K461" t="s">
        <v>2822</v>
      </c>
    </row>
    <row r="462" spans="1:11" x14ac:dyDescent="0.25">
      <c r="A462" t="s">
        <v>2095</v>
      </c>
      <c r="B462" t="s">
        <v>214</v>
      </c>
      <c r="I462" t="s">
        <v>2127</v>
      </c>
      <c r="J462" t="s">
        <v>253</v>
      </c>
      <c r="K462" t="s">
        <v>2822</v>
      </c>
    </row>
    <row r="463" spans="1:11" x14ac:dyDescent="0.25">
      <c r="A463" t="s">
        <v>2092</v>
      </c>
      <c r="B463" t="s">
        <v>214</v>
      </c>
      <c r="I463" t="s">
        <v>1293</v>
      </c>
      <c r="J463" t="s">
        <v>253</v>
      </c>
      <c r="K463" t="s">
        <v>2822</v>
      </c>
    </row>
    <row r="464" spans="1:11" x14ac:dyDescent="0.25">
      <c r="A464" t="s">
        <v>2414</v>
      </c>
      <c r="B464" t="s">
        <v>214</v>
      </c>
      <c r="I464" t="s">
        <v>2440</v>
      </c>
      <c r="J464" t="s">
        <v>253</v>
      </c>
      <c r="K464" t="s">
        <v>2822</v>
      </c>
    </row>
    <row r="465" spans="1:11" x14ac:dyDescent="0.25">
      <c r="A465" t="s">
        <v>2530</v>
      </c>
      <c r="B465" t="s">
        <v>214</v>
      </c>
      <c r="I465" t="s">
        <v>1459</v>
      </c>
      <c r="J465" t="s">
        <v>253</v>
      </c>
      <c r="K465" t="s">
        <v>2822</v>
      </c>
    </row>
    <row r="466" spans="1:11" x14ac:dyDescent="0.25">
      <c r="A466" t="s">
        <v>1460</v>
      </c>
      <c r="B466" t="s">
        <v>214</v>
      </c>
      <c r="I466" t="s">
        <v>2477</v>
      </c>
      <c r="J466" t="s">
        <v>253</v>
      </c>
      <c r="K466" t="s">
        <v>2822</v>
      </c>
    </row>
    <row r="467" spans="1:11" x14ac:dyDescent="0.25">
      <c r="A467" t="s">
        <v>2476</v>
      </c>
      <c r="B467" t="s">
        <v>214</v>
      </c>
      <c r="I467" t="s">
        <v>2573</v>
      </c>
      <c r="J467" t="s">
        <v>253</v>
      </c>
      <c r="K467" t="s">
        <v>2822</v>
      </c>
    </row>
    <row r="468" spans="1:11" x14ac:dyDescent="0.25">
      <c r="A468" t="s">
        <v>2418</v>
      </c>
      <c r="B468" t="s">
        <v>214</v>
      </c>
      <c r="I468" t="s">
        <v>2085</v>
      </c>
      <c r="J468" t="s">
        <v>253</v>
      </c>
      <c r="K468" t="s">
        <v>2822</v>
      </c>
    </row>
    <row r="469" spans="1:11" x14ac:dyDescent="0.25">
      <c r="A469" t="s">
        <v>2424</v>
      </c>
      <c r="B469" t="s">
        <v>214</v>
      </c>
      <c r="I469" t="s">
        <v>2314</v>
      </c>
      <c r="J469" t="s">
        <v>253</v>
      </c>
      <c r="K469" t="s">
        <v>2822</v>
      </c>
    </row>
    <row r="470" spans="1:11" x14ac:dyDescent="0.25">
      <c r="A470" t="s">
        <v>2574</v>
      </c>
      <c r="B470" t="s">
        <v>214</v>
      </c>
      <c r="I470" t="s">
        <v>2084</v>
      </c>
      <c r="J470" t="s">
        <v>253</v>
      </c>
      <c r="K470" t="s">
        <v>2822</v>
      </c>
    </row>
    <row r="471" spans="1:11" x14ac:dyDescent="0.25">
      <c r="A471" t="s">
        <v>2413</v>
      </c>
      <c r="B471" t="s">
        <v>214</v>
      </c>
      <c r="I471" t="s">
        <v>2095</v>
      </c>
      <c r="J471" t="s">
        <v>253</v>
      </c>
      <c r="K471" t="s">
        <v>2822</v>
      </c>
    </row>
    <row r="472" spans="1:11" x14ac:dyDescent="0.25">
      <c r="A472" t="s">
        <v>2466</v>
      </c>
      <c r="B472" t="s">
        <v>214</v>
      </c>
      <c r="I472" t="s">
        <v>2092</v>
      </c>
      <c r="J472" t="s">
        <v>253</v>
      </c>
      <c r="K472" t="s">
        <v>2822</v>
      </c>
    </row>
    <row r="473" spans="1:11" x14ac:dyDescent="0.25">
      <c r="A473" t="s">
        <v>2410</v>
      </c>
      <c r="B473" t="s">
        <v>214</v>
      </c>
      <c r="I473" t="s">
        <v>2414</v>
      </c>
      <c r="J473" t="s">
        <v>253</v>
      </c>
      <c r="K473" t="s">
        <v>2822</v>
      </c>
    </row>
    <row r="474" spans="1:11" x14ac:dyDescent="0.25">
      <c r="A474" t="s">
        <v>2469</v>
      </c>
      <c r="B474" t="s">
        <v>214</v>
      </c>
      <c r="I474" t="s">
        <v>2530</v>
      </c>
      <c r="J474" t="s">
        <v>253</v>
      </c>
      <c r="K474" t="s">
        <v>2822</v>
      </c>
    </row>
    <row r="475" spans="1:11" x14ac:dyDescent="0.25">
      <c r="A475" t="s">
        <v>2470</v>
      </c>
      <c r="B475" t="s">
        <v>214</v>
      </c>
      <c r="I475" t="s">
        <v>1460</v>
      </c>
      <c r="J475" t="s">
        <v>253</v>
      </c>
      <c r="K475" t="s">
        <v>2822</v>
      </c>
    </row>
    <row r="476" spans="1:11" x14ac:dyDescent="0.25">
      <c r="A476" t="s">
        <v>2521</v>
      </c>
      <c r="B476" t="s">
        <v>214</v>
      </c>
      <c r="I476" t="s">
        <v>2476</v>
      </c>
      <c r="J476" t="s">
        <v>253</v>
      </c>
      <c r="K476" t="s">
        <v>2822</v>
      </c>
    </row>
    <row r="477" spans="1:11" x14ac:dyDescent="0.25">
      <c r="A477" t="s">
        <v>1827</v>
      </c>
      <c r="B477" t="s">
        <v>214</v>
      </c>
      <c r="I477" t="s">
        <v>2418</v>
      </c>
      <c r="J477" t="s">
        <v>253</v>
      </c>
      <c r="K477" t="s">
        <v>2822</v>
      </c>
    </row>
    <row r="478" spans="1:11" x14ac:dyDescent="0.25">
      <c r="A478" t="s">
        <v>2464</v>
      </c>
      <c r="B478" t="s">
        <v>214</v>
      </c>
      <c r="I478" t="s">
        <v>2424</v>
      </c>
      <c r="J478" t="s">
        <v>253</v>
      </c>
      <c r="K478" t="s">
        <v>2822</v>
      </c>
    </row>
    <row r="479" spans="1:11" x14ac:dyDescent="0.25">
      <c r="A479" t="s">
        <v>2528</v>
      </c>
      <c r="B479" t="s">
        <v>214</v>
      </c>
      <c r="I479" t="s">
        <v>2574</v>
      </c>
      <c r="J479" t="s">
        <v>253</v>
      </c>
      <c r="K479" t="s">
        <v>2822</v>
      </c>
    </row>
    <row r="480" spans="1:11" x14ac:dyDescent="0.25">
      <c r="A480" t="s">
        <v>2527</v>
      </c>
      <c r="B480" t="s">
        <v>214</v>
      </c>
      <c r="I480" t="s">
        <v>2413</v>
      </c>
      <c r="J480" t="s">
        <v>253</v>
      </c>
      <c r="K480" t="s">
        <v>2822</v>
      </c>
    </row>
    <row r="481" spans="1:11" x14ac:dyDescent="0.25">
      <c r="A481" t="s">
        <v>2480</v>
      </c>
      <c r="B481" t="s">
        <v>214</v>
      </c>
      <c r="I481" t="s">
        <v>2466</v>
      </c>
      <c r="J481" t="s">
        <v>253</v>
      </c>
      <c r="K481" t="s">
        <v>2822</v>
      </c>
    </row>
    <row r="482" spans="1:11" x14ac:dyDescent="0.25">
      <c r="A482" t="s">
        <v>2405</v>
      </c>
      <c r="B482" t="s">
        <v>214</v>
      </c>
      <c r="I482" t="s">
        <v>2410</v>
      </c>
      <c r="J482" t="s">
        <v>253</v>
      </c>
      <c r="K482" t="s">
        <v>2822</v>
      </c>
    </row>
    <row r="483" spans="1:11" x14ac:dyDescent="0.25">
      <c r="A483" t="s">
        <v>2531</v>
      </c>
      <c r="B483" t="s">
        <v>214</v>
      </c>
      <c r="I483" t="s">
        <v>2469</v>
      </c>
      <c r="J483" t="s">
        <v>253</v>
      </c>
      <c r="K483" t="s">
        <v>2822</v>
      </c>
    </row>
    <row r="484" spans="1:11" x14ac:dyDescent="0.25">
      <c r="A484" t="s">
        <v>2498</v>
      </c>
      <c r="B484" t="s">
        <v>214</v>
      </c>
      <c r="I484" t="s">
        <v>2470</v>
      </c>
      <c r="J484" t="s">
        <v>253</v>
      </c>
      <c r="K484" t="s">
        <v>2822</v>
      </c>
    </row>
    <row r="485" spans="1:11" x14ac:dyDescent="0.25">
      <c r="A485" t="s">
        <v>2425</v>
      </c>
      <c r="B485" t="s">
        <v>214</v>
      </c>
      <c r="I485" t="s">
        <v>2521</v>
      </c>
      <c r="J485" t="s">
        <v>253</v>
      </c>
      <c r="K485" t="s">
        <v>2822</v>
      </c>
    </row>
    <row r="486" spans="1:11" x14ac:dyDescent="0.25">
      <c r="A486" t="s">
        <v>1900</v>
      </c>
      <c r="B486" t="s">
        <v>214</v>
      </c>
      <c r="I486" t="s">
        <v>1827</v>
      </c>
      <c r="J486" t="s">
        <v>253</v>
      </c>
      <c r="K486" t="s">
        <v>2822</v>
      </c>
    </row>
    <row r="487" spans="1:11" x14ac:dyDescent="0.25">
      <c r="A487" t="s">
        <v>1715</v>
      </c>
      <c r="B487" t="s">
        <v>214</v>
      </c>
      <c r="I487" t="s">
        <v>2464</v>
      </c>
      <c r="J487" t="s">
        <v>253</v>
      </c>
      <c r="K487" t="s">
        <v>2822</v>
      </c>
    </row>
    <row r="488" spans="1:11" x14ac:dyDescent="0.25">
      <c r="A488" t="s">
        <v>2433</v>
      </c>
      <c r="B488" t="s">
        <v>214</v>
      </c>
      <c r="I488" t="s">
        <v>2528</v>
      </c>
      <c r="J488" t="s">
        <v>253</v>
      </c>
      <c r="K488" t="s">
        <v>2822</v>
      </c>
    </row>
    <row r="489" spans="1:11" x14ac:dyDescent="0.25">
      <c r="A489" t="s">
        <v>2481</v>
      </c>
      <c r="B489" t="s">
        <v>214</v>
      </c>
      <c r="I489" t="s">
        <v>2534</v>
      </c>
      <c r="J489" t="s">
        <v>253</v>
      </c>
      <c r="K489" t="s">
        <v>2822</v>
      </c>
    </row>
    <row r="490" spans="1:11" x14ac:dyDescent="0.25">
      <c r="A490" t="s">
        <v>1294</v>
      </c>
      <c r="B490" t="s">
        <v>214</v>
      </c>
      <c r="C490">
        <v>3.64</v>
      </c>
      <c r="I490" t="s">
        <v>1899</v>
      </c>
      <c r="J490" t="s">
        <v>253</v>
      </c>
      <c r="K490" t="s">
        <v>2822</v>
      </c>
    </row>
    <row r="491" spans="1:11" x14ac:dyDescent="0.25">
      <c r="A491" t="s">
        <v>1623</v>
      </c>
      <c r="B491" t="s">
        <v>214</v>
      </c>
      <c r="I491" t="s">
        <v>2527</v>
      </c>
      <c r="J491" t="s">
        <v>253</v>
      </c>
      <c r="K491" t="s">
        <v>2822</v>
      </c>
    </row>
    <row r="492" spans="1:11" x14ac:dyDescent="0.25">
      <c r="A492" t="s">
        <v>1619</v>
      </c>
      <c r="B492" t="s">
        <v>214</v>
      </c>
      <c r="I492" t="s">
        <v>2480</v>
      </c>
      <c r="J492" t="s">
        <v>253</v>
      </c>
      <c r="K492" t="s">
        <v>2822</v>
      </c>
    </row>
    <row r="493" spans="1:11" x14ac:dyDescent="0.25">
      <c r="A493" t="s">
        <v>1295</v>
      </c>
      <c r="B493" t="s">
        <v>214</v>
      </c>
      <c r="C493">
        <v>2.91</v>
      </c>
      <c r="I493" t="s">
        <v>2405</v>
      </c>
      <c r="J493" t="s">
        <v>253</v>
      </c>
      <c r="K493" t="s">
        <v>2822</v>
      </c>
    </row>
    <row r="494" spans="1:11" x14ac:dyDescent="0.25">
      <c r="A494" t="s">
        <v>1590</v>
      </c>
      <c r="B494" t="s">
        <v>214</v>
      </c>
      <c r="I494" t="s">
        <v>2531</v>
      </c>
      <c r="J494" t="s">
        <v>253</v>
      </c>
      <c r="K494" t="s">
        <v>2822</v>
      </c>
    </row>
    <row r="495" spans="1:11" x14ac:dyDescent="0.25">
      <c r="A495" t="s">
        <v>1804</v>
      </c>
      <c r="B495" t="s">
        <v>214</v>
      </c>
      <c r="I495" t="s">
        <v>2498</v>
      </c>
      <c r="J495" t="s">
        <v>253</v>
      </c>
      <c r="K495" t="s">
        <v>2822</v>
      </c>
    </row>
    <row r="496" spans="1:11" x14ac:dyDescent="0.25">
      <c r="A496" t="s">
        <v>1407</v>
      </c>
      <c r="B496" t="s">
        <v>214</v>
      </c>
      <c r="I496" t="s">
        <v>2425</v>
      </c>
      <c r="J496" t="s">
        <v>253</v>
      </c>
      <c r="K496" t="s">
        <v>2822</v>
      </c>
    </row>
    <row r="497" spans="1:11" x14ac:dyDescent="0.25">
      <c r="A497" t="s">
        <v>1296</v>
      </c>
      <c r="B497" t="s">
        <v>214</v>
      </c>
      <c r="C497">
        <v>1.82</v>
      </c>
      <c r="I497" t="s">
        <v>1900</v>
      </c>
      <c r="J497" t="s">
        <v>253</v>
      </c>
      <c r="K497" t="s">
        <v>2822</v>
      </c>
    </row>
    <row r="498" spans="1:11" x14ac:dyDescent="0.25">
      <c r="A498" t="s">
        <v>1297</v>
      </c>
      <c r="B498" t="s">
        <v>214</v>
      </c>
      <c r="C498">
        <v>1.82</v>
      </c>
      <c r="I498" t="s">
        <v>1715</v>
      </c>
      <c r="J498" t="s">
        <v>253</v>
      </c>
      <c r="K498" t="s">
        <v>2822</v>
      </c>
    </row>
    <row r="499" spans="1:11" x14ac:dyDescent="0.25">
      <c r="A499" t="s">
        <v>1298</v>
      </c>
      <c r="B499" t="s">
        <v>214</v>
      </c>
      <c r="C499">
        <v>1.0900000000000001</v>
      </c>
      <c r="I499" t="s">
        <v>2433</v>
      </c>
      <c r="J499" t="s">
        <v>253</v>
      </c>
      <c r="K499" t="s">
        <v>2822</v>
      </c>
    </row>
    <row r="500" spans="1:11" x14ac:dyDescent="0.25">
      <c r="A500" t="s">
        <v>1841</v>
      </c>
      <c r="B500" t="s">
        <v>214</v>
      </c>
      <c r="I500" t="s">
        <v>2481</v>
      </c>
      <c r="J500" t="s">
        <v>253</v>
      </c>
      <c r="K500" t="s">
        <v>2822</v>
      </c>
    </row>
    <row r="501" spans="1:11" x14ac:dyDescent="0.25">
      <c r="A501" t="s">
        <v>1840</v>
      </c>
      <c r="B501" t="s">
        <v>214</v>
      </c>
      <c r="I501" t="s">
        <v>1294</v>
      </c>
      <c r="J501" t="s">
        <v>253</v>
      </c>
      <c r="K501" t="s">
        <v>2822</v>
      </c>
    </row>
    <row r="502" spans="1:11" x14ac:dyDescent="0.25">
      <c r="A502" t="s">
        <v>1413</v>
      </c>
      <c r="B502" t="s">
        <v>214</v>
      </c>
      <c r="I502" t="s">
        <v>1623</v>
      </c>
      <c r="J502" t="s">
        <v>253</v>
      </c>
      <c r="K502" t="s">
        <v>2822</v>
      </c>
    </row>
    <row r="503" spans="1:11" x14ac:dyDescent="0.25">
      <c r="A503" t="s">
        <v>1470</v>
      </c>
      <c r="B503" t="s">
        <v>214</v>
      </c>
      <c r="I503" t="s">
        <v>1619</v>
      </c>
      <c r="J503" t="s">
        <v>253</v>
      </c>
      <c r="K503" t="s">
        <v>2822</v>
      </c>
    </row>
    <row r="504" spans="1:11" x14ac:dyDescent="0.25">
      <c r="A504" t="s">
        <v>1471</v>
      </c>
      <c r="B504" t="s">
        <v>214</v>
      </c>
      <c r="I504" t="s">
        <v>1295</v>
      </c>
      <c r="J504" t="s">
        <v>253</v>
      </c>
      <c r="K504" t="s">
        <v>2822</v>
      </c>
    </row>
    <row r="505" spans="1:11" x14ac:dyDescent="0.25">
      <c r="A505" t="s">
        <v>1474</v>
      </c>
      <c r="B505" t="s">
        <v>214</v>
      </c>
      <c r="I505" t="s">
        <v>1590</v>
      </c>
      <c r="J505" t="s">
        <v>253</v>
      </c>
      <c r="K505" t="s">
        <v>2822</v>
      </c>
    </row>
    <row r="506" spans="1:11" x14ac:dyDescent="0.25">
      <c r="A506" t="s">
        <v>2150</v>
      </c>
      <c r="B506" t="s">
        <v>214</v>
      </c>
      <c r="I506" t="s">
        <v>1804</v>
      </c>
      <c r="J506" t="s">
        <v>253</v>
      </c>
      <c r="K506" t="s">
        <v>2822</v>
      </c>
    </row>
    <row r="507" spans="1:11" x14ac:dyDescent="0.25">
      <c r="A507" t="s">
        <v>1299</v>
      </c>
      <c r="B507" t="s">
        <v>214</v>
      </c>
      <c r="C507">
        <v>3.64</v>
      </c>
      <c r="I507" t="s">
        <v>1407</v>
      </c>
      <c r="J507" t="s">
        <v>253</v>
      </c>
      <c r="K507" t="s">
        <v>2822</v>
      </c>
    </row>
    <row r="508" spans="1:11" x14ac:dyDescent="0.25">
      <c r="A508" t="s">
        <v>2083</v>
      </c>
      <c r="B508" t="s">
        <v>214</v>
      </c>
      <c r="I508" t="s">
        <v>1296</v>
      </c>
      <c r="J508" t="s">
        <v>253</v>
      </c>
      <c r="K508" t="s">
        <v>2822</v>
      </c>
    </row>
    <row r="509" spans="1:11" x14ac:dyDescent="0.25">
      <c r="A509" t="s">
        <v>2575</v>
      </c>
      <c r="B509" t="s">
        <v>214</v>
      </c>
      <c r="C509">
        <v>2.1800000000000002</v>
      </c>
      <c r="I509" t="s">
        <v>1297</v>
      </c>
      <c r="J509" t="s">
        <v>253</v>
      </c>
      <c r="K509" t="s">
        <v>2822</v>
      </c>
    </row>
    <row r="510" spans="1:11" x14ac:dyDescent="0.25">
      <c r="A510" t="s">
        <v>1622</v>
      </c>
      <c r="B510" t="s">
        <v>214</v>
      </c>
      <c r="I510" t="s">
        <v>1298</v>
      </c>
      <c r="J510" t="s">
        <v>253</v>
      </c>
      <c r="K510" t="s">
        <v>2822</v>
      </c>
    </row>
    <row r="511" spans="1:11" x14ac:dyDescent="0.25">
      <c r="A511" t="s">
        <v>1300</v>
      </c>
      <c r="B511" t="s">
        <v>214</v>
      </c>
      <c r="C511">
        <v>5.45</v>
      </c>
      <c r="I511" t="s">
        <v>1841</v>
      </c>
      <c r="J511" t="s">
        <v>253</v>
      </c>
      <c r="K511" t="s">
        <v>2822</v>
      </c>
    </row>
    <row r="512" spans="1:11" x14ac:dyDescent="0.25">
      <c r="A512" t="s">
        <v>1301</v>
      </c>
      <c r="B512" t="s">
        <v>214</v>
      </c>
      <c r="C512">
        <v>5.45</v>
      </c>
      <c r="I512" t="s">
        <v>1840</v>
      </c>
      <c r="J512" t="s">
        <v>253</v>
      </c>
      <c r="K512" t="s">
        <v>2822</v>
      </c>
    </row>
    <row r="513" spans="1:11" x14ac:dyDescent="0.25">
      <c r="A513" t="s">
        <v>2162</v>
      </c>
      <c r="B513" t="s">
        <v>214</v>
      </c>
      <c r="I513" t="s">
        <v>1413</v>
      </c>
      <c r="J513" t="s">
        <v>253</v>
      </c>
      <c r="K513" t="s">
        <v>2822</v>
      </c>
    </row>
    <row r="514" spans="1:11" x14ac:dyDescent="0.25">
      <c r="A514" t="s">
        <v>1412</v>
      </c>
      <c r="B514" t="s">
        <v>214</v>
      </c>
      <c r="I514" t="s">
        <v>1470</v>
      </c>
      <c r="J514" t="s">
        <v>253</v>
      </c>
      <c r="K514" t="s">
        <v>2822</v>
      </c>
    </row>
    <row r="515" spans="1:11" x14ac:dyDescent="0.25">
      <c r="A515" t="s">
        <v>1302</v>
      </c>
      <c r="B515" t="s">
        <v>214</v>
      </c>
      <c r="C515">
        <v>36.36</v>
      </c>
      <c r="I515" t="s">
        <v>1471</v>
      </c>
      <c r="J515" t="s">
        <v>253</v>
      </c>
      <c r="K515" t="s">
        <v>2822</v>
      </c>
    </row>
    <row r="516" spans="1:11" x14ac:dyDescent="0.25">
      <c r="A516" t="s">
        <v>1303</v>
      </c>
      <c r="B516" t="s">
        <v>214</v>
      </c>
      <c r="C516">
        <v>18.18</v>
      </c>
      <c r="I516" t="s">
        <v>1474</v>
      </c>
      <c r="J516" t="s">
        <v>253</v>
      </c>
      <c r="K516" t="s">
        <v>2822</v>
      </c>
    </row>
    <row r="517" spans="1:11" x14ac:dyDescent="0.25">
      <c r="A517" t="s">
        <v>1797</v>
      </c>
      <c r="B517" t="s">
        <v>214</v>
      </c>
      <c r="I517" t="s">
        <v>2150</v>
      </c>
      <c r="J517" t="s">
        <v>253</v>
      </c>
      <c r="K517" t="s">
        <v>2822</v>
      </c>
    </row>
    <row r="518" spans="1:11" x14ac:dyDescent="0.25">
      <c r="A518" t="s">
        <v>1304</v>
      </c>
      <c r="B518" t="s">
        <v>214</v>
      </c>
      <c r="C518">
        <v>10.91</v>
      </c>
      <c r="I518" t="s">
        <v>1299</v>
      </c>
      <c r="J518" t="s">
        <v>253</v>
      </c>
      <c r="K518" t="s">
        <v>2822</v>
      </c>
    </row>
    <row r="519" spans="1:11" x14ac:dyDescent="0.25">
      <c r="A519" t="s">
        <v>1491</v>
      </c>
      <c r="B519" t="s">
        <v>214</v>
      </c>
      <c r="I519" t="s">
        <v>2083</v>
      </c>
      <c r="J519" t="s">
        <v>253</v>
      </c>
      <c r="K519" t="s">
        <v>2822</v>
      </c>
    </row>
    <row r="520" spans="1:11" x14ac:dyDescent="0.25">
      <c r="A520" t="s">
        <v>1451</v>
      </c>
      <c r="B520" t="s">
        <v>214</v>
      </c>
      <c r="C520">
        <v>10.91</v>
      </c>
      <c r="I520" t="s">
        <v>2575</v>
      </c>
      <c r="J520" t="s">
        <v>253</v>
      </c>
      <c r="K520" t="s">
        <v>2822</v>
      </c>
    </row>
    <row r="521" spans="1:11" x14ac:dyDescent="0.25">
      <c r="A521" t="s">
        <v>2110</v>
      </c>
      <c r="B521" t="s">
        <v>214</v>
      </c>
      <c r="I521" t="s">
        <v>1622</v>
      </c>
      <c r="J521" t="s">
        <v>253</v>
      </c>
      <c r="K521" t="s">
        <v>2822</v>
      </c>
    </row>
    <row r="522" spans="1:11" x14ac:dyDescent="0.25">
      <c r="A522" t="s">
        <v>2056</v>
      </c>
      <c r="B522" t="s">
        <v>214</v>
      </c>
      <c r="I522" t="s">
        <v>1300</v>
      </c>
      <c r="J522" t="s">
        <v>253</v>
      </c>
      <c r="K522" t="s">
        <v>2822</v>
      </c>
    </row>
    <row r="523" spans="1:11" x14ac:dyDescent="0.25">
      <c r="A523" t="s">
        <v>1970</v>
      </c>
      <c r="B523" t="s">
        <v>214</v>
      </c>
      <c r="I523" t="s">
        <v>1301</v>
      </c>
      <c r="J523" t="s">
        <v>253</v>
      </c>
      <c r="K523" t="s">
        <v>2822</v>
      </c>
    </row>
    <row r="524" spans="1:11" x14ac:dyDescent="0.25">
      <c r="A524" t="s">
        <v>1971</v>
      </c>
      <c r="B524" t="s">
        <v>214</v>
      </c>
      <c r="I524" t="s">
        <v>2162</v>
      </c>
      <c r="J524" t="s">
        <v>253</v>
      </c>
      <c r="K524" t="s">
        <v>2822</v>
      </c>
    </row>
    <row r="525" spans="1:11" x14ac:dyDescent="0.25">
      <c r="A525" t="s">
        <v>1969</v>
      </c>
      <c r="B525" t="s">
        <v>214</v>
      </c>
      <c r="I525" t="s">
        <v>1412</v>
      </c>
      <c r="J525" t="s">
        <v>253</v>
      </c>
      <c r="K525" t="s">
        <v>2822</v>
      </c>
    </row>
    <row r="526" spans="1:11" x14ac:dyDescent="0.25">
      <c r="A526" t="s">
        <v>1744</v>
      </c>
      <c r="B526" t="s">
        <v>214</v>
      </c>
      <c r="I526" t="s">
        <v>1302</v>
      </c>
      <c r="J526" t="s">
        <v>253</v>
      </c>
      <c r="K526" t="s">
        <v>2822</v>
      </c>
    </row>
    <row r="527" spans="1:11" x14ac:dyDescent="0.25">
      <c r="A527" t="s">
        <v>1306</v>
      </c>
      <c r="B527" t="s">
        <v>214</v>
      </c>
      <c r="C527">
        <v>5.45</v>
      </c>
      <c r="I527" t="s">
        <v>1303</v>
      </c>
      <c r="J527" t="s">
        <v>253</v>
      </c>
      <c r="K527" t="s">
        <v>2822</v>
      </c>
    </row>
    <row r="528" spans="1:11" x14ac:dyDescent="0.25">
      <c r="A528" t="s">
        <v>2134</v>
      </c>
      <c r="B528" t="s">
        <v>214</v>
      </c>
      <c r="I528" t="s">
        <v>1797</v>
      </c>
      <c r="J528" t="s">
        <v>253</v>
      </c>
      <c r="K528" t="s">
        <v>2822</v>
      </c>
    </row>
    <row r="529" spans="1:11" x14ac:dyDescent="0.25">
      <c r="A529" t="s">
        <v>1419</v>
      </c>
      <c r="B529" t="s">
        <v>214</v>
      </c>
      <c r="I529" t="s">
        <v>1304</v>
      </c>
      <c r="J529" t="s">
        <v>253</v>
      </c>
      <c r="K529" t="s">
        <v>2822</v>
      </c>
    </row>
    <row r="530" spans="1:11" x14ac:dyDescent="0.25">
      <c r="A530" t="s">
        <v>2170</v>
      </c>
      <c r="B530" t="s">
        <v>214</v>
      </c>
      <c r="I530" t="s">
        <v>1491</v>
      </c>
      <c r="J530" t="s">
        <v>253</v>
      </c>
      <c r="K530" t="s">
        <v>2822</v>
      </c>
    </row>
    <row r="531" spans="1:11" x14ac:dyDescent="0.25">
      <c r="A531" t="s">
        <v>2166</v>
      </c>
      <c r="B531" t="s">
        <v>214</v>
      </c>
      <c r="I531" t="s">
        <v>1451</v>
      </c>
      <c r="J531" t="s">
        <v>253</v>
      </c>
      <c r="K531" t="s">
        <v>2822</v>
      </c>
    </row>
    <row r="532" spans="1:11" x14ac:dyDescent="0.25">
      <c r="A532" t="s">
        <v>2158</v>
      </c>
      <c r="B532" t="s">
        <v>214</v>
      </c>
      <c r="I532" t="s">
        <v>2110</v>
      </c>
      <c r="J532" t="s">
        <v>253</v>
      </c>
      <c r="K532" t="s">
        <v>2822</v>
      </c>
    </row>
    <row r="533" spans="1:11" x14ac:dyDescent="0.25">
      <c r="A533" t="s">
        <v>1308</v>
      </c>
      <c r="B533" t="s">
        <v>214</v>
      </c>
      <c r="C533">
        <v>2.1800000000000002</v>
      </c>
      <c r="I533" t="s">
        <v>2056</v>
      </c>
      <c r="J533" t="s">
        <v>253</v>
      </c>
      <c r="K533" t="s">
        <v>2822</v>
      </c>
    </row>
    <row r="534" spans="1:11" x14ac:dyDescent="0.25">
      <c r="A534" t="s">
        <v>2159</v>
      </c>
      <c r="B534" t="s">
        <v>214</v>
      </c>
      <c r="I534" t="s">
        <v>1970</v>
      </c>
      <c r="J534" t="s">
        <v>253</v>
      </c>
      <c r="K534" t="s">
        <v>2822</v>
      </c>
    </row>
    <row r="535" spans="1:11" x14ac:dyDescent="0.25">
      <c r="A535" t="s">
        <v>1421</v>
      </c>
      <c r="B535" t="s">
        <v>214</v>
      </c>
      <c r="I535" t="s">
        <v>1971</v>
      </c>
      <c r="J535" t="s">
        <v>253</v>
      </c>
      <c r="K535" t="s">
        <v>2822</v>
      </c>
    </row>
    <row r="536" spans="1:11" x14ac:dyDescent="0.25">
      <c r="A536" t="s">
        <v>2157</v>
      </c>
      <c r="B536" t="s">
        <v>214</v>
      </c>
      <c r="I536" t="s">
        <v>1969</v>
      </c>
      <c r="J536" t="s">
        <v>253</v>
      </c>
      <c r="K536" t="s">
        <v>2822</v>
      </c>
    </row>
    <row r="537" spans="1:11" x14ac:dyDescent="0.25">
      <c r="A537" t="s">
        <v>2177</v>
      </c>
      <c r="B537" t="s">
        <v>214</v>
      </c>
      <c r="I537" t="s">
        <v>1744</v>
      </c>
      <c r="J537" t="s">
        <v>253</v>
      </c>
      <c r="K537" t="s">
        <v>2822</v>
      </c>
    </row>
    <row r="538" spans="1:11" x14ac:dyDescent="0.25">
      <c r="A538" t="s">
        <v>1309</v>
      </c>
      <c r="B538" t="s">
        <v>214</v>
      </c>
      <c r="C538">
        <v>1.82</v>
      </c>
      <c r="I538" t="s">
        <v>1306</v>
      </c>
      <c r="J538" t="s">
        <v>253</v>
      </c>
      <c r="K538" t="s">
        <v>2822</v>
      </c>
    </row>
    <row r="539" spans="1:11" x14ac:dyDescent="0.25">
      <c r="A539" t="s">
        <v>1310</v>
      </c>
      <c r="B539" t="s">
        <v>214</v>
      </c>
      <c r="C539">
        <v>1.82</v>
      </c>
      <c r="I539" t="s">
        <v>2134</v>
      </c>
      <c r="J539" t="s">
        <v>253</v>
      </c>
      <c r="K539" t="s">
        <v>2822</v>
      </c>
    </row>
    <row r="540" spans="1:11" x14ac:dyDescent="0.25">
      <c r="A540" t="s">
        <v>1638</v>
      </c>
      <c r="B540" t="s">
        <v>214</v>
      </c>
      <c r="I540" t="s">
        <v>1419</v>
      </c>
      <c r="J540" t="s">
        <v>253</v>
      </c>
      <c r="K540" t="s">
        <v>2822</v>
      </c>
    </row>
    <row r="541" spans="1:11" x14ac:dyDescent="0.25">
      <c r="A541" t="s">
        <v>2113</v>
      </c>
      <c r="B541" t="s">
        <v>214</v>
      </c>
      <c r="I541" t="s">
        <v>2170</v>
      </c>
      <c r="J541" t="s">
        <v>253</v>
      </c>
      <c r="K541" t="s">
        <v>2822</v>
      </c>
    </row>
    <row r="542" spans="1:11" x14ac:dyDescent="0.25">
      <c r="A542" t="s">
        <v>1702</v>
      </c>
      <c r="B542" t="s">
        <v>214</v>
      </c>
      <c r="I542" t="s">
        <v>2166</v>
      </c>
      <c r="J542" t="s">
        <v>253</v>
      </c>
      <c r="K542" t="s">
        <v>2822</v>
      </c>
    </row>
    <row r="543" spans="1:11" x14ac:dyDescent="0.25">
      <c r="A543" t="s">
        <v>1311</v>
      </c>
      <c r="B543" t="s">
        <v>214</v>
      </c>
      <c r="C543">
        <v>1.82</v>
      </c>
      <c r="I543" t="s">
        <v>2158</v>
      </c>
      <c r="J543" t="s">
        <v>253</v>
      </c>
      <c r="K543" t="s">
        <v>2822</v>
      </c>
    </row>
    <row r="544" spans="1:11" x14ac:dyDescent="0.25">
      <c r="A544" t="s">
        <v>1312</v>
      </c>
      <c r="B544" t="s">
        <v>214</v>
      </c>
      <c r="C544">
        <v>3.64</v>
      </c>
      <c r="I544" t="s">
        <v>1308</v>
      </c>
      <c r="J544" t="s">
        <v>253</v>
      </c>
      <c r="K544" t="s">
        <v>2822</v>
      </c>
    </row>
    <row r="545" spans="1:11" x14ac:dyDescent="0.25">
      <c r="A545" t="s">
        <v>1313</v>
      </c>
      <c r="B545" t="s">
        <v>214</v>
      </c>
      <c r="C545">
        <v>1.82</v>
      </c>
      <c r="I545" t="s">
        <v>2159</v>
      </c>
      <c r="J545" t="s">
        <v>253</v>
      </c>
      <c r="K545" t="s">
        <v>2822</v>
      </c>
    </row>
    <row r="546" spans="1:11" x14ac:dyDescent="0.25">
      <c r="A546" t="s">
        <v>1314</v>
      </c>
      <c r="B546" t="s">
        <v>214</v>
      </c>
      <c r="C546">
        <v>3.64</v>
      </c>
      <c r="I546" t="s">
        <v>1421</v>
      </c>
      <c r="J546" t="s">
        <v>253</v>
      </c>
      <c r="K546" t="s">
        <v>2822</v>
      </c>
    </row>
    <row r="547" spans="1:11" x14ac:dyDescent="0.25">
      <c r="A547" t="s">
        <v>1315</v>
      </c>
      <c r="B547" t="s">
        <v>214</v>
      </c>
      <c r="C547">
        <v>0.73</v>
      </c>
      <c r="I547" t="s">
        <v>2157</v>
      </c>
      <c r="J547" t="s">
        <v>253</v>
      </c>
      <c r="K547" t="s">
        <v>2822</v>
      </c>
    </row>
    <row r="548" spans="1:11" x14ac:dyDescent="0.25">
      <c r="A548" t="s">
        <v>2176</v>
      </c>
      <c r="B548" t="s">
        <v>214</v>
      </c>
      <c r="I548" t="s">
        <v>2177</v>
      </c>
      <c r="J548" t="s">
        <v>253</v>
      </c>
      <c r="K548" t="s">
        <v>2822</v>
      </c>
    </row>
    <row r="549" spans="1:11" x14ac:dyDescent="0.25">
      <c r="A549" t="s">
        <v>1316</v>
      </c>
      <c r="B549" t="s">
        <v>214</v>
      </c>
      <c r="C549">
        <v>1.0900000000000001</v>
      </c>
      <c r="I549" t="s">
        <v>1309</v>
      </c>
      <c r="J549" t="s">
        <v>253</v>
      </c>
      <c r="K549" t="s">
        <v>2822</v>
      </c>
    </row>
    <row r="550" spans="1:11" x14ac:dyDescent="0.25">
      <c r="A550" t="s">
        <v>2126</v>
      </c>
      <c r="B550" t="s">
        <v>214</v>
      </c>
      <c r="I550" t="s">
        <v>1310</v>
      </c>
      <c r="J550" t="s">
        <v>253</v>
      </c>
      <c r="K550" t="s">
        <v>2822</v>
      </c>
    </row>
    <row r="551" spans="1:11" x14ac:dyDescent="0.25">
      <c r="A551" t="s">
        <v>2160</v>
      </c>
      <c r="B551" t="s">
        <v>214</v>
      </c>
      <c r="I551" t="s">
        <v>1638</v>
      </c>
      <c r="J551" t="s">
        <v>253</v>
      </c>
      <c r="K551" t="s">
        <v>2822</v>
      </c>
    </row>
    <row r="552" spans="1:11" x14ac:dyDescent="0.25">
      <c r="A552" t="s">
        <v>1317</v>
      </c>
      <c r="B552" t="s">
        <v>214</v>
      </c>
      <c r="C552">
        <v>1.45</v>
      </c>
      <c r="I552" t="s">
        <v>2113</v>
      </c>
      <c r="J552" t="s">
        <v>253</v>
      </c>
      <c r="K552" t="s">
        <v>2822</v>
      </c>
    </row>
    <row r="553" spans="1:11" x14ac:dyDescent="0.25">
      <c r="A553" t="s">
        <v>1318</v>
      </c>
      <c r="B553" t="s">
        <v>214</v>
      </c>
      <c r="C553">
        <v>1.82</v>
      </c>
      <c r="I553" t="s">
        <v>1702</v>
      </c>
      <c r="J553" t="s">
        <v>253</v>
      </c>
      <c r="K553" t="s">
        <v>2822</v>
      </c>
    </row>
    <row r="554" spans="1:11" x14ac:dyDescent="0.25">
      <c r="A554" t="s">
        <v>1724</v>
      </c>
      <c r="B554" t="s">
        <v>214</v>
      </c>
      <c r="I554" t="s">
        <v>1311</v>
      </c>
      <c r="J554" t="s">
        <v>253</v>
      </c>
      <c r="K554" t="s">
        <v>2822</v>
      </c>
    </row>
    <row r="555" spans="1:11" x14ac:dyDescent="0.25">
      <c r="A555" t="s">
        <v>1960</v>
      </c>
      <c r="B555" t="s">
        <v>214</v>
      </c>
      <c r="I555" t="s">
        <v>1312</v>
      </c>
      <c r="J555" t="s">
        <v>253</v>
      </c>
      <c r="K555" t="s">
        <v>2822</v>
      </c>
    </row>
    <row r="556" spans="1:11" x14ac:dyDescent="0.25">
      <c r="A556" t="s">
        <v>1319</v>
      </c>
      <c r="B556" t="s">
        <v>214</v>
      </c>
      <c r="C556">
        <v>2.1800000000000002</v>
      </c>
      <c r="I556" t="s">
        <v>1313</v>
      </c>
      <c r="J556" t="s">
        <v>253</v>
      </c>
      <c r="K556" t="s">
        <v>2822</v>
      </c>
    </row>
    <row r="557" spans="1:11" x14ac:dyDescent="0.25">
      <c r="A557" t="s">
        <v>2179</v>
      </c>
      <c r="B557" t="s">
        <v>214</v>
      </c>
      <c r="I557" t="s">
        <v>1314</v>
      </c>
      <c r="J557" t="s">
        <v>253</v>
      </c>
      <c r="K557" t="s">
        <v>2822</v>
      </c>
    </row>
    <row r="558" spans="1:11" x14ac:dyDescent="0.25">
      <c r="A558" t="s">
        <v>1320</v>
      </c>
      <c r="B558" t="s">
        <v>214</v>
      </c>
      <c r="C558">
        <v>1.0900000000000001</v>
      </c>
      <c r="I558" t="s">
        <v>1315</v>
      </c>
      <c r="J558" t="s">
        <v>253</v>
      </c>
      <c r="K558" t="s">
        <v>2822</v>
      </c>
    </row>
    <row r="559" spans="1:11" x14ac:dyDescent="0.25">
      <c r="A559" t="s">
        <v>1321</v>
      </c>
      <c r="B559" t="s">
        <v>214</v>
      </c>
      <c r="C559">
        <v>1.82</v>
      </c>
      <c r="I559" t="s">
        <v>2176</v>
      </c>
      <c r="J559" t="s">
        <v>253</v>
      </c>
      <c r="K559" t="s">
        <v>2822</v>
      </c>
    </row>
    <row r="560" spans="1:11" x14ac:dyDescent="0.25">
      <c r="A560" t="s">
        <v>2169</v>
      </c>
      <c r="B560" t="s">
        <v>214</v>
      </c>
      <c r="I560" t="s">
        <v>1316</v>
      </c>
      <c r="J560" t="s">
        <v>253</v>
      </c>
      <c r="K560" t="s">
        <v>2822</v>
      </c>
    </row>
    <row r="561" spans="1:11" x14ac:dyDescent="0.25">
      <c r="A561" t="s">
        <v>2178</v>
      </c>
      <c r="B561" t="s">
        <v>214</v>
      </c>
      <c r="I561" t="s">
        <v>2126</v>
      </c>
      <c r="J561" t="s">
        <v>253</v>
      </c>
      <c r="K561" t="s">
        <v>2822</v>
      </c>
    </row>
    <row r="562" spans="1:11" x14ac:dyDescent="0.25">
      <c r="A562" t="s">
        <v>1322</v>
      </c>
      <c r="B562" t="s">
        <v>214</v>
      </c>
      <c r="C562">
        <v>5.45</v>
      </c>
      <c r="I562" t="s">
        <v>2160</v>
      </c>
      <c r="J562" t="s">
        <v>253</v>
      </c>
      <c r="K562" t="s">
        <v>2822</v>
      </c>
    </row>
    <row r="563" spans="1:11" x14ac:dyDescent="0.25">
      <c r="A563" t="s">
        <v>1944</v>
      </c>
      <c r="B563" t="s">
        <v>214</v>
      </c>
      <c r="I563" t="s">
        <v>1317</v>
      </c>
      <c r="J563" t="s">
        <v>253</v>
      </c>
      <c r="K563" t="s">
        <v>2822</v>
      </c>
    </row>
    <row r="564" spans="1:11" x14ac:dyDescent="0.25">
      <c r="A564" t="s">
        <v>1959</v>
      </c>
      <c r="B564" t="s">
        <v>214</v>
      </c>
      <c r="I564" t="s">
        <v>1318</v>
      </c>
      <c r="J564" t="s">
        <v>253</v>
      </c>
      <c r="K564" t="s">
        <v>2822</v>
      </c>
    </row>
    <row r="565" spans="1:11" x14ac:dyDescent="0.25">
      <c r="A565" t="s">
        <v>1942</v>
      </c>
      <c r="B565" t="s">
        <v>214</v>
      </c>
      <c r="I565" t="s">
        <v>1724</v>
      </c>
      <c r="J565" t="s">
        <v>253</v>
      </c>
      <c r="K565" t="s">
        <v>2822</v>
      </c>
    </row>
    <row r="566" spans="1:11" x14ac:dyDescent="0.25">
      <c r="A566" t="s">
        <v>1943</v>
      </c>
      <c r="B566" t="s">
        <v>214</v>
      </c>
      <c r="I566" t="s">
        <v>1960</v>
      </c>
      <c r="J566" t="s">
        <v>253</v>
      </c>
      <c r="K566" t="s">
        <v>2822</v>
      </c>
    </row>
    <row r="567" spans="1:11" x14ac:dyDescent="0.25">
      <c r="A567" t="s">
        <v>2074</v>
      </c>
      <c r="B567" t="s">
        <v>214</v>
      </c>
      <c r="I567" t="s">
        <v>1319</v>
      </c>
      <c r="J567" t="s">
        <v>253</v>
      </c>
      <c r="K567" t="s">
        <v>2822</v>
      </c>
    </row>
    <row r="568" spans="1:11" x14ac:dyDescent="0.25">
      <c r="A568" t="s">
        <v>1964</v>
      </c>
      <c r="B568" t="s">
        <v>214</v>
      </c>
      <c r="I568" t="s">
        <v>2179</v>
      </c>
      <c r="J568" t="s">
        <v>253</v>
      </c>
      <c r="K568" t="s">
        <v>2822</v>
      </c>
    </row>
    <row r="569" spans="1:11" x14ac:dyDescent="0.25">
      <c r="A569" t="s">
        <v>1965</v>
      </c>
      <c r="B569" t="s">
        <v>214</v>
      </c>
      <c r="I569" t="s">
        <v>1320</v>
      </c>
      <c r="J569" t="s">
        <v>253</v>
      </c>
      <c r="K569" t="s">
        <v>2822</v>
      </c>
    </row>
    <row r="570" spans="1:11" x14ac:dyDescent="0.25">
      <c r="A570" t="s">
        <v>2046</v>
      </c>
      <c r="B570" t="s">
        <v>214</v>
      </c>
      <c r="I570" t="s">
        <v>1321</v>
      </c>
      <c r="J570" t="s">
        <v>253</v>
      </c>
      <c r="K570" t="s">
        <v>2822</v>
      </c>
    </row>
    <row r="571" spans="1:11" x14ac:dyDescent="0.25">
      <c r="A571" t="s">
        <v>1901</v>
      </c>
      <c r="B571" t="s">
        <v>214</v>
      </c>
      <c r="I571" t="s">
        <v>2169</v>
      </c>
      <c r="J571" t="s">
        <v>253</v>
      </c>
      <c r="K571" t="s">
        <v>2822</v>
      </c>
    </row>
    <row r="572" spans="1:11" x14ac:dyDescent="0.25">
      <c r="A572" t="s">
        <v>2506</v>
      </c>
      <c r="B572" t="s">
        <v>214</v>
      </c>
      <c r="I572" t="s">
        <v>2178</v>
      </c>
      <c r="J572" t="s">
        <v>253</v>
      </c>
      <c r="K572" t="s">
        <v>2822</v>
      </c>
    </row>
    <row r="573" spans="1:11" x14ac:dyDescent="0.25">
      <c r="A573" t="s">
        <v>2526</v>
      </c>
      <c r="B573" t="s">
        <v>214</v>
      </c>
      <c r="I573" t="s">
        <v>1322</v>
      </c>
      <c r="J573" t="s">
        <v>253</v>
      </c>
      <c r="K573" t="s">
        <v>2822</v>
      </c>
    </row>
    <row r="574" spans="1:11" x14ac:dyDescent="0.25">
      <c r="A574" t="s">
        <v>2525</v>
      </c>
      <c r="B574" t="s">
        <v>214</v>
      </c>
      <c r="I574" t="s">
        <v>1944</v>
      </c>
      <c r="J574" t="s">
        <v>253</v>
      </c>
      <c r="K574" t="s">
        <v>2822</v>
      </c>
    </row>
    <row r="575" spans="1:11" x14ac:dyDescent="0.25">
      <c r="A575" t="s">
        <v>1631</v>
      </c>
      <c r="B575" t="s">
        <v>214</v>
      </c>
      <c r="I575" t="s">
        <v>1959</v>
      </c>
      <c r="J575" t="s">
        <v>253</v>
      </c>
      <c r="K575" t="s">
        <v>2822</v>
      </c>
    </row>
    <row r="576" spans="1:11" x14ac:dyDescent="0.25">
      <c r="A576" t="s">
        <v>2471</v>
      </c>
      <c r="B576" t="s">
        <v>214</v>
      </c>
      <c r="I576" t="s">
        <v>1942</v>
      </c>
      <c r="J576" t="s">
        <v>253</v>
      </c>
      <c r="K576" t="s">
        <v>2822</v>
      </c>
    </row>
    <row r="577" spans="1:11" x14ac:dyDescent="0.25">
      <c r="A577" t="s">
        <v>2518</v>
      </c>
      <c r="B577" t="s">
        <v>214</v>
      </c>
      <c r="I577" t="s">
        <v>1943</v>
      </c>
      <c r="J577" t="s">
        <v>253</v>
      </c>
      <c r="K577" t="s">
        <v>2822</v>
      </c>
    </row>
    <row r="578" spans="1:11" x14ac:dyDescent="0.25">
      <c r="A578" t="s">
        <v>2524</v>
      </c>
      <c r="B578" t="s">
        <v>214</v>
      </c>
      <c r="I578" t="s">
        <v>2074</v>
      </c>
      <c r="J578" t="s">
        <v>253</v>
      </c>
      <c r="K578" t="s">
        <v>2822</v>
      </c>
    </row>
    <row r="579" spans="1:11" x14ac:dyDescent="0.25">
      <c r="A579" t="s">
        <v>1853</v>
      </c>
      <c r="B579" t="s">
        <v>214</v>
      </c>
      <c r="I579" t="s">
        <v>1964</v>
      </c>
      <c r="J579" t="s">
        <v>253</v>
      </c>
      <c r="K579" t="s">
        <v>2822</v>
      </c>
    </row>
    <row r="580" spans="1:11" x14ac:dyDescent="0.25">
      <c r="A580" t="s">
        <v>2474</v>
      </c>
      <c r="B580" t="s">
        <v>214</v>
      </c>
      <c r="I580" t="s">
        <v>1965</v>
      </c>
      <c r="J580" t="s">
        <v>253</v>
      </c>
      <c r="K580" t="s">
        <v>2822</v>
      </c>
    </row>
    <row r="581" spans="1:11" x14ac:dyDescent="0.25">
      <c r="A581" t="s">
        <v>2458</v>
      </c>
      <c r="B581" t="s">
        <v>214</v>
      </c>
      <c r="I581" t="s">
        <v>2046</v>
      </c>
      <c r="J581" t="s">
        <v>253</v>
      </c>
      <c r="K581" t="s">
        <v>2822</v>
      </c>
    </row>
    <row r="582" spans="1:11" x14ac:dyDescent="0.25">
      <c r="A582" t="s">
        <v>2399</v>
      </c>
      <c r="B582" t="s">
        <v>214</v>
      </c>
      <c r="I582" t="s">
        <v>1901</v>
      </c>
      <c r="J582" t="s">
        <v>253</v>
      </c>
      <c r="K582" t="s">
        <v>2822</v>
      </c>
    </row>
    <row r="583" spans="1:11" x14ac:dyDescent="0.25">
      <c r="A583" t="s">
        <v>2473</v>
      </c>
      <c r="B583" t="s">
        <v>214</v>
      </c>
      <c r="I583" t="s">
        <v>2506</v>
      </c>
      <c r="J583" t="s">
        <v>253</v>
      </c>
      <c r="K583" t="s">
        <v>2822</v>
      </c>
    </row>
    <row r="584" spans="1:11" x14ac:dyDescent="0.25">
      <c r="A584" t="s">
        <v>2051</v>
      </c>
      <c r="B584" t="s">
        <v>214</v>
      </c>
      <c r="I584" t="s">
        <v>2526</v>
      </c>
      <c r="J584" t="s">
        <v>253</v>
      </c>
      <c r="K584" t="s">
        <v>2822</v>
      </c>
    </row>
    <row r="585" spans="1:11" x14ac:dyDescent="0.25">
      <c r="A585" t="s">
        <v>2052</v>
      </c>
      <c r="B585" t="s">
        <v>214</v>
      </c>
      <c r="I585" t="s">
        <v>2525</v>
      </c>
      <c r="J585" t="s">
        <v>253</v>
      </c>
      <c r="K585" t="s">
        <v>2822</v>
      </c>
    </row>
    <row r="586" spans="1:11" x14ac:dyDescent="0.25">
      <c r="A586" t="s">
        <v>2455</v>
      </c>
      <c r="B586" t="s">
        <v>214</v>
      </c>
      <c r="I586" t="s">
        <v>1631</v>
      </c>
      <c r="J586" t="s">
        <v>253</v>
      </c>
      <c r="K586" t="s">
        <v>2822</v>
      </c>
    </row>
    <row r="587" spans="1:11" x14ac:dyDescent="0.25">
      <c r="A587" t="s">
        <v>2454</v>
      </c>
      <c r="B587" t="s">
        <v>214</v>
      </c>
      <c r="I587" t="s">
        <v>2471</v>
      </c>
      <c r="J587" t="s">
        <v>253</v>
      </c>
      <c r="K587" t="s">
        <v>2822</v>
      </c>
    </row>
    <row r="588" spans="1:11" x14ac:dyDescent="0.25">
      <c r="A588" t="s">
        <v>2395</v>
      </c>
      <c r="B588" t="s">
        <v>214</v>
      </c>
      <c r="I588" t="s">
        <v>2518</v>
      </c>
      <c r="J588" t="s">
        <v>253</v>
      </c>
      <c r="K588" t="s">
        <v>2822</v>
      </c>
    </row>
    <row r="589" spans="1:11" x14ac:dyDescent="0.25">
      <c r="A589" t="s">
        <v>2390</v>
      </c>
      <c r="B589" t="s">
        <v>214</v>
      </c>
      <c r="I589" t="s">
        <v>2524</v>
      </c>
      <c r="J589" t="s">
        <v>253</v>
      </c>
      <c r="K589" t="s">
        <v>2822</v>
      </c>
    </row>
    <row r="590" spans="1:11" x14ac:dyDescent="0.25">
      <c r="A590" t="s">
        <v>2059</v>
      </c>
      <c r="B590" t="s">
        <v>214</v>
      </c>
      <c r="I590" t="s">
        <v>1853</v>
      </c>
      <c r="J590" t="s">
        <v>253</v>
      </c>
      <c r="K590" t="s">
        <v>2822</v>
      </c>
    </row>
    <row r="591" spans="1:11" x14ac:dyDescent="0.25">
      <c r="A591" t="s">
        <v>1876</v>
      </c>
      <c r="B591" t="s">
        <v>214</v>
      </c>
      <c r="I591" t="s">
        <v>2474</v>
      </c>
      <c r="J591" t="s">
        <v>253</v>
      </c>
      <c r="K591" t="s">
        <v>2822</v>
      </c>
    </row>
    <row r="592" spans="1:11" x14ac:dyDescent="0.25">
      <c r="A592" t="s">
        <v>1875</v>
      </c>
      <c r="B592" t="s">
        <v>214</v>
      </c>
      <c r="I592" t="s">
        <v>2458</v>
      </c>
      <c r="J592" t="s">
        <v>253</v>
      </c>
      <c r="K592" t="s">
        <v>2822</v>
      </c>
    </row>
    <row r="593" spans="1:11" x14ac:dyDescent="0.25">
      <c r="A593" t="s">
        <v>2438</v>
      </c>
      <c r="B593" t="s">
        <v>214</v>
      </c>
      <c r="I593" t="s">
        <v>2399</v>
      </c>
      <c r="J593" t="s">
        <v>253</v>
      </c>
      <c r="K593" t="s">
        <v>2822</v>
      </c>
    </row>
    <row r="594" spans="1:11" x14ac:dyDescent="0.25">
      <c r="A594" t="s">
        <v>1723</v>
      </c>
      <c r="B594" t="s">
        <v>214</v>
      </c>
      <c r="I594" t="s">
        <v>2473</v>
      </c>
      <c r="J594" t="s">
        <v>253</v>
      </c>
      <c r="K594" t="s">
        <v>2822</v>
      </c>
    </row>
    <row r="595" spans="1:11" x14ac:dyDescent="0.25">
      <c r="A595" t="s">
        <v>1966</v>
      </c>
      <c r="B595" t="s">
        <v>214</v>
      </c>
      <c r="I595" t="s">
        <v>2051</v>
      </c>
      <c r="J595" t="s">
        <v>253</v>
      </c>
      <c r="K595" t="s">
        <v>2822</v>
      </c>
    </row>
    <row r="596" spans="1:11" x14ac:dyDescent="0.25">
      <c r="A596" t="s">
        <v>1967</v>
      </c>
      <c r="B596" t="s">
        <v>214</v>
      </c>
      <c r="I596" t="s">
        <v>2052</v>
      </c>
      <c r="J596" t="s">
        <v>253</v>
      </c>
      <c r="K596" t="s">
        <v>2822</v>
      </c>
    </row>
    <row r="597" spans="1:11" x14ac:dyDescent="0.25">
      <c r="A597" t="s">
        <v>1968</v>
      </c>
      <c r="B597" t="s">
        <v>214</v>
      </c>
      <c r="I597" t="s">
        <v>2455</v>
      </c>
      <c r="J597" t="s">
        <v>253</v>
      </c>
      <c r="K597" t="s">
        <v>2822</v>
      </c>
    </row>
    <row r="598" spans="1:11" x14ac:dyDescent="0.25">
      <c r="A598" t="s">
        <v>2057</v>
      </c>
      <c r="B598" t="s">
        <v>214</v>
      </c>
      <c r="I598" t="s">
        <v>2454</v>
      </c>
      <c r="J598" t="s">
        <v>253</v>
      </c>
      <c r="K598" t="s">
        <v>2822</v>
      </c>
    </row>
    <row r="599" spans="1:11" x14ac:dyDescent="0.25">
      <c r="A599" t="s">
        <v>2079</v>
      </c>
      <c r="B599" t="s">
        <v>214</v>
      </c>
      <c r="I599" t="s">
        <v>2395</v>
      </c>
      <c r="J599" t="s">
        <v>253</v>
      </c>
      <c r="K599" t="s">
        <v>2822</v>
      </c>
    </row>
    <row r="600" spans="1:11" x14ac:dyDescent="0.25">
      <c r="A600" t="s">
        <v>2080</v>
      </c>
      <c r="B600" t="s">
        <v>214</v>
      </c>
      <c r="I600" t="s">
        <v>2390</v>
      </c>
      <c r="J600" t="s">
        <v>253</v>
      </c>
      <c r="K600" t="s">
        <v>2822</v>
      </c>
    </row>
    <row r="601" spans="1:11" x14ac:dyDescent="0.25">
      <c r="A601" t="s">
        <v>2077</v>
      </c>
      <c r="B601" t="s">
        <v>214</v>
      </c>
      <c r="I601" t="s">
        <v>2059</v>
      </c>
      <c r="J601" t="s">
        <v>253</v>
      </c>
      <c r="K601" t="s">
        <v>2822</v>
      </c>
    </row>
    <row r="602" spans="1:11" x14ac:dyDescent="0.25">
      <c r="A602" t="s">
        <v>2078</v>
      </c>
      <c r="B602" t="s">
        <v>214</v>
      </c>
      <c r="I602" t="s">
        <v>1876</v>
      </c>
      <c r="J602" t="s">
        <v>253</v>
      </c>
      <c r="K602" t="s">
        <v>2822</v>
      </c>
    </row>
    <row r="603" spans="1:11" x14ac:dyDescent="0.25">
      <c r="A603" t="s">
        <v>2054</v>
      </c>
      <c r="B603" t="s">
        <v>214</v>
      </c>
      <c r="I603" t="s">
        <v>1875</v>
      </c>
      <c r="J603" t="s">
        <v>253</v>
      </c>
      <c r="K603" t="s">
        <v>2822</v>
      </c>
    </row>
    <row r="604" spans="1:11" x14ac:dyDescent="0.25">
      <c r="A604" t="s">
        <v>2520</v>
      </c>
      <c r="B604" t="s">
        <v>214</v>
      </c>
      <c r="I604" t="s">
        <v>2438</v>
      </c>
      <c r="J604" t="s">
        <v>253</v>
      </c>
      <c r="K604" t="s">
        <v>2822</v>
      </c>
    </row>
    <row r="605" spans="1:11" x14ac:dyDescent="0.25">
      <c r="A605" t="s">
        <v>2465</v>
      </c>
      <c r="B605" t="s">
        <v>214</v>
      </c>
      <c r="I605" t="s">
        <v>1723</v>
      </c>
      <c r="J605" t="s">
        <v>253</v>
      </c>
      <c r="K605" t="s">
        <v>2822</v>
      </c>
    </row>
    <row r="606" spans="1:11" x14ac:dyDescent="0.25">
      <c r="A606" t="s">
        <v>2402</v>
      </c>
      <c r="B606" t="s">
        <v>214</v>
      </c>
      <c r="I606" t="s">
        <v>1966</v>
      </c>
      <c r="J606" t="s">
        <v>253</v>
      </c>
      <c r="K606" t="s">
        <v>2822</v>
      </c>
    </row>
    <row r="607" spans="1:11" x14ac:dyDescent="0.25">
      <c r="A607" t="s">
        <v>1714</v>
      </c>
      <c r="B607" t="s">
        <v>214</v>
      </c>
      <c r="I607" t="s">
        <v>1967</v>
      </c>
      <c r="J607" t="s">
        <v>253</v>
      </c>
      <c r="K607" t="s">
        <v>2822</v>
      </c>
    </row>
    <row r="608" spans="1:11" x14ac:dyDescent="0.25">
      <c r="A608" t="s">
        <v>2485</v>
      </c>
      <c r="B608" t="s">
        <v>214</v>
      </c>
      <c r="C608">
        <v>0</v>
      </c>
      <c r="I608" t="s">
        <v>1968</v>
      </c>
      <c r="J608" t="s">
        <v>253</v>
      </c>
      <c r="K608" t="s">
        <v>2822</v>
      </c>
    </row>
    <row r="609" spans="1:11" x14ac:dyDescent="0.25">
      <c r="A609" t="s">
        <v>1738</v>
      </c>
      <c r="B609" t="s">
        <v>214</v>
      </c>
      <c r="I609" t="s">
        <v>2057</v>
      </c>
      <c r="J609" t="s">
        <v>253</v>
      </c>
      <c r="K609" t="s">
        <v>2822</v>
      </c>
    </row>
    <row r="610" spans="1:11" x14ac:dyDescent="0.25">
      <c r="A610" t="s">
        <v>1406</v>
      </c>
      <c r="B610" t="s">
        <v>214</v>
      </c>
      <c r="I610" t="s">
        <v>2079</v>
      </c>
      <c r="J610" t="s">
        <v>253</v>
      </c>
      <c r="K610" t="s">
        <v>2822</v>
      </c>
    </row>
    <row r="611" spans="1:11" x14ac:dyDescent="0.25">
      <c r="A611" t="s">
        <v>1326</v>
      </c>
      <c r="B611" t="s">
        <v>214</v>
      </c>
      <c r="C611">
        <v>1.82</v>
      </c>
      <c r="I611" t="s">
        <v>2080</v>
      </c>
      <c r="J611" t="s">
        <v>253</v>
      </c>
      <c r="K611" t="s">
        <v>2822</v>
      </c>
    </row>
    <row r="612" spans="1:11" x14ac:dyDescent="0.25">
      <c r="A612" t="s">
        <v>1327</v>
      </c>
      <c r="B612" t="s">
        <v>214</v>
      </c>
      <c r="C612">
        <v>1.82</v>
      </c>
      <c r="I612" t="s">
        <v>2077</v>
      </c>
      <c r="J612" t="s">
        <v>253</v>
      </c>
      <c r="K612" t="s">
        <v>2822</v>
      </c>
    </row>
    <row r="613" spans="1:11" x14ac:dyDescent="0.25">
      <c r="A613" t="s">
        <v>2116</v>
      </c>
      <c r="B613" t="s">
        <v>214</v>
      </c>
      <c r="I613" t="s">
        <v>2078</v>
      </c>
      <c r="J613" t="s">
        <v>253</v>
      </c>
      <c r="K613" t="s">
        <v>2822</v>
      </c>
    </row>
    <row r="614" spans="1:11" x14ac:dyDescent="0.25">
      <c r="A614" t="s">
        <v>1405</v>
      </c>
      <c r="B614" t="s">
        <v>214</v>
      </c>
      <c r="I614" t="s">
        <v>2054</v>
      </c>
      <c r="J614" t="s">
        <v>253</v>
      </c>
      <c r="K614" t="s">
        <v>2822</v>
      </c>
    </row>
    <row r="615" spans="1:11" x14ac:dyDescent="0.25">
      <c r="A615" t="s">
        <v>2089</v>
      </c>
      <c r="B615" t="s">
        <v>214</v>
      </c>
      <c r="I615" t="s">
        <v>2520</v>
      </c>
      <c r="J615" t="s">
        <v>253</v>
      </c>
      <c r="K615" t="s">
        <v>2822</v>
      </c>
    </row>
    <row r="616" spans="1:11" x14ac:dyDescent="0.25">
      <c r="A616" t="s">
        <v>1404</v>
      </c>
      <c r="B616" t="s">
        <v>214</v>
      </c>
      <c r="I616" t="s">
        <v>2465</v>
      </c>
      <c r="J616" t="s">
        <v>253</v>
      </c>
      <c r="K616" t="s">
        <v>2822</v>
      </c>
    </row>
    <row r="617" spans="1:11" x14ac:dyDescent="0.25">
      <c r="A617" t="s">
        <v>1502</v>
      </c>
      <c r="B617" t="s">
        <v>214</v>
      </c>
      <c r="I617" t="s">
        <v>2402</v>
      </c>
      <c r="J617" t="s">
        <v>253</v>
      </c>
      <c r="K617" t="s">
        <v>2822</v>
      </c>
    </row>
    <row r="618" spans="1:11" x14ac:dyDescent="0.25">
      <c r="A618" t="s">
        <v>2124</v>
      </c>
      <c r="B618" t="s">
        <v>214</v>
      </c>
      <c r="I618" t="s">
        <v>1714</v>
      </c>
      <c r="J618" t="s">
        <v>253</v>
      </c>
      <c r="K618" t="s">
        <v>2822</v>
      </c>
    </row>
    <row r="619" spans="1:11" x14ac:dyDescent="0.25">
      <c r="A619" t="s">
        <v>2184</v>
      </c>
      <c r="B619" t="s">
        <v>214</v>
      </c>
      <c r="I619" t="s">
        <v>2485</v>
      </c>
      <c r="J619" t="s">
        <v>253</v>
      </c>
      <c r="K619" t="s">
        <v>2822</v>
      </c>
    </row>
    <row r="620" spans="1:11" x14ac:dyDescent="0.25">
      <c r="A620" t="s">
        <v>1726</v>
      </c>
      <c r="B620" t="s">
        <v>214</v>
      </c>
      <c r="C620">
        <v>18.18</v>
      </c>
      <c r="I620" t="s">
        <v>1738</v>
      </c>
      <c r="J620" t="s">
        <v>253</v>
      </c>
      <c r="K620" t="s">
        <v>2822</v>
      </c>
    </row>
    <row r="621" spans="1:11" x14ac:dyDescent="0.25">
      <c r="A621" t="s">
        <v>1329</v>
      </c>
      <c r="B621" t="s">
        <v>214</v>
      </c>
      <c r="C621">
        <v>1.82</v>
      </c>
      <c r="I621" t="s">
        <v>1406</v>
      </c>
      <c r="J621" t="s">
        <v>253</v>
      </c>
      <c r="K621" t="s">
        <v>2822</v>
      </c>
    </row>
    <row r="622" spans="1:11" x14ac:dyDescent="0.25">
      <c r="A622" t="s">
        <v>2145</v>
      </c>
      <c r="B622" t="s">
        <v>214</v>
      </c>
      <c r="I622" t="s">
        <v>1326</v>
      </c>
      <c r="J622" t="s">
        <v>253</v>
      </c>
      <c r="K622" t="s">
        <v>2822</v>
      </c>
    </row>
    <row r="623" spans="1:11" x14ac:dyDescent="0.25">
      <c r="A623" t="s">
        <v>2185</v>
      </c>
      <c r="B623" t="s">
        <v>214</v>
      </c>
      <c r="I623" t="s">
        <v>1327</v>
      </c>
      <c r="J623" t="s">
        <v>253</v>
      </c>
      <c r="K623" t="s">
        <v>2822</v>
      </c>
    </row>
    <row r="624" spans="1:11" x14ac:dyDescent="0.25">
      <c r="A624" t="s">
        <v>2060</v>
      </c>
      <c r="B624" t="s">
        <v>214</v>
      </c>
      <c r="I624" t="s">
        <v>2116</v>
      </c>
      <c r="J624" t="s">
        <v>253</v>
      </c>
      <c r="K624" t="s">
        <v>2822</v>
      </c>
    </row>
    <row r="625" spans="1:11" x14ac:dyDescent="0.25">
      <c r="A625" t="s">
        <v>1858</v>
      </c>
      <c r="B625" t="s">
        <v>214</v>
      </c>
      <c r="I625" t="s">
        <v>1405</v>
      </c>
      <c r="J625" t="s">
        <v>253</v>
      </c>
      <c r="K625" t="s">
        <v>2822</v>
      </c>
    </row>
    <row r="626" spans="1:11" x14ac:dyDescent="0.25">
      <c r="A626" t="s">
        <v>1826</v>
      </c>
      <c r="B626" t="s">
        <v>214</v>
      </c>
      <c r="I626" t="s">
        <v>2089</v>
      </c>
      <c r="J626" t="s">
        <v>253</v>
      </c>
      <c r="K626" t="s">
        <v>2822</v>
      </c>
    </row>
    <row r="627" spans="1:11" x14ac:dyDescent="0.25">
      <c r="A627" t="s">
        <v>2088</v>
      </c>
      <c r="B627" t="s">
        <v>214</v>
      </c>
      <c r="I627" t="s">
        <v>2633</v>
      </c>
      <c r="J627" t="s">
        <v>253</v>
      </c>
      <c r="K627" t="s">
        <v>2822</v>
      </c>
    </row>
    <row r="628" spans="1:11" x14ac:dyDescent="0.25">
      <c r="A628" t="s">
        <v>2094</v>
      </c>
      <c r="B628" t="s">
        <v>214</v>
      </c>
      <c r="I628" t="s">
        <v>1404</v>
      </c>
      <c r="J628" t="s">
        <v>253</v>
      </c>
      <c r="K628" t="s">
        <v>2822</v>
      </c>
    </row>
    <row r="629" spans="1:11" x14ac:dyDescent="0.25">
      <c r="A629" t="s">
        <v>1546</v>
      </c>
      <c r="B629" t="s">
        <v>214</v>
      </c>
      <c r="I629" t="s">
        <v>1502</v>
      </c>
      <c r="J629" t="s">
        <v>253</v>
      </c>
      <c r="K629" t="s">
        <v>2822</v>
      </c>
    </row>
    <row r="630" spans="1:11" x14ac:dyDescent="0.25">
      <c r="A630" t="s">
        <v>2075</v>
      </c>
      <c r="B630" t="s">
        <v>214</v>
      </c>
      <c r="I630" t="s">
        <v>2124</v>
      </c>
      <c r="J630" t="s">
        <v>253</v>
      </c>
      <c r="K630" t="s">
        <v>2822</v>
      </c>
    </row>
    <row r="631" spans="1:11" x14ac:dyDescent="0.25">
      <c r="A631" t="s">
        <v>2186</v>
      </c>
      <c r="B631" t="s">
        <v>214</v>
      </c>
      <c r="I631" t="s">
        <v>2184</v>
      </c>
      <c r="J631" t="s">
        <v>253</v>
      </c>
      <c r="K631" t="s">
        <v>2822</v>
      </c>
    </row>
    <row r="632" spans="1:11" x14ac:dyDescent="0.25">
      <c r="A632" t="s">
        <v>2187</v>
      </c>
      <c r="B632" t="s">
        <v>214</v>
      </c>
      <c r="I632" t="s">
        <v>1726</v>
      </c>
      <c r="J632" t="s">
        <v>253</v>
      </c>
      <c r="K632" t="s">
        <v>2822</v>
      </c>
    </row>
    <row r="633" spans="1:11" x14ac:dyDescent="0.25">
      <c r="A633" t="s">
        <v>2188</v>
      </c>
      <c r="B633" t="s">
        <v>214</v>
      </c>
      <c r="I633" t="s">
        <v>1329</v>
      </c>
      <c r="J633" t="s">
        <v>253</v>
      </c>
      <c r="K633" t="s">
        <v>2822</v>
      </c>
    </row>
    <row r="634" spans="1:11" x14ac:dyDescent="0.25">
      <c r="A634" t="s">
        <v>2403</v>
      </c>
      <c r="B634" t="s">
        <v>214</v>
      </c>
      <c r="I634" t="s">
        <v>2145</v>
      </c>
      <c r="J634" t="s">
        <v>253</v>
      </c>
      <c r="K634" t="s">
        <v>2822</v>
      </c>
    </row>
    <row r="635" spans="1:11" x14ac:dyDescent="0.25">
      <c r="A635" t="s">
        <v>1499</v>
      </c>
      <c r="B635" t="s">
        <v>214</v>
      </c>
      <c r="I635" t="s">
        <v>2185</v>
      </c>
      <c r="J635" t="s">
        <v>253</v>
      </c>
      <c r="K635" t="s">
        <v>2822</v>
      </c>
    </row>
    <row r="636" spans="1:11" x14ac:dyDescent="0.25">
      <c r="A636" t="s">
        <v>2189</v>
      </c>
      <c r="B636" t="s">
        <v>214</v>
      </c>
      <c r="I636" t="s">
        <v>2060</v>
      </c>
      <c r="J636" t="s">
        <v>253</v>
      </c>
      <c r="K636" t="s">
        <v>2822</v>
      </c>
    </row>
    <row r="637" spans="1:11" x14ac:dyDescent="0.25">
      <c r="A637" t="s">
        <v>1953</v>
      </c>
      <c r="B637" t="s">
        <v>214</v>
      </c>
      <c r="I637" t="s">
        <v>1858</v>
      </c>
      <c r="J637" t="s">
        <v>253</v>
      </c>
      <c r="K637" t="s">
        <v>2822</v>
      </c>
    </row>
    <row r="638" spans="1:11" x14ac:dyDescent="0.25">
      <c r="A638" t="s">
        <v>2404</v>
      </c>
      <c r="B638" t="s">
        <v>214</v>
      </c>
      <c r="I638" t="s">
        <v>1826</v>
      </c>
      <c r="J638" t="s">
        <v>253</v>
      </c>
      <c r="K638" t="s">
        <v>2822</v>
      </c>
    </row>
    <row r="639" spans="1:11" x14ac:dyDescent="0.25">
      <c r="A639" t="s">
        <v>2489</v>
      </c>
      <c r="B639" t="s">
        <v>214</v>
      </c>
      <c r="I639" t="s">
        <v>2088</v>
      </c>
      <c r="J639" t="s">
        <v>253</v>
      </c>
      <c r="K639" t="s">
        <v>2822</v>
      </c>
    </row>
    <row r="640" spans="1:11" x14ac:dyDescent="0.25">
      <c r="A640" t="s">
        <v>2488</v>
      </c>
      <c r="B640" t="s">
        <v>214</v>
      </c>
      <c r="I640" t="s">
        <v>2094</v>
      </c>
      <c r="J640" t="s">
        <v>253</v>
      </c>
      <c r="K640" t="s">
        <v>2822</v>
      </c>
    </row>
    <row r="641" spans="1:11" x14ac:dyDescent="0.25">
      <c r="A641" t="s">
        <v>2487</v>
      </c>
      <c r="B641" t="s">
        <v>214</v>
      </c>
      <c r="I641" t="s">
        <v>1546</v>
      </c>
      <c r="J641" t="s">
        <v>253</v>
      </c>
      <c r="K641" t="s">
        <v>2822</v>
      </c>
    </row>
    <row r="642" spans="1:11" x14ac:dyDescent="0.25">
      <c r="A642" t="s">
        <v>1334</v>
      </c>
      <c r="B642" t="s">
        <v>214</v>
      </c>
      <c r="C642">
        <v>3.64</v>
      </c>
      <c r="I642" t="s">
        <v>2075</v>
      </c>
      <c r="J642" t="s">
        <v>253</v>
      </c>
      <c r="K642" t="s">
        <v>2822</v>
      </c>
    </row>
    <row r="643" spans="1:11" x14ac:dyDescent="0.25">
      <c r="A643" t="s">
        <v>2396</v>
      </c>
      <c r="B643" t="s">
        <v>214</v>
      </c>
      <c r="I643" t="s">
        <v>2186</v>
      </c>
      <c r="J643" t="s">
        <v>253</v>
      </c>
      <c r="K643" t="s">
        <v>2822</v>
      </c>
    </row>
    <row r="644" spans="1:11" x14ac:dyDescent="0.25">
      <c r="A644" t="s">
        <v>2457</v>
      </c>
      <c r="B644" t="s">
        <v>214</v>
      </c>
      <c r="I644" t="s">
        <v>2187</v>
      </c>
      <c r="J644" t="s">
        <v>253</v>
      </c>
      <c r="K644" t="s">
        <v>2822</v>
      </c>
    </row>
    <row r="645" spans="1:11" x14ac:dyDescent="0.25">
      <c r="A645" t="s">
        <v>2398</v>
      </c>
      <c r="B645" t="s">
        <v>214</v>
      </c>
      <c r="I645" t="s">
        <v>2188</v>
      </c>
      <c r="J645" t="s">
        <v>253</v>
      </c>
      <c r="K645" t="s">
        <v>2822</v>
      </c>
    </row>
    <row r="646" spans="1:11" x14ac:dyDescent="0.25">
      <c r="A646" t="s">
        <v>2529</v>
      </c>
      <c r="B646" t="s">
        <v>214</v>
      </c>
      <c r="I646" t="s">
        <v>2403</v>
      </c>
      <c r="J646" t="s">
        <v>253</v>
      </c>
      <c r="K646" t="s">
        <v>2822</v>
      </c>
    </row>
    <row r="647" spans="1:11" x14ac:dyDescent="0.25">
      <c r="A647" t="s">
        <v>2467</v>
      </c>
      <c r="B647" t="s">
        <v>214</v>
      </c>
      <c r="I647" t="s">
        <v>1499</v>
      </c>
      <c r="J647" t="s">
        <v>253</v>
      </c>
      <c r="K647" t="s">
        <v>2822</v>
      </c>
    </row>
    <row r="648" spans="1:11" x14ac:dyDescent="0.25">
      <c r="A648" t="s">
        <v>2432</v>
      </c>
      <c r="B648" t="s">
        <v>214</v>
      </c>
      <c r="I648" t="s">
        <v>2189</v>
      </c>
      <c r="J648" t="s">
        <v>253</v>
      </c>
      <c r="K648" t="s">
        <v>2822</v>
      </c>
    </row>
    <row r="649" spans="1:11" x14ac:dyDescent="0.25">
      <c r="A649" t="s">
        <v>2431</v>
      </c>
      <c r="B649" t="s">
        <v>214</v>
      </c>
      <c r="I649" t="s">
        <v>1953</v>
      </c>
      <c r="J649" t="s">
        <v>253</v>
      </c>
      <c r="K649" t="s">
        <v>2822</v>
      </c>
    </row>
    <row r="650" spans="1:11" x14ac:dyDescent="0.25">
      <c r="A650" t="s">
        <v>2391</v>
      </c>
      <c r="B650" t="s">
        <v>214</v>
      </c>
      <c r="I650" t="s">
        <v>2404</v>
      </c>
      <c r="J650" t="s">
        <v>253</v>
      </c>
      <c r="K650" t="s">
        <v>2822</v>
      </c>
    </row>
    <row r="651" spans="1:11" x14ac:dyDescent="0.25">
      <c r="A651" t="s">
        <v>2459</v>
      </c>
      <c r="B651" t="s">
        <v>214</v>
      </c>
      <c r="I651" t="s">
        <v>2489</v>
      </c>
      <c r="J651" t="s">
        <v>253</v>
      </c>
      <c r="K651" t="s">
        <v>2822</v>
      </c>
    </row>
    <row r="652" spans="1:11" x14ac:dyDescent="0.25">
      <c r="A652" t="s">
        <v>2397</v>
      </c>
      <c r="B652" t="s">
        <v>214</v>
      </c>
      <c r="I652" t="s">
        <v>2488</v>
      </c>
      <c r="J652" t="s">
        <v>253</v>
      </c>
      <c r="K652" t="s">
        <v>2822</v>
      </c>
    </row>
    <row r="653" spans="1:11" x14ac:dyDescent="0.25">
      <c r="A653" t="s">
        <v>2475</v>
      </c>
      <c r="B653" t="s">
        <v>214</v>
      </c>
      <c r="I653" t="s">
        <v>2487</v>
      </c>
      <c r="J653" t="s">
        <v>253</v>
      </c>
      <c r="K653" t="s">
        <v>2822</v>
      </c>
    </row>
    <row r="654" spans="1:11" x14ac:dyDescent="0.25">
      <c r="A654" t="s">
        <v>2315</v>
      </c>
      <c r="B654" t="s">
        <v>214</v>
      </c>
      <c r="I654" t="s">
        <v>1334</v>
      </c>
      <c r="J654" t="s">
        <v>253</v>
      </c>
      <c r="K654" t="s">
        <v>2822</v>
      </c>
    </row>
    <row r="655" spans="1:11" x14ac:dyDescent="0.25">
      <c r="A655" t="s">
        <v>2316</v>
      </c>
      <c r="B655" t="s">
        <v>214</v>
      </c>
      <c r="I655" t="s">
        <v>2396</v>
      </c>
      <c r="J655" t="s">
        <v>253</v>
      </c>
      <c r="K655" t="s">
        <v>2822</v>
      </c>
    </row>
    <row r="656" spans="1:11" x14ac:dyDescent="0.25">
      <c r="A656" t="s">
        <v>2532</v>
      </c>
      <c r="B656" t="s">
        <v>214</v>
      </c>
      <c r="I656" t="s">
        <v>2457</v>
      </c>
      <c r="J656" t="s">
        <v>253</v>
      </c>
      <c r="K656" t="s">
        <v>2822</v>
      </c>
    </row>
    <row r="657" spans="1:11" x14ac:dyDescent="0.25">
      <c r="A657" t="s">
        <v>2317</v>
      </c>
      <c r="B657" t="s">
        <v>214</v>
      </c>
      <c r="I657" t="s">
        <v>2398</v>
      </c>
      <c r="J657" t="s">
        <v>253</v>
      </c>
      <c r="K657" t="s">
        <v>2822</v>
      </c>
    </row>
    <row r="658" spans="1:11" x14ac:dyDescent="0.25">
      <c r="A658" t="s">
        <v>2415</v>
      </c>
      <c r="B658" t="s">
        <v>214</v>
      </c>
      <c r="I658" t="s">
        <v>2529</v>
      </c>
      <c r="J658" t="s">
        <v>253</v>
      </c>
      <c r="K658" t="s">
        <v>2822</v>
      </c>
    </row>
    <row r="659" spans="1:11" x14ac:dyDescent="0.25">
      <c r="A659" t="s">
        <v>2318</v>
      </c>
      <c r="B659" t="s">
        <v>214</v>
      </c>
      <c r="I659" t="s">
        <v>2467</v>
      </c>
      <c r="J659" t="s">
        <v>253</v>
      </c>
      <c r="K659" t="s">
        <v>2822</v>
      </c>
    </row>
    <row r="660" spans="1:11" x14ac:dyDescent="0.25">
      <c r="A660" t="s">
        <v>2319</v>
      </c>
      <c r="B660" t="s">
        <v>214</v>
      </c>
      <c r="I660" t="s">
        <v>2432</v>
      </c>
      <c r="J660" t="s">
        <v>253</v>
      </c>
      <c r="K660" t="s">
        <v>2822</v>
      </c>
    </row>
    <row r="661" spans="1:11" x14ac:dyDescent="0.25">
      <c r="A661" t="s">
        <v>2320</v>
      </c>
      <c r="B661" t="s">
        <v>214</v>
      </c>
      <c r="I661" t="s">
        <v>2431</v>
      </c>
      <c r="J661" t="s">
        <v>253</v>
      </c>
      <c r="K661" t="s">
        <v>2822</v>
      </c>
    </row>
    <row r="662" spans="1:11" x14ac:dyDescent="0.25">
      <c r="A662" t="s">
        <v>2073</v>
      </c>
      <c r="B662" t="s">
        <v>214</v>
      </c>
      <c r="I662" t="s">
        <v>2391</v>
      </c>
      <c r="J662" t="s">
        <v>253</v>
      </c>
      <c r="K662" t="s">
        <v>2822</v>
      </c>
    </row>
    <row r="663" spans="1:11" x14ac:dyDescent="0.25">
      <c r="A663" t="s">
        <v>2071</v>
      </c>
      <c r="B663" t="s">
        <v>214</v>
      </c>
      <c r="I663" t="s">
        <v>2459</v>
      </c>
      <c r="J663" t="s">
        <v>253</v>
      </c>
      <c r="K663" t="s">
        <v>2822</v>
      </c>
    </row>
    <row r="664" spans="1:11" x14ac:dyDescent="0.25">
      <c r="A664" t="s">
        <v>2086</v>
      </c>
      <c r="B664" t="s">
        <v>214</v>
      </c>
      <c r="I664" t="s">
        <v>2397</v>
      </c>
      <c r="J664" t="s">
        <v>253</v>
      </c>
      <c r="K664" t="s">
        <v>2822</v>
      </c>
    </row>
    <row r="665" spans="1:11" x14ac:dyDescent="0.25">
      <c r="A665" t="s">
        <v>1575</v>
      </c>
      <c r="B665" t="s">
        <v>214</v>
      </c>
      <c r="I665" t="s">
        <v>2475</v>
      </c>
      <c r="J665" t="s">
        <v>253</v>
      </c>
      <c r="K665" t="s">
        <v>2822</v>
      </c>
    </row>
    <row r="666" spans="1:11" x14ac:dyDescent="0.25">
      <c r="A666" t="s">
        <v>1335</v>
      </c>
      <c r="B666" t="s">
        <v>214</v>
      </c>
      <c r="C666">
        <v>1.0900000000000001</v>
      </c>
      <c r="I666" t="s">
        <v>2315</v>
      </c>
      <c r="J666" t="s">
        <v>253</v>
      </c>
      <c r="K666" t="s">
        <v>2822</v>
      </c>
    </row>
    <row r="667" spans="1:11" x14ac:dyDescent="0.25">
      <c r="A667" t="s">
        <v>1336</v>
      </c>
      <c r="B667" t="s">
        <v>214</v>
      </c>
      <c r="C667">
        <v>0.36</v>
      </c>
      <c r="I667" t="s">
        <v>2316</v>
      </c>
      <c r="J667" t="s">
        <v>253</v>
      </c>
      <c r="K667" t="s">
        <v>2822</v>
      </c>
    </row>
    <row r="668" spans="1:11" x14ac:dyDescent="0.25">
      <c r="A668" t="s">
        <v>1574</v>
      </c>
      <c r="B668" t="s">
        <v>214</v>
      </c>
      <c r="I668" t="s">
        <v>2532</v>
      </c>
      <c r="J668" t="s">
        <v>253</v>
      </c>
      <c r="K668" t="s">
        <v>2822</v>
      </c>
    </row>
    <row r="669" spans="1:11" x14ac:dyDescent="0.25">
      <c r="A669" t="s">
        <v>1954</v>
      </c>
      <c r="B669" t="s">
        <v>214</v>
      </c>
      <c r="I669" t="s">
        <v>2317</v>
      </c>
      <c r="J669" t="s">
        <v>253</v>
      </c>
      <c r="K669" t="s">
        <v>2822</v>
      </c>
    </row>
    <row r="670" spans="1:11" x14ac:dyDescent="0.25">
      <c r="A670" t="s">
        <v>2218</v>
      </c>
      <c r="B670" t="s">
        <v>214</v>
      </c>
      <c r="I670" t="s">
        <v>2415</v>
      </c>
      <c r="J670" t="s">
        <v>253</v>
      </c>
      <c r="K670" t="s">
        <v>2822</v>
      </c>
    </row>
    <row r="671" spans="1:11" x14ac:dyDescent="0.25">
      <c r="A671" t="s">
        <v>1337</v>
      </c>
      <c r="B671" t="s">
        <v>214</v>
      </c>
      <c r="C671">
        <v>0.73</v>
      </c>
      <c r="I671" t="s">
        <v>2318</v>
      </c>
      <c r="J671" t="s">
        <v>253</v>
      </c>
      <c r="K671" t="s">
        <v>2822</v>
      </c>
    </row>
    <row r="672" spans="1:11" x14ac:dyDescent="0.25">
      <c r="A672" t="s">
        <v>1949</v>
      </c>
      <c r="B672" t="s">
        <v>214</v>
      </c>
      <c r="I672" t="s">
        <v>2319</v>
      </c>
      <c r="J672" t="s">
        <v>253</v>
      </c>
      <c r="K672" t="s">
        <v>2822</v>
      </c>
    </row>
    <row r="673" spans="1:11" x14ac:dyDescent="0.25">
      <c r="A673" t="s">
        <v>1572</v>
      </c>
      <c r="B673" t="s">
        <v>214</v>
      </c>
      <c r="I673" t="s">
        <v>2320</v>
      </c>
      <c r="J673" t="s">
        <v>253</v>
      </c>
      <c r="K673" t="s">
        <v>2822</v>
      </c>
    </row>
    <row r="674" spans="1:11" x14ac:dyDescent="0.25">
      <c r="A674" t="s">
        <v>2198</v>
      </c>
      <c r="B674" t="s">
        <v>214</v>
      </c>
      <c r="I674" t="s">
        <v>2073</v>
      </c>
      <c r="J674" t="s">
        <v>253</v>
      </c>
      <c r="K674" t="s">
        <v>2822</v>
      </c>
    </row>
    <row r="675" spans="1:11" x14ac:dyDescent="0.25">
      <c r="A675" t="s">
        <v>2267</v>
      </c>
      <c r="B675" t="s">
        <v>214</v>
      </c>
      <c r="I675" t="s">
        <v>2071</v>
      </c>
      <c r="J675" t="s">
        <v>253</v>
      </c>
      <c r="K675" t="s">
        <v>2822</v>
      </c>
    </row>
    <row r="676" spans="1:11" x14ac:dyDescent="0.25">
      <c r="A676" t="s">
        <v>2247</v>
      </c>
      <c r="B676" t="s">
        <v>214</v>
      </c>
      <c r="I676" t="s">
        <v>2086</v>
      </c>
      <c r="J676" t="s">
        <v>253</v>
      </c>
      <c r="K676" t="s">
        <v>2822</v>
      </c>
    </row>
    <row r="677" spans="1:11" x14ac:dyDescent="0.25">
      <c r="A677" t="s">
        <v>1946</v>
      </c>
      <c r="B677" t="s">
        <v>214</v>
      </c>
      <c r="I677" t="s">
        <v>1575</v>
      </c>
      <c r="J677" t="s">
        <v>253</v>
      </c>
      <c r="K677" t="s">
        <v>2822</v>
      </c>
    </row>
    <row r="678" spans="1:11" x14ac:dyDescent="0.25">
      <c r="A678" t="s">
        <v>1559</v>
      </c>
      <c r="B678" t="s">
        <v>214</v>
      </c>
      <c r="C678">
        <v>1.0900000000000001</v>
      </c>
      <c r="I678" t="s">
        <v>1335</v>
      </c>
      <c r="J678" t="s">
        <v>253</v>
      </c>
      <c r="K678" t="s">
        <v>2822</v>
      </c>
    </row>
    <row r="679" spans="1:11" x14ac:dyDescent="0.25">
      <c r="A679" t="s">
        <v>1338</v>
      </c>
      <c r="B679" t="s">
        <v>214</v>
      </c>
      <c r="C679">
        <v>0.73</v>
      </c>
      <c r="I679" t="s">
        <v>1336</v>
      </c>
      <c r="J679" t="s">
        <v>253</v>
      </c>
      <c r="K679" t="s">
        <v>2822</v>
      </c>
    </row>
    <row r="680" spans="1:11" x14ac:dyDescent="0.25">
      <c r="A680" t="s">
        <v>1339</v>
      </c>
      <c r="B680" t="s">
        <v>214</v>
      </c>
      <c r="C680">
        <v>0.36</v>
      </c>
      <c r="I680" t="s">
        <v>1574</v>
      </c>
      <c r="J680" t="s">
        <v>253</v>
      </c>
      <c r="K680" t="s">
        <v>2822</v>
      </c>
    </row>
    <row r="681" spans="1:11" x14ac:dyDescent="0.25">
      <c r="A681" t="s">
        <v>906</v>
      </c>
      <c r="B681" t="s">
        <v>214</v>
      </c>
      <c r="C681">
        <v>5.45</v>
      </c>
      <c r="I681" t="s">
        <v>1954</v>
      </c>
      <c r="J681" t="s">
        <v>253</v>
      </c>
      <c r="K681" t="s">
        <v>2822</v>
      </c>
    </row>
    <row r="682" spans="1:11" x14ac:dyDescent="0.25">
      <c r="A682" t="s">
        <v>2129</v>
      </c>
      <c r="B682" t="s">
        <v>214</v>
      </c>
      <c r="I682" t="s">
        <v>2218</v>
      </c>
      <c r="J682" t="s">
        <v>253</v>
      </c>
      <c r="K682" t="s">
        <v>2822</v>
      </c>
    </row>
    <row r="683" spans="1:11" x14ac:dyDescent="0.25">
      <c r="A683" t="s">
        <v>905</v>
      </c>
      <c r="B683" t="s">
        <v>214</v>
      </c>
      <c r="C683">
        <v>1.0900000000000001</v>
      </c>
      <c r="I683" t="s">
        <v>1337</v>
      </c>
      <c r="J683" t="s">
        <v>253</v>
      </c>
      <c r="K683" t="s">
        <v>2822</v>
      </c>
    </row>
    <row r="684" spans="1:11" x14ac:dyDescent="0.25">
      <c r="A684" t="s">
        <v>1561</v>
      </c>
      <c r="B684" t="s">
        <v>214</v>
      </c>
      <c r="I684" t="s">
        <v>1949</v>
      </c>
      <c r="J684" t="s">
        <v>253</v>
      </c>
      <c r="K684" t="s">
        <v>2822</v>
      </c>
    </row>
    <row r="685" spans="1:11" x14ac:dyDescent="0.25">
      <c r="A685" t="s">
        <v>907</v>
      </c>
      <c r="B685" t="s">
        <v>214</v>
      </c>
      <c r="C685">
        <v>1.0900000000000001</v>
      </c>
      <c r="I685" t="s">
        <v>1572</v>
      </c>
      <c r="J685" t="s">
        <v>253</v>
      </c>
      <c r="K685" t="s">
        <v>2822</v>
      </c>
    </row>
    <row r="686" spans="1:11" x14ac:dyDescent="0.25">
      <c r="A686" t="s">
        <v>2428</v>
      </c>
      <c r="B686" t="s">
        <v>214</v>
      </c>
      <c r="I686" t="s">
        <v>2198</v>
      </c>
      <c r="J686" t="s">
        <v>253</v>
      </c>
      <c r="K686" t="s">
        <v>2822</v>
      </c>
    </row>
    <row r="687" spans="1:11" x14ac:dyDescent="0.25">
      <c r="A687" t="s">
        <v>1554</v>
      </c>
      <c r="B687" t="s">
        <v>214</v>
      </c>
      <c r="C687">
        <v>0.73</v>
      </c>
      <c r="I687" t="s">
        <v>2267</v>
      </c>
      <c r="J687" t="s">
        <v>253</v>
      </c>
      <c r="K687" t="s">
        <v>2822</v>
      </c>
    </row>
    <row r="688" spans="1:11" x14ac:dyDescent="0.25">
      <c r="A688" t="s">
        <v>1560</v>
      </c>
      <c r="B688" t="s">
        <v>214</v>
      </c>
      <c r="C688">
        <v>1.82</v>
      </c>
      <c r="I688" t="s">
        <v>2247</v>
      </c>
      <c r="J688" t="s">
        <v>253</v>
      </c>
      <c r="K688" t="s">
        <v>2822</v>
      </c>
    </row>
    <row r="689" spans="1:11" x14ac:dyDescent="0.25">
      <c r="A689" t="s">
        <v>1557</v>
      </c>
      <c r="B689" t="s">
        <v>214</v>
      </c>
      <c r="C689">
        <v>1.82</v>
      </c>
      <c r="I689" t="s">
        <v>1946</v>
      </c>
      <c r="J689" t="s">
        <v>253</v>
      </c>
      <c r="K689" t="s">
        <v>2822</v>
      </c>
    </row>
    <row r="690" spans="1:11" x14ac:dyDescent="0.25">
      <c r="A690" t="s">
        <v>2427</v>
      </c>
      <c r="B690" t="s">
        <v>214</v>
      </c>
      <c r="I690" t="s">
        <v>1559</v>
      </c>
      <c r="J690" t="s">
        <v>253</v>
      </c>
      <c r="K690" t="s">
        <v>2822</v>
      </c>
    </row>
    <row r="691" spans="1:11" x14ac:dyDescent="0.25">
      <c r="A691" t="s">
        <v>2361</v>
      </c>
      <c r="B691" t="s">
        <v>214</v>
      </c>
      <c r="I691" t="s">
        <v>1338</v>
      </c>
      <c r="J691" t="s">
        <v>253</v>
      </c>
      <c r="K691" t="s">
        <v>2822</v>
      </c>
    </row>
    <row r="692" spans="1:11" x14ac:dyDescent="0.25">
      <c r="A692" t="s">
        <v>1556</v>
      </c>
      <c r="B692" t="s">
        <v>214</v>
      </c>
      <c r="I692" t="s">
        <v>1339</v>
      </c>
      <c r="J692" t="s">
        <v>253</v>
      </c>
      <c r="K692" t="s">
        <v>2822</v>
      </c>
    </row>
    <row r="693" spans="1:11" x14ac:dyDescent="0.25">
      <c r="A693" t="s">
        <v>1555</v>
      </c>
      <c r="B693" t="s">
        <v>214</v>
      </c>
      <c r="I693" t="s">
        <v>906</v>
      </c>
      <c r="J693" t="s">
        <v>253</v>
      </c>
      <c r="K693" t="s">
        <v>2822</v>
      </c>
    </row>
    <row r="694" spans="1:11" x14ac:dyDescent="0.25">
      <c r="A694" t="s">
        <v>1558</v>
      </c>
      <c r="B694" t="s">
        <v>214</v>
      </c>
      <c r="C694">
        <v>3.64</v>
      </c>
      <c r="I694" t="s">
        <v>2129</v>
      </c>
      <c r="J694" t="s">
        <v>253</v>
      </c>
      <c r="K694" t="s">
        <v>2822</v>
      </c>
    </row>
    <row r="695" spans="1:11" x14ac:dyDescent="0.25">
      <c r="A695" t="s">
        <v>1564</v>
      </c>
      <c r="B695" t="s">
        <v>214</v>
      </c>
      <c r="C695">
        <v>0.73</v>
      </c>
      <c r="I695" t="s">
        <v>905</v>
      </c>
      <c r="J695" t="s">
        <v>253</v>
      </c>
      <c r="K695" t="s">
        <v>2822</v>
      </c>
    </row>
    <row r="696" spans="1:11" x14ac:dyDescent="0.25">
      <c r="A696" t="s">
        <v>2303</v>
      </c>
      <c r="B696" t="s">
        <v>214</v>
      </c>
      <c r="I696" t="s">
        <v>1561</v>
      </c>
      <c r="J696" t="s">
        <v>253</v>
      </c>
      <c r="K696" t="s">
        <v>2822</v>
      </c>
    </row>
    <row r="697" spans="1:11" x14ac:dyDescent="0.25">
      <c r="A697" t="s">
        <v>1562</v>
      </c>
      <c r="B697" t="s">
        <v>214</v>
      </c>
      <c r="I697" t="s">
        <v>907</v>
      </c>
      <c r="J697" t="s">
        <v>253</v>
      </c>
      <c r="K697" t="s">
        <v>2822</v>
      </c>
    </row>
    <row r="698" spans="1:11" x14ac:dyDescent="0.25">
      <c r="A698" t="s">
        <v>2366</v>
      </c>
      <c r="B698" t="s">
        <v>214</v>
      </c>
      <c r="I698" t="s">
        <v>2428</v>
      </c>
      <c r="J698" t="s">
        <v>253</v>
      </c>
      <c r="K698" t="s">
        <v>2822</v>
      </c>
    </row>
    <row r="699" spans="1:11" x14ac:dyDescent="0.25">
      <c r="A699" t="s">
        <v>2204</v>
      </c>
      <c r="B699" t="s">
        <v>214</v>
      </c>
      <c r="I699" t="s">
        <v>1554</v>
      </c>
      <c r="J699" t="s">
        <v>253</v>
      </c>
      <c r="K699" t="s">
        <v>2822</v>
      </c>
    </row>
    <row r="700" spans="1:11" x14ac:dyDescent="0.25">
      <c r="A700" t="s">
        <v>2444</v>
      </c>
      <c r="B700" t="s">
        <v>214</v>
      </c>
      <c r="I700" t="s">
        <v>1560</v>
      </c>
      <c r="J700" t="s">
        <v>253</v>
      </c>
      <c r="K700" t="s">
        <v>2822</v>
      </c>
    </row>
    <row r="701" spans="1:11" x14ac:dyDescent="0.25">
      <c r="A701" t="s">
        <v>1520</v>
      </c>
      <c r="B701" t="s">
        <v>214</v>
      </c>
      <c r="C701">
        <v>1.0900000000000001</v>
      </c>
      <c r="I701" t="s">
        <v>1557</v>
      </c>
      <c r="J701" t="s">
        <v>253</v>
      </c>
      <c r="K701" t="s">
        <v>2822</v>
      </c>
    </row>
    <row r="702" spans="1:11" x14ac:dyDescent="0.25">
      <c r="A702" t="s">
        <v>2305</v>
      </c>
      <c r="B702" t="s">
        <v>214</v>
      </c>
      <c r="I702" t="s">
        <v>2427</v>
      </c>
      <c r="J702" t="s">
        <v>253</v>
      </c>
      <c r="K702" t="s">
        <v>2822</v>
      </c>
    </row>
    <row r="703" spans="1:11" x14ac:dyDescent="0.25">
      <c r="A703" t="s">
        <v>2576</v>
      </c>
      <c r="B703" t="s">
        <v>214</v>
      </c>
      <c r="C703">
        <v>0</v>
      </c>
      <c r="I703" t="s">
        <v>2361</v>
      </c>
      <c r="J703" t="s">
        <v>253</v>
      </c>
      <c r="K703" t="s">
        <v>2822</v>
      </c>
    </row>
    <row r="704" spans="1:11" x14ac:dyDescent="0.25">
      <c r="A704" t="s">
        <v>1427</v>
      </c>
      <c r="B704" t="s">
        <v>214</v>
      </c>
      <c r="C704">
        <v>1.0900000000000001</v>
      </c>
      <c r="I704" t="s">
        <v>1556</v>
      </c>
      <c r="J704" t="s">
        <v>253</v>
      </c>
      <c r="K704" t="s">
        <v>2822</v>
      </c>
    </row>
    <row r="705" spans="1:11" x14ac:dyDescent="0.25">
      <c r="A705" t="s">
        <v>2359</v>
      </c>
      <c r="B705" t="s">
        <v>214</v>
      </c>
      <c r="C705">
        <v>0</v>
      </c>
      <c r="I705" t="s">
        <v>1555</v>
      </c>
      <c r="J705" t="s">
        <v>253</v>
      </c>
      <c r="K705" t="s">
        <v>2822</v>
      </c>
    </row>
    <row r="706" spans="1:11" x14ac:dyDescent="0.25">
      <c r="A706" t="s">
        <v>2362</v>
      </c>
      <c r="B706" t="s">
        <v>214</v>
      </c>
      <c r="I706" t="s">
        <v>1558</v>
      </c>
      <c r="J706" t="s">
        <v>253</v>
      </c>
      <c r="K706" t="s">
        <v>2822</v>
      </c>
    </row>
    <row r="707" spans="1:11" x14ac:dyDescent="0.25">
      <c r="A707" t="s">
        <v>2322</v>
      </c>
      <c r="B707" t="s">
        <v>214</v>
      </c>
      <c r="I707" t="s">
        <v>1564</v>
      </c>
      <c r="J707" t="s">
        <v>253</v>
      </c>
      <c r="K707" t="s">
        <v>2822</v>
      </c>
    </row>
    <row r="708" spans="1:11" x14ac:dyDescent="0.25">
      <c r="A708" t="s">
        <v>1461</v>
      </c>
      <c r="B708" t="s">
        <v>214</v>
      </c>
      <c r="C708">
        <v>1.0900000000000001</v>
      </c>
      <c r="I708" t="s">
        <v>2303</v>
      </c>
      <c r="J708" t="s">
        <v>253</v>
      </c>
      <c r="K708" t="s">
        <v>2822</v>
      </c>
    </row>
    <row r="709" spans="1:11" x14ac:dyDescent="0.25">
      <c r="A709" t="s">
        <v>2372</v>
      </c>
      <c r="B709" t="s">
        <v>214</v>
      </c>
      <c r="I709" t="s">
        <v>1562</v>
      </c>
      <c r="J709" t="s">
        <v>253</v>
      </c>
      <c r="K709" t="s">
        <v>2822</v>
      </c>
    </row>
    <row r="710" spans="1:11" x14ac:dyDescent="0.25">
      <c r="A710" t="s">
        <v>2273</v>
      </c>
      <c r="B710" t="s">
        <v>214</v>
      </c>
      <c r="C710">
        <v>0</v>
      </c>
      <c r="I710" t="s">
        <v>2366</v>
      </c>
      <c r="J710" t="s">
        <v>253</v>
      </c>
      <c r="K710" t="s">
        <v>2822</v>
      </c>
    </row>
    <row r="711" spans="1:11" x14ac:dyDescent="0.25">
      <c r="A711" t="s">
        <v>1420</v>
      </c>
      <c r="B711" t="s">
        <v>214</v>
      </c>
      <c r="C711">
        <v>1.82</v>
      </c>
      <c r="I711" t="s">
        <v>2204</v>
      </c>
      <c r="J711" t="s">
        <v>253</v>
      </c>
      <c r="K711" t="s">
        <v>2822</v>
      </c>
    </row>
    <row r="712" spans="1:11" x14ac:dyDescent="0.25">
      <c r="A712" t="s">
        <v>1823</v>
      </c>
      <c r="B712" t="s">
        <v>214</v>
      </c>
      <c r="I712" t="s">
        <v>2444</v>
      </c>
      <c r="J712" t="s">
        <v>253</v>
      </c>
      <c r="K712" t="s">
        <v>2822</v>
      </c>
    </row>
    <row r="713" spans="1:11" x14ac:dyDescent="0.25">
      <c r="A713" t="s">
        <v>1455</v>
      </c>
      <c r="B713" t="s">
        <v>214</v>
      </c>
      <c r="C713">
        <v>0.73</v>
      </c>
      <c r="I713" t="s">
        <v>1520</v>
      </c>
      <c r="J713" t="s">
        <v>253</v>
      </c>
      <c r="K713" t="s">
        <v>2822</v>
      </c>
    </row>
    <row r="714" spans="1:11" x14ac:dyDescent="0.25">
      <c r="A714" t="s">
        <v>2357</v>
      </c>
      <c r="B714" t="s">
        <v>214</v>
      </c>
      <c r="I714" t="s">
        <v>2305</v>
      </c>
      <c r="J714" t="s">
        <v>253</v>
      </c>
      <c r="K714" t="s">
        <v>2822</v>
      </c>
    </row>
    <row r="715" spans="1:11" x14ac:dyDescent="0.25">
      <c r="A715" t="s">
        <v>1681</v>
      </c>
      <c r="B715" t="s">
        <v>214</v>
      </c>
      <c r="C715">
        <v>7.27</v>
      </c>
      <c r="I715" t="s">
        <v>2576</v>
      </c>
      <c r="J715" t="s">
        <v>253</v>
      </c>
      <c r="K715" t="s">
        <v>2822</v>
      </c>
    </row>
    <row r="716" spans="1:11" x14ac:dyDescent="0.25">
      <c r="A716" t="s">
        <v>2336</v>
      </c>
      <c r="B716" t="s">
        <v>214</v>
      </c>
      <c r="I716" t="s">
        <v>1427</v>
      </c>
      <c r="J716" t="s">
        <v>253</v>
      </c>
      <c r="K716" t="s">
        <v>2822</v>
      </c>
    </row>
    <row r="717" spans="1:11" x14ac:dyDescent="0.25">
      <c r="A717" t="s">
        <v>1443</v>
      </c>
      <c r="B717" t="s">
        <v>214</v>
      </c>
      <c r="C717">
        <v>0.73</v>
      </c>
      <c r="I717" t="s">
        <v>2359</v>
      </c>
      <c r="J717" t="s">
        <v>253</v>
      </c>
      <c r="K717" t="s">
        <v>2822</v>
      </c>
    </row>
    <row r="718" spans="1:11" x14ac:dyDescent="0.25">
      <c r="A718" t="s">
        <v>1846</v>
      </c>
      <c r="B718" t="s">
        <v>214</v>
      </c>
      <c r="I718" t="s">
        <v>2362</v>
      </c>
      <c r="J718" t="s">
        <v>253</v>
      </c>
      <c r="K718" t="s">
        <v>2822</v>
      </c>
    </row>
    <row r="719" spans="1:11" x14ac:dyDescent="0.25">
      <c r="A719" t="s">
        <v>2387</v>
      </c>
      <c r="B719" t="s">
        <v>214</v>
      </c>
      <c r="C719">
        <v>0</v>
      </c>
      <c r="I719" t="s">
        <v>2322</v>
      </c>
      <c r="J719" t="s">
        <v>253</v>
      </c>
      <c r="K719" t="s">
        <v>2822</v>
      </c>
    </row>
    <row r="720" spans="1:11" x14ac:dyDescent="0.25">
      <c r="A720" t="s">
        <v>1507</v>
      </c>
      <c r="B720" t="s">
        <v>214</v>
      </c>
      <c r="I720" t="s">
        <v>1461</v>
      </c>
      <c r="J720" t="s">
        <v>253</v>
      </c>
      <c r="K720" t="s">
        <v>2822</v>
      </c>
    </row>
    <row r="721" spans="1:11" x14ac:dyDescent="0.25">
      <c r="A721" t="s">
        <v>1505</v>
      </c>
      <c r="B721" t="s">
        <v>214</v>
      </c>
      <c r="I721" t="s">
        <v>2372</v>
      </c>
      <c r="J721" t="s">
        <v>253</v>
      </c>
      <c r="K721" t="s">
        <v>2822</v>
      </c>
    </row>
    <row r="722" spans="1:11" x14ac:dyDescent="0.25">
      <c r="A722" t="s">
        <v>908</v>
      </c>
      <c r="B722" t="s">
        <v>214</v>
      </c>
      <c r="C722">
        <v>3.64</v>
      </c>
      <c r="I722" t="s">
        <v>2273</v>
      </c>
      <c r="J722" t="s">
        <v>253</v>
      </c>
      <c r="K722" t="s">
        <v>2822</v>
      </c>
    </row>
    <row r="723" spans="1:11" x14ac:dyDescent="0.25">
      <c r="A723" t="s">
        <v>909</v>
      </c>
      <c r="B723" t="s">
        <v>214</v>
      </c>
      <c r="C723">
        <v>2.1800000000000002</v>
      </c>
      <c r="I723" t="s">
        <v>1420</v>
      </c>
      <c r="J723" t="s">
        <v>253</v>
      </c>
      <c r="K723" t="s">
        <v>2822</v>
      </c>
    </row>
    <row r="724" spans="1:11" x14ac:dyDescent="0.25">
      <c r="A724" t="s">
        <v>2356</v>
      </c>
      <c r="B724" t="s">
        <v>214</v>
      </c>
      <c r="I724" t="s">
        <v>1823</v>
      </c>
      <c r="J724" t="s">
        <v>253</v>
      </c>
      <c r="K724" t="s">
        <v>2822</v>
      </c>
    </row>
    <row r="725" spans="1:11" x14ac:dyDescent="0.25">
      <c r="A725" t="s">
        <v>1511</v>
      </c>
      <c r="B725" t="s">
        <v>214</v>
      </c>
      <c r="C725">
        <v>3.64</v>
      </c>
      <c r="I725" t="s">
        <v>1455</v>
      </c>
      <c r="J725" t="s">
        <v>253</v>
      </c>
      <c r="K725" t="s">
        <v>2822</v>
      </c>
    </row>
    <row r="726" spans="1:11" x14ac:dyDescent="0.25">
      <c r="A726" t="s">
        <v>2388</v>
      </c>
      <c r="B726" t="s">
        <v>214</v>
      </c>
      <c r="I726" t="s">
        <v>2357</v>
      </c>
      <c r="J726" t="s">
        <v>253</v>
      </c>
      <c r="K726" t="s">
        <v>2822</v>
      </c>
    </row>
    <row r="727" spans="1:11" x14ac:dyDescent="0.25">
      <c r="A727" t="s">
        <v>1506</v>
      </c>
      <c r="B727" t="s">
        <v>214</v>
      </c>
      <c r="C727">
        <v>0.36</v>
      </c>
      <c r="I727" t="s">
        <v>1681</v>
      </c>
      <c r="J727" t="s">
        <v>253</v>
      </c>
      <c r="K727" t="s">
        <v>2822</v>
      </c>
    </row>
    <row r="728" spans="1:11" x14ac:dyDescent="0.25">
      <c r="A728" t="s">
        <v>2297</v>
      </c>
      <c r="B728" t="s">
        <v>214</v>
      </c>
      <c r="I728" t="s">
        <v>2336</v>
      </c>
      <c r="J728" t="s">
        <v>253</v>
      </c>
      <c r="K728" t="s">
        <v>2822</v>
      </c>
    </row>
    <row r="729" spans="1:11" x14ac:dyDescent="0.25">
      <c r="A729" t="s">
        <v>2164</v>
      </c>
      <c r="B729" t="s">
        <v>214</v>
      </c>
      <c r="I729" t="s">
        <v>1443</v>
      </c>
      <c r="J729" t="s">
        <v>253</v>
      </c>
      <c r="K729" t="s">
        <v>2822</v>
      </c>
    </row>
    <row r="730" spans="1:11" x14ac:dyDescent="0.25">
      <c r="A730" t="s">
        <v>1340</v>
      </c>
      <c r="B730" t="s">
        <v>214</v>
      </c>
      <c r="C730">
        <v>3.64</v>
      </c>
      <c r="I730" t="s">
        <v>1846</v>
      </c>
      <c r="J730" t="s">
        <v>253</v>
      </c>
      <c r="K730" t="s">
        <v>2822</v>
      </c>
    </row>
    <row r="731" spans="1:11" x14ac:dyDescent="0.25">
      <c r="A731" t="s">
        <v>2153</v>
      </c>
      <c r="B731" t="s">
        <v>214</v>
      </c>
      <c r="I731" t="s">
        <v>2387</v>
      </c>
      <c r="J731" t="s">
        <v>253</v>
      </c>
      <c r="K731" t="s">
        <v>2822</v>
      </c>
    </row>
    <row r="732" spans="1:11" x14ac:dyDescent="0.25">
      <c r="A732" t="s">
        <v>1428</v>
      </c>
      <c r="B732" t="s">
        <v>214</v>
      </c>
      <c r="C732">
        <v>4.3600000000000003</v>
      </c>
      <c r="I732" t="s">
        <v>1507</v>
      </c>
      <c r="J732" t="s">
        <v>253</v>
      </c>
      <c r="K732" t="s">
        <v>2822</v>
      </c>
    </row>
    <row r="733" spans="1:11" x14ac:dyDescent="0.25">
      <c r="A733" t="s">
        <v>1341</v>
      </c>
      <c r="B733" t="s">
        <v>214</v>
      </c>
      <c r="C733">
        <v>1.82</v>
      </c>
      <c r="I733" t="s">
        <v>1505</v>
      </c>
      <c r="J733" t="s">
        <v>253</v>
      </c>
      <c r="K733" t="s">
        <v>2822</v>
      </c>
    </row>
    <row r="734" spans="1:11" x14ac:dyDescent="0.25">
      <c r="A734" t="s">
        <v>1449</v>
      </c>
      <c r="B734" t="s">
        <v>214</v>
      </c>
      <c r="I734" t="s">
        <v>908</v>
      </c>
      <c r="J734" t="s">
        <v>253</v>
      </c>
      <c r="K734" t="s">
        <v>2822</v>
      </c>
    </row>
    <row r="735" spans="1:11" x14ac:dyDescent="0.25">
      <c r="A735" t="s">
        <v>1819</v>
      </c>
      <c r="B735" t="s">
        <v>214</v>
      </c>
      <c r="I735" t="s">
        <v>909</v>
      </c>
      <c r="J735" t="s">
        <v>253</v>
      </c>
      <c r="K735" t="s">
        <v>2822</v>
      </c>
    </row>
    <row r="736" spans="1:11" x14ac:dyDescent="0.25">
      <c r="A736" t="s">
        <v>1816</v>
      </c>
      <c r="B736" t="s">
        <v>214</v>
      </c>
      <c r="C736">
        <v>36.36</v>
      </c>
      <c r="I736" t="s">
        <v>2356</v>
      </c>
      <c r="J736" t="s">
        <v>253</v>
      </c>
      <c r="K736" t="s">
        <v>2822</v>
      </c>
    </row>
    <row r="737" spans="1:11" x14ac:dyDescent="0.25">
      <c r="A737" t="s">
        <v>1820</v>
      </c>
      <c r="B737" t="s">
        <v>214</v>
      </c>
      <c r="C737">
        <v>1.0900000000000001</v>
      </c>
      <c r="I737" t="s">
        <v>1511</v>
      </c>
      <c r="J737" t="s">
        <v>253</v>
      </c>
      <c r="K737" t="s">
        <v>2822</v>
      </c>
    </row>
    <row r="738" spans="1:11" x14ac:dyDescent="0.25">
      <c r="A738" t="s">
        <v>1958</v>
      </c>
      <c r="B738" t="s">
        <v>214</v>
      </c>
      <c r="I738" t="s">
        <v>2388</v>
      </c>
      <c r="J738" t="s">
        <v>253</v>
      </c>
      <c r="K738" t="s">
        <v>2822</v>
      </c>
    </row>
    <row r="739" spans="1:11" x14ac:dyDescent="0.25">
      <c r="A739" t="s">
        <v>910</v>
      </c>
      <c r="B739" t="s">
        <v>214</v>
      </c>
      <c r="C739">
        <v>1.82</v>
      </c>
      <c r="I739" t="s">
        <v>1506</v>
      </c>
      <c r="J739" t="s">
        <v>253</v>
      </c>
      <c r="K739" t="s">
        <v>2822</v>
      </c>
    </row>
    <row r="740" spans="1:11" x14ac:dyDescent="0.25">
      <c r="A740" t="s">
        <v>911</v>
      </c>
      <c r="B740" t="s">
        <v>214</v>
      </c>
      <c r="C740">
        <v>1.82</v>
      </c>
      <c r="I740" t="s">
        <v>2297</v>
      </c>
      <c r="J740" t="s">
        <v>253</v>
      </c>
      <c r="K740" t="s">
        <v>2822</v>
      </c>
    </row>
    <row r="741" spans="1:11" x14ac:dyDescent="0.25">
      <c r="A741" t="s">
        <v>1629</v>
      </c>
      <c r="B741" t="s">
        <v>214</v>
      </c>
      <c r="I741" t="s">
        <v>2164</v>
      </c>
      <c r="J741" t="s">
        <v>253</v>
      </c>
      <c r="K741" t="s">
        <v>2822</v>
      </c>
    </row>
    <row r="742" spans="1:11" x14ac:dyDescent="0.25">
      <c r="A742" t="s">
        <v>1628</v>
      </c>
      <c r="B742" t="s">
        <v>214</v>
      </c>
      <c r="I742" t="s">
        <v>1340</v>
      </c>
      <c r="J742" t="s">
        <v>253</v>
      </c>
      <c r="K742" t="s">
        <v>2822</v>
      </c>
    </row>
    <row r="743" spans="1:11" x14ac:dyDescent="0.25">
      <c r="A743" t="s">
        <v>1855</v>
      </c>
      <c r="B743" t="s">
        <v>214</v>
      </c>
      <c r="C743">
        <v>1.45</v>
      </c>
      <c r="I743" t="s">
        <v>2153</v>
      </c>
      <c r="J743" t="s">
        <v>253</v>
      </c>
      <c r="K743" t="s">
        <v>2822</v>
      </c>
    </row>
    <row r="744" spans="1:11" x14ac:dyDescent="0.25">
      <c r="A744" t="s">
        <v>1625</v>
      </c>
      <c r="B744" t="s">
        <v>214</v>
      </c>
      <c r="I744" t="s">
        <v>1428</v>
      </c>
      <c r="J744" t="s">
        <v>253</v>
      </c>
      <c r="K744" t="s">
        <v>2822</v>
      </c>
    </row>
    <row r="745" spans="1:11" x14ac:dyDescent="0.25">
      <c r="A745" t="s">
        <v>2355</v>
      </c>
      <c r="B745" t="s">
        <v>214</v>
      </c>
      <c r="I745" t="s">
        <v>1341</v>
      </c>
      <c r="J745" t="s">
        <v>253</v>
      </c>
      <c r="K745" t="s">
        <v>2822</v>
      </c>
    </row>
    <row r="746" spans="1:11" x14ac:dyDescent="0.25">
      <c r="A746" t="s">
        <v>1627</v>
      </c>
      <c r="B746" t="s">
        <v>214</v>
      </c>
      <c r="C746">
        <v>1.0900000000000001</v>
      </c>
      <c r="I746" t="s">
        <v>1449</v>
      </c>
      <c r="J746" t="s">
        <v>253</v>
      </c>
      <c r="K746" t="s">
        <v>2822</v>
      </c>
    </row>
    <row r="747" spans="1:11" x14ac:dyDescent="0.25">
      <c r="A747" t="s">
        <v>1624</v>
      </c>
      <c r="B747" t="s">
        <v>214</v>
      </c>
      <c r="C747">
        <v>0.73</v>
      </c>
      <c r="I747" t="s">
        <v>1819</v>
      </c>
      <c r="J747" t="s">
        <v>253</v>
      </c>
      <c r="K747" t="s">
        <v>2822</v>
      </c>
    </row>
    <row r="748" spans="1:11" x14ac:dyDescent="0.25">
      <c r="A748" t="s">
        <v>2450</v>
      </c>
      <c r="B748" t="s">
        <v>214</v>
      </c>
      <c r="I748" t="s">
        <v>1816</v>
      </c>
      <c r="J748" t="s">
        <v>253</v>
      </c>
      <c r="K748" t="s">
        <v>2822</v>
      </c>
    </row>
    <row r="749" spans="1:11" x14ac:dyDescent="0.25">
      <c r="A749" t="s">
        <v>1342</v>
      </c>
      <c r="B749" t="s">
        <v>214</v>
      </c>
      <c r="C749">
        <v>2.1800000000000002</v>
      </c>
      <c r="I749" t="s">
        <v>1820</v>
      </c>
      <c r="J749" t="s">
        <v>253</v>
      </c>
      <c r="K749" t="s">
        <v>2822</v>
      </c>
    </row>
    <row r="750" spans="1:11" x14ac:dyDescent="0.25">
      <c r="A750" t="s">
        <v>1462</v>
      </c>
      <c r="B750" t="s">
        <v>214</v>
      </c>
      <c r="C750">
        <v>1.45</v>
      </c>
      <c r="I750" t="s">
        <v>1958</v>
      </c>
      <c r="J750" t="s">
        <v>253</v>
      </c>
      <c r="K750" t="s">
        <v>2822</v>
      </c>
    </row>
    <row r="751" spans="1:11" x14ac:dyDescent="0.25">
      <c r="A751" t="s">
        <v>2364</v>
      </c>
      <c r="B751" t="s">
        <v>214</v>
      </c>
      <c r="C751">
        <v>0</v>
      </c>
      <c r="I751" t="s">
        <v>910</v>
      </c>
      <c r="J751" t="s">
        <v>253</v>
      </c>
      <c r="K751" t="s">
        <v>2822</v>
      </c>
    </row>
    <row r="752" spans="1:11" x14ac:dyDescent="0.25">
      <c r="A752" t="s">
        <v>2333</v>
      </c>
      <c r="B752" t="s">
        <v>214</v>
      </c>
      <c r="C752">
        <v>0</v>
      </c>
      <c r="I752" t="s">
        <v>911</v>
      </c>
      <c r="J752" t="s">
        <v>253</v>
      </c>
      <c r="K752" t="s">
        <v>2822</v>
      </c>
    </row>
    <row r="753" spans="1:11" x14ac:dyDescent="0.25">
      <c r="A753" t="s">
        <v>2224</v>
      </c>
      <c r="B753" t="s">
        <v>214</v>
      </c>
      <c r="I753" t="s">
        <v>1629</v>
      </c>
      <c r="J753" t="s">
        <v>253</v>
      </c>
      <c r="K753" t="s">
        <v>2822</v>
      </c>
    </row>
    <row r="754" spans="1:11" x14ac:dyDescent="0.25">
      <c r="A754" t="s">
        <v>2577</v>
      </c>
      <c r="B754" t="s">
        <v>214</v>
      </c>
      <c r="C754">
        <v>0</v>
      </c>
      <c r="I754" t="s">
        <v>1628</v>
      </c>
      <c r="J754" t="s">
        <v>253</v>
      </c>
      <c r="K754" t="s">
        <v>2822</v>
      </c>
    </row>
    <row r="755" spans="1:11" x14ac:dyDescent="0.25">
      <c r="A755" t="s">
        <v>2265</v>
      </c>
      <c r="B755" t="s">
        <v>214</v>
      </c>
      <c r="I755" t="s">
        <v>1855</v>
      </c>
      <c r="J755" t="s">
        <v>253</v>
      </c>
      <c r="K755" t="s">
        <v>2822</v>
      </c>
    </row>
    <row r="756" spans="1:11" x14ac:dyDescent="0.25">
      <c r="A756" t="s">
        <v>1343</v>
      </c>
      <c r="B756" t="s">
        <v>214</v>
      </c>
      <c r="C756">
        <v>3.64</v>
      </c>
      <c r="I756" t="s">
        <v>1625</v>
      </c>
      <c r="J756" t="s">
        <v>253</v>
      </c>
      <c r="K756" t="s">
        <v>2822</v>
      </c>
    </row>
    <row r="757" spans="1:11" x14ac:dyDescent="0.25">
      <c r="A757" t="s">
        <v>912</v>
      </c>
      <c r="B757" t="s">
        <v>214</v>
      </c>
      <c r="C757">
        <v>3.64</v>
      </c>
      <c r="I757" t="s">
        <v>2355</v>
      </c>
      <c r="J757" t="s">
        <v>253</v>
      </c>
      <c r="K757" t="s">
        <v>2822</v>
      </c>
    </row>
    <row r="758" spans="1:11" x14ac:dyDescent="0.25">
      <c r="A758" t="s">
        <v>2122</v>
      </c>
      <c r="B758" t="s">
        <v>214</v>
      </c>
      <c r="I758" t="s">
        <v>1627</v>
      </c>
      <c r="J758" t="s">
        <v>253</v>
      </c>
      <c r="K758" t="s">
        <v>2822</v>
      </c>
    </row>
    <row r="759" spans="1:11" x14ac:dyDescent="0.25">
      <c r="A759" t="s">
        <v>913</v>
      </c>
      <c r="B759" t="s">
        <v>214</v>
      </c>
      <c r="C759">
        <v>7.27</v>
      </c>
      <c r="I759" t="s">
        <v>1624</v>
      </c>
      <c r="J759" t="s">
        <v>253</v>
      </c>
      <c r="K759" t="s">
        <v>2822</v>
      </c>
    </row>
    <row r="760" spans="1:11" x14ac:dyDescent="0.25">
      <c r="A760" t="s">
        <v>914</v>
      </c>
      <c r="B760" t="s">
        <v>214</v>
      </c>
      <c r="C760">
        <v>3.64</v>
      </c>
      <c r="I760" t="s">
        <v>2450</v>
      </c>
      <c r="J760" t="s">
        <v>253</v>
      </c>
      <c r="K760" t="s">
        <v>2822</v>
      </c>
    </row>
    <row r="761" spans="1:11" x14ac:dyDescent="0.25">
      <c r="A761" t="s">
        <v>1495</v>
      </c>
      <c r="B761" t="s">
        <v>214</v>
      </c>
      <c r="I761" t="s">
        <v>1342</v>
      </c>
      <c r="J761" t="s">
        <v>253</v>
      </c>
      <c r="K761" t="s">
        <v>2822</v>
      </c>
    </row>
    <row r="762" spans="1:11" x14ac:dyDescent="0.25">
      <c r="A762" t="s">
        <v>1501</v>
      </c>
      <c r="B762" t="s">
        <v>214</v>
      </c>
      <c r="I762" t="s">
        <v>1462</v>
      </c>
      <c r="J762" t="s">
        <v>253</v>
      </c>
      <c r="K762" t="s">
        <v>2822</v>
      </c>
    </row>
    <row r="763" spans="1:11" x14ac:dyDescent="0.25">
      <c r="A763" t="s">
        <v>2231</v>
      </c>
      <c r="B763" t="s">
        <v>214</v>
      </c>
      <c r="I763" t="s">
        <v>2364</v>
      </c>
      <c r="J763" t="s">
        <v>253</v>
      </c>
      <c r="K763" t="s">
        <v>2822</v>
      </c>
    </row>
    <row r="764" spans="1:11" x14ac:dyDescent="0.25">
      <c r="A764" t="s">
        <v>1446</v>
      </c>
      <c r="B764" t="s">
        <v>214</v>
      </c>
      <c r="C764">
        <v>3.64</v>
      </c>
      <c r="I764" t="s">
        <v>2333</v>
      </c>
      <c r="J764" t="s">
        <v>253</v>
      </c>
      <c r="K764" t="s">
        <v>2822</v>
      </c>
    </row>
    <row r="765" spans="1:11" x14ac:dyDescent="0.25">
      <c r="A765" t="s">
        <v>1698</v>
      </c>
      <c r="B765" t="s">
        <v>214</v>
      </c>
      <c r="C765">
        <v>7.27</v>
      </c>
      <c r="I765" t="s">
        <v>2224</v>
      </c>
      <c r="J765" t="s">
        <v>253</v>
      </c>
      <c r="K765" t="s">
        <v>2822</v>
      </c>
    </row>
    <row r="766" spans="1:11" x14ac:dyDescent="0.25">
      <c r="A766" t="s">
        <v>1701</v>
      </c>
      <c r="B766" t="s">
        <v>214</v>
      </c>
      <c r="I766" t="s">
        <v>2577</v>
      </c>
      <c r="J766" t="s">
        <v>253</v>
      </c>
      <c r="K766" t="s">
        <v>2822</v>
      </c>
    </row>
    <row r="767" spans="1:11" x14ac:dyDescent="0.25">
      <c r="A767" t="s">
        <v>1496</v>
      </c>
      <c r="B767" t="s">
        <v>214</v>
      </c>
      <c r="I767" t="s">
        <v>2265</v>
      </c>
      <c r="J767" t="s">
        <v>253</v>
      </c>
      <c r="K767" t="s">
        <v>2822</v>
      </c>
    </row>
    <row r="768" spans="1:11" x14ac:dyDescent="0.25">
      <c r="A768" t="s">
        <v>1700</v>
      </c>
      <c r="B768" t="s">
        <v>214</v>
      </c>
      <c r="C768">
        <v>18.18</v>
      </c>
      <c r="I768" t="s">
        <v>1343</v>
      </c>
      <c r="J768" t="s">
        <v>253</v>
      </c>
      <c r="K768" t="s">
        <v>2822</v>
      </c>
    </row>
    <row r="769" spans="1:11" x14ac:dyDescent="0.25">
      <c r="A769" t="s">
        <v>1699</v>
      </c>
      <c r="B769" t="s">
        <v>214</v>
      </c>
      <c r="C769">
        <v>18.18</v>
      </c>
      <c r="I769" t="s">
        <v>912</v>
      </c>
      <c r="J769" t="s">
        <v>253</v>
      </c>
      <c r="K769" t="s">
        <v>2822</v>
      </c>
    </row>
    <row r="770" spans="1:11" x14ac:dyDescent="0.25">
      <c r="A770" t="s">
        <v>1697</v>
      </c>
      <c r="B770" t="s">
        <v>214</v>
      </c>
      <c r="C770">
        <v>1.82</v>
      </c>
      <c r="I770" t="s">
        <v>2122</v>
      </c>
      <c r="J770" t="s">
        <v>253</v>
      </c>
      <c r="K770" t="s">
        <v>2822</v>
      </c>
    </row>
    <row r="771" spans="1:11" x14ac:dyDescent="0.25">
      <c r="A771" t="s">
        <v>2255</v>
      </c>
      <c r="B771" t="s">
        <v>214</v>
      </c>
      <c r="I771" t="s">
        <v>913</v>
      </c>
      <c r="J771" t="s">
        <v>253</v>
      </c>
      <c r="K771" t="s">
        <v>2822</v>
      </c>
    </row>
    <row r="772" spans="1:11" x14ac:dyDescent="0.25">
      <c r="A772" t="s">
        <v>1696</v>
      </c>
      <c r="B772" t="s">
        <v>214</v>
      </c>
      <c r="C772">
        <v>8.73</v>
      </c>
      <c r="I772" t="s">
        <v>914</v>
      </c>
      <c r="J772" t="s">
        <v>253</v>
      </c>
      <c r="K772" t="s">
        <v>2822</v>
      </c>
    </row>
    <row r="773" spans="1:11" x14ac:dyDescent="0.25">
      <c r="A773" t="s">
        <v>2278</v>
      </c>
      <c r="B773" t="s">
        <v>214</v>
      </c>
      <c r="I773" t="s">
        <v>1495</v>
      </c>
      <c r="J773" t="s">
        <v>253</v>
      </c>
      <c r="K773" t="s">
        <v>2822</v>
      </c>
    </row>
    <row r="774" spans="1:11" x14ac:dyDescent="0.25">
      <c r="A774" t="s">
        <v>915</v>
      </c>
      <c r="B774" t="s">
        <v>214</v>
      </c>
      <c r="C774">
        <v>0.73</v>
      </c>
      <c r="I774" t="s">
        <v>1501</v>
      </c>
      <c r="J774" t="s">
        <v>253</v>
      </c>
      <c r="K774" t="s">
        <v>2822</v>
      </c>
    </row>
    <row r="775" spans="1:11" x14ac:dyDescent="0.25">
      <c r="A775" t="s">
        <v>916</v>
      </c>
      <c r="B775" t="s">
        <v>214</v>
      </c>
      <c r="C775">
        <v>0.73</v>
      </c>
      <c r="I775" t="s">
        <v>2231</v>
      </c>
      <c r="J775" t="s">
        <v>253</v>
      </c>
      <c r="K775" t="s">
        <v>2822</v>
      </c>
    </row>
    <row r="776" spans="1:11" x14ac:dyDescent="0.25">
      <c r="A776" t="s">
        <v>917</v>
      </c>
      <c r="B776" t="s">
        <v>214</v>
      </c>
      <c r="C776">
        <v>2.1800000000000002</v>
      </c>
      <c r="I776" t="s">
        <v>1446</v>
      </c>
      <c r="J776" t="s">
        <v>253</v>
      </c>
      <c r="K776" t="s">
        <v>2822</v>
      </c>
    </row>
    <row r="777" spans="1:11" x14ac:dyDescent="0.25">
      <c r="A777" t="s">
        <v>918</v>
      </c>
      <c r="B777" t="s">
        <v>214</v>
      </c>
      <c r="C777">
        <v>1.45</v>
      </c>
      <c r="I777" t="s">
        <v>1698</v>
      </c>
      <c r="J777" t="s">
        <v>253</v>
      </c>
      <c r="K777" t="s">
        <v>2822</v>
      </c>
    </row>
    <row r="778" spans="1:11" x14ac:dyDescent="0.25">
      <c r="A778" t="s">
        <v>1344</v>
      </c>
      <c r="B778" t="s">
        <v>214</v>
      </c>
      <c r="C778">
        <v>1.82</v>
      </c>
      <c r="I778" t="s">
        <v>1701</v>
      </c>
      <c r="J778" t="s">
        <v>253</v>
      </c>
      <c r="K778" t="s">
        <v>2822</v>
      </c>
    </row>
    <row r="779" spans="1:11" x14ac:dyDescent="0.25">
      <c r="A779" t="s">
        <v>1585</v>
      </c>
      <c r="B779" t="s">
        <v>214</v>
      </c>
      <c r="I779" t="s">
        <v>1496</v>
      </c>
      <c r="J779" t="s">
        <v>253</v>
      </c>
      <c r="K779" t="s">
        <v>2822</v>
      </c>
    </row>
    <row r="780" spans="1:11" x14ac:dyDescent="0.25">
      <c r="A780" t="s">
        <v>2131</v>
      </c>
      <c r="B780" t="s">
        <v>214</v>
      </c>
      <c r="I780" t="s">
        <v>1700</v>
      </c>
      <c r="J780" t="s">
        <v>253</v>
      </c>
      <c r="K780" t="s">
        <v>2822</v>
      </c>
    </row>
    <row r="781" spans="1:11" x14ac:dyDescent="0.25">
      <c r="A781" t="s">
        <v>2132</v>
      </c>
      <c r="B781" t="s">
        <v>214</v>
      </c>
      <c r="I781" t="s">
        <v>1699</v>
      </c>
      <c r="J781" t="s">
        <v>253</v>
      </c>
      <c r="K781" t="s">
        <v>2822</v>
      </c>
    </row>
    <row r="782" spans="1:11" x14ac:dyDescent="0.25">
      <c r="A782" t="s">
        <v>1576</v>
      </c>
      <c r="B782" t="s">
        <v>214</v>
      </c>
      <c r="C782">
        <v>1.0900000000000001</v>
      </c>
      <c r="I782" t="s">
        <v>1697</v>
      </c>
      <c r="J782" t="s">
        <v>253</v>
      </c>
      <c r="K782" t="s">
        <v>2822</v>
      </c>
    </row>
    <row r="783" spans="1:11" x14ac:dyDescent="0.25">
      <c r="A783" t="s">
        <v>1579</v>
      </c>
      <c r="B783" t="s">
        <v>214</v>
      </c>
      <c r="C783">
        <v>0.73</v>
      </c>
      <c r="I783" t="s">
        <v>2255</v>
      </c>
      <c r="J783" t="s">
        <v>253</v>
      </c>
      <c r="K783" t="s">
        <v>2822</v>
      </c>
    </row>
    <row r="784" spans="1:11" x14ac:dyDescent="0.25">
      <c r="A784" t="s">
        <v>1577</v>
      </c>
      <c r="B784" t="s">
        <v>214</v>
      </c>
      <c r="I784" t="s">
        <v>1696</v>
      </c>
      <c r="J784" t="s">
        <v>253</v>
      </c>
      <c r="K784" t="s">
        <v>2822</v>
      </c>
    </row>
    <row r="785" spans="1:11" x14ac:dyDescent="0.25">
      <c r="A785" t="s">
        <v>1583</v>
      </c>
      <c r="B785" t="s">
        <v>214</v>
      </c>
      <c r="C785">
        <v>2.5499999999999998</v>
      </c>
      <c r="I785" t="s">
        <v>2278</v>
      </c>
      <c r="J785" t="s">
        <v>253</v>
      </c>
      <c r="K785" t="s">
        <v>2822</v>
      </c>
    </row>
    <row r="786" spans="1:11" x14ac:dyDescent="0.25">
      <c r="A786" t="s">
        <v>2358</v>
      </c>
      <c r="B786" t="s">
        <v>214</v>
      </c>
      <c r="I786" t="s">
        <v>915</v>
      </c>
      <c r="J786" t="s">
        <v>253</v>
      </c>
      <c r="K786" t="s">
        <v>2822</v>
      </c>
    </row>
    <row r="787" spans="1:11" x14ac:dyDescent="0.25">
      <c r="A787" t="s">
        <v>1582</v>
      </c>
      <c r="B787" t="s">
        <v>214</v>
      </c>
      <c r="C787">
        <v>0.73</v>
      </c>
      <c r="I787" t="s">
        <v>916</v>
      </c>
      <c r="J787" t="s">
        <v>253</v>
      </c>
      <c r="K787" t="s">
        <v>2822</v>
      </c>
    </row>
    <row r="788" spans="1:11" x14ac:dyDescent="0.25">
      <c r="A788" t="s">
        <v>1581</v>
      </c>
      <c r="B788" t="s">
        <v>214</v>
      </c>
      <c r="C788">
        <v>1.82</v>
      </c>
      <c r="I788" t="s">
        <v>917</v>
      </c>
      <c r="J788" t="s">
        <v>253</v>
      </c>
      <c r="K788" t="s">
        <v>2822</v>
      </c>
    </row>
    <row r="789" spans="1:11" x14ac:dyDescent="0.25">
      <c r="A789" t="s">
        <v>2434</v>
      </c>
      <c r="B789" t="s">
        <v>214</v>
      </c>
      <c r="C789">
        <v>0</v>
      </c>
      <c r="I789" t="s">
        <v>918</v>
      </c>
      <c r="J789" t="s">
        <v>253</v>
      </c>
      <c r="K789" t="s">
        <v>2822</v>
      </c>
    </row>
    <row r="790" spans="1:11" x14ac:dyDescent="0.25">
      <c r="A790" t="s">
        <v>2271</v>
      </c>
      <c r="B790" t="s">
        <v>214</v>
      </c>
      <c r="I790" t="s">
        <v>1344</v>
      </c>
      <c r="J790" t="s">
        <v>253</v>
      </c>
      <c r="K790" t="s">
        <v>2822</v>
      </c>
    </row>
    <row r="791" spans="1:11" x14ac:dyDescent="0.25">
      <c r="A791" t="s">
        <v>1578</v>
      </c>
      <c r="B791" t="s">
        <v>214</v>
      </c>
      <c r="I791" t="s">
        <v>1585</v>
      </c>
      <c r="J791" t="s">
        <v>253</v>
      </c>
      <c r="K791" t="s">
        <v>2822</v>
      </c>
    </row>
    <row r="792" spans="1:11" x14ac:dyDescent="0.25">
      <c r="A792" t="s">
        <v>1580</v>
      </c>
      <c r="B792" t="s">
        <v>214</v>
      </c>
      <c r="I792" t="s">
        <v>2131</v>
      </c>
      <c r="J792" t="s">
        <v>253</v>
      </c>
      <c r="K792" t="s">
        <v>2822</v>
      </c>
    </row>
    <row r="793" spans="1:11" x14ac:dyDescent="0.25">
      <c r="A793" t="s">
        <v>1430</v>
      </c>
      <c r="B793" t="s">
        <v>214</v>
      </c>
      <c r="C793">
        <v>0</v>
      </c>
      <c r="I793" t="s">
        <v>2132</v>
      </c>
      <c r="J793" t="s">
        <v>253</v>
      </c>
      <c r="K793" t="s">
        <v>2822</v>
      </c>
    </row>
    <row r="794" spans="1:11" x14ac:dyDescent="0.25">
      <c r="A794" t="s">
        <v>2363</v>
      </c>
      <c r="B794" t="s">
        <v>214</v>
      </c>
      <c r="I794" t="s">
        <v>1576</v>
      </c>
      <c r="J794" t="s">
        <v>253</v>
      </c>
      <c r="K794" t="s">
        <v>2822</v>
      </c>
    </row>
    <row r="795" spans="1:11" x14ac:dyDescent="0.25">
      <c r="A795" t="s">
        <v>1593</v>
      </c>
      <c r="B795" t="s">
        <v>214</v>
      </c>
      <c r="C795">
        <v>1.82</v>
      </c>
      <c r="I795" t="s">
        <v>1579</v>
      </c>
      <c r="J795" t="s">
        <v>253</v>
      </c>
      <c r="K795" t="s">
        <v>2822</v>
      </c>
    </row>
    <row r="796" spans="1:11" x14ac:dyDescent="0.25">
      <c r="A796" t="s">
        <v>2442</v>
      </c>
      <c r="B796" t="s">
        <v>214</v>
      </c>
      <c r="I796" t="s">
        <v>1577</v>
      </c>
      <c r="J796" t="s">
        <v>253</v>
      </c>
      <c r="K796" t="s">
        <v>2822</v>
      </c>
    </row>
    <row r="797" spans="1:11" x14ac:dyDescent="0.25">
      <c r="A797" t="s">
        <v>1595</v>
      </c>
      <c r="B797" t="s">
        <v>214</v>
      </c>
      <c r="C797">
        <v>0.73</v>
      </c>
      <c r="I797" t="s">
        <v>1583</v>
      </c>
      <c r="J797" t="s">
        <v>253</v>
      </c>
      <c r="K797" t="s">
        <v>2822</v>
      </c>
    </row>
    <row r="798" spans="1:11" x14ac:dyDescent="0.25">
      <c r="A798" t="s">
        <v>2578</v>
      </c>
      <c r="B798" t="s">
        <v>214</v>
      </c>
      <c r="I798" t="s">
        <v>2358</v>
      </c>
      <c r="J798" t="s">
        <v>253</v>
      </c>
      <c r="K798" t="s">
        <v>2822</v>
      </c>
    </row>
    <row r="799" spans="1:11" x14ac:dyDescent="0.25">
      <c r="A799" t="s">
        <v>1597</v>
      </c>
      <c r="B799" t="s">
        <v>214</v>
      </c>
      <c r="C799">
        <v>1.0900000000000001</v>
      </c>
      <c r="I799" t="s">
        <v>1582</v>
      </c>
      <c r="J799" t="s">
        <v>253</v>
      </c>
      <c r="K799" t="s">
        <v>2822</v>
      </c>
    </row>
    <row r="800" spans="1:11" x14ac:dyDescent="0.25">
      <c r="A800" t="s">
        <v>1598</v>
      </c>
      <c r="B800" t="s">
        <v>214</v>
      </c>
      <c r="I800" t="s">
        <v>1581</v>
      </c>
      <c r="J800" t="s">
        <v>253</v>
      </c>
      <c r="K800" t="s">
        <v>2822</v>
      </c>
    </row>
    <row r="801" spans="1:11" x14ac:dyDescent="0.25">
      <c r="A801" t="s">
        <v>1429</v>
      </c>
      <c r="B801" t="s">
        <v>214</v>
      </c>
      <c r="C801">
        <v>0.73</v>
      </c>
      <c r="I801" t="s">
        <v>2434</v>
      </c>
      <c r="J801" t="s">
        <v>253</v>
      </c>
      <c r="K801" t="s">
        <v>2822</v>
      </c>
    </row>
    <row r="802" spans="1:11" x14ac:dyDescent="0.25">
      <c r="A802" t="s">
        <v>1516</v>
      </c>
      <c r="B802" t="s">
        <v>214</v>
      </c>
      <c r="I802" t="s">
        <v>2271</v>
      </c>
      <c r="J802" t="s">
        <v>253</v>
      </c>
      <c r="K802" t="s">
        <v>2822</v>
      </c>
    </row>
    <row r="803" spans="1:11" x14ac:dyDescent="0.25">
      <c r="A803" t="s">
        <v>1766</v>
      </c>
      <c r="B803" t="s">
        <v>214</v>
      </c>
      <c r="I803" t="s">
        <v>1578</v>
      </c>
      <c r="J803" t="s">
        <v>253</v>
      </c>
      <c r="K803" t="s">
        <v>2822</v>
      </c>
    </row>
    <row r="804" spans="1:11" x14ac:dyDescent="0.25">
      <c r="A804" t="s">
        <v>1767</v>
      </c>
      <c r="B804" t="s">
        <v>214</v>
      </c>
      <c r="I804" t="s">
        <v>1580</v>
      </c>
      <c r="J804" t="s">
        <v>253</v>
      </c>
      <c r="K804" t="s">
        <v>2822</v>
      </c>
    </row>
    <row r="805" spans="1:11" x14ac:dyDescent="0.25">
      <c r="A805" t="s">
        <v>919</v>
      </c>
      <c r="B805" t="s">
        <v>214</v>
      </c>
      <c r="C805">
        <v>1.45</v>
      </c>
      <c r="I805" t="s">
        <v>1430</v>
      </c>
      <c r="J805" t="s">
        <v>253</v>
      </c>
      <c r="K805" t="s">
        <v>2822</v>
      </c>
    </row>
    <row r="806" spans="1:11" x14ac:dyDescent="0.25">
      <c r="A806" t="s">
        <v>2227</v>
      </c>
      <c r="B806" t="s">
        <v>214</v>
      </c>
      <c r="I806" t="s">
        <v>2363</v>
      </c>
      <c r="J806" t="s">
        <v>253</v>
      </c>
      <c r="K806" t="s">
        <v>2822</v>
      </c>
    </row>
    <row r="807" spans="1:11" x14ac:dyDescent="0.25">
      <c r="A807" t="s">
        <v>1481</v>
      </c>
      <c r="B807" t="s">
        <v>214</v>
      </c>
      <c r="C807">
        <v>1.82</v>
      </c>
      <c r="I807" t="s">
        <v>1593</v>
      </c>
      <c r="J807" t="s">
        <v>253</v>
      </c>
      <c r="K807" t="s">
        <v>2822</v>
      </c>
    </row>
    <row r="808" spans="1:11" x14ac:dyDescent="0.25">
      <c r="A808" t="s">
        <v>2400</v>
      </c>
      <c r="B808" t="s">
        <v>214</v>
      </c>
      <c r="I808" t="s">
        <v>2442</v>
      </c>
      <c r="J808" t="s">
        <v>253</v>
      </c>
      <c r="K808" t="s">
        <v>2822</v>
      </c>
    </row>
    <row r="809" spans="1:11" x14ac:dyDescent="0.25">
      <c r="A809" t="s">
        <v>1477</v>
      </c>
      <c r="B809" t="s">
        <v>214</v>
      </c>
      <c r="I809" t="s">
        <v>1595</v>
      </c>
      <c r="J809" t="s">
        <v>253</v>
      </c>
      <c r="K809" t="s">
        <v>2822</v>
      </c>
    </row>
    <row r="810" spans="1:11" x14ac:dyDescent="0.25">
      <c r="A810" t="s">
        <v>2323</v>
      </c>
      <c r="B810" t="s">
        <v>214</v>
      </c>
      <c r="I810" t="s">
        <v>2578</v>
      </c>
      <c r="J810" t="s">
        <v>253</v>
      </c>
      <c r="K810" t="s">
        <v>2822</v>
      </c>
    </row>
    <row r="811" spans="1:11" x14ac:dyDescent="0.25">
      <c r="A811" t="s">
        <v>1759</v>
      </c>
      <c r="B811" t="s">
        <v>214</v>
      </c>
      <c r="I811" t="s">
        <v>1597</v>
      </c>
      <c r="J811" t="s">
        <v>253</v>
      </c>
      <c r="K811" t="s">
        <v>2822</v>
      </c>
    </row>
    <row r="812" spans="1:11" x14ac:dyDescent="0.25">
      <c r="A812" t="s">
        <v>2197</v>
      </c>
      <c r="B812" t="s">
        <v>214</v>
      </c>
      <c r="I812" t="s">
        <v>1598</v>
      </c>
      <c r="J812" t="s">
        <v>253</v>
      </c>
      <c r="K812" t="s">
        <v>2822</v>
      </c>
    </row>
    <row r="813" spans="1:11" x14ac:dyDescent="0.25">
      <c r="A813" t="s">
        <v>920</v>
      </c>
      <c r="B813" t="s">
        <v>214</v>
      </c>
      <c r="C813">
        <v>2.1800000000000002</v>
      </c>
      <c r="I813" t="s">
        <v>1429</v>
      </c>
      <c r="J813" t="s">
        <v>253</v>
      </c>
      <c r="K813" t="s">
        <v>2822</v>
      </c>
    </row>
    <row r="814" spans="1:11" x14ac:dyDescent="0.25">
      <c r="A814" t="s">
        <v>1345</v>
      </c>
      <c r="B814" t="s">
        <v>214</v>
      </c>
      <c r="C814">
        <v>1.0900000000000001</v>
      </c>
      <c r="I814" t="s">
        <v>1516</v>
      </c>
      <c r="J814" t="s">
        <v>253</v>
      </c>
      <c r="K814" t="s">
        <v>2822</v>
      </c>
    </row>
    <row r="815" spans="1:11" x14ac:dyDescent="0.25">
      <c r="A815" t="s">
        <v>1719</v>
      </c>
      <c r="B815" t="s">
        <v>214</v>
      </c>
      <c r="I815" t="s">
        <v>1766</v>
      </c>
      <c r="J815" t="s">
        <v>253</v>
      </c>
      <c r="K815" t="s">
        <v>2822</v>
      </c>
    </row>
    <row r="816" spans="1:11" x14ac:dyDescent="0.25">
      <c r="A816" t="s">
        <v>2266</v>
      </c>
      <c r="B816" t="s">
        <v>214</v>
      </c>
      <c r="I816" t="s">
        <v>1767</v>
      </c>
      <c r="J816" t="s">
        <v>253</v>
      </c>
      <c r="K816" t="s">
        <v>2822</v>
      </c>
    </row>
    <row r="817" spans="1:11" x14ac:dyDescent="0.25">
      <c r="A817" t="s">
        <v>1716</v>
      </c>
      <c r="B817" t="s">
        <v>214</v>
      </c>
      <c r="I817" t="s">
        <v>919</v>
      </c>
      <c r="J817" t="s">
        <v>253</v>
      </c>
      <c r="K817" t="s">
        <v>2822</v>
      </c>
    </row>
    <row r="818" spans="1:11" x14ac:dyDescent="0.25">
      <c r="A818" t="s">
        <v>1536</v>
      </c>
      <c r="B818" t="s">
        <v>214</v>
      </c>
      <c r="I818" t="s">
        <v>2227</v>
      </c>
      <c r="J818" t="s">
        <v>253</v>
      </c>
      <c r="K818" t="s">
        <v>2822</v>
      </c>
    </row>
    <row r="819" spans="1:11" x14ac:dyDescent="0.25">
      <c r="A819" t="s">
        <v>1346</v>
      </c>
      <c r="B819" t="s">
        <v>214</v>
      </c>
      <c r="C819">
        <v>0.73</v>
      </c>
      <c r="I819" t="s">
        <v>1481</v>
      </c>
      <c r="J819" t="s">
        <v>253</v>
      </c>
      <c r="K819" t="s">
        <v>2822</v>
      </c>
    </row>
    <row r="820" spans="1:11" x14ac:dyDescent="0.25">
      <c r="A820" t="s">
        <v>1682</v>
      </c>
      <c r="B820" t="s">
        <v>214</v>
      </c>
      <c r="I820" t="s">
        <v>2400</v>
      </c>
      <c r="J820" t="s">
        <v>253</v>
      </c>
      <c r="K820" t="s">
        <v>2822</v>
      </c>
    </row>
    <row r="821" spans="1:11" x14ac:dyDescent="0.25">
      <c r="A821" t="s">
        <v>2200</v>
      </c>
      <c r="B821" t="s">
        <v>214</v>
      </c>
      <c r="C821">
        <v>0</v>
      </c>
      <c r="I821" t="s">
        <v>1477</v>
      </c>
      <c r="J821" t="s">
        <v>253</v>
      </c>
      <c r="K821" t="s">
        <v>2822</v>
      </c>
    </row>
    <row r="822" spans="1:11" x14ac:dyDescent="0.25">
      <c r="A822" t="s">
        <v>2298</v>
      </c>
      <c r="B822" t="s">
        <v>214</v>
      </c>
      <c r="I822" t="s">
        <v>2323</v>
      </c>
      <c r="J822" t="s">
        <v>253</v>
      </c>
      <c r="K822" t="s">
        <v>2822</v>
      </c>
    </row>
    <row r="823" spans="1:11" x14ac:dyDescent="0.25">
      <c r="A823" t="s">
        <v>921</v>
      </c>
      <c r="B823" t="s">
        <v>214</v>
      </c>
      <c r="C823">
        <v>0</v>
      </c>
      <c r="I823" t="s">
        <v>1759</v>
      </c>
      <c r="J823" t="s">
        <v>253</v>
      </c>
      <c r="K823" t="s">
        <v>2822</v>
      </c>
    </row>
    <row r="824" spans="1:11" x14ac:dyDescent="0.25">
      <c r="A824" t="s">
        <v>922</v>
      </c>
      <c r="B824" t="s">
        <v>214</v>
      </c>
      <c r="C824">
        <v>2.1800000000000002</v>
      </c>
      <c r="I824" t="s">
        <v>2197</v>
      </c>
      <c r="J824" t="s">
        <v>253</v>
      </c>
      <c r="K824" t="s">
        <v>2822</v>
      </c>
    </row>
    <row r="825" spans="1:11" x14ac:dyDescent="0.25">
      <c r="A825" t="s">
        <v>1677</v>
      </c>
      <c r="B825" t="s">
        <v>214</v>
      </c>
      <c r="I825" t="s">
        <v>920</v>
      </c>
      <c r="J825" t="s">
        <v>253</v>
      </c>
      <c r="K825" t="s">
        <v>2822</v>
      </c>
    </row>
    <row r="826" spans="1:11" x14ac:dyDescent="0.25">
      <c r="A826" t="s">
        <v>1678</v>
      </c>
      <c r="B826" t="s">
        <v>214</v>
      </c>
      <c r="I826" t="s">
        <v>1345</v>
      </c>
      <c r="J826" t="s">
        <v>253</v>
      </c>
      <c r="K826" t="s">
        <v>2822</v>
      </c>
    </row>
    <row r="827" spans="1:11" x14ac:dyDescent="0.25">
      <c r="A827" t="s">
        <v>1762</v>
      </c>
      <c r="B827" t="s">
        <v>214</v>
      </c>
      <c r="I827" t="s">
        <v>1719</v>
      </c>
      <c r="J827" t="s">
        <v>253</v>
      </c>
      <c r="K827" t="s">
        <v>2822</v>
      </c>
    </row>
    <row r="828" spans="1:11" x14ac:dyDescent="0.25">
      <c r="A828" t="s">
        <v>1672</v>
      </c>
      <c r="B828" t="s">
        <v>214</v>
      </c>
      <c r="C828">
        <v>3.64</v>
      </c>
      <c r="I828" t="s">
        <v>2266</v>
      </c>
      <c r="J828" t="s">
        <v>253</v>
      </c>
      <c r="K828" t="s">
        <v>2822</v>
      </c>
    </row>
    <row r="829" spans="1:11" x14ac:dyDescent="0.25">
      <c r="A829" t="s">
        <v>2461</v>
      </c>
      <c r="B829" t="s">
        <v>214</v>
      </c>
      <c r="C829">
        <v>0</v>
      </c>
      <c r="I829" t="s">
        <v>1716</v>
      </c>
      <c r="J829" t="s">
        <v>253</v>
      </c>
      <c r="K829" t="s">
        <v>2822</v>
      </c>
    </row>
    <row r="830" spans="1:11" x14ac:dyDescent="0.25">
      <c r="A830" t="s">
        <v>2312</v>
      </c>
      <c r="B830" t="s">
        <v>214</v>
      </c>
      <c r="I830" t="s">
        <v>1536</v>
      </c>
      <c r="J830" t="s">
        <v>253</v>
      </c>
      <c r="K830" t="s">
        <v>2822</v>
      </c>
    </row>
    <row r="831" spans="1:11" x14ac:dyDescent="0.25">
      <c r="A831" t="s">
        <v>1676</v>
      </c>
      <c r="B831" t="s">
        <v>214</v>
      </c>
      <c r="I831" t="s">
        <v>1346</v>
      </c>
      <c r="J831" t="s">
        <v>253</v>
      </c>
      <c r="K831" t="s">
        <v>2822</v>
      </c>
    </row>
    <row r="832" spans="1:11" x14ac:dyDescent="0.25">
      <c r="A832" t="s">
        <v>1674</v>
      </c>
      <c r="B832" t="s">
        <v>214</v>
      </c>
      <c r="I832" t="s">
        <v>1682</v>
      </c>
      <c r="J832" t="s">
        <v>253</v>
      </c>
      <c r="K832" t="s">
        <v>2822</v>
      </c>
    </row>
    <row r="833" spans="1:11" x14ac:dyDescent="0.25">
      <c r="A833" t="s">
        <v>1673</v>
      </c>
      <c r="B833" t="s">
        <v>214</v>
      </c>
      <c r="C833">
        <v>3.64</v>
      </c>
      <c r="I833" t="s">
        <v>2200</v>
      </c>
      <c r="J833" t="s">
        <v>253</v>
      </c>
      <c r="K833" t="s">
        <v>2822</v>
      </c>
    </row>
    <row r="834" spans="1:11" x14ac:dyDescent="0.25">
      <c r="A834" t="s">
        <v>1675</v>
      </c>
      <c r="B834" t="s">
        <v>214</v>
      </c>
      <c r="C834">
        <v>7.27</v>
      </c>
      <c r="I834" t="s">
        <v>2298</v>
      </c>
      <c r="J834" t="s">
        <v>253</v>
      </c>
      <c r="K834" t="s">
        <v>2822</v>
      </c>
    </row>
    <row r="835" spans="1:11" x14ac:dyDescent="0.25">
      <c r="A835" t="s">
        <v>2304</v>
      </c>
      <c r="B835" t="s">
        <v>214</v>
      </c>
      <c r="I835" t="s">
        <v>921</v>
      </c>
      <c r="J835" t="s">
        <v>253</v>
      </c>
      <c r="K835" t="s">
        <v>2822</v>
      </c>
    </row>
    <row r="836" spans="1:11" x14ac:dyDescent="0.25">
      <c r="A836" t="s">
        <v>2376</v>
      </c>
      <c r="B836" t="s">
        <v>214</v>
      </c>
      <c r="I836" t="s">
        <v>922</v>
      </c>
      <c r="J836" t="s">
        <v>253</v>
      </c>
      <c r="K836" t="s">
        <v>2822</v>
      </c>
    </row>
    <row r="837" spans="1:11" x14ac:dyDescent="0.25">
      <c r="A837" t="s">
        <v>1686</v>
      </c>
      <c r="B837" t="s">
        <v>214</v>
      </c>
      <c r="I837" t="s">
        <v>1677</v>
      </c>
      <c r="J837" t="s">
        <v>253</v>
      </c>
      <c r="K837" t="s">
        <v>2822</v>
      </c>
    </row>
    <row r="838" spans="1:11" x14ac:dyDescent="0.25">
      <c r="A838" t="s">
        <v>2154</v>
      </c>
      <c r="B838" t="s">
        <v>214</v>
      </c>
      <c r="I838" t="s">
        <v>1678</v>
      </c>
      <c r="J838" t="s">
        <v>253</v>
      </c>
      <c r="K838" t="s">
        <v>2822</v>
      </c>
    </row>
    <row r="839" spans="1:11" x14ac:dyDescent="0.25">
      <c r="A839" t="s">
        <v>2463</v>
      </c>
      <c r="B839" t="s">
        <v>214</v>
      </c>
      <c r="C839">
        <v>0</v>
      </c>
      <c r="I839" t="s">
        <v>1762</v>
      </c>
      <c r="J839" t="s">
        <v>253</v>
      </c>
      <c r="K839" t="s">
        <v>2822</v>
      </c>
    </row>
    <row r="840" spans="1:11" x14ac:dyDescent="0.25">
      <c r="A840" t="s">
        <v>2419</v>
      </c>
      <c r="B840" t="s">
        <v>214</v>
      </c>
      <c r="I840" t="s">
        <v>1672</v>
      </c>
      <c r="J840" t="s">
        <v>253</v>
      </c>
      <c r="K840" t="s">
        <v>2822</v>
      </c>
    </row>
    <row r="841" spans="1:11" x14ac:dyDescent="0.25">
      <c r="A841" t="s">
        <v>1599</v>
      </c>
      <c r="B841" t="s">
        <v>214</v>
      </c>
      <c r="C841">
        <v>1.82</v>
      </c>
      <c r="I841" t="s">
        <v>2461</v>
      </c>
      <c r="J841" t="s">
        <v>253</v>
      </c>
      <c r="K841" t="s">
        <v>2822</v>
      </c>
    </row>
    <row r="842" spans="1:11" x14ac:dyDescent="0.25">
      <c r="A842" t="s">
        <v>1956</v>
      </c>
      <c r="B842" t="s">
        <v>214</v>
      </c>
      <c r="I842" t="s">
        <v>2312</v>
      </c>
      <c r="J842" t="s">
        <v>253</v>
      </c>
      <c r="K842" t="s">
        <v>2822</v>
      </c>
    </row>
    <row r="843" spans="1:11" x14ac:dyDescent="0.25">
      <c r="A843" t="s">
        <v>1434</v>
      </c>
      <c r="B843" t="s">
        <v>214</v>
      </c>
      <c r="I843" t="s">
        <v>1676</v>
      </c>
      <c r="J843" t="s">
        <v>253</v>
      </c>
      <c r="K843" t="s">
        <v>2822</v>
      </c>
    </row>
    <row r="844" spans="1:11" x14ac:dyDescent="0.25">
      <c r="A844" t="s">
        <v>2579</v>
      </c>
      <c r="B844" t="s">
        <v>214</v>
      </c>
      <c r="C844">
        <v>0</v>
      </c>
      <c r="I844" t="s">
        <v>1674</v>
      </c>
      <c r="J844" t="s">
        <v>253</v>
      </c>
      <c r="K844" t="s">
        <v>2822</v>
      </c>
    </row>
    <row r="845" spans="1:11" x14ac:dyDescent="0.25">
      <c r="A845" t="s">
        <v>1426</v>
      </c>
      <c r="B845" t="s">
        <v>214</v>
      </c>
      <c r="C845">
        <v>1.0900000000000001</v>
      </c>
      <c r="I845" t="s">
        <v>1673</v>
      </c>
      <c r="J845" t="s">
        <v>253</v>
      </c>
      <c r="K845" t="s">
        <v>2822</v>
      </c>
    </row>
    <row r="846" spans="1:11" x14ac:dyDescent="0.25">
      <c r="A846" t="s">
        <v>2306</v>
      </c>
      <c r="B846" t="s">
        <v>214</v>
      </c>
      <c r="I846" t="s">
        <v>1675</v>
      </c>
      <c r="J846" t="s">
        <v>253</v>
      </c>
      <c r="K846" t="s">
        <v>2822</v>
      </c>
    </row>
    <row r="847" spans="1:11" x14ac:dyDescent="0.25">
      <c r="A847" t="s">
        <v>1347</v>
      </c>
      <c r="B847" t="s">
        <v>214</v>
      </c>
      <c r="C847">
        <v>2.1800000000000002</v>
      </c>
      <c r="I847" t="s">
        <v>2304</v>
      </c>
      <c r="J847" t="s">
        <v>253</v>
      </c>
      <c r="K847" t="s">
        <v>2822</v>
      </c>
    </row>
    <row r="848" spans="1:11" x14ac:dyDescent="0.25">
      <c r="A848" t="s">
        <v>2307</v>
      </c>
      <c r="B848" t="s">
        <v>214</v>
      </c>
      <c r="I848" t="s">
        <v>2376</v>
      </c>
      <c r="J848" t="s">
        <v>253</v>
      </c>
      <c r="K848" t="s">
        <v>2822</v>
      </c>
    </row>
    <row r="849" spans="1:11" x14ac:dyDescent="0.25">
      <c r="A849" t="s">
        <v>2580</v>
      </c>
      <c r="B849" t="s">
        <v>214</v>
      </c>
      <c r="C849">
        <v>0</v>
      </c>
      <c r="I849" t="s">
        <v>1686</v>
      </c>
      <c r="J849" t="s">
        <v>253</v>
      </c>
      <c r="K849" t="s">
        <v>2822</v>
      </c>
    </row>
    <row r="850" spans="1:11" x14ac:dyDescent="0.25">
      <c r="A850" t="s">
        <v>1758</v>
      </c>
      <c r="B850" t="s">
        <v>214</v>
      </c>
      <c r="I850" t="s">
        <v>2154</v>
      </c>
      <c r="J850" t="s">
        <v>253</v>
      </c>
      <c r="K850" t="s">
        <v>2822</v>
      </c>
    </row>
    <row r="851" spans="1:11" x14ac:dyDescent="0.25">
      <c r="A851" t="s">
        <v>1800</v>
      </c>
      <c r="B851" t="s">
        <v>214</v>
      </c>
      <c r="I851" t="s">
        <v>2463</v>
      </c>
      <c r="J851" t="s">
        <v>253</v>
      </c>
      <c r="K851" t="s">
        <v>2822</v>
      </c>
    </row>
    <row r="852" spans="1:11" x14ac:dyDescent="0.25">
      <c r="A852" t="s">
        <v>2274</v>
      </c>
      <c r="B852" t="s">
        <v>214</v>
      </c>
      <c r="I852" t="s">
        <v>2419</v>
      </c>
      <c r="J852" t="s">
        <v>253</v>
      </c>
      <c r="K852" t="s">
        <v>2822</v>
      </c>
    </row>
    <row r="853" spans="1:11" x14ac:dyDescent="0.25">
      <c r="A853" t="s">
        <v>2373</v>
      </c>
      <c r="B853" t="s">
        <v>214</v>
      </c>
      <c r="I853" t="s">
        <v>1599</v>
      </c>
      <c r="J853" t="s">
        <v>253</v>
      </c>
      <c r="K853" t="s">
        <v>2822</v>
      </c>
    </row>
    <row r="854" spans="1:11" x14ac:dyDescent="0.25">
      <c r="A854" t="s">
        <v>1601</v>
      </c>
      <c r="B854" t="s">
        <v>214</v>
      </c>
      <c r="I854" t="s">
        <v>1956</v>
      </c>
      <c r="J854" t="s">
        <v>253</v>
      </c>
      <c r="K854" t="s">
        <v>2822</v>
      </c>
    </row>
    <row r="855" spans="1:11" x14ac:dyDescent="0.25">
      <c r="A855" t="s">
        <v>1600</v>
      </c>
      <c r="B855" t="s">
        <v>214</v>
      </c>
      <c r="I855" t="s">
        <v>1434</v>
      </c>
      <c r="J855" t="s">
        <v>253</v>
      </c>
      <c r="K855" t="s">
        <v>2822</v>
      </c>
    </row>
    <row r="856" spans="1:11" x14ac:dyDescent="0.25">
      <c r="A856" t="s">
        <v>2445</v>
      </c>
      <c r="B856" t="s">
        <v>214</v>
      </c>
      <c r="C856">
        <v>0</v>
      </c>
      <c r="I856" t="s">
        <v>2579</v>
      </c>
      <c r="J856" t="s">
        <v>253</v>
      </c>
      <c r="K856" t="s">
        <v>2822</v>
      </c>
    </row>
    <row r="857" spans="1:11" x14ac:dyDescent="0.25">
      <c r="A857" t="s">
        <v>2331</v>
      </c>
      <c r="B857" t="s">
        <v>214</v>
      </c>
      <c r="I857" t="s">
        <v>1426</v>
      </c>
      <c r="J857" t="s">
        <v>253</v>
      </c>
      <c r="K857" t="s">
        <v>2822</v>
      </c>
    </row>
    <row r="858" spans="1:11" x14ac:dyDescent="0.25">
      <c r="A858" t="s">
        <v>1955</v>
      </c>
      <c r="B858" t="s">
        <v>214</v>
      </c>
      <c r="I858" t="s">
        <v>2306</v>
      </c>
      <c r="J858" t="s">
        <v>253</v>
      </c>
      <c r="K858" t="s">
        <v>2822</v>
      </c>
    </row>
    <row r="859" spans="1:11" x14ac:dyDescent="0.25">
      <c r="A859" t="s">
        <v>1348</v>
      </c>
      <c r="B859" t="s">
        <v>214</v>
      </c>
      <c r="C859">
        <v>1.0900000000000001</v>
      </c>
      <c r="I859" t="s">
        <v>1347</v>
      </c>
      <c r="J859" t="s">
        <v>253</v>
      </c>
      <c r="K859" t="s">
        <v>2822</v>
      </c>
    </row>
    <row r="860" spans="1:11" x14ac:dyDescent="0.25">
      <c r="A860" t="s">
        <v>1725</v>
      </c>
      <c r="B860" t="s">
        <v>214</v>
      </c>
      <c r="I860" t="s">
        <v>2307</v>
      </c>
      <c r="J860" t="s">
        <v>253</v>
      </c>
      <c r="K860" t="s">
        <v>2822</v>
      </c>
    </row>
    <row r="861" spans="1:11" x14ac:dyDescent="0.25">
      <c r="A861" t="s">
        <v>1847</v>
      </c>
      <c r="B861" t="s">
        <v>214</v>
      </c>
      <c r="I861" t="s">
        <v>2580</v>
      </c>
      <c r="J861" t="s">
        <v>253</v>
      </c>
      <c r="K861" t="s">
        <v>2822</v>
      </c>
    </row>
    <row r="862" spans="1:11" x14ac:dyDescent="0.25">
      <c r="A862" t="s">
        <v>2195</v>
      </c>
      <c r="B862" t="s">
        <v>214</v>
      </c>
      <c r="I862" t="s">
        <v>1758</v>
      </c>
      <c r="J862" t="s">
        <v>253</v>
      </c>
      <c r="K862" t="s">
        <v>2822</v>
      </c>
    </row>
    <row r="863" spans="1:11" x14ac:dyDescent="0.25">
      <c r="A863" t="s">
        <v>1680</v>
      </c>
      <c r="B863" t="s">
        <v>214</v>
      </c>
      <c r="C863">
        <v>7.27</v>
      </c>
      <c r="I863" t="s">
        <v>1800</v>
      </c>
      <c r="J863" t="s">
        <v>253</v>
      </c>
      <c r="K863" t="s">
        <v>2822</v>
      </c>
    </row>
    <row r="864" spans="1:11" x14ac:dyDescent="0.25">
      <c r="A864" t="s">
        <v>1679</v>
      </c>
      <c r="B864" t="s">
        <v>214</v>
      </c>
      <c r="I864" t="s">
        <v>2274</v>
      </c>
      <c r="J864" t="s">
        <v>253</v>
      </c>
      <c r="K864" t="s">
        <v>2822</v>
      </c>
    </row>
    <row r="865" spans="1:11" x14ac:dyDescent="0.25">
      <c r="A865" t="s">
        <v>1512</v>
      </c>
      <c r="B865" t="s">
        <v>214</v>
      </c>
      <c r="C865">
        <v>32.729999999999997</v>
      </c>
      <c r="I865" t="s">
        <v>2373</v>
      </c>
      <c r="J865" t="s">
        <v>253</v>
      </c>
      <c r="K865" t="s">
        <v>2822</v>
      </c>
    </row>
    <row r="866" spans="1:11" x14ac:dyDescent="0.25">
      <c r="A866" t="s">
        <v>1349</v>
      </c>
      <c r="B866" t="s">
        <v>214</v>
      </c>
      <c r="C866">
        <v>1.0900000000000001</v>
      </c>
      <c r="I866" t="s">
        <v>1601</v>
      </c>
      <c r="J866" t="s">
        <v>253</v>
      </c>
      <c r="K866" t="s">
        <v>2822</v>
      </c>
    </row>
    <row r="867" spans="1:11" x14ac:dyDescent="0.25">
      <c r="A867" t="s">
        <v>2217</v>
      </c>
      <c r="B867" t="s">
        <v>214</v>
      </c>
      <c r="I867" t="s">
        <v>1600</v>
      </c>
      <c r="J867" t="s">
        <v>253</v>
      </c>
      <c r="K867" t="s">
        <v>2822</v>
      </c>
    </row>
    <row r="868" spans="1:11" x14ac:dyDescent="0.25">
      <c r="A868" t="s">
        <v>1467</v>
      </c>
      <c r="B868" t="s">
        <v>214</v>
      </c>
      <c r="I868" t="s">
        <v>2445</v>
      </c>
      <c r="J868" t="s">
        <v>253</v>
      </c>
      <c r="K868" t="s">
        <v>2822</v>
      </c>
    </row>
    <row r="869" spans="1:11" x14ac:dyDescent="0.25">
      <c r="A869" t="s">
        <v>1350</v>
      </c>
      <c r="B869" t="s">
        <v>214</v>
      </c>
      <c r="C869">
        <v>0.36</v>
      </c>
      <c r="I869" t="s">
        <v>2331</v>
      </c>
      <c r="J869" t="s">
        <v>253</v>
      </c>
      <c r="K869" t="s">
        <v>2822</v>
      </c>
    </row>
    <row r="870" spans="1:11" x14ac:dyDescent="0.25">
      <c r="A870" t="s">
        <v>1962</v>
      </c>
      <c r="B870" t="s">
        <v>214</v>
      </c>
      <c r="I870" t="s">
        <v>1955</v>
      </c>
      <c r="J870" t="s">
        <v>253</v>
      </c>
      <c r="K870" t="s">
        <v>2822</v>
      </c>
    </row>
    <row r="871" spans="1:11" x14ac:dyDescent="0.25">
      <c r="A871" t="s">
        <v>1852</v>
      </c>
      <c r="B871" t="s">
        <v>214</v>
      </c>
      <c r="I871" t="s">
        <v>1348</v>
      </c>
      <c r="J871" t="s">
        <v>253</v>
      </c>
      <c r="K871" t="s">
        <v>2822</v>
      </c>
    </row>
    <row r="872" spans="1:11" x14ac:dyDescent="0.25">
      <c r="A872" t="s">
        <v>1463</v>
      </c>
      <c r="B872" t="s">
        <v>214</v>
      </c>
      <c r="C872">
        <v>0.73</v>
      </c>
      <c r="I872" t="s">
        <v>1725</v>
      </c>
      <c r="J872" t="s">
        <v>253</v>
      </c>
      <c r="K872" t="s">
        <v>2822</v>
      </c>
    </row>
    <row r="873" spans="1:11" x14ac:dyDescent="0.25">
      <c r="A873" t="s">
        <v>1441</v>
      </c>
      <c r="B873" t="s">
        <v>214</v>
      </c>
      <c r="C873">
        <v>0.73</v>
      </c>
      <c r="I873" t="s">
        <v>1847</v>
      </c>
      <c r="J873" t="s">
        <v>253</v>
      </c>
      <c r="K873" t="s">
        <v>2822</v>
      </c>
    </row>
    <row r="874" spans="1:11" x14ac:dyDescent="0.25">
      <c r="A874" t="s">
        <v>2302</v>
      </c>
      <c r="B874" t="s">
        <v>214</v>
      </c>
      <c r="I874" t="s">
        <v>2195</v>
      </c>
      <c r="J874" t="s">
        <v>253</v>
      </c>
      <c r="K874" t="s">
        <v>2822</v>
      </c>
    </row>
    <row r="875" spans="1:11" x14ac:dyDescent="0.25">
      <c r="A875" t="s">
        <v>1521</v>
      </c>
      <c r="B875" t="s">
        <v>214</v>
      </c>
      <c r="C875">
        <v>1.0900000000000001</v>
      </c>
      <c r="I875" t="s">
        <v>1680</v>
      </c>
      <c r="J875" t="s">
        <v>253</v>
      </c>
      <c r="K875" t="s">
        <v>2822</v>
      </c>
    </row>
    <row r="876" spans="1:11" x14ac:dyDescent="0.25">
      <c r="A876" t="s">
        <v>1522</v>
      </c>
      <c r="B876" t="s">
        <v>214</v>
      </c>
      <c r="I876" t="s">
        <v>1679</v>
      </c>
      <c r="J876" t="s">
        <v>253</v>
      </c>
      <c r="K876" t="s">
        <v>2822</v>
      </c>
    </row>
    <row r="877" spans="1:11" x14ac:dyDescent="0.25">
      <c r="A877" t="s">
        <v>1351</v>
      </c>
      <c r="B877" t="s">
        <v>214</v>
      </c>
      <c r="C877">
        <v>1.0900000000000001</v>
      </c>
      <c r="I877" t="s">
        <v>1512</v>
      </c>
      <c r="J877" t="s">
        <v>253</v>
      </c>
      <c r="K877" t="s">
        <v>2822</v>
      </c>
    </row>
    <row r="878" spans="1:11" x14ac:dyDescent="0.25">
      <c r="A878" t="s">
        <v>923</v>
      </c>
      <c r="B878" t="s">
        <v>214</v>
      </c>
      <c r="C878">
        <v>2.91</v>
      </c>
      <c r="I878" t="s">
        <v>1349</v>
      </c>
      <c r="J878" t="s">
        <v>253</v>
      </c>
      <c r="K878" t="s">
        <v>2822</v>
      </c>
    </row>
    <row r="879" spans="1:11" x14ac:dyDescent="0.25">
      <c r="A879" t="s">
        <v>2125</v>
      </c>
      <c r="B879" t="s">
        <v>214</v>
      </c>
      <c r="I879" t="s">
        <v>2217</v>
      </c>
      <c r="J879" t="s">
        <v>253</v>
      </c>
      <c r="K879" t="s">
        <v>2822</v>
      </c>
    </row>
    <row r="880" spans="1:11" x14ac:dyDescent="0.25">
      <c r="A880" t="s">
        <v>924</v>
      </c>
      <c r="B880" t="s">
        <v>214</v>
      </c>
      <c r="C880">
        <v>1.0900000000000001</v>
      </c>
      <c r="I880" t="s">
        <v>1467</v>
      </c>
      <c r="J880" t="s">
        <v>253</v>
      </c>
      <c r="K880" t="s">
        <v>2822</v>
      </c>
    </row>
    <row r="881" spans="1:11" x14ac:dyDescent="0.25">
      <c r="A881" t="s">
        <v>1529</v>
      </c>
      <c r="B881" t="s">
        <v>214</v>
      </c>
      <c r="I881" t="s">
        <v>1350</v>
      </c>
      <c r="J881" t="s">
        <v>253</v>
      </c>
      <c r="K881" t="s">
        <v>2822</v>
      </c>
    </row>
    <row r="882" spans="1:11" x14ac:dyDescent="0.25">
      <c r="A882" t="s">
        <v>2412</v>
      </c>
      <c r="B882" t="s">
        <v>214</v>
      </c>
      <c r="I882" t="s">
        <v>1962</v>
      </c>
      <c r="J882" t="s">
        <v>253</v>
      </c>
      <c r="K882" t="s">
        <v>2822</v>
      </c>
    </row>
    <row r="883" spans="1:11" x14ac:dyDescent="0.25">
      <c r="A883" t="s">
        <v>2310</v>
      </c>
      <c r="B883" t="s">
        <v>214</v>
      </c>
      <c r="I883" t="s">
        <v>1852</v>
      </c>
      <c r="J883" t="s">
        <v>253</v>
      </c>
      <c r="K883" t="s">
        <v>2822</v>
      </c>
    </row>
    <row r="884" spans="1:11" x14ac:dyDescent="0.25">
      <c r="A884" t="s">
        <v>1523</v>
      </c>
      <c r="B884" t="s">
        <v>214</v>
      </c>
      <c r="I884" t="s">
        <v>1463</v>
      </c>
      <c r="J884" t="s">
        <v>253</v>
      </c>
      <c r="K884" t="s">
        <v>2822</v>
      </c>
    </row>
    <row r="885" spans="1:11" x14ac:dyDescent="0.25">
      <c r="A885" t="s">
        <v>1527</v>
      </c>
      <c r="B885" t="s">
        <v>214</v>
      </c>
      <c r="I885" t="s">
        <v>1441</v>
      </c>
      <c r="J885" t="s">
        <v>253</v>
      </c>
      <c r="K885" t="s">
        <v>2822</v>
      </c>
    </row>
    <row r="886" spans="1:11" x14ac:dyDescent="0.25">
      <c r="A886" t="s">
        <v>1524</v>
      </c>
      <c r="B886" t="s">
        <v>214</v>
      </c>
      <c r="I886" t="s">
        <v>2302</v>
      </c>
      <c r="J886" t="s">
        <v>253</v>
      </c>
      <c r="K886" t="s">
        <v>2822</v>
      </c>
    </row>
    <row r="887" spans="1:11" x14ac:dyDescent="0.25">
      <c r="A887" t="s">
        <v>1525</v>
      </c>
      <c r="B887" t="s">
        <v>214</v>
      </c>
      <c r="C887">
        <v>1.82</v>
      </c>
      <c r="I887" t="s">
        <v>1521</v>
      </c>
      <c r="J887" t="s">
        <v>253</v>
      </c>
      <c r="K887" t="s">
        <v>2822</v>
      </c>
    </row>
    <row r="888" spans="1:11" x14ac:dyDescent="0.25">
      <c r="A888" t="s">
        <v>1526</v>
      </c>
      <c r="B888" t="s">
        <v>214</v>
      </c>
      <c r="C888">
        <v>1.0900000000000001</v>
      </c>
      <c r="I888" t="s">
        <v>1522</v>
      </c>
      <c r="J888" t="s">
        <v>253</v>
      </c>
      <c r="K888" t="s">
        <v>2822</v>
      </c>
    </row>
    <row r="889" spans="1:11" x14ac:dyDescent="0.25">
      <c r="A889" t="s">
        <v>1532</v>
      </c>
      <c r="B889" t="s">
        <v>214</v>
      </c>
      <c r="C889">
        <v>4.3600000000000003</v>
      </c>
      <c r="I889" t="s">
        <v>1351</v>
      </c>
      <c r="J889" t="s">
        <v>253</v>
      </c>
      <c r="K889" t="s">
        <v>2822</v>
      </c>
    </row>
    <row r="890" spans="1:11" x14ac:dyDescent="0.25">
      <c r="A890" t="s">
        <v>1845</v>
      </c>
      <c r="B890" t="s">
        <v>214</v>
      </c>
      <c r="C890">
        <v>1.45</v>
      </c>
      <c r="I890" t="s">
        <v>923</v>
      </c>
      <c r="J890" t="s">
        <v>253</v>
      </c>
      <c r="K890" t="s">
        <v>2822</v>
      </c>
    </row>
    <row r="891" spans="1:11" x14ac:dyDescent="0.25">
      <c r="A891" t="s">
        <v>1352</v>
      </c>
      <c r="B891" t="s">
        <v>214</v>
      </c>
      <c r="C891">
        <v>3.64</v>
      </c>
      <c r="I891" t="s">
        <v>2125</v>
      </c>
      <c r="J891" t="s">
        <v>253</v>
      </c>
      <c r="K891" t="s">
        <v>2822</v>
      </c>
    </row>
    <row r="892" spans="1:11" x14ac:dyDescent="0.25">
      <c r="A892" t="s">
        <v>1773</v>
      </c>
      <c r="B892" t="s">
        <v>214</v>
      </c>
      <c r="I892" t="s">
        <v>924</v>
      </c>
      <c r="J892" t="s">
        <v>253</v>
      </c>
      <c r="K892" t="s">
        <v>2822</v>
      </c>
    </row>
    <row r="893" spans="1:11" x14ac:dyDescent="0.25">
      <c r="A893" t="s">
        <v>1353</v>
      </c>
      <c r="B893" t="s">
        <v>214</v>
      </c>
      <c r="C893">
        <v>3.64</v>
      </c>
      <c r="I893" t="s">
        <v>1529</v>
      </c>
      <c r="J893" t="s">
        <v>253</v>
      </c>
      <c r="K893" t="s">
        <v>2822</v>
      </c>
    </row>
    <row r="894" spans="1:11" x14ac:dyDescent="0.25">
      <c r="A894" t="s">
        <v>2426</v>
      </c>
      <c r="B894" t="s">
        <v>214</v>
      </c>
      <c r="C894">
        <v>0</v>
      </c>
      <c r="I894" t="s">
        <v>2412</v>
      </c>
      <c r="J894" t="s">
        <v>253</v>
      </c>
      <c r="K894" t="s">
        <v>2822</v>
      </c>
    </row>
    <row r="895" spans="1:11" x14ac:dyDescent="0.25">
      <c r="A895" t="s">
        <v>1553</v>
      </c>
      <c r="B895" t="s">
        <v>214</v>
      </c>
      <c r="I895" t="s">
        <v>2310</v>
      </c>
      <c r="J895" t="s">
        <v>253</v>
      </c>
      <c r="K895" t="s">
        <v>2822</v>
      </c>
    </row>
    <row r="896" spans="1:11" x14ac:dyDescent="0.25">
      <c r="A896" t="s">
        <v>2416</v>
      </c>
      <c r="B896" t="s">
        <v>214</v>
      </c>
      <c r="C896">
        <v>0</v>
      </c>
      <c r="I896" t="s">
        <v>1523</v>
      </c>
      <c r="J896" t="s">
        <v>253</v>
      </c>
      <c r="K896" t="s">
        <v>2822</v>
      </c>
    </row>
    <row r="897" spans="1:11" x14ac:dyDescent="0.25">
      <c r="A897" t="s">
        <v>2296</v>
      </c>
      <c r="B897" t="s">
        <v>214</v>
      </c>
      <c r="I897" t="s">
        <v>1527</v>
      </c>
      <c r="J897" t="s">
        <v>253</v>
      </c>
      <c r="K897" t="s">
        <v>2822</v>
      </c>
    </row>
    <row r="898" spans="1:11" x14ac:dyDescent="0.25">
      <c r="A898" t="s">
        <v>1592</v>
      </c>
      <c r="B898" t="s">
        <v>214</v>
      </c>
      <c r="I898" t="s">
        <v>1524</v>
      </c>
      <c r="J898" t="s">
        <v>253</v>
      </c>
      <c r="K898" t="s">
        <v>2822</v>
      </c>
    </row>
    <row r="899" spans="1:11" x14ac:dyDescent="0.25">
      <c r="A899" t="s">
        <v>1591</v>
      </c>
      <c r="B899" t="s">
        <v>214</v>
      </c>
      <c r="I899" t="s">
        <v>1525</v>
      </c>
      <c r="J899" t="s">
        <v>253</v>
      </c>
      <c r="K899" t="s">
        <v>2822</v>
      </c>
    </row>
    <row r="900" spans="1:11" x14ac:dyDescent="0.25">
      <c r="A900" t="s">
        <v>2443</v>
      </c>
      <c r="B900" t="s">
        <v>214</v>
      </c>
      <c r="I900" t="s">
        <v>1526</v>
      </c>
      <c r="J900" t="s">
        <v>253</v>
      </c>
      <c r="K900" t="s">
        <v>2822</v>
      </c>
    </row>
    <row r="901" spans="1:11" x14ac:dyDescent="0.25">
      <c r="A901" t="s">
        <v>2348</v>
      </c>
      <c r="B901" t="s">
        <v>214</v>
      </c>
      <c r="I901" t="s">
        <v>1532</v>
      </c>
      <c r="J901" t="s">
        <v>253</v>
      </c>
      <c r="K901" t="s">
        <v>2822</v>
      </c>
    </row>
    <row r="902" spans="1:11" x14ac:dyDescent="0.25">
      <c r="A902" t="s">
        <v>2353</v>
      </c>
      <c r="B902" t="s">
        <v>214</v>
      </c>
      <c r="I902" t="s">
        <v>1845</v>
      </c>
      <c r="J902" t="s">
        <v>253</v>
      </c>
      <c r="K902" t="s">
        <v>2822</v>
      </c>
    </row>
    <row r="903" spans="1:11" x14ac:dyDescent="0.25">
      <c r="A903" t="s">
        <v>1771</v>
      </c>
      <c r="B903" t="s">
        <v>214</v>
      </c>
      <c r="I903" t="s">
        <v>1352</v>
      </c>
      <c r="J903" t="s">
        <v>253</v>
      </c>
      <c r="K903" t="s">
        <v>2822</v>
      </c>
    </row>
    <row r="904" spans="1:11" x14ac:dyDescent="0.25">
      <c r="A904" t="s">
        <v>2230</v>
      </c>
      <c r="B904" t="s">
        <v>214</v>
      </c>
      <c r="I904" t="s">
        <v>1773</v>
      </c>
      <c r="J904" t="s">
        <v>253</v>
      </c>
      <c r="K904" t="s">
        <v>2822</v>
      </c>
    </row>
    <row r="905" spans="1:11" x14ac:dyDescent="0.25">
      <c r="A905" t="s">
        <v>1772</v>
      </c>
      <c r="B905" t="s">
        <v>214</v>
      </c>
      <c r="I905" t="s">
        <v>1353</v>
      </c>
      <c r="J905" t="s">
        <v>253</v>
      </c>
      <c r="K905" t="s">
        <v>2822</v>
      </c>
    </row>
    <row r="906" spans="1:11" x14ac:dyDescent="0.25">
      <c r="A906" t="s">
        <v>1770</v>
      </c>
      <c r="B906" t="s">
        <v>214</v>
      </c>
      <c r="I906" t="s">
        <v>2426</v>
      </c>
      <c r="J906" t="s">
        <v>253</v>
      </c>
      <c r="K906" t="s">
        <v>2822</v>
      </c>
    </row>
    <row r="907" spans="1:11" x14ac:dyDescent="0.25">
      <c r="A907" t="s">
        <v>2501</v>
      </c>
      <c r="B907" t="s">
        <v>214</v>
      </c>
      <c r="I907" t="s">
        <v>1553</v>
      </c>
      <c r="J907" t="s">
        <v>253</v>
      </c>
      <c r="K907" t="s">
        <v>2822</v>
      </c>
    </row>
    <row r="908" spans="1:11" x14ac:dyDescent="0.25">
      <c r="A908" t="s">
        <v>925</v>
      </c>
      <c r="B908" t="s">
        <v>214</v>
      </c>
      <c r="C908">
        <v>1.82</v>
      </c>
      <c r="I908" t="s">
        <v>2416</v>
      </c>
      <c r="J908" t="s">
        <v>253</v>
      </c>
      <c r="K908" t="s">
        <v>2822</v>
      </c>
    </row>
    <row r="909" spans="1:11" x14ac:dyDescent="0.25">
      <c r="A909" t="s">
        <v>1811</v>
      </c>
      <c r="B909" t="s">
        <v>214</v>
      </c>
      <c r="I909" t="s">
        <v>2296</v>
      </c>
      <c r="J909" t="s">
        <v>253</v>
      </c>
      <c r="K909" t="s">
        <v>2822</v>
      </c>
    </row>
    <row r="910" spans="1:11" x14ac:dyDescent="0.25">
      <c r="A910" t="s">
        <v>1810</v>
      </c>
      <c r="B910" t="s">
        <v>214</v>
      </c>
      <c r="I910" t="s">
        <v>1592</v>
      </c>
      <c r="J910" t="s">
        <v>253</v>
      </c>
      <c r="K910" t="s">
        <v>2822</v>
      </c>
    </row>
    <row r="911" spans="1:11" x14ac:dyDescent="0.25">
      <c r="A911" t="s">
        <v>1809</v>
      </c>
      <c r="B911" t="s">
        <v>214</v>
      </c>
      <c r="C911">
        <v>23.64</v>
      </c>
      <c r="I911" t="s">
        <v>1591</v>
      </c>
      <c r="J911" t="s">
        <v>253</v>
      </c>
      <c r="K911" t="s">
        <v>2822</v>
      </c>
    </row>
    <row r="912" spans="1:11" x14ac:dyDescent="0.25">
      <c r="A912" t="s">
        <v>1447</v>
      </c>
      <c r="B912" t="s">
        <v>214</v>
      </c>
      <c r="C912">
        <v>1.82</v>
      </c>
      <c r="I912" t="s">
        <v>2443</v>
      </c>
      <c r="J912" t="s">
        <v>253</v>
      </c>
      <c r="K912" t="s">
        <v>2822</v>
      </c>
    </row>
    <row r="913" spans="1:11" x14ac:dyDescent="0.25">
      <c r="A913" t="s">
        <v>1808</v>
      </c>
      <c r="B913" t="s">
        <v>214</v>
      </c>
      <c r="C913">
        <v>32.729999999999997</v>
      </c>
      <c r="I913" t="s">
        <v>2348</v>
      </c>
      <c r="J913" t="s">
        <v>253</v>
      </c>
      <c r="K913" t="s">
        <v>2822</v>
      </c>
    </row>
    <row r="914" spans="1:11" x14ac:dyDescent="0.25">
      <c r="A914" t="s">
        <v>1807</v>
      </c>
      <c r="B914" t="s">
        <v>214</v>
      </c>
      <c r="C914">
        <v>25.45</v>
      </c>
      <c r="I914" t="s">
        <v>2353</v>
      </c>
      <c r="J914" t="s">
        <v>253</v>
      </c>
      <c r="K914" t="s">
        <v>2822</v>
      </c>
    </row>
    <row r="915" spans="1:11" x14ac:dyDescent="0.25">
      <c r="A915" t="s">
        <v>1607</v>
      </c>
      <c r="B915" t="s">
        <v>214</v>
      </c>
      <c r="C915">
        <v>25.45</v>
      </c>
      <c r="I915" t="s">
        <v>1771</v>
      </c>
      <c r="J915" t="s">
        <v>253</v>
      </c>
      <c r="K915" t="s">
        <v>2822</v>
      </c>
    </row>
    <row r="916" spans="1:11" x14ac:dyDescent="0.25">
      <c r="A916" t="s">
        <v>1606</v>
      </c>
      <c r="B916" t="s">
        <v>214</v>
      </c>
      <c r="C916">
        <v>7.27</v>
      </c>
      <c r="I916" t="s">
        <v>2230</v>
      </c>
      <c r="J916" t="s">
        <v>253</v>
      </c>
      <c r="K916" t="s">
        <v>2822</v>
      </c>
    </row>
    <row r="917" spans="1:11" x14ac:dyDescent="0.25">
      <c r="A917" t="s">
        <v>1693</v>
      </c>
      <c r="B917" t="s">
        <v>214</v>
      </c>
      <c r="I917" t="s">
        <v>1772</v>
      </c>
      <c r="J917" t="s">
        <v>253</v>
      </c>
      <c r="K917" t="s">
        <v>2822</v>
      </c>
    </row>
    <row r="918" spans="1:11" x14ac:dyDescent="0.25">
      <c r="A918" t="s">
        <v>1720</v>
      </c>
      <c r="B918" t="s">
        <v>214</v>
      </c>
      <c r="I918" t="s">
        <v>1770</v>
      </c>
      <c r="J918" t="s">
        <v>253</v>
      </c>
      <c r="K918" t="s">
        <v>2822</v>
      </c>
    </row>
    <row r="919" spans="1:11" x14ac:dyDescent="0.25">
      <c r="A919" t="s">
        <v>2243</v>
      </c>
      <c r="B919" t="s">
        <v>214</v>
      </c>
      <c r="I919" t="s">
        <v>2501</v>
      </c>
      <c r="J919" t="s">
        <v>253</v>
      </c>
      <c r="K919" t="s">
        <v>2822</v>
      </c>
    </row>
    <row r="920" spans="1:11" x14ac:dyDescent="0.25">
      <c r="A920" t="s">
        <v>2253</v>
      </c>
      <c r="B920" t="s">
        <v>214</v>
      </c>
      <c r="I920" t="s">
        <v>925</v>
      </c>
      <c r="J920" t="s">
        <v>253</v>
      </c>
      <c r="K920" t="s">
        <v>2822</v>
      </c>
    </row>
    <row r="921" spans="1:11" x14ac:dyDescent="0.25">
      <c r="A921" t="s">
        <v>1832</v>
      </c>
      <c r="B921" t="s">
        <v>214</v>
      </c>
      <c r="C921">
        <v>14.55</v>
      </c>
      <c r="I921" t="s">
        <v>1811</v>
      </c>
      <c r="J921" t="s">
        <v>253</v>
      </c>
      <c r="K921" t="s">
        <v>2822</v>
      </c>
    </row>
    <row r="922" spans="1:11" x14ac:dyDescent="0.25">
      <c r="A922" t="s">
        <v>1831</v>
      </c>
      <c r="B922" t="s">
        <v>214</v>
      </c>
      <c r="C922">
        <v>18.18</v>
      </c>
      <c r="I922" t="s">
        <v>1810</v>
      </c>
      <c r="J922" t="s">
        <v>253</v>
      </c>
      <c r="K922" t="s">
        <v>2822</v>
      </c>
    </row>
    <row r="923" spans="1:11" x14ac:dyDescent="0.25">
      <c r="A923" t="s">
        <v>2252</v>
      </c>
      <c r="B923" t="s">
        <v>214</v>
      </c>
      <c r="I923" t="s">
        <v>1809</v>
      </c>
      <c r="J923" t="s">
        <v>253</v>
      </c>
      <c r="K923" t="s">
        <v>2822</v>
      </c>
    </row>
    <row r="924" spans="1:11" x14ac:dyDescent="0.25">
      <c r="A924" t="s">
        <v>1833</v>
      </c>
      <c r="B924" t="s">
        <v>214</v>
      </c>
      <c r="I924" t="s">
        <v>1447</v>
      </c>
      <c r="J924" t="s">
        <v>253</v>
      </c>
      <c r="K924" t="s">
        <v>2822</v>
      </c>
    </row>
    <row r="925" spans="1:11" x14ac:dyDescent="0.25">
      <c r="A925" t="s">
        <v>2192</v>
      </c>
      <c r="B925" t="s">
        <v>214</v>
      </c>
      <c r="I925" t="s">
        <v>1808</v>
      </c>
      <c r="J925" t="s">
        <v>253</v>
      </c>
      <c r="K925" t="s">
        <v>2822</v>
      </c>
    </row>
    <row r="926" spans="1:11" x14ac:dyDescent="0.25">
      <c r="A926" t="s">
        <v>2350</v>
      </c>
      <c r="B926" t="s">
        <v>214</v>
      </c>
      <c r="I926" t="s">
        <v>1807</v>
      </c>
      <c r="J926" t="s">
        <v>253</v>
      </c>
      <c r="K926" t="s">
        <v>2822</v>
      </c>
    </row>
    <row r="927" spans="1:11" x14ac:dyDescent="0.25">
      <c r="A927" t="s">
        <v>1760</v>
      </c>
      <c r="B927" t="s">
        <v>214</v>
      </c>
      <c r="C927">
        <v>5.45</v>
      </c>
      <c r="I927" t="s">
        <v>1607</v>
      </c>
      <c r="J927" t="s">
        <v>253</v>
      </c>
      <c r="K927" t="s">
        <v>2822</v>
      </c>
    </row>
    <row r="928" spans="1:11" x14ac:dyDescent="0.25">
      <c r="A928" t="s">
        <v>2211</v>
      </c>
      <c r="B928" t="s">
        <v>214</v>
      </c>
      <c r="I928" t="s">
        <v>1606</v>
      </c>
      <c r="J928" t="s">
        <v>253</v>
      </c>
      <c r="K928" t="s">
        <v>2822</v>
      </c>
    </row>
    <row r="929" spans="1:11" x14ac:dyDescent="0.25">
      <c r="A929" t="s">
        <v>926</v>
      </c>
      <c r="B929" t="s">
        <v>214</v>
      </c>
      <c r="C929">
        <v>2.91</v>
      </c>
      <c r="I929" t="s">
        <v>1693</v>
      </c>
      <c r="J929" t="s">
        <v>253</v>
      </c>
      <c r="K929" t="s">
        <v>2822</v>
      </c>
    </row>
    <row r="930" spans="1:11" x14ac:dyDescent="0.25">
      <c r="A930" t="s">
        <v>1854</v>
      </c>
      <c r="B930" t="s">
        <v>214</v>
      </c>
      <c r="C930">
        <v>7.27</v>
      </c>
      <c r="I930" t="s">
        <v>1720</v>
      </c>
      <c r="J930" t="s">
        <v>253</v>
      </c>
      <c r="K930" t="s">
        <v>2822</v>
      </c>
    </row>
    <row r="931" spans="1:11" x14ac:dyDescent="0.25">
      <c r="A931" t="s">
        <v>2533</v>
      </c>
      <c r="B931" t="s">
        <v>214</v>
      </c>
      <c r="I931" t="s">
        <v>2243</v>
      </c>
      <c r="J931" t="s">
        <v>253</v>
      </c>
      <c r="K931" t="s">
        <v>2822</v>
      </c>
    </row>
    <row r="932" spans="1:11" x14ac:dyDescent="0.25">
      <c r="A932" t="s">
        <v>1354</v>
      </c>
      <c r="B932" t="s">
        <v>214</v>
      </c>
      <c r="C932">
        <v>1.0900000000000001</v>
      </c>
      <c r="I932" t="s">
        <v>2253</v>
      </c>
      <c r="J932" t="s">
        <v>253</v>
      </c>
      <c r="K932" t="s">
        <v>2822</v>
      </c>
    </row>
    <row r="933" spans="1:11" x14ac:dyDescent="0.25">
      <c r="A933" t="s">
        <v>927</v>
      </c>
      <c r="B933" t="s">
        <v>214</v>
      </c>
      <c r="C933">
        <v>1.82</v>
      </c>
      <c r="I933" t="s">
        <v>1832</v>
      </c>
      <c r="J933" t="s">
        <v>253</v>
      </c>
      <c r="K933" t="s">
        <v>2822</v>
      </c>
    </row>
    <row r="934" spans="1:11" x14ac:dyDescent="0.25">
      <c r="A934" t="s">
        <v>928</v>
      </c>
      <c r="B934" t="s">
        <v>214</v>
      </c>
      <c r="C934">
        <v>0</v>
      </c>
      <c r="I934" t="s">
        <v>1831</v>
      </c>
      <c r="J934" t="s">
        <v>253</v>
      </c>
      <c r="K934" t="s">
        <v>2822</v>
      </c>
    </row>
    <row r="935" spans="1:11" x14ac:dyDescent="0.25">
      <c r="A935" t="s">
        <v>1440</v>
      </c>
      <c r="B935" t="s">
        <v>214</v>
      </c>
      <c r="C935">
        <v>1.82</v>
      </c>
      <c r="I935" t="s">
        <v>2252</v>
      </c>
      <c r="J935" t="s">
        <v>253</v>
      </c>
      <c r="K935" t="s">
        <v>2822</v>
      </c>
    </row>
    <row r="936" spans="1:11" x14ac:dyDescent="0.25">
      <c r="A936" t="s">
        <v>2349</v>
      </c>
      <c r="B936" t="s">
        <v>214</v>
      </c>
      <c r="I936" t="s">
        <v>1833</v>
      </c>
      <c r="J936" t="s">
        <v>253</v>
      </c>
      <c r="K936" t="s">
        <v>2822</v>
      </c>
    </row>
    <row r="937" spans="1:11" x14ac:dyDescent="0.25">
      <c r="A937" t="s">
        <v>2225</v>
      </c>
      <c r="B937" t="s">
        <v>214</v>
      </c>
      <c r="I937" t="s">
        <v>2192</v>
      </c>
      <c r="J937" t="s">
        <v>253</v>
      </c>
      <c r="K937" t="s">
        <v>2822</v>
      </c>
    </row>
    <row r="938" spans="1:11" x14ac:dyDescent="0.25">
      <c r="A938" t="s">
        <v>1814</v>
      </c>
      <c r="B938" t="s">
        <v>214</v>
      </c>
      <c r="I938" t="s">
        <v>2350</v>
      </c>
      <c r="J938" t="s">
        <v>253</v>
      </c>
      <c r="K938" t="s">
        <v>2822</v>
      </c>
    </row>
    <row r="939" spans="1:11" x14ac:dyDescent="0.25">
      <c r="A939" t="s">
        <v>1818</v>
      </c>
      <c r="B939" t="s">
        <v>214</v>
      </c>
      <c r="I939" t="s">
        <v>1760</v>
      </c>
      <c r="J939" t="s">
        <v>253</v>
      </c>
      <c r="K939" t="s">
        <v>2822</v>
      </c>
    </row>
    <row r="940" spans="1:11" x14ac:dyDescent="0.25">
      <c r="A940" t="s">
        <v>2283</v>
      </c>
      <c r="B940" t="s">
        <v>214</v>
      </c>
      <c r="I940" t="s">
        <v>2211</v>
      </c>
      <c r="J940" t="s">
        <v>253</v>
      </c>
      <c r="K940" t="s">
        <v>2822</v>
      </c>
    </row>
    <row r="941" spans="1:11" x14ac:dyDescent="0.25">
      <c r="A941" t="s">
        <v>2244</v>
      </c>
      <c r="B941" t="s">
        <v>214</v>
      </c>
      <c r="I941" t="s">
        <v>926</v>
      </c>
      <c r="J941" t="s">
        <v>253</v>
      </c>
      <c r="K941" t="s">
        <v>2822</v>
      </c>
    </row>
    <row r="942" spans="1:11" x14ac:dyDescent="0.25">
      <c r="A942" t="s">
        <v>2351</v>
      </c>
      <c r="B942" t="s">
        <v>214</v>
      </c>
      <c r="I942" t="s">
        <v>1854</v>
      </c>
      <c r="J942" t="s">
        <v>253</v>
      </c>
      <c r="K942" t="s">
        <v>2822</v>
      </c>
    </row>
    <row r="943" spans="1:11" x14ac:dyDescent="0.25">
      <c r="A943" t="s">
        <v>1783</v>
      </c>
      <c r="B943" t="s">
        <v>214</v>
      </c>
      <c r="I943" t="s">
        <v>2533</v>
      </c>
      <c r="J943" t="s">
        <v>253</v>
      </c>
      <c r="K943" t="s">
        <v>2822</v>
      </c>
    </row>
    <row r="944" spans="1:11" x14ac:dyDescent="0.25">
      <c r="A944" t="s">
        <v>1784</v>
      </c>
      <c r="B944" t="s">
        <v>214</v>
      </c>
      <c r="C944">
        <v>10.91</v>
      </c>
      <c r="I944" t="s">
        <v>1354</v>
      </c>
      <c r="J944" t="s">
        <v>253</v>
      </c>
      <c r="K944" t="s">
        <v>2822</v>
      </c>
    </row>
    <row r="945" spans="1:11" x14ac:dyDescent="0.25">
      <c r="A945" t="s">
        <v>1785</v>
      </c>
      <c r="B945" t="s">
        <v>214</v>
      </c>
      <c r="I945" t="s">
        <v>927</v>
      </c>
      <c r="J945" t="s">
        <v>253</v>
      </c>
      <c r="K945" t="s">
        <v>2822</v>
      </c>
    </row>
    <row r="946" spans="1:11" x14ac:dyDescent="0.25">
      <c r="A946" t="s">
        <v>2502</v>
      </c>
      <c r="B946" t="s">
        <v>214</v>
      </c>
      <c r="I946" t="s">
        <v>928</v>
      </c>
      <c r="J946" t="s">
        <v>253</v>
      </c>
      <c r="K946" t="s">
        <v>2822</v>
      </c>
    </row>
    <row r="947" spans="1:11" x14ac:dyDescent="0.25">
      <c r="A947" t="s">
        <v>1757</v>
      </c>
      <c r="B947" t="s">
        <v>214</v>
      </c>
      <c r="I947" t="s">
        <v>1440</v>
      </c>
      <c r="J947" t="s">
        <v>253</v>
      </c>
      <c r="K947" t="s">
        <v>2822</v>
      </c>
    </row>
    <row r="948" spans="1:11" x14ac:dyDescent="0.25">
      <c r="A948" t="s">
        <v>2202</v>
      </c>
      <c r="B948" t="s">
        <v>214</v>
      </c>
      <c r="I948" t="s">
        <v>2349</v>
      </c>
      <c r="J948" t="s">
        <v>253</v>
      </c>
      <c r="K948" t="s">
        <v>2822</v>
      </c>
    </row>
    <row r="949" spans="1:11" x14ac:dyDescent="0.25">
      <c r="A949" t="s">
        <v>1431</v>
      </c>
      <c r="B949" t="s">
        <v>214</v>
      </c>
      <c r="C949">
        <v>3.64</v>
      </c>
      <c r="I949" t="s">
        <v>2225</v>
      </c>
      <c r="J949" t="s">
        <v>253</v>
      </c>
      <c r="K949" t="s">
        <v>2822</v>
      </c>
    </row>
    <row r="950" spans="1:11" x14ac:dyDescent="0.25">
      <c r="A950" t="s">
        <v>2203</v>
      </c>
      <c r="B950" t="s">
        <v>214</v>
      </c>
      <c r="I950" t="s">
        <v>1817</v>
      </c>
      <c r="J950" t="s">
        <v>253</v>
      </c>
      <c r="K950" t="s">
        <v>2822</v>
      </c>
    </row>
    <row r="951" spans="1:11" x14ac:dyDescent="0.25">
      <c r="A951" t="s">
        <v>2393</v>
      </c>
      <c r="B951" t="s">
        <v>214</v>
      </c>
      <c r="I951" t="s">
        <v>1814</v>
      </c>
      <c r="J951" t="s">
        <v>253</v>
      </c>
      <c r="K951" t="s">
        <v>2822</v>
      </c>
    </row>
    <row r="952" spans="1:11" x14ac:dyDescent="0.25">
      <c r="A952" t="s">
        <v>2332</v>
      </c>
      <c r="B952" t="s">
        <v>214</v>
      </c>
      <c r="I952" t="s">
        <v>1818</v>
      </c>
      <c r="J952" t="s">
        <v>253</v>
      </c>
      <c r="K952" t="s">
        <v>2822</v>
      </c>
    </row>
    <row r="953" spans="1:11" x14ac:dyDescent="0.25">
      <c r="A953" t="s">
        <v>2216</v>
      </c>
      <c r="B953" t="s">
        <v>214</v>
      </c>
      <c r="I953" t="s">
        <v>2283</v>
      </c>
      <c r="J953" t="s">
        <v>253</v>
      </c>
      <c r="K953" t="s">
        <v>2822</v>
      </c>
    </row>
    <row r="954" spans="1:11" x14ac:dyDescent="0.25">
      <c r="A954" t="s">
        <v>1882</v>
      </c>
      <c r="B954" t="s">
        <v>214</v>
      </c>
      <c r="I954" t="s">
        <v>2244</v>
      </c>
      <c r="J954" t="s">
        <v>253</v>
      </c>
      <c r="K954" t="s">
        <v>2822</v>
      </c>
    </row>
    <row r="955" spans="1:11" x14ac:dyDescent="0.25">
      <c r="A955" t="s">
        <v>1884</v>
      </c>
      <c r="B955" t="s">
        <v>214</v>
      </c>
      <c r="I955" t="s">
        <v>2351</v>
      </c>
      <c r="J955" t="s">
        <v>253</v>
      </c>
      <c r="K955" t="s">
        <v>2822</v>
      </c>
    </row>
    <row r="956" spans="1:11" x14ac:dyDescent="0.25">
      <c r="A956" t="s">
        <v>2341</v>
      </c>
      <c r="B956" t="s">
        <v>214</v>
      </c>
      <c r="C956">
        <v>0</v>
      </c>
      <c r="I956" t="s">
        <v>1783</v>
      </c>
      <c r="J956" t="s">
        <v>253</v>
      </c>
      <c r="K956" t="s">
        <v>2822</v>
      </c>
    </row>
    <row r="957" spans="1:11" x14ac:dyDescent="0.25">
      <c r="A957" t="s">
        <v>2277</v>
      </c>
      <c r="B957" t="s">
        <v>214</v>
      </c>
      <c r="I957" t="s">
        <v>1784</v>
      </c>
      <c r="J957" t="s">
        <v>253</v>
      </c>
      <c r="K957" t="s">
        <v>2822</v>
      </c>
    </row>
    <row r="958" spans="1:11" x14ac:dyDescent="0.25">
      <c r="A958" t="s">
        <v>2417</v>
      </c>
      <c r="B958" t="s">
        <v>214</v>
      </c>
      <c r="C958">
        <v>0</v>
      </c>
      <c r="I958" t="s">
        <v>1785</v>
      </c>
      <c r="J958" t="s">
        <v>253</v>
      </c>
      <c r="K958" t="s">
        <v>2822</v>
      </c>
    </row>
    <row r="959" spans="1:11" x14ac:dyDescent="0.25">
      <c r="A959" t="s">
        <v>2269</v>
      </c>
      <c r="B959" t="s">
        <v>214</v>
      </c>
      <c r="I959" t="s">
        <v>2502</v>
      </c>
      <c r="J959" t="s">
        <v>253</v>
      </c>
      <c r="K959" t="s">
        <v>2822</v>
      </c>
    </row>
    <row r="960" spans="1:11" x14ac:dyDescent="0.25">
      <c r="A960" t="s">
        <v>2441</v>
      </c>
      <c r="B960" t="s">
        <v>214</v>
      </c>
      <c r="I960" t="s">
        <v>1757</v>
      </c>
      <c r="J960" t="s">
        <v>253</v>
      </c>
      <c r="K960" t="s">
        <v>2822</v>
      </c>
    </row>
    <row r="961" spans="1:11" x14ac:dyDescent="0.25">
      <c r="A961" t="s">
        <v>2207</v>
      </c>
      <c r="B961" t="s">
        <v>214</v>
      </c>
      <c r="I961" t="s">
        <v>2202</v>
      </c>
      <c r="J961" t="s">
        <v>253</v>
      </c>
      <c r="K961" t="s">
        <v>2822</v>
      </c>
    </row>
    <row r="962" spans="1:11" x14ac:dyDescent="0.25">
      <c r="A962" t="s">
        <v>2309</v>
      </c>
      <c r="B962" t="s">
        <v>214</v>
      </c>
      <c r="I962" t="s">
        <v>1431</v>
      </c>
      <c r="J962" t="s">
        <v>253</v>
      </c>
      <c r="K962" t="s">
        <v>2822</v>
      </c>
    </row>
    <row r="963" spans="1:11" x14ac:dyDescent="0.25">
      <c r="A963" t="s">
        <v>2493</v>
      </c>
      <c r="B963" t="s">
        <v>214</v>
      </c>
      <c r="C963">
        <v>0</v>
      </c>
      <c r="I963" t="s">
        <v>2203</v>
      </c>
      <c r="J963" t="s">
        <v>253</v>
      </c>
      <c r="K963" t="s">
        <v>2822</v>
      </c>
    </row>
    <row r="964" spans="1:11" x14ac:dyDescent="0.25">
      <c r="A964" t="s">
        <v>2382</v>
      </c>
      <c r="B964" t="s">
        <v>214</v>
      </c>
      <c r="I964" t="s">
        <v>2393</v>
      </c>
      <c r="J964" t="s">
        <v>253</v>
      </c>
      <c r="K964" t="s">
        <v>2822</v>
      </c>
    </row>
    <row r="965" spans="1:11" x14ac:dyDescent="0.25">
      <c r="A965" t="s">
        <v>1728</v>
      </c>
      <c r="B965" t="s">
        <v>214</v>
      </c>
      <c r="I965" t="s">
        <v>2332</v>
      </c>
      <c r="J965" t="s">
        <v>253</v>
      </c>
      <c r="K965" t="s">
        <v>2822</v>
      </c>
    </row>
    <row r="966" spans="1:11" x14ac:dyDescent="0.25">
      <c r="A966" t="s">
        <v>1837</v>
      </c>
      <c r="B966" t="s">
        <v>214</v>
      </c>
      <c r="I966" t="s">
        <v>2216</v>
      </c>
      <c r="J966" t="s">
        <v>253</v>
      </c>
      <c r="K966" t="s">
        <v>2822</v>
      </c>
    </row>
    <row r="967" spans="1:11" x14ac:dyDescent="0.25">
      <c r="A967" t="s">
        <v>1453</v>
      </c>
      <c r="B967" t="s">
        <v>214</v>
      </c>
      <c r="C967">
        <v>0.73</v>
      </c>
      <c r="I967" t="s">
        <v>1882</v>
      </c>
      <c r="J967" t="s">
        <v>253</v>
      </c>
      <c r="K967" t="s">
        <v>2822</v>
      </c>
    </row>
    <row r="968" spans="1:11" x14ac:dyDescent="0.25">
      <c r="A968" t="s">
        <v>1566</v>
      </c>
      <c r="B968" t="s">
        <v>214</v>
      </c>
      <c r="I968" t="s">
        <v>1881</v>
      </c>
      <c r="J968" t="s">
        <v>253</v>
      </c>
      <c r="K968" t="s">
        <v>2822</v>
      </c>
    </row>
    <row r="969" spans="1:11" x14ac:dyDescent="0.25">
      <c r="A969" t="s">
        <v>2423</v>
      </c>
      <c r="B969" t="s">
        <v>214</v>
      </c>
      <c r="I969" t="s">
        <v>1884</v>
      </c>
      <c r="J969" t="s">
        <v>253</v>
      </c>
      <c r="K969" t="s">
        <v>2822</v>
      </c>
    </row>
    <row r="970" spans="1:11" x14ac:dyDescent="0.25">
      <c r="A970" t="s">
        <v>2367</v>
      </c>
      <c r="B970" t="s">
        <v>214</v>
      </c>
      <c r="I970" t="s">
        <v>1885</v>
      </c>
      <c r="J970" t="s">
        <v>253</v>
      </c>
      <c r="K970" t="s">
        <v>2822</v>
      </c>
    </row>
    <row r="971" spans="1:11" x14ac:dyDescent="0.25">
      <c r="A971" t="s">
        <v>1549</v>
      </c>
      <c r="B971" t="s">
        <v>214</v>
      </c>
      <c r="I971" t="s">
        <v>2341</v>
      </c>
      <c r="J971" t="s">
        <v>253</v>
      </c>
      <c r="K971" t="s">
        <v>2822</v>
      </c>
    </row>
    <row r="972" spans="1:11" x14ac:dyDescent="0.25">
      <c r="A972" t="s">
        <v>1547</v>
      </c>
      <c r="B972" t="s">
        <v>214</v>
      </c>
      <c r="C972">
        <v>8</v>
      </c>
      <c r="I972" t="s">
        <v>2277</v>
      </c>
      <c r="J972" t="s">
        <v>253</v>
      </c>
      <c r="K972" t="s">
        <v>2822</v>
      </c>
    </row>
    <row r="973" spans="1:11" x14ac:dyDescent="0.25">
      <c r="A973" t="s">
        <v>2429</v>
      </c>
      <c r="B973" t="s">
        <v>214</v>
      </c>
      <c r="I973" t="s">
        <v>2417</v>
      </c>
      <c r="J973" t="s">
        <v>253</v>
      </c>
      <c r="K973" t="s">
        <v>2822</v>
      </c>
    </row>
    <row r="974" spans="1:11" x14ac:dyDescent="0.25">
      <c r="A974" t="s">
        <v>2448</v>
      </c>
      <c r="B974" t="s">
        <v>214</v>
      </c>
      <c r="C974">
        <v>0</v>
      </c>
      <c r="I974" t="s">
        <v>2269</v>
      </c>
      <c r="J974" t="s">
        <v>253</v>
      </c>
      <c r="K974" t="s">
        <v>2822</v>
      </c>
    </row>
    <row r="975" spans="1:11" x14ac:dyDescent="0.25">
      <c r="A975" t="s">
        <v>1503</v>
      </c>
      <c r="B975" t="s">
        <v>214</v>
      </c>
      <c r="C975">
        <v>7.27</v>
      </c>
      <c r="I975" t="s">
        <v>2441</v>
      </c>
      <c r="J975" t="s">
        <v>253</v>
      </c>
      <c r="K975" t="s">
        <v>2822</v>
      </c>
    </row>
    <row r="976" spans="1:11" x14ac:dyDescent="0.25">
      <c r="A976" t="s">
        <v>1898</v>
      </c>
      <c r="B976" t="s">
        <v>214</v>
      </c>
      <c r="I976" t="s">
        <v>2207</v>
      </c>
      <c r="J976" t="s">
        <v>253</v>
      </c>
      <c r="K976" t="s">
        <v>2822</v>
      </c>
    </row>
    <row r="977" spans="1:11" x14ac:dyDescent="0.25">
      <c r="A977" t="s">
        <v>2234</v>
      </c>
      <c r="B977" t="s">
        <v>214</v>
      </c>
      <c r="I977" t="s">
        <v>2309</v>
      </c>
      <c r="J977" t="s">
        <v>253</v>
      </c>
      <c r="K977" t="s">
        <v>2822</v>
      </c>
    </row>
    <row r="978" spans="1:11" x14ac:dyDescent="0.25">
      <c r="A978" t="s">
        <v>2295</v>
      </c>
      <c r="B978" t="s">
        <v>214</v>
      </c>
      <c r="I978" t="s">
        <v>2493</v>
      </c>
      <c r="J978" t="s">
        <v>253</v>
      </c>
      <c r="K978" t="s">
        <v>2822</v>
      </c>
    </row>
    <row r="979" spans="1:11" x14ac:dyDescent="0.25">
      <c r="A979" t="s">
        <v>1886</v>
      </c>
      <c r="B979" t="s">
        <v>214</v>
      </c>
      <c r="I979" t="s">
        <v>2382</v>
      </c>
      <c r="J979" t="s">
        <v>253</v>
      </c>
      <c r="K979" t="s">
        <v>2822</v>
      </c>
    </row>
    <row r="980" spans="1:11" x14ac:dyDescent="0.25">
      <c r="A980" t="s">
        <v>2288</v>
      </c>
      <c r="B980" t="s">
        <v>214</v>
      </c>
      <c r="I980" t="s">
        <v>1728</v>
      </c>
      <c r="J980" t="s">
        <v>253</v>
      </c>
      <c r="K980" t="s">
        <v>2822</v>
      </c>
    </row>
    <row r="981" spans="1:11" x14ac:dyDescent="0.25">
      <c r="A981" t="s">
        <v>1755</v>
      </c>
      <c r="B981" t="s">
        <v>214</v>
      </c>
      <c r="I981" t="s">
        <v>1837</v>
      </c>
      <c r="J981" t="s">
        <v>253</v>
      </c>
      <c r="K981" t="s">
        <v>2822</v>
      </c>
    </row>
    <row r="982" spans="1:11" x14ac:dyDescent="0.25">
      <c r="A982" t="s">
        <v>2263</v>
      </c>
      <c r="B982" t="s">
        <v>214</v>
      </c>
      <c r="I982" t="s">
        <v>1453</v>
      </c>
      <c r="J982" t="s">
        <v>253</v>
      </c>
      <c r="K982" t="s">
        <v>2822</v>
      </c>
    </row>
    <row r="983" spans="1:11" x14ac:dyDescent="0.25">
      <c r="A983" t="s">
        <v>2264</v>
      </c>
      <c r="B983" t="s">
        <v>214</v>
      </c>
      <c r="I983" t="s">
        <v>1566</v>
      </c>
      <c r="J983" t="s">
        <v>253</v>
      </c>
      <c r="K983" t="s">
        <v>2822</v>
      </c>
    </row>
    <row r="984" spans="1:11" x14ac:dyDescent="0.25">
      <c r="A984" t="s">
        <v>2287</v>
      </c>
      <c r="B984" t="s">
        <v>214</v>
      </c>
      <c r="I984" t="s">
        <v>2423</v>
      </c>
      <c r="J984" t="s">
        <v>253</v>
      </c>
      <c r="K984" t="s">
        <v>2822</v>
      </c>
    </row>
    <row r="985" spans="1:11" x14ac:dyDescent="0.25">
      <c r="A985" t="s">
        <v>2289</v>
      </c>
      <c r="B985" t="s">
        <v>214</v>
      </c>
      <c r="I985" t="s">
        <v>2367</v>
      </c>
      <c r="J985" t="s">
        <v>253</v>
      </c>
      <c r="K985" t="s">
        <v>2822</v>
      </c>
    </row>
    <row r="986" spans="1:11" x14ac:dyDescent="0.25">
      <c r="A986" t="s">
        <v>2149</v>
      </c>
      <c r="B986" t="s">
        <v>214</v>
      </c>
      <c r="I986" t="s">
        <v>1549</v>
      </c>
      <c r="J986" t="s">
        <v>253</v>
      </c>
      <c r="K986" t="s">
        <v>2822</v>
      </c>
    </row>
    <row r="987" spans="1:11" x14ac:dyDescent="0.25">
      <c r="A987" t="s">
        <v>2251</v>
      </c>
      <c r="B987" t="s">
        <v>214</v>
      </c>
      <c r="I987" t="s">
        <v>2636</v>
      </c>
      <c r="J987" t="s">
        <v>253</v>
      </c>
      <c r="K987" t="s">
        <v>2822</v>
      </c>
    </row>
    <row r="988" spans="1:11" x14ac:dyDescent="0.25">
      <c r="A988" t="s">
        <v>1694</v>
      </c>
      <c r="B988" t="s">
        <v>214</v>
      </c>
      <c r="I988" t="s">
        <v>1547</v>
      </c>
      <c r="J988" t="s">
        <v>253</v>
      </c>
      <c r="K988" t="s">
        <v>2822</v>
      </c>
    </row>
    <row r="989" spans="1:11" x14ac:dyDescent="0.25">
      <c r="A989" t="s">
        <v>2479</v>
      </c>
      <c r="B989" t="s">
        <v>214</v>
      </c>
      <c r="I989" t="s">
        <v>2429</v>
      </c>
      <c r="J989" t="s">
        <v>253</v>
      </c>
      <c r="K989" t="s">
        <v>2822</v>
      </c>
    </row>
    <row r="990" spans="1:11" x14ac:dyDescent="0.25">
      <c r="A990" t="s">
        <v>2292</v>
      </c>
      <c r="B990" t="s">
        <v>214</v>
      </c>
      <c r="I990" t="s">
        <v>2448</v>
      </c>
      <c r="J990" t="s">
        <v>253</v>
      </c>
      <c r="K990" t="s">
        <v>2822</v>
      </c>
    </row>
    <row r="991" spans="1:11" x14ac:dyDescent="0.25">
      <c r="A991" t="s">
        <v>1887</v>
      </c>
      <c r="B991" t="s">
        <v>214</v>
      </c>
      <c r="I991" t="s">
        <v>1503</v>
      </c>
      <c r="J991" t="s">
        <v>253</v>
      </c>
      <c r="K991" t="s">
        <v>2822</v>
      </c>
    </row>
    <row r="992" spans="1:11" x14ac:dyDescent="0.25">
      <c r="A992" t="s">
        <v>1357</v>
      </c>
      <c r="B992" t="s">
        <v>214</v>
      </c>
      <c r="C992">
        <v>0.73</v>
      </c>
      <c r="I992" t="s">
        <v>1898</v>
      </c>
      <c r="J992" t="s">
        <v>253</v>
      </c>
      <c r="K992" t="s">
        <v>2822</v>
      </c>
    </row>
    <row r="993" spans="1:11" x14ac:dyDescent="0.25">
      <c r="A993" t="s">
        <v>2239</v>
      </c>
      <c r="B993" t="s">
        <v>214</v>
      </c>
      <c r="I993" t="s">
        <v>2234</v>
      </c>
      <c r="J993" t="s">
        <v>253</v>
      </c>
      <c r="K993" t="s">
        <v>2822</v>
      </c>
    </row>
    <row r="994" spans="1:11" x14ac:dyDescent="0.25">
      <c r="A994" t="s">
        <v>1691</v>
      </c>
      <c r="B994" t="s">
        <v>214</v>
      </c>
      <c r="I994" t="s">
        <v>2295</v>
      </c>
      <c r="J994" t="s">
        <v>253</v>
      </c>
      <c r="K994" t="s">
        <v>2822</v>
      </c>
    </row>
    <row r="995" spans="1:11" x14ac:dyDescent="0.25">
      <c r="A995" t="s">
        <v>2233</v>
      </c>
      <c r="B995" t="s">
        <v>214</v>
      </c>
      <c r="I995" t="s">
        <v>1886</v>
      </c>
      <c r="J995" t="s">
        <v>253</v>
      </c>
      <c r="K995" t="s">
        <v>2822</v>
      </c>
    </row>
    <row r="996" spans="1:11" x14ac:dyDescent="0.25">
      <c r="A996" t="s">
        <v>1851</v>
      </c>
      <c r="B996" t="s">
        <v>214</v>
      </c>
      <c r="I996" t="s">
        <v>1975</v>
      </c>
      <c r="J996" t="s">
        <v>253</v>
      </c>
      <c r="K996" t="s">
        <v>2822</v>
      </c>
    </row>
    <row r="997" spans="1:11" x14ac:dyDescent="0.25">
      <c r="A997" t="s">
        <v>1589</v>
      </c>
      <c r="B997" t="s">
        <v>214</v>
      </c>
      <c r="I997" t="s">
        <v>2288</v>
      </c>
      <c r="J997" t="s">
        <v>253</v>
      </c>
      <c r="K997" t="s">
        <v>2822</v>
      </c>
    </row>
    <row r="998" spans="1:11" x14ac:dyDescent="0.25">
      <c r="A998" t="s">
        <v>1537</v>
      </c>
      <c r="B998" t="s">
        <v>214</v>
      </c>
      <c r="I998" t="s">
        <v>1755</v>
      </c>
      <c r="J998" t="s">
        <v>253</v>
      </c>
      <c r="K998" t="s">
        <v>2822</v>
      </c>
    </row>
    <row r="999" spans="1:11" x14ac:dyDescent="0.25">
      <c r="A999" t="s">
        <v>2236</v>
      </c>
      <c r="B999" t="s">
        <v>214</v>
      </c>
      <c r="I999" t="s">
        <v>2263</v>
      </c>
      <c r="J999" t="s">
        <v>253</v>
      </c>
      <c r="K999" t="s">
        <v>2822</v>
      </c>
    </row>
    <row r="1000" spans="1:11" x14ac:dyDescent="0.25">
      <c r="A1000" t="s">
        <v>1613</v>
      </c>
      <c r="B1000" t="s">
        <v>214</v>
      </c>
      <c r="C1000">
        <v>3.64</v>
      </c>
      <c r="I1000" t="s">
        <v>2264</v>
      </c>
      <c r="J1000" t="s">
        <v>253</v>
      </c>
      <c r="K1000" t="s">
        <v>2822</v>
      </c>
    </row>
    <row r="1001" spans="1:11" x14ac:dyDescent="0.25">
      <c r="A1001" t="s">
        <v>2447</v>
      </c>
      <c r="B1001" t="s">
        <v>214</v>
      </c>
      <c r="I1001" t="s">
        <v>2287</v>
      </c>
      <c r="J1001" t="s">
        <v>253</v>
      </c>
      <c r="K1001" t="s">
        <v>2822</v>
      </c>
    </row>
    <row r="1002" spans="1:11" x14ac:dyDescent="0.25">
      <c r="A1002" t="s">
        <v>2342</v>
      </c>
      <c r="B1002" t="s">
        <v>214</v>
      </c>
      <c r="I1002" t="s">
        <v>2289</v>
      </c>
      <c r="J1002" t="s">
        <v>253</v>
      </c>
      <c r="K1002" t="s">
        <v>2822</v>
      </c>
    </row>
    <row r="1003" spans="1:11" x14ac:dyDescent="0.25">
      <c r="A1003" t="s">
        <v>1614</v>
      </c>
      <c r="B1003" t="s">
        <v>214</v>
      </c>
      <c r="I1003" t="s">
        <v>2149</v>
      </c>
      <c r="J1003" t="s">
        <v>253</v>
      </c>
      <c r="K1003" t="s">
        <v>2822</v>
      </c>
    </row>
    <row r="1004" spans="1:11" x14ac:dyDescent="0.25">
      <c r="A1004" t="s">
        <v>1615</v>
      </c>
      <c r="B1004" t="s">
        <v>214</v>
      </c>
      <c r="I1004" t="s">
        <v>2251</v>
      </c>
      <c r="J1004" t="s">
        <v>253</v>
      </c>
      <c r="K1004" t="s">
        <v>2822</v>
      </c>
    </row>
    <row r="1005" spans="1:11" x14ac:dyDescent="0.25">
      <c r="A1005" t="s">
        <v>1616</v>
      </c>
      <c r="B1005" t="s">
        <v>214</v>
      </c>
      <c r="I1005" t="s">
        <v>1694</v>
      </c>
      <c r="J1005" t="s">
        <v>253</v>
      </c>
      <c r="K1005" t="s">
        <v>2822</v>
      </c>
    </row>
    <row r="1006" spans="1:11" x14ac:dyDescent="0.25">
      <c r="A1006" t="s">
        <v>2237</v>
      </c>
      <c r="B1006" t="s">
        <v>214</v>
      </c>
      <c r="I1006" t="s">
        <v>2479</v>
      </c>
      <c r="J1006" t="s">
        <v>253</v>
      </c>
      <c r="K1006" t="s">
        <v>2822</v>
      </c>
    </row>
    <row r="1007" spans="1:11" x14ac:dyDescent="0.25">
      <c r="A1007" t="s">
        <v>1612</v>
      </c>
      <c r="B1007" t="s">
        <v>214</v>
      </c>
      <c r="I1007" t="s">
        <v>2292</v>
      </c>
      <c r="J1007" t="s">
        <v>253</v>
      </c>
      <c r="K1007" t="s">
        <v>2822</v>
      </c>
    </row>
    <row r="1008" spans="1:11" x14ac:dyDescent="0.25">
      <c r="A1008" t="s">
        <v>2241</v>
      </c>
      <c r="B1008" t="s">
        <v>214</v>
      </c>
      <c r="I1008" t="s">
        <v>1887</v>
      </c>
      <c r="J1008" t="s">
        <v>253</v>
      </c>
      <c r="K1008" t="s">
        <v>2822</v>
      </c>
    </row>
    <row r="1009" spans="1:11" x14ac:dyDescent="0.25">
      <c r="A1009" t="s">
        <v>1620</v>
      </c>
      <c r="B1009" t="s">
        <v>214</v>
      </c>
      <c r="C1009">
        <v>0.73</v>
      </c>
      <c r="I1009" t="s">
        <v>1357</v>
      </c>
      <c r="J1009" t="s">
        <v>253</v>
      </c>
      <c r="K1009" t="s">
        <v>2822</v>
      </c>
    </row>
    <row r="1010" spans="1:11" x14ac:dyDescent="0.25">
      <c r="A1010" t="s">
        <v>1621</v>
      </c>
      <c r="B1010" t="s">
        <v>214</v>
      </c>
      <c r="C1010">
        <v>12.73</v>
      </c>
      <c r="I1010" t="s">
        <v>2239</v>
      </c>
      <c r="J1010" t="s">
        <v>253</v>
      </c>
      <c r="K1010" t="s">
        <v>2822</v>
      </c>
    </row>
    <row r="1011" spans="1:11" x14ac:dyDescent="0.25">
      <c r="A1011" t="s">
        <v>1472</v>
      </c>
      <c r="B1011" t="s">
        <v>214</v>
      </c>
      <c r="I1011" t="s">
        <v>1691</v>
      </c>
      <c r="J1011" t="s">
        <v>253</v>
      </c>
      <c r="K1011" t="s">
        <v>2822</v>
      </c>
    </row>
    <row r="1012" spans="1:11" x14ac:dyDescent="0.25">
      <c r="A1012" t="s">
        <v>1567</v>
      </c>
      <c r="B1012" t="s">
        <v>214</v>
      </c>
      <c r="I1012" t="s">
        <v>2233</v>
      </c>
      <c r="J1012" t="s">
        <v>253</v>
      </c>
      <c r="K1012" t="s">
        <v>2822</v>
      </c>
    </row>
    <row r="1013" spans="1:11" x14ac:dyDescent="0.25">
      <c r="A1013" t="s">
        <v>1548</v>
      </c>
      <c r="B1013" t="s">
        <v>214</v>
      </c>
      <c r="I1013" t="s">
        <v>1851</v>
      </c>
      <c r="J1013" t="s">
        <v>253</v>
      </c>
      <c r="K1013" t="s">
        <v>2822</v>
      </c>
    </row>
    <row r="1014" spans="1:11" x14ac:dyDescent="0.25">
      <c r="A1014" t="s">
        <v>1617</v>
      </c>
      <c r="B1014" t="s">
        <v>214</v>
      </c>
      <c r="C1014">
        <v>3.64</v>
      </c>
      <c r="I1014" t="s">
        <v>1589</v>
      </c>
      <c r="J1014" t="s">
        <v>253</v>
      </c>
      <c r="K1014" t="s">
        <v>2822</v>
      </c>
    </row>
    <row r="1015" spans="1:11" x14ac:dyDescent="0.25">
      <c r="A1015" t="s">
        <v>1435</v>
      </c>
      <c r="B1015" t="s">
        <v>214</v>
      </c>
      <c r="I1015" t="s">
        <v>1537</v>
      </c>
      <c r="J1015" t="s">
        <v>253</v>
      </c>
      <c r="K1015" t="s">
        <v>2822</v>
      </c>
    </row>
    <row r="1016" spans="1:11" x14ac:dyDescent="0.25">
      <c r="A1016" t="s">
        <v>1618</v>
      </c>
      <c r="B1016" t="s">
        <v>214</v>
      </c>
      <c r="C1016">
        <v>1.82</v>
      </c>
      <c r="I1016" t="s">
        <v>2236</v>
      </c>
      <c r="J1016" t="s">
        <v>253</v>
      </c>
      <c r="K1016" t="s">
        <v>2822</v>
      </c>
    </row>
    <row r="1017" spans="1:11" x14ac:dyDescent="0.25">
      <c r="A1017" t="s">
        <v>1358</v>
      </c>
      <c r="B1017" t="s">
        <v>214</v>
      </c>
      <c r="C1017">
        <v>1.0900000000000001</v>
      </c>
      <c r="I1017" t="s">
        <v>1613</v>
      </c>
      <c r="J1017" t="s">
        <v>253</v>
      </c>
      <c r="K1017" t="s">
        <v>2822</v>
      </c>
    </row>
    <row r="1018" spans="1:11" x14ac:dyDescent="0.25">
      <c r="A1018" t="s">
        <v>2370</v>
      </c>
      <c r="B1018" t="s">
        <v>214</v>
      </c>
      <c r="I1018" t="s">
        <v>2447</v>
      </c>
      <c r="J1018" t="s">
        <v>253</v>
      </c>
      <c r="K1018" t="s">
        <v>2822</v>
      </c>
    </row>
    <row r="1019" spans="1:11" x14ac:dyDescent="0.25">
      <c r="A1019" t="s">
        <v>2379</v>
      </c>
      <c r="B1019" t="s">
        <v>214</v>
      </c>
      <c r="C1019">
        <v>0</v>
      </c>
      <c r="I1019" t="s">
        <v>2342</v>
      </c>
      <c r="J1019" t="s">
        <v>253</v>
      </c>
      <c r="K1019" t="s">
        <v>2822</v>
      </c>
    </row>
    <row r="1020" spans="1:11" x14ac:dyDescent="0.25">
      <c r="A1020" t="s">
        <v>1801</v>
      </c>
      <c r="B1020" t="s">
        <v>214</v>
      </c>
      <c r="I1020" t="s">
        <v>1614</v>
      </c>
      <c r="J1020" t="s">
        <v>253</v>
      </c>
      <c r="K1020" t="s">
        <v>2822</v>
      </c>
    </row>
    <row r="1021" spans="1:11" x14ac:dyDescent="0.25">
      <c r="A1021" t="s">
        <v>1803</v>
      </c>
      <c r="B1021" t="s">
        <v>214</v>
      </c>
      <c r="I1021" t="s">
        <v>1615</v>
      </c>
      <c r="J1021" t="s">
        <v>253</v>
      </c>
      <c r="K1021" t="s">
        <v>2822</v>
      </c>
    </row>
    <row r="1022" spans="1:11" x14ac:dyDescent="0.25">
      <c r="A1022" t="s">
        <v>1765</v>
      </c>
      <c r="B1022" t="s">
        <v>214</v>
      </c>
      <c r="I1022" t="s">
        <v>1616</v>
      </c>
      <c r="J1022" t="s">
        <v>253</v>
      </c>
      <c r="K1022" t="s">
        <v>2822</v>
      </c>
    </row>
    <row r="1023" spans="1:11" x14ac:dyDescent="0.25">
      <c r="A1023" t="s">
        <v>1764</v>
      </c>
      <c r="B1023" t="s">
        <v>214</v>
      </c>
      <c r="C1023">
        <v>1.82</v>
      </c>
      <c r="I1023" t="s">
        <v>2237</v>
      </c>
      <c r="J1023" t="s">
        <v>253</v>
      </c>
      <c r="K1023" t="s">
        <v>2822</v>
      </c>
    </row>
    <row r="1024" spans="1:11" x14ac:dyDescent="0.25">
      <c r="A1024" t="s">
        <v>2508</v>
      </c>
      <c r="B1024" t="s">
        <v>214</v>
      </c>
      <c r="I1024" t="s">
        <v>1612</v>
      </c>
      <c r="J1024" t="s">
        <v>253</v>
      </c>
      <c r="K1024" t="s">
        <v>2822</v>
      </c>
    </row>
    <row r="1025" spans="1:11" x14ac:dyDescent="0.25">
      <c r="A1025" t="s">
        <v>2509</v>
      </c>
      <c r="B1025" t="s">
        <v>214</v>
      </c>
      <c r="I1025" t="s">
        <v>2241</v>
      </c>
      <c r="J1025" t="s">
        <v>253</v>
      </c>
      <c r="K1025" t="s">
        <v>2822</v>
      </c>
    </row>
    <row r="1026" spans="1:11" x14ac:dyDescent="0.25">
      <c r="A1026" t="s">
        <v>2381</v>
      </c>
      <c r="B1026" t="s">
        <v>214</v>
      </c>
      <c r="I1026" t="s">
        <v>1620</v>
      </c>
      <c r="J1026" t="s">
        <v>253</v>
      </c>
      <c r="K1026" t="s">
        <v>2822</v>
      </c>
    </row>
    <row r="1027" spans="1:11" x14ac:dyDescent="0.25">
      <c r="A1027" t="s">
        <v>1769</v>
      </c>
      <c r="B1027" t="s">
        <v>214</v>
      </c>
      <c r="I1027" t="s">
        <v>1621</v>
      </c>
      <c r="J1027" t="s">
        <v>253</v>
      </c>
      <c r="K1027" t="s">
        <v>2822</v>
      </c>
    </row>
    <row r="1028" spans="1:11" x14ac:dyDescent="0.25">
      <c r="A1028" t="s">
        <v>1802</v>
      </c>
      <c r="B1028" t="s">
        <v>214</v>
      </c>
      <c r="C1028">
        <v>3.64</v>
      </c>
      <c r="I1028" t="s">
        <v>1472</v>
      </c>
      <c r="J1028" t="s">
        <v>253</v>
      </c>
      <c r="K1028" t="s">
        <v>2822</v>
      </c>
    </row>
    <row r="1029" spans="1:11" x14ac:dyDescent="0.25">
      <c r="A1029" t="s">
        <v>2500</v>
      </c>
      <c r="B1029" t="s">
        <v>214</v>
      </c>
      <c r="I1029" t="s">
        <v>1567</v>
      </c>
      <c r="J1029" t="s">
        <v>253</v>
      </c>
      <c r="K1029" t="s">
        <v>2822</v>
      </c>
    </row>
    <row r="1030" spans="1:11" x14ac:dyDescent="0.25">
      <c r="A1030" t="s">
        <v>2340</v>
      </c>
      <c r="B1030" t="s">
        <v>214</v>
      </c>
      <c r="I1030" t="s">
        <v>1548</v>
      </c>
      <c r="J1030" t="s">
        <v>253</v>
      </c>
      <c r="K1030" t="s">
        <v>2822</v>
      </c>
    </row>
    <row r="1031" spans="1:11" x14ac:dyDescent="0.25">
      <c r="A1031" t="s">
        <v>2232</v>
      </c>
      <c r="B1031" t="s">
        <v>214</v>
      </c>
      <c r="I1031" t="s">
        <v>1617</v>
      </c>
      <c r="J1031" t="s">
        <v>253</v>
      </c>
      <c r="K1031" t="s">
        <v>2822</v>
      </c>
    </row>
    <row r="1032" spans="1:11" x14ac:dyDescent="0.25">
      <c r="A1032" t="s">
        <v>1753</v>
      </c>
      <c r="B1032" t="s">
        <v>214</v>
      </c>
      <c r="I1032" t="s">
        <v>1435</v>
      </c>
      <c r="J1032" t="s">
        <v>253</v>
      </c>
      <c r="K1032" t="s">
        <v>2822</v>
      </c>
    </row>
    <row r="1033" spans="1:11" x14ac:dyDescent="0.25">
      <c r="A1033" t="s">
        <v>1359</v>
      </c>
      <c r="B1033" t="s">
        <v>214</v>
      </c>
      <c r="C1033">
        <v>1.45</v>
      </c>
      <c r="I1033" t="s">
        <v>1618</v>
      </c>
      <c r="J1033" t="s">
        <v>253</v>
      </c>
      <c r="K1033" t="s">
        <v>2822</v>
      </c>
    </row>
    <row r="1034" spans="1:11" x14ac:dyDescent="0.25">
      <c r="A1034" t="s">
        <v>2339</v>
      </c>
      <c r="B1034" t="s">
        <v>214</v>
      </c>
      <c r="I1034" t="s">
        <v>1358</v>
      </c>
      <c r="J1034" t="s">
        <v>253</v>
      </c>
      <c r="K1034" t="s">
        <v>2822</v>
      </c>
    </row>
    <row r="1035" spans="1:11" x14ac:dyDescent="0.25">
      <c r="A1035" t="s">
        <v>2344</v>
      </c>
      <c r="B1035" t="s">
        <v>214</v>
      </c>
      <c r="I1035" t="s">
        <v>2370</v>
      </c>
      <c r="J1035" t="s">
        <v>253</v>
      </c>
      <c r="K1035" t="s">
        <v>2822</v>
      </c>
    </row>
    <row r="1036" spans="1:11" x14ac:dyDescent="0.25">
      <c r="A1036" t="s">
        <v>2368</v>
      </c>
      <c r="B1036" t="s">
        <v>214</v>
      </c>
      <c r="I1036" t="s">
        <v>2379</v>
      </c>
      <c r="J1036" t="s">
        <v>253</v>
      </c>
      <c r="K1036" t="s">
        <v>2822</v>
      </c>
    </row>
    <row r="1037" spans="1:11" x14ac:dyDescent="0.25">
      <c r="A1037" t="s">
        <v>2235</v>
      </c>
      <c r="B1037" t="s">
        <v>214</v>
      </c>
      <c r="I1037" t="s">
        <v>1801</v>
      </c>
      <c r="J1037" t="s">
        <v>253</v>
      </c>
      <c r="K1037" t="s">
        <v>2822</v>
      </c>
    </row>
    <row r="1038" spans="1:11" x14ac:dyDescent="0.25">
      <c r="A1038" t="s">
        <v>1077</v>
      </c>
      <c r="B1038" t="s">
        <v>214</v>
      </c>
      <c r="C1038">
        <v>0</v>
      </c>
      <c r="I1038" t="s">
        <v>1803</v>
      </c>
      <c r="J1038" t="s">
        <v>253</v>
      </c>
      <c r="K1038" t="s">
        <v>2822</v>
      </c>
    </row>
    <row r="1039" spans="1:11" x14ac:dyDescent="0.25">
      <c r="A1039" t="s">
        <v>2536</v>
      </c>
      <c r="B1039" t="s">
        <v>214</v>
      </c>
      <c r="I1039" t="s">
        <v>1765</v>
      </c>
      <c r="J1039" t="s">
        <v>253</v>
      </c>
      <c r="K1039" t="s">
        <v>2822</v>
      </c>
    </row>
    <row r="1040" spans="1:11" x14ac:dyDescent="0.25">
      <c r="A1040" t="s">
        <v>1857</v>
      </c>
      <c r="B1040" t="s">
        <v>214</v>
      </c>
      <c r="I1040" t="s">
        <v>1764</v>
      </c>
      <c r="J1040" t="s">
        <v>253</v>
      </c>
      <c r="K1040" t="s">
        <v>2822</v>
      </c>
    </row>
    <row r="1041" spans="1:11" x14ac:dyDescent="0.25">
      <c r="A1041" t="s">
        <v>2581</v>
      </c>
      <c r="B1041" t="s">
        <v>214</v>
      </c>
      <c r="C1041">
        <v>7.27</v>
      </c>
      <c r="I1041" t="s">
        <v>2508</v>
      </c>
      <c r="J1041" t="s">
        <v>253</v>
      </c>
      <c r="K1041" t="s">
        <v>2822</v>
      </c>
    </row>
    <row r="1042" spans="1:11" x14ac:dyDescent="0.25">
      <c r="A1042" t="s">
        <v>1856</v>
      </c>
      <c r="B1042" t="s">
        <v>214</v>
      </c>
      <c r="I1042" t="s">
        <v>2509</v>
      </c>
      <c r="J1042" t="s">
        <v>253</v>
      </c>
      <c r="K1042" t="s">
        <v>2822</v>
      </c>
    </row>
    <row r="1043" spans="1:11" x14ac:dyDescent="0.25">
      <c r="A1043" t="s">
        <v>2630</v>
      </c>
      <c r="B1043" t="s">
        <v>214</v>
      </c>
      <c r="I1043" t="s">
        <v>2381</v>
      </c>
      <c r="J1043" t="s">
        <v>253</v>
      </c>
      <c r="K1043" t="s">
        <v>2822</v>
      </c>
    </row>
    <row r="1044" spans="1:11" x14ac:dyDescent="0.25">
      <c r="A1044" t="s">
        <v>1909</v>
      </c>
      <c r="B1044" t="s">
        <v>214</v>
      </c>
      <c r="I1044" t="s">
        <v>1769</v>
      </c>
      <c r="J1044" t="s">
        <v>253</v>
      </c>
      <c r="K1044" t="s">
        <v>2822</v>
      </c>
    </row>
    <row r="1045" spans="1:11" x14ac:dyDescent="0.25">
      <c r="A1045" t="s">
        <v>2069</v>
      </c>
      <c r="B1045" t="s">
        <v>214</v>
      </c>
      <c r="I1045" t="s">
        <v>1802</v>
      </c>
      <c r="J1045" t="s">
        <v>253</v>
      </c>
      <c r="K1045" t="s">
        <v>2822</v>
      </c>
    </row>
    <row r="1046" spans="1:11" x14ac:dyDescent="0.25">
      <c r="A1046" t="s">
        <v>2389</v>
      </c>
      <c r="B1046" t="s">
        <v>214</v>
      </c>
      <c r="C1046">
        <v>0</v>
      </c>
      <c r="I1046" t="s">
        <v>2500</v>
      </c>
      <c r="J1046" t="s">
        <v>253</v>
      </c>
      <c r="K1046" t="s">
        <v>2822</v>
      </c>
    </row>
    <row r="1047" spans="1:11" x14ac:dyDescent="0.25">
      <c r="A1047" t="s">
        <v>1913</v>
      </c>
      <c r="B1047" t="s">
        <v>214</v>
      </c>
      <c r="I1047" t="s">
        <v>2340</v>
      </c>
      <c r="J1047" t="s">
        <v>253</v>
      </c>
      <c r="K1047" t="s">
        <v>2822</v>
      </c>
    </row>
    <row r="1048" spans="1:11" x14ac:dyDescent="0.25">
      <c r="A1048" t="s">
        <v>1115</v>
      </c>
      <c r="B1048" t="s">
        <v>214</v>
      </c>
      <c r="C1048">
        <v>0</v>
      </c>
      <c r="I1048" t="s">
        <v>2232</v>
      </c>
      <c r="J1048" t="s">
        <v>253</v>
      </c>
      <c r="K1048" t="s">
        <v>2822</v>
      </c>
    </row>
    <row r="1049" spans="1:11" x14ac:dyDescent="0.25">
      <c r="A1049" t="s">
        <v>1865</v>
      </c>
      <c r="B1049" t="s">
        <v>214</v>
      </c>
      <c r="I1049" t="s">
        <v>1753</v>
      </c>
      <c r="J1049" t="s">
        <v>253</v>
      </c>
      <c r="K1049" t="s">
        <v>2822</v>
      </c>
    </row>
    <row r="1050" spans="1:11" x14ac:dyDescent="0.25">
      <c r="A1050" t="s">
        <v>1888</v>
      </c>
      <c r="B1050" t="s">
        <v>214</v>
      </c>
      <c r="I1050" t="s">
        <v>1359</v>
      </c>
      <c r="J1050" t="s">
        <v>253</v>
      </c>
      <c r="K1050" t="s">
        <v>2822</v>
      </c>
    </row>
    <row r="1051" spans="1:11" x14ac:dyDescent="0.25">
      <c r="A1051" t="s">
        <v>1362</v>
      </c>
      <c r="B1051" t="s">
        <v>214</v>
      </c>
      <c r="C1051">
        <v>1.82</v>
      </c>
      <c r="I1051" t="s">
        <v>2339</v>
      </c>
      <c r="J1051" t="s">
        <v>253</v>
      </c>
      <c r="K1051" t="s">
        <v>2822</v>
      </c>
    </row>
    <row r="1052" spans="1:11" x14ac:dyDescent="0.25">
      <c r="A1052" t="s">
        <v>1363</v>
      </c>
      <c r="B1052" t="s">
        <v>214</v>
      </c>
      <c r="C1052">
        <v>1.45</v>
      </c>
      <c r="I1052" t="s">
        <v>2344</v>
      </c>
      <c r="J1052" t="s">
        <v>253</v>
      </c>
      <c r="K1052" t="s">
        <v>2822</v>
      </c>
    </row>
    <row r="1053" spans="1:11" x14ac:dyDescent="0.25">
      <c r="A1053" t="s">
        <v>2222</v>
      </c>
      <c r="B1053" t="s">
        <v>214</v>
      </c>
      <c r="I1053" t="s">
        <v>2368</v>
      </c>
      <c r="J1053" t="s">
        <v>253</v>
      </c>
      <c r="K1053" t="s">
        <v>2822</v>
      </c>
    </row>
    <row r="1054" spans="1:11" x14ac:dyDescent="0.25">
      <c r="A1054" t="s">
        <v>1438</v>
      </c>
      <c r="B1054" t="s">
        <v>214</v>
      </c>
      <c r="C1054">
        <v>1.82</v>
      </c>
      <c r="I1054" t="s">
        <v>2235</v>
      </c>
      <c r="J1054" t="s">
        <v>253</v>
      </c>
      <c r="K1054" t="s">
        <v>2822</v>
      </c>
    </row>
    <row r="1055" spans="1:11" x14ac:dyDescent="0.25">
      <c r="A1055" t="s">
        <v>1825</v>
      </c>
      <c r="B1055" t="s">
        <v>214</v>
      </c>
      <c r="C1055">
        <v>10.91</v>
      </c>
      <c r="I1055" t="s">
        <v>1077</v>
      </c>
      <c r="J1055" t="s">
        <v>253</v>
      </c>
      <c r="K1055" t="s">
        <v>2822</v>
      </c>
    </row>
    <row r="1056" spans="1:11" x14ac:dyDescent="0.25">
      <c r="A1056" t="s">
        <v>1829</v>
      </c>
      <c r="B1056" t="s">
        <v>214</v>
      </c>
      <c r="C1056">
        <v>7.27</v>
      </c>
      <c r="I1056" t="s">
        <v>2537</v>
      </c>
      <c r="J1056" t="s">
        <v>253</v>
      </c>
      <c r="K1056" t="s">
        <v>2822</v>
      </c>
    </row>
    <row r="1057" spans="1:11" x14ac:dyDescent="0.25">
      <c r="A1057" t="s">
        <v>1787</v>
      </c>
      <c r="B1057" t="s">
        <v>214</v>
      </c>
      <c r="C1057">
        <v>7.27</v>
      </c>
      <c r="I1057" t="s">
        <v>1902</v>
      </c>
      <c r="J1057" t="s">
        <v>253</v>
      </c>
      <c r="K1057" t="s">
        <v>2822</v>
      </c>
    </row>
    <row r="1058" spans="1:11" x14ac:dyDescent="0.25">
      <c r="A1058" t="s">
        <v>1475</v>
      </c>
      <c r="B1058" t="s">
        <v>214</v>
      </c>
      <c r="I1058" t="s">
        <v>1903</v>
      </c>
      <c r="J1058" t="s">
        <v>253</v>
      </c>
      <c r="K1058" t="s">
        <v>2822</v>
      </c>
    </row>
    <row r="1059" spans="1:11" x14ac:dyDescent="0.25">
      <c r="A1059" t="s">
        <v>1730</v>
      </c>
      <c r="B1059" t="s">
        <v>214</v>
      </c>
      <c r="C1059">
        <v>10.91</v>
      </c>
      <c r="I1059" t="s">
        <v>1904</v>
      </c>
      <c r="J1059" t="s">
        <v>253</v>
      </c>
      <c r="K1059" t="s">
        <v>2822</v>
      </c>
    </row>
    <row r="1060" spans="1:11" x14ac:dyDescent="0.25">
      <c r="A1060" t="s">
        <v>2206</v>
      </c>
      <c r="B1060" t="s">
        <v>214</v>
      </c>
      <c r="C1060">
        <v>0</v>
      </c>
      <c r="I1060" t="s">
        <v>1857</v>
      </c>
      <c r="J1060" t="s">
        <v>253</v>
      </c>
      <c r="K1060" t="s">
        <v>2822</v>
      </c>
    </row>
    <row r="1061" spans="1:11" x14ac:dyDescent="0.25">
      <c r="A1061" t="s">
        <v>1849</v>
      </c>
      <c r="B1061" t="s">
        <v>214</v>
      </c>
      <c r="I1061" t="s">
        <v>2581</v>
      </c>
      <c r="J1061" t="s">
        <v>253</v>
      </c>
      <c r="K1061" t="s">
        <v>2822</v>
      </c>
    </row>
    <row r="1062" spans="1:11" x14ac:dyDescent="0.25">
      <c r="A1062" t="s">
        <v>2214</v>
      </c>
      <c r="B1062" t="s">
        <v>214</v>
      </c>
      <c r="I1062" t="s">
        <v>1905</v>
      </c>
      <c r="J1062" t="s">
        <v>253</v>
      </c>
      <c r="K1062" t="s">
        <v>2822</v>
      </c>
    </row>
    <row r="1063" spans="1:11" x14ac:dyDescent="0.25">
      <c r="A1063" t="s">
        <v>2215</v>
      </c>
      <c r="B1063" t="s">
        <v>214</v>
      </c>
      <c r="I1063" t="s">
        <v>1906</v>
      </c>
      <c r="J1063" t="s">
        <v>253</v>
      </c>
      <c r="K1063" t="s">
        <v>2822</v>
      </c>
    </row>
    <row r="1064" spans="1:11" x14ac:dyDescent="0.25">
      <c r="A1064" t="s">
        <v>2494</v>
      </c>
      <c r="B1064" t="s">
        <v>214</v>
      </c>
      <c r="I1064" t="s">
        <v>1907</v>
      </c>
      <c r="J1064" t="s">
        <v>253</v>
      </c>
      <c r="K1064" t="s">
        <v>2822</v>
      </c>
    </row>
    <row r="1065" spans="1:11" x14ac:dyDescent="0.25">
      <c r="A1065" t="s">
        <v>2226</v>
      </c>
      <c r="B1065" t="s">
        <v>214</v>
      </c>
      <c r="I1065" t="s">
        <v>2535</v>
      </c>
      <c r="J1065" t="s">
        <v>253</v>
      </c>
      <c r="K1065" t="s">
        <v>2822</v>
      </c>
    </row>
    <row r="1066" spans="1:11" x14ac:dyDescent="0.25">
      <c r="A1066" t="s">
        <v>2311</v>
      </c>
      <c r="B1066" t="s">
        <v>214</v>
      </c>
      <c r="I1066" t="s">
        <v>1856</v>
      </c>
      <c r="J1066" t="s">
        <v>253</v>
      </c>
      <c r="K1066" t="s">
        <v>2822</v>
      </c>
    </row>
    <row r="1067" spans="1:11" x14ac:dyDescent="0.25">
      <c r="A1067" t="s">
        <v>1961</v>
      </c>
      <c r="B1067" t="s">
        <v>214</v>
      </c>
      <c r="I1067" t="s">
        <v>2536</v>
      </c>
      <c r="J1067" t="s">
        <v>253</v>
      </c>
      <c r="K1067" t="s">
        <v>2822</v>
      </c>
    </row>
    <row r="1068" spans="1:11" x14ac:dyDescent="0.25">
      <c r="A1068" t="s">
        <v>2346</v>
      </c>
      <c r="B1068" t="s">
        <v>214</v>
      </c>
      <c r="I1068" t="s">
        <v>1908</v>
      </c>
      <c r="J1068" t="s">
        <v>253</v>
      </c>
      <c r="K1068" t="s">
        <v>2822</v>
      </c>
    </row>
    <row r="1069" spans="1:11" x14ac:dyDescent="0.25">
      <c r="A1069" t="s">
        <v>1476</v>
      </c>
      <c r="B1069" t="s">
        <v>214</v>
      </c>
      <c r="C1069">
        <v>3.64</v>
      </c>
      <c r="I1069" t="s">
        <v>1976</v>
      </c>
      <c r="J1069" t="s">
        <v>253</v>
      </c>
      <c r="K1069" t="s">
        <v>2822</v>
      </c>
    </row>
    <row r="1070" spans="1:11" x14ac:dyDescent="0.25">
      <c r="A1070" t="s">
        <v>2354</v>
      </c>
      <c r="B1070" t="s">
        <v>214</v>
      </c>
      <c r="I1070" t="s">
        <v>1977</v>
      </c>
      <c r="J1070" t="s">
        <v>253</v>
      </c>
      <c r="K1070" t="s">
        <v>2822</v>
      </c>
    </row>
    <row r="1071" spans="1:11" x14ac:dyDescent="0.25">
      <c r="A1071" t="s">
        <v>2365</v>
      </c>
      <c r="B1071" t="s">
        <v>214</v>
      </c>
      <c r="I1071" t="s">
        <v>1859</v>
      </c>
      <c r="J1071" t="s">
        <v>253</v>
      </c>
      <c r="K1071" t="s">
        <v>2822</v>
      </c>
    </row>
    <row r="1072" spans="1:11" x14ac:dyDescent="0.25">
      <c r="A1072" t="s">
        <v>2503</v>
      </c>
      <c r="B1072" t="s">
        <v>214</v>
      </c>
      <c r="I1072" t="s">
        <v>1909</v>
      </c>
      <c r="J1072" t="s">
        <v>253</v>
      </c>
      <c r="K1072" t="s">
        <v>2822</v>
      </c>
    </row>
    <row r="1073" spans="1:11" x14ac:dyDescent="0.25">
      <c r="A1073" t="s">
        <v>1079</v>
      </c>
      <c r="B1073" t="s">
        <v>214</v>
      </c>
      <c r="C1073">
        <v>3.64</v>
      </c>
      <c r="I1073" t="s">
        <v>1978</v>
      </c>
      <c r="J1073" t="s">
        <v>253</v>
      </c>
      <c r="K1073" t="s">
        <v>2822</v>
      </c>
    </row>
    <row r="1074" spans="1:11" x14ac:dyDescent="0.25">
      <c r="A1074" t="s">
        <v>1364</v>
      </c>
      <c r="B1074" t="s">
        <v>214</v>
      </c>
      <c r="C1074">
        <v>1.82</v>
      </c>
      <c r="I1074" t="s">
        <v>2630</v>
      </c>
      <c r="J1074" t="s">
        <v>253</v>
      </c>
      <c r="K1074" t="s">
        <v>2822</v>
      </c>
    </row>
    <row r="1075" spans="1:11" x14ac:dyDescent="0.25">
      <c r="A1075" t="s">
        <v>1080</v>
      </c>
      <c r="B1075" t="s">
        <v>214</v>
      </c>
      <c r="C1075">
        <v>5.45</v>
      </c>
      <c r="I1075" t="s">
        <v>2069</v>
      </c>
      <c r="J1075" t="s">
        <v>253</v>
      </c>
      <c r="K1075" t="s">
        <v>2822</v>
      </c>
    </row>
    <row r="1076" spans="1:11" x14ac:dyDescent="0.25">
      <c r="A1076" t="s">
        <v>1081</v>
      </c>
      <c r="B1076" t="s">
        <v>214</v>
      </c>
      <c r="C1076">
        <v>3.64</v>
      </c>
      <c r="I1076" t="s">
        <v>2389</v>
      </c>
      <c r="J1076" t="s">
        <v>253</v>
      </c>
      <c r="K1076" t="s">
        <v>2822</v>
      </c>
    </row>
    <row r="1077" spans="1:11" x14ac:dyDescent="0.25">
      <c r="A1077" t="s">
        <v>1082</v>
      </c>
      <c r="B1077" t="s">
        <v>214</v>
      </c>
      <c r="C1077">
        <v>3.64</v>
      </c>
      <c r="I1077" t="s">
        <v>1913</v>
      </c>
      <c r="J1077" t="s">
        <v>253</v>
      </c>
      <c r="K1077" t="s">
        <v>2822</v>
      </c>
    </row>
    <row r="1078" spans="1:11" x14ac:dyDescent="0.25">
      <c r="A1078" t="s">
        <v>1083</v>
      </c>
      <c r="B1078" t="s">
        <v>214</v>
      </c>
      <c r="C1078">
        <v>1.0900000000000001</v>
      </c>
      <c r="I1078" t="s">
        <v>1914</v>
      </c>
      <c r="J1078" t="s">
        <v>253</v>
      </c>
      <c r="K1078" t="s">
        <v>2822</v>
      </c>
    </row>
    <row r="1079" spans="1:11" x14ac:dyDescent="0.25">
      <c r="A1079" t="s">
        <v>1084</v>
      </c>
      <c r="B1079" t="s">
        <v>214</v>
      </c>
      <c r="C1079">
        <v>0.73</v>
      </c>
      <c r="I1079" t="s">
        <v>1115</v>
      </c>
      <c r="J1079" t="s">
        <v>253</v>
      </c>
      <c r="K1079" t="s">
        <v>2822</v>
      </c>
    </row>
    <row r="1080" spans="1:11" x14ac:dyDescent="0.25">
      <c r="A1080" t="s">
        <v>1085</v>
      </c>
      <c r="B1080" t="s">
        <v>214</v>
      </c>
      <c r="C1080">
        <v>3.64</v>
      </c>
      <c r="I1080" t="s">
        <v>1869</v>
      </c>
      <c r="J1080" t="s">
        <v>253</v>
      </c>
      <c r="K1080" t="s">
        <v>2822</v>
      </c>
    </row>
    <row r="1081" spans="1:11" x14ac:dyDescent="0.25">
      <c r="A1081" t="s">
        <v>1086</v>
      </c>
      <c r="B1081" t="s">
        <v>214</v>
      </c>
      <c r="C1081">
        <v>14.55</v>
      </c>
      <c r="I1081" t="s">
        <v>1865</v>
      </c>
      <c r="J1081" t="s">
        <v>253</v>
      </c>
      <c r="K1081" t="s">
        <v>2822</v>
      </c>
    </row>
    <row r="1082" spans="1:11" x14ac:dyDescent="0.25">
      <c r="A1082" t="s">
        <v>1365</v>
      </c>
      <c r="B1082" t="s">
        <v>214</v>
      </c>
      <c r="C1082">
        <v>1.0900000000000001</v>
      </c>
      <c r="I1082" t="s">
        <v>1888</v>
      </c>
      <c r="J1082" t="s">
        <v>253</v>
      </c>
      <c r="K1082" t="s">
        <v>2822</v>
      </c>
    </row>
    <row r="1083" spans="1:11" x14ac:dyDescent="0.25">
      <c r="A1083" t="s">
        <v>1366</v>
      </c>
      <c r="B1083" t="s">
        <v>214</v>
      </c>
      <c r="C1083">
        <v>1.0900000000000001</v>
      </c>
      <c r="I1083" t="s">
        <v>1973</v>
      </c>
      <c r="J1083" t="s">
        <v>253</v>
      </c>
      <c r="K1083" t="s">
        <v>2822</v>
      </c>
    </row>
    <row r="1084" spans="1:11" x14ac:dyDescent="0.25">
      <c r="A1084" t="s">
        <v>2401</v>
      </c>
      <c r="B1084" t="s">
        <v>214</v>
      </c>
      <c r="I1084" t="s">
        <v>1897</v>
      </c>
      <c r="J1084" t="s">
        <v>253</v>
      </c>
      <c r="K1084" t="s">
        <v>2822</v>
      </c>
    </row>
    <row r="1085" spans="1:11" x14ac:dyDescent="0.25">
      <c r="A1085" t="s">
        <v>1824</v>
      </c>
      <c r="B1085" t="s">
        <v>214</v>
      </c>
      <c r="I1085" t="s">
        <v>1362</v>
      </c>
      <c r="J1085" t="s">
        <v>253</v>
      </c>
      <c r="K1085" t="s">
        <v>2822</v>
      </c>
    </row>
    <row r="1086" spans="1:11" x14ac:dyDescent="0.25">
      <c r="A1086" t="s">
        <v>1367</v>
      </c>
      <c r="B1086" t="s">
        <v>214</v>
      </c>
      <c r="C1086">
        <v>0.73</v>
      </c>
      <c r="I1086" t="s">
        <v>1363</v>
      </c>
      <c r="J1086" t="s">
        <v>253</v>
      </c>
      <c r="K1086" t="s">
        <v>2822</v>
      </c>
    </row>
    <row r="1087" spans="1:11" x14ac:dyDescent="0.25">
      <c r="A1087" t="s">
        <v>1368</v>
      </c>
      <c r="B1087" t="s">
        <v>214</v>
      </c>
      <c r="C1087">
        <v>0.73</v>
      </c>
      <c r="I1087" t="s">
        <v>2222</v>
      </c>
      <c r="J1087" t="s">
        <v>253</v>
      </c>
      <c r="K1087" t="s">
        <v>2822</v>
      </c>
    </row>
    <row r="1088" spans="1:11" x14ac:dyDescent="0.25">
      <c r="A1088" t="s">
        <v>1369</v>
      </c>
      <c r="B1088" t="s">
        <v>214</v>
      </c>
      <c r="C1088">
        <v>1.45</v>
      </c>
      <c r="I1088" t="s">
        <v>1438</v>
      </c>
      <c r="J1088" t="s">
        <v>253</v>
      </c>
      <c r="K1088" t="s">
        <v>2822</v>
      </c>
    </row>
    <row r="1089" spans="1:11" x14ac:dyDescent="0.25">
      <c r="A1089" t="s">
        <v>1370</v>
      </c>
      <c r="B1089" t="s">
        <v>214</v>
      </c>
      <c r="C1089">
        <v>1.0900000000000001</v>
      </c>
      <c r="I1089" t="s">
        <v>1825</v>
      </c>
      <c r="J1089" t="s">
        <v>253</v>
      </c>
      <c r="K1089" t="s">
        <v>2822</v>
      </c>
    </row>
    <row r="1090" spans="1:11" x14ac:dyDescent="0.25">
      <c r="A1090" t="s">
        <v>1371</v>
      </c>
      <c r="B1090" t="s">
        <v>214</v>
      </c>
      <c r="C1090">
        <v>0.73</v>
      </c>
      <c r="I1090" t="s">
        <v>1829</v>
      </c>
      <c r="J1090" t="s">
        <v>253</v>
      </c>
      <c r="K1090" t="s">
        <v>2822</v>
      </c>
    </row>
    <row r="1091" spans="1:11" x14ac:dyDescent="0.25">
      <c r="A1091" t="s">
        <v>1372</v>
      </c>
      <c r="B1091" t="s">
        <v>214</v>
      </c>
      <c r="C1091">
        <v>1.45</v>
      </c>
      <c r="I1091" t="s">
        <v>1787</v>
      </c>
      <c r="J1091" t="s">
        <v>253</v>
      </c>
      <c r="K1091" t="s">
        <v>2822</v>
      </c>
    </row>
    <row r="1092" spans="1:11" x14ac:dyDescent="0.25">
      <c r="A1092" t="s">
        <v>1087</v>
      </c>
      <c r="B1092" t="s">
        <v>214</v>
      </c>
      <c r="C1092">
        <v>14.55</v>
      </c>
      <c r="I1092" t="s">
        <v>1475</v>
      </c>
      <c r="J1092" t="s">
        <v>253</v>
      </c>
      <c r="K1092" t="s">
        <v>2822</v>
      </c>
    </row>
    <row r="1093" spans="1:11" x14ac:dyDescent="0.25">
      <c r="A1093" t="s">
        <v>1373</v>
      </c>
      <c r="B1093" t="s">
        <v>214</v>
      </c>
      <c r="C1093">
        <v>1.0900000000000001</v>
      </c>
      <c r="I1093" t="s">
        <v>1730</v>
      </c>
      <c r="J1093" t="s">
        <v>253</v>
      </c>
      <c r="K1093" t="s">
        <v>2822</v>
      </c>
    </row>
    <row r="1094" spans="1:11" x14ac:dyDescent="0.25">
      <c r="A1094" t="s">
        <v>2499</v>
      </c>
      <c r="B1094" t="s">
        <v>214</v>
      </c>
      <c r="I1094" t="s">
        <v>2206</v>
      </c>
      <c r="J1094" t="s">
        <v>253</v>
      </c>
      <c r="K1094" t="s">
        <v>2822</v>
      </c>
    </row>
    <row r="1095" spans="1:11" x14ac:dyDescent="0.25">
      <c r="A1095" t="s">
        <v>2507</v>
      </c>
      <c r="B1095" t="s">
        <v>214</v>
      </c>
      <c r="I1095" t="s">
        <v>1849</v>
      </c>
      <c r="J1095" t="s">
        <v>253</v>
      </c>
      <c r="K1095" t="s">
        <v>2822</v>
      </c>
    </row>
    <row r="1096" spans="1:11" x14ac:dyDescent="0.25">
      <c r="A1096" t="s">
        <v>1088</v>
      </c>
      <c r="B1096" t="s">
        <v>214</v>
      </c>
      <c r="C1096">
        <v>1.45</v>
      </c>
      <c r="I1096" t="s">
        <v>2214</v>
      </c>
      <c r="J1096" t="s">
        <v>253</v>
      </c>
      <c r="K1096" t="s">
        <v>2822</v>
      </c>
    </row>
    <row r="1097" spans="1:11" x14ac:dyDescent="0.25">
      <c r="A1097" t="s">
        <v>1552</v>
      </c>
      <c r="B1097" t="s">
        <v>214</v>
      </c>
      <c r="I1097" t="s">
        <v>2215</v>
      </c>
      <c r="J1097" t="s">
        <v>253</v>
      </c>
      <c r="K1097" t="s">
        <v>2822</v>
      </c>
    </row>
    <row r="1098" spans="1:11" x14ac:dyDescent="0.25">
      <c r="A1098" t="s">
        <v>1089</v>
      </c>
      <c r="B1098" t="s">
        <v>214</v>
      </c>
      <c r="C1098">
        <v>0.73</v>
      </c>
      <c r="I1098" t="s">
        <v>2494</v>
      </c>
      <c r="J1098" t="s">
        <v>253</v>
      </c>
      <c r="K1098" t="s">
        <v>2822</v>
      </c>
    </row>
    <row r="1099" spans="1:11" x14ac:dyDescent="0.25">
      <c r="A1099" t="s">
        <v>1090</v>
      </c>
      <c r="B1099" t="s">
        <v>214</v>
      </c>
      <c r="C1099">
        <v>1.45</v>
      </c>
      <c r="I1099" t="s">
        <v>2226</v>
      </c>
      <c r="J1099" t="s">
        <v>253</v>
      </c>
      <c r="K1099" t="s">
        <v>2822</v>
      </c>
    </row>
    <row r="1100" spans="1:11" x14ac:dyDescent="0.25">
      <c r="A1100" t="s">
        <v>1374</v>
      </c>
      <c r="B1100" t="s">
        <v>214</v>
      </c>
      <c r="C1100">
        <v>1.0900000000000001</v>
      </c>
      <c r="I1100" t="s">
        <v>2311</v>
      </c>
      <c r="J1100" t="s">
        <v>253</v>
      </c>
      <c r="K1100" t="s">
        <v>2822</v>
      </c>
    </row>
    <row r="1101" spans="1:11" x14ac:dyDescent="0.25">
      <c r="A1101" t="s">
        <v>1704</v>
      </c>
      <c r="B1101" t="s">
        <v>214</v>
      </c>
      <c r="I1101" t="s">
        <v>1961</v>
      </c>
      <c r="J1101" t="s">
        <v>253</v>
      </c>
      <c r="K1101" t="s">
        <v>2822</v>
      </c>
    </row>
    <row r="1102" spans="1:11" x14ac:dyDescent="0.25">
      <c r="A1102" t="s">
        <v>1091</v>
      </c>
      <c r="B1102" t="s">
        <v>214</v>
      </c>
      <c r="C1102">
        <v>0.73</v>
      </c>
      <c r="I1102" t="s">
        <v>2346</v>
      </c>
      <c r="J1102" t="s">
        <v>253</v>
      </c>
      <c r="K1102" t="s">
        <v>2822</v>
      </c>
    </row>
    <row r="1103" spans="1:11" x14ac:dyDescent="0.25">
      <c r="A1103" t="s">
        <v>1550</v>
      </c>
      <c r="B1103" t="s">
        <v>214</v>
      </c>
      <c r="I1103" t="s">
        <v>1476</v>
      </c>
      <c r="J1103" t="s">
        <v>253</v>
      </c>
      <c r="K1103" t="s">
        <v>2822</v>
      </c>
    </row>
    <row r="1104" spans="1:11" x14ac:dyDescent="0.25">
      <c r="A1104" t="s">
        <v>1092</v>
      </c>
      <c r="B1104" t="s">
        <v>214</v>
      </c>
      <c r="C1104">
        <v>0.73</v>
      </c>
      <c r="I1104" t="s">
        <v>2354</v>
      </c>
      <c r="J1104" t="s">
        <v>253</v>
      </c>
      <c r="K1104" t="s">
        <v>2822</v>
      </c>
    </row>
    <row r="1105" spans="1:11" x14ac:dyDescent="0.25">
      <c r="A1105" t="s">
        <v>1375</v>
      </c>
      <c r="B1105" t="s">
        <v>214</v>
      </c>
      <c r="C1105">
        <v>1.82</v>
      </c>
      <c r="I1105" t="s">
        <v>2365</v>
      </c>
      <c r="J1105" t="s">
        <v>253</v>
      </c>
      <c r="K1105" t="s">
        <v>2822</v>
      </c>
    </row>
    <row r="1106" spans="1:11" x14ac:dyDescent="0.25">
      <c r="A1106" t="s">
        <v>2392</v>
      </c>
      <c r="B1106" t="s">
        <v>214</v>
      </c>
      <c r="C1106">
        <v>0.73</v>
      </c>
      <c r="I1106" t="s">
        <v>2503</v>
      </c>
      <c r="J1106" t="s">
        <v>253</v>
      </c>
      <c r="K1106" t="s">
        <v>2822</v>
      </c>
    </row>
    <row r="1107" spans="1:11" x14ac:dyDescent="0.25">
      <c r="A1107" t="s">
        <v>1466</v>
      </c>
      <c r="B1107" t="s">
        <v>214</v>
      </c>
      <c r="I1107" t="s">
        <v>1079</v>
      </c>
      <c r="J1107" t="s">
        <v>253</v>
      </c>
      <c r="K1107" t="s">
        <v>2822</v>
      </c>
    </row>
    <row r="1108" spans="1:11" x14ac:dyDescent="0.25">
      <c r="A1108" t="s">
        <v>2394</v>
      </c>
      <c r="B1108" t="s">
        <v>214</v>
      </c>
      <c r="C1108">
        <v>0.73</v>
      </c>
      <c r="I1108" t="s">
        <v>1364</v>
      </c>
      <c r="J1108" t="s">
        <v>253</v>
      </c>
      <c r="K1108" t="s">
        <v>2822</v>
      </c>
    </row>
    <row r="1109" spans="1:11" x14ac:dyDescent="0.25">
      <c r="A1109" t="s">
        <v>1468</v>
      </c>
      <c r="B1109" t="s">
        <v>214</v>
      </c>
      <c r="I1109" t="s">
        <v>1080</v>
      </c>
      <c r="J1109" t="s">
        <v>253</v>
      </c>
      <c r="K1109" t="s">
        <v>2822</v>
      </c>
    </row>
    <row r="1110" spans="1:11" x14ac:dyDescent="0.25">
      <c r="A1110" t="s">
        <v>1376</v>
      </c>
      <c r="B1110" t="s">
        <v>214</v>
      </c>
      <c r="C1110">
        <v>1.0900000000000001</v>
      </c>
      <c r="I1110" t="s">
        <v>1081</v>
      </c>
      <c r="J1110" t="s">
        <v>253</v>
      </c>
      <c r="K1110" t="s">
        <v>2822</v>
      </c>
    </row>
    <row r="1111" spans="1:11" x14ac:dyDescent="0.25">
      <c r="A1111" t="s">
        <v>2490</v>
      </c>
      <c r="B1111" t="s">
        <v>214</v>
      </c>
      <c r="I1111" t="s">
        <v>1082</v>
      </c>
      <c r="J1111" t="s">
        <v>253</v>
      </c>
      <c r="K1111" t="s">
        <v>2822</v>
      </c>
    </row>
    <row r="1112" spans="1:11" x14ac:dyDescent="0.25">
      <c r="A1112" t="s">
        <v>1377</v>
      </c>
      <c r="B1112" t="s">
        <v>214</v>
      </c>
      <c r="C1112">
        <v>0.36</v>
      </c>
      <c r="I1112" t="s">
        <v>1083</v>
      </c>
      <c r="J1112" t="s">
        <v>253</v>
      </c>
      <c r="K1112" t="s">
        <v>2822</v>
      </c>
    </row>
    <row r="1113" spans="1:11" x14ac:dyDescent="0.25">
      <c r="A1113" t="s">
        <v>1378</v>
      </c>
      <c r="B1113" t="s">
        <v>214</v>
      </c>
      <c r="C1113">
        <v>0.36</v>
      </c>
      <c r="I1113" t="s">
        <v>1084</v>
      </c>
      <c r="J1113" t="s">
        <v>253</v>
      </c>
      <c r="K1113" t="s">
        <v>2822</v>
      </c>
    </row>
    <row r="1114" spans="1:11" x14ac:dyDescent="0.25">
      <c r="A1114" t="s">
        <v>1751</v>
      </c>
      <c r="B1114" t="s">
        <v>214</v>
      </c>
      <c r="I1114" t="s">
        <v>1085</v>
      </c>
      <c r="J1114" t="s">
        <v>253</v>
      </c>
      <c r="K1114" t="s">
        <v>2822</v>
      </c>
    </row>
    <row r="1115" spans="1:11" x14ac:dyDescent="0.25">
      <c r="A1115" t="s">
        <v>1168</v>
      </c>
      <c r="B1115" t="s">
        <v>214</v>
      </c>
      <c r="C1115">
        <v>36.36</v>
      </c>
      <c r="I1115" t="s">
        <v>1086</v>
      </c>
      <c r="J1115" t="s">
        <v>253</v>
      </c>
      <c r="K1115" t="s">
        <v>2822</v>
      </c>
    </row>
    <row r="1116" spans="1:11" x14ac:dyDescent="0.25">
      <c r="A1116" t="s">
        <v>1379</v>
      </c>
      <c r="B1116" t="s">
        <v>214</v>
      </c>
      <c r="C1116">
        <v>2.1800000000000002</v>
      </c>
      <c r="I1116" t="s">
        <v>1365</v>
      </c>
      <c r="J1116" t="s">
        <v>253</v>
      </c>
      <c r="K1116" t="s">
        <v>2822</v>
      </c>
    </row>
    <row r="1117" spans="1:11" x14ac:dyDescent="0.25">
      <c r="A1117" t="s">
        <v>1569</v>
      </c>
      <c r="B1117" t="s">
        <v>214</v>
      </c>
      <c r="I1117" t="s">
        <v>1366</v>
      </c>
      <c r="J1117" t="s">
        <v>253</v>
      </c>
      <c r="K1117" t="s">
        <v>2822</v>
      </c>
    </row>
    <row r="1118" spans="1:11" x14ac:dyDescent="0.25">
      <c r="A1118" t="s">
        <v>1508</v>
      </c>
      <c r="B1118" t="s">
        <v>214</v>
      </c>
      <c r="I1118" t="s">
        <v>2401</v>
      </c>
      <c r="J1118" t="s">
        <v>253</v>
      </c>
      <c r="K1118" t="s">
        <v>2822</v>
      </c>
    </row>
    <row r="1119" spans="1:11" x14ac:dyDescent="0.25">
      <c r="A1119" t="s">
        <v>1705</v>
      </c>
      <c r="B1119" t="s">
        <v>214</v>
      </c>
      <c r="I1119" t="s">
        <v>1824</v>
      </c>
      <c r="J1119" t="s">
        <v>253</v>
      </c>
      <c r="K1119" t="s">
        <v>2822</v>
      </c>
    </row>
    <row r="1120" spans="1:11" x14ac:dyDescent="0.25">
      <c r="A1120" t="s">
        <v>1093</v>
      </c>
      <c r="B1120" t="s">
        <v>214</v>
      </c>
      <c r="C1120">
        <v>2.91</v>
      </c>
      <c r="I1120" t="s">
        <v>1367</v>
      </c>
      <c r="J1120" t="s">
        <v>253</v>
      </c>
      <c r="K1120" t="s">
        <v>2822</v>
      </c>
    </row>
    <row r="1121" spans="1:11" x14ac:dyDescent="0.25">
      <c r="A1121" t="s">
        <v>1752</v>
      </c>
      <c r="B1121" t="s">
        <v>214</v>
      </c>
      <c r="I1121" t="s">
        <v>1368</v>
      </c>
      <c r="J1121" t="s">
        <v>253</v>
      </c>
      <c r="K1121" t="s">
        <v>2822</v>
      </c>
    </row>
    <row r="1122" spans="1:11" x14ac:dyDescent="0.25">
      <c r="A1122" t="s">
        <v>1094</v>
      </c>
      <c r="B1122" t="s">
        <v>214</v>
      </c>
      <c r="C1122">
        <v>7.27</v>
      </c>
      <c r="I1122" t="s">
        <v>1369</v>
      </c>
      <c r="J1122" t="s">
        <v>253</v>
      </c>
      <c r="K1122" t="s">
        <v>2822</v>
      </c>
    </row>
    <row r="1123" spans="1:11" x14ac:dyDescent="0.25">
      <c r="A1123" t="s">
        <v>1722</v>
      </c>
      <c r="B1123" t="s">
        <v>214</v>
      </c>
      <c r="I1123" t="s">
        <v>1370</v>
      </c>
      <c r="J1123" t="s">
        <v>253</v>
      </c>
      <c r="K1123" t="s">
        <v>2822</v>
      </c>
    </row>
    <row r="1124" spans="1:11" x14ac:dyDescent="0.25">
      <c r="A1124" t="s">
        <v>1684</v>
      </c>
      <c r="B1124" t="s">
        <v>214</v>
      </c>
      <c r="I1124" t="s">
        <v>1371</v>
      </c>
      <c r="J1124" t="s">
        <v>253</v>
      </c>
      <c r="K1124" t="s">
        <v>2822</v>
      </c>
    </row>
    <row r="1125" spans="1:11" x14ac:dyDescent="0.25">
      <c r="A1125" t="s">
        <v>2208</v>
      </c>
      <c r="B1125" t="s">
        <v>214</v>
      </c>
      <c r="I1125" t="s">
        <v>1372</v>
      </c>
      <c r="J1125" t="s">
        <v>253</v>
      </c>
      <c r="K1125" t="s">
        <v>2822</v>
      </c>
    </row>
    <row r="1126" spans="1:11" x14ac:dyDescent="0.25">
      <c r="A1126" t="s">
        <v>2209</v>
      </c>
      <c r="B1126" t="s">
        <v>214</v>
      </c>
      <c r="I1126" t="s">
        <v>1087</v>
      </c>
      <c r="J1126" t="s">
        <v>253</v>
      </c>
      <c r="K1126" t="s">
        <v>2822</v>
      </c>
    </row>
    <row r="1127" spans="1:11" x14ac:dyDescent="0.25">
      <c r="A1127" t="s">
        <v>1626</v>
      </c>
      <c r="B1127" t="s">
        <v>214</v>
      </c>
      <c r="C1127">
        <v>5.45</v>
      </c>
      <c r="I1127" t="s">
        <v>1373</v>
      </c>
      <c r="J1127" t="s">
        <v>253</v>
      </c>
      <c r="K1127" t="s">
        <v>2822</v>
      </c>
    </row>
    <row r="1128" spans="1:11" x14ac:dyDescent="0.25">
      <c r="A1128" t="s">
        <v>1469</v>
      </c>
      <c r="B1128" t="s">
        <v>214</v>
      </c>
      <c r="C1128">
        <v>3.64</v>
      </c>
      <c r="I1128" t="s">
        <v>2499</v>
      </c>
      <c r="J1128" t="s">
        <v>253</v>
      </c>
      <c r="K1128" t="s">
        <v>2822</v>
      </c>
    </row>
    <row r="1129" spans="1:11" x14ac:dyDescent="0.25">
      <c r="A1129" t="s">
        <v>2240</v>
      </c>
      <c r="B1129" t="s">
        <v>214</v>
      </c>
      <c r="I1129" t="s">
        <v>2507</v>
      </c>
      <c r="J1129" t="s">
        <v>253</v>
      </c>
      <c r="K1129" t="s">
        <v>2822</v>
      </c>
    </row>
    <row r="1130" spans="1:11" x14ac:dyDescent="0.25">
      <c r="A1130" t="s">
        <v>2254</v>
      </c>
      <c r="B1130" t="s">
        <v>214</v>
      </c>
      <c r="I1130" t="s">
        <v>1088</v>
      </c>
      <c r="J1130" t="s">
        <v>253</v>
      </c>
      <c r="K1130" t="s">
        <v>2822</v>
      </c>
    </row>
    <row r="1131" spans="1:11" x14ac:dyDescent="0.25">
      <c r="A1131" t="s">
        <v>2517</v>
      </c>
      <c r="B1131" t="s">
        <v>214</v>
      </c>
      <c r="I1131" t="s">
        <v>1552</v>
      </c>
      <c r="J1131" t="s">
        <v>253</v>
      </c>
      <c r="K1131" t="s">
        <v>2822</v>
      </c>
    </row>
    <row r="1132" spans="1:11" x14ac:dyDescent="0.25">
      <c r="A1132" t="s">
        <v>2276</v>
      </c>
      <c r="B1132" t="s">
        <v>214</v>
      </c>
      <c r="I1132" t="s">
        <v>1089</v>
      </c>
      <c r="J1132" t="s">
        <v>253</v>
      </c>
      <c r="K1132" t="s">
        <v>2822</v>
      </c>
    </row>
    <row r="1133" spans="1:11" x14ac:dyDescent="0.25">
      <c r="A1133" t="s">
        <v>2430</v>
      </c>
      <c r="B1133" t="s">
        <v>214</v>
      </c>
      <c r="I1133" t="s">
        <v>1090</v>
      </c>
      <c r="J1133" t="s">
        <v>253</v>
      </c>
      <c r="K1133" t="s">
        <v>2822</v>
      </c>
    </row>
    <row r="1134" spans="1:11" x14ac:dyDescent="0.25">
      <c r="A1134" t="s">
        <v>2280</v>
      </c>
      <c r="B1134" t="s">
        <v>214</v>
      </c>
      <c r="I1134" t="s">
        <v>1374</v>
      </c>
      <c r="J1134" t="s">
        <v>253</v>
      </c>
      <c r="K1134" t="s">
        <v>2822</v>
      </c>
    </row>
    <row r="1135" spans="1:11" x14ac:dyDescent="0.25">
      <c r="A1135" t="s">
        <v>2282</v>
      </c>
      <c r="B1135" t="s">
        <v>214</v>
      </c>
      <c r="I1135" t="s">
        <v>1704</v>
      </c>
      <c r="J1135" t="s">
        <v>253</v>
      </c>
      <c r="K1135" t="s">
        <v>2822</v>
      </c>
    </row>
    <row r="1136" spans="1:11" x14ac:dyDescent="0.25">
      <c r="A1136" t="s">
        <v>2299</v>
      </c>
      <c r="B1136" t="s">
        <v>214</v>
      </c>
      <c r="I1136" t="s">
        <v>1091</v>
      </c>
      <c r="J1136" t="s">
        <v>253</v>
      </c>
      <c r="K1136" t="s">
        <v>2822</v>
      </c>
    </row>
    <row r="1137" spans="1:11" x14ac:dyDescent="0.25">
      <c r="A1137" t="s">
        <v>2290</v>
      </c>
      <c r="B1137" t="s">
        <v>214</v>
      </c>
      <c r="I1137" t="s">
        <v>1550</v>
      </c>
      <c r="J1137" t="s">
        <v>253</v>
      </c>
      <c r="K1137" t="s">
        <v>2822</v>
      </c>
    </row>
    <row r="1138" spans="1:11" x14ac:dyDescent="0.25">
      <c r="A1138" t="s">
        <v>1963</v>
      </c>
      <c r="B1138" t="s">
        <v>214</v>
      </c>
      <c r="I1138" t="s">
        <v>1092</v>
      </c>
      <c r="J1138" t="s">
        <v>253</v>
      </c>
      <c r="K1138" t="s">
        <v>2822</v>
      </c>
    </row>
    <row r="1139" spans="1:11" x14ac:dyDescent="0.25">
      <c r="A1139" t="s">
        <v>2301</v>
      </c>
      <c r="B1139" t="s">
        <v>214</v>
      </c>
      <c r="I1139" t="s">
        <v>1375</v>
      </c>
      <c r="J1139" t="s">
        <v>253</v>
      </c>
      <c r="K1139" t="s">
        <v>2822</v>
      </c>
    </row>
    <row r="1140" spans="1:11" x14ac:dyDescent="0.25">
      <c r="A1140" t="s">
        <v>2308</v>
      </c>
      <c r="B1140" t="s">
        <v>214</v>
      </c>
      <c r="I1140" t="s">
        <v>2392</v>
      </c>
      <c r="J1140" t="s">
        <v>253</v>
      </c>
      <c r="K1140" t="s">
        <v>2822</v>
      </c>
    </row>
    <row r="1141" spans="1:11" x14ac:dyDescent="0.25">
      <c r="A1141" t="s">
        <v>1538</v>
      </c>
      <c r="B1141" t="s">
        <v>214</v>
      </c>
      <c r="I1141" t="s">
        <v>1466</v>
      </c>
      <c r="J1141" t="s">
        <v>253</v>
      </c>
      <c r="K1141" t="s">
        <v>2822</v>
      </c>
    </row>
    <row r="1142" spans="1:11" x14ac:dyDescent="0.25">
      <c r="A1142" t="s">
        <v>1709</v>
      </c>
      <c r="B1142" t="s">
        <v>214</v>
      </c>
      <c r="C1142">
        <v>2.1800000000000002</v>
      </c>
      <c r="I1142" t="s">
        <v>2394</v>
      </c>
      <c r="J1142" t="s">
        <v>253</v>
      </c>
      <c r="K1142" t="s">
        <v>2822</v>
      </c>
    </row>
    <row r="1143" spans="1:11" x14ac:dyDescent="0.25">
      <c r="A1143" t="s">
        <v>1957</v>
      </c>
      <c r="B1143" t="s">
        <v>214</v>
      </c>
      <c r="I1143" t="s">
        <v>1468</v>
      </c>
      <c r="J1143" t="s">
        <v>253</v>
      </c>
      <c r="K1143" t="s">
        <v>2822</v>
      </c>
    </row>
    <row r="1144" spans="1:11" x14ac:dyDescent="0.25">
      <c r="A1144" t="s">
        <v>1380</v>
      </c>
      <c r="B1144" t="s">
        <v>214</v>
      </c>
      <c r="C1144">
        <v>0</v>
      </c>
      <c r="I1144" t="s">
        <v>1376</v>
      </c>
      <c r="J1144" t="s">
        <v>253</v>
      </c>
      <c r="K1144" t="s">
        <v>2822</v>
      </c>
    </row>
    <row r="1145" spans="1:11" x14ac:dyDescent="0.25">
      <c r="A1145" t="s">
        <v>1747</v>
      </c>
      <c r="B1145" t="s">
        <v>214</v>
      </c>
      <c r="I1145" t="s">
        <v>2490</v>
      </c>
      <c r="J1145" t="s">
        <v>253</v>
      </c>
      <c r="K1145" t="s">
        <v>2822</v>
      </c>
    </row>
    <row r="1146" spans="1:11" x14ac:dyDescent="0.25">
      <c r="A1146" t="s">
        <v>1710</v>
      </c>
      <c r="B1146" t="s">
        <v>214</v>
      </c>
      <c r="C1146">
        <v>3.64</v>
      </c>
      <c r="I1146" t="s">
        <v>1377</v>
      </c>
      <c r="J1146" t="s">
        <v>253</v>
      </c>
      <c r="K1146" t="s">
        <v>2822</v>
      </c>
    </row>
    <row r="1147" spans="1:11" x14ac:dyDescent="0.25">
      <c r="A1147" t="s">
        <v>2491</v>
      </c>
      <c r="B1147" t="s">
        <v>214</v>
      </c>
      <c r="I1147" t="s">
        <v>1378</v>
      </c>
      <c r="J1147" t="s">
        <v>253</v>
      </c>
      <c r="K1147" t="s">
        <v>2822</v>
      </c>
    </row>
    <row r="1148" spans="1:11" x14ac:dyDescent="0.25">
      <c r="A1148" t="s">
        <v>1708</v>
      </c>
      <c r="B1148" t="s">
        <v>214</v>
      </c>
      <c r="C1148">
        <v>0.73</v>
      </c>
      <c r="I1148" t="s">
        <v>1751</v>
      </c>
      <c r="J1148" t="s">
        <v>253</v>
      </c>
      <c r="K1148" t="s">
        <v>2822</v>
      </c>
    </row>
    <row r="1149" spans="1:11" x14ac:dyDescent="0.25">
      <c r="A1149" t="s">
        <v>2326</v>
      </c>
      <c r="B1149" t="s">
        <v>214</v>
      </c>
      <c r="I1149" t="s">
        <v>1168</v>
      </c>
      <c r="J1149" t="s">
        <v>253</v>
      </c>
      <c r="K1149" t="s">
        <v>2822</v>
      </c>
    </row>
    <row r="1150" spans="1:11" x14ac:dyDescent="0.25">
      <c r="A1150" t="s">
        <v>2327</v>
      </c>
      <c r="B1150" t="s">
        <v>214</v>
      </c>
      <c r="I1150" t="s">
        <v>1379</v>
      </c>
      <c r="J1150" t="s">
        <v>253</v>
      </c>
      <c r="K1150" t="s">
        <v>2822</v>
      </c>
    </row>
    <row r="1151" spans="1:11" x14ac:dyDescent="0.25">
      <c r="A1151" t="s">
        <v>1839</v>
      </c>
      <c r="B1151" t="s">
        <v>214</v>
      </c>
      <c r="I1151" t="s">
        <v>1569</v>
      </c>
      <c r="J1151" t="s">
        <v>253</v>
      </c>
      <c r="K1151" t="s">
        <v>2822</v>
      </c>
    </row>
    <row r="1152" spans="1:11" x14ac:dyDescent="0.25">
      <c r="A1152" t="s">
        <v>2492</v>
      </c>
      <c r="B1152" t="s">
        <v>214</v>
      </c>
      <c r="I1152" t="s">
        <v>1508</v>
      </c>
      <c r="J1152" t="s">
        <v>253</v>
      </c>
      <c r="K1152" t="s">
        <v>2822</v>
      </c>
    </row>
    <row r="1153" spans="1:11" x14ac:dyDescent="0.25">
      <c r="A1153" t="s">
        <v>1551</v>
      </c>
      <c r="B1153" t="s">
        <v>214</v>
      </c>
      <c r="I1153" t="s">
        <v>1705</v>
      </c>
      <c r="J1153" t="s">
        <v>253</v>
      </c>
      <c r="K1153" t="s">
        <v>2822</v>
      </c>
    </row>
    <row r="1154" spans="1:11" x14ac:dyDescent="0.25">
      <c r="A1154" t="s">
        <v>1763</v>
      </c>
      <c r="B1154" t="s">
        <v>214</v>
      </c>
      <c r="I1154" t="s">
        <v>1093</v>
      </c>
      <c r="J1154" t="s">
        <v>253</v>
      </c>
      <c r="K1154" t="s">
        <v>2822</v>
      </c>
    </row>
    <row r="1155" spans="1:11" x14ac:dyDescent="0.25">
      <c r="A1155" t="s">
        <v>1381</v>
      </c>
      <c r="B1155" t="s">
        <v>214</v>
      </c>
      <c r="C1155">
        <v>1.0900000000000001</v>
      </c>
      <c r="I1155" t="s">
        <v>1752</v>
      </c>
      <c r="J1155" t="s">
        <v>253</v>
      </c>
      <c r="K1155" t="s">
        <v>2822</v>
      </c>
    </row>
    <row r="1156" spans="1:11" x14ac:dyDescent="0.25">
      <c r="A1156" t="s">
        <v>1594</v>
      </c>
      <c r="B1156" t="s">
        <v>214</v>
      </c>
      <c r="I1156" t="s">
        <v>1094</v>
      </c>
      <c r="J1156" t="s">
        <v>253</v>
      </c>
      <c r="K1156" t="s">
        <v>2822</v>
      </c>
    </row>
    <row r="1157" spans="1:11" x14ac:dyDescent="0.25">
      <c r="A1157" t="s">
        <v>2468</v>
      </c>
      <c r="B1157" t="s">
        <v>214</v>
      </c>
      <c r="C1157">
        <v>0</v>
      </c>
      <c r="I1157" t="s">
        <v>1722</v>
      </c>
      <c r="J1157" t="s">
        <v>253</v>
      </c>
      <c r="K1157" t="s">
        <v>2822</v>
      </c>
    </row>
    <row r="1158" spans="1:11" x14ac:dyDescent="0.25">
      <c r="A1158" t="s">
        <v>1465</v>
      </c>
      <c r="B1158" t="s">
        <v>214</v>
      </c>
      <c r="C1158">
        <v>1.82</v>
      </c>
      <c r="I1158" t="s">
        <v>1684</v>
      </c>
      <c r="J1158" t="s">
        <v>253</v>
      </c>
      <c r="K1158" t="s">
        <v>2822</v>
      </c>
    </row>
    <row r="1159" spans="1:11" x14ac:dyDescent="0.25">
      <c r="A1159" t="s">
        <v>1748</v>
      </c>
      <c r="B1159" t="s">
        <v>214</v>
      </c>
      <c r="C1159">
        <v>5.45</v>
      </c>
      <c r="I1159" t="s">
        <v>2208</v>
      </c>
      <c r="J1159" t="s">
        <v>253</v>
      </c>
      <c r="K1159" t="s">
        <v>2822</v>
      </c>
    </row>
    <row r="1160" spans="1:11" x14ac:dyDescent="0.25">
      <c r="A1160" t="s">
        <v>1749</v>
      </c>
      <c r="B1160" t="s">
        <v>214</v>
      </c>
      <c r="I1160" t="s">
        <v>2209</v>
      </c>
      <c r="J1160" t="s">
        <v>253</v>
      </c>
      <c r="K1160" t="s">
        <v>2822</v>
      </c>
    </row>
    <row r="1161" spans="1:11" x14ac:dyDescent="0.25">
      <c r="A1161" t="s">
        <v>2371</v>
      </c>
      <c r="B1161" t="s">
        <v>214</v>
      </c>
      <c r="C1161">
        <v>0</v>
      </c>
      <c r="I1161" t="s">
        <v>1626</v>
      </c>
      <c r="J1161" t="s">
        <v>253</v>
      </c>
      <c r="K1161" t="s">
        <v>2822</v>
      </c>
    </row>
    <row r="1162" spans="1:11" x14ac:dyDescent="0.25">
      <c r="A1162" t="s">
        <v>1746</v>
      </c>
      <c r="B1162" t="s">
        <v>214</v>
      </c>
      <c r="I1162" t="s">
        <v>1469</v>
      </c>
      <c r="J1162" t="s">
        <v>253</v>
      </c>
      <c r="K1162" t="s">
        <v>2822</v>
      </c>
    </row>
    <row r="1163" spans="1:11" x14ac:dyDescent="0.25">
      <c r="A1163" t="s">
        <v>1713</v>
      </c>
      <c r="B1163" t="s">
        <v>214</v>
      </c>
      <c r="C1163">
        <v>5.45</v>
      </c>
      <c r="I1163" t="s">
        <v>2240</v>
      </c>
      <c r="J1163" t="s">
        <v>253</v>
      </c>
      <c r="K1163" t="s">
        <v>2822</v>
      </c>
    </row>
    <row r="1164" spans="1:11" x14ac:dyDescent="0.25">
      <c r="A1164" t="s">
        <v>1950</v>
      </c>
      <c r="B1164" t="s">
        <v>214</v>
      </c>
      <c r="I1164" t="s">
        <v>2254</v>
      </c>
      <c r="J1164" t="s">
        <v>253</v>
      </c>
      <c r="K1164" t="s">
        <v>2822</v>
      </c>
    </row>
    <row r="1165" spans="1:11" x14ac:dyDescent="0.25">
      <c r="A1165" t="s">
        <v>1951</v>
      </c>
      <c r="B1165" t="s">
        <v>214</v>
      </c>
      <c r="I1165" t="s">
        <v>2517</v>
      </c>
      <c r="J1165" t="s">
        <v>253</v>
      </c>
      <c r="K1165" t="s">
        <v>2822</v>
      </c>
    </row>
    <row r="1166" spans="1:11" x14ac:dyDescent="0.25">
      <c r="A1166" t="s">
        <v>1745</v>
      </c>
      <c r="B1166" t="s">
        <v>214</v>
      </c>
      <c r="I1166" t="s">
        <v>2276</v>
      </c>
      <c r="J1166" t="s">
        <v>253</v>
      </c>
      <c r="K1166" t="s">
        <v>2822</v>
      </c>
    </row>
    <row r="1167" spans="1:11" x14ac:dyDescent="0.25">
      <c r="A1167" t="s">
        <v>1838</v>
      </c>
      <c r="B1167" t="s">
        <v>214</v>
      </c>
      <c r="I1167" t="s">
        <v>2430</v>
      </c>
      <c r="J1167" t="s">
        <v>253</v>
      </c>
      <c r="K1167" t="s">
        <v>2822</v>
      </c>
    </row>
    <row r="1168" spans="1:11" x14ac:dyDescent="0.25">
      <c r="A1168" t="s">
        <v>2380</v>
      </c>
      <c r="B1168" t="s">
        <v>214</v>
      </c>
      <c r="C1168">
        <v>7.27</v>
      </c>
      <c r="I1168" t="s">
        <v>2280</v>
      </c>
      <c r="J1168" t="s">
        <v>253</v>
      </c>
      <c r="K1168" t="s">
        <v>2822</v>
      </c>
    </row>
    <row r="1169" spans="1:11" x14ac:dyDescent="0.25">
      <c r="A1169" t="s">
        <v>1711</v>
      </c>
      <c r="B1169" t="s">
        <v>214</v>
      </c>
      <c r="C1169">
        <v>3.64</v>
      </c>
      <c r="I1169" t="s">
        <v>2282</v>
      </c>
      <c r="J1169" t="s">
        <v>253</v>
      </c>
      <c r="K1169" t="s">
        <v>2822</v>
      </c>
    </row>
    <row r="1170" spans="1:11" x14ac:dyDescent="0.25">
      <c r="A1170" t="s">
        <v>2383</v>
      </c>
      <c r="B1170" t="s">
        <v>214</v>
      </c>
      <c r="I1170" t="s">
        <v>2299</v>
      </c>
      <c r="J1170" t="s">
        <v>253</v>
      </c>
      <c r="K1170" t="s">
        <v>2822</v>
      </c>
    </row>
    <row r="1171" spans="1:11" x14ac:dyDescent="0.25">
      <c r="A1171" t="s">
        <v>2048</v>
      </c>
      <c r="B1171" t="s">
        <v>214</v>
      </c>
      <c r="I1171" t="s">
        <v>2290</v>
      </c>
      <c r="J1171" t="s">
        <v>253</v>
      </c>
      <c r="K1171" t="s">
        <v>2822</v>
      </c>
    </row>
    <row r="1172" spans="1:11" x14ac:dyDescent="0.25">
      <c r="A1172" t="s">
        <v>2384</v>
      </c>
      <c r="B1172" t="s">
        <v>214</v>
      </c>
      <c r="I1172" t="s">
        <v>1963</v>
      </c>
      <c r="J1172" t="s">
        <v>253</v>
      </c>
      <c r="K1172" t="s">
        <v>2822</v>
      </c>
    </row>
    <row r="1173" spans="1:11" x14ac:dyDescent="0.25">
      <c r="A1173" t="s">
        <v>2385</v>
      </c>
      <c r="B1173" t="s">
        <v>214</v>
      </c>
      <c r="I1173" t="s">
        <v>2301</v>
      </c>
      <c r="J1173" t="s">
        <v>253</v>
      </c>
      <c r="K1173" t="s">
        <v>2822</v>
      </c>
    </row>
    <row r="1174" spans="1:11" x14ac:dyDescent="0.25">
      <c r="A1174" t="s">
        <v>1750</v>
      </c>
      <c r="B1174" t="s">
        <v>214</v>
      </c>
      <c r="I1174" t="s">
        <v>2308</v>
      </c>
      <c r="J1174" t="s">
        <v>253</v>
      </c>
      <c r="K1174" t="s">
        <v>2822</v>
      </c>
    </row>
    <row r="1175" spans="1:11" x14ac:dyDescent="0.25">
      <c r="A1175" t="s">
        <v>2337</v>
      </c>
      <c r="B1175" t="s">
        <v>214</v>
      </c>
      <c r="I1175" t="s">
        <v>1538</v>
      </c>
      <c r="J1175" t="s">
        <v>253</v>
      </c>
      <c r="K1175" t="s">
        <v>2822</v>
      </c>
    </row>
    <row r="1176" spans="1:11" x14ac:dyDescent="0.25">
      <c r="A1176" t="s">
        <v>2347</v>
      </c>
      <c r="B1176" t="s">
        <v>214</v>
      </c>
      <c r="I1176" t="s">
        <v>1709</v>
      </c>
      <c r="J1176" t="s">
        <v>253</v>
      </c>
      <c r="K1176" t="s">
        <v>2822</v>
      </c>
    </row>
    <row r="1177" spans="1:11" x14ac:dyDescent="0.25">
      <c r="A1177" t="s">
        <v>2229</v>
      </c>
      <c r="B1177" t="s">
        <v>214</v>
      </c>
      <c r="I1177" t="s">
        <v>1957</v>
      </c>
      <c r="J1177" t="s">
        <v>253</v>
      </c>
      <c r="K1177" t="s">
        <v>2822</v>
      </c>
    </row>
    <row r="1178" spans="1:11" x14ac:dyDescent="0.25">
      <c r="A1178" t="s">
        <v>1424</v>
      </c>
      <c r="B1178" t="s">
        <v>214</v>
      </c>
      <c r="C1178">
        <v>1.0900000000000001</v>
      </c>
      <c r="I1178" t="s">
        <v>1380</v>
      </c>
      <c r="J1178" t="s">
        <v>253</v>
      </c>
      <c r="K1178" t="s">
        <v>2822</v>
      </c>
    </row>
    <row r="1179" spans="1:11" x14ac:dyDescent="0.25">
      <c r="A1179" t="s">
        <v>2484</v>
      </c>
      <c r="B1179" t="s">
        <v>214</v>
      </c>
      <c r="I1179" t="s">
        <v>1747</v>
      </c>
      <c r="J1179" t="s">
        <v>253</v>
      </c>
      <c r="K1179" t="s">
        <v>2822</v>
      </c>
    </row>
    <row r="1180" spans="1:11" x14ac:dyDescent="0.25">
      <c r="A1180" t="s">
        <v>2478</v>
      </c>
      <c r="B1180" t="s">
        <v>214</v>
      </c>
      <c r="C1180">
        <v>0</v>
      </c>
      <c r="I1180" t="s">
        <v>1710</v>
      </c>
      <c r="J1180" t="s">
        <v>253</v>
      </c>
      <c r="K1180" t="s">
        <v>2822</v>
      </c>
    </row>
    <row r="1181" spans="1:11" x14ac:dyDescent="0.25">
      <c r="A1181" t="s">
        <v>2352</v>
      </c>
      <c r="B1181" t="s">
        <v>214</v>
      </c>
      <c r="I1181" t="s">
        <v>2491</v>
      </c>
      <c r="J1181" t="s">
        <v>253</v>
      </c>
      <c r="K1181" t="s">
        <v>2822</v>
      </c>
    </row>
    <row r="1182" spans="1:11" x14ac:dyDescent="0.25">
      <c r="A1182" t="s">
        <v>2321</v>
      </c>
      <c r="B1182" t="s">
        <v>214</v>
      </c>
      <c r="I1182" t="s">
        <v>1708</v>
      </c>
      <c r="J1182" t="s">
        <v>253</v>
      </c>
      <c r="K1182" t="s">
        <v>2822</v>
      </c>
    </row>
    <row r="1183" spans="1:11" x14ac:dyDescent="0.25">
      <c r="A1183" t="s">
        <v>2377</v>
      </c>
      <c r="B1183" t="s">
        <v>214</v>
      </c>
      <c r="I1183" t="s">
        <v>2326</v>
      </c>
      <c r="J1183" t="s">
        <v>253</v>
      </c>
      <c r="K1183" t="s">
        <v>2822</v>
      </c>
    </row>
    <row r="1184" spans="1:11" x14ac:dyDescent="0.25">
      <c r="A1184" t="s">
        <v>1712</v>
      </c>
      <c r="B1184" t="s">
        <v>214</v>
      </c>
      <c r="I1184" t="s">
        <v>2327</v>
      </c>
      <c r="J1184" t="s">
        <v>253</v>
      </c>
      <c r="K1184" t="s">
        <v>2822</v>
      </c>
    </row>
    <row r="1185" spans="1:11" x14ac:dyDescent="0.25">
      <c r="A1185" t="s">
        <v>2360</v>
      </c>
      <c r="B1185" t="s">
        <v>214</v>
      </c>
      <c r="I1185" t="s">
        <v>1839</v>
      </c>
      <c r="J1185" t="s">
        <v>253</v>
      </c>
      <c r="K1185" t="s">
        <v>2822</v>
      </c>
    </row>
    <row r="1186" spans="1:11" x14ac:dyDescent="0.25">
      <c r="A1186" t="s">
        <v>1382</v>
      </c>
      <c r="B1186" t="s">
        <v>214</v>
      </c>
      <c r="C1186">
        <v>7.27</v>
      </c>
      <c r="I1186" t="s">
        <v>2492</v>
      </c>
      <c r="J1186" t="s">
        <v>253</v>
      </c>
      <c r="K1186" t="s">
        <v>2822</v>
      </c>
    </row>
    <row r="1187" spans="1:11" x14ac:dyDescent="0.25">
      <c r="A1187" t="s">
        <v>2156</v>
      </c>
      <c r="B1187" t="s">
        <v>214</v>
      </c>
      <c r="I1187" t="s">
        <v>1551</v>
      </c>
      <c r="J1187" t="s">
        <v>253</v>
      </c>
      <c r="K1187" t="s">
        <v>2822</v>
      </c>
    </row>
    <row r="1188" spans="1:11" x14ac:dyDescent="0.25">
      <c r="A1188" t="s">
        <v>1941</v>
      </c>
      <c r="B1188" t="s">
        <v>214</v>
      </c>
      <c r="I1188" t="s">
        <v>1763</v>
      </c>
      <c r="J1188" t="s">
        <v>253</v>
      </c>
      <c r="K1188" t="s">
        <v>2822</v>
      </c>
    </row>
    <row r="1189" spans="1:11" x14ac:dyDescent="0.25">
      <c r="A1189" t="s">
        <v>2135</v>
      </c>
      <c r="B1189" t="s">
        <v>214</v>
      </c>
      <c r="I1189" t="s">
        <v>1381</v>
      </c>
      <c r="J1189" t="s">
        <v>253</v>
      </c>
      <c r="K1189" t="s">
        <v>2822</v>
      </c>
    </row>
    <row r="1190" spans="1:11" x14ac:dyDescent="0.25">
      <c r="A1190" t="s">
        <v>2161</v>
      </c>
      <c r="B1190" t="s">
        <v>214</v>
      </c>
      <c r="I1190" t="s">
        <v>1594</v>
      </c>
      <c r="J1190" t="s">
        <v>253</v>
      </c>
      <c r="K1190" t="s">
        <v>2822</v>
      </c>
    </row>
    <row r="1191" spans="1:11" x14ac:dyDescent="0.25">
      <c r="A1191" t="s">
        <v>1095</v>
      </c>
      <c r="B1191" t="s">
        <v>214</v>
      </c>
      <c r="C1191">
        <v>18.18</v>
      </c>
      <c r="I1191" t="s">
        <v>2468</v>
      </c>
      <c r="J1191" t="s">
        <v>253</v>
      </c>
      <c r="K1191" t="s">
        <v>2822</v>
      </c>
    </row>
    <row r="1192" spans="1:11" x14ac:dyDescent="0.25">
      <c r="A1192" t="s">
        <v>2121</v>
      </c>
      <c r="B1192" t="s">
        <v>214</v>
      </c>
      <c r="I1192" t="s">
        <v>1465</v>
      </c>
      <c r="J1192" t="s">
        <v>253</v>
      </c>
      <c r="K1192" t="s">
        <v>2822</v>
      </c>
    </row>
    <row r="1193" spans="1:11" x14ac:dyDescent="0.25">
      <c r="A1193" t="s">
        <v>1383</v>
      </c>
      <c r="B1193" t="s">
        <v>214</v>
      </c>
      <c r="C1193">
        <v>4.3600000000000003</v>
      </c>
      <c r="I1193" t="s">
        <v>1748</v>
      </c>
      <c r="J1193" t="s">
        <v>253</v>
      </c>
      <c r="K1193" t="s">
        <v>2822</v>
      </c>
    </row>
    <row r="1194" spans="1:11" x14ac:dyDescent="0.25">
      <c r="A1194" t="s">
        <v>1384</v>
      </c>
      <c r="B1194" t="s">
        <v>214</v>
      </c>
      <c r="C1194">
        <v>10.91</v>
      </c>
      <c r="I1194" t="s">
        <v>1749</v>
      </c>
      <c r="J1194" t="s">
        <v>253</v>
      </c>
      <c r="K1194" t="s">
        <v>2822</v>
      </c>
    </row>
    <row r="1195" spans="1:11" x14ac:dyDescent="0.25">
      <c r="A1195" t="s">
        <v>2133</v>
      </c>
      <c r="B1195" t="s">
        <v>214</v>
      </c>
      <c r="I1195" t="s">
        <v>2371</v>
      </c>
      <c r="J1195" t="s">
        <v>253</v>
      </c>
      <c r="K1195" t="s">
        <v>2822</v>
      </c>
    </row>
    <row r="1196" spans="1:11" x14ac:dyDescent="0.25">
      <c r="A1196" t="s">
        <v>1385</v>
      </c>
      <c r="B1196" t="s">
        <v>214</v>
      </c>
      <c r="C1196">
        <v>3.64</v>
      </c>
      <c r="I1196" t="s">
        <v>1746</v>
      </c>
      <c r="J1196" t="s">
        <v>253</v>
      </c>
      <c r="K1196" t="s">
        <v>2822</v>
      </c>
    </row>
    <row r="1197" spans="1:11" x14ac:dyDescent="0.25">
      <c r="A1197" t="s">
        <v>1386</v>
      </c>
      <c r="B1197" t="s">
        <v>214</v>
      </c>
      <c r="C1197">
        <v>3.64</v>
      </c>
      <c r="I1197" t="s">
        <v>1713</v>
      </c>
      <c r="J1197" t="s">
        <v>253</v>
      </c>
      <c r="K1197" t="s">
        <v>2822</v>
      </c>
    </row>
    <row r="1198" spans="1:11" x14ac:dyDescent="0.25">
      <c r="A1198" t="s">
        <v>1096</v>
      </c>
      <c r="B1198" t="s">
        <v>214</v>
      </c>
      <c r="C1198">
        <v>3.64</v>
      </c>
      <c r="I1198" t="s">
        <v>1950</v>
      </c>
      <c r="J1198" t="s">
        <v>253</v>
      </c>
      <c r="K1198" t="s">
        <v>2822</v>
      </c>
    </row>
    <row r="1199" spans="1:11" x14ac:dyDescent="0.25">
      <c r="A1199" t="s">
        <v>1414</v>
      </c>
      <c r="B1199" t="s">
        <v>214</v>
      </c>
      <c r="I1199" t="s">
        <v>1951</v>
      </c>
      <c r="J1199" t="s">
        <v>253</v>
      </c>
      <c r="K1199" t="s">
        <v>2822</v>
      </c>
    </row>
    <row r="1200" spans="1:11" x14ac:dyDescent="0.25">
      <c r="A1200" t="s">
        <v>1411</v>
      </c>
      <c r="B1200" t="s">
        <v>214</v>
      </c>
      <c r="I1200" t="s">
        <v>1745</v>
      </c>
      <c r="J1200" t="s">
        <v>253</v>
      </c>
      <c r="K1200" t="s">
        <v>2822</v>
      </c>
    </row>
    <row r="1201" spans="1:11" x14ac:dyDescent="0.25">
      <c r="A1201" t="s">
        <v>1387</v>
      </c>
      <c r="B1201" t="s">
        <v>214</v>
      </c>
      <c r="C1201">
        <v>4.3600000000000003</v>
      </c>
      <c r="I1201" t="s">
        <v>1838</v>
      </c>
      <c r="J1201" t="s">
        <v>253</v>
      </c>
      <c r="K1201" t="s">
        <v>2822</v>
      </c>
    </row>
    <row r="1202" spans="1:11" x14ac:dyDescent="0.25">
      <c r="A1202" t="s">
        <v>1388</v>
      </c>
      <c r="B1202" t="s">
        <v>214</v>
      </c>
      <c r="C1202">
        <v>4.3600000000000003</v>
      </c>
      <c r="I1202" t="s">
        <v>2380</v>
      </c>
      <c r="J1202" t="s">
        <v>253</v>
      </c>
      <c r="K1202" t="s">
        <v>2822</v>
      </c>
    </row>
    <row r="1203" spans="1:11" x14ac:dyDescent="0.25">
      <c r="A1203" t="s">
        <v>1389</v>
      </c>
      <c r="B1203" t="s">
        <v>214</v>
      </c>
      <c r="C1203">
        <v>4.3600000000000003</v>
      </c>
      <c r="I1203" t="s">
        <v>1711</v>
      </c>
      <c r="J1203" t="s">
        <v>253</v>
      </c>
      <c r="K1203" t="s">
        <v>2822</v>
      </c>
    </row>
    <row r="1204" spans="1:11" x14ac:dyDescent="0.25">
      <c r="A1204" t="s">
        <v>1418</v>
      </c>
      <c r="B1204" t="s">
        <v>214</v>
      </c>
      <c r="I1204" t="s">
        <v>2383</v>
      </c>
      <c r="J1204" t="s">
        <v>253</v>
      </c>
      <c r="K1204" t="s">
        <v>2822</v>
      </c>
    </row>
    <row r="1205" spans="1:11" x14ac:dyDescent="0.25">
      <c r="A1205" t="s">
        <v>1409</v>
      </c>
      <c r="B1205" t="s">
        <v>214</v>
      </c>
      <c r="I1205" t="s">
        <v>2048</v>
      </c>
      <c r="J1205" t="s">
        <v>253</v>
      </c>
      <c r="K1205" t="s">
        <v>2822</v>
      </c>
    </row>
    <row r="1206" spans="1:11" x14ac:dyDescent="0.25">
      <c r="A1206" t="s">
        <v>1390</v>
      </c>
      <c r="B1206" t="s">
        <v>214</v>
      </c>
      <c r="C1206">
        <v>2.91</v>
      </c>
      <c r="I1206" t="s">
        <v>2384</v>
      </c>
      <c r="J1206" t="s">
        <v>253</v>
      </c>
      <c r="K1206" t="s">
        <v>2822</v>
      </c>
    </row>
    <row r="1207" spans="1:11" x14ac:dyDescent="0.25">
      <c r="A1207" t="s">
        <v>1391</v>
      </c>
      <c r="B1207" t="s">
        <v>214</v>
      </c>
      <c r="C1207">
        <v>2.91</v>
      </c>
      <c r="I1207" t="s">
        <v>2385</v>
      </c>
      <c r="J1207" t="s">
        <v>253</v>
      </c>
      <c r="K1207" t="s">
        <v>2822</v>
      </c>
    </row>
    <row r="1208" spans="1:11" x14ac:dyDescent="0.25">
      <c r="A1208" t="s">
        <v>1392</v>
      </c>
      <c r="B1208" t="s">
        <v>214</v>
      </c>
      <c r="C1208">
        <v>5.45</v>
      </c>
      <c r="I1208" t="s">
        <v>1750</v>
      </c>
      <c r="J1208" t="s">
        <v>253</v>
      </c>
      <c r="K1208" t="s">
        <v>2822</v>
      </c>
    </row>
    <row r="1209" spans="1:11" x14ac:dyDescent="0.25">
      <c r="A1209" t="s">
        <v>1393</v>
      </c>
      <c r="B1209" t="s">
        <v>214</v>
      </c>
      <c r="C1209">
        <v>3.64</v>
      </c>
      <c r="I1209" t="s">
        <v>2337</v>
      </c>
      <c r="J1209" t="s">
        <v>253</v>
      </c>
      <c r="K1209" t="s">
        <v>2822</v>
      </c>
    </row>
    <row r="1210" spans="1:11" x14ac:dyDescent="0.25">
      <c r="A1210" t="s">
        <v>2144</v>
      </c>
      <c r="B1210" t="s">
        <v>214</v>
      </c>
      <c r="I1210" t="s">
        <v>2347</v>
      </c>
      <c r="J1210" t="s">
        <v>253</v>
      </c>
      <c r="K1210" t="s">
        <v>2822</v>
      </c>
    </row>
    <row r="1211" spans="1:11" x14ac:dyDescent="0.25">
      <c r="A1211" t="s">
        <v>2172</v>
      </c>
      <c r="B1211" t="s">
        <v>214</v>
      </c>
      <c r="I1211" t="s">
        <v>2229</v>
      </c>
      <c r="J1211" t="s">
        <v>253</v>
      </c>
      <c r="K1211" t="s">
        <v>2822</v>
      </c>
    </row>
    <row r="1212" spans="1:11" x14ac:dyDescent="0.25">
      <c r="A1212" t="s">
        <v>1786</v>
      </c>
      <c r="B1212" t="s">
        <v>214</v>
      </c>
      <c r="I1212" t="s">
        <v>1424</v>
      </c>
      <c r="J1212" t="s">
        <v>253</v>
      </c>
      <c r="K1212" t="s">
        <v>2822</v>
      </c>
    </row>
    <row r="1213" spans="1:11" x14ac:dyDescent="0.25">
      <c r="A1213" t="s">
        <v>2155</v>
      </c>
      <c r="B1213" t="s">
        <v>214</v>
      </c>
      <c r="I1213" t="s">
        <v>2484</v>
      </c>
      <c r="J1213" t="s">
        <v>253</v>
      </c>
      <c r="K1213" t="s">
        <v>2822</v>
      </c>
    </row>
    <row r="1214" spans="1:11" x14ac:dyDescent="0.25">
      <c r="A1214" t="s">
        <v>1097</v>
      </c>
      <c r="B1214" t="s">
        <v>214</v>
      </c>
      <c r="C1214">
        <v>10.91</v>
      </c>
      <c r="I1214" t="s">
        <v>2478</v>
      </c>
      <c r="J1214" t="s">
        <v>253</v>
      </c>
      <c r="K1214" t="s">
        <v>2822</v>
      </c>
    </row>
    <row r="1215" spans="1:11" x14ac:dyDescent="0.25">
      <c r="A1215" t="s">
        <v>1543</v>
      </c>
      <c r="B1215" t="s">
        <v>214</v>
      </c>
      <c r="I1215" t="s">
        <v>2352</v>
      </c>
      <c r="J1215" t="s">
        <v>253</v>
      </c>
      <c r="K1215" t="s">
        <v>2822</v>
      </c>
    </row>
    <row r="1216" spans="1:11" x14ac:dyDescent="0.25">
      <c r="A1216" t="s">
        <v>1394</v>
      </c>
      <c r="B1216" t="s">
        <v>214</v>
      </c>
      <c r="C1216">
        <v>3.64</v>
      </c>
      <c r="I1216" t="s">
        <v>2321</v>
      </c>
      <c r="J1216" t="s">
        <v>253</v>
      </c>
      <c r="K1216" t="s">
        <v>2822</v>
      </c>
    </row>
    <row r="1217" spans="1:11" x14ac:dyDescent="0.25">
      <c r="A1217" t="s">
        <v>1098</v>
      </c>
      <c r="B1217" t="s">
        <v>214</v>
      </c>
      <c r="C1217">
        <v>1.82</v>
      </c>
      <c r="I1217" t="s">
        <v>2377</v>
      </c>
      <c r="J1217" t="s">
        <v>253</v>
      </c>
      <c r="K1217" t="s">
        <v>2822</v>
      </c>
    </row>
    <row r="1218" spans="1:11" x14ac:dyDescent="0.25">
      <c r="A1218" t="s">
        <v>1408</v>
      </c>
      <c r="B1218" t="s">
        <v>214</v>
      </c>
      <c r="I1218" t="s">
        <v>1712</v>
      </c>
      <c r="J1218" t="s">
        <v>253</v>
      </c>
      <c r="K1218" t="s">
        <v>2822</v>
      </c>
    </row>
    <row r="1219" spans="1:11" x14ac:dyDescent="0.25">
      <c r="A1219" t="s">
        <v>1541</v>
      </c>
      <c r="B1219" t="s">
        <v>214</v>
      </c>
      <c r="C1219">
        <v>10.91</v>
      </c>
      <c r="I1219" t="s">
        <v>2360</v>
      </c>
      <c r="J1219" t="s">
        <v>253</v>
      </c>
      <c r="K1219" t="s">
        <v>2822</v>
      </c>
    </row>
    <row r="1220" spans="1:11" x14ac:dyDescent="0.25">
      <c r="A1220" t="s">
        <v>2128</v>
      </c>
      <c r="B1220" t="s">
        <v>214</v>
      </c>
      <c r="I1220" t="s">
        <v>1382</v>
      </c>
      <c r="J1220" t="s">
        <v>253</v>
      </c>
      <c r="K1220" t="s">
        <v>2822</v>
      </c>
    </row>
    <row r="1221" spans="1:11" x14ac:dyDescent="0.25">
      <c r="A1221" t="s">
        <v>1911</v>
      </c>
      <c r="B1221" t="s">
        <v>214</v>
      </c>
      <c r="I1221" t="s">
        <v>2156</v>
      </c>
      <c r="J1221" t="s">
        <v>253</v>
      </c>
      <c r="K1221" t="s">
        <v>2822</v>
      </c>
    </row>
    <row r="1222" spans="1:11" x14ac:dyDescent="0.25">
      <c r="A1222" t="s">
        <v>939</v>
      </c>
      <c r="B1222" t="s">
        <v>214</v>
      </c>
      <c r="C1222">
        <v>32.729999999999997</v>
      </c>
      <c r="I1222" t="s">
        <v>1941</v>
      </c>
      <c r="J1222" t="s">
        <v>253</v>
      </c>
      <c r="K1222" t="s">
        <v>2822</v>
      </c>
    </row>
    <row r="1223" spans="1:11" x14ac:dyDescent="0.25">
      <c r="A1223" t="s">
        <v>2582</v>
      </c>
      <c r="B1223" t="s">
        <v>214</v>
      </c>
      <c r="I1223" t="s">
        <v>2135</v>
      </c>
      <c r="J1223" t="s">
        <v>253</v>
      </c>
      <c r="K1223" t="s">
        <v>2822</v>
      </c>
    </row>
    <row r="1224" spans="1:11" x14ac:dyDescent="0.25">
      <c r="A1224" t="s">
        <v>1874</v>
      </c>
      <c r="B1224" t="s">
        <v>214</v>
      </c>
      <c r="I1224" t="s">
        <v>2161</v>
      </c>
      <c r="J1224" t="s">
        <v>253</v>
      </c>
      <c r="K1224" t="s">
        <v>2822</v>
      </c>
    </row>
    <row r="1225" spans="1:11" x14ac:dyDescent="0.25">
      <c r="A1225" t="s">
        <v>1871</v>
      </c>
      <c r="B1225" t="s">
        <v>214</v>
      </c>
      <c r="I1225" t="s">
        <v>1095</v>
      </c>
      <c r="J1225" t="s">
        <v>253</v>
      </c>
      <c r="K1225" t="s">
        <v>2822</v>
      </c>
    </row>
    <row r="1226" spans="1:11" x14ac:dyDescent="0.25">
      <c r="A1226" t="s">
        <v>1872</v>
      </c>
      <c r="B1226" t="s">
        <v>214</v>
      </c>
      <c r="I1226" t="s">
        <v>2121</v>
      </c>
      <c r="J1226" t="s">
        <v>253</v>
      </c>
      <c r="K1226" t="s">
        <v>2822</v>
      </c>
    </row>
    <row r="1227" spans="1:11" x14ac:dyDescent="0.25">
      <c r="A1227" t="s">
        <v>1873</v>
      </c>
      <c r="B1227" t="s">
        <v>214</v>
      </c>
      <c r="I1227" t="s">
        <v>1383</v>
      </c>
      <c r="J1227" t="s">
        <v>253</v>
      </c>
      <c r="K1227" t="s">
        <v>2822</v>
      </c>
    </row>
    <row r="1228" spans="1:11" x14ac:dyDescent="0.25">
      <c r="A1228" t="s">
        <v>1116</v>
      </c>
      <c r="B1228" t="s">
        <v>214</v>
      </c>
      <c r="C1228">
        <v>90.91</v>
      </c>
      <c r="I1228" t="s">
        <v>1384</v>
      </c>
      <c r="J1228" t="s">
        <v>253</v>
      </c>
      <c r="K1228" t="s">
        <v>2822</v>
      </c>
    </row>
    <row r="1229" spans="1:11" x14ac:dyDescent="0.25">
      <c r="A1229" t="s">
        <v>981</v>
      </c>
      <c r="B1229" t="s">
        <v>214</v>
      </c>
      <c r="C1229">
        <v>3.64</v>
      </c>
      <c r="I1229" t="s">
        <v>2133</v>
      </c>
      <c r="J1229" t="s">
        <v>253</v>
      </c>
      <c r="K1229" t="s">
        <v>2822</v>
      </c>
    </row>
    <row r="1230" spans="1:11" x14ac:dyDescent="0.25">
      <c r="A1230" t="s">
        <v>982</v>
      </c>
      <c r="B1230" t="s">
        <v>214</v>
      </c>
      <c r="C1230">
        <v>12.73</v>
      </c>
      <c r="I1230" t="s">
        <v>1385</v>
      </c>
      <c r="J1230" t="s">
        <v>253</v>
      </c>
      <c r="K1230" t="s">
        <v>2822</v>
      </c>
    </row>
    <row r="1231" spans="1:11" x14ac:dyDescent="0.25">
      <c r="A1231" t="s">
        <v>983</v>
      </c>
      <c r="B1231" t="s">
        <v>214</v>
      </c>
      <c r="C1231">
        <v>14.55</v>
      </c>
      <c r="I1231" t="s">
        <v>1386</v>
      </c>
      <c r="J1231" t="s">
        <v>253</v>
      </c>
      <c r="K1231" t="s">
        <v>2822</v>
      </c>
    </row>
    <row r="1232" spans="1:11" x14ac:dyDescent="0.25">
      <c r="A1232" t="s">
        <v>2583</v>
      </c>
      <c r="B1232" t="s">
        <v>214</v>
      </c>
      <c r="I1232" t="s">
        <v>1096</v>
      </c>
      <c r="J1232" t="s">
        <v>253</v>
      </c>
      <c r="K1232" t="s">
        <v>2822</v>
      </c>
    </row>
    <row r="1233" spans="1:11" x14ac:dyDescent="0.25">
      <c r="A1233" t="s">
        <v>1891</v>
      </c>
      <c r="B1233" t="s">
        <v>214</v>
      </c>
      <c r="I1233" t="s">
        <v>1414</v>
      </c>
      <c r="J1233" t="s">
        <v>253</v>
      </c>
      <c r="K1233" t="s">
        <v>2822</v>
      </c>
    </row>
    <row r="1234" spans="1:11" x14ac:dyDescent="0.25">
      <c r="A1234" t="s">
        <v>1892</v>
      </c>
      <c r="B1234" t="s">
        <v>214</v>
      </c>
      <c r="I1234" t="s">
        <v>1411</v>
      </c>
      <c r="J1234" t="s">
        <v>253</v>
      </c>
      <c r="K1234" t="s">
        <v>2822</v>
      </c>
    </row>
    <row r="1235" spans="1:11" x14ac:dyDescent="0.25">
      <c r="A1235" t="s">
        <v>1895</v>
      </c>
      <c r="B1235" t="s">
        <v>214</v>
      </c>
      <c r="I1235" t="s">
        <v>1387</v>
      </c>
      <c r="J1235" t="s">
        <v>253</v>
      </c>
      <c r="K1235" t="s">
        <v>2822</v>
      </c>
    </row>
    <row r="1236" spans="1:11" x14ac:dyDescent="0.25">
      <c r="A1236" t="s">
        <v>2111</v>
      </c>
      <c r="B1236" t="s">
        <v>214</v>
      </c>
      <c r="I1236" t="s">
        <v>1388</v>
      </c>
      <c r="J1236" t="s">
        <v>253</v>
      </c>
      <c r="K1236" t="s">
        <v>2822</v>
      </c>
    </row>
    <row r="1237" spans="1:11" x14ac:dyDescent="0.25">
      <c r="A1237" t="s">
        <v>1542</v>
      </c>
      <c r="B1237" t="s">
        <v>214</v>
      </c>
      <c r="C1237">
        <v>7.27</v>
      </c>
      <c r="I1237" t="s">
        <v>1389</v>
      </c>
      <c r="J1237" t="s">
        <v>253</v>
      </c>
      <c r="K1237" t="s">
        <v>2822</v>
      </c>
    </row>
    <row r="1238" spans="1:11" x14ac:dyDescent="0.25">
      <c r="A1238" t="s">
        <v>1540</v>
      </c>
      <c r="B1238" t="s">
        <v>214</v>
      </c>
      <c r="C1238">
        <v>7.27</v>
      </c>
      <c r="I1238" t="s">
        <v>1418</v>
      </c>
      <c r="J1238" t="s">
        <v>253</v>
      </c>
      <c r="K1238" t="s">
        <v>2822</v>
      </c>
    </row>
    <row r="1239" spans="1:11" x14ac:dyDescent="0.25">
      <c r="A1239" t="s">
        <v>1948</v>
      </c>
      <c r="B1239" t="s">
        <v>214</v>
      </c>
      <c r="I1239" t="s">
        <v>1409</v>
      </c>
      <c r="J1239" t="s">
        <v>253</v>
      </c>
      <c r="K1239" t="s">
        <v>2822</v>
      </c>
    </row>
    <row r="1240" spans="1:11" x14ac:dyDescent="0.25">
      <c r="A1240" t="s">
        <v>1395</v>
      </c>
      <c r="B1240" t="s">
        <v>214</v>
      </c>
      <c r="C1240">
        <v>3.64</v>
      </c>
      <c r="I1240" t="s">
        <v>1390</v>
      </c>
      <c r="J1240" t="s">
        <v>253</v>
      </c>
      <c r="K1240" t="s">
        <v>2822</v>
      </c>
    </row>
    <row r="1241" spans="1:11" x14ac:dyDescent="0.25">
      <c r="A1241" t="s">
        <v>1125</v>
      </c>
      <c r="B1241" t="s">
        <v>214</v>
      </c>
      <c r="C1241">
        <v>21.82</v>
      </c>
      <c r="I1241" t="s">
        <v>1391</v>
      </c>
      <c r="J1241" t="s">
        <v>253</v>
      </c>
      <c r="K1241" t="s">
        <v>2822</v>
      </c>
    </row>
    <row r="1242" spans="1:11" x14ac:dyDescent="0.25">
      <c r="A1242" t="s">
        <v>1648</v>
      </c>
      <c r="B1242" t="s">
        <v>214</v>
      </c>
      <c r="I1242" t="s">
        <v>1392</v>
      </c>
      <c r="J1242" t="s">
        <v>253</v>
      </c>
      <c r="K1242" t="s">
        <v>2822</v>
      </c>
    </row>
    <row r="1243" spans="1:11" x14ac:dyDescent="0.25">
      <c r="A1243" t="s">
        <v>1647</v>
      </c>
      <c r="B1243" t="s">
        <v>214</v>
      </c>
      <c r="C1243">
        <v>7.27</v>
      </c>
      <c r="I1243" t="s">
        <v>1393</v>
      </c>
      <c r="J1243" t="s">
        <v>253</v>
      </c>
      <c r="K1243" t="s">
        <v>2822</v>
      </c>
    </row>
    <row r="1244" spans="1:11" x14ac:dyDescent="0.25">
      <c r="A1244" t="s">
        <v>1646</v>
      </c>
      <c r="B1244" t="s">
        <v>214</v>
      </c>
      <c r="I1244" t="s">
        <v>2144</v>
      </c>
      <c r="J1244" t="s">
        <v>253</v>
      </c>
      <c r="K1244" t="s">
        <v>2822</v>
      </c>
    </row>
    <row r="1245" spans="1:11" x14ac:dyDescent="0.25">
      <c r="A1245" t="s">
        <v>1649</v>
      </c>
      <c r="B1245" t="s">
        <v>214</v>
      </c>
      <c r="I1245" t="s">
        <v>2172</v>
      </c>
      <c r="J1245" t="s">
        <v>253</v>
      </c>
      <c r="K1245" t="s">
        <v>2822</v>
      </c>
    </row>
    <row r="1246" spans="1:11" x14ac:dyDescent="0.25">
      <c r="A1246" t="s">
        <v>1645</v>
      </c>
      <c r="B1246" t="s">
        <v>214</v>
      </c>
      <c r="I1246" t="s">
        <v>1786</v>
      </c>
      <c r="J1246" t="s">
        <v>253</v>
      </c>
      <c r="K1246" t="s">
        <v>2822</v>
      </c>
    </row>
    <row r="1247" spans="1:11" x14ac:dyDescent="0.25">
      <c r="A1247" t="s">
        <v>2300</v>
      </c>
      <c r="B1247" t="s">
        <v>214</v>
      </c>
      <c r="I1247" t="s">
        <v>2155</v>
      </c>
      <c r="J1247" t="s">
        <v>253</v>
      </c>
      <c r="K1247" t="s">
        <v>2822</v>
      </c>
    </row>
    <row r="1248" spans="1:11" x14ac:dyDescent="0.25">
      <c r="A1248" t="s">
        <v>2272</v>
      </c>
      <c r="B1248" t="s">
        <v>214</v>
      </c>
      <c r="I1248" t="s">
        <v>1097</v>
      </c>
      <c r="J1248" t="s">
        <v>253</v>
      </c>
      <c r="K1248" t="s">
        <v>2822</v>
      </c>
    </row>
    <row r="1249" spans="1:11" x14ac:dyDescent="0.25">
      <c r="A1249" t="s">
        <v>1396</v>
      </c>
      <c r="B1249" t="s">
        <v>214</v>
      </c>
      <c r="C1249">
        <v>7.27</v>
      </c>
      <c r="I1249" t="s">
        <v>1543</v>
      </c>
      <c r="J1249" t="s">
        <v>253</v>
      </c>
      <c r="K1249" t="s">
        <v>2822</v>
      </c>
    </row>
    <row r="1250" spans="1:11" x14ac:dyDescent="0.25">
      <c r="A1250" t="s">
        <v>1642</v>
      </c>
      <c r="B1250" t="s">
        <v>214</v>
      </c>
      <c r="I1250" t="s">
        <v>1394</v>
      </c>
      <c r="J1250" t="s">
        <v>253</v>
      </c>
      <c r="K1250" t="s">
        <v>2822</v>
      </c>
    </row>
    <row r="1251" spans="1:11" x14ac:dyDescent="0.25">
      <c r="A1251" t="s">
        <v>1634</v>
      </c>
      <c r="B1251" t="s">
        <v>214</v>
      </c>
      <c r="I1251" t="s">
        <v>1098</v>
      </c>
      <c r="J1251" t="s">
        <v>253</v>
      </c>
      <c r="K1251" t="s">
        <v>2822</v>
      </c>
    </row>
    <row r="1252" spans="1:11" x14ac:dyDescent="0.25">
      <c r="A1252" t="s">
        <v>1666</v>
      </c>
      <c r="B1252" t="s">
        <v>214</v>
      </c>
      <c r="I1252" t="s">
        <v>1408</v>
      </c>
      <c r="J1252" t="s">
        <v>253</v>
      </c>
      <c r="K1252" t="s">
        <v>2822</v>
      </c>
    </row>
    <row r="1253" spans="1:11" x14ac:dyDescent="0.25">
      <c r="A1253" t="s">
        <v>2228</v>
      </c>
      <c r="B1253" t="s">
        <v>214</v>
      </c>
      <c r="I1253" t="s">
        <v>1541</v>
      </c>
      <c r="J1253" t="s">
        <v>253</v>
      </c>
      <c r="K1253" t="s">
        <v>2822</v>
      </c>
    </row>
    <row r="1254" spans="1:11" x14ac:dyDescent="0.25">
      <c r="A1254" t="s">
        <v>1639</v>
      </c>
      <c r="B1254" t="s">
        <v>214</v>
      </c>
      <c r="C1254">
        <v>3.64</v>
      </c>
      <c r="I1254" t="s">
        <v>2128</v>
      </c>
      <c r="J1254" t="s">
        <v>253</v>
      </c>
      <c r="K1254" t="s">
        <v>2822</v>
      </c>
    </row>
    <row r="1255" spans="1:11" x14ac:dyDescent="0.25">
      <c r="A1255" t="s">
        <v>1635</v>
      </c>
      <c r="B1255" t="s">
        <v>214</v>
      </c>
      <c r="I1255" t="s">
        <v>1911</v>
      </c>
      <c r="J1255" t="s">
        <v>253</v>
      </c>
      <c r="K1255" t="s">
        <v>2822</v>
      </c>
    </row>
    <row r="1256" spans="1:11" x14ac:dyDescent="0.25">
      <c r="A1256" t="s">
        <v>1667</v>
      </c>
      <c r="B1256" t="s">
        <v>214</v>
      </c>
      <c r="C1256">
        <v>54.55</v>
      </c>
      <c r="I1256" t="s">
        <v>939</v>
      </c>
      <c r="J1256" t="s">
        <v>253</v>
      </c>
      <c r="K1256" t="s">
        <v>2822</v>
      </c>
    </row>
    <row r="1257" spans="1:11" x14ac:dyDescent="0.25">
      <c r="A1257" t="s">
        <v>2324</v>
      </c>
      <c r="B1257" t="s">
        <v>214</v>
      </c>
      <c r="I1257" t="s">
        <v>2582</v>
      </c>
      <c r="J1257" t="s">
        <v>253</v>
      </c>
      <c r="K1257" t="s">
        <v>2822</v>
      </c>
    </row>
    <row r="1258" spans="1:11" x14ac:dyDescent="0.25">
      <c r="A1258" t="s">
        <v>1637</v>
      </c>
      <c r="B1258" t="s">
        <v>214</v>
      </c>
      <c r="C1258">
        <v>14.55</v>
      </c>
      <c r="I1258" t="s">
        <v>1972</v>
      </c>
      <c r="J1258" t="s">
        <v>253</v>
      </c>
      <c r="K1258" t="s">
        <v>2822</v>
      </c>
    </row>
    <row r="1259" spans="1:11" x14ac:dyDescent="0.25">
      <c r="A1259" t="s">
        <v>1633</v>
      </c>
      <c r="B1259" t="s">
        <v>214</v>
      </c>
      <c r="C1259">
        <v>14.55</v>
      </c>
      <c r="I1259" t="s">
        <v>1868</v>
      </c>
      <c r="J1259" t="s">
        <v>253</v>
      </c>
      <c r="K1259" t="s">
        <v>2822</v>
      </c>
    </row>
    <row r="1260" spans="1:11" x14ac:dyDescent="0.25">
      <c r="A1260" t="s">
        <v>1640</v>
      </c>
      <c r="B1260" t="s">
        <v>214</v>
      </c>
      <c r="C1260">
        <v>1.45</v>
      </c>
      <c r="I1260" t="s">
        <v>1874</v>
      </c>
      <c r="J1260" t="s">
        <v>253</v>
      </c>
      <c r="K1260" t="s">
        <v>2822</v>
      </c>
    </row>
    <row r="1261" spans="1:11" x14ac:dyDescent="0.25">
      <c r="A1261" t="s">
        <v>1636</v>
      </c>
      <c r="B1261" t="s">
        <v>214</v>
      </c>
      <c r="C1261">
        <v>7.27</v>
      </c>
      <c r="I1261" t="s">
        <v>1871</v>
      </c>
      <c r="J1261" t="s">
        <v>253</v>
      </c>
      <c r="K1261" t="s">
        <v>2822</v>
      </c>
    </row>
    <row r="1262" spans="1:11" x14ac:dyDescent="0.25">
      <c r="A1262" t="s">
        <v>1397</v>
      </c>
      <c r="B1262" t="s">
        <v>214</v>
      </c>
      <c r="C1262">
        <v>5.45</v>
      </c>
      <c r="I1262" t="s">
        <v>1872</v>
      </c>
      <c r="J1262" t="s">
        <v>253</v>
      </c>
      <c r="K1262" t="s">
        <v>2822</v>
      </c>
    </row>
    <row r="1263" spans="1:11" x14ac:dyDescent="0.25">
      <c r="A1263" t="s">
        <v>1658</v>
      </c>
      <c r="B1263" t="s">
        <v>214</v>
      </c>
      <c r="I1263" t="s">
        <v>1873</v>
      </c>
      <c r="J1263" t="s">
        <v>253</v>
      </c>
      <c r="K1263" t="s">
        <v>2822</v>
      </c>
    </row>
    <row r="1264" spans="1:11" x14ac:dyDescent="0.25">
      <c r="A1264" t="s">
        <v>1657</v>
      </c>
      <c r="B1264" t="s">
        <v>214</v>
      </c>
      <c r="I1264" t="s">
        <v>1116</v>
      </c>
      <c r="J1264" t="s">
        <v>253</v>
      </c>
      <c r="K1264" t="s">
        <v>2822</v>
      </c>
    </row>
    <row r="1265" spans="1:11" x14ac:dyDescent="0.25">
      <c r="A1265" t="s">
        <v>1660</v>
      </c>
      <c r="B1265" t="s">
        <v>214</v>
      </c>
      <c r="I1265" t="s">
        <v>981</v>
      </c>
      <c r="J1265" t="s">
        <v>253</v>
      </c>
      <c r="K1265" t="s">
        <v>2822</v>
      </c>
    </row>
    <row r="1266" spans="1:11" x14ac:dyDescent="0.25">
      <c r="A1266" t="s">
        <v>2325</v>
      </c>
      <c r="B1266" t="s">
        <v>214</v>
      </c>
      <c r="I1266" t="s">
        <v>982</v>
      </c>
      <c r="J1266" t="s">
        <v>253</v>
      </c>
      <c r="K1266" t="s">
        <v>2822</v>
      </c>
    </row>
    <row r="1267" spans="1:11" x14ac:dyDescent="0.25">
      <c r="A1267" t="s">
        <v>1662</v>
      </c>
      <c r="B1267" t="s">
        <v>214</v>
      </c>
      <c r="C1267">
        <v>3.64</v>
      </c>
      <c r="I1267" t="s">
        <v>983</v>
      </c>
      <c r="J1267" t="s">
        <v>253</v>
      </c>
      <c r="K1267" t="s">
        <v>2822</v>
      </c>
    </row>
    <row r="1268" spans="1:11" x14ac:dyDescent="0.25">
      <c r="A1268" t="s">
        <v>2275</v>
      </c>
      <c r="B1268" t="s">
        <v>214</v>
      </c>
      <c r="I1268" t="s">
        <v>2583</v>
      </c>
      <c r="J1268" t="s">
        <v>253</v>
      </c>
      <c r="K1268" t="s">
        <v>2822</v>
      </c>
    </row>
    <row r="1269" spans="1:11" x14ac:dyDescent="0.25">
      <c r="A1269" t="s">
        <v>2453</v>
      </c>
      <c r="B1269" t="s">
        <v>214</v>
      </c>
      <c r="I1269" t="s">
        <v>1894</v>
      </c>
      <c r="J1269" t="s">
        <v>253</v>
      </c>
      <c r="K1269" t="s">
        <v>2822</v>
      </c>
    </row>
    <row r="1270" spans="1:11" x14ac:dyDescent="0.25">
      <c r="A1270" t="s">
        <v>2452</v>
      </c>
      <c r="B1270" t="s">
        <v>214</v>
      </c>
      <c r="C1270">
        <v>0</v>
      </c>
      <c r="I1270" t="s">
        <v>1889</v>
      </c>
      <c r="J1270" t="s">
        <v>253</v>
      </c>
      <c r="K1270" t="s">
        <v>2822</v>
      </c>
    </row>
    <row r="1271" spans="1:11" x14ac:dyDescent="0.25">
      <c r="A1271" t="s">
        <v>1727</v>
      </c>
      <c r="B1271" t="s">
        <v>214</v>
      </c>
      <c r="I1271" t="s">
        <v>1890</v>
      </c>
      <c r="J1271" t="s">
        <v>253</v>
      </c>
      <c r="K1271" t="s">
        <v>2822</v>
      </c>
    </row>
    <row r="1272" spans="1:11" x14ac:dyDescent="0.25">
      <c r="A1272" t="s">
        <v>2486</v>
      </c>
      <c r="B1272" t="s">
        <v>214</v>
      </c>
      <c r="I1272" t="s">
        <v>1891</v>
      </c>
      <c r="J1272" t="s">
        <v>253</v>
      </c>
      <c r="K1272" t="s">
        <v>2822</v>
      </c>
    </row>
    <row r="1273" spans="1:11" x14ac:dyDescent="0.25">
      <c r="A1273" t="s">
        <v>2147</v>
      </c>
      <c r="B1273" t="s">
        <v>214</v>
      </c>
      <c r="I1273" t="s">
        <v>1892</v>
      </c>
      <c r="J1273" t="s">
        <v>253</v>
      </c>
      <c r="K1273" t="s">
        <v>2822</v>
      </c>
    </row>
    <row r="1274" spans="1:11" x14ac:dyDescent="0.25">
      <c r="A1274" t="s">
        <v>2191</v>
      </c>
      <c r="B1274" t="s">
        <v>214</v>
      </c>
      <c r="I1274" t="s">
        <v>1893</v>
      </c>
      <c r="J1274" t="s">
        <v>253</v>
      </c>
      <c r="K1274" t="s">
        <v>2822</v>
      </c>
    </row>
    <row r="1275" spans="1:11" x14ac:dyDescent="0.25">
      <c r="A1275" t="s">
        <v>2245</v>
      </c>
      <c r="B1275" t="s">
        <v>214</v>
      </c>
      <c r="I1275" t="s">
        <v>1895</v>
      </c>
      <c r="J1275" t="s">
        <v>253</v>
      </c>
      <c r="K1275" t="s">
        <v>2822</v>
      </c>
    </row>
    <row r="1276" spans="1:11" x14ac:dyDescent="0.25">
      <c r="A1276" t="s">
        <v>1739</v>
      </c>
      <c r="B1276" t="s">
        <v>214</v>
      </c>
      <c r="I1276" t="s">
        <v>2111</v>
      </c>
      <c r="J1276" t="s">
        <v>253</v>
      </c>
      <c r="K1276" t="s">
        <v>2822</v>
      </c>
    </row>
    <row r="1277" spans="1:11" x14ac:dyDescent="0.25">
      <c r="A1277" t="s">
        <v>1734</v>
      </c>
      <c r="B1277" t="s">
        <v>214</v>
      </c>
      <c r="C1277">
        <v>0</v>
      </c>
      <c r="I1277" t="s">
        <v>1542</v>
      </c>
      <c r="J1277" t="s">
        <v>253</v>
      </c>
      <c r="K1277" t="s">
        <v>2822</v>
      </c>
    </row>
    <row r="1278" spans="1:11" x14ac:dyDescent="0.25">
      <c r="A1278" t="s">
        <v>1736</v>
      </c>
      <c r="B1278" t="s">
        <v>214</v>
      </c>
      <c r="I1278" t="s">
        <v>1540</v>
      </c>
      <c r="J1278" t="s">
        <v>253</v>
      </c>
      <c r="K1278" t="s">
        <v>2822</v>
      </c>
    </row>
    <row r="1279" spans="1:11" x14ac:dyDescent="0.25">
      <c r="A1279" t="s">
        <v>1735</v>
      </c>
      <c r="B1279" t="s">
        <v>214</v>
      </c>
      <c r="I1279" t="s">
        <v>1948</v>
      </c>
      <c r="J1279" t="s">
        <v>253</v>
      </c>
      <c r="K1279" t="s">
        <v>2822</v>
      </c>
    </row>
    <row r="1280" spans="1:11" x14ac:dyDescent="0.25">
      <c r="A1280" t="s">
        <v>2496</v>
      </c>
      <c r="B1280" t="s">
        <v>214</v>
      </c>
      <c r="I1280" t="s">
        <v>1395</v>
      </c>
      <c r="J1280" t="s">
        <v>253</v>
      </c>
      <c r="K1280" t="s">
        <v>2822</v>
      </c>
    </row>
    <row r="1281" spans="1:11" x14ac:dyDescent="0.25">
      <c r="A1281" t="s">
        <v>1737</v>
      </c>
      <c r="B1281" t="s">
        <v>214</v>
      </c>
      <c r="I1281" t="s">
        <v>1125</v>
      </c>
      <c r="J1281" t="s">
        <v>253</v>
      </c>
      <c r="K1281" t="s">
        <v>2822</v>
      </c>
    </row>
    <row r="1282" spans="1:11" x14ac:dyDescent="0.25">
      <c r="A1282" t="s">
        <v>2584</v>
      </c>
      <c r="B1282" t="s">
        <v>214</v>
      </c>
      <c r="I1282" t="s">
        <v>1648</v>
      </c>
      <c r="J1282" t="s">
        <v>253</v>
      </c>
      <c r="K1282" t="s">
        <v>2822</v>
      </c>
    </row>
    <row r="1283" spans="1:11" x14ac:dyDescent="0.25">
      <c r="A1283" t="s">
        <v>2374</v>
      </c>
      <c r="B1283" t="s">
        <v>214</v>
      </c>
      <c r="I1283" t="s">
        <v>1647</v>
      </c>
      <c r="J1283" t="s">
        <v>253</v>
      </c>
      <c r="K1283" t="s">
        <v>2822</v>
      </c>
    </row>
    <row r="1284" spans="1:11" x14ac:dyDescent="0.25">
      <c r="A1284" t="s">
        <v>1457</v>
      </c>
      <c r="B1284" t="s">
        <v>214</v>
      </c>
      <c r="C1284">
        <v>5.82</v>
      </c>
      <c r="I1284" t="s">
        <v>1646</v>
      </c>
      <c r="J1284" t="s">
        <v>253</v>
      </c>
      <c r="K1284" t="s">
        <v>2822</v>
      </c>
    </row>
    <row r="1285" spans="1:11" x14ac:dyDescent="0.25">
      <c r="A1285" t="s">
        <v>2375</v>
      </c>
      <c r="B1285" t="s">
        <v>214</v>
      </c>
      <c r="I1285" t="s">
        <v>1649</v>
      </c>
      <c r="J1285" t="s">
        <v>253</v>
      </c>
      <c r="K1285" t="s">
        <v>2822</v>
      </c>
    </row>
    <row r="1286" spans="1:11" x14ac:dyDescent="0.25">
      <c r="A1286" t="s">
        <v>2250</v>
      </c>
      <c r="B1286" t="s">
        <v>214</v>
      </c>
      <c r="C1286">
        <v>0</v>
      </c>
      <c r="I1286" t="s">
        <v>1645</v>
      </c>
      <c r="J1286" t="s">
        <v>253</v>
      </c>
      <c r="K1286" t="s">
        <v>2822</v>
      </c>
    </row>
    <row r="1287" spans="1:11" x14ac:dyDescent="0.25">
      <c r="A1287" t="s">
        <v>2286</v>
      </c>
      <c r="B1287" t="s">
        <v>214</v>
      </c>
      <c r="I1287" t="s">
        <v>2300</v>
      </c>
      <c r="J1287" t="s">
        <v>253</v>
      </c>
      <c r="K1287" t="s">
        <v>2822</v>
      </c>
    </row>
    <row r="1288" spans="1:11" x14ac:dyDescent="0.25">
      <c r="A1288" t="s">
        <v>1843</v>
      </c>
      <c r="B1288" t="s">
        <v>214</v>
      </c>
      <c r="I1288" t="s">
        <v>2272</v>
      </c>
      <c r="J1288" t="s">
        <v>253</v>
      </c>
      <c r="K1288" t="s">
        <v>2822</v>
      </c>
    </row>
    <row r="1289" spans="1:11" x14ac:dyDescent="0.25">
      <c r="A1289" t="s">
        <v>2330</v>
      </c>
      <c r="B1289" t="s">
        <v>214</v>
      </c>
      <c r="I1289" t="s">
        <v>1396</v>
      </c>
      <c r="J1289" t="s">
        <v>253</v>
      </c>
      <c r="K1289" t="s">
        <v>2822</v>
      </c>
    </row>
    <row r="1290" spans="1:11" x14ac:dyDescent="0.25">
      <c r="A1290" t="s">
        <v>1733</v>
      </c>
      <c r="B1290" t="s">
        <v>214</v>
      </c>
      <c r="I1290" t="s">
        <v>1642</v>
      </c>
      <c r="J1290" t="s">
        <v>253</v>
      </c>
      <c r="K1290" t="s">
        <v>2822</v>
      </c>
    </row>
    <row r="1291" spans="1:11" x14ac:dyDescent="0.25">
      <c r="A1291" t="s">
        <v>1444</v>
      </c>
      <c r="B1291" t="s">
        <v>214</v>
      </c>
      <c r="C1291">
        <v>3.64</v>
      </c>
      <c r="I1291" t="s">
        <v>1634</v>
      </c>
      <c r="J1291" t="s">
        <v>253</v>
      </c>
      <c r="K1291" t="s">
        <v>2822</v>
      </c>
    </row>
    <row r="1292" spans="1:11" x14ac:dyDescent="0.25">
      <c r="A1292" t="s">
        <v>2199</v>
      </c>
      <c r="B1292" t="s">
        <v>214</v>
      </c>
      <c r="I1292" t="s">
        <v>1666</v>
      </c>
      <c r="J1292" t="s">
        <v>253</v>
      </c>
      <c r="K1292" t="s">
        <v>2822</v>
      </c>
    </row>
    <row r="1293" spans="1:11" x14ac:dyDescent="0.25">
      <c r="A1293" t="s">
        <v>1355</v>
      </c>
      <c r="B1293" t="s">
        <v>214</v>
      </c>
      <c r="C1293">
        <v>1.82</v>
      </c>
      <c r="I1293" t="s">
        <v>2228</v>
      </c>
      <c r="J1293" t="s">
        <v>253</v>
      </c>
      <c r="K1293" t="s">
        <v>2822</v>
      </c>
    </row>
    <row r="1294" spans="1:11" x14ac:dyDescent="0.25">
      <c r="A1294" t="s">
        <v>1450</v>
      </c>
      <c r="B1294" t="s">
        <v>214</v>
      </c>
      <c r="I1294" t="s">
        <v>1639</v>
      </c>
      <c r="J1294" t="s">
        <v>253</v>
      </c>
      <c r="K1294" t="s">
        <v>2822</v>
      </c>
    </row>
    <row r="1295" spans="1:11" x14ac:dyDescent="0.25">
      <c r="A1295" t="s">
        <v>1659</v>
      </c>
      <c r="B1295" t="s">
        <v>214</v>
      </c>
      <c r="I1295" t="s">
        <v>1635</v>
      </c>
      <c r="J1295" t="s">
        <v>253</v>
      </c>
      <c r="K1295" t="s">
        <v>2822</v>
      </c>
    </row>
    <row r="1296" spans="1:11" x14ac:dyDescent="0.25">
      <c r="A1296" t="s">
        <v>2284</v>
      </c>
      <c r="B1296" t="s">
        <v>214</v>
      </c>
      <c r="I1296" t="s">
        <v>1667</v>
      </c>
      <c r="J1296" t="s">
        <v>253</v>
      </c>
      <c r="K1296" t="s">
        <v>2822</v>
      </c>
    </row>
    <row r="1297" spans="1:11" x14ac:dyDescent="0.25">
      <c r="A1297" t="s">
        <v>1480</v>
      </c>
      <c r="B1297" t="s">
        <v>214</v>
      </c>
      <c r="C1297">
        <v>3.64</v>
      </c>
      <c r="I1297" t="s">
        <v>2324</v>
      </c>
      <c r="J1297" t="s">
        <v>253</v>
      </c>
      <c r="K1297" t="s">
        <v>2822</v>
      </c>
    </row>
    <row r="1298" spans="1:11" x14ac:dyDescent="0.25">
      <c r="A1298" t="s">
        <v>2585</v>
      </c>
      <c r="B1298" t="s">
        <v>214</v>
      </c>
      <c r="C1298">
        <v>0</v>
      </c>
      <c r="I1298" t="s">
        <v>1637</v>
      </c>
      <c r="J1298" t="s">
        <v>253</v>
      </c>
      <c r="K1298" t="s">
        <v>2822</v>
      </c>
    </row>
    <row r="1299" spans="1:11" x14ac:dyDescent="0.25">
      <c r="A1299" t="s">
        <v>1479</v>
      </c>
      <c r="B1299" t="s">
        <v>214</v>
      </c>
      <c r="I1299" t="s">
        <v>1633</v>
      </c>
      <c r="J1299" t="s">
        <v>253</v>
      </c>
      <c r="K1299" t="s">
        <v>2822</v>
      </c>
    </row>
    <row r="1300" spans="1:11" x14ac:dyDescent="0.25">
      <c r="A1300" t="s">
        <v>1478</v>
      </c>
      <c r="B1300" t="s">
        <v>214</v>
      </c>
      <c r="C1300">
        <v>1.82</v>
      </c>
      <c r="I1300" t="s">
        <v>1640</v>
      </c>
      <c r="J1300" t="s">
        <v>253</v>
      </c>
      <c r="K1300" t="s">
        <v>2822</v>
      </c>
    </row>
    <row r="1301" spans="1:11" x14ac:dyDescent="0.25">
      <c r="A1301" t="s">
        <v>2378</v>
      </c>
      <c r="B1301" t="s">
        <v>214</v>
      </c>
      <c r="I1301" t="s">
        <v>1636</v>
      </c>
      <c r="J1301" t="s">
        <v>253</v>
      </c>
      <c r="K1301" t="s">
        <v>2822</v>
      </c>
    </row>
    <row r="1302" spans="1:11" x14ac:dyDescent="0.25">
      <c r="A1302" t="s">
        <v>2369</v>
      </c>
      <c r="B1302" t="s">
        <v>214</v>
      </c>
      <c r="I1302" t="s">
        <v>1397</v>
      </c>
      <c r="J1302" t="s">
        <v>253</v>
      </c>
      <c r="K1302" t="s">
        <v>2822</v>
      </c>
    </row>
    <row r="1303" spans="1:11" x14ac:dyDescent="0.25">
      <c r="A1303" t="s">
        <v>1587</v>
      </c>
      <c r="B1303" t="s">
        <v>214</v>
      </c>
      <c r="C1303">
        <v>9.09</v>
      </c>
      <c r="I1303" t="s">
        <v>1658</v>
      </c>
      <c r="J1303" t="s">
        <v>253</v>
      </c>
      <c r="K1303" t="s">
        <v>2822</v>
      </c>
    </row>
    <row r="1304" spans="1:11" x14ac:dyDescent="0.25">
      <c r="A1304" t="s">
        <v>2293</v>
      </c>
      <c r="B1304" t="s">
        <v>214</v>
      </c>
      <c r="I1304" t="s">
        <v>1657</v>
      </c>
      <c r="J1304" t="s">
        <v>253</v>
      </c>
      <c r="K1304" t="s">
        <v>2822</v>
      </c>
    </row>
    <row r="1305" spans="1:11" x14ac:dyDescent="0.25">
      <c r="A1305" t="s">
        <v>1588</v>
      </c>
      <c r="B1305" t="s">
        <v>214</v>
      </c>
      <c r="I1305" t="s">
        <v>1660</v>
      </c>
      <c r="J1305" t="s">
        <v>253</v>
      </c>
      <c r="K1305" t="s">
        <v>2822</v>
      </c>
    </row>
    <row r="1306" spans="1:11" x14ac:dyDescent="0.25">
      <c r="A1306" t="s">
        <v>2281</v>
      </c>
      <c r="B1306" t="s">
        <v>214</v>
      </c>
      <c r="I1306" t="s">
        <v>2325</v>
      </c>
      <c r="J1306" t="s">
        <v>253</v>
      </c>
      <c r="K1306" t="s">
        <v>2822</v>
      </c>
    </row>
    <row r="1307" spans="1:11" x14ac:dyDescent="0.25">
      <c r="A1307" t="s">
        <v>1483</v>
      </c>
      <c r="B1307" t="s">
        <v>214</v>
      </c>
      <c r="I1307" t="s">
        <v>1662</v>
      </c>
      <c r="J1307" t="s">
        <v>253</v>
      </c>
      <c r="K1307" t="s">
        <v>2822</v>
      </c>
    </row>
    <row r="1308" spans="1:11" x14ac:dyDescent="0.25">
      <c r="A1308" t="s">
        <v>1485</v>
      </c>
      <c r="B1308" t="s">
        <v>214</v>
      </c>
      <c r="I1308" t="s">
        <v>2275</v>
      </c>
      <c r="J1308" t="s">
        <v>253</v>
      </c>
      <c r="K1308" t="s">
        <v>2822</v>
      </c>
    </row>
    <row r="1309" spans="1:11" x14ac:dyDescent="0.25">
      <c r="A1309" t="s">
        <v>1484</v>
      </c>
      <c r="B1309" t="s">
        <v>214</v>
      </c>
      <c r="C1309">
        <v>72.73</v>
      </c>
      <c r="I1309" t="s">
        <v>2453</v>
      </c>
      <c r="J1309" t="s">
        <v>253</v>
      </c>
      <c r="K1309" t="s">
        <v>2822</v>
      </c>
    </row>
    <row r="1310" spans="1:11" x14ac:dyDescent="0.25">
      <c r="A1310" t="s">
        <v>1436</v>
      </c>
      <c r="B1310" t="s">
        <v>214</v>
      </c>
      <c r="I1310" t="s">
        <v>2452</v>
      </c>
      <c r="J1310" t="s">
        <v>253</v>
      </c>
      <c r="K1310" t="s">
        <v>2822</v>
      </c>
    </row>
    <row r="1311" spans="1:11" x14ac:dyDescent="0.25">
      <c r="A1311" t="s">
        <v>1952</v>
      </c>
      <c r="B1311" t="s">
        <v>214</v>
      </c>
      <c r="I1311" t="s">
        <v>1727</v>
      </c>
      <c r="J1311" t="s">
        <v>253</v>
      </c>
      <c r="K1311" t="s">
        <v>2822</v>
      </c>
    </row>
    <row r="1312" spans="1:11" x14ac:dyDescent="0.25">
      <c r="A1312" t="s">
        <v>1947</v>
      </c>
      <c r="B1312" t="s">
        <v>214</v>
      </c>
      <c r="I1312" t="s">
        <v>2486</v>
      </c>
      <c r="J1312" t="s">
        <v>253</v>
      </c>
      <c r="K1312" t="s">
        <v>2822</v>
      </c>
    </row>
    <row r="1313" spans="1:11" x14ac:dyDescent="0.25">
      <c r="A1313" t="s">
        <v>1492</v>
      </c>
      <c r="B1313" t="s">
        <v>214</v>
      </c>
      <c r="I1313" t="s">
        <v>2147</v>
      </c>
      <c r="J1313" t="s">
        <v>253</v>
      </c>
      <c r="K1313" t="s">
        <v>2822</v>
      </c>
    </row>
    <row r="1314" spans="1:11" x14ac:dyDescent="0.25">
      <c r="A1314" t="s">
        <v>1126</v>
      </c>
      <c r="B1314" t="s">
        <v>214</v>
      </c>
      <c r="C1314">
        <v>2.1800000000000002</v>
      </c>
      <c r="I1314" t="s">
        <v>2191</v>
      </c>
      <c r="J1314" t="s">
        <v>253</v>
      </c>
      <c r="K1314" t="s">
        <v>2822</v>
      </c>
    </row>
    <row r="1315" spans="1:11" x14ac:dyDescent="0.25">
      <c r="A1315" t="s">
        <v>1544</v>
      </c>
      <c r="B1315" t="s">
        <v>214</v>
      </c>
      <c r="C1315">
        <v>18.18</v>
      </c>
      <c r="I1315" t="s">
        <v>2245</v>
      </c>
      <c r="J1315" t="s">
        <v>253</v>
      </c>
      <c r="K1315" t="s">
        <v>2822</v>
      </c>
    </row>
    <row r="1316" spans="1:11" x14ac:dyDescent="0.25">
      <c r="A1316" t="s">
        <v>1398</v>
      </c>
      <c r="B1316" t="s">
        <v>214</v>
      </c>
      <c r="C1316">
        <v>14.55</v>
      </c>
      <c r="I1316" t="s">
        <v>1739</v>
      </c>
      <c r="J1316" t="s">
        <v>253</v>
      </c>
      <c r="K1316" t="s">
        <v>2822</v>
      </c>
    </row>
    <row r="1317" spans="1:11" x14ac:dyDescent="0.25">
      <c r="A1317" t="s">
        <v>1539</v>
      </c>
      <c r="B1317" t="s">
        <v>214</v>
      </c>
      <c r="I1317" t="s">
        <v>1734</v>
      </c>
      <c r="J1317" t="s">
        <v>253</v>
      </c>
      <c r="K1317" t="s">
        <v>2822</v>
      </c>
    </row>
    <row r="1318" spans="1:11" x14ac:dyDescent="0.25">
      <c r="A1318" t="s">
        <v>2343</v>
      </c>
      <c r="B1318" t="s">
        <v>214</v>
      </c>
      <c r="I1318" t="s">
        <v>1736</v>
      </c>
      <c r="J1318" t="s">
        <v>253</v>
      </c>
      <c r="K1318" t="s">
        <v>2822</v>
      </c>
    </row>
    <row r="1319" spans="1:11" x14ac:dyDescent="0.25">
      <c r="A1319" t="s">
        <v>1780</v>
      </c>
      <c r="B1319" t="s">
        <v>214</v>
      </c>
      <c r="I1319" t="s">
        <v>1735</v>
      </c>
      <c r="J1319" t="s">
        <v>253</v>
      </c>
      <c r="K1319" t="s">
        <v>2822</v>
      </c>
    </row>
    <row r="1320" spans="1:11" x14ac:dyDescent="0.25">
      <c r="A1320" t="s">
        <v>1356</v>
      </c>
      <c r="B1320" t="s">
        <v>214</v>
      </c>
      <c r="C1320">
        <v>1.82</v>
      </c>
      <c r="I1320" t="s">
        <v>2496</v>
      </c>
      <c r="J1320" t="s">
        <v>253</v>
      </c>
      <c r="K1320" t="s">
        <v>2822</v>
      </c>
    </row>
    <row r="1321" spans="1:11" x14ac:dyDescent="0.25">
      <c r="A1321" t="s">
        <v>2268</v>
      </c>
      <c r="B1321" t="s">
        <v>214</v>
      </c>
      <c r="I1321" t="s">
        <v>1737</v>
      </c>
      <c r="J1321" t="s">
        <v>253</v>
      </c>
      <c r="K1321" t="s">
        <v>2822</v>
      </c>
    </row>
    <row r="1322" spans="1:11" x14ac:dyDescent="0.25">
      <c r="A1322" t="s">
        <v>1789</v>
      </c>
      <c r="B1322" t="s">
        <v>214</v>
      </c>
      <c r="C1322">
        <v>10.91</v>
      </c>
      <c r="I1322" t="s">
        <v>2584</v>
      </c>
      <c r="J1322" t="s">
        <v>253</v>
      </c>
      <c r="K1322" t="s">
        <v>2822</v>
      </c>
    </row>
    <row r="1323" spans="1:11" x14ac:dyDescent="0.25">
      <c r="A1323" t="s">
        <v>1779</v>
      </c>
      <c r="B1323" t="s">
        <v>214</v>
      </c>
      <c r="I1323" t="s">
        <v>2374</v>
      </c>
      <c r="J1323" t="s">
        <v>253</v>
      </c>
      <c r="K1323" t="s">
        <v>2822</v>
      </c>
    </row>
    <row r="1324" spans="1:11" x14ac:dyDescent="0.25">
      <c r="A1324" t="s">
        <v>1790</v>
      </c>
      <c r="B1324" t="s">
        <v>214</v>
      </c>
      <c r="C1324">
        <v>7.27</v>
      </c>
      <c r="I1324" t="s">
        <v>1457</v>
      </c>
      <c r="J1324" t="s">
        <v>253</v>
      </c>
      <c r="K1324" t="s">
        <v>2822</v>
      </c>
    </row>
    <row r="1325" spans="1:11" x14ac:dyDescent="0.25">
      <c r="A1325" t="s">
        <v>2291</v>
      </c>
      <c r="B1325" t="s">
        <v>214</v>
      </c>
      <c r="I1325" t="s">
        <v>2375</v>
      </c>
      <c r="J1325" t="s">
        <v>253</v>
      </c>
      <c r="K1325" t="s">
        <v>2822</v>
      </c>
    </row>
    <row r="1326" spans="1:11" x14ac:dyDescent="0.25">
      <c r="A1326" t="s">
        <v>2258</v>
      </c>
      <c r="B1326" t="s">
        <v>214</v>
      </c>
      <c r="I1326" t="s">
        <v>2250</v>
      </c>
      <c r="J1326" t="s">
        <v>253</v>
      </c>
      <c r="K1326" t="s">
        <v>2822</v>
      </c>
    </row>
    <row r="1327" spans="1:11" x14ac:dyDescent="0.25">
      <c r="A1327" t="s">
        <v>2294</v>
      </c>
      <c r="B1327" t="s">
        <v>214</v>
      </c>
      <c r="I1327" t="s">
        <v>2286</v>
      </c>
      <c r="J1327" t="s">
        <v>253</v>
      </c>
      <c r="K1327" t="s">
        <v>2822</v>
      </c>
    </row>
    <row r="1328" spans="1:11" x14ac:dyDescent="0.25">
      <c r="A1328" t="s">
        <v>1464</v>
      </c>
      <c r="B1328" t="s">
        <v>214</v>
      </c>
      <c r="C1328">
        <v>4</v>
      </c>
      <c r="I1328" t="s">
        <v>1843</v>
      </c>
      <c r="J1328" t="s">
        <v>253</v>
      </c>
      <c r="K1328" t="s">
        <v>2822</v>
      </c>
    </row>
    <row r="1329" spans="1:11" x14ac:dyDescent="0.25">
      <c r="A1329" t="s">
        <v>1717</v>
      </c>
      <c r="B1329" t="s">
        <v>214</v>
      </c>
      <c r="C1329">
        <v>21.82</v>
      </c>
      <c r="I1329" t="s">
        <v>2330</v>
      </c>
      <c r="J1329" t="s">
        <v>253</v>
      </c>
      <c r="K1329" t="s">
        <v>2822</v>
      </c>
    </row>
    <row r="1330" spans="1:11" x14ac:dyDescent="0.25">
      <c r="A1330" t="s">
        <v>2259</v>
      </c>
      <c r="B1330" t="s">
        <v>214</v>
      </c>
      <c r="I1330" t="s">
        <v>1733</v>
      </c>
      <c r="J1330" t="s">
        <v>253</v>
      </c>
      <c r="K1330" t="s">
        <v>2822</v>
      </c>
    </row>
    <row r="1331" spans="1:11" x14ac:dyDescent="0.25">
      <c r="A1331" t="s">
        <v>1806</v>
      </c>
      <c r="B1331" t="s">
        <v>214</v>
      </c>
      <c r="I1331" t="s">
        <v>1444</v>
      </c>
      <c r="J1331" t="s">
        <v>253</v>
      </c>
      <c r="K1331" t="s">
        <v>2822</v>
      </c>
    </row>
    <row r="1332" spans="1:11" x14ac:dyDescent="0.25">
      <c r="A1332" t="s">
        <v>2210</v>
      </c>
      <c r="B1332" t="s">
        <v>214</v>
      </c>
      <c r="I1332" t="s">
        <v>2199</v>
      </c>
      <c r="J1332" t="s">
        <v>253</v>
      </c>
      <c r="K1332" t="s">
        <v>2822</v>
      </c>
    </row>
    <row r="1333" spans="1:11" x14ac:dyDescent="0.25">
      <c r="A1333" t="s">
        <v>2256</v>
      </c>
      <c r="B1333" t="s">
        <v>214</v>
      </c>
      <c r="I1333" t="s">
        <v>1355</v>
      </c>
      <c r="J1333" t="s">
        <v>253</v>
      </c>
      <c r="K1333" t="s">
        <v>2822</v>
      </c>
    </row>
    <row r="1334" spans="1:11" x14ac:dyDescent="0.25">
      <c r="A1334" t="s">
        <v>1792</v>
      </c>
      <c r="B1334" t="s">
        <v>214</v>
      </c>
      <c r="I1334" t="s">
        <v>1450</v>
      </c>
      <c r="J1334" t="s">
        <v>253</v>
      </c>
      <c r="K1334" t="s">
        <v>2822</v>
      </c>
    </row>
    <row r="1335" spans="1:11" x14ac:dyDescent="0.25">
      <c r="A1335" t="s">
        <v>1945</v>
      </c>
      <c r="B1335" t="s">
        <v>214</v>
      </c>
      <c r="I1335" t="s">
        <v>1659</v>
      </c>
      <c r="J1335" t="s">
        <v>253</v>
      </c>
      <c r="K1335" t="s">
        <v>2822</v>
      </c>
    </row>
    <row r="1336" spans="1:11" x14ac:dyDescent="0.25">
      <c r="A1336" t="s">
        <v>1793</v>
      </c>
      <c r="B1336" t="s">
        <v>214</v>
      </c>
      <c r="I1336" t="s">
        <v>2284</v>
      </c>
      <c r="J1336" t="s">
        <v>253</v>
      </c>
      <c r="K1336" t="s">
        <v>2822</v>
      </c>
    </row>
    <row r="1337" spans="1:11" x14ac:dyDescent="0.25">
      <c r="A1337" t="s">
        <v>1454</v>
      </c>
      <c r="B1337" t="s">
        <v>214</v>
      </c>
      <c r="C1337">
        <v>5.45</v>
      </c>
      <c r="I1337" t="s">
        <v>1480</v>
      </c>
      <c r="J1337" t="s">
        <v>253</v>
      </c>
      <c r="K1337" t="s">
        <v>2822</v>
      </c>
    </row>
    <row r="1338" spans="1:11" x14ac:dyDescent="0.25">
      <c r="A1338" t="s">
        <v>1791</v>
      </c>
      <c r="B1338" t="s">
        <v>214</v>
      </c>
      <c r="I1338" t="s">
        <v>2585</v>
      </c>
      <c r="J1338" t="s">
        <v>253</v>
      </c>
      <c r="K1338" t="s">
        <v>2822</v>
      </c>
    </row>
    <row r="1339" spans="1:11" x14ac:dyDescent="0.25">
      <c r="A1339" t="s">
        <v>2279</v>
      </c>
      <c r="B1339" t="s">
        <v>214</v>
      </c>
      <c r="I1339" t="s">
        <v>1479</v>
      </c>
      <c r="J1339" t="s">
        <v>253</v>
      </c>
      <c r="K1339" t="s">
        <v>2822</v>
      </c>
    </row>
    <row r="1340" spans="1:11" x14ac:dyDescent="0.25">
      <c r="A1340" t="s">
        <v>1794</v>
      </c>
      <c r="B1340" t="s">
        <v>214</v>
      </c>
      <c r="I1340" t="s">
        <v>1478</v>
      </c>
      <c r="J1340" t="s">
        <v>253</v>
      </c>
      <c r="K1340" t="s">
        <v>2822</v>
      </c>
    </row>
    <row r="1341" spans="1:11" x14ac:dyDescent="0.25">
      <c r="A1341" t="s">
        <v>2345</v>
      </c>
      <c r="B1341" t="s">
        <v>214</v>
      </c>
      <c r="I1341" t="s">
        <v>2378</v>
      </c>
      <c r="J1341" t="s">
        <v>253</v>
      </c>
      <c r="K1341" t="s">
        <v>2822</v>
      </c>
    </row>
    <row r="1342" spans="1:11" x14ac:dyDescent="0.25">
      <c r="A1342" t="s">
        <v>2436</v>
      </c>
      <c r="B1342" t="s">
        <v>214</v>
      </c>
      <c r="C1342">
        <v>0</v>
      </c>
      <c r="I1342" t="s">
        <v>2369</v>
      </c>
      <c r="J1342" t="s">
        <v>253</v>
      </c>
      <c r="K1342" t="s">
        <v>2822</v>
      </c>
    </row>
    <row r="1343" spans="1:11" x14ac:dyDescent="0.25">
      <c r="A1343" t="s">
        <v>2439</v>
      </c>
      <c r="B1343" t="s">
        <v>214</v>
      </c>
      <c r="C1343">
        <v>0</v>
      </c>
      <c r="I1343" t="s">
        <v>1587</v>
      </c>
      <c r="J1343" t="s">
        <v>253</v>
      </c>
      <c r="K1343" t="s">
        <v>2822</v>
      </c>
    </row>
    <row r="1344" spans="1:11" x14ac:dyDescent="0.25">
      <c r="A1344" t="s">
        <v>2213</v>
      </c>
      <c r="B1344" t="s">
        <v>214</v>
      </c>
      <c r="I1344" t="s">
        <v>2293</v>
      </c>
      <c r="J1344" t="s">
        <v>253</v>
      </c>
      <c r="K1344" t="s">
        <v>2822</v>
      </c>
    </row>
    <row r="1345" spans="1:11" x14ac:dyDescent="0.25">
      <c r="A1345" t="s">
        <v>2246</v>
      </c>
      <c r="B1345" t="s">
        <v>214</v>
      </c>
      <c r="I1345" t="s">
        <v>1588</v>
      </c>
      <c r="J1345" t="s">
        <v>253</v>
      </c>
      <c r="K1345" t="s">
        <v>2822</v>
      </c>
    </row>
    <row r="1346" spans="1:11" x14ac:dyDescent="0.25">
      <c r="A1346" t="s">
        <v>2248</v>
      </c>
      <c r="B1346" t="s">
        <v>214</v>
      </c>
      <c r="I1346" t="s">
        <v>2281</v>
      </c>
      <c r="J1346" t="s">
        <v>253</v>
      </c>
      <c r="K1346" t="s">
        <v>2822</v>
      </c>
    </row>
    <row r="1347" spans="1:11" x14ac:dyDescent="0.25">
      <c r="A1347" t="s">
        <v>1494</v>
      </c>
      <c r="B1347" t="s">
        <v>214</v>
      </c>
      <c r="I1347" t="s">
        <v>1483</v>
      </c>
      <c r="J1347" t="s">
        <v>253</v>
      </c>
      <c r="K1347" t="s">
        <v>2822</v>
      </c>
    </row>
    <row r="1348" spans="1:11" x14ac:dyDescent="0.25">
      <c r="A1348" t="s">
        <v>1500</v>
      </c>
      <c r="B1348" t="s">
        <v>214</v>
      </c>
      <c r="C1348">
        <v>7.27</v>
      </c>
      <c r="I1348" t="s">
        <v>1485</v>
      </c>
      <c r="J1348" t="s">
        <v>253</v>
      </c>
      <c r="K1348" t="s">
        <v>2822</v>
      </c>
    </row>
    <row r="1349" spans="1:11" x14ac:dyDescent="0.25">
      <c r="A1349" t="s">
        <v>2505</v>
      </c>
      <c r="B1349" t="s">
        <v>214</v>
      </c>
      <c r="I1349" t="s">
        <v>1484</v>
      </c>
      <c r="J1349" t="s">
        <v>253</v>
      </c>
      <c r="K1349" t="s">
        <v>2822</v>
      </c>
    </row>
    <row r="1350" spans="1:11" x14ac:dyDescent="0.25">
      <c r="A1350" t="s">
        <v>2285</v>
      </c>
      <c r="B1350" t="s">
        <v>214</v>
      </c>
      <c r="I1350" t="s">
        <v>1436</v>
      </c>
      <c r="J1350" t="s">
        <v>253</v>
      </c>
      <c r="K1350" t="s">
        <v>2822</v>
      </c>
    </row>
    <row r="1351" spans="1:11" x14ac:dyDescent="0.25">
      <c r="A1351" t="s">
        <v>1448</v>
      </c>
      <c r="B1351" t="s">
        <v>214</v>
      </c>
      <c r="C1351">
        <v>7.27</v>
      </c>
      <c r="I1351" t="s">
        <v>1952</v>
      </c>
      <c r="J1351" t="s">
        <v>253</v>
      </c>
      <c r="K1351" t="s">
        <v>2822</v>
      </c>
    </row>
    <row r="1352" spans="1:11" x14ac:dyDescent="0.25">
      <c r="A1352" t="s">
        <v>2201</v>
      </c>
      <c r="B1352" t="s">
        <v>214</v>
      </c>
      <c r="I1352" t="s">
        <v>1947</v>
      </c>
      <c r="J1352" t="s">
        <v>253</v>
      </c>
      <c r="K1352" t="s">
        <v>2822</v>
      </c>
    </row>
    <row r="1353" spans="1:11" x14ac:dyDescent="0.25">
      <c r="A1353" t="s">
        <v>2437</v>
      </c>
      <c r="B1353" t="s">
        <v>214</v>
      </c>
      <c r="C1353">
        <v>0</v>
      </c>
      <c r="I1353" t="s">
        <v>1492</v>
      </c>
      <c r="J1353" t="s">
        <v>253</v>
      </c>
      <c r="K1353" t="s">
        <v>2822</v>
      </c>
    </row>
    <row r="1354" spans="1:11" x14ac:dyDescent="0.25">
      <c r="A1354" t="s">
        <v>2334</v>
      </c>
      <c r="B1354" t="s">
        <v>214</v>
      </c>
      <c r="I1354" t="s">
        <v>1126</v>
      </c>
      <c r="J1354" t="s">
        <v>253</v>
      </c>
      <c r="K1354" t="s">
        <v>2822</v>
      </c>
    </row>
    <row r="1355" spans="1:11" x14ac:dyDescent="0.25">
      <c r="A1355" t="s">
        <v>1805</v>
      </c>
      <c r="B1355" t="s">
        <v>214</v>
      </c>
      <c r="C1355">
        <v>36.36</v>
      </c>
      <c r="I1355" t="s">
        <v>1544</v>
      </c>
      <c r="J1355" t="s">
        <v>253</v>
      </c>
      <c r="K1355" t="s">
        <v>2822</v>
      </c>
    </row>
    <row r="1356" spans="1:11" x14ac:dyDescent="0.25">
      <c r="A1356" t="s">
        <v>2504</v>
      </c>
      <c r="B1356" t="s">
        <v>214</v>
      </c>
      <c r="I1356" t="s">
        <v>1398</v>
      </c>
      <c r="J1356" t="s">
        <v>253</v>
      </c>
      <c r="K1356" t="s">
        <v>2822</v>
      </c>
    </row>
    <row r="1357" spans="1:11" x14ac:dyDescent="0.25">
      <c r="A1357" t="s">
        <v>2142</v>
      </c>
      <c r="B1357" t="s">
        <v>214</v>
      </c>
      <c r="I1357" t="s">
        <v>1539</v>
      </c>
      <c r="J1357" t="s">
        <v>253</v>
      </c>
      <c r="K1357" t="s">
        <v>2822</v>
      </c>
    </row>
    <row r="1358" spans="1:11" x14ac:dyDescent="0.25">
      <c r="A1358" t="s">
        <v>2141</v>
      </c>
      <c r="B1358" t="s">
        <v>214</v>
      </c>
      <c r="I1358" t="s">
        <v>2343</v>
      </c>
      <c r="J1358" t="s">
        <v>253</v>
      </c>
      <c r="K1358" t="s">
        <v>2822</v>
      </c>
    </row>
    <row r="1359" spans="1:11" x14ac:dyDescent="0.25">
      <c r="A1359" t="s">
        <v>1742</v>
      </c>
      <c r="B1359" t="s">
        <v>214</v>
      </c>
      <c r="C1359">
        <v>4.3600000000000003</v>
      </c>
      <c r="I1359" t="s">
        <v>1780</v>
      </c>
      <c r="J1359" t="s">
        <v>253</v>
      </c>
      <c r="K1359" t="s">
        <v>2822</v>
      </c>
    </row>
    <row r="1360" spans="1:11" x14ac:dyDescent="0.25">
      <c r="A1360" t="s">
        <v>1743</v>
      </c>
      <c r="B1360" t="s">
        <v>214</v>
      </c>
      <c r="I1360" t="s">
        <v>1356</v>
      </c>
      <c r="J1360" t="s">
        <v>253</v>
      </c>
      <c r="K1360" t="s">
        <v>2822</v>
      </c>
    </row>
    <row r="1361" spans="1:11" x14ac:dyDescent="0.25">
      <c r="A1361" t="s">
        <v>1703</v>
      </c>
      <c r="B1361" t="s">
        <v>214</v>
      </c>
      <c r="I1361" t="s">
        <v>2268</v>
      </c>
      <c r="J1361" t="s">
        <v>253</v>
      </c>
      <c r="K1361" t="s">
        <v>2822</v>
      </c>
    </row>
    <row r="1362" spans="1:11" x14ac:dyDescent="0.25">
      <c r="A1362" t="s">
        <v>1452</v>
      </c>
      <c r="B1362" t="s">
        <v>214</v>
      </c>
      <c r="C1362">
        <v>2.91</v>
      </c>
      <c r="I1362" t="s">
        <v>1789</v>
      </c>
      <c r="J1362" t="s">
        <v>253</v>
      </c>
      <c r="K1362" t="s">
        <v>2822</v>
      </c>
    </row>
    <row r="1363" spans="1:11" x14ac:dyDescent="0.25">
      <c r="A1363" t="s">
        <v>1741</v>
      </c>
      <c r="B1363" t="s">
        <v>214</v>
      </c>
      <c r="C1363">
        <v>2.91</v>
      </c>
      <c r="I1363" t="s">
        <v>1779</v>
      </c>
      <c r="J1363" t="s">
        <v>253</v>
      </c>
      <c r="K1363" t="s">
        <v>2822</v>
      </c>
    </row>
    <row r="1364" spans="1:11" x14ac:dyDescent="0.25">
      <c r="A1364" t="s">
        <v>2497</v>
      </c>
      <c r="B1364" t="s">
        <v>214</v>
      </c>
      <c r="I1364" t="s">
        <v>1790</v>
      </c>
      <c r="J1364" t="s">
        <v>253</v>
      </c>
      <c r="K1364" t="s">
        <v>2822</v>
      </c>
    </row>
    <row r="1365" spans="1:11" x14ac:dyDescent="0.25">
      <c r="A1365" t="s">
        <v>1668</v>
      </c>
      <c r="B1365" t="s">
        <v>214</v>
      </c>
      <c r="C1365">
        <v>1.82</v>
      </c>
      <c r="I1365" t="s">
        <v>2291</v>
      </c>
      <c r="J1365" t="s">
        <v>253</v>
      </c>
      <c r="K1365" t="s">
        <v>2822</v>
      </c>
    </row>
    <row r="1366" spans="1:11" x14ac:dyDescent="0.25">
      <c r="A1366" t="s">
        <v>2257</v>
      </c>
      <c r="B1366" t="s">
        <v>214</v>
      </c>
      <c r="I1366" t="s">
        <v>2258</v>
      </c>
      <c r="J1366" t="s">
        <v>253</v>
      </c>
      <c r="K1366" t="s">
        <v>2822</v>
      </c>
    </row>
    <row r="1367" spans="1:11" x14ac:dyDescent="0.25">
      <c r="A1367" t="s">
        <v>1669</v>
      </c>
      <c r="B1367" t="s">
        <v>214</v>
      </c>
      <c r="C1367">
        <v>12.73</v>
      </c>
      <c r="I1367" t="s">
        <v>2294</v>
      </c>
      <c r="J1367" t="s">
        <v>253</v>
      </c>
      <c r="K1367" t="s">
        <v>2822</v>
      </c>
    </row>
    <row r="1368" spans="1:11" x14ac:dyDescent="0.25">
      <c r="A1368" t="s">
        <v>1514</v>
      </c>
      <c r="B1368" t="s">
        <v>214</v>
      </c>
      <c r="I1368" t="s">
        <v>1464</v>
      </c>
      <c r="J1368" t="s">
        <v>253</v>
      </c>
      <c r="K1368" t="s">
        <v>2822</v>
      </c>
    </row>
    <row r="1369" spans="1:11" x14ac:dyDescent="0.25">
      <c r="A1369" t="s">
        <v>1127</v>
      </c>
      <c r="B1369" t="s">
        <v>214</v>
      </c>
      <c r="C1369">
        <v>0</v>
      </c>
      <c r="I1369" t="s">
        <v>1717</v>
      </c>
      <c r="J1369" t="s">
        <v>253</v>
      </c>
      <c r="K1369" t="s">
        <v>2822</v>
      </c>
    </row>
    <row r="1370" spans="1:11" x14ac:dyDescent="0.25">
      <c r="A1370" t="s">
        <v>1128</v>
      </c>
      <c r="B1370" t="s">
        <v>214</v>
      </c>
      <c r="C1370">
        <v>21.82</v>
      </c>
      <c r="I1370" t="s">
        <v>2259</v>
      </c>
      <c r="J1370" t="s">
        <v>253</v>
      </c>
      <c r="K1370" t="s">
        <v>2822</v>
      </c>
    </row>
    <row r="1371" spans="1:11" x14ac:dyDescent="0.25">
      <c r="A1371" t="s">
        <v>1605</v>
      </c>
      <c r="B1371" t="s">
        <v>214</v>
      </c>
      <c r="C1371">
        <v>0.36</v>
      </c>
      <c r="I1371" t="s">
        <v>1806</v>
      </c>
      <c r="J1371" t="s">
        <v>253</v>
      </c>
      <c r="K1371" t="s">
        <v>2822</v>
      </c>
    </row>
    <row r="1372" spans="1:11" x14ac:dyDescent="0.25">
      <c r="A1372" t="s">
        <v>1604</v>
      </c>
      <c r="B1372" t="s">
        <v>214</v>
      </c>
      <c r="C1372">
        <v>0.36</v>
      </c>
      <c r="I1372" t="s">
        <v>2210</v>
      </c>
      <c r="J1372" t="s">
        <v>253</v>
      </c>
      <c r="K1372" t="s">
        <v>2822</v>
      </c>
    </row>
    <row r="1373" spans="1:11" x14ac:dyDescent="0.25">
      <c r="A1373" t="s">
        <v>1602</v>
      </c>
      <c r="B1373" t="s">
        <v>214</v>
      </c>
      <c r="C1373">
        <v>0.36</v>
      </c>
      <c r="I1373" t="s">
        <v>2256</v>
      </c>
      <c r="J1373" t="s">
        <v>253</v>
      </c>
      <c r="K1373" t="s">
        <v>2822</v>
      </c>
    </row>
    <row r="1374" spans="1:11" x14ac:dyDescent="0.25">
      <c r="A1374" t="s">
        <v>1603</v>
      </c>
      <c r="B1374" t="s">
        <v>214</v>
      </c>
      <c r="C1374">
        <v>0.36</v>
      </c>
      <c r="I1374" t="s">
        <v>1792</v>
      </c>
      <c r="J1374" t="s">
        <v>253</v>
      </c>
      <c r="K1374" t="s">
        <v>2822</v>
      </c>
    </row>
    <row r="1375" spans="1:11" x14ac:dyDescent="0.25">
      <c r="A1375" t="s">
        <v>1458</v>
      </c>
      <c r="B1375" t="s">
        <v>214</v>
      </c>
      <c r="I1375" t="s">
        <v>1945</v>
      </c>
      <c r="J1375" t="s">
        <v>253</v>
      </c>
      <c r="K1375" t="s">
        <v>2822</v>
      </c>
    </row>
    <row r="1376" spans="1:11" x14ac:dyDescent="0.25">
      <c r="A1376" t="s">
        <v>2043</v>
      </c>
      <c r="B1376" t="s">
        <v>214</v>
      </c>
      <c r="I1376" t="s">
        <v>1793</v>
      </c>
      <c r="J1376" t="s">
        <v>253</v>
      </c>
      <c r="K1376" t="s">
        <v>2822</v>
      </c>
    </row>
    <row r="1377" spans="1:11" x14ac:dyDescent="0.25">
      <c r="A1377" t="s">
        <v>2112</v>
      </c>
      <c r="B1377" t="s">
        <v>214</v>
      </c>
      <c r="I1377" t="s">
        <v>1454</v>
      </c>
      <c r="J1377" t="s">
        <v>253</v>
      </c>
      <c r="K1377" t="s">
        <v>2822</v>
      </c>
    </row>
    <row r="1378" spans="1:11" x14ac:dyDescent="0.25">
      <c r="A1378" t="s">
        <v>2586</v>
      </c>
      <c r="B1378" t="s">
        <v>214</v>
      </c>
      <c r="I1378" t="s">
        <v>1791</v>
      </c>
      <c r="J1378" t="s">
        <v>253</v>
      </c>
      <c r="K1378" t="s">
        <v>2822</v>
      </c>
    </row>
    <row r="1379" spans="1:11" x14ac:dyDescent="0.25">
      <c r="A1379" t="s">
        <v>2093</v>
      </c>
      <c r="B1379" t="s">
        <v>214</v>
      </c>
      <c r="I1379" t="s">
        <v>2279</v>
      </c>
      <c r="J1379" t="s">
        <v>253</v>
      </c>
      <c r="K1379" t="s">
        <v>2822</v>
      </c>
    </row>
    <row r="1380" spans="1:11" x14ac:dyDescent="0.25">
      <c r="A1380" t="s">
        <v>2261</v>
      </c>
      <c r="B1380" t="s">
        <v>214</v>
      </c>
      <c r="I1380" t="s">
        <v>1794</v>
      </c>
      <c r="J1380" t="s">
        <v>253</v>
      </c>
      <c r="K1380" t="s">
        <v>2822</v>
      </c>
    </row>
    <row r="1381" spans="1:11" x14ac:dyDescent="0.25">
      <c r="A1381" t="s">
        <v>2262</v>
      </c>
      <c r="B1381" t="s">
        <v>214</v>
      </c>
      <c r="I1381" t="s">
        <v>2345</v>
      </c>
      <c r="J1381" t="s">
        <v>253</v>
      </c>
      <c r="K1381" t="s">
        <v>2822</v>
      </c>
    </row>
    <row r="1382" spans="1:11" x14ac:dyDescent="0.25">
      <c r="A1382" t="s">
        <v>2042</v>
      </c>
      <c r="B1382" t="s">
        <v>214</v>
      </c>
      <c r="I1382" t="s">
        <v>2436</v>
      </c>
      <c r="J1382" t="s">
        <v>253</v>
      </c>
      <c r="K1382" t="s">
        <v>2822</v>
      </c>
    </row>
    <row r="1383" spans="1:11" x14ac:dyDescent="0.25">
      <c r="A1383" t="s">
        <v>2190</v>
      </c>
      <c r="B1383" t="s">
        <v>214</v>
      </c>
      <c r="I1383" t="s">
        <v>2439</v>
      </c>
      <c r="J1383" t="s">
        <v>253</v>
      </c>
      <c r="K1383" t="s">
        <v>2822</v>
      </c>
    </row>
    <row r="1384" spans="1:11" x14ac:dyDescent="0.25">
      <c r="A1384" t="s">
        <v>2260</v>
      </c>
      <c r="B1384" t="s">
        <v>214</v>
      </c>
      <c r="I1384" t="s">
        <v>2213</v>
      </c>
      <c r="J1384" t="s">
        <v>253</v>
      </c>
      <c r="K1384" t="s">
        <v>2822</v>
      </c>
    </row>
    <row r="1385" spans="1:11" x14ac:dyDescent="0.25">
      <c r="A1385" t="s">
        <v>2070</v>
      </c>
      <c r="B1385" t="s">
        <v>214</v>
      </c>
      <c r="I1385" t="s">
        <v>2246</v>
      </c>
      <c r="J1385" t="s">
        <v>253</v>
      </c>
      <c r="K1385" t="s">
        <v>2822</v>
      </c>
    </row>
    <row r="1386" spans="1:11" x14ac:dyDescent="0.25">
      <c r="A1386" t="s">
        <v>2587</v>
      </c>
      <c r="B1386" t="s">
        <v>253</v>
      </c>
      <c r="I1386" t="s">
        <v>2248</v>
      </c>
      <c r="J1386" t="s">
        <v>253</v>
      </c>
      <c r="K1386" t="s">
        <v>2822</v>
      </c>
    </row>
    <row r="1387" spans="1:11" x14ac:dyDescent="0.25">
      <c r="A1387" t="s">
        <v>1038</v>
      </c>
      <c r="B1387" t="s">
        <v>214</v>
      </c>
      <c r="C1387">
        <v>0</v>
      </c>
      <c r="I1387" t="s">
        <v>1494</v>
      </c>
      <c r="J1387" t="s">
        <v>253</v>
      </c>
      <c r="K1387" t="s">
        <v>2822</v>
      </c>
    </row>
    <row r="1388" spans="1:11" x14ac:dyDescent="0.25">
      <c r="A1388" t="s">
        <v>1117</v>
      </c>
      <c r="B1388" t="s">
        <v>214</v>
      </c>
      <c r="C1388">
        <v>0</v>
      </c>
      <c r="I1388" t="s">
        <v>1500</v>
      </c>
      <c r="J1388" t="s">
        <v>253</v>
      </c>
      <c r="K1388" t="s">
        <v>2822</v>
      </c>
    </row>
    <row r="1389" spans="1:11" x14ac:dyDescent="0.25">
      <c r="A1389" t="s">
        <v>938</v>
      </c>
      <c r="B1389" t="s">
        <v>214</v>
      </c>
      <c r="C1389">
        <v>0</v>
      </c>
      <c r="I1389" t="s">
        <v>2505</v>
      </c>
      <c r="J1389" t="s">
        <v>253</v>
      </c>
      <c r="K1389" t="s">
        <v>2822</v>
      </c>
    </row>
    <row r="1390" spans="1:11" x14ac:dyDescent="0.25">
      <c r="A1390" t="s">
        <v>1917</v>
      </c>
      <c r="B1390" t="s">
        <v>214</v>
      </c>
      <c r="I1390" t="s">
        <v>2285</v>
      </c>
      <c r="J1390" t="s">
        <v>253</v>
      </c>
      <c r="K1390" t="s">
        <v>2822</v>
      </c>
    </row>
    <row r="1391" spans="1:11" x14ac:dyDescent="0.25">
      <c r="A1391" t="s">
        <v>1918</v>
      </c>
      <c r="B1391" t="s">
        <v>214</v>
      </c>
      <c r="I1391" t="s">
        <v>1448</v>
      </c>
      <c r="J1391" t="s">
        <v>253</v>
      </c>
      <c r="K1391" t="s">
        <v>2822</v>
      </c>
    </row>
    <row r="1392" spans="1:11" x14ac:dyDescent="0.25">
      <c r="A1392" t="s">
        <v>1916</v>
      </c>
      <c r="B1392" t="s">
        <v>214</v>
      </c>
      <c r="I1392" t="s">
        <v>2201</v>
      </c>
      <c r="J1392" t="s">
        <v>253</v>
      </c>
      <c r="K1392" t="s">
        <v>2822</v>
      </c>
    </row>
    <row r="1393" spans="1:11" x14ac:dyDescent="0.25">
      <c r="A1393" t="s">
        <v>1919</v>
      </c>
      <c r="B1393" t="s">
        <v>214</v>
      </c>
      <c r="I1393" t="s">
        <v>2437</v>
      </c>
      <c r="J1393" t="s">
        <v>253</v>
      </c>
      <c r="K1393" t="s">
        <v>2822</v>
      </c>
    </row>
    <row r="1394" spans="1:11" x14ac:dyDescent="0.25">
      <c r="A1394" t="s">
        <v>1915</v>
      </c>
      <c r="B1394" t="s">
        <v>214</v>
      </c>
      <c r="I1394" t="s">
        <v>2334</v>
      </c>
      <c r="J1394" t="s">
        <v>253</v>
      </c>
      <c r="K1394" t="s">
        <v>2822</v>
      </c>
    </row>
    <row r="1395" spans="1:11" x14ac:dyDescent="0.25">
      <c r="A1395" t="s">
        <v>2561</v>
      </c>
      <c r="B1395" t="s">
        <v>214</v>
      </c>
      <c r="I1395" t="s">
        <v>1805</v>
      </c>
      <c r="J1395" t="s">
        <v>253</v>
      </c>
      <c r="K1395" t="s">
        <v>2822</v>
      </c>
    </row>
    <row r="1396" spans="1:11" x14ac:dyDescent="0.25">
      <c r="A1396" t="s">
        <v>999</v>
      </c>
      <c r="B1396" t="s">
        <v>214</v>
      </c>
      <c r="C1396">
        <v>3.76</v>
      </c>
      <c r="I1396" t="s">
        <v>2504</v>
      </c>
      <c r="J1396" t="s">
        <v>253</v>
      </c>
      <c r="K1396" t="s">
        <v>2822</v>
      </c>
    </row>
    <row r="1397" spans="1:11" x14ac:dyDescent="0.25">
      <c r="A1397" t="s">
        <v>997</v>
      </c>
      <c r="B1397" t="s">
        <v>214</v>
      </c>
      <c r="C1397">
        <v>2.35</v>
      </c>
      <c r="I1397" t="s">
        <v>2142</v>
      </c>
      <c r="J1397" t="s">
        <v>253</v>
      </c>
      <c r="K1397" t="s">
        <v>2822</v>
      </c>
    </row>
    <row r="1398" spans="1:11" x14ac:dyDescent="0.25">
      <c r="A1398" t="s">
        <v>968</v>
      </c>
      <c r="B1398" t="s">
        <v>214</v>
      </c>
      <c r="C1398">
        <v>0</v>
      </c>
      <c r="I1398" t="s">
        <v>2141</v>
      </c>
      <c r="J1398" t="s">
        <v>253</v>
      </c>
      <c r="K1398" t="s">
        <v>2822</v>
      </c>
    </row>
    <row r="1399" spans="1:11" x14ac:dyDescent="0.25">
      <c r="A1399" t="s">
        <v>942</v>
      </c>
      <c r="B1399" t="s">
        <v>214</v>
      </c>
      <c r="C1399">
        <v>0</v>
      </c>
      <c r="I1399" t="s">
        <v>1742</v>
      </c>
      <c r="J1399" t="s">
        <v>253</v>
      </c>
      <c r="K1399" t="s">
        <v>2822</v>
      </c>
    </row>
    <row r="1400" spans="1:11" x14ac:dyDescent="0.25">
      <c r="A1400" t="s">
        <v>1051</v>
      </c>
      <c r="B1400" t="s">
        <v>214</v>
      </c>
      <c r="C1400">
        <v>0</v>
      </c>
      <c r="I1400" t="s">
        <v>1743</v>
      </c>
      <c r="J1400" t="s">
        <v>253</v>
      </c>
      <c r="K1400" t="s">
        <v>2822</v>
      </c>
    </row>
    <row r="1401" spans="1:11" x14ac:dyDescent="0.25">
      <c r="A1401" t="s">
        <v>1047</v>
      </c>
      <c r="B1401" t="s">
        <v>214</v>
      </c>
      <c r="C1401">
        <v>0</v>
      </c>
      <c r="I1401" t="s">
        <v>1703</v>
      </c>
      <c r="J1401" t="s">
        <v>253</v>
      </c>
      <c r="K1401" t="s">
        <v>2822</v>
      </c>
    </row>
    <row r="1402" spans="1:11" x14ac:dyDescent="0.25">
      <c r="A1402" t="s">
        <v>18</v>
      </c>
      <c r="B1402" t="s">
        <v>214</v>
      </c>
      <c r="C1402">
        <v>4</v>
      </c>
      <c r="I1402" t="s">
        <v>1452</v>
      </c>
      <c r="J1402" t="s">
        <v>253</v>
      </c>
      <c r="K1402" t="s">
        <v>2822</v>
      </c>
    </row>
    <row r="1403" spans="1:11" x14ac:dyDescent="0.25">
      <c r="A1403" t="s">
        <v>215</v>
      </c>
      <c r="B1403" t="s">
        <v>214</v>
      </c>
      <c r="C1403">
        <v>0</v>
      </c>
      <c r="I1403" t="s">
        <v>1741</v>
      </c>
      <c r="J1403" t="s">
        <v>253</v>
      </c>
      <c r="K1403" t="s">
        <v>2822</v>
      </c>
    </row>
    <row r="1404" spans="1:11" x14ac:dyDescent="0.25">
      <c r="A1404" t="s">
        <v>216</v>
      </c>
      <c r="B1404" t="s">
        <v>214</v>
      </c>
      <c r="C1404">
        <v>0</v>
      </c>
      <c r="I1404" t="s">
        <v>2497</v>
      </c>
      <c r="J1404" t="s">
        <v>253</v>
      </c>
      <c r="K1404" t="s">
        <v>2822</v>
      </c>
    </row>
    <row r="1405" spans="1:11" x14ac:dyDescent="0.25">
      <c r="A1405" t="s">
        <v>20</v>
      </c>
      <c r="B1405" t="s">
        <v>214</v>
      </c>
      <c r="C1405">
        <v>0</v>
      </c>
      <c r="I1405" t="s">
        <v>1668</v>
      </c>
      <c r="J1405" t="s">
        <v>253</v>
      </c>
      <c r="K1405" t="s">
        <v>2822</v>
      </c>
    </row>
    <row r="1406" spans="1:11" x14ac:dyDescent="0.25">
      <c r="A1406" t="s">
        <v>21</v>
      </c>
      <c r="B1406" t="s">
        <v>214</v>
      </c>
      <c r="C1406">
        <v>1.6</v>
      </c>
      <c r="I1406" t="s">
        <v>2257</v>
      </c>
      <c r="J1406" t="s">
        <v>253</v>
      </c>
      <c r="K1406" t="s">
        <v>2822</v>
      </c>
    </row>
    <row r="1407" spans="1:11" x14ac:dyDescent="0.25">
      <c r="A1407" t="s">
        <v>248</v>
      </c>
      <c r="B1407" t="s">
        <v>214</v>
      </c>
      <c r="C1407">
        <v>0</v>
      </c>
      <c r="I1407" t="s">
        <v>1669</v>
      </c>
      <c r="J1407" t="s">
        <v>253</v>
      </c>
      <c r="K1407" t="s">
        <v>2822</v>
      </c>
    </row>
    <row r="1408" spans="1:11" x14ac:dyDescent="0.25">
      <c r="A1408" t="s">
        <v>19</v>
      </c>
      <c r="B1408" t="s">
        <v>214</v>
      </c>
      <c r="C1408">
        <v>0.8</v>
      </c>
      <c r="I1408" t="s">
        <v>1867</v>
      </c>
      <c r="J1408" t="s">
        <v>253</v>
      </c>
      <c r="K1408" t="s">
        <v>2822</v>
      </c>
    </row>
    <row r="1409" spans="1:11" x14ac:dyDescent="0.25">
      <c r="A1409" t="s">
        <v>256</v>
      </c>
      <c r="B1409" t="s">
        <v>214</v>
      </c>
      <c r="C1409">
        <v>0</v>
      </c>
      <c r="I1409" t="s">
        <v>1514</v>
      </c>
      <c r="J1409" t="s">
        <v>253</v>
      </c>
      <c r="K1409" t="s">
        <v>2822</v>
      </c>
    </row>
    <row r="1410" spans="1:11" x14ac:dyDescent="0.25">
      <c r="A1410" t="s">
        <v>223</v>
      </c>
      <c r="B1410" t="s">
        <v>214</v>
      </c>
      <c r="C1410">
        <v>1.2</v>
      </c>
      <c r="I1410" t="s">
        <v>1127</v>
      </c>
      <c r="J1410" t="s">
        <v>253</v>
      </c>
      <c r="K1410" t="s">
        <v>2822</v>
      </c>
    </row>
    <row r="1411" spans="1:11" x14ac:dyDescent="0.25">
      <c r="A1411" t="s">
        <v>24</v>
      </c>
      <c r="B1411" t="s">
        <v>214</v>
      </c>
      <c r="C1411">
        <v>1.6</v>
      </c>
      <c r="I1411" t="s">
        <v>1128</v>
      </c>
      <c r="J1411" t="s">
        <v>253</v>
      </c>
      <c r="K1411" t="s">
        <v>2822</v>
      </c>
    </row>
    <row r="1412" spans="1:11" x14ac:dyDescent="0.25">
      <c r="A1412" t="s">
        <v>26</v>
      </c>
      <c r="B1412" t="s">
        <v>214</v>
      </c>
      <c r="C1412">
        <v>0.8</v>
      </c>
      <c r="I1412" t="s">
        <v>1605</v>
      </c>
      <c r="J1412" t="s">
        <v>253</v>
      </c>
      <c r="K1412" t="s">
        <v>2822</v>
      </c>
    </row>
    <row r="1413" spans="1:11" x14ac:dyDescent="0.25">
      <c r="A1413" t="s">
        <v>27</v>
      </c>
      <c r="B1413" t="s">
        <v>214</v>
      </c>
      <c r="C1413">
        <v>0.8</v>
      </c>
      <c r="I1413" t="s">
        <v>1604</v>
      </c>
      <c r="J1413" t="s">
        <v>253</v>
      </c>
      <c r="K1413" t="s">
        <v>2822</v>
      </c>
    </row>
    <row r="1414" spans="1:11" x14ac:dyDescent="0.25">
      <c r="A1414" t="s">
        <v>16</v>
      </c>
      <c r="B1414" t="s">
        <v>214</v>
      </c>
      <c r="C1414">
        <v>0</v>
      </c>
      <c r="I1414" t="s">
        <v>1602</v>
      </c>
      <c r="J1414" t="s">
        <v>253</v>
      </c>
      <c r="K1414" t="s">
        <v>2822</v>
      </c>
    </row>
    <row r="1415" spans="1:11" x14ac:dyDescent="0.25">
      <c r="A1415" t="s">
        <v>22</v>
      </c>
      <c r="B1415" t="s">
        <v>214</v>
      </c>
      <c r="C1415">
        <v>1.2</v>
      </c>
      <c r="I1415" t="s">
        <v>1603</v>
      </c>
      <c r="J1415" t="s">
        <v>253</v>
      </c>
      <c r="K1415" t="s">
        <v>2822</v>
      </c>
    </row>
    <row r="1416" spans="1:11" x14ac:dyDescent="0.25">
      <c r="A1416" t="s">
        <v>23</v>
      </c>
      <c r="B1416" t="s">
        <v>214</v>
      </c>
      <c r="C1416">
        <v>1.6</v>
      </c>
      <c r="I1416" t="s">
        <v>1458</v>
      </c>
      <c r="J1416" t="s">
        <v>253</v>
      </c>
      <c r="K1416" t="s">
        <v>2822</v>
      </c>
    </row>
    <row r="1417" spans="1:11" x14ac:dyDescent="0.25">
      <c r="A1417" t="s">
        <v>224</v>
      </c>
      <c r="B1417" t="s">
        <v>214</v>
      </c>
      <c r="C1417">
        <v>0.8</v>
      </c>
      <c r="I1417" t="s">
        <v>2043</v>
      </c>
      <c r="J1417" t="s">
        <v>253</v>
      </c>
      <c r="K1417" t="s">
        <v>2822</v>
      </c>
    </row>
    <row r="1418" spans="1:11" x14ac:dyDescent="0.25">
      <c r="A1418" t="s">
        <v>218</v>
      </c>
      <c r="B1418" t="s">
        <v>214</v>
      </c>
      <c r="C1418">
        <v>0</v>
      </c>
      <c r="I1418" t="s">
        <v>2112</v>
      </c>
      <c r="J1418" t="s">
        <v>253</v>
      </c>
      <c r="K1418" t="s">
        <v>2822</v>
      </c>
    </row>
    <row r="1419" spans="1:11" x14ac:dyDescent="0.25">
      <c r="A1419" t="s">
        <v>29</v>
      </c>
      <c r="B1419" t="s">
        <v>214</v>
      </c>
      <c r="C1419">
        <v>2</v>
      </c>
      <c r="I1419" t="s">
        <v>2586</v>
      </c>
      <c r="J1419" t="s">
        <v>253</v>
      </c>
      <c r="K1419" t="s">
        <v>2822</v>
      </c>
    </row>
    <row r="1420" spans="1:11" x14ac:dyDescent="0.25">
      <c r="A1420" t="s">
        <v>225</v>
      </c>
      <c r="B1420" t="s">
        <v>214</v>
      </c>
      <c r="C1420">
        <v>1.2</v>
      </c>
      <c r="I1420" t="s">
        <v>2093</v>
      </c>
      <c r="J1420" t="s">
        <v>253</v>
      </c>
      <c r="K1420" t="s">
        <v>2822</v>
      </c>
    </row>
    <row r="1421" spans="1:11" x14ac:dyDescent="0.25">
      <c r="A1421" t="s">
        <v>217</v>
      </c>
      <c r="B1421" t="s">
        <v>214</v>
      </c>
      <c r="C1421">
        <v>0</v>
      </c>
      <c r="I1421" t="s">
        <v>2261</v>
      </c>
      <c r="J1421" t="s">
        <v>253</v>
      </c>
      <c r="K1421" t="s">
        <v>2822</v>
      </c>
    </row>
    <row r="1422" spans="1:11" x14ac:dyDescent="0.25">
      <c r="A1422" t="s">
        <v>226</v>
      </c>
      <c r="B1422" t="s">
        <v>214</v>
      </c>
      <c r="C1422">
        <v>0</v>
      </c>
      <c r="I1422" t="s">
        <v>2262</v>
      </c>
      <c r="J1422" t="s">
        <v>253</v>
      </c>
      <c r="K1422" t="s">
        <v>2822</v>
      </c>
    </row>
    <row r="1423" spans="1:11" x14ac:dyDescent="0.25">
      <c r="A1423" t="s">
        <v>30</v>
      </c>
      <c r="B1423" t="s">
        <v>214</v>
      </c>
      <c r="C1423">
        <v>2</v>
      </c>
      <c r="I1423" t="s">
        <v>2042</v>
      </c>
      <c r="J1423" t="s">
        <v>253</v>
      </c>
      <c r="K1423" t="s">
        <v>2822</v>
      </c>
    </row>
    <row r="1424" spans="1:11" x14ac:dyDescent="0.25">
      <c r="A1424" t="s">
        <v>219</v>
      </c>
      <c r="B1424" t="s">
        <v>214</v>
      </c>
      <c r="C1424">
        <v>0.8</v>
      </c>
      <c r="I1424" t="s">
        <v>2190</v>
      </c>
      <c r="J1424" t="s">
        <v>253</v>
      </c>
      <c r="K1424" t="s">
        <v>2822</v>
      </c>
    </row>
    <row r="1425" spans="1:11" x14ac:dyDescent="0.25">
      <c r="A1425" t="s">
        <v>1050</v>
      </c>
      <c r="B1425" t="s">
        <v>214</v>
      </c>
      <c r="C1425">
        <v>0</v>
      </c>
      <c r="I1425" t="s">
        <v>2260</v>
      </c>
      <c r="J1425" t="s">
        <v>253</v>
      </c>
      <c r="K1425" t="s">
        <v>2822</v>
      </c>
    </row>
    <row r="1426" spans="1:11" x14ac:dyDescent="0.25">
      <c r="A1426" t="s">
        <v>998</v>
      </c>
      <c r="B1426" t="s">
        <v>214</v>
      </c>
      <c r="C1426">
        <v>3.29</v>
      </c>
      <c r="I1426" t="s">
        <v>2070</v>
      </c>
      <c r="J1426" t="s">
        <v>253</v>
      </c>
      <c r="K1426" t="s">
        <v>2822</v>
      </c>
    </row>
    <row r="1427" spans="1:11" x14ac:dyDescent="0.25">
      <c r="A1427" t="s">
        <v>25</v>
      </c>
      <c r="B1427" t="s">
        <v>214</v>
      </c>
      <c r="C1427">
        <v>0</v>
      </c>
      <c r="I1427" t="s">
        <v>2587</v>
      </c>
      <c r="J1427" t="s">
        <v>253</v>
      </c>
      <c r="K1427" t="s">
        <v>2822</v>
      </c>
    </row>
    <row r="1428" spans="1:11" x14ac:dyDescent="0.25">
      <c r="A1428" t="s">
        <v>1000</v>
      </c>
      <c r="B1428" t="s">
        <v>214</v>
      </c>
      <c r="C1428">
        <v>0</v>
      </c>
      <c r="I1428" t="s">
        <v>1921</v>
      </c>
      <c r="J1428" t="s">
        <v>253</v>
      </c>
      <c r="K1428" t="s">
        <v>2822</v>
      </c>
    </row>
    <row r="1429" spans="1:11" x14ac:dyDescent="0.25">
      <c r="A1429" t="s">
        <v>1048</v>
      </c>
      <c r="B1429" t="s">
        <v>214</v>
      </c>
      <c r="C1429">
        <v>0.94</v>
      </c>
      <c r="I1429" t="s">
        <v>1038</v>
      </c>
      <c r="J1429" t="s">
        <v>253</v>
      </c>
      <c r="K1429" t="s">
        <v>2822</v>
      </c>
    </row>
    <row r="1430" spans="1:11" x14ac:dyDescent="0.25">
      <c r="A1430" t="s">
        <v>1052</v>
      </c>
      <c r="B1430" t="s">
        <v>214</v>
      </c>
      <c r="C1430">
        <v>0</v>
      </c>
      <c r="I1430" t="s">
        <v>1117</v>
      </c>
      <c r="J1430" t="s">
        <v>253</v>
      </c>
      <c r="K1430" t="s">
        <v>2822</v>
      </c>
    </row>
    <row r="1431" spans="1:11" x14ac:dyDescent="0.25">
      <c r="A1431" t="s">
        <v>1049</v>
      </c>
      <c r="B1431" t="s">
        <v>214</v>
      </c>
      <c r="C1431">
        <v>6.12</v>
      </c>
      <c r="I1431" t="s">
        <v>938</v>
      </c>
      <c r="J1431" t="s">
        <v>253</v>
      </c>
      <c r="K1431" t="s">
        <v>2822</v>
      </c>
    </row>
    <row r="1432" spans="1:11" x14ac:dyDescent="0.25">
      <c r="A1432" t="s">
        <v>963</v>
      </c>
      <c r="B1432" t="s">
        <v>214</v>
      </c>
      <c r="C1432">
        <v>0.8</v>
      </c>
      <c r="I1432" t="s">
        <v>1917</v>
      </c>
      <c r="J1432" t="s">
        <v>253</v>
      </c>
      <c r="K1432" t="s">
        <v>2822</v>
      </c>
    </row>
    <row r="1433" spans="1:11" x14ac:dyDescent="0.25">
      <c r="A1433" t="s">
        <v>458</v>
      </c>
      <c r="B1433" t="s">
        <v>214</v>
      </c>
      <c r="C1433">
        <v>1.6</v>
      </c>
      <c r="I1433" t="s">
        <v>1918</v>
      </c>
      <c r="J1433" t="s">
        <v>253</v>
      </c>
      <c r="K1433" t="s">
        <v>2822</v>
      </c>
    </row>
    <row r="1434" spans="1:11" x14ac:dyDescent="0.25">
      <c r="A1434" t="s">
        <v>1035</v>
      </c>
      <c r="B1434" t="s">
        <v>214</v>
      </c>
      <c r="C1434">
        <v>0</v>
      </c>
      <c r="I1434" t="s">
        <v>1916</v>
      </c>
      <c r="J1434" t="s">
        <v>253</v>
      </c>
      <c r="K1434" t="s">
        <v>2822</v>
      </c>
    </row>
    <row r="1435" spans="1:11" x14ac:dyDescent="0.25">
      <c r="A1435" t="s">
        <v>1037</v>
      </c>
      <c r="B1435" t="s">
        <v>214</v>
      </c>
      <c r="C1435">
        <v>0</v>
      </c>
      <c r="I1435" t="s">
        <v>1919</v>
      </c>
      <c r="J1435" t="s">
        <v>253</v>
      </c>
      <c r="K1435" t="s">
        <v>2822</v>
      </c>
    </row>
    <row r="1436" spans="1:11" x14ac:dyDescent="0.25">
      <c r="A1436" t="s">
        <v>1036</v>
      </c>
      <c r="B1436" t="s">
        <v>214</v>
      </c>
      <c r="C1436">
        <v>0</v>
      </c>
      <c r="I1436" t="s">
        <v>1915</v>
      </c>
      <c r="J1436" t="s">
        <v>253</v>
      </c>
      <c r="K1436" t="s">
        <v>2822</v>
      </c>
    </row>
    <row r="1437" spans="1:11" x14ac:dyDescent="0.25">
      <c r="A1437" t="s">
        <v>1034</v>
      </c>
      <c r="B1437" t="s">
        <v>214</v>
      </c>
      <c r="C1437">
        <v>1.6</v>
      </c>
      <c r="I1437" t="s">
        <v>2561</v>
      </c>
      <c r="J1437" t="s">
        <v>253</v>
      </c>
      <c r="K1437" t="s">
        <v>2822</v>
      </c>
    </row>
    <row r="1438" spans="1:11" x14ac:dyDescent="0.25">
      <c r="A1438" t="s">
        <v>1032</v>
      </c>
      <c r="B1438" t="s">
        <v>214</v>
      </c>
      <c r="C1438">
        <v>1.6</v>
      </c>
      <c r="I1438" t="s">
        <v>999</v>
      </c>
      <c r="J1438" t="s">
        <v>253</v>
      </c>
      <c r="K1438" t="s">
        <v>2822</v>
      </c>
    </row>
    <row r="1439" spans="1:11" x14ac:dyDescent="0.25">
      <c r="A1439" t="s">
        <v>1001</v>
      </c>
      <c r="B1439" t="s">
        <v>214</v>
      </c>
      <c r="C1439">
        <v>4.71</v>
      </c>
      <c r="I1439" t="s">
        <v>997</v>
      </c>
      <c r="J1439" t="s">
        <v>253</v>
      </c>
      <c r="K1439" t="s">
        <v>2822</v>
      </c>
    </row>
    <row r="1440" spans="1:11" x14ac:dyDescent="0.25">
      <c r="A1440" t="s">
        <v>230</v>
      </c>
      <c r="B1440" t="s">
        <v>214</v>
      </c>
      <c r="C1440">
        <v>0</v>
      </c>
      <c r="I1440" t="s">
        <v>968</v>
      </c>
      <c r="J1440" t="s">
        <v>253</v>
      </c>
      <c r="K1440" t="s">
        <v>2822</v>
      </c>
    </row>
    <row r="1441" spans="1:11" x14ac:dyDescent="0.25">
      <c r="A1441" t="s">
        <v>231</v>
      </c>
      <c r="B1441" t="s">
        <v>214</v>
      </c>
      <c r="C1441">
        <v>0</v>
      </c>
      <c r="I1441" t="s">
        <v>942</v>
      </c>
      <c r="J1441" t="s">
        <v>253</v>
      </c>
      <c r="K1441" t="s">
        <v>2822</v>
      </c>
    </row>
    <row r="1442" spans="1:11" x14ac:dyDescent="0.25">
      <c r="A1442" t="s">
        <v>229</v>
      </c>
      <c r="B1442" t="s">
        <v>214</v>
      </c>
      <c r="C1442">
        <v>0</v>
      </c>
      <c r="I1442" t="s">
        <v>1051</v>
      </c>
      <c r="J1442" t="s">
        <v>253</v>
      </c>
      <c r="K1442" t="s">
        <v>2822</v>
      </c>
    </row>
    <row r="1443" spans="1:11" x14ac:dyDescent="0.25">
      <c r="A1443" t="s">
        <v>251</v>
      </c>
      <c r="B1443" t="s">
        <v>214</v>
      </c>
      <c r="C1443">
        <v>0</v>
      </c>
      <c r="I1443" t="s">
        <v>1047</v>
      </c>
      <c r="J1443" t="s">
        <v>253</v>
      </c>
      <c r="K1443" t="s">
        <v>2822</v>
      </c>
    </row>
    <row r="1444" spans="1:11" x14ac:dyDescent="0.25">
      <c r="A1444" t="s">
        <v>232</v>
      </c>
      <c r="B1444" t="s">
        <v>214</v>
      </c>
      <c r="C1444">
        <v>0</v>
      </c>
      <c r="I1444" t="s">
        <v>18</v>
      </c>
      <c r="J1444" t="s">
        <v>253</v>
      </c>
      <c r="K1444" t="s">
        <v>2822</v>
      </c>
    </row>
    <row r="1445" spans="1:11" x14ac:dyDescent="0.25">
      <c r="A1445" t="s">
        <v>252</v>
      </c>
      <c r="B1445" t="s">
        <v>214</v>
      </c>
      <c r="C1445">
        <v>0</v>
      </c>
      <c r="I1445" t="s">
        <v>215</v>
      </c>
      <c r="J1445" t="s">
        <v>253</v>
      </c>
      <c r="K1445" t="s">
        <v>2822</v>
      </c>
    </row>
    <row r="1446" spans="1:11" x14ac:dyDescent="0.25">
      <c r="A1446" t="s">
        <v>250</v>
      </c>
      <c r="B1446" t="s">
        <v>214</v>
      </c>
      <c r="C1446">
        <v>0</v>
      </c>
      <c r="I1446" t="s">
        <v>216</v>
      </c>
      <c r="J1446" t="s">
        <v>253</v>
      </c>
      <c r="K1446" t="s">
        <v>2822</v>
      </c>
    </row>
    <row r="1447" spans="1:11" x14ac:dyDescent="0.25">
      <c r="A1447" t="s">
        <v>249</v>
      </c>
      <c r="B1447" t="s">
        <v>214</v>
      </c>
      <c r="C1447">
        <v>0</v>
      </c>
      <c r="I1447" t="s">
        <v>20</v>
      </c>
      <c r="J1447" t="s">
        <v>253</v>
      </c>
      <c r="K1447" t="s">
        <v>2822</v>
      </c>
    </row>
    <row r="1448" spans="1:11" x14ac:dyDescent="0.25">
      <c r="A1448" t="s">
        <v>254</v>
      </c>
      <c r="B1448" t="s">
        <v>214</v>
      </c>
      <c r="C1448">
        <v>0</v>
      </c>
      <c r="I1448" t="s">
        <v>21</v>
      </c>
      <c r="J1448" t="s">
        <v>253</v>
      </c>
      <c r="K1448" t="s">
        <v>2822</v>
      </c>
    </row>
    <row r="1449" spans="1:11" x14ac:dyDescent="0.25">
      <c r="A1449" t="s">
        <v>246</v>
      </c>
      <c r="B1449" t="s">
        <v>214</v>
      </c>
      <c r="C1449">
        <v>0</v>
      </c>
      <c r="I1449" t="s">
        <v>248</v>
      </c>
      <c r="J1449" t="s">
        <v>253</v>
      </c>
      <c r="K1449" t="s">
        <v>2822</v>
      </c>
    </row>
    <row r="1450" spans="1:11" x14ac:dyDescent="0.25">
      <c r="A1450" t="s">
        <v>247</v>
      </c>
      <c r="B1450" t="s">
        <v>214</v>
      </c>
      <c r="C1450">
        <v>0</v>
      </c>
      <c r="I1450" t="s">
        <v>19</v>
      </c>
      <c r="J1450" t="s">
        <v>253</v>
      </c>
      <c r="K1450" t="s">
        <v>2822</v>
      </c>
    </row>
    <row r="1451" spans="1:11" x14ac:dyDescent="0.25">
      <c r="A1451" t="s">
        <v>971</v>
      </c>
      <c r="B1451" t="s">
        <v>214</v>
      </c>
      <c r="C1451">
        <v>0</v>
      </c>
      <c r="I1451" t="s">
        <v>256</v>
      </c>
      <c r="J1451" t="s">
        <v>253</v>
      </c>
      <c r="K1451" t="s">
        <v>2822</v>
      </c>
    </row>
    <row r="1452" spans="1:11" x14ac:dyDescent="0.25">
      <c r="A1452" t="s">
        <v>228</v>
      </c>
      <c r="B1452" t="s">
        <v>214</v>
      </c>
      <c r="C1452">
        <v>0</v>
      </c>
      <c r="I1452" t="s">
        <v>223</v>
      </c>
      <c r="J1452" t="s">
        <v>253</v>
      </c>
      <c r="K1452" t="s">
        <v>2822</v>
      </c>
    </row>
    <row r="1453" spans="1:11" x14ac:dyDescent="0.25">
      <c r="A1453" t="s">
        <v>242</v>
      </c>
      <c r="B1453" t="s">
        <v>214</v>
      </c>
      <c r="C1453">
        <v>0</v>
      </c>
      <c r="I1453" t="s">
        <v>24</v>
      </c>
      <c r="J1453" t="s">
        <v>253</v>
      </c>
      <c r="K1453" t="s">
        <v>2822</v>
      </c>
    </row>
    <row r="1454" spans="1:11" x14ac:dyDescent="0.25">
      <c r="A1454" t="s">
        <v>28</v>
      </c>
      <c r="B1454" t="s">
        <v>214</v>
      </c>
      <c r="C1454">
        <v>0</v>
      </c>
      <c r="I1454" t="s">
        <v>26</v>
      </c>
      <c r="J1454" t="s">
        <v>253</v>
      </c>
      <c r="K1454" t="s">
        <v>2822</v>
      </c>
    </row>
    <row r="1455" spans="1:11" x14ac:dyDescent="0.25">
      <c r="A1455" t="s">
        <v>243</v>
      </c>
      <c r="B1455" t="s">
        <v>214</v>
      </c>
      <c r="C1455">
        <v>0</v>
      </c>
      <c r="I1455" t="s">
        <v>27</v>
      </c>
      <c r="J1455" t="s">
        <v>253</v>
      </c>
      <c r="K1455" t="s">
        <v>2822</v>
      </c>
    </row>
    <row r="1456" spans="1:11" x14ac:dyDescent="0.25">
      <c r="A1456" t="s">
        <v>240</v>
      </c>
      <c r="B1456" t="s">
        <v>214</v>
      </c>
      <c r="C1456">
        <v>0</v>
      </c>
      <c r="I1456" t="s">
        <v>16</v>
      </c>
      <c r="J1456" t="s">
        <v>253</v>
      </c>
      <c r="K1456" t="s">
        <v>2822</v>
      </c>
    </row>
    <row r="1457" spans="1:11" x14ac:dyDescent="0.25">
      <c r="A1457" t="s">
        <v>241</v>
      </c>
      <c r="B1457" t="s">
        <v>214</v>
      </c>
      <c r="C1457">
        <v>0</v>
      </c>
      <c r="I1457" t="s">
        <v>22</v>
      </c>
      <c r="J1457" t="s">
        <v>253</v>
      </c>
      <c r="K1457" t="s">
        <v>2822</v>
      </c>
    </row>
    <row r="1458" spans="1:11" x14ac:dyDescent="0.25">
      <c r="A1458" t="s">
        <v>220</v>
      </c>
      <c r="B1458" t="s">
        <v>214</v>
      </c>
      <c r="C1458">
        <v>1.2</v>
      </c>
      <c r="I1458" t="s">
        <v>23</v>
      </c>
      <c r="J1458" t="s">
        <v>253</v>
      </c>
      <c r="K1458" t="s">
        <v>2822</v>
      </c>
    </row>
    <row r="1459" spans="1:11" x14ac:dyDescent="0.25">
      <c r="A1459" t="s">
        <v>221</v>
      </c>
      <c r="B1459" t="s">
        <v>214</v>
      </c>
      <c r="C1459">
        <v>0</v>
      </c>
      <c r="I1459" t="s">
        <v>224</v>
      </c>
      <c r="J1459" t="s">
        <v>253</v>
      </c>
      <c r="K1459" t="s">
        <v>2822</v>
      </c>
    </row>
    <row r="1460" spans="1:11" x14ac:dyDescent="0.25">
      <c r="A1460" t="s">
        <v>17</v>
      </c>
      <c r="B1460" t="s">
        <v>214</v>
      </c>
      <c r="C1460">
        <v>0</v>
      </c>
      <c r="I1460" t="s">
        <v>218</v>
      </c>
      <c r="J1460" t="s">
        <v>253</v>
      </c>
      <c r="K1460" t="s">
        <v>2822</v>
      </c>
    </row>
    <row r="1461" spans="1:11" x14ac:dyDescent="0.25">
      <c r="A1461" t="s">
        <v>227</v>
      </c>
      <c r="B1461" t="s">
        <v>214</v>
      </c>
      <c r="C1461">
        <v>0</v>
      </c>
      <c r="I1461" t="s">
        <v>29</v>
      </c>
      <c r="J1461" t="s">
        <v>253</v>
      </c>
      <c r="K1461" t="s">
        <v>2822</v>
      </c>
    </row>
    <row r="1462" spans="1:11" x14ac:dyDescent="0.25">
      <c r="A1462" t="s">
        <v>222</v>
      </c>
      <c r="B1462" t="s">
        <v>214</v>
      </c>
      <c r="C1462">
        <v>0</v>
      </c>
      <c r="I1462" t="s">
        <v>225</v>
      </c>
      <c r="J1462" t="s">
        <v>253</v>
      </c>
      <c r="K1462" t="s">
        <v>2822</v>
      </c>
    </row>
    <row r="1463" spans="1:11" x14ac:dyDescent="0.25">
      <c r="A1463" t="s">
        <v>245</v>
      </c>
      <c r="B1463" t="s">
        <v>214</v>
      </c>
      <c r="C1463">
        <v>0</v>
      </c>
      <c r="I1463" t="s">
        <v>217</v>
      </c>
      <c r="J1463" t="s">
        <v>253</v>
      </c>
      <c r="K1463" t="s">
        <v>2822</v>
      </c>
    </row>
    <row r="1464" spans="1:11" x14ac:dyDescent="0.25">
      <c r="A1464" t="s">
        <v>258</v>
      </c>
      <c r="B1464" t="s">
        <v>214</v>
      </c>
      <c r="C1464">
        <v>0</v>
      </c>
      <c r="I1464" t="s">
        <v>226</v>
      </c>
      <c r="J1464" t="s">
        <v>253</v>
      </c>
      <c r="K1464" t="s">
        <v>2822</v>
      </c>
    </row>
    <row r="1465" spans="1:11" x14ac:dyDescent="0.25">
      <c r="A1465" t="s">
        <v>257</v>
      </c>
      <c r="B1465" t="s">
        <v>214</v>
      </c>
      <c r="C1465">
        <v>0</v>
      </c>
      <c r="I1465" t="s">
        <v>30</v>
      </c>
      <c r="J1465" t="s">
        <v>253</v>
      </c>
      <c r="K1465" t="s">
        <v>2822</v>
      </c>
    </row>
    <row r="1466" spans="1:11" x14ac:dyDescent="0.25">
      <c r="A1466" t="s">
        <v>255</v>
      </c>
      <c r="B1466" t="s">
        <v>214</v>
      </c>
      <c r="C1466">
        <v>0.8</v>
      </c>
      <c r="I1466" t="s">
        <v>219</v>
      </c>
      <c r="J1466" t="s">
        <v>253</v>
      </c>
      <c r="K1466" t="s">
        <v>2822</v>
      </c>
    </row>
    <row r="1467" spans="1:11" x14ac:dyDescent="0.25">
      <c r="A1467" t="s">
        <v>1068</v>
      </c>
      <c r="B1467" t="s">
        <v>253</v>
      </c>
      <c r="C1467">
        <v>1.5</v>
      </c>
      <c r="I1467" t="s">
        <v>1050</v>
      </c>
      <c r="J1467" t="s">
        <v>253</v>
      </c>
      <c r="K1467" t="s">
        <v>2822</v>
      </c>
    </row>
    <row r="1468" spans="1:11" x14ac:dyDescent="0.25">
      <c r="A1468" t="s">
        <v>1069</v>
      </c>
      <c r="B1468" t="s">
        <v>253</v>
      </c>
      <c r="C1468">
        <v>2</v>
      </c>
      <c r="I1468" t="s">
        <v>998</v>
      </c>
      <c r="J1468" t="s">
        <v>253</v>
      </c>
      <c r="K1468" t="s">
        <v>2822</v>
      </c>
    </row>
    <row r="1469" spans="1:11" x14ac:dyDescent="0.25">
      <c r="A1469" t="s">
        <v>1140</v>
      </c>
      <c r="B1469" t="s">
        <v>253</v>
      </c>
      <c r="C1469">
        <v>0.5</v>
      </c>
      <c r="I1469" t="s">
        <v>25</v>
      </c>
      <c r="J1469" t="s">
        <v>253</v>
      </c>
      <c r="K1469" t="s">
        <v>2822</v>
      </c>
    </row>
    <row r="1470" spans="1:11" x14ac:dyDescent="0.25">
      <c r="A1470" t="s">
        <v>1166</v>
      </c>
      <c r="B1470" t="s">
        <v>253</v>
      </c>
      <c r="C1470">
        <v>1.5</v>
      </c>
      <c r="I1470" t="s">
        <v>1000</v>
      </c>
      <c r="J1470" t="s">
        <v>253</v>
      </c>
      <c r="K1470" t="s">
        <v>2822</v>
      </c>
    </row>
    <row r="1471" spans="1:11" x14ac:dyDescent="0.25">
      <c r="A1471" t="s">
        <v>1054</v>
      </c>
      <c r="B1471" t="s">
        <v>253</v>
      </c>
      <c r="C1471">
        <v>0</v>
      </c>
      <c r="I1471" t="s">
        <v>1048</v>
      </c>
      <c r="J1471" t="s">
        <v>253</v>
      </c>
      <c r="K1471" t="s">
        <v>2822</v>
      </c>
    </row>
    <row r="1472" spans="1:11" x14ac:dyDescent="0.25">
      <c r="A1472" t="s">
        <v>1061</v>
      </c>
      <c r="B1472" t="s">
        <v>253</v>
      </c>
      <c r="C1472">
        <v>0</v>
      </c>
      <c r="I1472" t="s">
        <v>1052</v>
      </c>
      <c r="J1472" t="s">
        <v>253</v>
      </c>
      <c r="K1472" t="s">
        <v>2822</v>
      </c>
    </row>
    <row r="1473" spans="1:11" x14ac:dyDescent="0.25">
      <c r="A1473" t="s">
        <v>2588</v>
      </c>
      <c r="B1473" t="s">
        <v>253</v>
      </c>
      <c r="I1473" t="s">
        <v>1049</v>
      </c>
      <c r="J1473" t="s">
        <v>253</v>
      </c>
      <c r="K1473" t="s">
        <v>2822</v>
      </c>
    </row>
    <row r="1474" spans="1:11" x14ac:dyDescent="0.25">
      <c r="A1474" t="s">
        <v>1062</v>
      </c>
      <c r="B1474" t="s">
        <v>253</v>
      </c>
      <c r="C1474">
        <v>0</v>
      </c>
      <c r="I1474" t="s">
        <v>963</v>
      </c>
      <c r="J1474" t="s">
        <v>253</v>
      </c>
      <c r="K1474" t="s">
        <v>2822</v>
      </c>
    </row>
    <row r="1475" spans="1:11" x14ac:dyDescent="0.25">
      <c r="A1475" t="s">
        <v>1072</v>
      </c>
      <c r="B1475" t="s">
        <v>253</v>
      </c>
      <c r="C1475">
        <v>1.5</v>
      </c>
      <c r="I1475" t="s">
        <v>458</v>
      </c>
      <c r="J1475" t="s">
        <v>253</v>
      </c>
      <c r="K1475" t="s">
        <v>2822</v>
      </c>
    </row>
    <row r="1476" spans="1:11" x14ac:dyDescent="0.25">
      <c r="A1476" t="s">
        <v>984</v>
      </c>
      <c r="B1476" t="s">
        <v>214</v>
      </c>
      <c r="C1476">
        <v>200</v>
      </c>
      <c r="I1476" t="s">
        <v>1035</v>
      </c>
      <c r="J1476" t="s">
        <v>253</v>
      </c>
      <c r="K1476" t="s">
        <v>2822</v>
      </c>
    </row>
    <row r="1477" spans="1:11" x14ac:dyDescent="0.25">
      <c r="A1477" t="s">
        <v>937</v>
      </c>
      <c r="B1477" t="s">
        <v>253</v>
      </c>
      <c r="C1477">
        <v>3.2</v>
      </c>
      <c r="I1477" t="s">
        <v>1037</v>
      </c>
      <c r="J1477" t="s">
        <v>253</v>
      </c>
      <c r="K1477" t="s">
        <v>2822</v>
      </c>
    </row>
    <row r="1478" spans="1:11" x14ac:dyDescent="0.25">
      <c r="A1478" t="s">
        <v>985</v>
      </c>
      <c r="B1478" t="s">
        <v>214</v>
      </c>
      <c r="C1478">
        <v>0</v>
      </c>
      <c r="I1478" t="s">
        <v>1036</v>
      </c>
      <c r="J1478" t="s">
        <v>253</v>
      </c>
      <c r="K1478" t="s">
        <v>2822</v>
      </c>
    </row>
    <row r="1479" spans="1:11" x14ac:dyDescent="0.25">
      <c r="A1479" t="s">
        <v>935</v>
      </c>
      <c r="B1479" t="s">
        <v>253</v>
      </c>
      <c r="C1479">
        <v>8</v>
      </c>
      <c r="I1479" t="s">
        <v>1034</v>
      </c>
      <c r="J1479" t="s">
        <v>253</v>
      </c>
      <c r="K1479" t="s">
        <v>2822</v>
      </c>
    </row>
    <row r="1480" spans="1:11" x14ac:dyDescent="0.25">
      <c r="A1480" t="s">
        <v>2109</v>
      </c>
      <c r="B1480" t="s">
        <v>214</v>
      </c>
      <c r="I1480" t="s">
        <v>1032</v>
      </c>
      <c r="J1480" t="s">
        <v>253</v>
      </c>
      <c r="K1480" t="s">
        <v>2822</v>
      </c>
    </row>
    <row r="1481" spans="1:11" x14ac:dyDescent="0.25">
      <c r="A1481" t="s">
        <v>2091</v>
      </c>
      <c r="B1481" t="s">
        <v>214</v>
      </c>
      <c r="I1481" t="s">
        <v>1001</v>
      </c>
      <c r="J1481" t="s">
        <v>253</v>
      </c>
      <c r="K1481" t="s">
        <v>2822</v>
      </c>
    </row>
    <row r="1482" spans="1:11" x14ac:dyDescent="0.25">
      <c r="A1482" t="s">
        <v>2090</v>
      </c>
      <c r="B1482" t="s">
        <v>214</v>
      </c>
      <c r="I1482" t="s">
        <v>230</v>
      </c>
      <c r="J1482" t="s">
        <v>253</v>
      </c>
      <c r="K1482" t="s">
        <v>2822</v>
      </c>
    </row>
    <row r="1483" spans="1:11" x14ac:dyDescent="0.25">
      <c r="A1483" t="s">
        <v>1056</v>
      </c>
      <c r="B1483" t="s">
        <v>253</v>
      </c>
      <c r="C1483">
        <v>0</v>
      </c>
      <c r="I1483" t="s">
        <v>231</v>
      </c>
      <c r="J1483" t="s">
        <v>253</v>
      </c>
      <c r="K1483" t="s">
        <v>2822</v>
      </c>
    </row>
    <row r="1484" spans="1:11" x14ac:dyDescent="0.25">
      <c r="A1484" t="s">
        <v>233</v>
      </c>
      <c r="B1484" t="s">
        <v>214</v>
      </c>
      <c r="C1484">
        <v>16.670000000000002</v>
      </c>
      <c r="I1484" t="s">
        <v>229</v>
      </c>
      <c r="J1484" t="s">
        <v>253</v>
      </c>
      <c r="K1484" t="s">
        <v>2822</v>
      </c>
    </row>
    <row r="1485" spans="1:11" x14ac:dyDescent="0.25">
      <c r="A1485" t="s">
        <v>234</v>
      </c>
      <c r="B1485" t="s">
        <v>214</v>
      </c>
      <c r="C1485">
        <v>7</v>
      </c>
      <c r="I1485" t="s">
        <v>251</v>
      </c>
      <c r="J1485" t="s">
        <v>253</v>
      </c>
      <c r="K1485" t="s">
        <v>2822</v>
      </c>
    </row>
    <row r="1486" spans="1:11" x14ac:dyDescent="0.25">
      <c r="A1486" t="s">
        <v>237</v>
      </c>
      <c r="B1486" t="s">
        <v>214</v>
      </c>
      <c r="C1486">
        <v>33.33</v>
      </c>
      <c r="I1486" t="s">
        <v>232</v>
      </c>
      <c r="J1486" t="s">
        <v>253</v>
      </c>
      <c r="K1486" t="s">
        <v>2822</v>
      </c>
    </row>
    <row r="1487" spans="1:11" x14ac:dyDescent="0.25">
      <c r="A1487" t="s">
        <v>1071</v>
      </c>
      <c r="B1487" t="s">
        <v>253</v>
      </c>
      <c r="C1487">
        <v>0</v>
      </c>
      <c r="I1487" t="s">
        <v>252</v>
      </c>
      <c r="J1487" t="s">
        <v>253</v>
      </c>
      <c r="K1487" t="s">
        <v>2822</v>
      </c>
    </row>
    <row r="1488" spans="1:11" x14ac:dyDescent="0.25">
      <c r="A1488" t="s">
        <v>1935</v>
      </c>
      <c r="B1488" t="s">
        <v>253</v>
      </c>
      <c r="I1488" t="s">
        <v>250</v>
      </c>
      <c r="J1488" t="s">
        <v>253</v>
      </c>
      <c r="K1488" t="s">
        <v>2822</v>
      </c>
    </row>
    <row r="1489" spans="1:11" x14ac:dyDescent="0.25">
      <c r="A1489" t="s">
        <v>1070</v>
      </c>
      <c r="B1489" t="s">
        <v>253</v>
      </c>
      <c r="C1489">
        <v>1.5</v>
      </c>
      <c r="I1489" t="s">
        <v>249</v>
      </c>
      <c r="J1489" t="s">
        <v>253</v>
      </c>
      <c r="K1489" t="s">
        <v>2822</v>
      </c>
    </row>
    <row r="1490" spans="1:11" x14ac:dyDescent="0.25">
      <c r="A1490" t="s">
        <v>1415</v>
      </c>
      <c r="B1490" t="s">
        <v>253</v>
      </c>
      <c r="I1490" t="s">
        <v>254</v>
      </c>
      <c r="J1490" t="s">
        <v>253</v>
      </c>
      <c r="K1490" t="s">
        <v>2822</v>
      </c>
    </row>
    <row r="1491" spans="1:11" x14ac:dyDescent="0.25">
      <c r="A1491" t="s">
        <v>1057</v>
      </c>
      <c r="B1491" t="s">
        <v>253</v>
      </c>
      <c r="C1491">
        <v>0</v>
      </c>
      <c r="I1491" t="s">
        <v>246</v>
      </c>
      <c r="J1491" t="s">
        <v>253</v>
      </c>
      <c r="K1491" t="s">
        <v>2822</v>
      </c>
    </row>
    <row r="1492" spans="1:11" x14ac:dyDescent="0.25">
      <c r="A1492" t="s">
        <v>1078</v>
      </c>
      <c r="B1492" t="s">
        <v>253</v>
      </c>
      <c r="C1492">
        <v>4.3600000000000003</v>
      </c>
      <c r="I1492" t="s">
        <v>247</v>
      </c>
      <c r="J1492" t="s">
        <v>253</v>
      </c>
      <c r="K1492" t="s">
        <v>2822</v>
      </c>
    </row>
    <row r="1493" spans="1:11" x14ac:dyDescent="0.25">
      <c r="A1493" t="s">
        <v>1930</v>
      </c>
      <c r="B1493" t="s">
        <v>253</v>
      </c>
      <c r="I1493" t="s">
        <v>971</v>
      </c>
      <c r="J1493" t="s">
        <v>253</v>
      </c>
      <c r="K1493" t="s">
        <v>2822</v>
      </c>
    </row>
    <row r="1494" spans="1:11" x14ac:dyDescent="0.25">
      <c r="A1494" t="s">
        <v>1936</v>
      </c>
      <c r="B1494" t="s">
        <v>253</v>
      </c>
      <c r="I1494" t="s">
        <v>228</v>
      </c>
      <c r="J1494" t="s">
        <v>253</v>
      </c>
      <c r="K1494" t="s">
        <v>2822</v>
      </c>
    </row>
    <row r="1495" spans="1:11" x14ac:dyDescent="0.25">
      <c r="A1495" t="s">
        <v>2563</v>
      </c>
      <c r="B1495" t="s">
        <v>253</v>
      </c>
      <c r="I1495" t="s">
        <v>242</v>
      </c>
      <c r="J1495" t="s">
        <v>253</v>
      </c>
      <c r="K1495" t="s">
        <v>2822</v>
      </c>
    </row>
    <row r="1496" spans="1:11" x14ac:dyDescent="0.25">
      <c r="A1496" t="s">
        <v>1931</v>
      </c>
      <c r="B1496" t="s">
        <v>253</v>
      </c>
      <c r="I1496" t="s">
        <v>28</v>
      </c>
      <c r="J1496" t="s">
        <v>253</v>
      </c>
      <c r="K1496" t="s">
        <v>2822</v>
      </c>
    </row>
    <row r="1497" spans="1:11" x14ac:dyDescent="0.25">
      <c r="A1497" t="s">
        <v>1100</v>
      </c>
      <c r="B1497" t="s">
        <v>253</v>
      </c>
      <c r="C1497">
        <v>1.0900000000000001</v>
      </c>
      <c r="I1497" t="s">
        <v>243</v>
      </c>
      <c r="J1497" t="s">
        <v>253</v>
      </c>
      <c r="K1497" t="s">
        <v>2822</v>
      </c>
    </row>
    <row r="1498" spans="1:11" x14ac:dyDescent="0.25">
      <c r="A1498" t="s">
        <v>1932</v>
      </c>
      <c r="B1498" t="s">
        <v>253</v>
      </c>
      <c r="I1498" t="s">
        <v>240</v>
      </c>
      <c r="J1498" t="s">
        <v>253</v>
      </c>
      <c r="K1498" t="s">
        <v>2822</v>
      </c>
    </row>
    <row r="1499" spans="1:11" x14ac:dyDescent="0.25">
      <c r="A1499" t="s">
        <v>2087</v>
      </c>
      <c r="B1499" t="s">
        <v>214</v>
      </c>
      <c r="I1499" t="s">
        <v>241</v>
      </c>
      <c r="J1499" t="s">
        <v>253</v>
      </c>
      <c r="K1499" t="s">
        <v>2822</v>
      </c>
    </row>
    <row r="1500" spans="1:11" x14ac:dyDescent="0.25">
      <c r="A1500" t="s">
        <v>2082</v>
      </c>
      <c r="B1500" t="s">
        <v>214</v>
      </c>
      <c r="I1500" t="s">
        <v>220</v>
      </c>
      <c r="J1500" t="s">
        <v>253</v>
      </c>
      <c r="K1500" t="s">
        <v>2822</v>
      </c>
    </row>
    <row r="1501" spans="1:11" x14ac:dyDescent="0.25">
      <c r="A1501" t="s">
        <v>1139</v>
      </c>
      <c r="B1501" t="s">
        <v>253</v>
      </c>
      <c r="C1501">
        <v>66.67</v>
      </c>
      <c r="I1501" t="s">
        <v>221</v>
      </c>
      <c r="J1501" t="s">
        <v>253</v>
      </c>
      <c r="K1501" t="s">
        <v>2822</v>
      </c>
    </row>
    <row r="1502" spans="1:11" x14ac:dyDescent="0.25">
      <c r="A1502" t="s">
        <v>1058</v>
      </c>
      <c r="B1502" t="s">
        <v>253</v>
      </c>
      <c r="C1502">
        <v>2</v>
      </c>
      <c r="I1502" t="s">
        <v>17</v>
      </c>
      <c r="J1502" t="s">
        <v>253</v>
      </c>
      <c r="K1502" t="s">
        <v>2822</v>
      </c>
    </row>
    <row r="1503" spans="1:11" x14ac:dyDescent="0.25">
      <c r="A1503" t="s">
        <v>977</v>
      </c>
      <c r="B1503" t="s">
        <v>214</v>
      </c>
      <c r="C1503">
        <v>0</v>
      </c>
      <c r="I1503" t="s">
        <v>227</v>
      </c>
      <c r="J1503" t="s">
        <v>253</v>
      </c>
      <c r="K1503" t="s">
        <v>2822</v>
      </c>
    </row>
    <row r="1504" spans="1:11" x14ac:dyDescent="0.25">
      <c r="A1504" t="s">
        <v>978</v>
      </c>
      <c r="B1504" t="s">
        <v>214</v>
      </c>
      <c r="C1504">
        <v>0</v>
      </c>
      <c r="I1504" t="s">
        <v>222</v>
      </c>
      <c r="J1504" t="s">
        <v>253</v>
      </c>
      <c r="K1504" t="s">
        <v>2822</v>
      </c>
    </row>
    <row r="1505" spans="1:11" x14ac:dyDescent="0.25">
      <c r="A1505" t="s">
        <v>934</v>
      </c>
      <c r="B1505" t="s">
        <v>253</v>
      </c>
      <c r="C1505">
        <v>0</v>
      </c>
      <c r="I1505" t="s">
        <v>245</v>
      </c>
      <c r="J1505" t="s">
        <v>253</v>
      </c>
      <c r="K1505" t="s">
        <v>2822</v>
      </c>
    </row>
    <row r="1506" spans="1:11" x14ac:dyDescent="0.25">
      <c r="A1506" t="s">
        <v>1920</v>
      </c>
      <c r="B1506" t="s">
        <v>253</v>
      </c>
      <c r="I1506" t="s">
        <v>258</v>
      </c>
      <c r="J1506" t="s">
        <v>253</v>
      </c>
      <c r="K1506" t="s">
        <v>2822</v>
      </c>
    </row>
    <row r="1507" spans="1:11" x14ac:dyDescent="0.25">
      <c r="A1507" t="s">
        <v>2589</v>
      </c>
      <c r="B1507" t="s">
        <v>253</v>
      </c>
      <c r="I1507" t="s">
        <v>257</v>
      </c>
      <c r="J1507" t="s">
        <v>253</v>
      </c>
      <c r="K1507" t="s">
        <v>2822</v>
      </c>
    </row>
    <row r="1508" spans="1:11" x14ac:dyDescent="0.25">
      <c r="A1508" t="s">
        <v>2590</v>
      </c>
      <c r="B1508" t="s">
        <v>253</v>
      </c>
      <c r="I1508" t="s">
        <v>255</v>
      </c>
      <c r="J1508" t="s">
        <v>253</v>
      </c>
      <c r="K1508" t="s">
        <v>2822</v>
      </c>
    </row>
    <row r="1509" spans="1:11" x14ac:dyDescent="0.25">
      <c r="A1509" t="s">
        <v>1924</v>
      </c>
      <c r="B1509" t="s">
        <v>253</v>
      </c>
      <c r="I1509" t="s">
        <v>2100</v>
      </c>
      <c r="J1509" t="s">
        <v>253</v>
      </c>
      <c r="K1509" t="s">
        <v>2822</v>
      </c>
    </row>
    <row r="1510" spans="1:11" x14ac:dyDescent="0.25">
      <c r="A1510" t="s">
        <v>2591</v>
      </c>
      <c r="B1510" t="s">
        <v>253</v>
      </c>
      <c r="I1510" t="s">
        <v>1068</v>
      </c>
      <c r="J1510" t="s">
        <v>253</v>
      </c>
      <c r="K1510" t="s">
        <v>2822</v>
      </c>
    </row>
    <row r="1511" spans="1:11" x14ac:dyDescent="0.25">
      <c r="A1511" t="s">
        <v>1925</v>
      </c>
      <c r="B1511" t="s">
        <v>253</v>
      </c>
      <c r="I1511" t="s">
        <v>1069</v>
      </c>
      <c r="J1511" t="s">
        <v>253</v>
      </c>
      <c r="K1511" t="s">
        <v>2822</v>
      </c>
    </row>
    <row r="1512" spans="1:11" x14ac:dyDescent="0.25">
      <c r="A1512" t="s">
        <v>2058</v>
      </c>
      <c r="B1512" t="s">
        <v>214</v>
      </c>
      <c r="I1512" t="s">
        <v>1140</v>
      </c>
      <c r="J1512" t="s">
        <v>253</v>
      </c>
      <c r="K1512" t="s">
        <v>2822</v>
      </c>
    </row>
    <row r="1513" spans="1:11" x14ac:dyDescent="0.25">
      <c r="A1513" t="s">
        <v>1060</v>
      </c>
      <c r="B1513" t="s">
        <v>253</v>
      </c>
      <c r="C1513">
        <v>1</v>
      </c>
      <c r="I1513" t="s">
        <v>1166</v>
      </c>
      <c r="J1513" t="s">
        <v>253</v>
      </c>
      <c r="K1513" t="s">
        <v>2822</v>
      </c>
    </row>
    <row r="1514" spans="1:11" x14ac:dyDescent="0.25">
      <c r="A1514" t="s">
        <v>1067</v>
      </c>
      <c r="B1514" t="s">
        <v>253</v>
      </c>
      <c r="C1514">
        <v>2</v>
      </c>
      <c r="I1514" t="s">
        <v>1054</v>
      </c>
      <c r="J1514" t="s">
        <v>253</v>
      </c>
      <c r="K1514" t="s">
        <v>2822</v>
      </c>
    </row>
    <row r="1515" spans="1:11" x14ac:dyDescent="0.25">
      <c r="A1515" t="s">
        <v>2592</v>
      </c>
      <c r="B1515" t="s">
        <v>253</v>
      </c>
      <c r="I1515" t="s">
        <v>1061</v>
      </c>
      <c r="J1515" t="s">
        <v>253</v>
      </c>
      <c r="K1515" t="s">
        <v>2822</v>
      </c>
    </row>
    <row r="1516" spans="1:11" x14ac:dyDescent="0.25">
      <c r="A1516" t="s">
        <v>15</v>
      </c>
      <c r="B1516" t="s">
        <v>214</v>
      </c>
      <c r="C1516">
        <v>14.55</v>
      </c>
      <c r="I1516" t="s">
        <v>2588</v>
      </c>
      <c r="J1516" t="s">
        <v>253</v>
      </c>
      <c r="K1516" t="s">
        <v>2822</v>
      </c>
    </row>
    <row r="1517" spans="1:11" x14ac:dyDescent="0.25">
      <c r="A1517" t="s">
        <v>936</v>
      </c>
      <c r="B1517" t="s">
        <v>214</v>
      </c>
      <c r="C1517">
        <v>0</v>
      </c>
      <c r="I1517" t="s">
        <v>1062</v>
      </c>
      <c r="J1517" t="s">
        <v>253</v>
      </c>
      <c r="K1517" t="s">
        <v>2822</v>
      </c>
    </row>
    <row r="1518" spans="1:11" x14ac:dyDescent="0.25">
      <c r="A1518" t="s">
        <v>2593</v>
      </c>
      <c r="B1518" t="s">
        <v>214</v>
      </c>
      <c r="C1518">
        <v>0</v>
      </c>
      <c r="I1518" t="s">
        <v>1072</v>
      </c>
      <c r="J1518" t="s">
        <v>253</v>
      </c>
      <c r="K1518" t="s">
        <v>2822</v>
      </c>
    </row>
    <row r="1519" spans="1:11" x14ac:dyDescent="0.25">
      <c r="A1519" t="s">
        <v>235</v>
      </c>
      <c r="B1519" t="s">
        <v>214</v>
      </c>
      <c r="C1519">
        <v>0</v>
      </c>
      <c r="I1519" t="s">
        <v>2098</v>
      </c>
      <c r="J1519" t="s">
        <v>253</v>
      </c>
      <c r="K1519" t="s">
        <v>2822</v>
      </c>
    </row>
    <row r="1520" spans="1:11" x14ac:dyDescent="0.25">
      <c r="A1520" t="s">
        <v>236</v>
      </c>
      <c r="B1520" t="s">
        <v>214</v>
      </c>
      <c r="C1520">
        <v>0</v>
      </c>
      <c r="I1520" t="s">
        <v>2097</v>
      </c>
      <c r="J1520" t="s">
        <v>253</v>
      </c>
      <c r="K1520" t="s">
        <v>2822</v>
      </c>
    </row>
    <row r="1521" spans="1:11" x14ac:dyDescent="0.25">
      <c r="A1521" t="s">
        <v>2594</v>
      </c>
      <c r="B1521" t="s">
        <v>214</v>
      </c>
      <c r="C1521">
        <v>0</v>
      </c>
      <c r="I1521" t="s">
        <v>2099</v>
      </c>
      <c r="J1521" t="s">
        <v>253</v>
      </c>
      <c r="K1521" t="s">
        <v>2822</v>
      </c>
    </row>
    <row r="1522" spans="1:11" x14ac:dyDescent="0.25">
      <c r="A1522" t="s">
        <v>2595</v>
      </c>
      <c r="B1522" t="s">
        <v>214</v>
      </c>
      <c r="C1522">
        <v>0</v>
      </c>
      <c r="I1522" t="s">
        <v>2096</v>
      </c>
      <c r="J1522" t="s">
        <v>253</v>
      </c>
      <c r="K1522" t="s">
        <v>2822</v>
      </c>
    </row>
    <row r="1523" spans="1:11" x14ac:dyDescent="0.25">
      <c r="A1523" t="s">
        <v>1203</v>
      </c>
      <c r="B1523" t="s">
        <v>214</v>
      </c>
      <c r="C1523">
        <v>1.82</v>
      </c>
      <c r="I1523" t="s">
        <v>984</v>
      </c>
      <c r="J1523" t="s">
        <v>253</v>
      </c>
      <c r="K1523" t="s">
        <v>2822</v>
      </c>
    </row>
    <row r="1524" spans="1:11" x14ac:dyDescent="0.25">
      <c r="A1524" t="s">
        <v>238</v>
      </c>
      <c r="B1524" t="s">
        <v>214</v>
      </c>
      <c r="C1524">
        <v>4.3600000000000003</v>
      </c>
      <c r="I1524" t="s">
        <v>937</v>
      </c>
      <c r="J1524" t="s">
        <v>253</v>
      </c>
      <c r="K1524" t="s">
        <v>2822</v>
      </c>
    </row>
    <row r="1525" spans="1:11" x14ac:dyDescent="0.25">
      <c r="A1525" t="s">
        <v>2406</v>
      </c>
      <c r="B1525" t="s">
        <v>214</v>
      </c>
      <c r="C1525">
        <v>3.64</v>
      </c>
      <c r="I1525" t="s">
        <v>985</v>
      </c>
      <c r="J1525" t="s">
        <v>253</v>
      </c>
      <c r="K1525" t="s">
        <v>2822</v>
      </c>
    </row>
    <row r="1526" spans="1:11" x14ac:dyDescent="0.25">
      <c r="A1526" t="s">
        <v>239</v>
      </c>
      <c r="B1526" t="s">
        <v>214</v>
      </c>
      <c r="C1526">
        <v>0</v>
      </c>
      <c r="I1526" t="s">
        <v>935</v>
      </c>
      <c r="J1526" t="s">
        <v>253</v>
      </c>
      <c r="K1526" t="s">
        <v>2822</v>
      </c>
    </row>
    <row r="1527" spans="1:11" x14ac:dyDescent="0.25">
      <c r="A1527" t="s">
        <v>259</v>
      </c>
      <c r="B1527" t="s">
        <v>214</v>
      </c>
      <c r="C1527">
        <v>3.64</v>
      </c>
      <c r="I1527" t="s">
        <v>2109</v>
      </c>
      <c r="J1527" t="s">
        <v>253</v>
      </c>
      <c r="K1527" t="s">
        <v>2822</v>
      </c>
    </row>
    <row r="1528" spans="1:11" x14ac:dyDescent="0.25">
      <c r="A1528" t="s">
        <v>260</v>
      </c>
      <c r="B1528" t="s">
        <v>214</v>
      </c>
      <c r="C1528">
        <v>3.64</v>
      </c>
      <c r="I1528" t="s">
        <v>2091</v>
      </c>
      <c r="J1528" t="s">
        <v>253</v>
      </c>
      <c r="K1528" t="s">
        <v>2822</v>
      </c>
    </row>
    <row r="1529" spans="1:11" x14ac:dyDescent="0.25">
      <c r="A1529" t="s">
        <v>269</v>
      </c>
      <c r="B1529" t="s">
        <v>214</v>
      </c>
      <c r="C1529">
        <v>0</v>
      </c>
      <c r="I1529" t="s">
        <v>2090</v>
      </c>
      <c r="J1529" t="s">
        <v>253</v>
      </c>
      <c r="K1529" t="s">
        <v>2822</v>
      </c>
    </row>
    <row r="1530" spans="1:11" x14ac:dyDescent="0.25">
      <c r="A1530" t="s">
        <v>270</v>
      </c>
      <c r="B1530" t="s">
        <v>214</v>
      </c>
      <c r="C1530">
        <v>0.73</v>
      </c>
      <c r="I1530" t="s">
        <v>1056</v>
      </c>
      <c r="J1530" t="s">
        <v>253</v>
      </c>
      <c r="K1530" t="s">
        <v>2822</v>
      </c>
    </row>
    <row r="1531" spans="1:11" x14ac:dyDescent="0.25">
      <c r="A1531" t="s">
        <v>277</v>
      </c>
      <c r="B1531" t="s">
        <v>214</v>
      </c>
      <c r="C1531">
        <v>0</v>
      </c>
      <c r="I1531" t="s">
        <v>233</v>
      </c>
      <c r="J1531" t="s">
        <v>253</v>
      </c>
      <c r="K1531" t="s">
        <v>2822</v>
      </c>
    </row>
    <row r="1532" spans="1:11" x14ac:dyDescent="0.25">
      <c r="A1532" t="s">
        <v>278</v>
      </c>
      <c r="B1532" t="s">
        <v>214</v>
      </c>
      <c r="C1532">
        <v>2.91</v>
      </c>
      <c r="I1532" t="s">
        <v>234</v>
      </c>
      <c r="J1532" t="s">
        <v>253</v>
      </c>
      <c r="K1532" t="s">
        <v>2822</v>
      </c>
    </row>
    <row r="1533" spans="1:11" x14ac:dyDescent="0.25">
      <c r="A1533" t="s">
        <v>279</v>
      </c>
      <c r="B1533" t="s">
        <v>214</v>
      </c>
      <c r="C1533">
        <v>3.64</v>
      </c>
      <c r="I1533" t="s">
        <v>237</v>
      </c>
      <c r="J1533" t="s">
        <v>253</v>
      </c>
      <c r="K1533" t="s">
        <v>2822</v>
      </c>
    </row>
    <row r="1534" spans="1:11" x14ac:dyDescent="0.25">
      <c r="A1534" t="s">
        <v>280</v>
      </c>
      <c r="B1534" t="s">
        <v>214</v>
      </c>
      <c r="C1534">
        <v>7.27</v>
      </c>
      <c r="I1534" t="s">
        <v>1071</v>
      </c>
      <c r="J1534" t="s">
        <v>253</v>
      </c>
      <c r="K1534" t="s">
        <v>2822</v>
      </c>
    </row>
    <row r="1535" spans="1:11" x14ac:dyDescent="0.25">
      <c r="A1535" t="s">
        <v>281</v>
      </c>
      <c r="B1535" t="s">
        <v>214</v>
      </c>
      <c r="C1535">
        <v>0</v>
      </c>
      <c r="I1535" t="s">
        <v>1935</v>
      </c>
      <c r="J1535" t="s">
        <v>253</v>
      </c>
      <c r="K1535" t="s">
        <v>2822</v>
      </c>
    </row>
    <row r="1536" spans="1:11" x14ac:dyDescent="0.25">
      <c r="A1536" t="s">
        <v>282</v>
      </c>
      <c r="B1536" t="s">
        <v>214</v>
      </c>
      <c r="C1536">
        <v>1.45</v>
      </c>
      <c r="I1536" t="s">
        <v>1070</v>
      </c>
      <c r="J1536" t="s">
        <v>253</v>
      </c>
      <c r="K1536" t="s">
        <v>2822</v>
      </c>
    </row>
    <row r="1537" spans="1:11" x14ac:dyDescent="0.25">
      <c r="A1537" t="s">
        <v>2420</v>
      </c>
      <c r="B1537" t="s">
        <v>214</v>
      </c>
      <c r="I1537" t="s">
        <v>1415</v>
      </c>
      <c r="J1537" t="s">
        <v>253</v>
      </c>
      <c r="K1537" t="s">
        <v>2822</v>
      </c>
    </row>
    <row r="1538" spans="1:11" x14ac:dyDescent="0.25">
      <c r="A1538" t="s">
        <v>2446</v>
      </c>
      <c r="B1538" t="s">
        <v>214</v>
      </c>
      <c r="I1538" t="s">
        <v>1057</v>
      </c>
      <c r="J1538" t="s">
        <v>253</v>
      </c>
      <c r="K1538" t="s">
        <v>2822</v>
      </c>
    </row>
    <row r="1539" spans="1:11" x14ac:dyDescent="0.25">
      <c r="A1539" t="s">
        <v>2523</v>
      </c>
      <c r="B1539" t="s">
        <v>214</v>
      </c>
      <c r="I1539" t="s">
        <v>1078</v>
      </c>
      <c r="J1539" t="s">
        <v>253</v>
      </c>
      <c r="K1539" t="s">
        <v>2822</v>
      </c>
    </row>
    <row r="1540" spans="1:11" x14ac:dyDescent="0.25">
      <c r="A1540" t="s">
        <v>299</v>
      </c>
      <c r="B1540" t="s">
        <v>214</v>
      </c>
      <c r="C1540">
        <v>0</v>
      </c>
      <c r="I1540" t="s">
        <v>1930</v>
      </c>
      <c r="J1540" t="s">
        <v>253</v>
      </c>
      <c r="K1540" t="s">
        <v>2822</v>
      </c>
    </row>
    <row r="1541" spans="1:11" x14ac:dyDescent="0.25">
      <c r="A1541" t="s">
        <v>336</v>
      </c>
      <c r="B1541" t="s">
        <v>214</v>
      </c>
      <c r="C1541">
        <v>0</v>
      </c>
      <c r="I1541" t="s">
        <v>1936</v>
      </c>
      <c r="J1541" t="s">
        <v>253</v>
      </c>
      <c r="K1541" t="s">
        <v>2822</v>
      </c>
    </row>
    <row r="1542" spans="1:11" x14ac:dyDescent="0.25">
      <c r="A1542" t="s">
        <v>337</v>
      </c>
      <c r="B1542" t="s">
        <v>214</v>
      </c>
      <c r="C1542">
        <v>0</v>
      </c>
      <c r="I1542" t="s">
        <v>2563</v>
      </c>
      <c r="J1542" t="s">
        <v>253</v>
      </c>
      <c r="K1542" t="s">
        <v>2822</v>
      </c>
    </row>
    <row r="1543" spans="1:11" x14ac:dyDescent="0.25">
      <c r="A1543" t="s">
        <v>338</v>
      </c>
      <c r="B1543" t="s">
        <v>214</v>
      </c>
      <c r="C1543">
        <v>0.36</v>
      </c>
      <c r="I1543" t="s">
        <v>1931</v>
      </c>
      <c r="J1543" t="s">
        <v>253</v>
      </c>
      <c r="K1543" t="s">
        <v>2822</v>
      </c>
    </row>
    <row r="1544" spans="1:11" x14ac:dyDescent="0.25">
      <c r="A1544" t="s">
        <v>339</v>
      </c>
      <c r="B1544" t="s">
        <v>214</v>
      </c>
      <c r="C1544">
        <v>0</v>
      </c>
      <c r="I1544" t="s">
        <v>1100</v>
      </c>
      <c r="J1544" t="s">
        <v>253</v>
      </c>
      <c r="K1544" t="s">
        <v>2822</v>
      </c>
    </row>
    <row r="1545" spans="1:11" x14ac:dyDescent="0.25">
      <c r="A1545" t="s">
        <v>340</v>
      </c>
      <c r="B1545" t="s">
        <v>214</v>
      </c>
      <c r="C1545">
        <v>0</v>
      </c>
      <c r="I1545" t="s">
        <v>1932</v>
      </c>
      <c r="J1545" t="s">
        <v>253</v>
      </c>
      <c r="K1545" t="s">
        <v>2822</v>
      </c>
    </row>
    <row r="1546" spans="1:11" x14ac:dyDescent="0.25">
      <c r="A1546" t="s">
        <v>343</v>
      </c>
      <c r="B1546" t="s">
        <v>214</v>
      </c>
      <c r="C1546">
        <v>10.91</v>
      </c>
      <c r="I1546" t="s">
        <v>2087</v>
      </c>
      <c r="J1546" t="s">
        <v>253</v>
      </c>
      <c r="K1546" t="s">
        <v>2822</v>
      </c>
    </row>
    <row r="1547" spans="1:11" x14ac:dyDescent="0.25">
      <c r="A1547" t="s">
        <v>344</v>
      </c>
      <c r="B1547" t="s">
        <v>214</v>
      </c>
      <c r="C1547">
        <v>0</v>
      </c>
      <c r="I1547" t="s">
        <v>2082</v>
      </c>
      <c r="J1547" t="s">
        <v>253</v>
      </c>
      <c r="K1547" t="s">
        <v>2822</v>
      </c>
    </row>
    <row r="1548" spans="1:11" x14ac:dyDescent="0.25">
      <c r="A1548" t="s">
        <v>345</v>
      </c>
      <c r="B1548" t="s">
        <v>214</v>
      </c>
      <c r="C1548">
        <v>25.45</v>
      </c>
      <c r="I1548" t="s">
        <v>1139</v>
      </c>
      <c r="J1548" t="s">
        <v>253</v>
      </c>
      <c r="K1548" t="s">
        <v>2822</v>
      </c>
    </row>
    <row r="1549" spans="1:11" x14ac:dyDescent="0.25">
      <c r="A1549" t="s">
        <v>346</v>
      </c>
      <c r="B1549" t="s">
        <v>214</v>
      </c>
      <c r="C1549">
        <v>7.27</v>
      </c>
      <c r="I1549" t="s">
        <v>1058</v>
      </c>
      <c r="J1549" t="s">
        <v>253</v>
      </c>
      <c r="K1549" t="s">
        <v>2822</v>
      </c>
    </row>
    <row r="1550" spans="1:11" x14ac:dyDescent="0.25">
      <c r="A1550" t="s">
        <v>347</v>
      </c>
      <c r="B1550" t="s">
        <v>214</v>
      </c>
      <c r="C1550">
        <v>0</v>
      </c>
      <c r="I1550" t="s">
        <v>977</v>
      </c>
      <c r="J1550" t="s">
        <v>253</v>
      </c>
      <c r="K1550" t="s">
        <v>2822</v>
      </c>
    </row>
    <row r="1551" spans="1:11" x14ac:dyDescent="0.25">
      <c r="A1551" t="s">
        <v>348</v>
      </c>
      <c r="B1551" t="s">
        <v>214</v>
      </c>
      <c r="C1551">
        <v>1.45</v>
      </c>
      <c r="I1551" t="s">
        <v>978</v>
      </c>
      <c r="J1551" t="s">
        <v>253</v>
      </c>
      <c r="K1551" t="s">
        <v>2822</v>
      </c>
    </row>
    <row r="1552" spans="1:11" x14ac:dyDescent="0.25">
      <c r="A1552" t="s">
        <v>2193</v>
      </c>
      <c r="B1552" t="s">
        <v>214</v>
      </c>
      <c r="C1552">
        <v>3.64</v>
      </c>
      <c r="I1552" t="s">
        <v>934</v>
      </c>
      <c r="J1552" t="s">
        <v>253</v>
      </c>
      <c r="K1552" t="s">
        <v>2822</v>
      </c>
    </row>
    <row r="1553" spans="1:11" x14ac:dyDescent="0.25">
      <c r="A1553" t="s">
        <v>2194</v>
      </c>
      <c r="B1553" t="s">
        <v>214</v>
      </c>
      <c r="C1553">
        <v>0</v>
      </c>
      <c r="I1553" t="s">
        <v>2539</v>
      </c>
      <c r="J1553" t="s">
        <v>253</v>
      </c>
      <c r="K1553" t="s">
        <v>2822</v>
      </c>
    </row>
    <row r="1554" spans="1:11" x14ac:dyDescent="0.25">
      <c r="A1554" t="s">
        <v>349</v>
      </c>
      <c r="B1554" t="s">
        <v>214</v>
      </c>
      <c r="C1554">
        <v>0</v>
      </c>
      <c r="I1554" t="s">
        <v>2540</v>
      </c>
      <c r="J1554" t="s">
        <v>253</v>
      </c>
      <c r="K1554" t="s">
        <v>2822</v>
      </c>
    </row>
    <row r="1555" spans="1:11" x14ac:dyDescent="0.25">
      <c r="A1555" t="s">
        <v>350</v>
      </c>
      <c r="B1555" t="s">
        <v>214</v>
      </c>
      <c r="C1555">
        <v>7.27</v>
      </c>
      <c r="I1555" t="s">
        <v>2541</v>
      </c>
      <c r="J1555" t="s">
        <v>253</v>
      </c>
      <c r="K1555" t="s">
        <v>2822</v>
      </c>
    </row>
    <row r="1556" spans="1:11" x14ac:dyDescent="0.25">
      <c r="A1556" t="s">
        <v>351</v>
      </c>
      <c r="B1556" t="s">
        <v>214</v>
      </c>
      <c r="C1556">
        <v>7.27</v>
      </c>
      <c r="I1556" t="s">
        <v>2542</v>
      </c>
      <c r="J1556" t="s">
        <v>253</v>
      </c>
      <c r="K1556" t="s">
        <v>2822</v>
      </c>
    </row>
    <row r="1557" spans="1:11" x14ac:dyDescent="0.25">
      <c r="A1557" t="s">
        <v>352</v>
      </c>
      <c r="B1557" t="s">
        <v>214</v>
      </c>
      <c r="C1557">
        <v>0</v>
      </c>
      <c r="I1557" t="s">
        <v>2543</v>
      </c>
      <c r="J1557" t="s">
        <v>253</v>
      </c>
      <c r="K1557" t="s">
        <v>2822</v>
      </c>
    </row>
    <row r="1558" spans="1:11" x14ac:dyDescent="0.25">
      <c r="A1558" t="s">
        <v>353</v>
      </c>
      <c r="B1558" t="s">
        <v>214</v>
      </c>
      <c r="C1558">
        <v>7.27</v>
      </c>
      <c r="I1558" t="s">
        <v>1920</v>
      </c>
      <c r="J1558" t="s">
        <v>253</v>
      </c>
      <c r="K1558" t="s">
        <v>2822</v>
      </c>
    </row>
    <row r="1559" spans="1:11" x14ac:dyDescent="0.25">
      <c r="A1559" t="s">
        <v>354</v>
      </c>
      <c r="B1559" t="s">
        <v>214</v>
      </c>
      <c r="C1559">
        <v>0</v>
      </c>
      <c r="I1559" t="s">
        <v>2544</v>
      </c>
      <c r="J1559" t="s">
        <v>253</v>
      </c>
      <c r="K1559" t="s">
        <v>2822</v>
      </c>
    </row>
    <row r="1560" spans="1:11" x14ac:dyDescent="0.25">
      <c r="A1560" t="s">
        <v>355</v>
      </c>
      <c r="B1560" t="s">
        <v>214</v>
      </c>
      <c r="C1560">
        <v>1.82</v>
      </c>
      <c r="I1560" t="s">
        <v>2545</v>
      </c>
      <c r="J1560" t="s">
        <v>253</v>
      </c>
      <c r="K1560" t="s">
        <v>2822</v>
      </c>
    </row>
    <row r="1561" spans="1:11" x14ac:dyDescent="0.25">
      <c r="A1561" t="s">
        <v>356</v>
      </c>
      <c r="B1561" t="s">
        <v>214</v>
      </c>
      <c r="C1561">
        <v>2.1800000000000002</v>
      </c>
      <c r="I1561" t="s">
        <v>2546</v>
      </c>
      <c r="J1561" t="s">
        <v>253</v>
      </c>
      <c r="K1561" t="s">
        <v>2822</v>
      </c>
    </row>
    <row r="1562" spans="1:11" x14ac:dyDescent="0.25">
      <c r="A1562" t="s">
        <v>357</v>
      </c>
      <c r="B1562" t="s">
        <v>214</v>
      </c>
      <c r="C1562">
        <v>0.36</v>
      </c>
      <c r="I1562" t="s">
        <v>2619</v>
      </c>
      <c r="J1562" t="s">
        <v>253</v>
      </c>
      <c r="K1562" t="s">
        <v>2822</v>
      </c>
    </row>
    <row r="1563" spans="1:11" x14ac:dyDescent="0.25">
      <c r="A1563" t="s">
        <v>2196</v>
      </c>
      <c r="B1563" t="s">
        <v>214</v>
      </c>
      <c r="C1563">
        <v>1.82</v>
      </c>
      <c r="I1563" t="s">
        <v>2589</v>
      </c>
      <c r="J1563" t="s">
        <v>253</v>
      </c>
      <c r="K1563" t="s">
        <v>2822</v>
      </c>
    </row>
    <row r="1564" spans="1:11" x14ac:dyDescent="0.25">
      <c r="A1564" t="s">
        <v>358</v>
      </c>
      <c r="B1564" t="s">
        <v>214</v>
      </c>
      <c r="C1564">
        <v>3.64</v>
      </c>
      <c r="I1564" t="s">
        <v>1922</v>
      </c>
      <c r="J1564" t="s">
        <v>253</v>
      </c>
      <c r="K1564" t="s">
        <v>2822</v>
      </c>
    </row>
    <row r="1565" spans="1:11" x14ac:dyDescent="0.25">
      <c r="A1565" t="s">
        <v>359</v>
      </c>
      <c r="B1565" t="s">
        <v>214</v>
      </c>
      <c r="C1565">
        <v>1.82</v>
      </c>
      <c r="I1565" t="s">
        <v>2549</v>
      </c>
      <c r="J1565" t="s">
        <v>253</v>
      </c>
      <c r="K1565" t="s">
        <v>2822</v>
      </c>
    </row>
    <row r="1566" spans="1:11" x14ac:dyDescent="0.25">
      <c r="A1566" t="s">
        <v>360</v>
      </c>
      <c r="B1566" t="s">
        <v>214</v>
      </c>
      <c r="C1566">
        <v>109.09</v>
      </c>
      <c r="I1566" t="s">
        <v>2550</v>
      </c>
      <c r="J1566" t="s">
        <v>253</v>
      </c>
      <c r="K1566" t="s">
        <v>2822</v>
      </c>
    </row>
    <row r="1567" spans="1:11" x14ac:dyDescent="0.25">
      <c r="A1567" t="s">
        <v>361</v>
      </c>
      <c r="B1567" t="s">
        <v>214</v>
      </c>
      <c r="C1567">
        <v>0</v>
      </c>
      <c r="I1567" t="s">
        <v>2551</v>
      </c>
      <c r="J1567" t="s">
        <v>253</v>
      </c>
      <c r="K1567" t="s">
        <v>2822</v>
      </c>
    </row>
    <row r="1568" spans="1:11" x14ac:dyDescent="0.25">
      <c r="A1568" t="s">
        <v>362</v>
      </c>
      <c r="B1568" t="s">
        <v>214</v>
      </c>
      <c r="C1568">
        <v>36.36</v>
      </c>
      <c r="I1568" t="s">
        <v>2552</v>
      </c>
      <c r="J1568" t="s">
        <v>253</v>
      </c>
      <c r="K1568" t="s">
        <v>2822</v>
      </c>
    </row>
    <row r="1569" spans="1:11" x14ac:dyDescent="0.25">
      <c r="A1569" t="s">
        <v>363</v>
      </c>
      <c r="B1569" t="s">
        <v>214</v>
      </c>
      <c r="C1569">
        <v>0</v>
      </c>
      <c r="I1569" t="s">
        <v>2553</v>
      </c>
      <c r="J1569" t="s">
        <v>253</v>
      </c>
      <c r="K1569" t="s">
        <v>2822</v>
      </c>
    </row>
    <row r="1570" spans="1:11" x14ac:dyDescent="0.25">
      <c r="A1570" t="s">
        <v>364</v>
      </c>
      <c r="B1570" t="s">
        <v>214</v>
      </c>
      <c r="C1570">
        <v>0</v>
      </c>
      <c r="I1570" t="s">
        <v>2554</v>
      </c>
      <c r="J1570" t="s">
        <v>253</v>
      </c>
      <c r="K1570" t="s">
        <v>2822</v>
      </c>
    </row>
    <row r="1571" spans="1:11" x14ac:dyDescent="0.25">
      <c r="A1571" t="s">
        <v>365</v>
      </c>
      <c r="B1571" t="s">
        <v>214</v>
      </c>
      <c r="C1571">
        <v>1.45</v>
      </c>
      <c r="I1571" t="s">
        <v>2555</v>
      </c>
      <c r="J1571" t="s">
        <v>253</v>
      </c>
      <c r="K1571" t="s">
        <v>2822</v>
      </c>
    </row>
    <row r="1572" spans="1:11" x14ac:dyDescent="0.25">
      <c r="A1572" t="s">
        <v>366</v>
      </c>
      <c r="B1572" t="s">
        <v>214</v>
      </c>
      <c r="C1572">
        <v>7.27</v>
      </c>
      <c r="I1572" t="s">
        <v>2556</v>
      </c>
      <c r="J1572" t="s">
        <v>253</v>
      </c>
      <c r="K1572" t="s">
        <v>2822</v>
      </c>
    </row>
    <row r="1573" spans="1:11" x14ac:dyDescent="0.25">
      <c r="A1573" t="s">
        <v>367</v>
      </c>
      <c r="B1573" t="s">
        <v>214</v>
      </c>
      <c r="C1573">
        <v>0</v>
      </c>
      <c r="I1573" t="s">
        <v>1923</v>
      </c>
      <c r="J1573" t="s">
        <v>253</v>
      </c>
      <c r="K1573" t="s">
        <v>2822</v>
      </c>
    </row>
    <row r="1574" spans="1:11" x14ac:dyDescent="0.25">
      <c r="A1574" t="s">
        <v>368</v>
      </c>
      <c r="B1574" t="s">
        <v>214</v>
      </c>
      <c r="C1574">
        <v>12.36</v>
      </c>
      <c r="I1574" t="s">
        <v>2590</v>
      </c>
      <c r="J1574" t="s">
        <v>253</v>
      </c>
      <c r="K1574" t="s">
        <v>2822</v>
      </c>
    </row>
    <row r="1575" spans="1:11" x14ac:dyDescent="0.25">
      <c r="A1575" t="s">
        <v>369</v>
      </c>
      <c r="B1575" t="s">
        <v>214</v>
      </c>
      <c r="C1575">
        <v>7.27</v>
      </c>
      <c r="I1575" t="s">
        <v>1924</v>
      </c>
      <c r="J1575" t="s">
        <v>253</v>
      </c>
      <c r="K1575" t="s">
        <v>2822</v>
      </c>
    </row>
    <row r="1576" spans="1:11" x14ac:dyDescent="0.25">
      <c r="A1576" t="s">
        <v>370</v>
      </c>
      <c r="B1576" t="s">
        <v>214</v>
      </c>
      <c r="C1576">
        <v>0</v>
      </c>
      <c r="I1576" t="s">
        <v>2591</v>
      </c>
      <c r="J1576" t="s">
        <v>253</v>
      </c>
      <c r="K1576" t="s">
        <v>2822</v>
      </c>
    </row>
    <row r="1577" spans="1:11" x14ac:dyDescent="0.25">
      <c r="A1577" t="s">
        <v>371</v>
      </c>
      <c r="B1577" t="s">
        <v>214</v>
      </c>
      <c r="C1577">
        <v>0</v>
      </c>
      <c r="I1577" t="s">
        <v>1925</v>
      </c>
      <c r="J1577" t="s">
        <v>253</v>
      </c>
      <c r="K1577" t="s">
        <v>2822</v>
      </c>
    </row>
    <row r="1578" spans="1:11" x14ac:dyDescent="0.25">
      <c r="A1578" t="s">
        <v>372</v>
      </c>
      <c r="B1578" t="s">
        <v>214</v>
      </c>
      <c r="C1578">
        <v>0</v>
      </c>
      <c r="I1578" t="s">
        <v>2557</v>
      </c>
      <c r="J1578" t="s">
        <v>253</v>
      </c>
      <c r="K1578" t="s">
        <v>2822</v>
      </c>
    </row>
    <row r="1579" spans="1:11" x14ac:dyDescent="0.25">
      <c r="A1579" t="s">
        <v>373</v>
      </c>
      <c r="B1579" t="s">
        <v>214</v>
      </c>
      <c r="C1579">
        <v>0</v>
      </c>
      <c r="I1579" t="s">
        <v>2058</v>
      </c>
      <c r="J1579" t="s">
        <v>253</v>
      </c>
      <c r="K1579" t="s">
        <v>2822</v>
      </c>
    </row>
    <row r="1580" spans="1:11" x14ac:dyDescent="0.25">
      <c r="A1580" t="s">
        <v>374</v>
      </c>
      <c r="B1580" t="s">
        <v>214</v>
      </c>
      <c r="C1580">
        <v>0</v>
      </c>
      <c r="I1580" t="s">
        <v>1060</v>
      </c>
      <c r="J1580" t="s">
        <v>253</v>
      </c>
      <c r="K1580" t="s">
        <v>2822</v>
      </c>
    </row>
    <row r="1581" spans="1:11" x14ac:dyDescent="0.25">
      <c r="A1581" t="s">
        <v>375</v>
      </c>
      <c r="B1581" t="s">
        <v>214</v>
      </c>
      <c r="C1581">
        <v>18.18</v>
      </c>
      <c r="I1581" t="s">
        <v>1067</v>
      </c>
      <c r="J1581" t="s">
        <v>253</v>
      </c>
      <c r="K1581" t="s">
        <v>2822</v>
      </c>
    </row>
    <row r="1582" spans="1:11" x14ac:dyDescent="0.25">
      <c r="A1582" t="s">
        <v>2596</v>
      </c>
      <c r="B1582" t="s">
        <v>214</v>
      </c>
      <c r="C1582">
        <v>14.55</v>
      </c>
      <c r="I1582" t="s">
        <v>2547</v>
      </c>
      <c r="J1582" t="s">
        <v>253</v>
      </c>
      <c r="K1582" t="s">
        <v>2822</v>
      </c>
    </row>
    <row r="1583" spans="1:11" x14ac:dyDescent="0.25">
      <c r="A1583" t="s">
        <v>376</v>
      </c>
      <c r="B1583" t="s">
        <v>214</v>
      </c>
      <c r="C1583">
        <v>25.45</v>
      </c>
      <c r="I1583" t="s">
        <v>2559</v>
      </c>
      <c r="J1583" t="s">
        <v>253</v>
      </c>
      <c r="K1583" t="s">
        <v>2822</v>
      </c>
    </row>
    <row r="1584" spans="1:11" x14ac:dyDescent="0.25">
      <c r="A1584" t="s">
        <v>377</v>
      </c>
      <c r="B1584" t="s">
        <v>214</v>
      </c>
      <c r="C1584">
        <v>2.91</v>
      </c>
      <c r="I1584" t="s">
        <v>2560</v>
      </c>
      <c r="J1584" t="s">
        <v>253</v>
      </c>
      <c r="K1584" t="s">
        <v>2822</v>
      </c>
    </row>
    <row r="1585" spans="1:11" x14ac:dyDescent="0.25">
      <c r="A1585" t="s">
        <v>378</v>
      </c>
      <c r="B1585" t="s">
        <v>214</v>
      </c>
      <c r="C1585">
        <v>1.0900000000000001</v>
      </c>
      <c r="I1585" t="s">
        <v>2558</v>
      </c>
      <c r="J1585" t="s">
        <v>253</v>
      </c>
      <c r="K1585" t="s">
        <v>2822</v>
      </c>
    </row>
    <row r="1586" spans="1:11" x14ac:dyDescent="0.25">
      <c r="A1586" t="s">
        <v>379</v>
      </c>
      <c r="B1586" t="s">
        <v>214</v>
      </c>
      <c r="C1586">
        <v>4.3600000000000003</v>
      </c>
      <c r="I1586" t="s">
        <v>2548</v>
      </c>
      <c r="J1586" t="s">
        <v>253</v>
      </c>
      <c r="K1586" t="s">
        <v>2822</v>
      </c>
    </row>
    <row r="1587" spans="1:11" x14ac:dyDescent="0.25">
      <c r="A1587" t="s">
        <v>380</v>
      </c>
      <c r="B1587" t="s">
        <v>214</v>
      </c>
      <c r="C1587">
        <v>4.3600000000000003</v>
      </c>
      <c r="I1587" t="s">
        <v>1926</v>
      </c>
      <c r="J1587" t="s">
        <v>253</v>
      </c>
      <c r="K1587" t="s">
        <v>2822</v>
      </c>
    </row>
    <row r="1588" spans="1:11" x14ac:dyDescent="0.25">
      <c r="A1588" t="s">
        <v>381</v>
      </c>
      <c r="B1588" t="s">
        <v>214</v>
      </c>
      <c r="C1588">
        <v>3.64</v>
      </c>
      <c r="I1588" t="s">
        <v>2592</v>
      </c>
      <c r="J1588" t="s">
        <v>253</v>
      </c>
      <c r="K1588" t="s">
        <v>2822</v>
      </c>
    </row>
    <row r="1589" spans="1:11" x14ac:dyDescent="0.25">
      <c r="A1589" t="s">
        <v>382</v>
      </c>
      <c r="B1589" t="s">
        <v>214</v>
      </c>
      <c r="C1589">
        <v>1.45</v>
      </c>
      <c r="I1589" t="s">
        <v>15</v>
      </c>
      <c r="J1589" t="s">
        <v>253</v>
      </c>
      <c r="K1589" t="s">
        <v>2822</v>
      </c>
    </row>
    <row r="1590" spans="1:11" x14ac:dyDescent="0.25">
      <c r="A1590" t="s">
        <v>383</v>
      </c>
      <c r="B1590" t="s">
        <v>214</v>
      </c>
      <c r="C1590">
        <v>0</v>
      </c>
      <c r="I1590" t="s">
        <v>936</v>
      </c>
      <c r="J1590" t="s">
        <v>253</v>
      </c>
      <c r="K1590" t="s">
        <v>2822</v>
      </c>
    </row>
    <row r="1591" spans="1:11" x14ac:dyDescent="0.25">
      <c r="A1591" t="s">
        <v>384</v>
      </c>
      <c r="B1591" t="s">
        <v>214</v>
      </c>
      <c r="C1591">
        <v>7.27</v>
      </c>
      <c r="I1591" t="s">
        <v>2593</v>
      </c>
      <c r="J1591" t="s">
        <v>253</v>
      </c>
      <c r="K1591" t="s">
        <v>2822</v>
      </c>
    </row>
    <row r="1592" spans="1:11" x14ac:dyDescent="0.25">
      <c r="A1592" t="s">
        <v>385</v>
      </c>
      <c r="B1592" t="s">
        <v>214</v>
      </c>
      <c r="C1592">
        <v>0</v>
      </c>
      <c r="I1592" t="s">
        <v>235</v>
      </c>
      <c r="J1592" t="s">
        <v>253</v>
      </c>
      <c r="K1592" t="s">
        <v>2822</v>
      </c>
    </row>
    <row r="1593" spans="1:11" x14ac:dyDescent="0.25">
      <c r="A1593" t="s">
        <v>386</v>
      </c>
      <c r="B1593" t="s">
        <v>214</v>
      </c>
      <c r="C1593">
        <v>0</v>
      </c>
      <c r="I1593" t="s">
        <v>236</v>
      </c>
      <c r="J1593" t="s">
        <v>253</v>
      </c>
      <c r="K1593" t="s">
        <v>2822</v>
      </c>
    </row>
    <row r="1594" spans="1:11" x14ac:dyDescent="0.25">
      <c r="A1594" t="s">
        <v>387</v>
      </c>
      <c r="B1594" t="s">
        <v>214</v>
      </c>
      <c r="C1594">
        <v>0</v>
      </c>
      <c r="I1594" t="s">
        <v>2594</v>
      </c>
      <c r="J1594" t="s">
        <v>253</v>
      </c>
      <c r="K1594" t="s">
        <v>2822</v>
      </c>
    </row>
    <row r="1595" spans="1:11" x14ac:dyDescent="0.25">
      <c r="A1595" t="s">
        <v>388</v>
      </c>
      <c r="B1595" t="s">
        <v>214</v>
      </c>
      <c r="C1595">
        <v>0</v>
      </c>
      <c r="I1595" t="s">
        <v>2595</v>
      </c>
      <c r="J1595" t="s">
        <v>253</v>
      </c>
      <c r="K1595" t="s">
        <v>2822</v>
      </c>
    </row>
    <row r="1596" spans="1:11" x14ac:dyDescent="0.25">
      <c r="A1596" t="s">
        <v>389</v>
      </c>
      <c r="B1596" t="s">
        <v>214</v>
      </c>
      <c r="C1596">
        <v>7.27</v>
      </c>
      <c r="I1596" t="s">
        <v>1203</v>
      </c>
      <c r="J1596" t="s">
        <v>253</v>
      </c>
      <c r="K1596" t="s">
        <v>2822</v>
      </c>
    </row>
    <row r="1597" spans="1:11" x14ac:dyDescent="0.25">
      <c r="A1597" t="s">
        <v>1281</v>
      </c>
      <c r="B1597" t="s">
        <v>214</v>
      </c>
      <c r="C1597">
        <v>2.1800000000000002</v>
      </c>
      <c r="I1597" t="s">
        <v>238</v>
      </c>
      <c r="J1597" t="s">
        <v>253</v>
      </c>
      <c r="K1597" t="s">
        <v>2822</v>
      </c>
    </row>
    <row r="1598" spans="1:11" x14ac:dyDescent="0.25">
      <c r="A1598" t="s">
        <v>390</v>
      </c>
      <c r="B1598" t="s">
        <v>214</v>
      </c>
      <c r="C1598">
        <v>0</v>
      </c>
      <c r="I1598" t="s">
        <v>2406</v>
      </c>
      <c r="J1598" t="s">
        <v>253</v>
      </c>
      <c r="K1598" t="s">
        <v>2822</v>
      </c>
    </row>
    <row r="1599" spans="1:11" x14ac:dyDescent="0.25">
      <c r="A1599" t="s">
        <v>391</v>
      </c>
      <c r="B1599" t="s">
        <v>214</v>
      </c>
      <c r="C1599">
        <v>18.18</v>
      </c>
      <c r="I1599" t="s">
        <v>239</v>
      </c>
      <c r="J1599" t="s">
        <v>253</v>
      </c>
      <c r="K1599" t="s">
        <v>2822</v>
      </c>
    </row>
    <row r="1600" spans="1:11" x14ac:dyDescent="0.25">
      <c r="A1600" t="s">
        <v>392</v>
      </c>
      <c r="B1600" t="s">
        <v>214</v>
      </c>
      <c r="C1600">
        <v>0</v>
      </c>
      <c r="I1600" t="s">
        <v>259</v>
      </c>
      <c r="J1600" t="s">
        <v>253</v>
      </c>
      <c r="K1600" t="s">
        <v>2822</v>
      </c>
    </row>
    <row r="1601" spans="1:11" x14ac:dyDescent="0.25">
      <c r="A1601" t="s">
        <v>393</v>
      </c>
      <c r="B1601" t="s">
        <v>214</v>
      </c>
      <c r="C1601">
        <v>0</v>
      </c>
      <c r="I1601" t="s">
        <v>260</v>
      </c>
      <c r="J1601" t="s">
        <v>253</v>
      </c>
      <c r="K1601" t="s">
        <v>2822</v>
      </c>
    </row>
    <row r="1602" spans="1:11" x14ac:dyDescent="0.25">
      <c r="A1602" t="s">
        <v>394</v>
      </c>
      <c r="B1602" t="s">
        <v>214</v>
      </c>
      <c r="C1602">
        <v>0</v>
      </c>
      <c r="I1602" t="s">
        <v>269</v>
      </c>
      <c r="J1602" t="s">
        <v>253</v>
      </c>
      <c r="K1602" t="s">
        <v>2822</v>
      </c>
    </row>
    <row r="1603" spans="1:11" x14ac:dyDescent="0.25">
      <c r="A1603" t="s">
        <v>395</v>
      </c>
      <c r="B1603" t="s">
        <v>214</v>
      </c>
      <c r="C1603">
        <v>0</v>
      </c>
      <c r="I1603" t="s">
        <v>270</v>
      </c>
      <c r="J1603" t="s">
        <v>253</v>
      </c>
      <c r="K1603" t="s">
        <v>2822</v>
      </c>
    </row>
    <row r="1604" spans="1:11" x14ac:dyDescent="0.25">
      <c r="A1604" t="s">
        <v>2597</v>
      </c>
      <c r="B1604" t="s">
        <v>214</v>
      </c>
      <c r="C1604">
        <v>0</v>
      </c>
      <c r="I1604" t="s">
        <v>277</v>
      </c>
      <c r="J1604" t="s">
        <v>253</v>
      </c>
      <c r="K1604" t="s">
        <v>2822</v>
      </c>
    </row>
    <row r="1605" spans="1:11" x14ac:dyDescent="0.25">
      <c r="A1605" t="s">
        <v>396</v>
      </c>
      <c r="B1605" t="s">
        <v>214</v>
      </c>
      <c r="C1605">
        <v>0</v>
      </c>
      <c r="I1605" t="s">
        <v>278</v>
      </c>
      <c r="J1605" t="s">
        <v>253</v>
      </c>
      <c r="K1605" t="s">
        <v>2822</v>
      </c>
    </row>
    <row r="1606" spans="1:11" x14ac:dyDescent="0.25">
      <c r="A1606" t="s">
        <v>397</v>
      </c>
      <c r="B1606" t="s">
        <v>214</v>
      </c>
      <c r="C1606">
        <v>0</v>
      </c>
      <c r="I1606" t="s">
        <v>279</v>
      </c>
      <c r="J1606" t="s">
        <v>253</v>
      </c>
      <c r="K1606" t="s">
        <v>2822</v>
      </c>
    </row>
    <row r="1607" spans="1:11" x14ac:dyDescent="0.25">
      <c r="A1607" t="s">
        <v>398</v>
      </c>
      <c r="B1607" t="s">
        <v>214</v>
      </c>
      <c r="C1607">
        <v>0</v>
      </c>
      <c r="I1607" t="s">
        <v>280</v>
      </c>
      <c r="J1607" t="s">
        <v>253</v>
      </c>
      <c r="K1607" t="s">
        <v>2822</v>
      </c>
    </row>
    <row r="1608" spans="1:11" x14ac:dyDescent="0.25">
      <c r="A1608" t="s">
        <v>399</v>
      </c>
      <c r="B1608" t="s">
        <v>214</v>
      </c>
      <c r="C1608">
        <v>0</v>
      </c>
      <c r="I1608" t="s">
        <v>281</v>
      </c>
      <c r="J1608" t="s">
        <v>253</v>
      </c>
      <c r="K1608" t="s">
        <v>2822</v>
      </c>
    </row>
    <row r="1609" spans="1:11" x14ac:dyDescent="0.25">
      <c r="A1609" t="s">
        <v>400</v>
      </c>
      <c r="B1609" t="s">
        <v>214</v>
      </c>
      <c r="C1609">
        <v>0</v>
      </c>
      <c r="I1609" t="s">
        <v>282</v>
      </c>
      <c r="J1609" t="s">
        <v>253</v>
      </c>
      <c r="K1609" t="s">
        <v>2822</v>
      </c>
    </row>
    <row r="1610" spans="1:11" x14ac:dyDescent="0.25">
      <c r="A1610" t="s">
        <v>401</v>
      </c>
      <c r="B1610" t="s">
        <v>214</v>
      </c>
      <c r="C1610">
        <v>0</v>
      </c>
      <c r="I1610" t="s">
        <v>2420</v>
      </c>
      <c r="J1610" t="s">
        <v>253</v>
      </c>
      <c r="K1610" t="s">
        <v>2822</v>
      </c>
    </row>
    <row r="1611" spans="1:11" x14ac:dyDescent="0.25">
      <c r="A1611" t="s">
        <v>402</v>
      </c>
      <c r="B1611" t="s">
        <v>214</v>
      </c>
      <c r="C1611">
        <v>0</v>
      </c>
      <c r="I1611" t="s">
        <v>2446</v>
      </c>
      <c r="J1611" t="s">
        <v>253</v>
      </c>
      <c r="K1611" t="s">
        <v>2822</v>
      </c>
    </row>
    <row r="1612" spans="1:11" x14ac:dyDescent="0.25">
      <c r="A1612" t="s">
        <v>403</v>
      </c>
      <c r="B1612" t="s">
        <v>214</v>
      </c>
      <c r="C1612">
        <v>0</v>
      </c>
      <c r="I1612" t="s">
        <v>2523</v>
      </c>
      <c r="J1612" t="s">
        <v>253</v>
      </c>
      <c r="K1612" t="s">
        <v>2822</v>
      </c>
    </row>
    <row r="1613" spans="1:11" x14ac:dyDescent="0.25">
      <c r="A1613" t="s">
        <v>404</v>
      </c>
      <c r="B1613" t="s">
        <v>214</v>
      </c>
      <c r="C1613">
        <v>0</v>
      </c>
      <c r="I1613" t="s">
        <v>299</v>
      </c>
      <c r="J1613" t="s">
        <v>253</v>
      </c>
      <c r="K1613" t="s">
        <v>2822</v>
      </c>
    </row>
    <row r="1614" spans="1:11" x14ac:dyDescent="0.25">
      <c r="A1614" t="s">
        <v>405</v>
      </c>
      <c r="B1614" t="s">
        <v>214</v>
      </c>
      <c r="C1614">
        <v>0</v>
      </c>
      <c r="I1614" t="s">
        <v>336</v>
      </c>
      <c r="J1614" t="s">
        <v>253</v>
      </c>
      <c r="K1614" t="s">
        <v>2822</v>
      </c>
    </row>
    <row r="1615" spans="1:11" x14ac:dyDescent="0.25">
      <c r="A1615" t="s">
        <v>406</v>
      </c>
      <c r="B1615" t="s">
        <v>214</v>
      </c>
      <c r="C1615">
        <v>0</v>
      </c>
      <c r="I1615" t="s">
        <v>337</v>
      </c>
      <c r="J1615" t="s">
        <v>253</v>
      </c>
      <c r="K1615" t="s">
        <v>2822</v>
      </c>
    </row>
    <row r="1616" spans="1:11" x14ac:dyDescent="0.25">
      <c r="A1616" t="s">
        <v>407</v>
      </c>
      <c r="B1616" t="s">
        <v>214</v>
      </c>
      <c r="C1616">
        <v>4.3600000000000003</v>
      </c>
      <c r="I1616" t="s">
        <v>338</v>
      </c>
      <c r="J1616" t="s">
        <v>253</v>
      </c>
      <c r="K1616" t="s">
        <v>2822</v>
      </c>
    </row>
    <row r="1617" spans="1:11" x14ac:dyDescent="0.25">
      <c r="A1617" t="s">
        <v>408</v>
      </c>
      <c r="B1617" t="s">
        <v>214</v>
      </c>
      <c r="C1617">
        <v>0</v>
      </c>
      <c r="I1617" t="s">
        <v>339</v>
      </c>
      <c r="J1617" t="s">
        <v>253</v>
      </c>
      <c r="K1617" t="s">
        <v>2822</v>
      </c>
    </row>
    <row r="1618" spans="1:11" x14ac:dyDescent="0.25">
      <c r="A1618" t="s">
        <v>409</v>
      </c>
      <c r="B1618" t="s">
        <v>214</v>
      </c>
      <c r="C1618">
        <v>0</v>
      </c>
      <c r="I1618" t="s">
        <v>340</v>
      </c>
      <c r="J1618" t="s">
        <v>253</v>
      </c>
      <c r="K1618" t="s">
        <v>2822</v>
      </c>
    </row>
    <row r="1619" spans="1:11" x14ac:dyDescent="0.25">
      <c r="A1619" t="s">
        <v>410</v>
      </c>
      <c r="B1619" t="s">
        <v>214</v>
      </c>
      <c r="C1619">
        <v>0</v>
      </c>
      <c r="I1619" t="s">
        <v>343</v>
      </c>
      <c r="J1619" t="s">
        <v>253</v>
      </c>
      <c r="K1619" t="s">
        <v>2822</v>
      </c>
    </row>
    <row r="1620" spans="1:11" x14ac:dyDescent="0.25">
      <c r="A1620" t="s">
        <v>411</v>
      </c>
      <c r="B1620" t="s">
        <v>214</v>
      </c>
      <c r="C1620">
        <v>23.64</v>
      </c>
      <c r="I1620" t="s">
        <v>344</v>
      </c>
      <c r="J1620" t="s">
        <v>253</v>
      </c>
      <c r="K1620" t="s">
        <v>2822</v>
      </c>
    </row>
    <row r="1621" spans="1:11" x14ac:dyDescent="0.25">
      <c r="A1621" t="s">
        <v>412</v>
      </c>
      <c r="B1621" t="s">
        <v>214</v>
      </c>
      <c r="C1621">
        <v>18.18</v>
      </c>
      <c r="I1621" t="s">
        <v>345</v>
      </c>
      <c r="J1621" t="s">
        <v>253</v>
      </c>
      <c r="K1621" t="s">
        <v>2822</v>
      </c>
    </row>
    <row r="1622" spans="1:11" x14ac:dyDescent="0.25">
      <c r="A1622" t="s">
        <v>413</v>
      </c>
      <c r="B1622" t="s">
        <v>214</v>
      </c>
      <c r="C1622">
        <v>27.27</v>
      </c>
      <c r="I1622" t="s">
        <v>346</v>
      </c>
      <c r="J1622" t="s">
        <v>253</v>
      </c>
      <c r="K1622" t="s">
        <v>2822</v>
      </c>
    </row>
    <row r="1623" spans="1:11" x14ac:dyDescent="0.25">
      <c r="A1623" t="s">
        <v>414</v>
      </c>
      <c r="B1623" t="s">
        <v>214</v>
      </c>
      <c r="C1623">
        <v>3.64</v>
      </c>
      <c r="I1623" t="s">
        <v>347</v>
      </c>
      <c r="J1623" t="s">
        <v>253</v>
      </c>
      <c r="K1623" t="s">
        <v>2822</v>
      </c>
    </row>
    <row r="1624" spans="1:11" x14ac:dyDescent="0.25">
      <c r="A1624" t="s">
        <v>415</v>
      </c>
      <c r="B1624" t="s">
        <v>214</v>
      </c>
      <c r="C1624">
        <v>0</v>
      </c>
      <c r="I1624" t="s">
        <v>348</v>
      </c>
      <c r="J1624" t="s">
        <v>253</v>
      </c>
      <c r="K1624" t="s">
        <v>2822</v>
      </c>
    </row>
    <row r="1625" spans="1:11" x14ac:dyDescent="0.25">
      <c r="A1625" t="s">
        <v>416</v>
      </c>
      <c r="B1625" t="s">
        <v>214</v>
      </c>
      <c r="C1625">
        <v>0</v>
      </c>
      <c r="I1625" t="s">
        <v>2193</v>
      </c>
      <c r="J1625" t="s">
        <v>253</v>
      </c>
      <c r="K1625" t="s">
        <v>2822</v>
      </c>
    </row>
    <row r="1626" spans="1:11" x14ac:dyDescent="0.25">
      <c r="A1626" t="s">
        <v>417</v>
      </c>
      <c r="B1626" t="s">
        <v>214</v>
      </c>
      <c r="C1626">
        <v>0</v>
      </c>
      <c r="I1626" t="s">
        <v>2194</v>
      </c>
      <c r="J1626" t="s">
        <v>253</v>
      </c>
      <c r="K1626" t="s">
        <v>2822</v>
      </c>
    </row>
    <row r="1627" spans="1:11" x14ac:dyDescent="0.25">
      <c r="A1627" t="s">
        <v>418</v>
      </c>
      <c r="B1627" t="s">
        <v>214</v>
      </c>
      <c r="C1627">
        <v>0</v>
      </c>
      <c r="I1627" t="s">
        <v>349</v>
      </c>
      <c r="J1627" t="s">
        <v>253</v>
      </c>
      <c r="K1627" t="s">
        <v>2822</v>
      </c>
    </row>
    <row r="1628" spans="1:11" x14ac:dyDescent="0.25">
      <c r="A1628" t="s">
        <v>419</v>
      </c>
      <c r="B1628" t="s">
        <v>214</v>
      </c>
      <c r="C1628">
        <v>0</v>
      </c>
      <c r="I1628" t="s">
        <v>350</v>
      </c>
      <c r="J1628" t="s">
        <v>253</v>
      </c>
      <c r="K1628" t="s">
        <v>2822</v>
      </c>
    </row>
    <row r="1629" spans="1:11" x14ac:dyDescent="0.25">
      <c r="A1629" t="s">
        <v>420</v>
      </c>
      <c r="B1629" t="s">
        <v>214</v>
      </c>
      <c r="C1629">
        <v>0</v>
      </c>
      <c r="I1629" t="s">
        <v>351</v>
      </c>
      <c r="J1629" t="s">
        <v>253</v>
      </c>
      <c r="K1629" t="s">
        <v>2822</v>
      </c>
    </row>
    <row r="1630" spans="1:11" x14ac:dyDescent="0.25">
      <c r="A1630" t="s">
        <v>421</v>
      </c>
      <c r="B1630" t="s">
        <v>214</v>
      </c>
      <c r="C1630">
        <v>4.3600000000000003</v>
      </c>
      <c r="I1630" t="s">
        <v>352</v>
      </c>
      <c r="J1630" t="s">
        <v>253</v>
      </c>
      <c r="K1630" t="s">
        <v>2822</v>
      </c>
    </row>
    <row r="1631" spans="1:11" x14ac:dyDescent="0.25">
      <c r="A1631" t="s">
        <v>422</v>
      </c>
      <c r="B1631" t="s">
        <v>214</v>
      </c>
      <c r="C1631">
        <v>18.18</v>
      </c>
      <c r="I1631" t="s">
        <v>353</v>
      </c>
      <c r="J1631" t="s">
        <v>253</v>
      </c>
      <c r="K1631" t="s">
        <v>2822</v>
      </c>
    </row>
    <row r="1632" spans="1:11" x14ac:dyDescent="0.25">
      <c r="A1632" t="s">
        <v>423</v>
      </c>
      <c r="B1632" t="s">
        <v>214</v>
      </c>
      <c r="C1632">
        <v>3.64</v>
      </c>
      <c r="I1632" t="s">
        <v>354</v>
      </c>
      <c r="J1632" t="s">
        <v>253</v>
      </c>
      <c r="K1632" t="s">
        <v>2822</v>
      </c>
    </row>
    <row r="1633" spans="1:11" x14ac:dyDescent="0.25">
      <c r="A1633" t="s">
        <v>424</v>
      </c>
      <c r="B1633" t="s">
        <v>214</v>
      </c>
      <c r="C1633">
        <v>1.82</v>
      </c>
      <c r="I1633" t="s">
        <v>355</v>
      </c>
      <c r="J1633" t="s">
        <v>253</v>
      </c>
      <c r="K1633" t="s">
        <v>2822</v>
      </c>
    </row>
    <row r="1634" spans="1:11" x14ac:dyDescent="0.25">
      <c r="A1634" t="s">
        <v>425</v>
      </c>
      <c r="B1634" t="s">
        <v>214</v>
      </c>
      <c r="C1634">
        <v>0.36</v>
      </c>
      <c r="I1634" t="s">
        <v>356</v>
      </c>
      <c r="J1634" t="s">
        <v>253</v>
      </c>
      <c r="K1634" t="s">
        <v>2822</v>
      </c>
    </row>
    <row r="1635" spans="1:11" x14ac:dyDescent="0.25">
      <c r="A1635" t="s">
        <v>426</v>
      </c>
      <c r="B1635" t="s">
        <v>214</v>
      </c>
      <c r="C1635">
        <v>0</v>
      </c>
      <c r="I1635" t="s">
        <v>357</v>
      </c>
      <c r="J1635" t="s">
        <v>253</v>
      </c>
      <c r="K1635" t="s">
        <v>2822</v>
      </c>
    </row>
    <row r="1636" spans="1:11" x14ac:dyDescent="0.25">
      <c r="A1636" t="s">
        <v>427</v>
      </c>
      <c r="B1636" t="s">
        <v>214</v>
      </c>
      <c r="C1636">
        <v>0</v>
      </c>
      <c r="I1636" t="s">
        <v>2196</v>
      </c>
      <c r="J1636" t="s">
        <v>253</v>
      </c>
      <c r="K1636" t="s">
        <v>2822</v>
      </c>
    </row>
    <row r="1637" spans="1:11" x14ac:dyDescent="0.25">
      <c r="A1637" t="s">
        <v>428</v>
      </c>
      <c r="B1637" t="s">
        <v>214</v>
      </c>
      <c r="C1637">
        <v>2.91</v>
      </c>
      <c r="I1637" t="s">
        <v>358</v>
      </c>
      <c r="J1637" t="s">
        <v>253</v>
      </c>
      <c r="K1637" t="s">
        <v>2822</v>
      </c>
    </row>
    <row r="1638" spans="1:11" x14ac:dyDescent="0.25">
      <c r="A1638" t="s">
        <v>429</v>
      </c>
      <c r="B1638" t="s">
        <v>214</v>
      </c>
      <c r="C1638">
        <v>0</v>
      </c>
      <c r="I1638" t="s">
        <v>359</v>
      </c>
      <c r="J1638" t="s">
        <v>253</v>
      </c>
      <c r="K1638" t="s">
        <v>2822</v>
      </c>
    </row>
    <row r="1639" spans="1:11" x14ac:dyDescent="0.25">
      <c r="A1639" t="s">
        <v>430</v>
      </c>
      <c r="B1639" t="s">
        <v>214</v>
      </c>
      <c r="C1639">
        <v>5.45</v>
      </c>
      <c r="I1639" t="s">
        <v>360</v>
      </c>
      <c r="J1639" t="s">
        <v>253</v>
      </c>
      <c r="K1639" t="s">
        <v>2822</v>
      </c>
    </row>
    <row r="1640" spans="1:11" x14ac:dyDescent="0.25">
      <c r="A1640" t="s">
        <v>431</v>
      </c>
      <c r="B1640" t="s">
        <v>214</v>
      </c>
      <c r="C1640">
        <v>0</v>
      </c>
      <c r="I1640" t="s">
        <v>361</v>
      </c>
      <c r="J1640" t="s">
        <v>253</v>
      </c>
      <c r="K1640" t="s">
        <v>2822</v>
      </c>
    </row>
    <row r="1641" spans="1:11" x14ac:dyDescent="0.25">
      <c r="A1641" t="s">
        <v>432</v>
      </c>
      <c r="B1641" t="s">
        <v>214</v>
      </c>
      <c r="C1641">
        <v>3.64</v>
      </c>
      <c r="I1641" t="s">
        <v>362</v>
      </c>
      <c r="J1641" t="s">
        <v>253</v>
      </c>
      <c r="K1641" t="s">
        <v>2822</v>
      </c>
    </row>
    <row r="1642" spans="1:11" x14ac:dyDescent="0.25">
      <c r="A1642" t="s">
        <v>433</v>
      </c>
      <c r="B1642" t="s">
        <v>214</v>
      </c>
      <c r="C1642">
        <v>0</v>
      </c>
      <c r="I1642" t="s">
        <v>363</v>
      </c>
      <c r="J1642" t="s">
        <v>253</v>
      </c>
      <c r="K1642" t="s">
        <v>2822</v>
      </c>
    </row>
    <row r="1643" spans="1:11" x14ac:dyDescent="0.25">
      <c r="A1643" t="s">
        <v>434</v>
      </c>
      <c r="B1643" t="s">
        <v>214</v>
      </c>
      <c r="C1643">
        <v>0</v>
      </c>
      <c r="I1643" t="s">
        <v>364</v>
      </c>
      <c r="J1643" t="s">
        <v>253</v>
      </c>
      <c r="K1643" t="s">
        <v>2822</v>
      </c>
    </row>
    <row r="1644" spans="1:11" x14ac:dyDescent="0.25">
      <c r="A1644" t="s">
        <v>2598</v>
      </c>
      <c r="B1644" t="s">
        <v>214</v>
      </c>
      <c r="C1644">
        <v>0</v>
      </c>
      <c r="I1644" t="s">
        <v>365</v>
      </c>
      <c r="J1644" t="s">
        <v>253</v>
      </c>
      <c r="K1644" t="s">
        <v>2822</v>
      </c>
    </row>
    <row r="1645" spans="1:11" x14ac:dyDescent="0.25">
      <c r="A1645" t="s">
        <v>435</v>
      </c>
      <c r="B1645" t="s">
        <v>214</v>
      </c>
      <c r="C1645">
        <v>32.729999999999997</v>
      </c>
      <c r="I1645" t="s">
        <v>366</v>
      </c>
      <c r="J1645" t="s">
        <v>253</v>
      </c>
      <c r="K1645" t="s">
        <v>2822</v>
      </c>
    </row>
    <row r="1646" spans="1:11" x14ac:dyDescent="0.25">
      <c r="A1646" t="s">
        <v>436</v>
      </c>
      <c r="B1646" t="s">
        <v>214</v>
      </c>
      <c r="C1646">
        <v>0</v>
      </c>
      <c r="I1646" t="s">
        <v>367</v>
      </c>
      <c r="J1646" t="s">
        <v>253</v>
      </c>
      <c r="K1646" t="s">
        <v>2822</v>
      </c>
    </row>
    <row r="1647" spans="1:11" x14ac:dyDescent="0.25">
      <c r="A1647" t="s">
        <v>437</v>
      </c>
      <c r="B1647" t="s">
        <v>214</v>
      </c>
      <c r="C1647">
        <v>0</v>
      </c>
      <c r="I1647" t="s">
        <v>368</v>
      </c>
      <c r="J1647" t="s">
        <v>253</v>
      </c>
      <c r="K1647" t="s">
        <v>2822</v>
      </c>
    </row>
    <row r="1648" spans="1:11" x14ac:dyDescent="0.25">
      <c r="A1648" t="s">
        <v>438</v>
      </c>
      <c r="B1648" t="s">
        <v>214</v>
      </c>
      <c r="C1648">
        <v>0</v>
      </c>
      <c r="I1648" t="s">
        <v>369</v>
      </c>
      <c r="J1648" t="s">
        <v>253</v>
      </c>
      <c r="K1648" t="s">
        <v>2822</v>
      </c>
    </row>
    <row r="1649" spans="1:11" x14ac:dyDescent="0.25">
      <c r="A1649" t="s">
        <v>2219</v>
      </c>
      <c r="B1649" t="s">
        <v>214</v>
      </c>
      <c r="C1649">
        <v>0</v>
      </c>
      <c r="I1649" t="s">
        <v>370</v>
      </c>
      <c r="J1649" t="s">
        <v>253</v>
      </c>
      <c r="K1649" t="s">
        <v>2822</v>
      </c>
    </row>
    <row r="1650" spans="1:11" x14ac:dyDescent="0.25">
      <c r="A1650" t="s">
        <v>439</v>
      </c>
      <c r="B1650" t="s">
        <v>214</v>
      </c>
      <c r="C1650">
        <v>0</v>
      </c>
      <c r="I1650" t="s">
        <v>371</v>
      </c>
      <c r="J1650" t="s">
        <v>253</v>
      </c>
      <c r="K1650" t="s">
        <v>2822</v>
      </c>
    </row>
    <row r="1651" spans="1:11" x14ac:dyDescent="0.25">
      <c r="A1651" t="s">
        <v>2472</v>
      </c>
      <c r="B1651" t="s">
        <v>214</v>
      </c>
      <c r="I1651" t="s">
        <v>372</v>
      </c>
      <c r="J1651" t="s">
        <v>253</v>
      </c>
      <c r="K1651" t="s">
        <v>2822</v>
      </c>
    </row>
    <row r="1652" spans="1:11" x14ac:dyDescent="0.25">
      <c r="A1652" t="s">
        <v>2220</v>
      </c>
      <c r="B1652" t="s">
        <v>214</v>
      </c>
      <c r="C1652">
        <v>0</v>
      </c>
      <c r="I1652" t="s">
        <v>373</v>
      </c>
      <c r="J1652" t="s">
        <v>253</v>
      </c>
      <c r="K1652" t="s">
        <v>2822</v>
      </c>
    </row>
    <row r="1653" spans="1:11" x14ac:dyDescent="0.25">
      <c r="A1653" t="s">
        <v>440</v>
      </c>
      <c r="B1653" t="s">
        <v>214</v>
      </c>
      <c r="C1653">
        <v>0</v>
      </c>
      <c r="I1653" t="s">
        <v>374</v>
      </c>
      <c r="J1653" t="s">
        <v>253</v>
      </c>
      <c r="K1653" t="s">
        <v>2822</v>
      </c>
    </row>
    <row r="1654" spans="1:11" x14ac:dyDescent="0.25">
      <c r="A1654" t="s">
        <v>441</v>
      </c>
      <c r="B1654" t="s">
        <v>214</v>
      </c>
      <c r="C1654">
        <v>1.82</v>
      </c>
      <c r="I1654" t="s">
        <v>375</v>
      </c>
      <c r="J1654" t="s">
        <v>253</v>
      </c>
      <c r="K1654" t="s">
        <v>2822</v>
      </c>
    </row>
    <row r="1655" spans="1:11" x14ac:dyDescent="0.25">
      <c r="A1655" t="s">
        <v>442</v>
      </c>
      <c r="B1655" t="s">
        <v>214</v>
      </c>
      <c r="C1655">
        <v>3.64</v>
      </c>
      <c r="I1655" t="s">
        <v>2596</v>
      </c>
      <c r="J1655" t="s">
        <v>253</v>
      </c>
      <c r="K1655" t="s">
        <v>2822</v>
      </c>
    </row>
    <row r="1656" spans="1:11" x14ac:dyDescent="0.25">
      <c r="A1656" t="s">
        <v>443</v>
      </c>
      <c r="B1656" t="s">
        <v>214</v>
      </c>
      <c r="C1656">
        <v>0</v>
      </c>
      <c r="I1656" t="s">
        <v>376</v>
      </c>
      <c r="J1656" t="s">
        <v>253</v>
      </c>
      <c r="K1656" t="s">
        <v>2822</v>
      </c>
    </row>
    <row r="1657" spans="1:11" x14ac:dyDescent="0.25">
      <c r="A1657" t="s">
        <v>444</v>
      </c>
      <c r="B1657" t="s">
        <v>214</v>
      </c>
      <c r="C1657">
        <v>7.27</v>
      </c>
      <c r="I1657" t="s">
        <v>377</v>
      </c>
      <c r="J1657" t="s">
        <v>253</v>
      </c>
      <c r="K1657" t="s">
        <v>2822</v>
      </c>
    </row>
    <row r="1658" spans="1:11" x14ac:dyDescent="0.25">
      <c r="A1658" t="s">
        <v>445</v>
      </c>
      <c r="B1658" t="s">
        <v>214</v>
      </c>
      <c r="C1658">
        <v>7.27</v>
      </c>
      <c r="I1658" t="s">
        <v>378</v>
      </c>
      <c r="J1658" t="s">
        <v>253</v>
      </c>
      <c r="K1658" t="s">
        <v>2822</v>
      </c>
    </row>
    <row r="1659" spans="1:11" x14ac:dyDescent="0.25">
      <c r="A1659" t="s">
        <v>2599</v>
      </c>
      <c r="B1659" t="s">
        <v>214</v>
      </c>
      <c r="C1659">
        <v>0</v>
      </c>
      <c r="I1659" t="s">
        <v>379</v>
      </c>
      <c r="J1659" t="s">
        <v>253</v>
      </c>
      <c r="K1659" t="s">
        <v>2822</v>
      </c>
    </row>
    <row r="1660" spans="1:11" x14ac:dyDescent="0.25">
      <c r="A1660" t="s">
        <v>446</v>
      </c>
      <c r="B1660" t="s">
        <v>214</v>
      </c>
      <c r="C1660">
        <v>0</v>
      </c>
      <c r="I1660" t="s">
        <v>380</v>
      </c>
      <c r="J1660" t="s">
        <v>253</v>
      </c>
      <c r="K1660" t="s">
        <v>2822</v>
      </c>
    </row>
    <row r="1661" spans="1:11" x14ac:dyDescent="0.25">
      <c r="A1661" t="s">
        <v>447</v>
      </c>
      <c r="B1661" t="s">
        <v>214</v>
      </c>
      <c r="C1661">
        <v>0</v>
      </c>
      <c r="I1661" t="s">
        <v>381</v>
      </c>
      <c r="J1661" t="s">
        <v>253</v>
      </c>
      <c r="K1661" t="s">
        <v>2822</v>
      </c>
    </row>
    <row r="1662" spans="1:11" x14ac:dyDescent="0.25">
      <c r="A1662" t="s">
        <v>448</v>
      </c>
      <c r="B1662" t="s">
        <v>214</v>
      </c>
      <c r="C1662">
        <v>47.27</v>
      </c>
      <c r="I1662" t="s">
        <v>382</v>
      </c>
      <c r="J1662" t="s">
        <v>253</v>
      </c>
      <c r="K1662" t="s">
        <v>2822</v>
      </c>
    </row>
    <row r="1663" spans="1:11" x14ac:dyDescent="0.25">
      <c r="A1663" t="s">
        <v>449</v>
      </c>
      <c r="B1663" t="s">
        <v>214</v>
      </c>
      <c r="C1663">
        <v>18.18</v>
      </c>
      <c r="I1663" t="s">
        <v>383</v>
      </c>
      <c r="J1663" t="s">
        <v>253</v>
      </c>
      <c r="K1663" t="s">
        <v>2822</v>
      </c>
    </row>
    <row r="1664" spans="1:11" x14ac:dyDescent="0.25">
      <c r="A1664" t="s">
        <v>450</v>
      </c>
      <c r="B1664" t="s">
        <v>214</v>
      </c>
      <c r="C1664">
        <v>5.45</v>
      </c>
      <c r="I1664" t="s">
        <v>384</v>
      </c>
      <c r="J1664" t="s">
        <v>253</v>
      </c>
      <c r="K1664" t="s">
        <v>2822</v>
      </c>
    </row>
    <row r="1665" spans="1:11" x14ac:dyDescent="0.25">
      <c r="A1665" t="s">
        <v>451</v>
      </c>
      <c r="B1665" t="s">
        <v>214</v>
      </c>
      <c r="C1665">
        <v>3.64</v>
      </c>
      <c r="I1665" t="s">
        <v>385</v>
      </c>
      <c r="J1665" t="s">
        <v>253</v>
      </c>
      <c r="K1665" t="s">
        <v>2822</v>
      </c>
    </row>
    <row r="1666" spans="1:11" x14ac:dyDescent="0.25">
      <c r="A1666" t="s">
        <v>452</v>
      </c>
      <c r="B1666" t="s">
        <v>214</v>
      </c>
      <c r="C1666">
        <v>7.27</v>
      </c>
      <c r="I1666" t="s">
        <v>386</v>
      </c>
      <c r="J1666" t="s">
        <v>253</v>
      </c>
      <c r="K1666" t="s">
        <v>2822</v>
      </c>
    </row>
    <row r="1667" spans="1:11" x14ac:dyDescent="0.25">
      <c r="A1667" t="s">
        <v>453</v>
      </c>
      <c r="B1667" t="s">
        <v>214</v>
      </c>
      <c r="C1667">
        <v>0</v>
      </c>
      <c r="I1667" t="s">
        <v>387</v>
      </c>
      <c r="J1667" t="s">
        <v>253</v>
      </c>
      <c r="K1667" t="s">
        <v>2822</v>
      </c>
    </row>
    <row r="1668" spans="1:11" x14ac:dyDescent="0.25">
      <c r="A1668" t="s">
        <v>454</v>
      </c>
      <c r="B1668" t="s">
        <v>214</v>
      </c>
      <c r="C1668">
        <v>0</v>
      </c>
      <c r="I1668" t="s">
        <v>388</v>
      </c>
      <c r="J1668" t="s">
        <v>253</v>
      </c>
      <c r="K1668" t="s">
        <v>2822</v>
      </c>
    </row>
    <row r="1669" spans="1:11" x14ac:dyDescent="0.25">
      <c r="A1669" t="s">
        <v>455</v>
      </c>
      <c r="B1669" t="s">
        <v>214</v>
      </c>
      <c r="C1669">
        <v>0</v>
      </c>
      <c r="I1669" t="s">
        <v>389</v>
      </c>
      <c r="J1669" t="s">
        <v>253</v>
      </c>
      <c r="K1669" t="s">
        <v>2822</v>
      </c>
    </row>
    <row r="1670" spans="1:11" x14ac:dyDescent="0.25">
      <c r="A1670" t="s">
        <v>456</v>
      </c>
      <c r="B1670" t="s">
        <v>214</v>
      </c>
      <c r="C1670">
        <v>7.27</v>
      </c>
      <c r="I1670" t="s">
        <v>1281</v>
      </c>
      <c r="J1670" t="s">
        <v>253</v>
      </c>
      <c r="K1670" t="s">
        <v>2822</v>
      </c>
    </row>
    <row r="1671" spans="1:11" x14ac:dyDescent="0.25">
      <c r="A1671" t="s">
        <v>457</v>
      </c>
      <c r="B1671" t="s">
        <v>214</v>
      </c>
      <c r="C1671">
        <v>1.82</v>
      </c>
      <c r="I1671" t="s">
        <v>390</v>
      </c>
      <c r="J1671" t="s">
        <v>253</v>
      </c>
      <c r="K1671" t="s">
        <v>2822</v>
      </c>
    </row>
    <row r="1672" spans="1:11" x14ac:dyDescent="0.25">
      <c r="A1672" t="s">
        <v>459</v>
      </c>
      <c r="B1672" t="s">
        <v>214</v>
      </c>
      <c r="C1672">
        <v>1.45</v>
      </c>
      <c r="I1672" t="s">
        <v>391</v>
      </c>
      <c r="J1672" t="s">
        <v>253</v>
      </c>
      <c r="K1672" t="s">
        <v>2822</v>
      </c>
    </row>
    <row r="1673" spans="1:11" x14ac:dyDescent="0.25">
      <c r="A1673" t="s">
        <v>460</v>
      </c>
      <c r="B1673" t="s">
        <v>214</v>
      </c>
      <c r="C1673">
        <v>0</v>
      </c>
      <c r="I1673" t="s">
        <v>392</v>
      </c>
      <c r="J1673" t="s">
        <v>253</v>
      </c>
      <c r="K1673" t="s">
        <v>2822</v>
      </c>
    </row>
    <row r="1674" spans="1:11" x14ac:dyDescent="0.25">
      <c r="A1674" t="s">
        <v>461</v>
      </c>
      <c r="B1674" t="s">
        <v>214</v>
      </c>
      <c r="C1674">
        <v>2.91</v>
      </c>
      <c r="I1674" t="s">
        <v>393</v>
      </c>
      <c r="J1674" t="s">
        <v>253</v>
      </c>
      <c r="K1674" t="s">
        <v>2822</v>
      </c>
    </row>
    <row r="1675" spans="1:11" x14ac:dyDescent="0.25">
      <c r="A1675" t="s">
        <v>462</v>
      </c>
      <c r="B1675" t="s">
        <v>214</v>
      </c>
      <c r="C1675">
        <v>1.0900000000000001</v>
      </c>
      <c r="I1675" t="s">
        <v>394</v>
      </c>
      <c r="J1675" t="s">
        <v>253</v>
      </c>
      <c r="K1675" t="s">
        <v>2822</v>
      </c>
    </row>
    <row r="1676" spans="1:11" x14ac:dyDescent="0.25">
      <c r="A1676" t="s">
        <v>463</v>
      </c>
      <c r="B1676" t="s">
        <v>214</v>
      </c>
      <c r="C1676">
        <v>14.55</v>
      </c>
      <c r="I1676" t="s">
        <v>395</v>
      </c>
      <c r="J1676" t="s">
        <v>253</v>
      </c>
      <c r="K1676" t="s">
        <v>2822</v>
      </c>
    </row>
    <row r="1677" spans="1:11" x14ac:dyDescent="0.25">
      <c r="A1677" t="s">
        <v>464</v>
      </c>
      <c r="B1677" t="s">
        <v>214</v>
      </c>
      <c r="C1677">
        <v>0</v>
      </c>
      <c r="I1677" t="s">
        <v>2597</v>
      </c>
      <c r="J1677" t="s">
        <v>253</v>
      </c>
      <c r="K1677" t="s">
        <v>2822</v>
      </c>
    </row>
    <row r="1678" spans="1:11" x14ac:dyDescent="0.25">
      <c r="A1678" t="s">
        <v>465</v>
      </c>
      <c r="B1678" t="s">
        <v>214</v>
      </c>
      <c r="C1678">
        <v>0</v>
      </c>
      <c r="I1678" t="s">
        <v>396</v>
      </c>
      <c r="J1678" t="s">
        <v>253</v>
      </c>
      <c r="K1678" t="s">
        <v>2822</v>
      </c>
    </row>
    <row r="1679" spans="1:11" x14ac:dyDescent="0.25">
      <c r="A1679" t="s">
        <v>466</v>
      </c>
      <c r="B1679" t="s">
        <v>214</v>
      </c>
      <c r="C1679">
        <v>0</v>
      </c>
      <c r="I1679" t="s">
        <v>397</v>
      </c>
      <c r="J1679" t="s">
        <v>253</v>
      </c>
      <c r="K1679" t="s">
        <v>2822</v>
      </c>
    </row>
    <row r="1680" spans="1:11" x14ac:dyDescent="0.25">
      <c r="A1680" t="s">
        <v>467</v>
      </c>
      <c r="B1680" t="s">
        <v>214</v>
      </c>
      <c r="C1680">
        <v>4.3600000000000003</v>
      </c>
      <c r="I1680" t="s">
        <v>398</v>
      </c>
      <c r="J1680" t="s">
        <v>253</v>
      </c>
      <c r="K1680" t="s">
        <v>2822</v>
      </c>
    </row>
    <row r="1681" spans="1:11" x14ac:dyDescent="0.25">
      <c r="A1681" t="s">
        <v>468</v>
      </c>
      <c r="B1681" t="s">
        <v>214</v>
      </c>
      <c r="C1681">
        <v>8.36</v>
      </c>
      <c r="I1681" t="s">
        <v>399</v>
      </c>
      <c r="J1681" t="s">
        <v>253</v>
      </c>
      <c r="K1681" t="s">
        <v>2822</v>
      </c>
    </row>
    <row r="1682" spans="1:11" x14ac:dyDescent="0.25">
      <c r="A1682" t="s">
        <v>2435</v>
      </c>
      <c r="B1682" t="s">
        <v>214</v>
      </c>
      <c r="I1682" t="s">
        <v>400</v>
      </c>
      <c r="J1682" t="s">
        <v>253</v>
      </c>
      <c r="K1682" t="s">
        <v>2822</v>
      </c>
    </row>
    <row r="1683" spans="1:11" x14ac:dyDescent="0.25">
      <c r="A1683" t="s">
        <v>469</v>
      </c>
      <c r="B1683" t="s">
        <v>214</v>
      </c>
      <c r="C1683">
        <v>1.0900000000000001</v>
      </c>
      <c r="I1683" t="s">
        <v>401</v>
      </c>
      <c r="J1683" t="s">
        <v>253</v>
      </c>
      <c r="K1683" t="s">
        <v>2822</v>
      </c>
    </row>
    <row r="1684" spans="1:11" x14ac:dyDescent="0.25">
      <c r="A1684" t="s">
        <v>470</v>
      </c>
      <c r="B1684" t="s">
        <v>214</v>
      </c>
      <c r="C1684">
        <v>1.82</v>
      </c>
      <c r="I1684" t="s">
        <v>402</v>
      </c>
      <c r="J1684" t="s">
        <v>253</v>
      </c>
      <c r="K1684" t="s">
        <v>2822</v>
      </c>
    </row>
    <row r="1685" spans="1:11" x14ac:dyDescent="0.25">
      <c r="A1685" t="s">
        <v>471</v>
      </c>
      <c r="B1685" t="s">
        <v>214</v>
      </c>
      <c r="C1685">
        <v>1.82</v>
      </c>
      <c r="I1685" t="s">
        <v>403</v>
      </c>
      <c r="J1685" t="s">
        <v>253</v>
      </c>
      <c r="K1685" t="s">
        <v>2822</v>
      </c>
    </row>
    <row r="1686" spans="1:11" x14ac:dyDescent="0.25">
      <c r="A1686" t="s">
        <v>472</v>
      </c>
      <c r="B1686" t="s">
        <v>214</v>
      </c>
      <c r="C1686">
        <v>3.64</v>
      </c>
      <c r="I1686" t="s">
        <v>404</v>
      </c>
      <c r="J1686" t="s">
        <v>253</v>
      </c>
      <c r="K1686" t="s">
        <v>2822</v>
      </c>
    </row>
    <row r="1687" spans="1:11" x14ac:dyDescent="0.25">
      <c r="A1687" t="s">
        <v>473</v>
      </c>
      <c r="B1687" t="s">
        <v>214</v>
      </c>
      <c r="C1687">
        <v>7.27</v>
      </c>
      <c r="I1687" t="s">
        <v>405</v>
      </c>
      <c r="J1687" t="s">
        <v>253</v>
      </c>
      <c r="K1687" t="s">
        <v>2822</v>
      </c>
    </row>
    <row r="1688" spans="1:11" x14ac:dyDescent="0.25">
      <c r="A1688" t="s">
        <v>474</v>
      </c>
      <c r="B1688" t="s">
        <v>214</v>
      </c>
      <c r="C1688">
        <v>10.91</v>
      </c>
      <c r="I1688" t="s">
        <v>406</v>
      </c>
      <c r="J1688" t="s">
        <v>253</v>
      </c>
      <c r="K1688" t="s">
        <v>2822</v>
      </c>
    </row>
    <row r="1689" spans="1:11" x14ac:dyDescent="0.25">
      <c r="A1689" t="s">
        <v>475</v>
      </c>
      <c r="B1689" t="s">
        <v>214</v>
      </c>
      <c r="C1689">
        <v>0</v>
      </c>
      <c r="I1689" t="s">
        <v>407</v>
      </c>
      <c r="J1689" t="s">
        <v>253</v>
      </c>
      <c r="K1689" t="s">
        <v>2822</v>
      </c>
    </row>
    <row r="1690" spans="1:11" x14ac:dyDescent="0.25">
      <c r="A1690" t="s">
        <v>2495</v>
      </c>
      <c r="B1690" t="s">
        <v>214</v>
      </c>
      <c r="I1690" t="s">
        <v>408</v>
      </c>
      <c r="J1690" t="s">
        <v>253</v>
      </c>
      <c r="K1690" t="s">
        <v>2822</v>
      </c>
    </row>
    <row r="1691" spans="1:11" x14ac:dyDescent="0.25">
      <c r="A1691" t="s">
        <v>2044</v>
      </c>
      <c r="B1691" t="s">
        <v>214</v>
      </c>
      <c r="I1691" t="s">
        <v>409</v>
      </c>
      <c r="J1691" t="s">
        <v>253</v>
      </c>
      <c r="K1691" t="s">
        <v>2822</v>
      </c>
    </row>
    <row r="1692" spans="1:11" x14ac:dyDescent="0.25">
      <c r="A1692" t="s">
        <v>476</v>
      </c>
      <c r="B1692" t="s">
        <v>214</v>
      </c>
      <c r="C1692">
        <v>0</v>
      </c>
      <c r="I1692" t="s">
        <v>410</v>
      </c>
      <c r="J1692" t="s">
        <v>253</v>
      </c>
      <c r="K1692" t="s">
        <v>2822</v>
      </c>
    </row>
    <row r="1693" spans="1:11" x14ac:dyDescent="0.25">
      <c r="A1693" t="s">
        <v>477</v>
      </c>
      <c r="B1693" t="s">
        <v>214</v>
      </c>
      <c r="C1693">
        <v>109.09</v>
      </c>
      <c r="I1693" t="s">
        <v>411</v>
      </c>
      <c r="J1693" t="s">
        <v>253</v>
      </c>
      <c r="K1693" t="s">
        <v>2822</v>
      </c>
    </row>
    <row r="1694" spans="1:11" x14ac:dyDescent="0.25">
      <c r="A1694" t="s">
        <v>478</v>
      </c>
      <c r="B1694" t="s">
        <v>214</v>
      </c>
      <c r="C1694">
        <v>0</v>
      </c>
      <c r="I1694" t="s">
        <v>412</v>
      </c>
      <c r="J1694" t="s">
        <v>253</v>
      </c>
      <c r="K1694" t="s">
        <v>2822</v>
      </c>
    </row>
    <row r="1695" spans="1:11" x14ac:dyDescent="0.25">
      <c r="A1695" t="s">
        <v>479</v>
      </c>
      <c r="B1695" t="s">
        <v>214</v>
      </c>
      <c r="C1695">
        <v>7.27</v>
      </c>
      <c r="I1695" t="s">
        <v>413</v>
      </c>
      <c r="J1695" t="s">
        <v>253</v>
      </c>
      <c r="K1695" t="s">
        <v>2822</v>
      </c>
    </row>
    <row r="1696" spans="1:11" x14ac:dyDescent="0.25">
      <c r="A1696" t="s">
        <v>480</v>
      </c>
      <c r="B1696" t="s">
        <v>214</v>
      </c>
      <c r="C1696">
        <v>14.55</v>
      </c>
      <c r="I1696" t="s">
        <v>414</v>
      </c>
      <c r="J1696" t="s">
        <v>253</v>
      </c>
      <c r="K1696" t="s">
        <v>2822</v>
      </c>
    </row>
    <row r="1697" spans="1:11" x14ac:dyDescent="0.25">
      <c r="A1697" t="s">
        <v>481</v>
      </c>
      <c r="B1697" t="s">
        <v>214</v>
      </c>
      <c r="C1697">
        <v>0</v>
      </c>
      <c r="I1697" t="s">
        <v>415</v>
      </c>
      <c r="J1697" t="s">
        <v>253</v>
      </c>
      <c r="K1697" t="s">
        <v>2822</v>
      </c>
    </row>
    <row r="1698" spans="1:11" x14ac:dyDescent="0.25">
      <c r="A1698" t="s">
        <v>482</v>
      </c>
      <c r="B1698" t="s">
        <v>214</v>
      </c>
      <c r="C1698">
        <v>7.27</v>
      </c>
      <c r="I1698" t="s">
        <v>416</v>
      </c>
      <c r="J1698" t="s">
        <v>253</v>
      </c>
      <c r="K1698" t="s">
        <v>2822</v>
      </c>
    </row>
    <row r="1699" spans="1:11" x14ac:dyDescent="0.25">
      <c r="A1699" t="s">
        <v>483</v>
      </c>
      <c r="B1699" t="s">
        <v>214</v>
      </c>
      <c r="C1699">
        <v>0</v>
      </c>
      <c r="I1699" t="s">
        <v>417</v>
      </c>
      <c r="J1699" t="s">
        <v>253</v>
      </c>
      <c r="K1699" t="s">
        <v>2822</v>
      </c>
    </row>
    <row r="1700" spans="1:11" x14ac:dyDescent="0.25">
      <c r="A1700" t="s">
        <v>484</v>
      </c>
      <c r="B1700" t="s">
        <v>214</v>
      </c>
      <c r="C1700">
        <v>0</v>
      </c>
      <c r="I1700" t="s">
        <v>418</v>
      </c>
      <c r="J1700" t="s">
        <v>253</v>
      </c>
      <c r="K1700" t="s">
        <v>2822</v>
      </c>
    </row>
    <row r="1701" spans="1:11" x14ac:dyDescent="0.25">
      <c r="A1701" t="s">
        <v>485</v>
      </c>
      <c r="B1701" t="s">
        <v>214</v>
      </c>
      <c r="C1701">
        <v>0</v>
      </c>
      <c r="I1701" t="s">
        <v>419</v>
      </c>
      <c r="J1701" t="s">
        <v>253</v>
      </c>
      <c r="K1701" t="s">
        <v>2822</v>
      </c>
    </row>
    <row r="1702" spans="1:11" x14ac:dyDescent="0.25">
      <c r="A1702" t="s">
        <v>486</v>
      </c>
      <c r="B1702" t="s">
        <v>214</v>
      </c>
      <c r="C1702">
        <v>109.09</v>
      </c>
      <c r="I1702" t="s">
        <v>420</v>
      </c>
      <c r="J1702" t="s">
        <v>253</v>
      </c>
      <c r="K1702" t="s">
        <v>2822</v>
      </c>
    </row>
    <row r="1703" spans="1:11" x14ac:dyDescent="0.25">
      <c r="A1703" t="s">
        <v>487</v>
      </c>
      <c r="B1703" t="s">
        <v>214</v>
      </c>
      <c r="C1703">
        <v>86.55</v>
      </c>
      <c r="I1703" t="s">
        <v>421</v>
      </c>
      <c r="J1703" t="s">
        <v>253</v>
      </c>
      <c r="K1703" t="s">
        <v>2822</v>
      </c>
    </row>
    <row r="1704" spans="1:11" x14ac:dyDescent="0.25">
      <c r="A1704" t="s">
        <v>488</v>
      </c>
      <c r="B1704" t="s">
        <v>214</v>
      </c>
      <c r="C1704">
        <v>0</v>
      </c>
      <c r="I1704" t="s">
        <v>422</v>
      </c>
      <c r="J1704" t="s">
        <v>253</v>
      </c>
      <c r="K1704" t="s">
        <v>2822</v>
      </c>
    </row>
    <row r="1705" spans="1:11" x14ac:dyDescent="0.25">
      <c r="A1705" t="s">
        <v>489</v>
      </c>
      <c r="B1705" t="s">
        <v>214</v>
      </c>
      <c r="C1705">
        <v>2.5499999999999998</v>
      </c>
      <c r="I1705" t="s">
        <v>423</v>
      </c>
      <c r="J1705" t="s">
        <v>253</v>
      </c>
      <c r="K1705" t="s">
        <v>2822</v>
      </c>
    </row>
    <row r="1706" spans="1:11" x14ac:dyDescent="0.25">
      <c r="A1706" t="s">
        <v>490</v>
      </c>
      <c r="B1706" t="s">
        <v>214</v>
      </c>
      <c r="C1706">
        <v>145.44999999999999</v>
      </c>
      <c r="I1706" t="s">
        <v>424</v>
      </c>
      <c r="J1706" t="s">
        <v>253</v>
      </c>
      <c r="K1706" t="s">
        <v>2822</v>
      </c>
    </row>
    <row r="1707" spans="1:11" x14ac:dyDescent="0.25">
      <c r="A1707" t="s">
        <v>491</v>
      </c>
      <c r="B1707" t="s">
        <v>214</v>
      </c>
      <c r="C1707">
        <v>102.18</v>
      </c>
      <c r="I1707" t="s">
        <v>425</v>
      </c>
      <c r="J1707" t="s">
        <v>253</v>
      </c>
      <c r="K1707" t="s">
        <v>2822</v>
      </c>
    </row>
    <row r="1708" spans="1:11" x14ac:dyDescent="0.25">
      <c r="A1708" t="s">
        <v>492</v>
      </c>
      <c r="B1708" t="s">
        <v>214</v>
      </c>
      <c r="C1708">
        <v>0</v>
      </c>
      <c r="I1708" t="s">
        <v>426</v>
      </c>
      <c r="J1708" t="s">
        <v>253</v>
      </c>
      <c r="K1708" t="s">
        <v>2822</v>
      </c>
    </row>
    <row r="1709" spans="1:11" x14ac:dyDescent="0.25">
      <c r="A1709" t="s">
        <v>493</v>
      </c>
      <c r="B1709" t="s">
        <v>214</v>
      </c>
      <c r="C1709">
        <v>0</v>
      </c>
      <c r="I1709" t="s">
        <v>427</v>
      </c>
      <c r="J1709" t="s">
        <v>253</v>
      </c>
      <c r="K1709" t="s">
        <v>2822</v>
      </c>
    </row>
    <row r="1710" spans="1:11" x14ac:dyDescent="0.25">
      <c r="A1710" t="s">
        <v>494</v>
      </c>
      <c r="B1710" t="s">
        <v>214</v>
      </c>
      <c r="C1710">
        <v>1.82</v>
      </c>
      <c r="I1710" t="s">
        <v>428</v>
      </c>
      <c r="J1710" t="s">
        <v>253</v>
      </c>
      <c r="K1710" t="s">
        <v>2822</v>
      </c>
    </row>
    <row r="1711" spans="1:11" x14ac:dyDescent="0.25">
      <c r="A1711" t="s">
        <v>495</v>
      </c>
      <c r="B1711" t="s">
        <v>214</v>
      </c>
      <c r="C1711">
        <v>1.82</v>
      </c>
      <c r="I1711" t="s">
        <v>429</v>
      </c>
      <c r="J1711" t="s">
        <v>253</v>
      </c>
      <c r="K1711" t="s">
        <v>2822</v>
      </c>
    </row>
    <row r="1712" spans="1:11" x14ac:dyDescent="0.25">
      <c r="A1712" t="s">
        <v>496</v>
      </c>
      <c r="B1712" t="s">
        <v>214</v>
      </c>
      <c r="C1712">
        <v>10.91</v>
      </c>
      <c r="I1712" t="s">
        <v>430</v>
      </c>
      <c r="J1712" t="s">
        <v>253</v>
      </c>
      <c r="K1712" t="s">
        <v>2822</v>
      </c>
    </row>
    <row r="1713" spans="1:11" x14ac:dyDescent="0.25">
      <c r="A1713" t="s">
        <v>497</v>
      </c>
      <c r="B1713" t="s">
        <v>214</v>
      </c>
      <c r="C1713">
        <v>0.73</v>
      </c>
      <c r="I1713" t="s">
        <v>431</v>
      </c>
      <c r="J1713" t="s">
        <v>253</v>
      </c>
      <c r="K1713" t="s">
        <v>2822</v>
      </c>
    </row>
    <row r="1714" spans="1:11" x14ac:dyDescent="0.25">
      <c r="A1714" t="s">
        <v>498</v>
      </c>
      <c r="B1714" t="s">
        <v>214</v>
      </c>
      <c r="C1714">
        <v>1.82</v>
      </c>
      <c r="I1714" t="s">
        <v>432</v>
      </c>
      <c r="J1714" t="s">
        <v>253</v>
      </c>
      <c r="K1714" t="s">
        <v>2822</v>
      </c>
    </row>
    <row r="1715" spans="1:11" x14ac:dyDescent="0.25">
      <c r="A1715" t="s">
        <v>499</v>
      </c>
      <c r="B1715" t="s">
        <v>214</v>
      </c>
      <c r="C1715">
        <v>6.18</v>
      </c>
      <c r="I1715" t="s">
        <v>433</v>
      </c>
      <c r="J1715" t="s">
        <v>253</v>
      </c>
      <c r="K1715" t="s">
        <v>2822</v>
      </c>
    </row>
    <row r="1716" spans="1:11" x14ac:dyDescent="0.25">
      <c r="A1716" t="s">
        <v>500</v>
      </c>
      <c r="B1716" t="s">
        <v>214</v>
      </c>
      <c r="C1716">
        <v>1.0900000000000001</v>
      </c>
      <c r="I1716" t="s">
        <v>434</v>
      </c>
      <c r="J1716" t="s">
        <v>253</v>
      </c>
      <c r="K1716" t="s">
        <v>2822</v>
      </c>
    </row>
    <row r="1717" spans="1:11" x14ac:dyDescent="0.25">
      <c r="A1717" t="s">
        <v>501</v>
      </c>
      <c r="B1717" t="s">
        <v>214</v>
      </c>
      <c r="C1717">
        <v>0</v>
      </c>
      <c r="I1717" t="s">
        <v>2598</v>
      </c>
      <c r="J1717" t="s">
        <v>253</v>
      </c>
      <c r="K1717" t="s">
        <v>2822</v>
      </c>
    </row>
    <row r="1718" spans="1:11" x14ac:dyDescent="0.25">
      <c r="A1718" t="s">
        <v>502</v>
      </c>
      <c r="B1718" t="s">
        <v>214</v>
      </c>
      <c r="C1718">
        <v>30.91</v>
      </c>
      <c r="I1718" t="s">
        <v>435</v>
      </c>
      <c r="J1718" t="s">
        <v>253</v>
      </c>
      <c r="K1718" t="s">
        <v>2822</v>
      </c>
    </row>
    <row r="1719" spans="1:11" x14ac:dyDescent="0.25">
      <c r="A1719" t="s">
        <v>503</v>
      </c>
      <c r="B1719" t="s">
        <v>214</v>
      </c>
      <c r="C1719">
        <v>0.73</v>
      </c>
      <c r="I1719" t="s">
        <v>436</v>
      </c>
      <c r="J1719" t="s">
        <v>253</v>
      </c>
      <c r="K1719" t="s">
        <v>2822</v>
      </c>
    </row>
    <row r="1720" spans="1:11" x14ac:dyDescent="0.25">
      <c r="A1720" t="s">
        <v>504</v>
      </c>
      <c r="B1720" t="s">
        <v>214</v>
      </c>
      <c r="C1720">
        <v>7.27</v>
      </c>
      <c r="I1720" t="s">
        <v>437</v>
      </c>
      <c r="J1720" t="s">
        <v>253</v>
      </c>
      <c r="K1720" t="s">
        <v>2822</v>
      </c>
    </row>
    <row r="1721" spans="1:11" x14ac:dyDescent="0.25">
      <c r="A1721" t="s">
        <v>2238</v>
      </c>
      <c r="B1721" t="s">
        <v>214</v>
      </c>
      <c r="C1721">
        <v>0</v>
      </c>
      <c r="I1721" t="s">
        <v>438</v>
      </c>
      <c r="J1721" t="s">
        <v>253</v>
      </c>
      <c r="K1721" t="s">
        <v>2822</v>
      </c>
    </row>
    <row r="1722" spans="1:11" x14ac:dyDescent="0.25">
      <c r="A1722" t="s">
        <v>2510</v>
      </c>
      <c r="B1722" t="s">
        <v>214</v>
      </c>
      <c r="I1722" t="s">
        <v>2219</v>
      </c>
      <c r="J1722" t="s">
        <v>253</v>
      </c>
      <c r="K1722" t="s">
        <v>2822</v>
      </c>
    </row>
    <row r="1723" spans="1:11" x14ac:dyDescent="0.25">
      <c r="A1723" t="s">
        <v>505</v>
      </c>
      <c r="B1723" t="s">
        <v>214</v>
      </c>
      <c r="C1723">
        <v>3.64</v>
      </c>
      <c r="I1723" t="s">
        <v>439</v>
      </c>
      <c r="J1723" t="s">
        <v>253</v>
      </c>
      <c r="K1723" t="s">
        <v>2822</v>
      </c>
    </row>
    <row r="1724" spans="1:11" x14ac:dyDescent="0.25">
      <c r="A1724" t="s">
        <v>506</v>
      </c>
      <c r="B1724" t="s">
        <v>214</v>
      </c>
      <c r="C1724">
        <v>0</v>
      </c>
      <c r="I1724" t="s">
        <v>2472</v>
      </c>
      <c r="J1724" t="s">
        <v>253</v>
      </c>
      <c r="K1724" t="s">
        <v>2822</v>
      </c>
    </row>
    <row r="1725" spans="1:11" x14ac:dyDescent="0.25">
      <c r="A1725" t="s">
        <v>507</v>
      </c>
      <c r="B1725" t="s">
        <v>214</v>
      </c>
      <c r="C1725">
        <v>1.82</v>
      </c>
      <c r="I1725" t="s">
        <v>2220</v>
      </c>
      <c r="J1725" t="s">
        <v>253</v>
      </c>
      <c r="K1725" t="s">
        <v>2822</v>
      </c>
    </row>
    <row r="1726" spans="1:11" x14ac:dyDescent="0.25">
      <c r="A1726" t="s">
        <v>508</v>
      </c>
      <c r="B1726" t="s">
        <v>214</v>
      </c>
      <c r="C1726">
        <v>46.55</v>
      </c>
      <c r="I1726" t="s">
        <v>440</v>
      </c>
      <c r="J1726" t="s">
        <v>253</v>
      </c>
      <c r="K1726" t="s">
        <v>2822</v>
      </c>
    </row>
    <row r="1727" spans="1:11" x14ac:dyDescent="0.25">
      <c r="A1727" t="s">
        <v>509</v>
      </c>
      <c r="B1727" t="s">
        <v>214</v>
      </c>
      <c r="C1727">
        <v>10.91</v>
      </c>
      <c r="I1727" t="s">
        <v>441</v>
      </c>
      <c r="J1727" t="s">
        <v>253</v>
      </c>
      <c r="K1727" t="s">
        <v>2822</v>
      </c>
    </row>
    <row r="1728" spans="1:11" x14ac:dyDescent="0.25">
      <c r="A1728" t="s">
        <v>510</v>
      </c>
      <c r="B1728" t="s">
        <v>214</v>
      </c>
      <c r="C1728">
        <v>0</v>
      </c>
      <c r="I1728" t="s">
        <v>442</v>
      </c>
      <c r="J1728" t="s">
        <v>253</v>
      </c>
      <c r="K1728" t="s">
        <v>2822</v>
      </c>
    </row>
    <row r="1729" spans="1:11" x14ac:dyDescent="0.25">
      <c r="A1729" t="s">
        <v>2600</v>
      </c>
      <c r="B1729" t="s">
        <v>214</v>
      </c>
      <c r="C1729">
        <v>0</v>
      </c>
      <c r="I1729" t="s">
        <v>443</v>
      </c>
      <c r="J1729" t="s">
        <v>253</v>
      </c>
      <c r="K1729" t="s">
        <v>2822</v>
      </c>
    </row>
    <row r="1730" spans="1:11" x14ac:dyDescent="0.25">
      <c r="A1730" t="s">
        <v>929</v>
      </c>
      <c r="B1730" t="s">
        <v>214</v>
      </c>
      <c r="C1730">
        <v>0</v>
      </c>
      <c r="I1730" t="s">
        <v>444</v>
      </c>
      <c r="J1730" t="s">
        <v>253</v>
      </c>
      <c r="K1730" t="s">
        <v>2822</v>
      </c>
    </row>
    <row r="1731" spans="1:11" x14ac:dyDescent="0.25">
      <c r="A1731" t="s">
        <v>511</v>
      </c>
      <c r="B1731" t="s">
        <v>214</v>
      </c>
      <c r="C1731">
        <v>0</v>
      </c>
      <c r="I1731" t="s">
        <v>445</v>
      </c>
      <c r="J1731" t="s">
        <v>253</v>
      </c>
      <c r="K1731" t="s">
        <v>2822</v>
      </c>
    </row>
    <row r="1732" spans="1:11" x14ac:dyDescent="0.25">
      <c r="A1732" t="s">
        <v>512</v>
      </c>
      <c r="B1732" t="s">
        <v>214</v>
      </c>
      <c r="C1732">
        <v>0.73</v>
      </c>
      <c r="I1732" t="s">
        <v>2599</v>
      </c>
      <c r="J1732" t="s">
        <v>253</v>
      </c>
      <c r="K1732" t="s">
        <v>2822</v>
      </c>
    </row>
    <row r="1733" spans="1:11" x14ac:dyDescent="0.25">
      <c r="A1733" t="s">
        <v>513</v>
      </c>
      <c r="B1733" t="s">
        <v>214</v>
      </c>
      <c r="C1733">
        <v>0</v>
      </c>
      <c r="I1733" t="s">
        <v>446</v>
      </c>
      <c r="J1733" t="s">
        <v>253</v>
      </c>
      <c r="K1733" t="s">
        <v>2822</v>
      </c>
    </row>
    <row r="1734" spans="1:11" x14ac:dyDescent="0.25">
      <c r="A1734" t="s">
        <v>514</v>
      </c>
      <c r="B1734" t="s">
        <v>214</v>
      </c>
      <c r="C1734">
        <v>0</v>
      </c>
      <c r="I1734" t="s">
        <v>447</v>
      </c>
      <c r="J1734" t="s">
        <v>253</v>
      </c>
      <c r="K1734" t="s">
        <v>2822</v>
      </c>
    </row>
    <row r="1735" spans="1:11" x14ac:dyDescent="0.25">
      <c r="A1735" t="s">
        <v>515</v>
      </c>
      <c r="B1735" t="s">
        <v>214</v>
      </c>
      <c r="C1735">
        <v>0</v>
      </c>
      <c r="I1735" t="s">
        <v>448</v>
      </c>
      <c r="J1735" t="s">
        <v>253</v>
      </c>
      <c r="K1735" t="s">
        <v>2822</v>
      </c>
    </row>
    <row r="1736" spans="1:11" x14ac:dyDescent="0.25">
      <c r="A1736" t="s">
        <v>516</v>
      </c>
      <c r="B1736" t="s">
        <v>214</v>
      </c>
      <c r="C1736">
        <v>0</v>
      </c>
      <c r="I1736" t="s">
        <v>449</v>
      </c>
      <c r="J1736" t="s">
        <v>253</v>
      </c>
      <c r="K1736" t="s">
        <v>2822</v>
      </c>
    </row>
    <row r="1737" spans="1:11" x14ac:dyDescent="0.25">
      <c r="A1737" t="s">
        <v>517</v>
      </c>
      <c r="B1737" t="s">
        <v>214</v>
      </c>
      <c r="C1737">
        <v>0</v>
      </c>
      <c r="I1737" t="s">
        <v>450</v>
      </c>
      <c r="J1737" t="s">
        <v>253</v>
      </c>
      <c r="K1737" t="s">
        <v>2822</v>
      </c>
    </row>
    <row r="1738" spans="1:11" x14ac:dyDescent="0.25">
      <c r="A1738" t="s">
        <v>2242</v>
      </c>
      <c r="B1738" t="s">
        <v>214</v>
      </c>
      <c r="C1738">
        <v>0</v>
      </c>
      <c r="I1738" t="s">
        <v>451</v>
      </c>
      <c r="J1738" t="s">
        <v>253</v>
      </c>
      <c r="K1738" t="s">
        <v>2822</v>
      </c>
    </row>
    <row r="1739" spans="1:11" x14ac:dyDescent="0.25">
      <c r="A1739" t="s">
        <v>518</v>
      </c>
      <c r="B1739" t="s">
        <v>214</v>
      </c>
      <c r="C1739">
        <v>0</v>
      </c>
      <c r="I1739" t="s">
        <v>452</v>
      </c>
      <c r="J1739" t="s">
        <v>253</v>
      </c>
      <c r="K1739" t="s">
        <v>2822</v>
      </c>
    </row>
    <row r="1740" spans="1:11" x14ac:dyDescent="0.25">
      <c r="A1740" t="s">
        <v>1282</v>
      </c>
      <c r="B1740" t="s">
        <v>214</v>
      </c>
      <c r="C1740">
        <v>3.64</v>
      </c>
      <c r="I1740" t="s">
        <v>453</v>
      </c>
      <c r="J1740" t="s">
        <v>253</v>
      </c>
      <c r="K1740" t="s">
        <v>2822</v>
      </c>
    </row>
    <row r="1741" spans="1:11" x14ac:dyDescent="0.25">
      <c r="A1741" t="s">
        <v>519</v>
      </c>
      <c r="B1741" t="s">
        <v>214</v>
      </c>
      <c r="C1741">
        <v>8.36</v>
      </c>
      <c r="I1741" t="s">
        <v>454</v>
      </c>
      <c r="J1741" t="s">
        <v>253</v>
      </c>
      <c r="K1741" t="s">
        <v>2822</v>
      </c>
    </row>
    <row r="1742" spans="1:11" x14ac:dyDescent="0.25">
      <c r="A1742" t="s">
        <v>520</v>
      </c>
      <c r="B1742" t="s">
        <v>214</v>
      </c>
      <c r="C1742">
        <v>0</v>
      </c>
      <c r="I1742" t="s">
        <v>455</v>
      </c>
      <c r="J1742" t="s">
        <v>253</v>
      </c>
      <c r="K1742" t="s">
        <v>2822</v>
      </c>
    </row>
    <row r="1743" spans="1:11" x14ac:dyDescent="0.25">
      <c r="A1743" t="s">
        <v>521</v>
      </c>
      <c r="B1743" t="s">
        <v>214</v>
      </c>
      <c r="C1743">
        <v>0</v>
      </c>
      <c r="I1743" t="s">
        <v>456</v>
      </c>
      <c r="J1743" t="s">
        <v>253</v>
      </c>
      <c r="K1743" t="s">
        <v>2822</v>
      </c>
    </row>
    <row r="1744" spans="1:11" x14ac:dyDescent="0.25">
      <c r="A1744" t="s">
        <v>522</v>
      </c>
      <c r="B1744" t="s">
        <v>214</v>
      </c>
      <c r="C1744">
        <v>9.09</v>
      </c>
      <c r="I1744" t="s">
        <v>457</v>
      </c>
      <c r="J1744" t="s">
        <v>253</v>
      </c>
      <c r="K1744" t="s">
        <v>2822</v>
      </c>
    </row>
    <row r="1745" spans="1:11" x14ac:dyDescent="0.25">
      <c r="A1745" t="s">
        <v>523</v>
      </c>
      <c r="B1745" t="s">
        <v>214</v>
      </c>
      <c r="C1745">
        <v>0</v>
      </c>
      <c r="I1745" t="s">
        <v>459</v>
      </c>
      <c r="J1745" t="s">
        <v>253</v>
      </c>
      <c r="K1745" t="s">
        <v>2822</v>
      </c>
    </row>
    <row r="1746" spans="1:11" x14ac:dyDescent="0.25">
      <c r="A1746" t="s">
        <v>524</v>
      </c>
      <c r="B1746" t="s">
        <v>214</v>
      </c>
      <c r="C1746">
        <v>0</v>
      </c>
      <c r="I1746" t="s">
        <v>460</v>
      </c>
      <c r="J1746" t="s">
        <v>253</v>
      </c>
      <c r="K1746" t="s">
        <v>2822</v>
      </c>
    </row>
    <row r="1747" spans="1:11" x14ac:dyDescent="0.25">
      <c r="A1747" t="s">
        <v>525</v>
      </c>
      <c r="B1747" t="s">
        <v>214</v>
      </c>
      <c r="C1747">
        <v>0</v>
      </c>
      <c r="I1747" t="s">
        <v>461</v>
      </c>
      <c r="J1747" t="s">
        <v>253</v>
      </c>
      <c r="K1747" t="s">
        <v>2822</v>
      </c>
    </row>
    <row r="1748" spans="1:11" x14ac:dyDescent="0.25">
      <c r="A1748" t="s">
        <v>526</v>
      </c>
      <c r="B1748" t="s">
        <v>214</v>
      </c>
      <c r="C1748">
        <v>0</v>
      </c>
      <c r="I1748" t="s">
        <v>462</v>
      </c>
      <c r="J1748" t="s">
        <v>253</v>
      </c>
      <c r="K1748" t="s">
        <v>2822</v>
      </c>
    </row>
    <row r="1749" spans="1:11" x14ac:dyDescent="0.25">
      <c r="A1749" t="s">
        <v>527</v>
      </c>
      <c r="B1749" t="s">
        <v>214</v>
      </c>
      <c r="C1749">
        <v>1.0900000000000001</v>
      </c>
      <c r="I1749" t="s">
        <v>463</v>
      </c>
      <c r="J1749" t="s">
        <v>253</v>
      </c>
      <c r="K1749" t="s">
        <v>2822</v>
      </c>
    </row>
    <row r="1750" spans="1:11" x14ac:dyDescent="0.25">
      <c r="A1750" t="s">
        <v>528</v>
      </c>
      <c r="B1750" t="s">
        <v>214</v>
      </c>
      <c r="C1750">
        <v>0</v>
      </c>
      <c r="I1750" t="s">
        <v>464</v>
      </c>
      <c r="J1750" t="s">
        <v>253</v>
      </c>
      <c r="K1750" t="s">
        <v>2822</v>
      </c>
    </row>
    <row r="1751" spans="1:11" x14ac:dyDescent="0.25">
      <c r="A1751" t="s">
        <v>529</v>
      </c>
      <c r="B1751" t="s">
        <v>214</v>
      </c>
      <c r="C1751">
        <v>6.18</v>
      </c>
      <c r="I1751" t="s">
        <v>465</v>
      </c>
      <c r="J1751" t="s">
        <v>253</v>
      </c>
      <c r="K1751" t="s">
        <v>2822</v>
      </c>
    </row>
    <row r="1752" spans="1:11" x14ac:dyDescent="0.25">
      <c r="A1752" t="s">
        <v>530</v>
      </c>
      <c r="B1752" t="s">
        <v>214</v>
      </c>
      <c r="C1752">
        <v>0</v>
      </c>
      <c r="I1752" t="s">
        <v>466</v>
      </c>
      <c r="J1752" t="s">
        <v>253</v>
      </c>
      <c r="K1752" t="s">
        <v>2822</v>
      </c>
    </row>
    <row r="1753" spans="1:11" x14ac:dyDescent="0.25">
      <c r="A1753" t="s">
        <v>531</v>
      </c>
      <c r="B1753" t="s">
        <v>214</v>
      </c>
      <c r="C1753">
        <v>0</v>
      </c>
      <c r="I1753" t="s">
        <v>467</v>
      </c>
      <c r="J1753" t="s">
        <v>253</v>
      </c>
      <c r="K1753" t="s">
        <v>2822</v>
      </c>
    </row>
    <row r="1754" spans="1:11" x14ac:dyDescent="0.25">
      <c r="A1754" t="s">
        <v>532</v>
      </c>
      <c r="B1754" t="s">
        <v>214</v>
      </c>
      <c r="C1754">
        <v>0</v>
      </c>
      <c r="I1754" t="s">
        <v>468</v>
      </c>
      <c r="J1754" t="s">
        <v>253</v>
      </c>
      <c r="K1754" t="s">
        <v>2822</v>
      </c>
    </row>
    <row r="1755" spans="1:11" x14ac:dyDescent="0.25">
      <c r="A1755" t="s">
        <v>533</v>
      </c>
      <c r="B1755" t="s">
        <v>214</v>
      </c>
      <c r="C1755">
        <v>0</v>
      </c>
      <c r="I1755" t="s">
        <v>2435</v>
      </c>
      <c r="J1755" t="s">
        <v>253</v>
      </c>
      <c r="K1755" t="s">
        <v>2822</v>
      </c>
    </row>
    <row r="1756" spans="1:11" x14ac:dyDescent="0.25">
      <c r="A1756" t="s">
        <v>534</v>
      </c>
      <c r="B1756" t="s">
        <v>214</v>
      </c>
      <c r="C1756">
        <v>1.82</v>
      </c>
      <c r="I1756" t="s">
        <v>469</v>
      </c>
      <c r="J1756" t="s">
        <v>253</v>
      </c>
      <c r="K1756" t="s">
        <v>2822</v>
      </c>
    </row>
    <row r="1757" spans="1:11" x14ac:dyDescent="0.25">
      <c r="A1757" t="s">
        <v>535</v>
      </c>
      <c r="B1757" t="s">
        <v>214</v>
      </c>
      <c r="C1757">
        <v>9.82</v>
      </c>
      <c r="I1757" t="s">
        <v>470</v>
      </c>
      <c r="J1757" t="s">
        <v>253</v>
      </c>
      <c r="K1757" t="s">
        <v>2822</v>
      </c>
    </row>
    <row r="1758" spans="1:11" x14ac:dyDescent="0.25">
      <c r="A1758" t="s">
        <v>536</v>
      </c>
      <c r="B1758" t="s">
        <v>214</v>
      </c>
      <c r="C1758">
        <v>10.91</v>
      </c>
      <c r="I1758" t="s">
        <v>471</v>
      </c>
      <c r="J1758" t="s">
        <v>253</v>
      </c>
      <c r="K1758" t="s">
        <v>2822</v>
      </c>
    </row>
    <row r="1759" spans="1:11" x14ac:dyDescent="0.25">
      <c r="A1759" t="s">
        <v>537</v>
      </c>
      <c r="B1759" t="s">
        <v>214</v>
      </c>
      <c r="C1759">
        <v>0</v>
      </c>
      <c r="I1759" t="s">
        <v>472</v>
      </c>
      <c r="J1759" t="s">
        <v>253</v>
      </c>
      <c r="K1759" t="s">
        <v>2822</v>
      </c>
    </row>
    <row r="1760" spans="1:11" x14ac:dyDescent="0.25">
      <c r="A1760" t="s">
        <v>538</v>
      </c>
      <c r="B1760" t="s">
        <v>214</v>
      </c>
      <c r="C1760">
        <v>0</v>
      </c>
      <c r="I1760" t="s">
        <v>473</v>
      </c>
      <c r="J1760" t="s">
        <v>253</v>
      </c>
      <c r="K1760" t="s">
        <v>2822</v>
      </c>
    </row>
    <row r="1761" spans="1:11" x14ac:dyDescent="0.25">
      <c r="A1761" t="s">
        <v>539</v>
      </c>
      <c r="B1761" t="s">
        <v>214</v>
      </c>
      <c r="C1761">
        <v>0</v>
      </c>
      <c r="I1761" t="s">
        <v>474</v>
      </c>
      <c r="J1761" t="s">
        <v>253</v>
      </c>
      <c r="K1761" t="s">
        <v>2822</v>
      </c>
    </row>
    <row r="1762" spans="1:11" x14ac:dyDescent="0.25">
      <c r="A1762" t="s">
        <v>540</v>
      </c>
      <c r="B1762" t="s">
        <v>214</v>
      </c>
      <c r="C1762">
        <v>0</v>
      </c>
      <c r="I1762" t="s">
        <v>475</v>
      </c>
      <c r="J1762" t="s">
        <v>253</v>
      </c>
      <c r="K1762" t="s">
        <v>2822</v>
      </c>
    </row>
    <row r="1763" spans="1:11" x14ac:dyDescent="0.25">
      <c r="A1763" t="s">
        <v>541</v>
      </c>
      <c r="B1763" t="s">
        <v>214</v>
      </c>
      <c r="C1763">
        <v>0</v>
      </c>
      <c r="I1763" t="s">
        <v>2495</v>
      </c>
      <c r="J1763" t="s">
        <v>253</v>
      </c>
      <c r="K1763" t="s">
        <v>2822</v>
      </c>
    </row>
    <row r="1764" spans="1:11" x14ac:dyDescent="0.25">
      <c r="A1764" t="s">
        <v>542</v>
      </c>
      <c r="B1764" t="s">
        <v>214</v>
      </c>
      <c r="C1764">
        <v>2.91</v>
      </c>
      <c r="I1764" t="s">
        <v>2044</v>
      </c>
      <c r="J1764" t="s">
        <v>253</v>
      </c>
      <c r="K1764" t="s">
        <v>2822</v>
      </c>
    </row>
    <row r="1765" spans="1:11" x14ac:dyDescent="0.25">
      <c r="A1765" t="s">
        <v>543</v>
      </c>
      <c r="B1765" t="s">
        <v>214</v>
      </c>
      <c r="C1765">
        <v>1.45</v>
      </c>
      <c r="I1765" t="s">
        <v>476</v>
      </c>
      <c r="J1765" t="s">
        <v>253</v>
      </c>
      <c r="K1765" t="s">
        <v>2822</v>
      </c>
    </row>
    <row r="1766" spans="1:11" x14ac:dyDescent="0.25">
      <c r="A1766" t="s">
        <v>600</v>
      </c>
      <c r="B1766" t="s">
        <v>214</v>
      </c>
      <c r="C1766">
        <v>0.73</v>
      </c>
      <c r="I1766" t="s">
        <v>477</v>
      </c>
      <c r="J1766" t="s">
        <v>253</v>
      </c>
      <c r="K1766" t="s">
        <v>2822</v>
      </c>
    </row>
    <row r="1767" spans="1:11" x14ac:dyDescent="0.25">
      <c r="A1767" t="s">
        <v>544</v>
      </c>
      <c r="B1767" t="s">
        <v>214</v>
      </c>
      <c r="C1767">
        <v>6.18</v>
      </c>
      <c r="I1767" t="s">
        <v>478</v>
      </c>
      <c r="J1767" t="s">
        <v>253</v>
      </c>
      <c r="K1767" t="s">
        <v>2822</v>
      </c>
    </row>
    <row r="1768" spans="1:11" x14ac:dyDescent="0.25">
      <c r="A1768" t="s">
        <v>545</v>
      </c>
      <c r="B1768" t="s">
        <v>214</v>
      </c>
      <c r="C1768">
        <v>1.45</v>
      </c>
      <c r="I1768" t="s">
        <v>479</v>
      </c>
      <c r="J1768" t="s">
        <v>253</v>
      </c>
      <c r="K1768" t="s">
        <v>2822</v>
      </c>
    </row>
    <row r="1769" spans="1:11" x14ac:dyDescent="0.25">
      <c r="A1769" t="s">
        <v>546</v>
      </c>
      <c r="B1769" t="s">
        <v>214</v>
      </c>
      <c r="C1769">
        <v>3.64</v>
      </c>
      <c r="I1769" t="s">
        <v>480</v>
      </c>
      <c r="J1769" t="s">
        <v>253</v>
      </c>
      <c r="K1769" t="s">
        <v>2822</v>
      </c>
    </row>
    <row r="1770" spans="1:11" x14ac:dyDescent="0.25">
      <c r="A1770" t="s">
        <v>547</v>
      </c>
      <c r="B1770" t="s">
        <v>214</v>
      </c>
      <c r="C1770">
        <v>3.64</v>
      </c>
      <c r="I1770" t="s">
        <v>481</v>
      </c>
      <c r="J1770" t="s">
        <v>253</v>
      </c>
      <c r="K1770" t="s">
        <v>2822</v>
      </c>
    </row>
    <row r="1771" spans="1:11" x14ac:dyDescent="0.25">
      <c r="A1771" t="s">
        <v>548</v>
      </c>
      <c r="B1771" t="s">
        <v>214</v>
      </c>
      <c r="C1771">
        <v>3.64</v>
      </c>
      <c r="I1771" t="s">
        <v>482</v>
      </c>
      <c r="J1771" t="s">
        <v>253</v>
      </c>
      <c r="K1771" t="s">
        <v>2822</v>
      </c>
    </row>
    <row r="1772" spans="1:11" x14ac:dyDescent="0.25">
      <c r="A1772" t="s">
        <v>549</v>
      </c>
      <c r="B1772" t="s">
        <v>214</v>
      </c>
      <c r="C1772">
        <v>0</v>
      </c>
      <c r="I1772" t="s">
        <v>483</v>
      </c>
      <c r="J1772" t="s">
        <v>253</v>
      </c>
      <c r="K1772" t="s">
        <v>2822</v>
      </c>
    </row>
    <row r="1773" spans="1:11" x14ac:dyDescent="0.25">
      <c r="A1773" t="s">
        <v>550</v>
      </c>
      <c r="B1773" t="s">
        <v>214</v>
      </c>
      <c r="C1773">
        <v>0</v>
      </c>
      <c r="I1773" t="s">
        <v>484</v>
      </c>
      <c r="J1773" t="s">
        <v>253</v>
      </c>
      <c r="K1773" t="s">
        <v>2822</v>
      </c>
    </row>
    <row r="1774" spans="1:11" x14ac:dyDescent="0.25">
      <c r="A1774" t="s">
        <v>551</v>
      </c>
      <c r="B1774" t="s">
        <v>214</v>
      </c>
      <c r="C1774">
        <v>0</v>
      </c>
      <c r="I1774" t="s">
        <v>485</v>
      </c>
      <c r="J1774" t="s">
        <v>253</v>
      </c>
      <c r="K1774" t="s">
        <v>2822</v>
      </c>
    </row>
    <row r="1775" spans="1:11" x14ac:dyDescent="0.25">
      <c r="A1775" t="s">
        <v>552</v>
      </c>
      <c r="B1775" t="s">
        <v>214</v>
      </c>
      <c r="C1775">
        <v>0</v>
      </c>
      <c r="I1775" t="s">
        <v>486</v>
      </c>
      <c r="J1775" t="s">
        <v>253</v>
      </c>
      <c r="K1775" t="s">
        <v>2822</v>
      </c>
    </row>
    <row r="1776" spans="1:11" x14ac:dyDescent="0.25">
      <c r="A1776" t="s">
        <v>553</v>
      </c>
      <c r="B1776" t="s">
        <v>214</v>
      </c>
      <c r="C1776">
        <v>0</v>
      </c>
      <c r="I1776" t="s">
        <v>487</v>
      </c>
      <c r="J1776" t="s">
        <v>253</v>
      </c>
      <c r="K1776" t="s">
        <v>2822</v>
      </c>
    </row>
    <row r="1777" spans="1:11" x14ac:dyDescent="0.25">
      <c r="A1777" t="s">
        <v>554</v>
      </c>
      <c r="B1777" t="s">
        <v>214</v>
      </c>
      <c r="C1777">
        <v>0</v>
      </c>
      <c r="I1777" t="s">
        <v>488</v>
      </c>
      <c r="J1777" t="s">
        <v>253</v>
      </c>
      <c r="K1777" t="s">
        <v>2822</v>
      </c>
    </row>
    <row r="1778" spans="1:11" x14ac:dyDescent="0.25">
      <c r="A1778" t="s">
        <v>555</v>
      </c>
      <c r="B1778" t="s">
        <v>214</v>
      </c>
      <c r="C1778">
        <v>0</v>
      </c>
      <c r="I1778" t="s">
        <v>489</v>
      </c>
      <c r="J1778" t="s">
        <v>253</v>
      </c>
      <c r="K1778" t="s">
        <v>2822</v>
      </c>
    </row>
    <row r="1779" spans="1:11" x14ac:dyDescent="0.25">
      <c r="A1779" t="s">
        <v>556</v>
      </c>
      <c r="B1779" t="s">
        <v>214</v>
      </c>
      <c r="C1779">
        <v>0</v>
      </c>
      <c r="I1779" t="s">
        <v>490</v>
      </c>
      <c r="J1779" t="s">
        <v>253</v>
      </c>
      <c r="K1779" t="s">
        <v>2822</v>
      </c>
    </row>
    <row r="1780" spans="1:11" x14ac:dyDescent="0.25">
      <c r="A1780" t="s">
        <v>952</v>
      </c>
      <c r="B1780" t="s">
        <v>214</v>
      </c>
      <c r="C1780">
        <v>0</v>
      </c>
      <c r="I1780" t="s">
        <v>491</v>
      </c>
      <c r="J1780" t="s">
        <v>253</v>
      </c>
      <c r="K1780" t="s">
        <v>2822</v>
      </c>
    </row>
    <row r="1781" spans="1:11" x14ac:dyDescent="0.25">
      <c r="A1781" t="s">
        <v>2601</v>
      </c>
      <c r="B1781" t="s">
        <v>214</v>
      </c>
      <c r="C1781">
        <v>0</v>
      </c>
      <c r="I1781" t="s">
        <v>492</v>
      </c>
      <c r="J1781" t="s">
        <v>253</v>
      </c>
      <c r="K1781" t="s">
        <v>2822</v>
      </c>
    </row>
    <row r="1782" spans="1:11" x14ac:dyDescent="0.25">
      <c r="A1782" t="s">
        <v>557</v>
      </c>
      <c r="B1782" t="s">
        <v>214</v>
      </c>
      <c r="C1782">
        <v>0</v>
      </c>
      <c r="I1782" t="s">
        <v>493</v>
      </c>
      <c r="J1782" t="s">
        <v>253</v>
      </c>
      <c r="K1782" t="s">
        <v>2822</v>
      </c>
    </row>
    <row r="1783" spans="1:11" x14ac:dyDescent="0.25">
      <c r="A1783" t="s">
        <v>558</v>
      </c>
      <c r="B1783" t="s">
        <v>214</v>
      </c>
      <c r="C1783">
        <v>0</v>
      </c>
      <c r="I1783" t="s">
        <v>494</v>
      </c>
      <c r="J1783" t="s">
        <v>253</v>
      </c>
      <c r="K1783" t="s">
        <v>2822</v>
      </c>
    </row>
    <row r="1784" spans="1:11" x14ac:dyDescent="0.25">
      <c r="A1784" t="s">
        <v>559</v>
      </c>
      <c r="B1784" t="s">
        <v>214</v>
      </c>
      <c r="C1784">
        <v>0</v>
      </c>
      <c r="I1784" t="s">
        <v>495</v>
      </c>
      <c r="J1784" t="s">
        <v>253</v>
      </c>
      <c r="K1784" t="s">
        <v>2822</v>
      </c>
    </row>
    <row r="1785" spans="1:11" x14ac:dyDescent="0.25">
      <c r="A1785" t="s">
        <v>560</v>
      </c>
      <c r="B1785" t="s">
        <v>214</v>
      </c>
      <c r="C1785">
        <v>0</v>
      </c>
      <c r="I1785" t="s">
        <v>496</v>
      </c>
      <c r="J1785" t="s">
        <v>253</v>
      </c>
      <c r="K1785" t="s">
        <v>2822</v>
      </c>
    </row>
    <row r="1786" spans="1:11" x14ac:dyDescent="0.25">
      <c r="A1786" t="s">
        <v>561</v>
      </c>
      <c r="B1786" t="s">
        <v>214</v>
      </c>
      <c r="C1786">
        <v>0.73</v>
      </c>
      <c r="I1786" t="s">
        <v>497</v>
      </c>
      <c r="J1786" t="s">
        <v>253</v>
      </c>
      <c r="K1786" t="s">
        <v>2822</v>
      </c>
    </row>
    <row r="1787" spans="1:11" x14ac:dyDescent="0.25">
      <c r="A1787" t="s">
        <v>562</v>
      </c>
      <c r="B1787" t="s">
        <v>214</v>
      </c>
      <c r="C1787">
        <v>1.0900000000000001</v>
      </c>
      <c r="I1787" t="s">
        <v>498</v>
      </c>
      <c r="J1787" t="s">
        <v>253</v>
      </c>
      <c r="K1787" t="s">
        <v>2822</v>
      </c>
    </row>
    <row r="1788" spans="1:11" x14ac:dyDescent="0.25">
      <c r="A1788" t="s">
        <v>2270</v>
      </c>
      <c r="B1788" t="s">
        <v>214</v>
      </c>
      <c r="C1788">
        <v>0</v>
      </c>
      <c r="I1788" t="s">
        <v>499</v>
      </c>
      <c r="J1788" t="s">
        <v>253</v>
      </c>
      <c r="K1788" t="s">
        <v>2822</v>
      </c>
    </row>
    <row r="1789" spans="1:11" x14ac:dyDescent="0.25">
      <c r="A1789" t="s">
        <v>563</v>
      </c>
      <c r="B1789" t="s">
        <v>214</v>
      </c>
      <c r="C1789">
        <v>0</v>
      </c>
      <c r="I1789" t="s">
        <v>500</v>
      </c>
      <c r="J1789" t="s">
        <v>253</v>
      </c>
      <c r="K1789" t="s">
        <v>2822</v>
      </c>
    </row>
    <row r="1790" spans="1:11" x14ac:dyDescent="0.25">
      <c r="A1790" t="s">
        <v>564</v>
      </c>
      <c r="B1790" t="s">
        <v>214</v>
      </c>
      <c r="C1790">
        <v>0</v>
      </c>
      <c r="I1790" t="s">
        <v>501</v>
      </c>
      <c r="J1790" t="s">
        <v>253</v>
      </c>
      <c r="K1790" t="s">
        <v>2822</v>
      </c>
    </row>
    <row r="1791" spans="1:11" x14ac:dyDescent="0.25">
      <c r="A1791" t="s">
        <v>565</v>
      </c>
      <c r="B1791" t="s">
        <v>214</v>
      </c>
      <c r="C1791">
        <v>4.3600000000000003</v>
      </c>
      <c r="I1791" t="s">
        <v>502</v>
      </c>
      <c r="J1791" t="s">
        <v>253</v>
      </c>
      <c r="K1791" t="s">
        <v>2822</v>
      </c>
    </row>
    <row r="1792" spans="1:11" x14ac:dyDescent="0.25">
      <c r="A1792" t="s">
        <v>566</v>
      </c>
      <c r="B1792" t="s">
        <v>214</v>
      </c>
      <c r="C1792">
        <v>0</v>
      </c>
      <c r="I1792" t="s">
        <v>503</v>
      </c>
      <c r="J1792" t="s">
        <v>253</v>
      </c>
      <c r="K1792" t="s">
        <v>2822</v>
      </c>
    </row>
    <row r="1793" spans="1:11" x14ac:dyDescent="0.25">
      <c r="A1793" t="s">
        <v>567</v>
      </c>
      <c r="B1793" t="s">
        <v>214</v>
      </c>
      <c r="C1793">
        <v>0</v>
      </c>
      <c r="I1793" t="s">
        <v>504</v>
      </c>
      <c r="J1793" t="s">
        <v>253</v>
      </c>
      <c r="K1793" t="s">
        <v>2822</v>
      </c>
    </row>
    <row r="1794" spans="1:11" x14ac:dyDescent="0.25">
      <c r="A1794" t="s">
        <v>568</v>
      </c>
      <c r="B1794" t="s">
        <v>214</v>
      </c>
      <c r="C1794">
        <v>3.64</v>
      </c>
      <c r="I1794" t="s">
        <v>2238</v>
      </c>
      <c r="J1794" t="s">
        <v>253</v>
      </c>
      <c r="K1794" t="s">
        <v>2822</v>
      </c>
    </row>
    <row r="1795" spans="1:11" x14ac:dyDescent="0.25">
      <c r="A1795" t="s">
        <v>569</v>
      </c>
      <c r="B1795" t="s">
        <v>214</v>
      </c>
      <c r="C1795">
        <v>0</v>
      </c>
      <c r="I1795" t="s">
        <v>2510</v>
      </c>
      <c r="J1795" t="s">
        <v>253</v>
      </c>
      <c r="K1795" t="s">
        <v>2822</v>
      </c>
    </row>
    <row r="1796" spans="1:11" x14ac:dyDescent="0.25">
      <c r="A1796" t="s">
        <v>570</v>
      </c>
      <c r="B1796" t="s">
        <v>214</v>
      </c>
      <c r="C1796">
        <v>0.73</v>
      </c>
      <c r="I1796" t="s">
        <v>505</v>
      </c>
      <c r="J1796" t="s">
        <v>253</v>
      </c>
      <c r="K1796" t="s">
        <v>2822</v>
      </c>
    </row>
    <row r="1797" spans="1:11" x14ac:dyDescent="0.25">
      <c r="A1797" t="s">
        <v>571</v>
      </c>
      <c r="B1797" t="s">
        <v>214</v>
      </c>
      <c r="C1797">
        <v>0.73</v>
      </c>
      <c r="I1797" t="s">
        <v>506</v>
      </c>
      <c r="J1797" t="s">
        <v>253</v>
      </c>
      <c r="K1797" t="s">
        <v>2822</v>
      </c>
    </row>
    <row r="1798" spans="1:11" x14ac:dyDescent="0.25">
      <c r="A1798" t="s">
        <v>572</v>
      </c>
      <c r="B1798" t="s">
        <v>214</v>
      </c>
      <c r="C1798">
        <v>0</v>
      </c>
      <c r="I1798" t="s">
        <v>507</v>
      </c>
      <c r="J1798" t="s">
        <v>253</v>
      </c>
      <c r="K1798" t="s">
        <v>2822</v>
      </c>
    </row>
    <row r="1799" spans="1:11" x14ac:dyDescent="0.25">
      <c r="A1799" t="s">
        <v>573</v>
      </c>
      <c r="B1799" t="s">
        <v>214</v>
      </c>
      <c r="C1799">
        <v>1.45</v>
      </c>
      <c r="I1799" t="s">
        <v>508</v>
      </c>
      <c r="J1799" t="s">
        <v>253</v>
      </c>
      <c r="K1799" t="s">
        <v>2822</v>
      </c>
    </row>
    <row r="1800" spans="1:11" x14ac:dyDescent="0.25">
      <c r="A1800" t="s">
        <v>574</v>
      </c>
      <c r="B1800" t="s">
        <v>214</v>
      </c>
      <c r="C1800">
        <v>0</v>
      </c>
      <c r="I1800" t="s">
        <v>509</v>
      </c>
      <c r="J1800" t="s">
        <v>253</v>
      </c>
      <c r="K1800" t="s">
        <v>2822</v>
      </c>
    </row>
    <row r="1801" spans="1:11" x14ac:dyDescent="0.25">
      <c r="A1801" t="s">
        <v>575</v>
      </c>
      <c r="B1801" t="s">
        <v>214</v>
      </c>
      <c r="C1801">
        <v>0</v>
      </c>
      <c r="I1801" t="s">
        <v>510</v>
      </c>
      <c r="J1801" t="s">
        <v>253</v>
      </c>
      <c r="K1801" t="s">
        <v>2822</v>
      </c>
    </row>
    <row r="1802" spans="1:11" x14ac:dyDescent="0.25">
      <c r="A1802" t="s">
        <v>576</v>
      </c>
      <c r="B1802" t="s">
        <v>214</v>
      </c>
      <c r="C1802">
        <v>4.3600000000000003</v>
      </c>
      <c r="I1802" t="s">
        <v>2600</v>
      </c>
      <c r="J1802" t="s">
        <v>253</v>
      </c>
      <c r="K1802" t="s">
        <v>2822</v>
      </c>
    </row>
    <row r="1803" spans="1:11" x14ac:dyDescent="0.25">
      <c r="A1803" t="s">
        <v>577</v>
      </c>
      <c r="B1803" t="s">
        <v>214</v>
      </c>
      <c r="C1803">
        <v>0</v>
      </c>
      <c r="I1803" t="s">
        <v>929</v>
      </c>
      <c r="J1803" t="s">
        <v>253</v>
      </c>
      <c r="K1803" t="s">
        <v>2822</v>
      </c>
    </row>
    <row r="1804" spans="1:11" x14ac:dyDescent="0.25">
      <c r="A1804" t="s">
        <v>578</v>
      </c>
      <c r="B1804" t="s">
        <v>214</v>
      </c>
      <c r="C1804">
        <v>0</v>
      </c>
      <c r="I1804" t="s">
        <v>511</v>
      </c>
      <c r="J1804" t="s">
        <v>253</v>
      </c>
      <c r="K1804" t="s">
        <v>2822</v>
      </c>
    </row>
    <row r="1805" spans="1:11" x14ac:dyDescent="0.25">
      <c r="A1805" t="s">
        <v>579</v>
      </c>
      <c r="B1805" t="s">
        <v>214</v>
      </c>
      <c r="C1805">
        <v>0</v>
      </c>
      <c r="I1805" t="s">
        <v>512</v>
      </c>
      <c r="J1805" t="s">
        <v>253</v>
      </c>
      <c r="K1805" t="s">
        <v>2822</v>
      </c>
    </row>
    <row r="1806" spans="1:11" x14ac:dyDescent="0.25">
      <c r="A1806" t="s">
        <v>2602</v>
      </c>
      <c r="B1806" t="s">
        <v>214</v>
      </c>
      <c r="C1806">
        <v>0</v>
      </c>
      <c r="I1806" t="s">
        <v>513</v>
      </c>
      <c r="J1806" t="s">
        <v>253</v>
      </c>
      <c r="K1806" t="s">
        <v>2822</v>
      </c>
    </row>
    <row r="1807" spans="1:11" x14ac:dyDescent="0.25">
      <c r="A1807" t="s">
        <v>1283</v>
      </c>
      <c r="B1807" t="s">
        <v>214</v>
      </c>
      <c r="C1807">
        <v>2.91</v>
      </c>
      <c r="I1807" t="s">
        <v>514</v>
      </c>
      <c r="J1807" t="s">
        <v>253</v>
      </c>
      <c r="K1807" t="s">
        <v>2822</v>
      </c>
    </row>
    <row r="1808" spans="1:11" x14ac:dyDescent="0.25">
      <c r="A1808" t="s">
        <v>580</v>
      </c>
      <c r="B1808" t="s">
        <v>214</v>
      </c>
      <c r="C1808">
        <v>32.729999999999997</v>
      </c>
      <c r="I1808" t="s">
        <v>515</v>
      </c>
      <c r="J1808" t="s">
        <v>253</v>
      </c>
      <c r="K1808" t="s">
        <v>2822</v>
      </c>
    </row>
    <row r="1809" spans="1:11" x14ac:dyDescent="0.25">
      <c r="A1809" t="s">
        <v>581</v>
      </c>
      <c r="B1809" t="s">
        <v>214</v>
      </c>
      <c r="C1809">
        <v>4.3600000000000003</v>
      </c>
      <c r="I1809" t="s">
        <v>516</v>
      </c>
      <c r="J1809" t="s">
        <v>253</v>
      </c>
      <c r="K1809" t="s">
        <v>2822</v>
      </c>
    </row>
    <row r="1810" spans="1:11" x14ac:dyDescent="0.25">
      <c r="A1810" t="s">
        <v>582</v>
      </c>
      <c r="B1810" t="s">
        <v>214</v>
      </c>
      <c r="C1810">
        <v>0.36</v>
      </c>
      <c r="I1810" t="s">
        <v>517</v>
      </c>
      <c r="J1810" t="s">
        <v>253</v>
      </c>
      <c r="K1810" t="s">
        <v>2822</v>
      </c>
    </row>
    <row r="1811" spans="1:11" x14ac:dyDescent="0.25">
      <c r="A1811" t="s">
        <v>583</v>
      </c>
      <c r="B1811" t="s">
        <v>214</v>
      </c>
      <c r="C1811">
        <v>0</v>
      </c>
      <c r="I1811" t="s">
        <v>2242</v>
      </c>
      <c r="J1811" t="s">
        <v>253</v>
      </c>
      <c r="K1811" t="s">
        <v>2822</v>
      </c>
    </row>
    <row r="1812" spans="1:11" x14ac:dyDescent="0.25">
      <c r="A1812" t="s">
        <v>584</v>
      </c>
      <c r="B1812" t="s">
        <v>214</v>
      </c>
      <c r="C1812">
        <v>1.0900000000000001</v>
      </c>
      <c r="I1812" t="s">
        <v>518</v>
      </c>
      <c r="J1812" t="s">
        <v>253</v>
      </c>
      <c r="K1812" t="s">
        <v>2822</v>
      </c>
    </row>
    <row r="1813" spans="1:11" x14ac:dyDescent="0.25">
      <c r="A1813" t="s">
        <v>585</v>
      </c>
      <c r="B1813" t="s">
        <v>214</v>
      </c>
      <c r="C1813">
        <v>1.82</v>
      </c>
      <c r="I1813" t="s">
        <v>1282</v>
      </c>
      <c r="J1813" t="s">
        <v>253</v>
      </c>
      <c r="K1813" t="s">
        <v>2822</v>
      </c>
    </row>
    <row r="1814" spans="1:11" x14ac:dyDescent="0.25">
      <c r="A1814" t="s">
        <v>586</v>
      </c>
      <c r="B1814" t="s">
        <v>214</v>
      </c>
      <c r="C1814">
        <v>3.64</v>
      </c>
      <c r="I1814" t="s">
        <v>519</v>
      </c>
      <c r="J1814" t="s">
        <v>253</v>
      </c>
      <c r="K1814" t="s">
        <v>2822</v>
      </c>
    </row>
    <row r="1815" spans="1:11" x14ac:dyDescent="0.25">
      <c r="A1815" t="s">
        <v>1284</v>
      </c>
      <c r="B1815" t="s">
        <v>214</v>
      </c>
      <c r="C1815">
        <v>1.82</v>
      </c>
      <c r="I1815" t="s">
        <v>520</v>
      </c>
      <c r="J1815" t="s">
        <v>253</v>
      </c>
      <c r="K1815" t="s">
        <v>2822</v>
      </c>
    </row>
    <row r="1816" spans="1:11" x14ac:dyDescent="0.25">
      <c r="A1816" t="s">
        <v>587</v>
      </c>
      <c r="B1816" t="s">
        <v>214</v>
      </c>
      <c r="C1816">
        <v>6.55</v>
      </c>
      <c r="I1816" t="s">
        <v>521</v>
      </c>
      <c r="J1816" t="s">
        <v>253</v>
      </c>
      <c r="K1816" t="s">
        <v>2822</v>
      </c>
    </row>
    <row r="1817" spans="1:11" x14ac:dyDescent="0.25">
      <c r="A1817" t="s">
        <v>588</v>
      </c>
      <c r="B1817" t="s">
        <v>214</v>
      </c>
      <c r="C1817">
        <v>1.82</v>
      </c>
      <c r="I1817" t="s">
        <v>522</v>
      </c>
      <c r="J1817" t="s">
        <v>253</v>
      </c>
      <c r="K1817" t="s">
        <v>2822</v>
      </c>
    </row>
    <row r="1818" spans="1:11" x14ac:dyDescent="0.25">
      <c r="A1818" t="s">
        <v>589</v>
      </c>
      <c r="B1818" t="s">
        <v>214</v>
      </c>
      <c r="C1818">
        <v>1.0900000000000001</v>
      </c>
      <c r="I1818" t="s">
        <v>523</v>
      </c>
      <c r="J1818" t="s">
        <v>253</v>
      </c>
      <c r="K1818" t="s">
        <v>2822</v>
      </c>
    </row>
    <row r="1819" spans="1:11" x14ac:dyDescent="0.25">
      <c r="A1819" t="s">
        <v>590</v>
      </c>
      <c r="B1819" t="s">
        <v>214</v>
      </c>
      <c r="C1819">
        <v>1.82</v>
      </c>
      <c r="I1819" t="s">
        <v>524</v>
      </c>
      <c r="J1819" t="s">
        <v>253</v>
      </c>
      <c r="K1819" t="s">
        <v>2822</v>
      </c>
    </row>
    <row r="1820" spans="1:11" x14ac:dyDescent="0.25">
      <c r="A1820" t="s">
        <v>605</v>
      </c>
      <c r="B1820" t="s">
        <v>214</v>
      </c>
      <c r="C1820">
        <v>0</v>
      </c>
      <c r="I1820" t="s">
        <v>525</v>
      </c>
      <c r="J1820" t="s">
        <v>253</v>
      </c>
      <c r="K1820" t="s">
        <v>2822</v>
      </c>
    </row>
    <row r="1821" spans="1:11" x14ac:dyDescent="0.25">
      <c r="A1821" t="s">
        <v>591</v>
      </c>
      <c r="B1821" t="s">
        <v>214</v>
      </c>
      <c r="C1821">
        <v>1.82</v>
      </c>
      <c r="I1821" t="s">
        <v>526</v>
      </c>
      <c r="J1821" t="s">
        <v>253</v>
      </c>
      <c r="K1821" t="s">
        <v>2822</v>
      </c>
    </row>
    <row r="1822" spans="1:11" x14ac:dyDescent="0.25">
      <c r="A1822" t="s">
        <v>592</v>
      </c>
      <c r="B1822" t="s">
        <v>214</v>
      </c>
      <c r="C1822">
        <v>12.36</v>
      </c>
      <c r="I1822" t="s">
        <v>527</v>
      </c>
      <c r="J1822" t="s">
        <v>253</v>
      </c>
      <c r="K1822" t="s">
        <v>2822</v>
      </c>
    </row>
    <row r="1823" spans="1:11" x14ac:dyDescent="0.25">
      <c r="A1823" t="s">
        <v>593</v>
      </c>
      <c r="B1823" t="s">
        <v>214</v>
      </c>
      <c r="C1823">
        <v>1.82</v>
      </c>
      <c r="I1823" t="s">
        <v>528</v>
      </c>
      <c r="J1823" t="s">
        <v>253</v>
      </c>
      <c r="K1823" t="s">
        <v>2822</v>
      </c>
    </row>
    <row r="1824" spans="1:11" x14ac:dyDescent="0.25">
      <c r="A1824" t="s">
        <v>594</v>
      </c>
      <c r="B1824" t="s">
        <v>214</v>
      </c>
      <c r="C1824">
        <v>0.73</v>
      </c>
      <c r="I1824" t="s">
        <v>529</v>
      </c>
      <c r="J1824" t="s">
        <v>253</v>
      </c>
      <c r="K1824" t="s">
        <v>2822</v>
      </c>
    </row>
    <row r="1825" spans="1:11" x14ac:dyDescent="0.25">
      <c r="A1825" t="s">
        <v>595</v>
      </c>
      <c r="B1825" t="s">
        <v>214</v>
      </c>
      <c r="C1825">
        <v>1.82</v>
      </c>
      <c r="I1825" t="s">
        <v>530</v>
      </c>
      <c r="J1825" t="s">
        <v>253</v>
      </c>
      <c r="K1825" t="s">
        <v>2822</v>
      </c>
    </row>
    <row r="1826" spans="1:11" x14ac:dyDescent="0.25">
      <c r="A1826" t="s">
        <v>596</v>
      </c>
      <c r="B1826" t="s">
        <v>214</v>
      </c>
      <c r="C1826">
        <v>1.82</v>
      </c>
      <c r="I1826" t="s">
        <v>531</v>
      </c>
      <c r="J1826" t="s">
        <v>253</v>
      </c>
      <c r="K1826" t="s">
        <v>2822</v>
      </c>
    </row>
    <row r="1827" spans="1:11" x14ac:dyDescent="0.25">
      <c r="A1827" t="s">
        <v>597</v>
      </c>
      <c r="B1827" t="s">
        <v>214</v>
      </c>
      <c r="C1827">
        <v>3.27</v>
      </c>
      <c r="I1827" t="s">
        <v>532</v>
      </c>
      <c r="J1827" t="s">
        <v>253</v>
      </c>
      <c r="K1827" t="s">
        <v>2822</v>
      </c>
    </row>
    <row r="1828" spans="1:11" x14ac:dyDescent="0.25">
      <c r="A1828" t="s">
        <v>598</v>
      </c>
      <c r="B1828" t="s">
        <v>214</v>
      </c>
      <c r="C1828">
        <v>2.91</v>
      </c>
      <c r="I1828" t="s">
        <v>533</v>
      </c>
      <c r="J1828" t="s">
        <v>253</v>
      </c>
      <c r="K1828" t="s">
        <v>2822</v>
      </c>
    </row>
    <row r="1829" spans="1:11" x14ac:dyDescent="0.25">
      <c r="A1829" t="s">
        <v>599</v>
      </c>
      <c r="B1829" t="s">
        <v>214</v>
      </c>
      <c r="C1829">
        <v>0</v>
      </c>
      <c r="I1829" t="s">
        <v>534</v>
      </c>
      <c r="J1829" t="s">
        <v>253</v>
      </c>
      <c r="K1829" t="s">
        <v>2822</v>
      </c>
    </row>
    <row r="1830" spans="1:11" x14ac:dyDescent="0.25">
      <c r="A1830" t="s">
        <v>601</v>
      </c>
      <c r="B1830" t="s">
        <v>214</v>
      </c>
      <c r="C1830">
        <v>0</v>
      </c>
      <c r="I1830" t="s">
        <v>535</v>
      </c>
      <c r="J1830" t="s">
        <v>253</v>
      </c>
      <c r="K1830" t="s">
        <v>2822</v>
      </c>
    </row>
    <row r="1831" spans="1:11" x14ac:dyDescent="0.25">
      <c r="A1831" t="s">
        <v>602</v>
      </c>
      <c r="B1831" t="s">
        <v>214</v>
      </c>
      <c r="C1831">
        <v>0.73</v>
      </c>
      <c r="I1831" t="s">
        <v>536</v>
      </c>
      <c r="J1831" t="s">
        <v>253</v>
      </c>
      <c r="K1831" t="s">
        <v>2822</v>
      </c>
    </row>
    <row r="1832" spans="1:11" x14ac:dyDescent="0.25">
      <c r="A1832" t="s">
        <v>603</v>
      </c>
      <c r="B1832" t="s">
        <v>214</v>
      </c>
      <c r="C1832">
        <v>0.73</v>
      </c>
      <c r="I1832" t="s">
        <v>537</v>
      </c>
      <c r="J1832" t="s">
        <v>253</v>
      </c>
      <c r="K1832" t="s">
        <v>2822</v>
      </c>
    </row>
    <row r="1833" spans="1:11" x14ac:dyDescent="0.25">
      <c r="A1833" t="s">
        <v>604</v>
      </c>
      <c r="B1833" t="s">
        <v>214</v>
      </c>
      <c r="C1833">
        <v>1.82</v>
      </c>
      <c r="I1833" t="s">
        <v>538</v>
      </c>
      <c r="J1833" t="s">
        <v>253</v>
      </c>
      <c r="K1833" t="s">
        <v>2822</v>
      </c>
    </row>
    <row r="1834" spans="1:11" x14ac:dyDescent="0.25">
      <c r="A1834" t="s">
        <v>606</v>
      </c>
      <c r="B1834" t="s">
        <v>214</v>
      </c>
      <c r="C1834">
        <v>1.0900000000000001</v>
      </c>
      <c r="I1834" t="s">
        <v>539</v>
      </c>
      <c r="J1834" t="s">
        <v>253</v>
      </c>
      <c r="K1834" t="s">
        <v>2822</v>
      </c>
    </row>
    <row r="1835" spans="1:11" x14ac:dyDescent="0.25">
      <c r="A1835" t="s">
        <v>2603</v>
      </c>
      <c r="B1835" t="s">
        <v>214</v>
      </c>
      <c r="C1835">
        <v>0</v>
      </c>
      <c r="I1835" t="s">
        <v>540</v>
      </c>
      <c r="J1835" t="s">
        <v>253</v>
      </c>
      <c r="K1835" t="s">
        <v>2822</v>
      </c>
    </row>
    <row r="1836" spans="1:11" x14ac:dyDescent="0.25">
      <c r="A1836" t="s">
        <v>607</v>
      </c>
      <c r="B1836" t="s">
        <v>214</v>
      </c>
      <c r="C1836">
        <v>0.73</v>
      </c>
      <c r="I1836" t="s">
        <v>541</v>
      </c>
      <c r="J1836" t="s">
        <v>253</v>
      </c>
      <c r="K1836" t="s">
        <v>2822</v>
      </c>
    </row>
    <row r="1837" spans="1:11" x14ac:dyDescent="0.25">
      <c r="A1837" t="s">
        <v>608</v>
      </c>
      <c r="B1837" t="s">
        <v>214</v>
      </c>
      <c r="C1837">
        <v>0.36</v>
      </c>
      <c r="I1837" t="s">
        <v>542</v>
      </c>
      <c r="J1837" t="s">
        <v>253</v>
      </c>
      <c r="K1837" t="s">
        <v>2822</v>
      </c>
    </row>
    <row r="1838" spans="1:11" x14ac:dyDescent="0.25">
      <c r="A1838" t="s">
        <v>609</v>
      </c>
      <c r="B1838" t="s">
        <v>214</v>
      </c>
      <c r="C1838">
        <v>0</v>
      </c>
      <c r="I1838" t="s">
        <v>543</v>
      </c>
      <c r="J1838" t="s">
        <v>253</v>
      </c>
      <c r="K1838" t="s">
        <v>2822</v>
      </c>
    </row>
    <row r="1839" spans="1:11" x14ac:dyDescent="0.25">
      <c r="A1839" t="s">
        <v>610</v>
      </c>
      <c r="B1839" t="s">
        <v>214</v>
      </c>
      <c r="C1839">
        <v>0.36</v>
      </c>
      <c r="I1839" t="s">
        <v>600</v>
      </c>
      <c r="J1839" t="s">
        <v>253</v>
      </c>
      <c r="K1839" t="s">
        <v>2822</v>
      </c>
    </row>
    <row r="1840" spans="1:11" x14ac:dyDescent="0.25">
      <c r="A1840" t="s">
        <v>611</v>
      </c>
      <c r="B1840" t="s">
        <v>214</v>
      </c>
      <c r="C1840">
        <v>1.45</v>
      </c>
      <c r="I1840" t="s">
        <v>544</v>
      </c>
      <c r="J1840" t="s">
        <v>253</v>
      </c>
      <c r="K1840" t="s">
        <v>2822</v>
      </c>
    </row>
    <row r="1841" spans="1:11" x14ac:dyDescent="0.25">
      <c r="A1841" t="s">
        <v>612</v>
      </c>
      <c r="B1841" t="s">
        <v>214</v>
      </c>
      <c r="C1841">
        <v>0</v>
      </c>
      <c r="I1841" t="s">
        <v>545</v>
      </c>
      <c r="J1841" t="s">
        <v>253</v>
      </c>
      <c r="K1841" t="s">
        <v>2822</v>
      </c>
    </row>
    <row r="1842" spans="1:11" x14ac:dyDescent="0.25">
      <c r="A1842" t="s">
        <v>613</v>
      </c>
      <c r="B1842" t="s">
        <v>214</v>
      </c>
      <c r="C1842">
        <v>0.73</v>
      </c>
      <c r="I1842" t="s">
        <v>546</v>
      </c>
      <c r="J1842" t="s">
        <v>253</v>
      </c>
      <c r="K1842" t="s">
        <v>2822</v>
      </c>
    </row>
    <row r="1843" spans="1:11" x14ac:dyDescent="0.25">
      <c r="A1843" t="s">
        <v>614</v>
      </c>
      <c r="B1843" t="s">
        <v>214</v>
      </c>
      <c r="C1843">
        <v>0</v>
      </c>
      <c r="I1843" t="s">
        <v>547</v>
      </c>
      <c r="J1843" t="s">
        <v>253</v>
      </c>
      <c r="K1843" t="s">
        <v>2822</v>
      </c>
    </row>
    <row r="1844" spans="1:11" x14ac:dyDescent="0.25">
      <c r="A1844" t="s">
        <v>615</v>
      </c>
      <c r="B1844" t="s">
        <v>214</v>
      </c>
      <c r="C1844">
        <v>2.1800000000000002</v>
      </c>
      <c r="I1844" t="s">
        <v>548</v>
      </c>
      <c r="J1844" t="s">
        <v>253</v>
      </c>
      <c r="K1844" t="s">
        <v>2822</v>
      </c>
    </row>
    <row r="1845" spans="1:11" x14ac:dyDescent="0.25">
      <c r="A1845" t="s">
        <v>616</v>
      </c>
      <c r="B1845" t="s">
        <v>214</v>
      </c>
      <c r="C1845">
        <v>43.64</v>
      </c>
      <c r="I1845" t="s">
        <v>549</v>
      </c>
      <c r="J1845" t="s">
        <v>253</v>
      </c>
      <c r="K1845" t="s">
        <v>2822</v>
      </c>
    </row>
    <row r="1846" spans="1:11" x14ac:dyDescent="0.25">
      <c r="A1846" t="s">
        <v>617</v>
      </c>
      <c r="B1846" t="s">
        <v>214</v>
      </c>
      <c r="C1846">
        <v>4.3600000000000003</v>
      </c>
      <c r="I1846" t="s">
        <v>550</v>
      </c>
      <c r="J1846" t="s">
        <v>253</v>
      </c>
      <c r="K1846" t="s">
        <v>2822</v>
      </c>
    </row>
    <row r="1847" spans="1:11" x14ac:dyDescent="0.25">
      <c r="A1847" t="s">
        <v>618</v>
      </c>
      <c r="B1847" t="s">
        <v>214</v>
      </c>
      <c r="C1847">
        <v>1.0900000000000001</v>
      </c>
      <c r="I1847" t="s">
        <v>551</v>
      </c>
      <c r="J1847" t="s">
        <v>253</v>
      </c>
      <c r="K1847" t="s">
        <v>2822</v>
      </c>
    </row>
    <row r="1848" spans="1:11" x14ac:dyDescent="0.25">
      <c r="A1848" t="s">
        <v>619</v>
      </c>
      <c r="B1848" t="s">
        <v>214</v>
      </c>
      <c r="C1848">
        <v>1.0900000000000001</v>
      </c>
      <c r="I1848" t="s">
        <v>552</v>
      </c>
      <c r="J1848" t="s">
        <v>253</v>
      </c>
      <c r="K1848" t="s">
        <v>2822</v>
      </c>
    </row>
    <row r="1849" spans="1:11" x14ac:dyDescent="0.25">
      <c r="A1849" t="s">
        <v>620</v>
      </c>
      <c r="B1849" t="s">
        <v>214</v>
      </c>
      <c r="C1849">
        <v>2.91</v>
      </c>
      <c r="I1849" t="s">
        <v>553</v>
      </c>
      <c r="J1849" t="s">
        <v>253</v>
      </c>
      <c r="K1849" t="s">
        <v>2822</v>
      </c>
    </row>
    <row r="1850" spans="1:11" x14ac:dyDescent="0.25">
      <c r="A1850" t="s">
        <v>621</v>
      </c>
      <c r="B1850" t="s">
        <v>214</v>
      </c>
      <c r="C1850">
        <v>6.18</v>
      </c>
      <c r="I1850" t="s">
        <v>554</v>
      </c>
      <c r="J1850" t="s">
        <v>253</v>
      </c>
      <c r="K1850" t="s">
        <v>2822</v>
      </c>
    </row>
    <row r="1851" spans="1:11" x14ac:dyDescent="0.25">
      <c r="A1851" t="s">
        <v>2604</v>
      </c>
      <c r="B1851" t="s">
        <v>214</v>
      </c>
      <c r="C1851">
        <v>0</v>
      </c>
      <c r="I1851" t="s">
        <v>555</v>
      </c>
      <c r="J1851" t="s">
        <v>253</v>
      </c>
      <c r="K1851" t="s">
        <v>2822</v>
      </c>
    </row>
    <row r="1852" spans="1:11" x14ac:dyDescent="0.25">
      <c r="A1852" t="s">
        <v>622</v>
      </c>
      <c r="B1852" t="s">
        <v>214</v>
      </c>
      <c r="C1852">
        <v>0</v>
      </c>
      <c r="I1852" t="s">
        <v>556</v>
      </c>
      <c r="J1852" t="s">
        <v>253</v>
      </c>
      <c r="K1852" t="s">
        <v>2822</v>
      </c>
    </row>
    <row r="1853" spans="1:11" x14ac:dyDescent="0.25">
      <c r="A1853" t="s">
        <v>2408</v>
      </c>
      <c r="B1853" t="s">
        <v>214</v>
      </c>
      <c r="C1853">
        <v>0</v>
      </c>
      <c r="I1853" t="s">
        <v>952</v>
      </c>
      <c r="J1853" t="s">
        <v>253</v>
      </c>
      <c r="K1853" t="s">
        <v>2822</v>
      </c>
    </row>
    <row r="1854" spans="1:11" x14ac:dyDescent="0.25">
      <c r="A1854" t="s">
        <v>623</v>
      </c>
      <c r="B1854" t="s">
        <v>214</v>
      </c>
      <c r="C1854">
        <v>11.64</v>
      </c>
      <c r="I1854" t="s">
        <v>2601</v>
      </c>
      <c r="J1854" t="s">
        <v>253</v>
      </c>
      <c r="K1854" t="s">
        <v>2822</v>
      </c>
    </row>
    <row r="1855" spans="1:11" x14ac:dyDescent="0.25">
      <c r="A1855" t="s">
        <v>1656</v>
      </c>
      <c r="B1855" t="s">
        <v>214</v>
      </c>
      <c r="I1855" t="s">
        <v>557</v>
      </c>
      <c r="J1855" t="s">
        <v>253</v>
      </c>
      <c r="K1855" t="s">
        <v>2822</v>
      </c>
    </row>
    <row r="1856" spans="1:11" x14ac:dyDescent="0.25">
      <c r="A1856" t="s">
        <v>624</v>
      </c>
      <c r="B1856" t="s">
        <v>214</v>
      </c>
      <c r="C1856">
        <v>0</v>
      </c>
      <c r="I1856" t="s">
        <v>558</v>
      </c>
      <c r="J1856" t="s">
        <v>253</v>
      </c>
      <c r="K1856" t="s">
        <v>2822</v>
      </c>
    </row>
    <row r="1857" spans="1:11" x14ac:dyDescent="0.25">
      <c r="A1857" t="s">
        <v>2513</v>
      </c>
      <c r="B1857" t="s">
        <v>214</v>
      </c>
      <c r="I1857" t="s">
        <v>559</v>
      </c>
      <c r="J1857" t="s">
        <v>253</v>
      </c>
      <c r="K1857" t="s">
        <v>2822</v>
      </c>
    </row>
    <row r="1858" spans="1:11" x14ac:dyDescent="0.25">
      <c r="A1858" t="s">
        <v>625</v>
      </c>
      <c r="B1858" t="s">
        <v>214</v>
      </c>
      <c r="C1858">
        <v>3.64</v>
      </c>
      <c r="I1858" t="s">
        <v>560</v>
      </c>
      <c r="J1858" t="s">
        <v>253</v>
      </c>
      <c r="K1858" t="s">
        <v>2822</v>
      </c>
    </row>
    <row r="1859" spans="1:11" x14ac:dyDescent="0.25">
      <c r="A1859" t="s">
        <v>626</v>
      </c>
      <c r="B1859" t="s">
        <v>214</v>
      </c>
      <c r="C1859">
        <v>9.09</v>
      </c>
      <c r="I1859" t="s">
        <v>561</v>
      </c>
      <c r="J1859" t="s">
        <v>253</v>
      </c>
      <c r="K1859" t="s">
        <v>2822</v>
      </c>
    </row>
    <row r="1860" spans="1:11" x14ac:dyDescent="0.25">
      <c r="A1860" t="s">
        <v>627</v>
      </c>
      <c r="B1860" t="s">
        <v>214</v>
      </c>
      <c r="C1860">
        <v>0</v>
      </c>
      <c r="I1860" t="s">
        <v>562</v>
      </c>
      <c r="J1860" t="s">
        <v>253</v>
      </c>
      <c r="K1860" t="s">
        <v>2822</v>
      </c>
    </row>
    <row r="1861" spans="1:11" x14ac:dyDescent="0.25">
      <c r="A1861" t="s">
        <v>628</v>
      </c>
      <c r="B1861" t="s">
        <v>214</v>
      </c>
      <c r="C1861">
        <v>0</v>
      </c>
      <c r="I1861" t="s">
        <v>2270</v>
      </c>
      <c r="J1861" t="s">
        <v>253</v>
      </c>
      <c r="K1861" t="s">
        <v>2822</v>
      </c>
    </row>
    <row r="1862" spans="1:11" x14ac:dyDescent="0.25">
      <c r="A1862" t="s">
        <v>629</v>
      </c>
      <c r="B1862" t="s">
        <v>214</v>
      </c>
      <c r="C1862">
        <v>10.91</v>
      </c>
      <c r="I1862" t="s">
        <v>563</v>
      </c>
      <c r="J1862" t="s">
        <v>253</v>
      </c>
      <c r="K1862" t="s">
        <v>2822</v>
      </c>
    </row>
    <row r="1863" spans="1:11" x14ac:dyDescent="0.25">
      <c r="A1863" t="s">
        <v>630</v>
      </c>
      <c r="B1863" t="s">
        <v>214</v>
      </c>
      <c r="C1863">
        <v>0</v>
      </c>
      <c r="I1863" t="s">
        <v>564</v>
      </c>
      <c r="J1863" t="s">
        <v>253</v>
      </c>
      <c r="K1863" t="s">
        <v>2822</v>
      </c>
    </row>
    <row r="1864" spans="1:11" x14ac:dyDescent="0.25">
      <c r="A1864" t="s">
        <v>631</v>
      </c>
      <c r="B1864" t="s">
        <v>214</v>
      </c>
      <c r="C1864">
        <v>5.45</v>
      </c>
      <c r="I1864" t="s">
        <v>565</v>
      </c>
      <c r="J1864" t="s">
        <v>253</v>
      </c>
      <c r="K1864" t="s">
        <v>2822</v>
      </c>
    </row>
    <row r="1865" spans="1:11" x14ac:dyDescent="0.25">
      <c r="A1865" t="s">
        <v>632</v>
      </c>
      <c r="B1865" t="s">
        <v>214</v>
      </c>
      <c r="C1865">
        <v>0</v>
      </c>
      <c r="I1865" t="s">
        <v>566</v>
      </c>
      <c r="J1865" t="s">
        <v>253</v>
      </c>
      <c r="K1865" t="s">
        <v>2822</v>
      </c>
    </row>
    <row r="1866" spans="1:11" x14ac:dyDescent="0.25">
      <c r="A1866" t="s">
        <v>633</v>
      </c>
      <c r="B1866" t="s">
        <v>214</v>
      </c>
      <c r="C1866">
        <v>1.45</v>
      </c>
      <c r="I1866" t="s">
        <v>567</v>
      </c>
      <c r="J1866" t="s">
        <v>253</v>
      </c>
      <c r="K1866" t="s">
        <v>2822</v>
      </c>
    </row>
    <row r="1867" spans="1:11" x14ac:dyDescent="0.25">
      <c r="A1867" t="s">
        <v>634</v>
      </c>
      <c r="B1867" t="s">
        <v>214</v>
      </c>
      <c r="C1867">
        <v>0.73</v>
      </c>
      <c r="I1867" t="s">
        <v>568</v>
      </c>
      <c r="J1867" t="s">
        <v>253</v>
      </c>
      <c r="K1867" t="s">
        <v>2822</v>
      </c>
    </row>
    <row r="1868" spans="1:11" x14ac:dyDescent="0.25">
      <c r="A1868" t="s">
        <v>635</v>
      </c>
      <c r="B1868" t="s">
        <v>214</v>
      </c>
      <c r="C1868">
        <v>0.36</v>
      </c>
      <c r="I1868" t="s">
        <v>569</v>
      </c>
      <c r="J1868" t="s">
        <v>253</v>
      </c>
      <c r="K1868" t="s">
        <v>2822</v>
      </c>
    </row>
    <row r="1869" spans="1:11" x14ac:dyDescent="0.25">
      <c r="A1869" t="s">
        <v>636</v>
      </c>
      <c r="B1869" t="s">
        <v>214</v>
      </c>
      <c r="C1869">
        <v>3.64</v>
      </c>
      <c r="I1869" t="s">
        <v>570</v>
      </c>
      <c r="J1869" t="s">
        <v>253</v>
      </c>
      <c r="K1869" t="s">
        <v>2822</v>
      </c>
    </row>
    <row r="1870" spans="1:11" x14ac:dyDescent="0.25">
      <c r="A1870" t="s">
        <v>637</v>
      </c>
      <c r="B1870" t="s">
        <v>214</v>
      </c>
      <c r="C1870">
        <v>0</v>
      </c>
      <c r="I1870" t="s">
        <v>571</v>
      </c>
      <c r="J1870" t="s">
        <v>253</v>
      </c>
      <c r="K1870" t="s">
        <v>2822</v>
      </c>
    </row>
    <row r="1871" spans="1:11" x14ac:dyDescent="0.25">
      <c r="A1871" t="s">
        <v>2045</v>
      </c>
      <c r="B1871" t="s">
        <v>214</v>
      </c>
      <c r="I1871" t="s">
        <v>572</v>
      </c>
      <c r="J1871" t="s">
        <v>253</v>
      </c>
      <c r="K1871" t="s">
        <v>2822</v>
      </c>
    </row>
    <row r="1872" spans="1:11" x14ac:dyDescent="0.25">
      <c r="A1872" t="s">
        <v>638</v>
      </c>
      <c r="B1872" t="s">
        <v>214</v>
      </c>
      <c r="C1872">
        <v>1.45</v>
      </c>
      <c r="I1872" t="s">
        <v>573</v>
      </c>
      <c r="J1872" t="s">
        <v>253</v>
      </c>
      <c r="K1872" t="s">
        <v>2822</v>
      </c>
    </row>
    <row r="1873" spans="1:11" x14ac:dyDescent="0.25">
      <c r="A1873" t="s">
        <v>639</v>
      </c>
      <c r="B1873" t="s">
        <v>214</v>
      </c>
      <c r="C1873">
        <v>0.36</v>
      </c>
      <c r="I1873" t="s">
        <v>574</v>
      </c>
      <c r="J1873" t="s">
        <v>253</v>
      </c>
      <c r="K1873" t="s">
        <v>2822</v>
      </c>
    </row>
    <row r="1874" spans="1:11" x14ac:dyDescent="0.25">
      <c r="A1874" t="s">
        <v>640</v>
      </c>
      <c r="B1874" t="s">
        <v>214</v>
      </c>
      <c r="C1874">
        <v>0</v>
      </c>
      <c r="I1874" t="s">
        <v>575</v>
      </c>
      <c r="J1874" t="s">
        <v>253</v>
      </c>
      <c r="K1874" t="s">
        <v>2822</v>
      </c>
    </row>
    <row r="1875" spans="1:11" x14ac:dyDescent="0.25">
      <c r="A1875" t="s">
        <v>641</v>
      </c>
      <c r="B1875" t="s">
        <v>214</v>
      </c>
      <c r="C1875">
        <v>0</v>
      </c>
      <c r="I1875" t="s">
        <v>576</v>
      </c>
      <c r="J1875" t="s">
        <v>253</v>
      </c>
      <c r="K1875" t="s">
        <v>2822</v>
      </c>
    </row>
    <row r="1876" spans="1:11" x14ac:dyDescent="0.25">
      <c r="A1876" t="s">
        <v>642</v>
      </c>
      <c r="B1876" t="s">
        <v>214</v>
      </c>
      <c r="C1876">
        <v>0</v>
      </c>
      <c r="I1876" t="s">
        <v>577</v>
      </c>
      <c r="J1876" t="s">
        <v>253</v>
      </c>
      <c r="K1876" t="s">
        <v>2822</v>
      </c>
    </row>
    <row r="1877" spans="1:11" x14ac:dyDescent="0.25">
      <c r="A1877" t="s">
        <v>2605</v>
      </c>
      <c r="B1877" t="s">
        <v>214</v>
      </c>
      <c r="C1877">
        <v>0</v>
      </c>
      <c r="I1877" t="s">
        <v>578</v>
      </c>
      <c r="J1877" t="s">
        <v>253</v>
      </c>
      <c r="K1877" t="s">
        <v>2822</v>
      </c>
    </row>
    <row r="1878" spans="1:11" x14ac:dyDescent="0.25">
      <c r="A1878" t="s">
        <v>643</v>
      </c>
      <c r="B1878" t="s">
        <v>214</v>
      </c>
      <c r="C1878">
        <v>0</v>
      </c>
      <c r="I1878" t="s">
        <v>579</v>
      </c>
      <c r="J1878" t="s">
        <v>253</v>
      </c>
      <c r="K1878" t="s">
        <v>2822</v>
      </c>
    </row>
    <row r="1879" spans="1:11" x14ac:dyDescent="0.25">
      <c r="A1879" t="s">
        <v>644</v>
      </c>
      <c r="B1879" t="s">
        <v>214</v>
      </c>
      <c r="C1879">
        <v>8</v>
      </c>
      <c r="I1879" t="s">
        <v>2602</v>
      </c>
      <c r="J1879" t="s">
        <v>253</v>
      </c>
      <c r="K1879" t="s">
        <v>2822</v>
      </c>
    </row>
    <row r="1880" spans="1:11" x14ac:dyDescent="0.25">
      <c r="A1880" t="s">
        <v>645</v>
      </c>
      <c r="B1880" t="s">
        <v>214</v>
      </c>
      <c r="C1880">
        <v>2.5499999999999998</v>
      </c>
      <c r="I1880" t="s">
        <v>1283</v>
      </c>
      <c r="J1880" t="s">
        <v>253</v>
      </c>
      <c r="K1880" t="s">
        <v>2822</v>
      </c>
    </row>
    <row r="1881" spans="1:11" x14ac:dyDescent="0.25">
      <c r="A1881" t="s">
        <v>646</v>
      </c>
      <c r="B1881" t="s">
        <v>214</v>
      </c>
      <c r="C1881">
        <v>0</v>
      </c>
      <c r="I1881" t="s">
        <v>580</v>
      </c>
      <c r="J1881" t="s">
        <v>253</v>
      </c>
      <c r="K1881" t="s">
        <v>2822</v>
      </c>
    </row>
    <row r="1882" spans="1:11" x14ac:dyDescent="0.25">
      <c r="A1882" t="s">
        <v>647</v>
      </c>
      <c r="B1882" t="s">
        <v>214</v>
      </c>
      <c r="C1882">
        <v>0</v>
      </c>
      <c r="I1882" t="s">
        <v>581</v>
      </c>
      <c r="J1882" t="s">
        <v>253</v>
      </c>
      <c r="K1882" t="s">
        <v>2822</v>
      </c>
    </row>
    <row r="1883" spans="1:11" x14ac:dyDescent="0.25">
      <c r="A1883" t="s">
        <v>648</v>
      </c>
      <c r="B1883" t="s">
        <v>214</v>
      </c>
      <c r="C1883">
        <v>1.82</v>
      </c>
      <c r="I1883" t="s">
        <v>582</v>
      </c>
      <c r="J1883" t="s">
        <v>253</v>
      </c>
      <c r="K1883" t="s">
        <v>2822</v>
      </c>
    </row>
    <row r="1884" spans="1:11" x14ac:dyDescent="0.25">
      <c r="A1884" t="s">
        <v>649</v>
      </c>
      <c r="B1884" t="s">
        <v>214</v>
      </c>
      <c r="C1884">
        <v>1.45</v>
      </c>
      <c r="I1884" t="s">
        <v>583</v>
      </c>
      <c r="J1884" t="s">
        <v>253</v>
      </c>
      <c r="K1884" t="s">
        <v>2822</v>
      </c>
    </row>
    <row r="1885" spans="1:11" x14ac:dyDescent="0.25">
      <c r="A1885" t="s">
        <v>650</v>
      </c>
      <c r="B1885" t="s">
        <v>214</v>
      </c>
      <c r="C1885">
        <v>2.1800000000000002</v>
      </c>
      <c r="I1885" t="s">
        <v>584</v>
      </c>
      <c r="J1885" t="s">
        <v>253</v>
      </c>
      <c r="K1885" t="s">
        <v>2822</v>
      </c>
    </row>
    <row r="1886" spans="1:11" x14ac:dyDescent="0.25">
      <c r="A1886" t="s">
        <v>651</v>
      </c>
      <c r="B1886" t="s">
        <v>214</v>
      </c>
      <c r="C1886">
        <v>0</v>
      </c>
      <c r="I1886" t="s">
        <v>585</v>
      </c>
      <c r="J1886" t="s">
        <v>253</v>
      </c>
      <c r="K1886" t="s">
        <v>2822</v>
      </c>
    </row>
    <row r="1887" spans="1:11" x14ac:dyDescent="0.25">
      <c r="A1887" t="s">
        <v>652</v>
      </c>
      <c r="B1887" t="s">
        <v>214</v>
      </c>
      <c r="C1887">
        <v>0.73</v>
      </c>
      <c r="I1887" t="s">
        <v>586</v>
      </c>
      <c r="J1887" t="s">
        <v>253</v>
      </c>
      <c r="K1887" t="s">
        <v>2822</v>
      </c>
    </row>
    <row r="1888" spans="1:11" x14ac:dyDescent="0.25">
      <c r="A1888" t="s">
        <v>653</v>
      </c>
      <c r="B1888" t="s">
        <v>214</v>
      </c>
      <c r="C1888">
        <v>0</v>
      </c>
      <c r="I1888" t="s">
        <v>1284</v>
      </c>
      <c r="J1888" t="s">
        <v>253</v>
      </c>
      <c r="K1888" t="s">
        <v>2822</v>
      </c>
    </row>
    <row r="1889" spans="1:11" x14ac:dyDescent="0.25">
      <c r="A1889" t="s">
        <v>654</v>
      </c>
      <c r="B1889" t="s">
        <v>214</v>
      </c>
      <c r="C1889">
        <v>0</v>
      </c>
      <c r="I1889" t="s">
        <v>587</v>
      </c>
      <c r="J1889" t="s">
        <v>253</v>
      </c>
      <c r="K1889" t="s">
        <v>2822</v>
      </c>
    </row>
    <row r="1890" spans="1:11" x14ac:dyDescent="0.25">
      <c r="A1890" t="s">
        <v>655</v>
      </c>
      <c r="B1890" t="s">
        <v>214</v>
      </c>
      <c r="C1890">
        <v>0.73</v>
      </c>
      <c r="I1890" t="s">
        <v>588</v>
      </c>
      <c r="J1890" t="s">
        <v>253</v>
      </c>
      <c r="K1890" t="s">
        <v>2822</v>
      </c>
    </row>
    <row r="1891" spans="1:11" x14ac:dyDescent="0.25">
      <c r="A1891" t="s">
        <v>656</v>
      </c>
      <c r="B1891" t="s">
        <v>214</v>
      </c>
      <c r="C1891">
        <v>0</v>
      </c>
      <c r="I1891" t="s">
        <v>589</v>
      </c>
      <c r="J1891" t="s">
        <v>253</v>
      </c>
      <c r="K1891" t="s">
        <v>2822</v>
      </c>
    </row>
    <row r="1892" spans="1:11" x14ac:dyDescent="0.25">
      <c r="A1892" t="s">
        <v>657</v>
      </c>
      <c r="B1892" t="s">
        <v>214</v>
      </c>
      <c r="C1892">
        <v>14.55</v>
      </c>
      <c r="I1892" t="s">
        <v>590</v>
      </c>
      <c r="J1892" t="s">
        <v>253</v>
      </c>
      <c r="K1892" t="s">
        <v>2822</v>
      </c>
    </row>
    <row r="1893" spans="1:11" x14ac:dyDescent="0.25">
      <c r="A1893" t="s">
        <v>658</v>
      </c>
      <c r="B1893" t="s">
        <v>214</v>
      </c>
      <c r="C1893">
        <v>4.3600000000000003</v>
      </c>
      <c r="I1893" t="s">
        <v>605</v>
      </c>
      <c r="J1893" t="s">
        <v>253</v>
      </c>
      <c r="K1893" t="s">
        <v>2822</v>
      </c>
    </row>
    <row r="1894" spans="1:11" x14ac:dyDescent="0.25">
      <c r="A1894" t="s">
        <v>659</v>
      </c>
      <c r="B1894" t="s">
        <v>214</v>
      </c>
      <c r="C1894">
        <v>0.73</v>
      </c>
      <c r="I1894" t="s">
        <v>591</v>
      </c>
      <c r="J1894" t="s">
        <v>253</v>
      </c>
      <c r="K1894" t="s">
        <v>2822</v>
      </c>
    </row>
    <row r="1895" spans="1:11" x14ac:dyDescent="0.25">
      <c r="A1895" t="s">
        <v>660</v>
      </c>
      <c r="B1895" t="s">
        <v>214</v>
      </c>
      <c r="C1895">
        <v>0</v>
      </c>
      <c r="I1895" t="s">
        <v>592</v>
      </c>
      <c r="J1895" t="s">
        <v>253</v>
      </c>
      <c r="K1895" t="s">
        <v>2822</v>
      </c>
    </row>
    <row r="1896" spans="1:11" x14ac:dyDescent="0.25">
      <c r="A1896" t="s">
        <v>661</v>
      </c>
      <c r="B1896" t="s">
        <v>214</v>
      </c>
      <c r="C1896">
        <v>0</v>
      </c>
      <c r="I1896" t="s">
        <v>593</v>
      </c>
      <c r="J1896" t="s">
        <v>253</v>
      </c>
      <c r="K1896" t="s">
        <v>2822</v>
      </c>
    </row>
    <row r="1897" spans="1:11" x14ac:dyDescent="0.25">
      <c r="A1897" t="s">
        <v>662</v>
      </c>
      <c r="B1897" t="s">
        <v>214</v>
      </c>
      <c r="C1897">
        <v>0</v>
      </c>
      <c r="I1897" t="s">
        <v>594</v>
      </c>
      <c r="J1897" t="s">
        <v>253</v>
      </c>
      <c r="K1897" t="s">
        <v>2822</v>
      </c>
    </row>
    <row r="1898" spans="1:11" x14ac:dyDescent="0.25">
      <c r="A1898" t="s">
        <v>663</v>
      </c>
      <c r="B1898" t="s">
        <v>214</v>
      </c>
      <c r="C1898">
        <v>1.82</v>
      </c>
      <c r="I1898" t="s">
        <v>595</v>
      </c>
      <c r="J1898" t="s">
        <v>253</v>
      </c>
      <c r="K1898" t="s">
        <v>2822</v>
      </c>
    </row>
    <row r="1899" spans="1:11" x14ac:dyDescent="0.25">
      <c r="A1899" t="s">
        <v>664</v>
      </c>
      <c r="B1899" t="s">
        <v>214</v>
      </c>
      <c r="C1899">
        <v>7.27</v>
      </c>
      <c r="I1899" t="s">
        <v>596</v>
      </c>
      <c r="J1899" t="s">
        <v>253</v>
      </c>
      <c r="K1899" t="s">
        <v>2822</v>
      </c>
    </row>
    <row r="1900" spans="1:11" x14ac:dyDescent="0.25">
      <c r="A1900" t="s">
        <v>665</v>
      </c>
      <c r="B1900" t="s">
        <v>214</v>
      </c>
      <c r="C1900">
        <v>5.45</v>
      </c>
      <c r="I1900" t="s">
        <v>597</v>
      </c>
      <c r="J1900" t="s">
        <v>253</v>
      </c>
      <c r="K1900" t="s">
        <v>2822</v>
      </c>
    </row>
    <row r="1901" spans="1:11" x14ac:dyDescent="0.25">
      <c r="A1901" t="s">
        <v>666</v>
      </c>
      <c r="B1901" t="s">
        <v>214</v>
      </c>
      <c r="C1901">
        <v>3.64</v>
      </c>
      <c r="I1901" t="s">
        <v>598</v>
      </c>
      <c r="J1901" t="s">
        <v>253</v>
      </c>
      <c r="K1901" t="s">
        <v>2822</v>
      </c>
    </row>
    <row r="1902" spans="1:11" x14ac:dyDescent="0.25">
      <c r="A1902" t="s">
        <v>667</v>
      </c>
      <c r="B1902" t="s">
        <v>214</v>
      </c>
      <c r="C1902">
        <v>1.82</v>
      </c>
      <c r="I1902" t="s">
        <v>599</v>
      </c>
      <c r="J1902" t="s">
        <v>253</v>
      </c>
      <c r="K1902" t="s">
        <v>2822</v>
      </c>
    </row>
    <row r="1903" spans="1:11" x14ac:dyDescent="0.25">
      <c r="A1903" t="s">
        <v>668</v>
      </c>
      <c r="B1903" t="s">
        <v>214</v>
      </c>
      <c r="C1903">
        <v>0.73</v>
      </c>
      <c r="I1903" t="s">
        <v>601</v>
      </c>
      <c r="J1903" t="s">
        <v>253</v>
      </c>
      <c r="K1903" t="s">
        <v>2822</v>
      </c>
    </row>
    <row r="1904" spans="1:11" x14ac:dyDescent="0.25">
      <c r="A1904" t="s">
        <v>669</v>
      </c>
      <c r="B1904" t="s">
        <v>214</v>
      </c>
      <c r="C1904">
        <v>0</v>
      </c>
      <c r="I1904" t="s">
        <v>602</v>
      </c>
      <c r="J1904" t="s">
        <v>253</v>
      </c>
      <c r="K1904" t="s">
        <v>2822</v>
      </c>
    </row>
    <row r="1905" spans="1:11" x14ac:dyDescent="0.25">
      <c r="A1905" t="s">
        <v>670</v>
      </c>
      <c r="B1905" t="s">
        <v>214</v>
      </c>
      <c r="C1905">
        <v>0.73</v>
      </c>
      <c r="I1905" t="s">
        <v>603</v>
      </c>
      <c r="J1905" t="s">
        <v>253</v>
      </c>
      <c r="K1905" t="s">
        <v>2822</v>
      </c>
    </row>
    <row r="1906" spans="1:11" x14ac:dyDescent="0.25">
      <c r="A1906" t="s">
        <v>671</v>
      </c>
      <c r="B1906" t="s">
        <v>214</v>
      </c>
      <c r="C1906">
        <v>0</v>
      </c>
      <c r="I1906" t="s">
        <v>604</v>
      </c>
      <c r="J1906" t="s">
        <v>253</v>
      </c>
      <c r="K1906" t="s">
        <v>2822</v>
      </c>
    </row>
    <row r="1907" spans="1:11" x14ac:dyDescent="0.25">
      <c r="A1907" t="s">
        <v>672</v>
      </c>
      <c r="B1907" t="s">
        <v>214</v>
      </c>
      <c r="C1907">
        <v>3.64</v>
      </c>
      <c r="I1907" t="s">
        <v>606</v>
      </c>
      <c r="J1907" t="s">
        <v>253</v>
      </c>
      <c r="K1907" t="s">
        <v>2822</v>
      </c>
    </row>
    <row r="1908" spans="1:11" x14ac:dyDescent="0.25">
      <c r="A1908" t="s">
        <v>673</v>
      </c>
      <c r="B1908" t="s">
        <v>214</v>
      </c>
      <c r="C1908">
        <v>0</v>
      </c>
      <c r="I1908" t="s">
        <v>2603</v>
      </c>
      <c r="J1908" t="s">
        <v>253</v>
      </c>
      <c r="K1908" t="s">
        <v>2822</v>
      </c>
    </row>
    <row r="1909" spans="1:11" x14ac:dyDescent="0.25">
      <c r="A1909" t="s">
        <v>674</v>
      </c>
      <c r="B1909" t="s">
        <v>214</v>
      </c>
      <c r="C1909">
        <v>18.18</v>
      </c>
      <c r="I1909" t="s">
        <v>607</v>
      </c>
      <c r="J1909" t="s">
        <v>253</v>
      </c>
      <c r="K1909" t="s">
        <v>2822</v>
      </c>
    </row>
    <row r="1910" spans="1:11" x14ac:dyDescent="0.25">
      <c r="A1910" t="s">
        <v>675</v>
      </c>
      <c r="B1910" t="s">
        <v>214</v>
      </c>
      <c r="C1910">
        <v>10.91</v>
      </c>
      <c r="I1910" t="s">
        <v>608</v>
      </c>
      <c r="J1910" t="s">
        <v>253</v>
      </c>
      <c r="K1910" t="s">
        <v>2822</v>
      </c>
    </row>
    <row r="1911" spans="1:11" x14ac:dyDescent="0.25">
      <c r="A1911" t="s">
        <v>676</v>
      </c>
      <c r="B1911" t="s">
        <v>214</v>
      </c>
      <c r="C1911">
        <v>2.91</v>
      </c>
      <c r="I1911" t="s">
        <v>609</v>
      </c>
      <c r="J1911" t="s">
        <v>253</v>
      </c>
      <c r="K1911" t="s">
        <v>2822</v>
      </c>
    </row>
    <row r="1912" spans="1:11" x14ac:dyDescent="0.25">
      <c r="A1912" t="s">
        <v>677</v>
      </c>
      <c r="B1912" t="s">
        <v>214</v>
      </c>
      <c r="C1912">
        <v>7.27</v>
      </c>
      <c r="I1912" t="s">
        <v>610</v>
      </c>
      <c r="J1912" t="s">
        <v>253</v>
      </c>
      <c r="K1912" t="s">
        <v>2822</v>
      </c>
    </row>
    <row r="1913" spans="1:11" x14ac:dyDescent="0.25">
      <c r="A1913" t="s">
        <v>678</v>
      </c>
      <c r="B1913" t="s">
        <v>214</v>
      </c>
      <c r="C1913">
        <v>0</v>
      </c>
      <c r="I1913" t="s">
        <v>611</v>
      </c>
      <c r="J1913" t="s">
        <v>253</v>
      </c>
      <c r="K1913" t="s">
        <v>2822</v>
      </c>
    </row>
    <row r="1914" spans="1:11" x14ac:dyDescent="0.25">
      <c r="A1914" t="s">
        <v>679</v>
      </c>
      <c r="B1914" t="s">
        <v>214</v>
      </c>
      <c r="C1914">
        <v>0</v>
      </c>
      <c r="I1914" t="s">
        <v>612</v>
      </c>
      <c r="J1914" t="s">
        <v>253</v>
      </c>
      <c r="K1914" t="s">
        <v>2822</v>
      </c>
    </row>
    <row r="1915" spans="1:11" x14ac:dyDescent="0.25">
      <c r="A1915" t="s">
        <v>680</v>
      </c>
      <c r="B1915" t="s">
        <v>214</v>
      </c>
      <c r="C1915">
        <v>0.73</v>
      </c>
      <c r="I1915" t="s">
        <v>613</v>
      </c>
      <c r="J1915" t="s">
        <v>253</v>
      </c>
      <c r="K1915" t="s">
        <v>2822</v>
      </c>
    </row>
    <row r="1916" spans="1:11" x14ac:dyDescent="0.25">
      <c r="A1916" t="s">
        <v>681</v>
      </c>
      <c r="B1916" t="s">
        <v>214</v>
      </c>
      <c r="C1916">
        <v>0.36</v>
      </c>
      <c r="I1916" t="s">
        <v>614</v>
      </c>
      <c r="J1916" t="s">
        <v>253</v>
      </c>
      <c r="K1916" t="s">
        <v>2822</v>
      </c>
    </row>
    <row r="1917" spans="1:11" x14ac:dyDescent="0.25">
      <c r="A1917" t="s">
        <v>682</v>
      </c>
      <c r="B1917" t="s">
        <v>214</v>
      </c>
      <c r="C1917">
        <v>1.0900000000000001</v>
      </c>
      <c r="I1917" t="s">
        <v>615</v>
      </c>
      <c r="J1917" t="s">
        <v>253</v>
      </c>
      <c r="K1917" t="s">
        <v>2822</v>
      </c>
    </row>
    <row r="1918" spans="1:11" x14ac:dyDescent="0.25">
      <c r="A1918" t="s">
        <v>683</v>
      </c>
      <c r="B1918" t="s">
        <v>214</v>
      </c>
      <c r="C1918">
        <v>3.64</v>
      </c>
      <c r="I1918" t="s">
        <v>616</v>
      </c>
      <c r="J1918" t="s">
        <v>253</v>
      </c>
      <c r="K1918" t="s">
        <v>2822</v>
      </c>
    </row>
    <row r="1919" spans="1:11" x14ac:dyDescent="0.25">
      <c r="A1919" t="s">
        <v>684</v>
      </c>
      <c r="B1919" t="s">
        <v>214</v>
      </c>
      <c r="C1919">
        <v>54.55</v>
      </c>
      <c r="I1919" t="s">
        <v>617</v>
      </c>
      <c r="J1919" t="s">
        <v>253</v>
      </c>
      <c r="K1919" t="s">
        <v>2822</v>
      </c>
    </row>
    <row r="1920" spans="1:11" x14ac:dyDescent="0.25">
      <c r="A1920" t="s">
        <v>685</v>
      </c>
      <c r="B1920" t="s">
        <v>214</v>
      </c>
      <c r="C1920">
        <v>5.45</v>
      </c>
      <c r="I1920" t="s">
        <v>618</v>
      </c>
      <c r="J1920" t="s">
        <v>253</v>
      </c>
      <c r="K1920" t="s">
        <v>2822</v>
      </c>
    </row>
    <row r="1921" spans="1:11" x14ac:dyDescent="0.25">
      <c r="A1921" t="s">
        <v>686</v>
      </c>
      <c r="B1921" t="s">
        <v>214</v>
      </c>
      <c r="C1921">
        <v>10.91</v>
      </c>
      <c r="I1921" t="s">
        <v>619</v>
      </c>
      <c r="J1921" t="s">
        <v>253</v>
      </c>
      <c r="K1921" t="s">
        <v>2822</v>
      </c>
    </row>
    <row r="1922" spans="1:11" x14ac:dyDescent="0.25">
      <c r="A1922" t="s">
        <v>687</v>
      </c>
      <c r="B1922" t="s">
        <v>214</v>
      </c>
      <c r="C1922">
        <v>0</v>
      </c>
      <c r="I1922" t="s">
        <v>620</v>
      </c>
      <c r="J1922" t="s">
        <v>253</v>
      </c>
      <c r="K1922" t="s">
        <v>2822</v>
      </c>
    </row>
    <row r="1923" spans="1:11" x14ac:dyDescent="0.25">
      <c r="A1923" t="s">
        <v>688</v>
      </c>
      <c r="B1923" t="s">
        <v>214</v>
      </c>
      <c r="C1923">
        <v>4.7300000000000004</v>
      </c>
      <c r="I1923" t="s">
        <v>621</v>
      </c>
      <c r="J1923" t="s">
        <v>253</v>
      </c>
      <c r="K1923" t="s">
        <v>2822</v>
      </c>
    </row>
    <row r="1924" spans="1:11" x14ac:dyDescent="0.25">
      <c r="A1924" t="s">
        <v>689</v>
      </c>
      <c r="B1924" t="s">
        <v>214</v>
      </c>
      <c r="C1924">
        <v>1.0900000000000001</v>
      </c>
      <c r="I1924" t="s">
        <v>2604</v>
      </c>
      <c r="J1924" t="s">
        <v>253</v>
      </c>
      <c r="K1924" t="s">
        <v>2822</v>
      </c>
    </row>
    <row r="1925" spans="1:11" x14ac:dyDescent="0.25">
      <c r="A1925" t="s">
        <v>690</v>
      </c>
      <c r="B1925" t="s">
        <v>214</v>
      </c>
      <c r="C1925">
        <v>1.0900000000000001</v>
      </c>
      <c r="I1925" t="s">
        <v>622</v>
      </c>
      <c r="J1925" t="s">
        <v>253</v>
      </c>
      <c r="K1925" t="s">
        <v>2822</v>
      </c>
    </row>
    <row r="1926" spans="1:11" x14ac:dyDescent="0.25">
      <c r="A1926" t="s">
        <v>2328</v>
      </c>
      <c r="B1926" t="s">
        <v>214</v>
      </c>
      <c r="C1926">
        <v>0</v>
      </c>
      <c r="I1926" t="s">
        <v>2408</v>
      </c>
      <c r="J1926" t="s">
        <v>253</v>
      </c>
      <c r="K1926" t="s">
        <v>2822</v>
      </c>
    </row>
    <row r="1927" spans="1:11" x14ac:dyDescent="0.25">
      <c r="A1927" t="s">
        <v>691</v>
      </c>
      <c r="B1927" t="s">
        <v>214</v>
      </c>
      <c r="C1927">
        <v>37.82</v>
      </c>
      <c r="I1927" t="s">
        <v>623</v>
      </c>
      <c r="J1927" t="s">
        <v>253</v>
      </c>
      <c r="K1927" t="s">
        <v>2822</v>
      </c>
    </row>
    <row r="1928" spans="1:11" x14ac:dyDescent="0.25">
      <c r="A1928" t="s">
        <v>2329</v>
      </c>
      <c r="B1928" t="s">
        <v>214</v>
      </c>
      <c r="C1928">
        <v>2.1800000000000002</v>
      </c>
      <c r="I1928" t="s">
        <v>1656</v>
      </c>
      <c r="J1928" t="s">
        <v>253</v>
      </c>
      <c r="K1928" t="s">
        <v>2822</v>
      </c>
    </row>
    <row r="1929" spans="1:11" x14ac:dyDescent="0.25">
      <c r="A1929" t="s">
        <v>692</v>
      </c>
      <c r="B1929" t="s">
        <v>214</v>
      </c>
      <c r="C1929">
        <v>0</v>
      </c>
      <c r="I1929" t="s">
        <v>624</v>
      </c>
      <c r="J1929" t="s">
        <v>253</v>
      </c>
      <c r="K1929" t="s">
        <v>2822</v>
      </c>
    </row>
    <row r="1930" spans="1:11" x14ac:dyDescent="0.25">
      <c r="A1930" t="s">
        <v>693</v>
      </c>
      <c r="B1930" t="s">
        <v>214</v>
      </c>
      <c r="C1930">
        <v>3.64</v>
      </c>
      <c r="I1930" t="s">
        <v>2513</v>
      </c>
      <c r="J1930" t="s">
        <v>253</v>
      </c>
      <c r="K1930" t="s">
        <v>2822</v>
      </c>
    </row>
    <row r="1931" spans="1:11" x14ac:dyDescent="0.25">
      <c r="A1931" t="s">
        <v>694</v>
      </c>
      <c r="B1931" t="s">
        <v>214</v>
      </c>
      <c r="C1931">
        <v>3.64</v>
      </c>
      <c r="I1931" t="s">
        <v>625</v>
      </c>
      <c r="J1931" t="s">
        <v>253</v>
      </c>
      <c r="K1931" t="s">
        <v>2822</v>
      </c>
    </row>
    <row r="1932" spans="1:11" x14ac:dyDescent="0.25">
      <c r="A1932" t="s">
        <v>695</v>
      </c>
      <c r="B1932" t="s">
        <v>214</v>
      </c>
      <c r="C1932">
        <v>4.3600000000000003</v>
      </c>
      <c r="I1932" t="s">
        <v>626</v>
      </c>
      <c r="J1932" t="s">
        <v>253</v>
      </c>
      <c r="K1932" t="s">
        <v>2822</v>
      </c>
    </row>
    <row r="1933" spans="1:11" x14ac:dyDescent="0.25">
      <c r="A1933" t="s">
        <v>2606</v>
      </c>
      <c r="B1933" t="s">
        <v>214</v>
      </c>
      <c r="C1933">
        <v>0</v>
      </c>
      <c r="I1933" t="s">
        <v>627</v>
      </c>
      <c r="J1933" t="s">
        <v>253</v>
      </c>
      <c r="K1933" t="s">
        <v>2822</v>
      </c>
    </row>
    <row r="1934" spans="1:11" x14ac:dyDescent="0.25">
      <c r="A1934" t="s">
        <v>696</v>
      </c>
      <c r="B1934" t="s">
        <v>214</v>
      </c>
      <c r="C1934">
        <v>0</v>
      </c>
      <c r="I1934" t="s">
        <v>628</v>
      </c>
      <c r="J1934" t="s">
        <v>253</v>
      </c>
      <c r="K1934" t="s">
        <v>2822</v>
      </c>
    </row>
    <row r="1935" spans="1:11" x14ac:dyDescent="0.25">
      <c r="A1935" t="s">
        <v>2607</v>
      </c>
      <c r="B1935" t="s">
        <v>214</v>
      </c>
      <c r="C1935">
        <v>3.64</v>
      </c>
      <c r="I1935" t="s">
        <v>629</v>
      </c>
      <c r="J1935" t="s">
        <v>253</v>
      </c>
      <c r="K1935" t="s">
        <v>2822</v>
      </c>
    </row>
    <row r="1936" spans="1:11" x14ac:dyDescent="0.25">
      <c r="A1936" t="s">
        <v>697</v>
      </c>
      <c r="B1936" t="s">
        <v>214</v>
      </c>
      <c r="C1936">
        <v>0</v>
      </c>
      <c r="I1936" t="s">
        <v>630</v>
      </c>
      <c r="J1936" t="s">
        <v>253</v>
      </c>
      <c r="K1936" t="s">
        <v>2822</v>
      </c>
    </row>
    <row r="1937" spans="1:11" x14ac:dyDescent="0.25">
      <c r="A1937" t="s">
        <v>698</v>
      </c>
      <c r="B1937" t="s">
        <v>214</v>
      </c>
      <c r="C1937">
        <v>37.090000000000003</v>
      </c>
      <c r="I1937" t="s">
        <v>631</v>
      </c>
      <c r="J1937" t="s">
        <v>253</v>
      </c>
      <c r="K1937" t="s">
        <v>2822</v>
      </c>
    </row>
    <row r="1938" spans="1:11" x14ac:dyDescent="0.25">
      <c r="A1938" t="s">
        <v>699</v>
      </c>
      <c r="B1938" t="s">
        <v>214</v>
      </c>
      <c r="C1938">
        <v>0</v>
      </c>
      <c r="I1938" t="s">
        <v>632</v>
      </c>
      <c r="J1938" t="s">
        <v>253</v>
      </c>
      <c r="K1938" t="s">
        <v>2822</v>
      </c>
    </row>
    <row r="1939" spans="1:11" x14ac:dyDescent="0.25">
      <c r="A1939" t="s">
        <v>700</v>
      </c>
      <c r="B1939" t="s">
        <v>214</v>
      </c>
      <c r="C1939">
        <v>1.45</v>
      </c>
      <c r="I1939" t="s">
        <v>633</v>
      </c>
      <c r="J1939" t="s">
        <v>253</v>
      </c>
      <c r="K1939" t="s">
        <v>2822</v>
      </c>
    </row>
    <row r="1940" spans="1:11" x14ac:dyDescent="0.25">
      <c r="A1940" t="s">
        <v>701</v>
      </c>
      <c r="B1940" t="s">
        <v>214</v>
      </c>
      <c r="C1940">
        <v>5.45</v>
      </c>
      <c r="I1940" t="s">
        <v>634</v>
      </c>
      <c r="J1940" t="s">
        <v>253</v>
      </c>
      <c r="K1940" t="s">
        <v>2822</v>
      </c>
    </row>
    <row r="1941" spans="1:11" x14ac:dyDescent="0.25">
      <c r="A1941" t="s">
        <v>702</v>
      </c>
      <c r="B1941" t="s">
        <v>214</v>
      </c>
      <c r="C1941">
        <v>0.73</v>
      </c>
      <c r="I1941" t="s">
        <v>635</v>
      </c>
      <c r="J1941" t="s">
        <v>253</v>
      </c>
      <c r="K1941" t="s">
        <v>2822</v>
      </c>
    </row>
    <row r="1942" spans="1:11" x14ac:dyDescent="0.25">
      <c r="A1942" t="s">
        <v>703</v>
      </c>
      <c r="B1942" t="s">
        <v>214</v>
      </c>
      <c r="C1942">
        <v>4.3600000000000003</v>
      </c>
      <c r="I1942" t="s">
        <v>636</v>
      </c>
      <c r="J1942" t="s">
        <v>253</v>
      </c>
      <c r="K1942" t="s">
        <v>2822</v>
      </c>
    </row>
    <row r="1943" spans="1:11" x14ac:dyDescent="0.25">
      <c r="A1943" t="s">
        <v>704</v>
      </c>
      <c r="B1943" t="s">
        <v>214</v>
      </c>
      <c r="C1943">
        <v>7.27</v>
      </c>
      <c r="I1943" t="s">
        <v>637</v>
      </c>
      <c r="J1943" t="s">
        <v>253</v>
      </c>
      <c r="K1943" t="s">
        <v>2822</v>
      </c>
    </row>
    <row r="1944" spans="1:11" x14ac:dyDescent="0.25">
      <c r="A1944" t="s">
        <v>705</v>
      </c>
      <c r="B1944" t="s">
        <v>214</v>
      </c>
      <c r="C1944">
        <v>0</v>
      </c>
      <c r="I1944" t="s">
        <v>2045</v>
      </c>
      <c r="J1944" t="s">
        <v>253</v>
      </c>
      <c r="K1944" t="s">
        <v>2822</v>
      </c>
    </row>
    <row r="1945" spans="1:11" x14ac:dyDescent="0.25">
      <c r="A1945" t="s">
        <v>706</v>
      </c>
      <c r="B1945" t="s">
        <v>214</v>
      </c>
      <c r="C1945">
        <v>18.18</v>
      </c>
      <c r="I1945" t="s">
        <v>638</v>
      </c>
      <c r="J1945" t="s">
        <v>253</v>
      </c>
      <c r="K1945" t="s">
        <v>2822</v>
      </c>
    </row>
    <row r="1946" spans="1:11" x14ac:dyDescent="0.25">
      <c r="A1946" t="s">
        <v>707</v>
      </c>
      <c r="B1946" t="s">
        <v>214</v>
      </c>
      <c r="C1946">
        <v>7.27</v>
      </c>
      <c r="I1946" t="s">
        <v>639</v>
      </c>
      <c r="J1946" t="s">
        <v>253</v>
      </c>
      <c r="K1946" t="s">
        <v>2822</v>
      </c>
    </row>
    <row r="1947" spans="1:11" x14ac:dyDescent="0.25">
      <c r="A1947" t="s">
        <v>708</v>
      </c>
      <c r="B1947" t="s">
        <v>214</v>
      </c>
      <c r="C1947">
        <v>0</v>
      </c>
      <c r="I1947" t="s">
        <v>640</v>
      </c>
      <c r="J1947" t="s">
        <v>253</v>
      </c>
      <c r="K1947" t="s">
        <v>2822</v>
      </c>
    </row>
    <row r="1948" spans="1:11" x14ac:dyDescent="0.25">
      <c r="A1948" t="s">
        <v>709</v>
      </c>
      <c r="B1948" t="s">
        <v>214</v>
      </c>
      <c r="C1948">
        <v>0</v>
      </c>
      <c r="I1948" t="s">
        <v>641</v>
      </c>
      <c r="J1948" t="s">
        <v>253</v>
      </c>
      <c r="K1948" t="s">
        <v>2822</v>
      </c>
    </row>
    <row r="1949" spans="1:11" x14ac:dyDescent="0.25">
      <c r="A1949" t="s">
        <v>710</v>
      </c>
      <c r="B1949" t="s">
        <v>214</v>
      </c>
      <c r="C1949">
        <v>1.0900000000000001</v>
      </c>
      <c r="I1949" t="s">
        <v>642</v>
      </c>
      <c r="J1949" t="s">
        <v>253</v>
      </c>
      <c r="K1949" t="s">
        <v>2822</v>
      </c>
    </row>
    <row r="1950" spans="1:11" x14ac:dyDescent="0.25">
      <c r="A1950" t="s">
        <v>2608</v>
      </c>
      <c r="B1950" t="s">
        <v>214</v>
      </c>
      <c r="C1950">
        <v>0</v>
      </c>
      <c r="I1950" t="s">
        <v>2605</v>
      </c>
      <c r="J1950" t="s">
        <v>253</v>
      </c>
      <c r="K1950" t="s">
        <v>2822</v>
      </c>
    </row>
    <row r="1951" spans="1:11" x14ac:dyDescent="0.25">
      <c r="A1951" t="s">
        <v>711</v>
      </c>
      <c r="B1951" t="s">
        <v>214</v>
      </c>
      <c r="C1951">
        <v>29.09</v>
      </c>
      <c r="I1951" t="s">
        <v>643</v>
      </c>
      <c r="J1951" t="s">
        <v>253</v>
      </c>
      <c r="K1951" t="s">
        <v>2822</v>
      </c>
    </row>
    <row r="1952" spans="1:11" x14ac:dyDescent="0.25">
      <c r="A1952" t="s">
        <v>2609</v>
      </c>
      <c r="B1952" t="s">
        <v>214</v>
      </c>
      <c r="C1952">
        <v>1.82</v>
      </c>
      <c r="I1952" t="s">
        <v>644</v>
      </c>
      <c r="J1952" t="s">
        <v>253</v>
      </c>
      <c r="K1952" t="s">
        <v>2822</v>
      </c>
    </row>
    <row r="1953" spans="1:11" x14ac:dyDescent="0.25">
      <c r="A1953" t="s">
        <v>712</v>
      </c>
      <c r="B1953" t="s">
        <v>214</v>
      </c>
      <c r="C1953">
        <v>0</v>
      </c>
      <c r="I1953" t="s">
        <v>645</v>
      </c>
      <c r="J1953" t="s">
        <v>253</v>
      </c>
      <c r="K1953" t="s">
        <v>2822</v>
      </c>
    </row>
    <row r="1954" spans="1:11" x14ac:dyDescent="0.25">
      <c r="A1954" t="s">
        <v>713</v>
      </c>
      <c r="B1954" t="s">
        <v>214</v>
      </c>
      <c r="C1954">
        <v>7.27</v>
      </c>
      <c r="I1954" t="s">
        <v>646</v>
      </c>
      <c r="J1954" t="s">
        <v>253</v>
      </c>
      <c r="K1954" t="s">
        <v>2822</v>
      </c>
    </row>
    <row r="1955" spans="1:11" x14ac:dyDescent="0.25">
      <c r="A1955" t="s">
        <v>714</v>
      </c>
      <c r="B1955" t="s">
        <v>214</v>
      </c>
      <c r="C1955">
        <v>10.91</v>
      </c>
      <c r="I1955" t="s">
        <v>647</v>
      </c>
      <c r="J1955" t="s">
        <v>253</v>
      </c>
      <c r="K1955" t="s">
        <v>2822</v>
      </c>
    </row>
    <row r="1956" spans="1:11" x14ac:dyDescent="0.25">
      <c r="A1956" t="s">
        <v>715</v>
      </c>
      <c r="B1956" t="s">
        <v>214</v>
      </c>
      <c r="C1956">
        <v>1.0900000000000001</v>
      </c>
      <c r="I1956" t="s">
        <v>648</v>
      </c>
      <c r="J1956" t="s">
        <v>253</v>
      </c>
      <c r="K1956" t="s">
        <v>2822</v>
      </c>
    </row>
    <row r="1957" spans="1:11" x14ac:dyDescent="0.25">
      <c r="A1957" t="s">
        <v>716</v>
      </c>
      <c r="B1957" t="s">
        <v>214</v>
      </c>
      <c r="C1957">
        <v>3.64</v>
      </c>
      <c r="I1957" t="s">
        <v>649</v>
      </c>
      <c r="J1957" t="s">
        <v>253</v>
      </c>
      <c r="K1957" t="s">
        <v>2822</v>
      </c>
    </row>
    <row r="1958" spans="1:11" x14ac:dyDescent="0.25">
      <c r="A1958" t="s">
        <v>717</v>
      </c>
      <c r="B1958" t="s">
        <v>214</v>
      </c>
      <c r="C1958">
        <v>6.18</v>
      </c>
      <c r="I1958" t="s">
        <v>650</v>
      </c>
      <c r="J1958" t="s">
        <v>253</v>
      </c>
      <c r="K1958" t="s">
        <v>2822</v>
      </c>
    </row>
    <row r="1959" spans="1:11" x14ac:dyDescent="0.25">
      <c r="A1959" t="s">
        <v>718</v>
      </c>
      <c r="B1959" t="s">
        <v>214</v>
      </c>
      <c r="C1959">
        <v>5.09</v>
      </c>
      <c r="I1959" t="s">
        <v>651</v>
      </c>
      <c r="J1959" t="s">
        <v>253</v>
      </c>
      <c r="K1959" t="s">
        <v>2822</v>
      </c>
    </row>
    <row r="1960" spans="1:11" x14ac:dyDescent="0.25">
      <c r="A1960" t="s">
        <v>719</v>
      </c>
      <c r="B1960" t="s">
        <v>214</v>
      </c>
      <c r="C1960">
        <v>1.45</v>
      </c>
      <c r="I1960" t="s">
        <v>652</v>
      </c>
      <c r="J1960" t="s">
        <v>253</v>
      </c>
      <c r="K1960" t="s">
        <v>2822</v>
      </c>
    </row>
    <row r="1961" spans="1:11" x14ac:dyDescent="0.25">
      <c r="A1961" t="s">
        <v>720</v>
      </c>
      <c r="B1961" t="s">
        <v>214</v>
      </c>
      <c r="C1961">
        <v>0</v>
      </c>
      <c r="I1961" t="s">
        <v>653</v>
      </c>
      <c r="J1961" t="s">
        <v>253</v>
      </c>
      <c r="K1961" t="s">
        <v>2822</v>
      </c>
    </row>
    <row r="1962" spans="1:11" x14ac:dyDescent="0.25">
      <c r="A1962" t="s">
        <v>721</v>
      </c>
      <c r="B1962" t="s">
        <v>214</v>
      </c>
      <c r="C1962">
        <v>0</v>
      </c>
      <c r="I1962" t="s">
        <v>654</v>
      </c>
      <c r="J1962" t="s">
        <v>253</v>
      </c>
      <c r="K1962" t="s">
        <v>2822</v>
      </c>
    </row>
    <row r="1963" spans="1:11" x14ac:dyDescent="0.25">
      <c r="A1963" t="s">
        <v>722</v>
      </c>
      <c r="B1963" t="s">
        <v>214</v>
      </c>
      <c r="C1963">
        <v>3.64</v>
      </c>
      <c r="I1963" t="s">
        <v>655</v>
      </c>
      <c r="J1963" t="s">
        <v>253</v>
      </c>
      <c r="K1963" t="s">
        <v>2822</v>
      </c>
    </row>
    <row r="1964" spans="1:11" x14ac:dyDescent="0.25">
      <c r="A1964" t="s">
        <v>723</v>
      </c>
      <c r="B1964" t="s">
        <v>214</v>
      </c>
      <c r="C1964">
        <v>0</v>
      </c>
      <c r="I1964" t="s">
        <v>656</v>
      </c>
      <c r="J1964" t="s">
        <v>253</v>
      </c>
      <c r="K1964" t="s">
        <v>2822</v>
      </c>
    </row>
    <row r="1965" spans="1:11" x14ac:dyDescent="0.25">
      <c r="A1965" t="s">
        <v>724</v>
      </c>
      <c r="B1965" t="s">
        <v>214</v>
      </c>
      <c r="C1965">
        <v>0</v>
      </c>
      <c r="I1965" t="s">
        <v>657</v>
      </c>
      <c r="J1965" t="s">
        <v>253</v>
      </c>
      <c r="K1965" t="s">
        <v>2822</v>
      </c>
    </row>
    <row r="1966" spans="1:11" x14ac:dyDescent="0.25">
      <c r="A1966" t="s">
        <v>725</v>
      </c>
      <c r="B1966" t="s">
        <v>214</v>
      </c>
      <c r="C1966">
        <v>4.3600000000000003</v>
      </c>
      <c r="I1966" t="s">
        <v>658</v>
      </c>
      <c r="J1966" t="s">
        <v>253</v>
      </c>
      <c r="K1966" t="s">
        <v>2822</v>
      </c>
    </row>
    <row r="1967" spans="1:11" x14ac:dyDescent="0.25">
      <c r="A1967" t="s">
        <v>726</v>
      </c>
      <c r="B1967" t="s">
        <v>214</v>
      </c>
      <c r="C1967">
        <v>0</v>
      </c>
      <c r="I1967" t="s">
        <v>659</v>
      </c>
      <c r="J1967" t="s">
        <v>253</v>
      </c>
      <c r="K1967" t="s">
        <v>2822</v>
      </c>
    </row>
    <row r="1968" spans="1:11" x14ac:dyDescent="0.25">
      <c r="A1968" t="s">
        <v>727</v>
      </c>
      <c r="B1968" t="s">
        <v>214</v>
      </c>
      <c r="C1968">
        <v>5.45</v>
      </c>
      <c r="I1968" t="s">
        <v>660</v>
      </c>
      <c r="J1968" t="s">
        <v>253</v>
      </c>
      <c r="K1968" t="s">
        <v>2822</v>
      </c>
    </row>
    <row r="1969" spans="1:11" x14ac:dyDescent="0.25">
      <c r="A1969" t="s">
        <v>728</v>
      </c>
      <c r="B1969" t="s">
        <v>214</v>
      </c>
      <c r="C1969">
        <v>1.82</v>
      </c>
      <c r="I1969" t="s">
        <v>661</v>
      </c>
      <c r="J1969" t="s">
        <v>253</v>
      </c>
      <c r="K1969" t="s">
        <v>2822</v>
      </c>
    </row>
    <row r="1970" spans="1:11" x14ac:dyDescent="0.25">
      <c r="A1970" t="s">
        <v>729</v>
      </c>
      <c r="B1970" t="s">
        <v>214</v>
      </c>
      <c r="C1970">
        <v>4.3600000000000003</v>
      </c>
      <c r="I1970" t="s">
        <v>662</v>
      </c>
      <c r="J1970" t="s">
        <v>253</v>
      </c>
      <c r="K1970" t="s">
        <v>2822</v>
      </c>
    </row>
    <row r="1971" spans="1:11" x14ac:dyDescent="0.25">
      <c r="A1971" t="s">
        <v>730</v>
      </c>
      <c r="B1971" t="s">
        <v>214</v>
      </c>
      <c r="C1971">
        <v>2.1800000000000002</v>
      </c>
      <c r="I1971" t="s">
        <v>663</v>
      </c>
      <c r="J1971" t="s">
        <v>253</v>
      </c>
      <c r="K1971" t="s">
        <v>2822</v>
      </c>
    </row>
    <row r="1972" spans="1:11" x14ac:dyDescent="0.25">
      <c r="A1972" t="s">
        <v>1305</v>
      </c>
      <c r="B1972" t="s">
        <v>214</v>
      </c>
      <c r="C1972">
        <v>5.45</v>
      </c>
      <c r="I1972" t="s">
        <v>664</v>
      </c>
      <c r="J1972" t="s">
        <v>253</v>
      </c>
      <c r="K1972" t="s">
        <v>2822</v>
      </c>
    </row>
    <row r="1973" spans="1:11" x14ac:dyDescent="0.25">
      <c r="A1973" t="s">
        <v>731</v>
      </c>
      <c r="B1973" t="s">
        <v>214</v>
      </c>
      <c r="C1973">
        <v>25.45</v>
      </c>
      <c r="I1973" t="s">
        <v>665</v>
      </c>
      <c r="J1973" t="s">
        <v>253</v>
      </c>
      <c r="K1973" t="s">
        <v>2822</v>
      </c>
    </row>
    <row r="1974" spans="1:11" x14ac:dyDescent="0.25">
      <c r="A1974" t="s">
        <v>732</v>
      </c>
      <c r="B1974" t="s">
        <v>214</v>
      </c>
      <c r="C1974">
        <v>10.91</v>
      </c>
      <c r="I1974" t="s">
        <v>666</v>
      </c>
      <c r="J1974" t="s">
        <v>253</v>
      </c>
      <c r="K1974" t="s">
        <v>2822</v>
      </c>
    </row>
    <row r="1975" spans="1:11" x14ac:dyDescent="0.25">
      <c r="A1975" t="s">
        <v>733</v>
      </c>
      <c r="B1975" t="s">
        <v>214</v>
      </c>
      <c r="C1975">
        <v>0</v>
      </c>
      <c r="I1975" t="s">
        <v>667</v>
      </c>
      <c r="J1975" t="s">
        <v>253</v>
      </c>
      <c r="K1975" t="s">
        <v>2822</v>
      </c>
    </row>
    <row r="1976" spans="1:11" x14ac:dyDescent="0.25">
      <c r="A1976" t="s">
        <v>2610</v>
      </c>
      <c r="B1976" t="s">
        <v>214</v>
      </c>
      <c r="C1976">
        <v>0.73</v>
      </c>
      <c r="I1976" t="s">
        <v>668</v>
      </c>
      <c r="J1976" t="s">
        <v>253</v>
      </c>
      <c r="K1976" t="s">
        <v>2822</v>
      </c>
    </row>
    <row r="1977" spans="1:11" x14ac:dyDescent="0.25">
      <c r="A1977" t="s">
        <v>2460</v>
      </c>
      <c r="B1977" t="s">
        <v>214</v>
      </c>
      <c r="I1977" t="s">
        <v>669</v>
      </c>
      <c r="J1977" t="s">
        <v>253</v>
      </c>
      <c r="K1977" t="s">
        <v>2822</v>
      </c>
    </row>
    <row r="1978" spans="1:11" x14ac:dyDescent="0.25">
      <c r="A1978" t="s">
        <v>2611</v>
      </c>
      <c r="B1978" t="s">
        <v>214</v>
      </c>
      <c r="C1978">
        <v>0</v>
      </c>
      <c r="I1978" t="s">
        <v>670</v>
      </c>
      <c r="J1978" t="s">
        <v>253</v>
      </c>
      <c r="K1978" t="s">
        <v>2822</v>
      </c>
    </row>
    <row r="1979" spans="1:11" x14ac:dyDescent="0.25">
      <c r="A1979" t="s">
        <v>2612</v>
      </c>
      <c r="B1979" t="s">
        <v>214</v>
      </c>
      <c r="C1979">
        <v>0</v>
      </c>
      <c r="I1979" t="s">
        <v>671</v>
      </c>
      <c r="J1979" t="s">
        <v>253</v>
      </c>
      <c r="K1979" t="s">
        <v>2822</v>
      </c>
    </row>
    <row r="1980" spans="1:11" x14ac:dyDescent="0.25">
      <c r="A1980" t="s">
        <v>734</v>
      </c>
      <c r="B1980" t="s">
        <v>214</v>
      </c>
      <c r="C1980">
        <v>0</v>
      </c>
      <c r="I1980" t="s">
        <v>672</v>
      </c>
      <c r="J1980" t="s">
        <v>253</v>
      </c>
      <c r="K1980" t="s">
        <v>2822</v>
      </c>
    </row>
    <row r="1981" spans="1:11" x14ac:dyDescent="0.25">
      <c r="A1981" t="s">
        <v>735</v>
      </c>
      <c r="B1981" t="s">
        <v>214</v>
      </c>
      <c r="C1981">
        <v>9.09</v>
      </c>
      <c r="I1981" t="s">
        <v>673</v>
      </c>
      <c r="J1981" t="s">
        <v>253</v>
      </c>
      <c r="K1981" t="s">
        <v>2822</v>
      </c>
    </row>
    <row r="1982" spans="1:11" x14ac:dyDescent="0.25">
      <c r="A1982" t="s">
        <v>736</v>
      </c>
      <c r="B1982" t="s">
        <v>214</v>
      </c>
      <c r="C1982">
        <v>14.55</v>
      </c>
      <c r="I1982" t="s">
        <v>674</v>
      </c>
      <c r="J1982" t="s">
        <v>253</v>
      </c>
      <c r="K1982" t="s">
        <v>2822</v>
      </c>
    </row>
    <row r="1983" spans="1:11" x14ac:dyDescent="0.25">
      <c r="A1983" t="s">
        <v>737</v>
      </c>
      <c r="B1983" t="s">
        <v>214</v>
      </c>
      <c r="C1983">
        <v>0</v>
      </c>
      <c r="I1983" t="s">
        <v>675</v>
      </c>
      <c r="J1983" t="s">
        <v>253</v>
      </c>
      <c r="K1983" t="s">
        <v>2822</v>
      </c>
    </row>
    <row r="1984" spans="1:11" x14ac:dyDescent="0.25">
      <c r="A1984" t="s">
        <v>738</v>
      </c>
      <c r="B1984" t="s">
        <v>214</v>
      </c>
      <c r="C1984">
        <v>14.55</v>
      </c>
      <c r="I1984" t="s">
        <v>676</v>
      </c>
      <c r="J1984" t="s">
        <v>253</v>
      </c>
      <c r="K1984" t="s">
        <v>2822</v>
      </c>
    </row>
    <row r="1985" spans="1:11" x14ac:dyDescent="0.25">
      <c r="A1985" t="s">
        <v>739</v>
      </c>
      <c r="B1985" t="s">
        <v>214</v>
      </c>
      <c r="C1985">
        <v>21.82</v>
      </c>
      <c r="I1985" t="s">
        <v>677</v>
      </c>
      <c r="J1985" t="s">
        <v>253</v>
      </c>
      <c r="K1985" t="s">
        <v>2822</v>
      </c>
    </row>
    <row r="1986" spans="1:11" x14ac:dyDescent="0.25">
      <c r="A1986" t="s">
        <v>740</v>
      </c>
      <c r="B1986" t="s">
        <v>214</v>
      </c>
      <c r="C1986">
        <v>0</v>
      </c>
      <c r="I1986" t="s">
        <v>678</v>
      </c>
      <c r="J1986" t="s">
        <v>253</v>
      </c>
      <c r="K1986" t="s">
        <v>2822</v>
      </c>
    </row>
    <row r="1987" spans="1:11" x14ac:dyDescent="0.25">
      <c r="A1987" t="s">
        <v>932</v>
      </c>
      <c r="B1987" t="s">
        <v>214</v>
      </c>
      <c r="C1987">
        <v>1.0900000000000001</v>
      </c>
      <c r="I1987" t="s">
        <v>679</v>
      </c>
      <c r="J1987" t="s">
        <v>253</v>
      </c>
      <c r="K1987" t="s">
        <v>2822</v>
      </c>
    </row>
    <row r="1988" spans="1:11" x14ac:dyDescent="0.25">
      <c r="A1988" t="s">
        <v>933</v>
      </c>
      <c r="B1988" t="s">
        <v>214</v>
      </c>
      <c r="C1988">
        <v>1.0900000000000001</v>
      </c>
      <c r="I1988" t="s">
        <v>680</v>
      </c>
      <c r="J1988" t="s">
        <v>253</v>
      </c>
      <c r="K1988" t="s">
        <v>2822</v>
      </c>
    </row>
    <row r="1989" spans="1:11" x14ac:dyDescent="0.25">
      <c r="A1989" t="s">
        <v>930</v>
      </c>
      <c r="B1989" t="s">
        <v>214</v>
      </c>
      <c r="C1989">
        <v>0.73</v>
      </c>
      <c r="I1989" t="s">
        <v>681</v>
      </c>
      <c r="J1989" t="s">
        <v>253</v>
      </c>
      <c r="K1989" t="s">
        <v>2822</v>
      </c>
    </row>
    <row r="1990" spans="1:11" x14ac:dyDescent="0.25">
      <c r="A1990" t="s">
        <v>741</v>
      </c>
      <c r="B1990" t="s">
        <v>214</v>
      </c>
      <c r="C1990">
        <v>0</v>
      </c>
      <c r="I1990" t="s">
        <v>682</v>
      </c>
      <c r="J1990" t="s">
        <v>253</v>
      </c>
      <c r="K1990" t="s">
        <v>2822</v>
      </c>
    </row>
    <row r="1991" spans="1:11" x14ac:dyDescent="0.25">
      <c r="A1991" t="s">
        <v>742</v>
      </c>
      <c r="B1991" t="s">
        <v>214</v>
      </c>
      <c r="C1991">
        <v>0.73</v>
      </c>
      <c r="I1991" t="s">
        <v>683</v>
      </c>
      <c r="J1991" t="s">
        <v>253</v>
      </c>
      <c r="K1991" t="s">
        <v>2822</v>
      </c>
    </row>
    <row r="1992" spans="1:11" x14ac:dyDescent="0.25">
      <c r="A1992" t="s">
        <v>743</v>
      </c>
      <c r="B1992" t="s">
        <v>214</v>
      </c>
      <c r="C1992">
        <v>0</v>
      </c>
      <c r="I1992" t="s">
        <v>684</v>
      </c>
      <c r="J1992" t="s">
        <v>253</v>
      </c>
      <c r="K1992" t="s">
        <v>2822</v>
      </c>
    </row>
    <row r="1993" spans="1:11" x14ac:dyDescent="0.25">
      <c r="A1993" t="s">
        <v>744</v>
      </c>
      <c r="B1993" t="s">
        <v>214</v>
      </c>
      <c r="C1993">
        <v>0.73</v>
      </c>
      <c r="I1993" t="s">
        <v>685</v>
      </c>
      <c r="J1993" t="s">
        <v>253</v>
      </c>
      <c r="K1993" t="s">
        <v>2822</v>
      </c>
    </row>
    <row r="1994" spans="1:11" x14ac:dyDescent="0.25">
      <c r="A1994" t="s">
        <v>745</v>
      </c>
      <c r="B1994" t="s">
        <v>214</v>
      </c>
      <c r="C1994">
        <v>0</v>
      </c>
      <c r="I1994" t="s">
        <v>686</v>
      </c>
      <c r="J1994" t="s">
        <v>253</v>
      </c>
      <c r="K1994" t="s">
        <v>2822</v>
      </c>
    </row>
    <row r="1995" spans="1:11" x14ac:dyDescent="0.25">
      <c r="A1995" t="s">
        <v>746</v>
      </c>
      <c r="B1995" t="s">
        <v>214</v>
      </c>
      <c r="C1995">
        <v>0</v>
      </c>
      <c r="I1995" t="s">
        <v>687</v>
      </c>
      <c r="J1995" t="s">
        <v>253</v>
      </c>
      <c r="K1995" t="s">
        <v>2822</v>
      </c>
    </row>
    <row r="1996" spans="1:11" x14ac:dyDescent="0.25">
      <c r="A1996" t="s">
        <v>747</v>
      </c>
      <c r="B1996" t="s">
        <v>214</v>
      </c>
      <c r="C1996">
        <v>1.82</v>
      </c>
      <c r="I1996" t="s">
        <v>688</v>
      </c>
      <c r="J1996" t="s">
        <v>253</v>
      </c>
      <c r="K1996" t="s">
        <v>2822</v>
      </c>
    </row>
    <row r="1997" spans="1:11" x14ac:dyDescent="0.25">
      <c r="A1997" t="s">
        <v>748</v>
      </c>
      <c r="B1997" t="s">
        <v>214</v>
      </c>
      <c r="C1997">
        <v>0</v>
      </c>
      <c r="I1997" t="s">
        <v>689</v>
      </c>
      <c r="J1997" t="s">
        <v>253</v>
      </c>
      <c r="K1997" t="s">
        <v>2822</v>
      </c>
    </row>
    <row r="1998" spans="1:11" x14ac:dyDescent="0.25">
      <c r="A1998" t="s">
        <v>749</v>
      </c>
      <c r="B1998" t="s">
        <v>214</v>
      </c>
      <c r="C1998">
        <v>0</v>
      </c>
      <c r="I1998" t="s">
        <v>690</v>
      </c>
      <c r="J1998" t="s">
        <v>253</v>
      </c>
      <c r="K1998" t="s">
        <v>2822</v>
      </c>
    </row>
    <row r="1999" spans="1:11" x14ac:dyDescent="0.25">
      <c r="A1999" t="s">
        <v>750</v>
      </c>
      <c r="B1999" t="s">
        <v>214</v>
      </c>
      <c r="C1999">
        <v>3.64</v>
      </c>
      <c r="I1999" t="s">
        <v>2328</v>
      </c>
      <c r="J1999" t="s">
        <v>253</v>
      </c>
      <c r="K1999" t="s">
        <v>2822</v>
      </c>
    </row>
    <row r="2000" spans="1:11" x14ac:dyDescent="0.25">
      <c r="A2000" t="s">
        <v>751</v>
      </c>
      <c r="B2000" t="s">
        <v>214</v>
      </c>
      <c r="C2000">
        <v>0</v>
      </c>
      <c r="I2000" t="s">
        <v>691</v>
      </c>
      <c r="J2000" t="s">
        <v>253</v>
      </c>
      <c r="K2000" t="s">
        <v>2822</v>
      </c>
    </row>
    <row r="2001" spans="1:11" x14ac:dyDescent="0.25">
      <c r="A2001" t="s">
        <v>752</v>
      </c>
      <c r="B2001" t="s">
        <v>214</v>
      </c>
      <c r="C2001">
        <v>5.45</v>
      </c>
      <c r="I2001" t="s">
        <v>2329</v>
      </c>
      <c r="J2001" t="s">
        <v>253</v>
      </c>
      <c r="K2001" t="s">
        <v>2822</v>
      </c>
    </row>
    <row r="2002" spans="1:11" x14ac:dyDescent="0.25">
      <c r="A2002" t="s">
        <v>753</v>
      </c>
      <c r="B2002" t="s">
        <v>214</v>
      </c>
      <c r="C2002">
        <v>0.36</v>
      </c>
      <c r="I2002" t="s">
        <v>692</v>
      </c>
      <c r="J2002" t="s">
        <v>253</v>
      </c>
      <c r="K2002" t="s">
        <v>2822</v>
      </c>
    </row>
    <row r="2003" spans="1:11" x14ac:dyDescent="0.25">
      <c r="A2003" t="s">
        <v>754</v>
      </c>
      <c r="B2003" t="s">
        <v>214</v>
      </c>
      <c r="C2003">
        <v>0.36</v>
      </c>
      <c r="I2003" t="s">
        <v>693</v>
      </c>
      <c r="J2003" t="s">
        <v>253</v>
      </c>
      <c r="K2003" t="s">
        <v>2822</v>
      </c>
    </row>
    <row r="2004" spans="1:11" x14ac:dyDescent="0.25">
      <c r="A2004" t="s">
        <v>755</v>
      </c>
      <c r="B2004" t="s">
        <v>214</v>
      </c>
      <c r="C2004">
        <v>1.0900000000000001</v>
      </c>
      <c r="I2004" t="s">
        <v>694</v>
      </c>
      <c r="J2004" t="s">
        <v>253</v>
      </c>
      <c r="K2004" t="s">
        <v>2822</v>
      </c>
    </row>
    <row r="2005" spans="1:11" x14ac:dyDescent="0.25">
      <c r="A2005" t="s">
        <v>756</v>
      </c>
      <c r="B2005" t="s">
        <v>214</v>
      </c>
      <c r="C2005">
        <v>0</v>
      </c>
      <c r="I2005" t="s">
        <v>695</v>
      </c>
      <c r="J2005" t="s">
        <v>253</v>
      </c>
      <c r="K2005" t="s">
        <v>2822</v>
      </c>
    </row>
    <row r="2006" spans="1:11" x14ac:dyDescent="0.25">
      <c r="A2006" t="s">
        <v>757</v>
      </c>
      <c r="B2006" t="s">
        <v>214</v>
      </c>
      <c r="C2006">
        <v>3.64</v>
      </c>
      <c r="I2006" t="s">
        <v>2606</v>
      </c>
      <c r="J2006" t="s">
        <v>253</v>
      </c>
      <c r="K2006" t="s">
        <v>2822</v>
      </c>
    </row>
    <row r="2007" spans="1:11" x14ac:dyDescent="0.25">
      <c r="A2007" t="s">
        <v>2181</v>
      </c>
      <c r="B2007" t="s">
        <v>214</v>
      </c>
      <c r="C2007">
        <v>0.73</v>
      </c>
      <c r="I2007" t="s">
        <v>696</v>
      </c>
      <c r="J2007" t="s">
        <v>253</v>
      </c>
      <c r="K2007" t="s">
        <v>2822</v>
      </c>
    </row>
    <row r="2008" spans="1:11" x14ac:dyDescent="0.25">
      <c r="A2008" t="s">
        <v>758</v>
      </c>
      <c r="B2008" t="s">
        <v>214</v>
      </c>
      <c r="C2008">
        <v>1.0900000000000001</v>
      </c>
      <c r="I2008" t="s">
        <v>2607</v>
      </c>
      <c r="J2008" t="s">
        <v>253</v>
      </c>
      <c r="K2008" t="s">
        <v>2822</v>
      </c>
    </row>
    <row r="2009" spans="1:11" x14ac:dyDescent="0.25">
      <c r="A2009" t="s">
        <v>759</v>
      </c>
      <c r="B2009" t="s">
        <v>214</v>
      </c>
      <c r="C2009">
        <v>0</v>
      </c>
      <c r="I2009" t="s">
        <v>697</v>
      </c>
      <c r="J2009" t="s">
        <v>253</v>
      </c>
      <c r="K2009" t="s">
        <v>2822</v>
      </c>
    </row>
    <row r="2010" spans="1:11" x14ac:dyDescent="0.25">
      <c r="A2010" t="s">
        <v>760</v>
      </c>
      <c r="B2010" t="s">
        <v>214</v>
      </c>
      <c r="C2010">
        <v>0</v>
      </c>
      <c r="I2010" t="s">
        <v>698</v>
      </c>
      <c r="J2010" t="s">
        <v>253</v>
      </c>
      <c r="K2010" t="s">
        <v>2822</v>
      </c>
    </row>
    <row r="2011" spans="1:11" x14ac:dyDescent="0.25">
      <c r="A2011" t="s">
        <v>761</v>
      </c>
      <c r="B2011" t="s">
        <v>214</v>
      </c>
      <c r="C2011">
        <v>7.27</v>
      </c>
      <c r="I2011" t="s">
        <v>699</v>
      </c>
      <c r="J2011" t="s">
        <v>253</v>
      </c>
      <c r="K2011" t="s">
        <v>2822</v>
      </c>
    </row>
    <row r="2012" spans="1:11" x14ac:dyDescent="0.25">
      <c r="A2012" t="s">
        <v>762</v>
      </c>
      <c r="B2012" t="s">
        <v>214</v>
      </c>
      <c r="C2012">
        <v>1.0900000000000001</v>
      </c>
      <c r="I2012" t="s">
        <v>700</v>
      </c>
      <c r="J2012" t="s">
        <v>253</v>
      </c>
      <c r="K2012" t="s">
        <v>2822</v>
      </c>
    </row>
    <row r="2013" spans="1:11" x14ac:dyDescent="0.25">
      <c r="A2013" t="s">
        <v>763</v>
      </c>
      <c r="B2013" t="s">
        <v>214</v>
      </c>
      <c r="C2013">
        <v>3.64</v>
      </c>
      <c r="I2013" t="s">
        <v>701</v>
      </c>
      <c r="J2013" t="s">
        <v>253</v>
      </c>
      <c r="K2013" t="s">
        <v>2822</v>
      </c>
    </row>
    <row r="2014" spans="1:11" x14ac:dyDescent="0.25">
      <c r="A2014" t="s">
        <v>2183</v>
      </c>
      <c r="B2014" t="s">
        <v>214</v>
      </c>
      <c r="I2014" t="s">
        <v>702</v>
      </c>
      <c r="J2014" t="s">
        <v>253</v>
      </c>
      <c r="K2014" t="s">
        <v>2822</v>
      </c>
    </row>
    <row r="2015" spans="1:11" x14ac:dyDescent="0.25">
      <c r="A2015" t="s">
        <v>764</v>
      </c>
      <c r="B2015" t="s">
        <v>214</v>
      </c>
      <c r="C2015">
        <v>1.82</v>
      </c>
      <c r="I2015" t="s">
        <v>703</v>
      </c>
      <c r="J2015" t="s">
        <v>253</v>
      </c>
      <c r="K2015" t="s">
        <v>2822</v>
      </c>
    </row>
    <row r="2016" spans="1:11" x14ac:dyDescent="0.25">
      <c r="A2016" t="s">
        <v>2456</v>
      </c>
      <c r="B2016" t="s">
        <v>214</v>
      </c>
      <c r="C2016">
        <v>0</v>
      </c>
      <c r="I2016" t="s">
        <v>704</v>
      </c>
      <c r="J2016" t="s">
        <v>253</v>
      </c>
      <c r="K2016" t="s">
        <v>2822</v>
      </c>
    </row>
    <row r="2017" spans="1:11" x14ac:dyDescent="0.25">
      <c r="A2017" t="s">
        <v>765</v>
      </c>
      <c r="B2017" t="s">
        <v>214</v>
      </c>
      <c r="C2017">
        <v>1.45</v>
      </c>
      <c r="I2017" t="s">
        <v>705</v>
      </c>
      <c r="J2017" t="s">
        <v>253</v>
      </c>
      <c r="K2017" t="s">
        <v>2822</v>
      </c>
    </row>
    <row r="2018" spans="1:11" x14ac:dyDescent="0.25">
      <c r="A2018" t="s">
        <v>2515</v>
      </c>
      <c r="B2018" t="s">
        <v>214</v>
      </c>
      <c r="C2018">
        <v>1.82</v>
      </c>
      <c r="I2018" t="s">
        <v>706</v>
      </c>
      <c r="J2018" t="s">
        <v>253</v>
      </c>
      <c r="K2018" t="s">
        <v>2822</v>
      </c>
    </row>
    <row r="2019" spans="1:11" x14ac:dyDescent="0.25">
      <c r="A2019" t="s">
        <v>766</v>
      </c>
      <c r="B2019" t="s">
        <v>214</v>
      </c>
      <c r="C2019">
        <v>0</v>
      </c>
      <c r="I2019" t="s">
        <v>707</v>
      </c>
      <c r="J2019" t="s">
        <v>253</v>
      </c>
      <c r="K2019" t="s">
        <v>2822</v>
      </c>
    </row>
    <row r="2020" spans="1:11" x14ac:dyDescent="0.25">
      <c r="A2020" t="s">
        <v>2613</v>
      </c>
      <c r="B2020" t="s">
        <v>214</v>
      </c>
      <c r="C2020">
        <v>0</v>
      </c>
      <c r="I2020" t="s">
        <v>708</v>
      </c>
      <c r="J2020" t="s">
        <v>253</v>
      </c>
      <c r="K2020" t="s">
        <v>2822</v>
      </c>
    </row>
    <row r="2021" spans="1:11" x14ac:dyDescent="0.25">
      <c r="A2021" t="s">
        <v>2182</v>
      </c>
      <c r="B2021" t="s">
        <v>214</v>
      </c>
      <c r="C2021">
        <v>2.5499999999999998</v>
      </c>
      <c r="I2021" t="s">
        <v>709</v>
      </c>
      <c r="J2021" t="s">
        <v>253</v>
      </c>
      <c r="K2021" t="s">
        <v>2822</v>
      </c>
    </row>
    <row r="2022" spans="1:11" x14ac:dyDescent="0.25">
      <c r="A2022" t="s">
        <v>2614</v>
      </c>
      <c r="B2022" t="s">
        <v>214</v>
      </c>
      <c r="C2022">
        <v>0</v>
      </c>
      <c r="I2022" t="s">
        <v>710</v>
      </c>
      <c r="J2022" t="s">
        <v>253</v>
      </c>
      <c r="K2022" t="s">
        <v>2822</v>
      </c>
    </row>
    <row r="2023" spans="1:11" x14ac:dyDescent="0.25">
      <c r="A2023" t="s">
        <v>767</v>
      </c>
      <c r="B2023" t="s">
        <v>214</v>
      </c>
      <c r="C2023">
        <v>3.64</v>
      </c>
      <c r="I2023" t="s">
        <v>2608</v>
      </c>
      <c r="J2023" t="s">
        <v>253</v>
      </c>
      <c r="K2023" t="s">
        <v>2822</v>
      </c>
    </row>
    <row r="2024" spans="1:11" x14ac:dyDescent="0.25">
      <c r="A2024" t="s">
        <v>768</v>
      </c>
      <c r="B2024" t="s">
        <v>214</v>
      </c>
      <c r="C2024">
        <v>0</v>
      </c>
      <c r="I2024" t="s">
        <v>711</v>
      </c>
      <c r="J2024" t="s">
        <v>253</v>
      </c>
      <c r="K2024" t="s">
        <v>2822</v>
      </c>
    </row>
    <row r="2025" spans="1:11" x14ac:dyDescent="0.25">
      <c r="A2025" t="s">
        <v>769</v>
      </c>
      <c r="B2025" t="s">
        <v>214</v>
      </c>
      <c r="C2025">
        <v>0</v>
      </c>
      <c r="I2025" t="s">
        <v>2609</v>
      </c>
      <c r="J2025" t="s">
        <v>253</v>
      </c>
      <c r="K2025" t="s">
        <v>2822</v>
      </c>
    </row>
    <row r="2026" spans="1:11" x14ac:dyDescent="0.25">
      <c r="A2026" t="s">
        <v>770</v>
      </c>
      <c r="B2026" t="s">
        <v>214</v>
      </c>
      <c r="C2026">
        <v>0</v>
      </c>
      <c r="I2026" t="s">
        <v>712</v>
      </c>
      <c r="J2026" t="s">
        <v>253</v>
      </c>
      <c r="K2026" t="s">
        <v>2822</v>
      </c>
    </row>
    <row r="2027" spans="1:11" x14ac:dyDescent="0.25">
      <c r="A2027" t="s">
        <v>771</v>
      </c>
      <c r="B2027" t="s">
        <v>214</v>
      </c>
      <c r="C2027">
        <v>0</v>
      </c>
      <c r="I2027" t="s">
        <v>713</v>
      </c>
      <c r="J2027" t="s">
        <v>253</v>
      </c>
      <c r="K2027" t="s">
        <v>2822</v>
      </c>
    </row>
    <row r="2028" spans="1:11" x14ac:dyDescent="0.25">
      <c r="A2028" t="s">
        <v>772</v>
      </c>
      <c r="B2028" t="s">
        <v>214</v>
      </c>
      <c r="C2028">
        <v>0</v>
      </c>
      <c r="I2028" t="s">
        <v>714</v>
      </c>
      <c r="J2028" t="s">
        <v>253</v>
      </c>
      <c r="K2028" t="s">
        <v>2822</v>
      </c>
    </row>
    <row r="2029" spans="1:11" x14ac:dyDescent="0.25">
      <c r="A2029" t="s">
        <v>773</v>
      </c>
      <c r="B2029" t="s">
        <v>214</v>
      </c>
      <c r="C2029">
        <v>0</v>
      </c>
      <c r="I2029" t="s">
        <v>715</v>
      </c>
      <c r="J2029" t="s">
        <v>253</v>
      </c>
      <c r="K2029" t="s">
        <v>2822</v>
      </c>
    </row>
    <row r="2030" spans="1:11" x14ac:dyDescent="0.25">
      <c r="A2030" t="s">
        <v>774</v>
      </c>
      <c r="B2030" t="s">
        <v>214</v>
      </c>
      <c r="C2030">
        <v>14.55</v>
      </c>
      <c r="I2030" t="s">
        <v>716</v>
      </c>
      <c r="J2030" t="s">
        <v>253</v>
      </c>
      <c r="K2030" t="s">
        <v>2822</v>
      </c>
    </row>
    <row r="2031" spans="1:11" x14ac:dyDescent="0.25">
      <c r="A2031" t="s">
        <v>775</v>
      </c>
      <c r="B2031" t="s">
        <v>214</v>
      </c>
      <c r="C2031">
        <v>0</v>
      </c>
      <c r="I2031" t="s">
        <v>717</v>
      </c>
      <c r="J2031" t="s">
        <v>253</v>
      </c>
      <c r="K2031" t="s">
        <v>2822</v>
      </c>
    </row>
    <row r="2032" spans="1:11" x14ac:dyDescent="0.25">
      <c r="A2032" t="s">
        <v>776</v>
      </c>
      <c r="B2032" t="s">
        <v>214</v>
      </c>
      <c r="C2032">
        <v>0.73</v>
      </c>
      <c r="I2032" t="s">
        <v>718</v>
      </c>
      <c r="J2032" t="s">
        <v>253</v>
      </c>
      <c r="K2032" t="s">
        <v>2822</v>
      </c>
    </row>
    <row r="2033" spans="1:11" x14ac:dyDescent="0.25">
      <c r="A2033" t="s">
        <v>777</v>
      </c>
      <c r="B2033" t="s">
        <v>214</v>
      </c>
      <c r="C2033">
        <v>6.55</v>
      </c>
      <c r="I2033" t="s">
        <v>719</v>
      </c>
      <c r="J2033" t="s">
        <v>253</v>
      </c>
      <c r="K2033" t="s">
        <v>2822</v>
      </c>
    </row>
    <row r="2034" spans="1:11" x14ac:dyDescent="0.25">
      <c r="A2034" t="s">
        <v>778</v>
      </c>
      <c r="B2034" t="s">
        <v>214</v>
      </c>
      <c r="C2034">
        <v>0</v>
      </c>
      <c r="I2034" t="s">
        <v>720</v>
      </c>
      <c r="J2034" t="s">
        <v>253</v>
      </c>
      <c r="K2034" t="s">
        <v>2822</v>
      </c>
    </row>
    <row r="2035" spans="1:11" x14ac:dyDescent="0.25">
      <c r="A2035" t="s">
        <v>2615</v>
      </c>
      <c r="B2035" t="s">
        <v>214</v>
      </c>
      <c r="C2035">
        <v>0</v>
      </c>
      <c r="I2035" t="s">
        <v>721</v>
      </c>
      <c r="J2035" t="s">
        <v>253</v>
      </c>
      <c r="K2035" t="s">
        <v>2822</v>
      </c>
    </row>
    <row r="2036" spans="1:11" x14ac:dyDescent="0.25">
      <c r="A2036" t="s">
        <v>779</v>
      </c>
      <c r="B2036" t="s">
        <v>214</v>
      </c>
      <c r="C2036">
        <v>0</v>
      </c>
      <c r="I2036" t="s">
        <v>722</v>
      </c>
      <c r="J2036" t="s">
        <v>253</v>
      </c>
      <c r="K2036" t="s">
        <v>2822</v>
      </c>
    </row>
    <row r="2037" spans="1:11" x14ac:dyDescent="0.25">
      <c r="A2037" t="s">
        <v>780</v>
      </c>
      <c r="B2037" t="s">
        <v>214</v>
      </c>
      <c r="C2037">
        <v>0</v>
      </c>
      <c r="I2037" t="s">
        <v>723</v>
      </c>
      <c r="J2037" t="s">
        <v>253</v>
      </c>
      <c r="K2037" t="s">
        <v>2822</v>
      </c>
    </row>
    <row r="2038" spans="1:11" x14ac:dyDescent="0.25">
      <c r="A2038" t="s">
        <v>781</v>
      </c>
      <c r="B2038" t="s">
        <v>214</v>
      </c>
      <c r="C2038">
        <v>0</v>
      </c>
      <c r="I2038" t="s">
        <v>724</v>
      </c>
      <c r="J2038" t="s">
        <v>253</v>
      </c>
      <c r="K2038" t="s">
        <v>2822</v>
      </c>
    </row>
    <row r="2039" spans="1:11" x14ac:dyDescent="0.25">
      <c r="A2039" t="s">
        <v>782</v>
      </c>
      <c r="B2039" t="s">
        <v>214</v>
      </c>
      <c r="C2039">
        <v>10.91</v>
      </c>
      <c r="I2039" t="s">
        <v>725</v>
      </c>
      <c r="J2039" t="s">
        <v>253</v>
      </c>
      <c r="K2039" t="s">
        <v>2822</v>
      </c>
    </row>
    <row r="2040" spans="1:11" x14ac:dyDescent="0.25">
      <c r="A2040" t="s">
        <v>783</v>
      </c>
      <c r="B2040" t="s">
        <v>214</v>
      </c>
      <c r="C2040">
        <v>0.73</v>
      </c>
      <c r="I2040" t="s">
        <v>726</v>
      </c>
      <c r="J2040" t="s">
        <v>253</v>
      </c>
      <c r="K2040" t="s">
        <v>2822</v>
      </c>
    </row>
    <row r="2041" spans="1:11" x14ac:dyDescent="0.25">
      <c r="A2041" t="s">
        <v>784</v>
      </c>
      <c r="B2041" t="s">
        <v>214</v>
      </c>
      <c r="C2041">
        <v>9.09</v>
      </c>
      <c r="I2041" t="s">
        <v>727</v>
      </c>
      <c r="J2041" t="s">
        <v>253</v>
      </c>
      <c r="K2041" t="s">
        <v>2822</v>
      </c>
    </row>
    <row r="2042" spans="1:11" x14ac:dyDescent="0.25">
      <c r="A2042" t="s">
        <v>785</v>
      </c>
      <c r="B2042" t="s">
        <v>214</v>
      </c>
      <c r="C2042">
        <v>1.45</v>
      </c>
      <c r="I2042" t="s">
        <v>728</v>
      </c>
      <c r="J2042" t="s">
        <v>253</v>
      </c>
      <c r="K2042" t="s">
        <v>2822</v>
      </c>
    </row>
    <row r="2043" spans="1:11" x14ac:dyDescent="0.25">
      <c r="A2043" t="s">
        <v>786</v>
      </c>
      <c r="B2043" t="s">
        <v>214</v>
      </c>
      <c r="C2043">
        <v>0</v>
      </c>
      <c r="I2043" t="s">
        <v>729</v>
      </c>
      <c r="J2043" t="s">
        <v>253</v>
      </c>
      <c r="K2043" t="s">
        <v>2822</v>
      </c>
    </row>
    <row r="2044" spans="1:11" x14ac:dyDescent="0.25">
      <c r="A2044" t="s">
        <v>787</v>
      </c>
      <c r="B2044" t="s">
        <v>214</v>
      </c>
      <c r="C2044">
        <v>0.73</v>
      </c>
      <c r="I2044" t="s">
        <v>730</v>
      </c>
      <c r="J2044" t="s">
        <v>253</v>
      </c>
      <c r="K2044" t="s">
        <v>2822</v>
      </c>
    </row>
    <row r="2045" spans="1:11" x14ac:dyDescent="0.25">
      <c r="A2045" t="s">
        <v>788</v>
      </c>
      <c r="B2045" t="s">
        <v>214</v>
      </c>
      <c r="C2045">
        <v>6.55</v>
      </c>
      <c r="I2045" t="s">
        <v>1305</v>
      </c>
      <c r="J2045" t="s">
        <v>253</v>
      </c>
      <c r="K2045" t="s">
        <v>2822</v>
      </c>
    </row>
    <row r="2046" spans="1:11" x14ac:dyDescent="0.25">
      <c r="A2046" t="s">
        <v>2616</v>
      </c>
      <c r="B2046" t="s">
        <v>214</v>
      </c>
      <c r="C2046">
        <v>0</v>
      </c>
      <c r="I2046" t="s">
        <v>731</v>
      </c>
      <c r="J2046" t="s">
        <v>253</v>
      </c>
      <c r="K2046" t="s">
        <v>2822</v>
      </c>
    </row>
    <row r="2047" spans="1:11" x14ac:dyDescent="0.25">
      <c r="A2047" t="s">
        <v>789</v>
      </c>
      <c r="B2047" t="s">
        <v>214</v>
      </c>
      <c r="C2047">
        <v>25.45</v>
      </c>
      <c r="I2047" t="s">
        <v>732</v>
      </c>
      <c r="J2047" t="s">
        <v>253</v>
      </c>
      <c r="K2047" t="s">
        <v>2822</v>
      </c>
    </row>
    <row r="2048" spans="1:11" x14ac:dyDescent="0.25">
      <c r="A2048" t="s">
        <v>790</v>
      </c>
      <c r="B2048" t="s">
        <v>214</v>
      </c>
      <c r="C2048">
        <v>1.82</v>
      </c>
      <c r="I2048" t="s">
        <v>733</v>
      </c>
      <c r="J2048" t="s">
        <v>253</v>
      </c>
      <c r="K2048" t="s">
        <v>2822</v>
      </c>
    </row>
    <row r="2049" spans="1:11" x14ac:dyDescent="0.25">
      <c r="A2049" t="s">
        <v>1307</v>
      </c>
      <c r="B2049" t="s">
        <v>214</v>
      </c>
      <c r="C2049">
        <v>5.82</v>
      </c>
      <c r="I2049" t="s">
        <v>2610</v>
      </c>
      <c r="J2049" t="s">
        <v>253</v>
      </c>
      <c r="K2049" t="s">
        <v>2822</v>
      </c>
    </row>
    <row r="2050" spans="1:11" x14ac:dyDescent="0.25">
      <c r="A2050" t="s">
        <v>791</v>
      </c>
      <c r="B2050" t="s">
        <v>214</v>
      </c>
      <c r="C2050">
        <v>0</v>
      </c>
      <c r="I2050" t="s">
        <v>2460</v>
      </c>
      <c r="J2050" t="s">
        <v>253</v>
      </c>
      <c r="K2050" t="s">
        <v>2822</v>
      </c>
    </row>
    <row r="2051" spans="1:11" x14ac:dyDescent="0.25">
      <c r="A2051" t="s">
        <v>792</v>
      </c>
      <c r="B2051" t="s">
        <v>214</v>
      </c>
      <c r="C2051">
        <v>1.82</v>
      </c>
      <c r="I2051" t="s">
        <v>2611</v>
      </c>
      <c r="J2051" t="s">
        <v>253</v>
      </c>
      <c r="K2051" t="s">
        <v>2822</v>
      </c>
    </row>
    <row r="2052" spans="1:11" x14ac:dyDescent="0.25">
      <c r="A2052" t="s">
        <v>793</v>
      </c>
      <c r="B2052" t="s">
        <v>214</v>
      </c>
      <c r="C2052">
        <v>32.729999999999997</v>
      </c>
      <c r="I2052" t="s">
        <v>2612</v>
      </c>
      <c r="J2052" t="s">
        <v>253</v>
      </c>
      <c r="K2052" t="s">
        <v>2822</v>
      </c>
    </row>
    <row r="2053" spans="1:11" x14ac:dyDescent="0.25">
      <c r="A2053" t="s">
        <v>794</v>
      </c>
      <c r="B2053" t="s">
        <v>214</v>
      </c>
      <c r="C2053">
        <v>10.91</v>
      </c>
      <c r="I2053" t="s">
        <v>734</v>
      </c>
      <c r="J2053" t="s">
        <v>253</v>
      </c>
      <c r="K2053" t="s">
        <v>2822</v>
      </c>
    </row>
    <row r="2054" spans="1:11" x14ac:dyDescent="0.25">
      <c r="A2054" t="s">
        <v>795</v>
      </c>
      <c r="B2054" t="s">
        <v>214</v>
      </c>
      <c r="C2054">
        <v>0</v>
      </c>
      <c r="I2054" t="s">
        <v>735</v>
      </c>
      <c r="J2054" t="s">
        <v>253</v>
      </c>
      <c r="K2054" t="s">
        <v>2822</v>
      </c>
    </row>
    <row r="2055" spans="1:11" x14ac:dyDescent="0.25">
      <c r="A2055" t="s">
        <v>796</v>
      </c>
      <c r="B2055" t="s">
        <v>214</v>
      </c>
      <c r="C2055">
        <v>0</v>
      </c>
      <c r="I2055" t="s">
        <v>736</v>
      </c>
      <c r="J2055" t="s">
        <v>253</v>
      </c>
      <c r="K2055" t="s">
        <v>2822</v>
      </c>
    </row>
    <row r="2056" spans="1:11" x14ac:dyDescent="0.25">
      <c r="A2056" t="s">
        <v>797</v>
      </c>
      <c r="B2056" t="s">
        <v>214</v>
      </c>
      <c r="C2056">
        <v>0</v>
      </c>
      <c r="I2056" t="s">
        <v>737</v>
      </c>
      <c r="J2056" t="s">
        <v>253</v>
      </c>
      <c r="K2056" t="s">
        <v>2822</v>
      </c>
    </row>
    <row r="2057" spans="1:11" x14ac:dyDescent="0.25">
      <c r="A2057" t="s">
        <v>798</v>
      </c>
      <c r="B2057" t="s">
        <v>214</v>
      </c>
      <c r="C2057">
        <v>0</v>
      </c>
      <c r="I2057" t="s">
        <v>738</v>
      </c>
      <c r="J2057" t="s">
        <v>253</v>
      </c>
      <c r="K2057" t="s">
        <v>2822</v>
      </c>
    </row>
    <row r="2058" spans="1:11" x14ac:dyDescent="0.25">
      <c r="A2058" t="s">
        <v>799</v>
      </c>
      <c r="B2058" t="s">
        <v>214</v>
      </c>
      <c r="C2058">
        <v>0.36</v>
      </c>
      <c r="I2058" t="s">
        <v>739</v>
      </c>
      <c r="J2058" t="s">
        <v>253</v>
      </c>
      <c r="K2058" t="s">
        <v>2822</v>
      </c>
    </row>
    <row r="2059" spans="1:11" x14ac:dyDescent="0.25">
      <c r="A2059" t="s">
        <v>800</v>
      </c>
      <c r="B2059" t="s">
        <v>214</v>
      </c>
      <c r="C2059">
        <v>10.91</v>
      </c>
      <c r="I2059" t="s">
        <v>740</v>
      </c>
      <c r="J2059" t="s">
        <v>253</v>
      </c>
      <c r="K2059" t="s">
        <v>2822</v>
      </c>
    </row>
    <row r="2060" spans="1:11" x14ac:dyDescent="0.25">
      <c r="A2060" t="s">
        <v>801</v>
      </c>
      <c r="B2060" t="s">
        <v>214</v>
      </c>
      <c r="C2060">
        <v>0</v>
      </c>
      <c r="I2060" t="s">
        <v>932</v>
      </c>
      <c r="J2060" t="s">
        <v>253</v>
      </c>
      <c r="K2060" t="s">
        <v>2822</v>
      </c>
    </row>
    <row r="2061" spans="1:11" x14ac:dyDescent="0.25">
      <c r="A2061" t="s">
        <v>802</v>
      </c>
      <c r="B2061" t="s">
        <v>214</v>
      </c>
      <c r="C2061">
        <v>0.73</v>
      </c>
      <c r="I2061" t="s">
        <v>933</v>
      </c>
      <c r="J2061" t="s">
        <v>253</v>
      </c>
      <c r="K2061" t="s">
        <v>2822</v>
      </c>
    </row>
    <row r="2062" spans="1:11" x14ac:dyDescent="0.25">
      <c r="A2062" t="s">
        <v>803</v>
      </c>
      <c r="B2062" t="s">
        <v>214</v>
      </c>
      <c r="C2062">
        <v>0</v>
      </c>
      <c r="I2062" t="s">
        <v>930</v>
      </c>
      <c r="J2062" t="s">
        <v>253</v>
      </c>
      <c r="K2062" t="s">
        <v>2822</v>
      </c>
    </row>
    <row r="2063" spans="1:11" x14ac:dyDescent="0.25">
      <c r="A2063" t="s">
        <v>2047</v>
      </c>
      <c r="B2063" t="s">
        <v>214</v>
      </c>
      <c r="I2063" t="s">
        <v>741</v>
      </c>
      <c r="J2063" t="s">
        <v>253</v>
      </c>
      <c r="K2063" t="s">
        <v>2822</v>
      </c>
    </row>
    <row r="2064" spans="1:11" x14ac:dyDescent="0.25">
      <c r="A2064" t="s">
        <v>2422</v>
      </c>
      <c r="B2064" t="s">
        <v>214</v>
      </c>
      <c r="I2064" t="s">
        <v>742</v>
      </c>
      <c r="J2064" t="s">
        <v>253</v>
      </c>
      <c r="K2064" t="s">
        <v>2822</v>
      </c>
    </row>
    <row r="2065" spans="1:11" x14ac:dyDescent="0.25">
      <c r="A2065" t="s">
        <v>806</v>
      </c>
      <c r="B2065" t="s">
        <v>214</v>
      </c>
      <c r="C2065">
        <v>43.64</v>
      </c>
      <c r="I2065" t="s">
        <v>743</v>
      </c>
      <c r="J2065" t="s">
        <v>253</v>
      </c>
      <c r="K2065" t="s">
        <v>2822</v>
      </c>
    </row>
    <row r="2066" spans="1:11" x14ac:dyDescent="0.25">
      <c r="A2066" t="s">
        <v>807</v>
      </c>
      <c r="B2066" t="s">
        <v>214</v>
      </c>
      <c r="C2066">
        <v>2.91</v>
      </c>
      <c r="I2066" t="s">
        <v>744</v>
      </c>
      <c r="J2066" t="s">
        <v>253</v>
      </c>
      <c r="K2066" t="s">
        <v>2822</v>
      </c>
    </row>
    <row r="2067" spans="1:11" x14ac:dyDescent="0.25">
      <c r="A2067" t="s">
        <v>808</v>
      </c>
      <c r="B2067" t="s">
        <v>214</v>
      </c>
      <c r="C2067">
        <v>0</v>
      </c>
      <c r="I2067" t="s">
        <v>745</v>
      </c>
      <c r="J2067" t="s">
        <v>253</v>
      </c>
      <c r="K2067" t="s">
        <v>2822</v>
      </c>
    </row>
    <row r="2068" spans="1:11" x14ac:dyDescent="0.25">
      <c r="A2068" t="s">
        <v>809</v>
      </c>
      <c r="B2068" t="s">
        <v>214</v>
      </c>
      <c r="C2068">
        <v>8</v>
      </c>
      <c r="I2068" t="s">
        <v>746</v>
      </c>
      <c r="J2068" t="s">
        <v>253</v>
      </c>
      <c r="K2068" t="s">
        <v>2822</v>
      </c>
    </row>
    <row r="2069" spans="1:11" x14ac:dyDescent="0.25">
      <c r="A2069" t="s">
        <v>810</v>
      </c>
      <c r="B2069" t="s">
        <v>214</v>
      </c>
      <c r="C2069">
        <v>2.1800000000000002</v>
      </c>
      <c r="I2069" t="s">
        <v>747</v>
      </c>
      <c r="J2069" t="s">
        <v>253</v>
      </c>
      <c r="K2069" t="s">
        <v>2822</v>
      </c>
    </row>
    <row r="2070" spans="1:11" x14ac:dyDescent="0.25">
      <c r="A2070" t="s">
        <v>811</v>
      </c>
      <c r="B2070" t="s">
        <v>214</v>
      </c>
      <c r="C2070">
        <v>1.0900000000000001</v>
      </c>
      <c r="I2070" t="s">
        <v>748</v>
      </c>
      <c r="J2070" t="s">
        <v>253</v>
      </c>
      <c r="K2070" t="s">
        <v>2822</v>
      </c>
    </row>
    <row r="2071" spans="1:11" x14ac:dyDescent="0.25">
      <c r="A2071" t="s">
        <v>2482</v>
      </c>
      <c r="B2071" t="s">
        <v>214</v>
      </c>
      <c r="I2071" t="s">
        <v>749</v>
      </c>
      <c r="J2071" t="s">
        <v>253</v>
      </c>
      <c r="K2071" t="s">
        <v>2822</v>
      </c>
    </row>
    <row r="2072" spans="1:11" x14ac:dyDescent="0.25">
      <c r="A2072" t="s">
        <v>812</v>
      </c>
      <c r="B2072" t="s">
        <v>214</v>
      </c>
      <c r="C2072">
        <v>7.27</v>
      </c>
      <c r="I2072" t="s">
        <v>750</v>
      </c>
      <c r="J2072" t="s">
        <v>253</v>
      </c>
      <c r="K2072" t="s">
        <v>2822</v>
      </c>
    </row>
    <row r="2073" spans="1:11" x14ac:dyDescent="0.25">
      <c r="A2073" t="s">
        <v>813</v>
      </c>
      <c r="B2073" t="s">
        <v>214</v>
      </c>
      <c r="C2073">
        <v>0</v>
      </c>
      <c r="I2073" t="s">
        <v>751</v>
      </c>
      <c r="J2073" t="s">
        <v>253</v>
      </c>
      <c r="K2073" t="s">
        <v>2822</v>
      </c>
    </row>
    <row r="2074" spans="1:11" x14ac:dyDescent="0.25">
      <c r="A2074" t="s">
        <v>814</v>
      </c>
      <c r="B2074" t="s">
        <v>214</v>
      </c>
      <c r="C2074">
        <v>7.27</v>
      </c>
      <c r="I2074" t="s">
        <v>752</v>
      </c>
      <c r="J2074" t="s">
        <v>253</v>
      </c>
      <c r="K2074" t="s">
        <v>2822</v>
      </c>
    </row>
    <row r="2075" spans="1:11" x14ac:dyDescent="0.25">
      <c r="A2075" t="s">
        <v>815</v>
      </c>
      <c r="B2075" t="s">
        <v>214</v>
      </c>
      <c r="C2075">
        <v>5.09</v>
      </c>
      <c r="I2075" t="s">
        <v>753</v>
      </c>
      <c r="J2075" t="s">
        <v>253</v>
      </c>
      <c r="K2075" t="s">
        <v>2822</v>
      </c>
    </row>
    <row r="2076" spans="1:11" x14ac:dyDescent="0.25">
      <c r="A2076" t="s">
        <v>816</v>
      </c>
      <c r="B2076" t="s">
        <v>214</v>
      </c>
      <c r="C2076">
        <v>1.82</v>
      </c>
      <c r="I2076" t="s">
        <v>754</v>
      </c>
      <c r="J2076" t="s">
        <v>253</v>
      </c>
      <c r="K2076" t="s">
        <v>2822</v>
      </c>
    </row>
    <row r="2077" spans="1:11" x14ac:dyDescent="0.25">
      <c r="A2077" t="s">
        <v>817</v>
      </c>
      <c r="B2077" t="s">
        <v>214</v>
      </c>
      <c r="C2077">
        <v>0</v>
      </c>
      <c r="I2077" t="s">
        <v>755</v>
      </c>
      <c r="J2077" t="s">
        <v>253</v>
      </c>
      <c r="K2077" t="s">
        <v>2822</v>
      </c>
    </row>
    <row r="2078" spans="1:11" x14ac:dyDescent="0.25">
      <c r="A2078" t="s">
        <v>818</v>
      </c>
      <c r="B2078" t="s">
        <v>214</v>
      </c>
      <c r="C2078">
        <v>0</v>
      </c>
      <c r="I2078" t="s">
        <v>756</v>
      </c>
      <c r="J2078" t="s">
        <v>253</v>
      </c>
      <c r="K2078" t="s">
        <v>2822</v>
      </c>
    </row>
    <row r="2079" spans="1:11" x14ac:dyDescent="0.25">
      <c r="A2079" t="s">
        <v>819</v>
      </c>
      <c r="B2079" t="s">
        <v>214</v>
      </c>
      <c r="C2079">
        <v>0</v>
      </c>
      <c r="I2079" t="s">
        <v>757</v>
      </c>
      <c r="J2079" t="s">
        <v>253</v>
      </c>
      <c r="K2079" t="s">
        <v>2822</v>
      </c>
    </row>
    <row r="2080" spans="1:11" x14ac:dyDescent="0.25">
      <c r="A2080" t="s">
        <v>820</v>
      </c>
      <c r="B2080" t="s">
        <v>214</v>
      </c>
      <c r="C2080">
        <v>0</v>
      </c>
      <c r="I2080" t="s">
        <v>2181</v>
      </c>
      <c r="J2080" t="s">
        <v>253</v>
      </c>
      <c r="K2080" t="s">
        <v>2822</v>
      </c>
    </row>
    <row r="2081" spans="1:11" x14ac:dyDescent="0.25">
      <c r="A2081" t="s">
        <v>821</v>
      </c>
      <c r="B2081" t="s">
        <v>214</v>
      </c>
      <c r="C2081">
        <v>0</v>
      </c>
      <c r="I2081" t="s">
        <v>758</v>
      </c>
      <c r="J2081" t="s">
        <v>253</v>
      </c>
      <c r="K2081" t="s">
        <v>2822</v>
      </c>
    </row>
    <row r="2082" spans="1:11" x14ac:dyDescent="0.25">
      <c r="A2082" t="s">
        <v>822</v>
      </c>
      <c r="B2082" t="s">
        <v>214</v>
      </c>
      <c r="C2082">
        <v>3.64</v>
      </c>
      <c r="I2082" t="s">
        <v>759</v>
      </c>
      <c r="J2082" t="s">
        <v>253</v>
      </c>
      <c r="K2082" t="s">
        <v>2822</v>
      </c>
    </row>
    <row r="2083" spans="1:11" x14ac:dyDescent="0.25">
      <c r="A2083" t="s">
        <v>823</v>
      </c>
      <c r="B2083" t="s">
        <v>214</v>
      </c>
      <c r="C2083">
        <v>0</v>
      </c>
      <c r="I2083" t="s">
        <v>760</v>
      </c>
      <c r="J2083" t="s">
        <v>253</v>
      </c>
      <c r="K2083" t="s">
        <v>2822</v>
      </c>
    </row>
    <row r="2084" spans="1:11" x14ac:dyDescent="0.25">
      <c r="A2084" t="s">
        <v>824</v>
      </c>
      <c r="B2084" t="s">
        <v>214</v>
      </c>
      <c r="C2084">
        <v>2.1800000000000002</v>
      </c>
      <c r="I2084" t="s">
        <v>761</v>
      </c>
      <c r="J2084" t="s">
        <v>253</v>
      </c>
      <c r="K2084" t="s">
        <v>2822</v>
      </c>
    </row>
    <row r="2085" spans="1:11" x14ac:dyDescent="0.25">
      <c r="A2085" t="s">
        <v>825</v>
      </c>
      <c r="B2085" t="s">
        <v>214</v>
      </c>
      <c r="C2085">
        <v>0</v>
      </c>
      <c r="I2085" t="s">
        <v>762</v>
      </c>
      <c r="J2085" t="s">
        <v>253</v>
      </c>
      <c r="K2085" t="s">
        <v>2822</v>
      </c>
    </row>
    <row r="2086" spans="1:11" x14ac:dyDescent="0.25">
      <c r="A2086" t="s">
        <v>826</v>
      </c>
      <c r="B2086" t="s">
        <v>214</v>
      </c>
      <c r="C2086">
        <v>3.64</v>
      </c>
      <c r="I2086" t="s">
        <v>763</v>
      </c>
      <c r="J2086" t="s">
        <v>253</v>
      </c>
      <c r="K2086" t="s">
        <v>2822</v>
      </c>
    </row>
    <row r="2087" spans="1:11" x14ac:dyDescent="0.25">
      <c r="A2087" t="s">
        <v>827</v>
      </c>
      <c r="B2087" t="s">
        <v>214</v>
      </c>
      <c r="C2087">
        <v>14.55</v>
      </c>
      <c r="I2087" t="s">
        <v>2183</v>
      </c>
      <c r="J2087" t="s">
        <v>253</v>
      </c>
      <c r="K2087" t="s">
        <v>2822</v>
      </c>
    </row>
    <row r="2088" spans="1:11" x14ac:dyDescent="0.25">
      <c r="A2088" t="s">
        <v>828</v>
      </c>
      <c r="B2088" t="s">
        <v>214</v>
      </c>
      <c r="C2088">
        <v>4.3600000000000003</v>
      </c>
      <c r="I2088" t="s">
        <v>764</v>
      </c>
      <c r="J2088" t="s">
        <v>253</v>
      </c>
      <c r="K2088" t="s">
        <v>2822</v>
      </c>
    </row>
    <row r="2089" spans="1:11" x14ac:dyDescent="0.25">
      <c r="A2089" t="s">
        <v>829</v>
      </c>
      <c r="B2089" t="s">
        <v>214</v>
      </c>
      <c r="C2089">
        <v>1.45</v>
      </c>
      <c r="I2089" t="s">
        <v>2456</v>
      </c>
      <c r="J2089" t="s">
        <v>253</v>
      </c>
      <c r="K2089" t="s">
        <v>2822</v>
      </c>
    </row>
    <row r="2090" spans="1:11" x14ac:dyDescent="0.25">
      <c r="A2090" t="s">
        <v>830</v>
      </c>
      <c r="B2090" t="s">
        <v>214</v>
      </c>
      <c r="C2090">
        <v>1.82</v>
      </c>
      <c r="I2090" t="s">
        <v>765</v>
      </c>
      <c r="J2090" t="s">
        <v>253</v>
      </c>
      <c r="K2090" t="s">
        <v>2822</v>
      </c>
    </row>
    <row r="2091" spans="1:11" x14ac:dyDescent="0.25">
      <c r="A2091" t="s">
        <v>831</v>
      </c>
      <c r="B2091" t="s">
        <v>214</v>
      </c>
      <c r="C2091">
        <v>0</v>
      </c>
      <c r="I2091" t="s">
        <v>2515</v>
      </c>
      <c r="J2091" t="s">
        <v>253</v>
      </c>
      <c r="K2091" t="s">
        <v>2822</v>
      </c>
    </row>
    <row r="2092" spans="1:11" x14ac:dyDescent="0.25">
      <c r="A2092" t="s">
        <v>2511</v>
      </c>
      <c r="B2092" t="s">
        <v>214</v>
      </c>
      <c r="I2092" t="s">
        <v>766</v>
      </c>
      <c r="J2092" t="s">
        <v>253</v>
      </c>
      <c r="K2092" t="s">
        <v>2822</v>
      </c>
    </row>
    <row r="2093" spans="1:11" x14ac:dyDescent="0.25">
      <c r="A2093" t="s">
        <v>832</v>
      </c>
      <c r="B2093" t="s">
        <v>214</v>
      </c>
      <c r="C2093">
        <v>0.73</v>
      </c>
      <c r="I2093" t="s">
        <v>2613</v>
      </c>
      <c r="J2093" t="s">
        <v>253</v>
      </c>
      <c r="K2093" t="s">
        <v>2822</v>
      </c>
    </row>
    <row r="2094" spans="1:11" x14ac:dyDescent="0.25">
      <c r="A2094" t="s">
        <v>833</v>
      </c>
      <c r="B2094" t="s">
        <v>214</v>
      </c>
      <c r="C2094">
        <v>0</v>
      </c>
      <c r="I2094" t="s">
        <v>2182</v>
      </c>
      <c r="J2094" t="s">
        <v>253</v>
      </c>
      <c r="K2094" t="s">
        <v>2822</v>
      </c>
    </row>
    <row r="2095" spans="1:11" x14ac:dyDescent="0.25">
      <c r="A2095" t="s">
        <v>834</v>
      </c>
      <c r="B2095" t="s">
        <v>214</v>
      </c>
      <c r="C2095">
        <v>21.82</v>
      </c>
      <c r="I2095" t="s">
        <v>2614</v>
      </c>
      <c r="J2095" t="s">
        <v>253</v>
      </c>
      <c r="K2095" t="s">
        <v>2822</v>
      </c>
    </row>
    <row r="2096" spans="1:11" x14ac:dyDescent="0.25">
      <c r="A2096" t="s">
        <v>835</v>
      </c>
      <c r="B2096" t="s">
        <v>214</v>
      </c>
      <c r="C2096">
        <v>10.91</v>
      </c>
      <c r="I2096" t="s">
        <v>767</v>
      </c>
      <c r="J2096" t="s">
        <v>253</v>
      </c>
      <c r="K2096" t="s">
        <v>2822</v>
      </c>
    </row>
    <row r="2097" spans="1:11" x14ac:dyDescent="0.25">
      <c r="A2097" t="s">
        <v>2483</v>
      </c>
      <c r="B2097" t="s">
        <v>214</v>
      </c>
      <c r="I2097" t="s">
        <v>768</v>
      </c>
      <c r="J2097" t="s">
        <v>253</v>
      </c>
      <c r="K2097" t="s">
        <v>2822</v>
      </c>
    </row>
    <row r="2098" spans="1:11" x14ac:dyDescent="0.25">
      <c r="A2098" t="s">
        <v>836</v>
      </c>
      <c r="B2098" t="s">
        <v>214</v>
      </c>
      <c r="C2098">
        <v>0</v>
      </c>
      <c r="I2098" t="s">
        <v>769</v>
      </c>
      <c r="J2098" t="s">
        <v>253</v>
      </c>
      <c r="K2098" t="s">
        <v>2822</v>
      </c>
    </row>
    <row r="2099" spans="1:11" x14ac:dyDescent="0.25">
      <c r="A2099" t="s">
        <v>837</v>
      </c>
      <c r="B2099" t="s">
        <v>214</v>
      </c>
      <c r="C2099">
        <v>0</v>
      </c>
      <c r="I2099" t="s">
        <v>770</v>
      </c>
      <c r="J2099" t="s">
        <v>253</v>
      </c>
      <c r="K2099" t="s">
        <v>2822</v>
      </c>
    </row>
    <row r="2100" spans="1:11" x14ac:dyDescent="0.25">
      <c r="A2100" t="s">
        <v>838</v>
      </c>
      <c r="B2100" t="s">
        <v>214</v>
      </c>
      <c r="C2100">
        <v>0.73</v>
      </c>
      <c r="I2100" t="s">
        <v>771</v>
      </c>
      <c r="J2100" t="s">
        <v>253</v>
      </c>
      <c r="K2100" t="s">
        <v>2822</v>
      </c>
    </row>
    <row r="2101" spans="1:11" x14ac:dyDescent="0.25">
      <c r="A2101" t="s">
        <v>839</v>
      </c>
      <c r="B2101" t="s">
        <v>214</v>
      </c>
      <c r="C2101">
        <v>3.64</v>
      </c>
      <c r="I2101" t="s">
        <v>772</v>
      </c>
      <c r="J2101" t="s">
        <v>253</v>
      </c>
      <c r="K2101" t="s">
        <v>2822</v>
      </c>
    </row>
    <row r="2102" spans="1:11" x14ac:dyDescent="0.25">
      <c r="A2102" t="s">
        <v>840</v>
      </c>
      <c r="B2102" t="s">
        <v>214</v>
      </c>
      <c r="C2102">
        <v>3.64</v>
      </c>
      <c r="I2102" t="s">
        <v>773</v>
      </c>
      <c r="J2102" t="s">
        <v>253</v>
      </c>
      <c r="K2102" t="s">
        <v>2822</v>
      </c>
    </row>
    <row r="2103" spans="1:11" x14ac:dyDescent="0.25">
      <c r="A2103" t="s">
        <v>841</v>
      </c>
      <c r="B2103" t="s">
        <v>214</v>
      </c>
      <c r="C2103">
        <v>47.27</v>
      </c>
      <c r="I2103" t="s">
        <v>774</v>
      </c>
      <c r="J2103" t="s">
        <v>253</v>
      </c>
      <c r="K2103" t="s">
        <v>2822</v>
      </c>
    </row>
    <row r="2104" spans="1:11" x14ac:dyDescent="0.25">
      <c r="A2104" t="s">
        <v>842</v>
      </c>
      <c r="B2104" t="s">
        <v>214</v>
      </c>
      <c r="C2104">
        <v>7.27</v>
      </c>
      <c r="I2104" t="s">
        <v>775</v>
      </c>
      <c r="J2104" t="s">
        <v>253</v>
      </c>
      <c r="K2104" t="s">
        <v>2822</v>
      </c>
    </row>
    <row r="2105" spans="1:11" x14ac:dyDescent="0.25">
      <c r="A2105" t="s">
        <v>1324</v>
      </c>
      <c r="B2105" t="s">
        <v>214</v>
      </c>
      <c r="C2105">
        <v>9.09</v>
      </c>
      <c r="I2105" t="s">
        <v>776</v>
      </c>
      <c r="J2105" t="s">
        <v>253</v>
      </c>
      <c r="K2105" t="s">
        <v>2822</v>
      </c>
    </row>
    <row r="2106" spans="1:11" x14ac:dyDescent="0.25">
      <c r="A2106" t="s">
        <v>843</v>
      </c>
      <c r="B2106" t="s">
        <v>214</v>
      </c>
      <c r="C2106">
        <v>0</v>
      </c>
      <c r="I2106" t="s">
        <v>777</v>
      </c>
      <c r="J2106" t="s">
        <v>253</v>
      </c>
      <c r="K2106" t="s">
        <v>2822</v>
      </c>
    </row>
    <row r="2107" spans="1:11" x14ac:dyDescent="0.25">
      <c r="A2107" t="s">
        <v>844</v>
      </c>
      <c r="B2107" t="s">
        <v>214</v>
      </c>
      <c r="C2107">
        <v>6.55</v>
      </c>
      <c r="I2107" t="s">
        <v>778</v>
      </c>
      <c r="J2107" t="s">
        <v>253</v>
      </c>
      <c r="K2107" t="s">
        <v>2822</v>
      </c>
    </row>
    <row r="2108" spans="1:11" x14ac:dyDescent="0.25">
      <c r="A2108" t="s">
        <v>845</v>
      </c>
      <c r="B2108" t="s">
        <v>214</v>
      </c>
      <c r="C2108">
        <v>0</v>
      </c>
      <c r="I2108" t="s">
        <v>2615</v>
      </c>
      <c r="J2108" t="s">
        <v>253</v>
      </c>
      <c r="K2108" t="s">
        <v>2822</v>
      </c>
    </row>
    <row r="2109" spans="1:11" x14ac:dyDescent="0.25">
      <c r="A2109" t="s">
        <v>846</v>
      </c>
      <c r="B2109" t="s">
        <v>214</v>
      </c>
      <c r="C2109">
        <v>0</v>
      </c>
      <c r="I2109" t="s">
        <v>779</v>
      </c>
      <c r="J2109" t="s">
        <v>253</v>
      </c>
      <c r="K2109" t="s">
        <v>2822</v>
      </c>
    </row>
    <row r="2110" spans="1:11" x14ac:dyDescent="0.25">
      <c r="A2110" t="s">
        <v>847</v>
      </c>
      <c r="B2110" t="s">
        <v>214</v>
      </c>
      <c r="C2110">
        <v>18.91</v>
      </c>
      <c r="I2110" t="s">
        <v>780</v>
      </c>
      <c r="J2110" t="s">
        <v>253</v>
      </c>
      <c r="K2110" t="s">
        <v>2822</v>
      </c>
    </row>
    <row r="2111" spans="1:11" x14ac:dyDescent="0.25">
      <c r="A2111" t="s">
        <v>848</v>
      </c>
      <c r="B2111" t="s">
        <v>214</v>
      </c>
      <c r="C2111">
        <v>1.45</v>
      </c>
      <c r="I2111" t="s">
        <v>781</v>
      </c>
      <c r="J2111" t="s">
        <v>253</v>
      </c>
      <c r="K2111" t="s">
        <v>2822</v>
      </c>
    </row>
    <row r="2112" spans="1:11" x14ac:dyDescent="0.25">
      <c r="A2112" t="s">
        <v>849</v>
      </c>
      <c r="B2112" t="s">
        <v>214</v>
      </c>
      <c r="C2112">
        <v>5.45</v>
      </c>
      <c r="I2112" t="s">
        <v>782</v>
      </c>
      <c r="J2112" t="s">
        <v>253</v>
      </c>
      <c r="K2112" t="s">
        <v>2822</v>
      </c>
    </row>
    <row r="2113" spans="1:11" x14ac:dyDescent="0.25">
      <c r="A2113" t="s">
        <v>850</v>
      </c>
      <c r="B2113" t="s">
        <v>214</v>
      </c>
      <c r="C2113">
        <v>1.0900000000000001</v>
      </c>
      <c r="I2113" t="s">
        <v>783</v>
      </c>
      <c r="J2113" t="s">
        <v>253</v>
      </c>
      <c r="K2113" t="s">
        <v>2822</v>
      </c>
    </row>
    <row r="2114" spans="1:11" x14ac:dyDescent="0.25">
      <c r="A2114" t="s">
        <v>851</v>
      </c>
      <c r="B2114" t="s">
        <v>214</v>
      </c>
      <c r="C2114">
        <v>3.64</v>
      </c>
      <c r="I2114" t="s">
        <v>784</v>
      </c>
      <c r="J2114" t="s">
        <v>253</v>
      </c>
      <c r="K2114" t="s">
        <v>2822</v>
      </c>
    </row>
    <row r="2115" spans="1:11" x14ac:dyDescent="0.25">
      <c r="A2115" t="s">
        <v>852</v>
      </c>
      <c r="B2115" t="s">
        <v>214</v>
      </c>
      <c r="C2115">
        <v>0</v>
      </c>
      <c r="I2115" t="s">
        <v>785</v>
      </c>
      <c r="J2115" t="s">
        <v>253</v>
      </c>
      <c r="K2115" t="s">
        <v>2822</v>
      </c>
    </row>
    <row r="2116" spans="1:11" x14ac:dyDescent="0.25">
      <c r="A2116" t="s">
        <v>2514</v>
      </c>
      <c r="B2116" t="s">
        <v>214</v>
      </c>
      <c r="C2116">
        <v>2.1800000000000002</v>
      </c>
      <c r="I2116" t="s">
        <v>786</v>
      </c>
      <c r="J2116" t="s">
        <v>253</v>
      </c>
      <c r="K2116" t="s">
        <v>2822</v>
      </c>
    </row>
    <row r="2117" spans="1:11" x14ac:dyDescent="0.25">
      <c r="A2117" t="s">
        <v>853</v>
      </c>
      <c r="B2117" t="s">
        <v>214</v>
      </c>
      <c r="C2117">
        <v>3.64</v>
      </c>
      <c r="I2117" t="s">
        <v>787</v>
      </c>
      <c r="J2117" t="s">
        <v>253</v>
      </c>
      <c r="K2117" t="s">
        <v>2822</v>
      </c>
    </row>
    <row r="2118" spans="1:11" x14ac:dyDescent="0.25">
      <c r="A2118" t="s">
        <v>854</v>
      </c>
      <c r="B2118" t="s">
        <v>214</v>
      </c>
      <c r="C2118">
        <v>0</v>
      </c>
      <c r="I2118" t="s">
        <v>788</v>
      </c>
      <c r="J2118" t="s">
        <v>253</v>
      </c>
      <c r="K2118" t="s">
        <v>2822</v>
      </c>
    </row>
    <row r="2119" spans="1:11" x14ac:dyDescent="0.25">
      <c r="A2119" t="s">
        <v>855</v>
      </c>
      <c r="B2119" t="s">
        <v>214</v>
      </c>
      <c r="C2119">
        <v>0</v>
      </c>
      <c r="I2119" t="s">
        <v>2616</v>
      </c>
      <c r="J2119" t="s">
        <v>253</v>
      </c>
      <c r="K2119" t="s">
        <v>2822</v>
      </c>
    </row>
    <row r="2120" spans="1:11" x14ac:dyDescent="0.25">
      <c r="A2120" t="s">
        <v>2049</v>
      </c>
      <c r="B2120" t="s">
        <v>214</v>
      </c>
      <c r="I2120" t="s">
        <v>789</v>
      </c>
      <c r="J2120" t="s">
        <v>253</v>
      </c>
      <c r="K2120" t="s">
        <v>2822</v>
      </c>
    </row>
    <row r="2121" spans="1:11" x14ac:dyDescent="0.25">
      <c r="A2121" t="s">
        <v>2050</v>
      </c>
      <c r="B2121" t="s">
        <v>214</v>
      </c>
      <c r="I2121" t="s">
        <v>790</v>
      </c>
      <c r="J2121" t="s">
        <v>253</v>
      </c>
      <c r="K2121" t="s">
        <v>2822</v>
      </c>
    </row>
    <row r="2122" spans="1:11" x14ac:dyDescent="0.25">
      <c r="A2122" t="s">
        <v>856</v>
      </c>
      <c r="B2122" t="s">
        <v>214</v>
      </c>
      <c r="C2122">
        <v>3.64</v>
      </c>
      <c r="I2122" t="s">
        <v>1307</v>
      </c>
      <c r="J2122" t="s">
        <v>253</v>
      </c>
      <c r="K2122" t="s">
        <v>2822</v>
      </c>
    </row>
    <row r="2123" spans="1:11" x14ac:dyDescent="0.25">
      <c r="A2123" t="s">
        <v>857</v>
      </c>
      <c r="B2123" t="s">
        <v>214</v>
      </c>
      <c r="C2123">
        <v>10.91</v>
      </c>
      <c r="I2123" t="s">
        <v>791</v>
      </c>
      <c r="J2123" t="s">
        <v>253</v>
      </c>
      <c r="K2123" t="s">
        <v>2822</v>
      </c>
    </row>
    <row r="2124" spans="1:11" x14ac:dyDescent="0.25">
      <c r="A2124" t="s">
        <v>2072</v>
      </c>
      <c r="B2124" t="s">
        <v>214</v>
      </c>
      <c r="I2124" t="s">
        <v>792</v>
      </c>
      <c r="J2124" t="s">
        <v>253</v>
      </c>
      <c r="K2124" t="s">
        <v>2822</v>
      </c>
    </row>
    <row r="2125" spans="1:11" x14ac:dyDescent="0.25">
      <c r="A2125" t="s">
        <v>1167</v>
      </c>
      <c r="B2125" t="s">
        <v>214</v>
      </c>
      <c r="C2125">
        <v>3.64</v>
      </c>
      <c r="I2125" t="s">
        <v>793</v>
      </c>
      <c r="J2125" t="s">
        <v>253</v>
      </c>
      <c r="K2125" t="s">
        <v>2822</v>
      </c>
    </row>
    <row r="2126" spans="1:11" x14ac:dyDescent="0.25">
      <c r="A2126" t="s">
        <v>858</v>
      </c>
      <c r="B2126" t="s">
        <v>214</v>
      </c>
      <c r="C2126">
        <v>3.64</v>
      </c>
      <c r="I2126" t="s">
        <v>794</v>
      </c>
      <c r="J2126" t="s">
        <v>253</v>
      </c>
      <c r="K2126" t="s">
        <v>2822</v>
      </c>
    </row>
    <row r="2127" spans="1:11" x14ac:dyDescent="0.25">
      <c r="A2127" t="s">
        <v>859</v>
      </c>
      <c r="B2127" t="s">
        <v>214</v>
      </c>
      <c r="C2127">
        <v>1.82</v>
      </c>
      <c r="I2127" t="s">
        <v>795</v>
      </c>
      <c r="J2127" t="s">
        <v>253</v>
      </c>
      <c r="K2127" t="s">
        <v>2822</v>
      </c>
    </row>
    <row r="2128" spans="1:11" x14ac:dyDescent="0.25">
      <c r="A2128" t="s">
        <v>860</v>
      </c>
      <c r="B2128" t="s">
        <v>214</v>
      </c>
      <c r="C2128">
        <v>1.82</v>
      </c>
      <c r="I2128" t="s">
        <v>796</v>
      </c>
      <c r="J2128" t="s">
        <v>253</v>
      </c>
      <c r="K2128" t="s">
        <v>2822</v>
      </c>
    </row>
    <row r="2129" spans="1:11" x14ac:dyDescent="0.25">
      <c r="A2129" t="s">
        <v>1325</v>
      </c>
      <c r="B2129" t="s">
        <v>214</v>
      </c>
      <c r="C2129">
        <v>2.1800000000000002</v>
      </c>
      <c r="I2129" t="s">
        <v>797</v>
      </c>
      <c r="J2129" t="s">
        <v>253</v>
      </c>
      <c r="K2129" t="s">
        <v>2822</v>
      </c>
    </row>
    <row r="2130" spans="1:11" x14ac:dyDescent="0.25">
      <c r="A2130" t="s">
        <v>861</v>
      </c>
      <c r="B2130" t="s">
        <v>214</v>
      </c>
      <c r="C2130">
        <v>0</v>
      </c>
      <c r="I2130" t="s">
        <v>798</v>
      </c>
      <c r="J2130" t="s">
        <v>253</v>
      </c>
      <c r="K2130" t="s">
        <v>2822</v>
      </c>
    </row>
    <row r="2131" spans="1:11" x14ac:dyDescent="0.25">
      <c r="A2131" t="s">
        <v>862</v>
      </c>
      <c r="B2131" t="s">
        <v>214</v>
      </c>
      <c r="C2131">
        <v>1.82</v>
      </c>
      <c r="I2131" t="s">
        <v>799</v>
      </c>
      <c r="J2131" t="s">
        <v>253</v>
      </c>
      <c r="K2131" t="s">
        <v>2822</v>
      </c>
    </row>
    <row r="2132" spans="1:11" x14ac:dyDescent="0.25">
      <c r="A2132" t="s">
        <v>863</v>
      </c>
      <c r="B2132" t="s">
        <v>214</v>
      </c>
      <c r="C2132">
        <v>0.36</v>
      </c>
      <c r="I2132" t="s">
        <v>800</v>
      </c>
      <c r="J2132" t="s">
        <v>253</v>
      </c>
      <c r="K2132" t="s">
        <v>2822</v>
      </c>
    </row>
    <row r="2133" spans="1:11" x14ac:dyDescent="0.25">
      <c r="A2133" t="s">
        <v>864</v>
      </c>
      <c r="B2133" t="s">
        <v>214</v>
      </c>
      <c r="C2133">
        <v>3.64</v>
      </c>
      <c r="I2133" t="s">
        <v>801</v>
      </c>
      <c r="J2133" t="s">
        <v>253</v>
      </c>
      <c r="K2133" t="s">
        <v>2822</v>
      </c>
    </row>
    <row r="2134" spans="1:11" x14ac:dyDescent="0.25">
      <c r="A2134" t="s">
        <v>865</v>
      </c>
      <c r="B2134" t="s">
        <v>214</v>
      </c>
      <c r="C2134">
        <v>2.1800000000000002</v>
      </c>
      <c r="I2134" t="s">
        <v>802</v>
      </c>
      <c r="J2134" t="s">
        <v>253</v>
      </c>
      <c r="K2134" t="s">
        <v>2822</v>
      </c>
    </row>
    <row r="2135" spans="1:11" x14ac:dyDescent="0.25">
      <c r="A2135" t="s">
        <v>866</v>
      </c>
      <c r="B2135" t="s">
        <v>214</v>
      </c>
      <c r="C2135">
        <v>1.45</v>
      </c>
      <c r="I2135" t="s">
        <v>803</v>
      </c>
      <c r="J2135" t="s">
        <v>253</v>
      </c>
      <c r="K2135" t="s">
        <v>2822</v>
      </c>
    </row>
    <row r="2136" spans="1:11" x14ac:dyDescent="0.25">
      <c r="A2136" t="s">
        <v>931</v>
      </c>
      <c r="B2136" t="s">
        <v>214</v>
      </c>
      <c r="C2136">
        <v>0.36</v>
      </c>
      <c r="I2136" t="s">
        <v>2047</v>
      </c>
      <c r="J2136" t="s">
        <v>253</v>
      </c>
      <c r="K2136" t="s">
        <v>2822</v>
      </c>
    </row>
    <row r="2137" spans="1:11" x14ac:dyDescent="0.25">
      <c r="A2137" t="s">
        <v>867</v>
      </c>
      <c r="B2137" t="s">
        <v>214</v>
      </c>
      <c r="C2137">
        <v>109.09</v>
      </c>
      <c r="I2137" t="s">
        <v>2422</v>
      </c>
      <c r="J2137" t="s">
        <v>253</v>
      </c>
      <c r="K2137" t="s">
        <v>2822</v>
      </c>
    </row>
    <row r="2138" spans="1:11" x14ac:dyDescent="0.25">
      <c r="A2138" t="s">
        <v>868</v>
      </c>
      <c r="B2138" t="s">
        <v>214</v>
      </c>
      <c r="C2138">
        <v>0.73</v>
      </c>
      <c r="I2138" t="s">
        <v>806</v>
      </c>
      <c r="J2138" t="s">
        <v>253</v>
      </c>
      <c r="K2138" t="s">
        <v>2822</v>
      </c>
    </row>
    <row r="2139" spans="1:11" x14ac:dyDescent="0.25">
      <c r="A2139" t="s">
        <v>869</v>
      </c>
      <c r="B2139" t="s">
        <v>214</v>
      </c>
      <c r="C2139">
        <v>0</v>
      </c>
      <c r="I2139" t="s">
        <v>807</v>
      </c>
      <c r="J2139" t="s">
        <v>253</v>
      </c>
      <c r="K2139" t="s">
        <v>2822</v>
      </c>
    </row>
    <row r="2140" spans="1:11" x14ac:dyDescent="0.25">
      <c r="A2140" t="s">
        <v>870</v>
      </c>
      <c r="B2140" t="s">
        <v>214</v>
      </c>
      <c r="C2140">
        <v>14.55</v>
      </c>
      <c r="I2140" t="s">
        <v>808</v>
      </c>
      <c r="J2140" t="s">
        <v>253</v>
      </c>
      <c r="K2140" t="s">
        <v>2822</v>
      </c>
    </row>
    <row r="2141" spans="1:11" x14ac:dyDescent="0.25">
      <c r="A2141" t="s">
        <v>871</v>
      </c>
      <c r="B2141" t="s">
        <v>214</v>
      </c>
      <c r="C2141">
        <v>3.64</v>
      </c>
      <c r="I2141" t="s">
        <v>809</v>
      </c>
      <c r="J2141" t="s">
        <v>253</v>
      </c>
      <c r="K2141" t="s">
        <v>2822</v>
      </c>
    </row>
    <row r="2142" spans="1:11" x14ac:dyDescent="0.25">
      <c r="A2142" t="s">
        <v>872</v>
      </c>
      <c r="B2142" t="s">
        <v>214</v>
      </c>
      <c r="C2142">
        <v>0.73</v>
      </c>
      <c r="I2142" t="s">
        <v>810</v>
      </c>
      <c r="J2142" t="s">
        <v>253</v>
      </c>
      <c r="K2142" t="s">
        <v>2822</v>
      </c>
    </row>
    <row r="2143" spans="1:11" x14ac:dyDescent="0.25">
      <c r="A2143" t="s">
        <v>873</v>
      </c>
      <c r="B2143" t="s">
        <v>214</v>
      </c>
      <c r="C2143">
        <v>36.36</v>
      </c>
      <c r="I2143" t="s">
        <v>811</v>
      </c>
      <c r="J2143" t="s">
        <v>253</v>
      </c>
      <c r="K2143" t="s">
        <v>2822</v>
      </c>
    </row>
    <row r="2144" spans="1:11" x14ac:dyDescent="0.25">
      <c r="A2144" t="s">
        <v>874</v>
      </c>
      <c r="B2144" t="s">
        <v>214</v>
      </c>
      <c r="C2144">
        <v>18.18</v>
      </c>
      <c r="I2144" t="s">
        <v>2482</v>
      </c>
      <c r="J2144" t="s">
        <v>253</v>
      </c>
      <c r="K2144" t="s">
        <v>2822</v>
      </c>
    </row>
    <row r="2145" spans="1:11" x14ac:dyDescent="0.25">
      <c r="A2145" t="s">
        <v>2053</v>
      </c>
      <c r="B2145" t="s">
        <v>214</v>
      </c>
      <c r="I2145" t="s">
        <v>812</v>
      </c>
      <c r="J2145" t="s">
        <v>253</v>
      </c>
      <c r="K2145" t="s">
        <v>2822</v>
      </c>
    </row>
    <row r="2146" spans="1:11" x14ac:dyDescent="0.25">
      <c r="A2146" t="s">
        <v>875</v>
      </c>
      <c r="B2146" t="s">
        <v>214</v>
      </c>
      <c r="C2146">
        <v>90.91</v>
      </c>
      <c r="I2146" t="s">
        <v>813</v>
      </c>
      <c r="J2146" t="s">
        <v>253</v>
      </c>
      <c r="K2146" t="s">
        <v>2822</v>
      </c>
    </row>
    <row r="2147" spans="1:11" x14ac:dyDescent="0.25">
      <c r="A2147" t="s">
        <v>876</v>
      </c>
      <c r="B2147" t="s">
        <v>214</v>
      </c>
      <c r="C2147">
        <v>109.09</v>
      </c>
      <c r="I2147" t="s">
        <v>814</v>
      </c>
      <c r="J2147" t="s">
        <v>253</v>
      </c>
      <c r="K2147" t="s">
        <v>2822</v>
      </c>
    </row>
    <row r="2148" spans="1:11" x14ac:dyDescent="0.25">
      <c r="A2148" t="s">
        <v>877</v>
      </c>
      <c r="B2148" t="s">
        <v>214</v>
      </c>
      <c r="C2148">
        <v>0</v>
      </c>
      <c r="I2148" t="s">
        <v>815</v>
      </c>
      <c r="J2148" t="s">
        <v>253</v>
      </c>
      <c r="K2148" t="s">
        <v>2822</v>
      </c>
    </row>
    <row r="2149" spans="1:11" x14ac:dyDescent="0.25">
      <c r="A2149" t="s">
        <v>2101</v>
      </c>
      <c r="B2149" t="s">
        <v>214</v>
      </c>
      <c r="I2149" t="s">
        <v>816</v>
      </c>
      <c r="J2149" t="s">
        <v>253</v>
      </c>
      <c r="K2149" t="s">
        <v>2822</v>
      </c>
    </row>
    <row r="2150" spans="1:11" x14ac:dyDescent="0.25">
      <c r="A2150" t="s">
        <v>2104</v>
      </c>
      <c r="B2150" t="s">
        <v>214</v>
      </c>
      <c r="I2150" t="s">
        <v>817</v>
      </c>
      <c r="J2150" t="s">
        <v>253</v>
      </c>
      <c r="K2150" t="s">
        <v>2822</v>
      </c>
    </row>
    <row r="2151" spans="1:11" x14ac:dyDescent="0.25">
      <c r="A2151" t="s">
        <v>878</v>
      </c>
      <c r="B2151" t="s">
        <v>214</v>
      </c>
      <c r="C2151">
        <v>0</v>
      </c>
      <c r="I2151" t="s">
        <v>818</v>
      </c>
      <c r="J2151" t="s">
        <v>253</v>
      </c>
      <c r="K2151" t="s">
        <v>2822</v>
      </c>
    </row>
    <row r="2152" spans="1:11" x14ac:dyDescent="0.25">
      <c r="A2152" t="s">
        <v>879</v>
      </c>
      <c r="B2152" t="s">
        <v>214</v>
      </c>
      <c r="C2152">
        <v>3.64</v>
      </c>
      <c r="I2152" t="s">
        <v>819</v>
      </c>
      <c r="J2152" t="s">
        <v>253</v>
      </c>
      <c r="K2152" t="s">
        <v>2822</v>
      </c>
    </row>
    <row r="2153" spans="1:11" x14ac:dyDescent="0.25">
      <c r="A2153" t="s">
        <v>880</v>
      </c>
      <c r="B2153" t="s">
        <v>214</v>
      </c>
      <c r="C2153">
        <v>21.82</v>
      </c>
      <c r="I2153" t="s">
        <v>820</v>
      </c>
      <c r="J2153" t="s">
        <v>253</v>
      </c>
      <c r="K2153" t="s">
        <v>2822</v>
      </c>
    </row>
    <row r="2154" spans="1:11" x14ac:dyDescent="0.25">
      <c r="A2154" t="s">
        <v>881</v>
      </c>
      <c r="B2154" t="s">
        <v>214</v>
      </c>
      <c r="C2154">
        <v>14.55</v>
      </c>
      <c r="I2154" t="s">
        <v>821</v>
      </c>
      <c r="J2154" t="s">
        <v>253</v>
      </c>
      <c r="K2154" t="s">
        <v>2822</v>
      </c>
    </row>
    <row r="2155" spans="1:11" x14ac:dyDescent="0.25">
      <c r="A2155" t="s">
        <v>882</v>
      </c>
      <c r="B2155" t="s">
        <v>214</v>
      </c>
      <c r="C2155">
        <v>127.27</v>
      </c>
      <c r="I2155" t="s">
        <v>822</v>
      </c>
      <c r="J2155" t="s">
        <v>253</v>
      </c>
      <c r="K2155" t="s">
        <v>2822</v>
      </c>
    </row>
    <row r="2156" spans="1:11" x14ac:dyDescent="0.25">
      <c r="A2156" t="s">
        <v>883</v>
      </c>
      <c r="B2156" t="s">
        <v>214</v>
      </c>
      <c r="C2156">
        <v>0</v>
      </c>
      <c r="I2156" t="s">
        <v>823</v>
      </c>
      <c r="J2156" t="s">
        <v>253</v>
      </c>
      <c r="K2156" t="s">
        <v>2822</v>
      </c>
    </row>
    <row r="2157" spans="1:11" x14ac:dyDescent="0.25">
      <c r="A2157" t="s">
        <v>884</v>
      </c>
      <c r="B2157" t="s">
        <v>214</v>
      </c>
      <c r="C2157">
        <v>0</v>
      </c>
      <c r="I2157" t="s">
        <v>824</v>
      </c>
      <c r="J2157" t="s">
        <v>253</v>
      </c>
      <c r="K2157" t="s">
        <v>2822</v>
      </c>
    </row>
    <row r="2158" spans="1:11" x14ac:dyDescent="0.25">
      <c r="A2158" t="s">
        <v>885</v>
      </c>
      <c r="B2158" t="s">
        <v>214</v>
      </c>
      <c r="C2158">
        <v>0</v>
      </c>
      <c r="I2158" t="s">
        <v>825</v>
      </c>
      <c r="J2158" t="s">
        <v>253</v>
      </c>
      <c r="K2158" t="s">
        <v>2822</v>
      </c>
    </row>
    <row r="2159" spans="1:11" x14ac:dyDescent="0.25">
      <c r="A2159" t="s">
        <v>886</v>
      </c>
      <c r="B2159" t="s">
        <v>214</v>
      </c>
      <c r="C2159">
        <v>0</v>
      </c>
      <c r="I2159" t="s">
        <v>826</v>
      </c>
      <c r="J2159" t="s">
        <v>253</v>
      </c>
      <c r="K2159" t="s">
        <v>2822</v>
      </c>
    </row>
    <row r="2160" spans="1:11" x14ac:dyDescent="0.25">
      <c r="A2160" t="s">
        <v>887</v>
      </c>
      <c r="B2160" t="s">
        <v>214</v>
      </c>
      <c r="C2160">
        <v>1.82</v>
      </c>
      <c r="I2160" t="s">
        <v>827</v>
      </c>
      <c r="J2160" t="s">
        <v>253</v>
      </c>
      <c r="K2160" t="s">
        <v>2822</v>
      </c>
    </row>
    <row r="2161" spans="1:11" x14ac:dyDescent="0.25">
      <c r="A2161" t="s">
        <v>888</v>
      </c>
      <c r="B2161" t="s">
        <v>214</v>
      </c>
      <c r="C2161">
        <v>14.55</v>
      </c>
      <c r="I2161" t="s">
        <v>828</v>
      </c>
      <c r="J2161" t="s">
        <v>253</v>
      </c>
      <c r="K2161" t="s">
        <v>2822</v>
      </c>
    </row>
    <row r="2162" spans="1:11" x14ac:dyDescent="0.25">
      <c r="A2162" t="s">
        <v>889</v>
      </c>
      <c r="B2162" t="s">
        <v>214</v>
      </c>
      <c r="C2162">
        <v>3.64</v>
      </c>
      <c r="I2162" t="s">
        <v>829</v>
      </c>
      <c r="J2162" t="s">
        <v>253</v>
      </c>
      <c r="K2162" t="s">
        <v>2822</v>
      </c>
    </row>
    <row r="2163" spans="1:11" x14ac:dyDescent="0.25">
      <c r="A2163" t="s">
        <v>890</v>
      </c>
      <c r="B2163" t="s">
        <v>214</v>
      </c>
      <c r="C2163">
        <v>5.45</v>
      </c>
      <c r="I2163" t="s">
        <v>830</v>
      </c>
      <c r="J2163" t="s">
        <v>253</v>
      </c>
      <c r="K2163" t="s">
        <v>2822</v>
      </c>
    </row>
    <row r="2164" spans="1:11" x14ac:dyDescent="0.25">
      <c r="A2164" t="s">
        <v>1328</v>
      </c>
      <c r="B2164" t="s">
        <v>214</v>
      </c>
      <c r="C2164">
        <v>3.64</v>
      </c>
      <c r="I2164" t="s">
        <v>831</v>
      </c>
      <c r="J2164" t="s">
        <v>253</v>
      </c>
      <c r="K2164" t="s">
        <v>2822</v>
      </c>
    </row>
    <row r="2165" spans="1:11" x14ac:dyDescent="0.25">
      <c r="A2165" t="s">
        <v>1980</v>
      </c>
      <c r="B2165" t="s">
        <v>214</v>
      </c>
      <c r="I2165" t="s">
        <v>2511</v>
      </c>
      <c r="J2165" t="s">
        <v>253</v>
      </c>
      <c r="K2165" t="s">
        <v>2822</v>
      </c>
    </row>
    <row r="2166" spans="1:11" x14ac:dyDescent="0.25">
      <c r="A2166" t="s">
        <v>891</v>
      </c>
      <c r="B2166" t="s">
        <v>214</v>
      </c>
      <c r="C2166">
        <v>4.3600000000000003</v>
      </c>
      <c r="I2166" t="s">
        <v>832</v>
      </c>
      <c r="J2166" t="s">
        <v>253</v>
      </c>
      <c r="K2166" t="s">
        <v>2822</v>
      </c>
    </row>
    <row r="2167" spans="1:11" x14ac:dyDescent="0.25">
      <c r="A2167" t="s">
        <v>1330</v>
      </c>
      <c r="B2167" t="s">
        <v>214</v>
      </c>
      <c r="C2167">
        <v>0.73</v>
      </c>
      <c r="I2167" t="s">
        <v>833</v>
      </c>
      <c r="J2167" t="s">
        <v>253</v>
      </c>
      <c r="K2167" t="s">
        <v>2822</v>
      </c>
    </row>
    <row r="2168" spans="1:11" x14ac:dyDescent="0.25">
      <c r="A2168" t="s">
        <v>2062</v>
      </c>
      <c r="B2168" t="s">
        <v>214</v>
      </c>
      <c r="I2168" t="s">
        <v>834</v>
      </c>
      <c r="J2168" t="s">
        <v>253</v>
      </c>
      <c r="K2168" t="s">
        <v>2822</v>
      </c>
    </row>
    <row r="2169" spans="1:11" x14ac:dyDescent="0.25">
      <c r="A2169" t="s">
        <v>2063</v>
      </c>
      <c r="B2169" t="s">
        <v>214</v>
      </c>
      <c r="I2169" t="s">
        <v>835</v>
      </c>
      <c r="J2169" t="s">
        <v>253</v>
      </c>
      <c r="K2169" t="s">
        <v>2822</v>
      </c>
    </row>
    <row r="2170" spans="1:11" x14ac:dyDescent="0.25">
      <c r="A2170" t="s">
        <v>892</v>
      </c>
      <c r="B2170" t="s">
        <v>214</v>
      </c>
      <c r="C2170">
        <v>18.91</v>
      </c>
      <c r="I2170" t="s">
        <v>2483</v>
      </c>
      <c r="J2170" t="s">
        <v>253</v>
      </c>
      <c r="K2170" t="s">
        <v>2822</v>
      </c>
    </row>
    <row r="2171" spans="1:11" x14ac:dyDescent="0.25">
      <c r="A2171" t="s">
        <v>1331</v>
      </c>
      <c r="B2171" t="s">
        <v>214</v>
      </c>
      <c r="C2171">
        <v>2.1800000000000002</v>
      </c>
      <c r="I2171" t="s">
        <v>836</v>
      </c>
      <c r="J2171" t="s">
        <v>253</v>
      </c>
      <c r="K2171" t="s">
        <v>2822</v>
      </c>
    </row>
    <row r="2172" spans="1:11" x14ac:dyDescent="0.25">
      <c r="A2172" t="s">
        <v>1332</v>
      </c>
      <c r="B2172" t="s">
        <v>214</v>
      </c>
      <c r="C2172">
        <v>1.0900000000000001</v>
      </c>
      <c r="I2172" t="s">
        <v>837</v>
      </c>
      <c r="J2172" t="s">
        <v>253</v>
      </c>
      <c r="K2172" t="s">
        <v>2822</v>
      </c>
    </row>
    <row r="2173" spans="1:11" x14ac:dyDescent="0.25">
      <c r="A2173" t="s">
        <v>1333</v>
      </c>
      <c r="B2173" t="s">
        <v>214</v>
      </c>
      <c r="C2173">
        <v>1.0900000000000001</v>
      </c>
      <c r="I2173" t="s">
        <v>838</v>
      </c>
      <c r="J2173" t="s">
        <v>253</v>
      </c>
      <c r="K2173" t="s">
        <v>2822</v>
      </c>
    </row>
    <row r="2174" spans="1:11" x14ac:dyDescent="0.25">
      <c r="A2174" t="s">
        <v>893</v>
      </c>
      <c r="B2174" t="s">
        <v>214</v>
      </c>
      <c r="C2174">
        <v>1.82</v>
      </c>
      <c r="I2174" t="s">
        <v>839</v>
      </c>
      <c r="J2174" t="s">
        <v>253</v>
      </c>
      <c r="K2174" t="s">
        <v>2822</v>
      </c>
    </row>
    <row r="2175" spans="1:11" x14ac:dyDescent="0.25">
      <c r="A2175" t="s">
        <v>894</v>
      </c>
      <c r="B2175" t="s">
        <v>214</v>
      </c>
      <c r="C2175">
        <v>2.1800000000000002</v>
      </c>
      <c r="I2175" t="s">
        <v>840</v>
      </c>
      <c r="J2175" t="s">
        <v>253</v>
      </c>
      <c r="K2175" t="s">
        <v>2822</v>
      </c>
    </row>
    <row r="2176" spans="1:11" x14ac:dyDescent="0.25">
      <c r="A2176" t="s">
        <v>895</v>
      </c>
      <c r="B2176" t="s">
        <v>214</v>
      </c>
      <c r="C2176">
        <v>2.91</v>
      </c>
      <c r="I2176" t="s">
        <v>841</v>
      </c>
      <c r="J2176" t="s">
        <v>253</v>
      </c>
      <c r="K2176" t="s">
        <v>2822</v>
      </c>
    </row>
    <row r="2177" spans="1:11" x14ac:dyDescent="0.25">
      <c r="A2177" t="s">
        <v>896</v>
      </c>
      <c r="B2177" t="s">
        <v>214</v>
      </c>
      <c r="C2177">
        <v>0.73</v>
      </c>
      <c r="I2177" t="s">
        <v>842</v>
      </c>
      <c r="J2177" t="s">
        <v>253</v>
      </c>
      <c r="K2177" t="s">
        <v>2822</v>
      </c>
    </row>
    <row r="2178" spans="1:11" x14ac:dyDescent="0.25">
      <c r="A2178" t="s">
        <v>897</v>
      </c>
      <c r="B2178" t="s">
        <v>214</v>
      </c>
      <c r="C2178">
        <v>0.36</v>
      </c>
      <c r="I2178" t="s">
        <v>1324</v>
      </c>
      <c r="J2178" t="s">
        <v>253</v>
      </c>
      <c r="K2178" t="s">
        <v>2822</v>
      </c>
    </row>
    <row r="2179" spans="1:11" x14ac:dyDescent="0.25">
      <c r="A2179" t="s">
        <v>898</v>
      </c>
      <c r="B2179" t="s">
        <v>214</v>
      </c>
      <c r="C2179">
        <v>1.45</v>
      </c>
      <c r="I2179" t="s">
        <v>843</v>
      </c>
      <c r="J2179" t="s">
        <v>253</v>
      </c>
      <c r="K2179" t="s">
        <v>2822</v>
      </c>
    </row>
    <row r="2180" spans="1:11" x14ac:dyDescent="0.25">
      <c r="A2180" t="s">
        <v>899</v>
      </c>
      <c r="B2180" t="s">
        <v>214</v>
      </c>
      <c r="C2180">
        <v>0.73</v>
      </c>
      <c r="I2180" t="s">
        <v>844</v>
      </c>
      <c r="J2180" t="s">
        <v>253</v>
      </c>
      <c r="K2180" t="s">
        <v>2822</v>
      </c>
    </row>
    <row r="2181" spans="1:11" x14ac:dyDescent="0.25">
      <c r="A2181" t="s">
        <v>900</v>
      </c>
      <c r="B2181" t="s">
        <v>214</v>
      </c>
      <c r="C2181">
        <v>0.73</v>
      </c>
      <c r="I2181" t="s">
        <v>845</v>
      </c>
      <c r="J2181" t="s">
        <v>253</v>
      </c>
      <c r="K2181" t="s">
        <v>2822</v>
      </c>
    </row>
    <row r="2182" spans="1:11" x14ac:dyDescent="0.25">
      <c r="A2182" t="s">
        <v>901</v>
      </c>
      <c r="B2182" t="s">
        <v>214</v>
      </c>
      <c r="C2182">
        <v>0</v>
      </c>
      <c r="I2182" t="s">
        <v>846</v>
      </c>
      <c r="J2182" t="s">
        <v>253</v>
      </c>
      <c r="K2182" t="s">
        <v>2822</v>
      </c>
    </row>
    <row r="2183" spans="1:11" x14ac:dyDescent="0.25">
      <c r="A2183" t="s">
        <v>902</v>
      </c>
      <c r="B2183" t="s">
        <v>214</v>
      </c>
      <c r="C2183">
        <v>29.09</v>
      </c>
      <c r="I2183" t="s">
        <v>847</v>
      </c>
      <c r="J2183" t="s">
        <v>253</v>
      </c>
      <c r="K2183" t="s">
        <v>2822</v>
      </c>
    </row>
    <row r="2184" spans="1:11" x14ac:dyDescent="0.25">
      <c r="A2184" t="s">
        <v>903</v>
      </c>
      <c r="B2184" t="s">
        <v>214</v>
      </c>
      <c r="C2184">
        <v>18.18</v>
      </c>
      <c r="I2184" t="s">
        <v>848</v>
      </c>
      <c r="J2184" t="s">
        <v>253</v>
      </c>
      <c r="K2184" t="s">
        <v>2822</v>
      </c>
    </row>
    <row r="2185" spans="1:11" x14ac:dyDescent="0.25">
      <c r="A2185" t="s">
        <v>904</v>
      </c>
      <c r="B2185" t="s">
        <v>214</v>
      </c>
      <c r="C2185">
        <v>5.45</v>
      </c>
      <c r="I2185" t="s">
        <v>849</v>
      </c>
      <c r="J2185" t="s">
        <v>253</v>
      </c>
      <c r="K2185" t="s">
        <v>2822</v>
      </c>
    </row>
    <row r="2186" spans="1:11" x14ac:dyDescent="0.25">
      <c r="A2186" t="s">
        <v>2055</v>
      </c>
      <c r="B2186" t="s">
        <v>214</v>
      </c>
      <c r="I2186" t="s">
        <v>850</v>
      </c>
      <c r="J2186" t="s">
        <v>253</v>
      </c>
      <c r="K2186" t="s">
        <v>2822</v>
      </c>
    </row>
    <row r="2187" spans="1:11" x14ac:dyDescent="0.25">
      <c r="A2187" t="s">
        <v>1860</v>
      </c>
      <c r="B2187" t="s">
        <v>214</v>
      </c>
      <c r="C2187">
        <v>363.64</v>
      </c>
      <c r="I2187" t="s">
        <v>851</v>
      </c>
      <c r="J2187" t="s">
        <v>253</v>
      </c>
      <c r="K2187" t="s">
        <v>2822</v>
      </c>
    </row>
    <row r="2188" spans="1:11" x14ac:dyDescent="0.25">
      <c r="A2188" t="s">
        <v>1360</v>
      </c>
      <c r="B2188" t="s">
        <v>253</v>
      </c>
      <c r="C2188">
        <v>100</v>
      </c>
      <c r="I2188" t="s">
        <v>852</v>
      </c>
      <c r="J2188" t="s">
        <v>253</v>
      </c>
      <c r="K2188" t="s">
        <v>2822</v>
      </c>
    </row>
    <row r="2189" spans="1:11" x14ac:dyDescent="0.25">
      <c r="A2189" t="s">
        <v>980</v>
      </c>
      <c r="B2189" t="s">
        <v>214</v>
      </c>
      <c r="C2189">
        <v>1.45</v>
      </c>
      <c r="I2189" t="s">
        <v>2514</v>
      </c>
      <c r="J2189" t="s">
        <v>253</v>
      </c>
      <c r="K2189" t="s">
        <v>2822</v>
      </c>
    </row>
    <row r="2190" spans="1:11" x14ac:dyDescent="0.25">
      <c r="A2190" t="s">
        <v>1075</v>
      </c>
      <c r="B2190" t="s">
        <v>214</v>
      </c>
      <c r="C2190">
        <v>1.82</v>
      </c>
      <c r="I2190" t="s">
        <v>853</v>
      </c>
      <c r="J2190" t="s">
        <v>253</v>
      </c>
      <c r="K2190" t="s">
        <v>2822</v>
      </c>
    </row>
    <row r="2191" spans="1:11" x14ac:dyDescent="0.25">
      <c r="A2191" t="s">
        <v>1076</v>
      </c>
      <c r="B2191" t="s">
        <v>214</v>
      </c>
      <c r="C2191">
        <v>7.27</v>
      </c>
      <c r="I2191" t="s">
        <v>854</v>
      </c>
      <c r="J2191" t="s">
        <v>253</v>
      </c>
      <c r="K2191" t="s">
        <v>2822</v>
      </c>
    </row>
    <row r="2192" spans="1:11" x14ac:dyDescent="0.25">
      <c r="A2192" t="s">
        <v>940</v>
      </c>
      <c r="B2192" t="s">
        <v>214</v>
      </c>
      <c r="C2192">
        <v>36.36</v>
      </c>
      <c r="I2192" t="s">
        <v>855</v>
      </c>
      <c r="J2192" t="s">
        <v>253</v>
      </c>
      <c r="K2192" t="s">
        <v>2822</v>
      </c>
    </row>
    <row r="2193" spans="1:11" x14ac:dyDescent="0.25">
      <c r="A2193" t="s">
        <v>1007</v>
      </c>
      <c r="B2193" t="s">
        <v>214</v>
      </c>
      <c r="C2193">
        <v>0</v>
      </c>
      <c r="I2193" t="s">
        <v>2049</v>
      </c>
      <c r="J2193" t="s">
        <v>253</v>
      </c>
      <c r="K2193" t="s">
        <v>2822</v>
      </c>
    </row>
    <row r="2194" spans="1:11" x14ac:dyDescent="0.25">
      <c r="A2194" t="s">
        <v>1008</v>
      </c>
      <c r="B2194" t="s">
        <v>214</v>
      </c>
      <c r="C2194">
        <v>0</v>
      </c>
      <c r="I2194" t="s">
        <v>2050</v>
      </c>
      <c r="J2194" t="s">
        <v>253</v>
      </c>
      <c r="K2194" t="s">
        <v>2822</v>
      </c>
    </row>
    <row r="2195" spans="1:11" x14ac:dyDescent="0.25">
      <c r="A2195" t="s">
        <v>1009</v>
      </c>
      <c r="B2195" t="s">
        <v>214</v>
      </c>
      <c r="C2195">
        <v>0</v>
      </c>
      <c r="I2195" t="s">
        <v>856</v>
      </c>
      <c r="J2195" t="s">
        <v>253</v>
      </c>
      <c r="K2195" t="s">
        <v>2822</v>
      </c>
    </row>
    <row r="2196" spans="1:11" x14ac:dyDescent="0.25">
      <c r="A2196" t="s">
        <v>2081</v>
      </c>
      <c r="B2196" t="s">
        <v>214</v>
      </c>
      <c r="I2196" t="s">
        <v>857</v>
      </c>
      <c r="J2196" t="s">
        <v>253</v>
      </c>
      <c r="K2196" t="s">
        <v>2822</v>
      </c>
    </row>
    <row r="2197" spans="1:11" x14ac:dyDescent="0.25">
      <c r="A2197" t="s">
        <v>986</v>
      </c>
      <c r="B2197" t="s">
        <v>214</v>
      </c>
      <c r="C2197">
        <v>54.55</v>
      </c>
      <c r="I2197" t="s">
        <v>2072</v>
      </c>
      <c r="J2197" t="s">
        <v>253</v>
      </c>
      <c r="K2197" t="s">
        <v>2822</v>
      </c>
    </row>
    <row r="2198" spans="1:11" x14ac:dyDescent="0.25">
      <c r="A2198" t="s">
        <v>1124</v>
      </c>
      <c r="B2198" t="s">
        <v>214</v>
      </c>
      <c r="C2198">
        <v>65.45</v>
      </c>
      <c r="I2198" t="s">
        <v>1167</v>
      </c>
      <c r="J2198" t="s">
        <v>253</v>
      </c>
      <c r="K2198" t="s">
        <v>2822</v>
      </c>
    </row>
    <row r="2199" spans="1:11" x14ac:dyDescent="0.25">
      <c r="A2199" t="s">
        <v>342</v>
      </c>
      <c r="B2199" t="s">
        <v>214</v>
      </c>
      <c r="C2199">
        <v>0</v>
      </c>
      <c r="I2199" t="s">
        <v>858</v>
      </c>
      <c r="J2199" t="s">
        <v>253</v>
      </c>
      <c r="K2199" t="s">
        <v>2822</v>
      </c>
    </row>
    <row r="2200" spans="1:11" x14ac:dyDescent="0.25">
      <c r="A2200" t="s">
        <v>2076</v>
      </c>
      <c r="B2200" t="s">
        <v>214</v>
      </c>
      <c r="I2200" t="s">
        <v>859</v>
      </c>
      <c r="J2200" t="s">
        <v>253</v>
      </c>
      <c r="K2200" t="s">
        <v>2822</v>
      </c>
    </row>
    <row r="2201" spans="1:11" x14ac:dyDescent="0.25">
      <c r="A2201" t="s">
        <v>1112</v>
      </c>
      <c r="B2201" t="s">
        <v>214</v>
      </c>
      <c r="C2201">
        <v>7.27</v>
      </c>
      <c r="I2201" t="s">
        <v>860</v>
      </c>
      <c r="J2201" t="s">
        <v>253</v>
      </c>
      <c r="K2201" t="s">
        <v>2822</v>
      </c>
    </row>
    <row r="2202" spans="1:11" x14ac:dyDescent="0.25">
      <c r="A2202" t="s">
        <v>1113</v>
      </c>
      <c r="B2202" t="s">
        <v>214</v>
      </c>
      <c r="C2202">
        <v>43.64</v>
      </c>
      <c r="I2202" t="s">
        <v>1325</v>
      </c>
      <c r="J2202" t="s">
        <v>253</v>
      </c>
      <c r="K2202" t="s">
        <v>2822</v>
      </c>
    </row>
    <row r="2203" spans="1:11" x14ac:dyDescent="0.25">
      <c r="A2203" t="s">
        <v>1114</v>
      </c>
      <c r="B2203" t="s">
        <v>214</v>
      </c>
      <c r="C2203">
        <v>32.729999999999997</v>
      </c>
      <c r="I2203" t="s">
        <v>861</v>
      </c>
      <c r="J2203" t="s">
        <v>253</v>
      </c>
      <c r="K2203" t="s">
        <v>2822</v>
      </c>
    </row>
    <row r="2204" spans="1:11" x14ac:dyDescent="0.25">
      <c r="A2204" t="s">
        <v>969</v>
      </c>
      <c r="B2204" t="s">
        <v>253</v>
      </c>
      <c r="C2204">
        <v>109.09</v>
      </c>
      <c r="I2204" t="s">
        <v>862</v>
      </c>
      <c r="J2204" t="s">
        <v>253</v>
      </c>
      <c r="K2204" t="s">
        <v>2822</v>
      </c>
    </row>
    <row r="2205" spans="1:11" x14ac:dyDescent="0.25">
      <c r="A2205" t="s">
        <v>987</v>
      </c>
      <c r="B2205" t="s">
        <v>214</v>
      </c>
      <c r="C2205">
        <v>0</v>
      </c>
      <c r="I2205" t="s">
        <v>863</v>
      </c>
      <c r="J2205" t="s">
        <v>253</v>
      </c>
      <c r="K2205" t="s">
        <v>2822</v>
      </c>
    </row>
    <row r="2206" spans="1:11" x14ac:dyDescent="0.25">
      <c r="A2206" t="s">
        <v>988</v>
      </c>
      <c r="B2206" t="s">
        <v>253</v>
      </c>
      <c r="C2206">
        <v>16.670000000000002</v>
      </c>
      <c r="I2206" t="s">
        <v>864</v>
      </c>
      <c r="J2206" t="s">
        <v>253</v>
      </c>
      <c r="K2206" t="s">
        <v>2822</v>
      </c>
    </row>
    <row r="2207" spans="1:11" x14ac:dyDescent="0.25">
      <c r="A2207" t="s">
        <v>979</v>
      </c>
      <c r="B2207" t="s">
        <v>214</v>
      </c>
      <c r="C2207">
        <v>2.1800000000000002</v>
      </c>
      <c r="I2207" t="s">
        <v>865</v>
      </c>
      <c r="J2207" t="s">
        <v>253</v>
      </c>
      <c r="K2207" t="s">
        <v>2822</v>
      </c>
    </row>
    <row r="2208" spans="1:11" x14ac:dyDescent="0.25">
      <c r="A2208" t="s">
        <v>1006</v>
      </c>
      <c r="B2208" t="s">
        <v>253</v>
      </c>
      <c r="C2208">
        <v>0</v>
      </c>
      <c r="I2208" t="s">
        <v>866</v>
      </c>
      <c r="J2208" t="s">
        <v>253</v>
      </c>
      <c r="K2208" t="s">
        <v>2822</v>
      </c>
    </row>
    <row r="2209" spans="1:11" x14ac:dyDescent="0.25">
      <c r="A2209" t="s">
        <v>1111</v>
      </c>
      <c r="B2209" t="s">
        <v>214</v>
      </c>
      <c r="C2209">
        <v>0.73</v>
      </c>
      <c r="I2209" t="s">
        <v>931</v>
      </c>
      <c r="J2209" t="s">
        <v>253</v>
      </c>
      <c r="K2209" t="s">
        <v>2822</v>
      </c>
    </row>
    <row r="2210" spans="1:11" x14ac:dyDescent="0.25">
      <c r="A2210" t="s">
        <v>1361</v>
      </c>
      <c r="B2210" t="s">
        <v>253</v>
      </c>
      <c r="C2210">
        <v>133.33000000000001</v>
      </c>
      <c r="I2210" t="s">
        <v>867</v>
      </c>
      <c r="J2210" t="s">
        <v>253</v>
      </c>
      <c r="K2210" t="s">
        <v>2822</v>
      </c>
    </row>
    <row r="2211" spans="1:11" x14ac:dyDescent="0.25">
      <c r="A2211" t="s">
        <v>1110</v>
      </c>
      <c r="B2211" t="s">
        <v>214</v>
      </c>
      <c r="C2211">
        <v>1.0900000000000001</v>
      </c>
      <c r="I2211" t="s">
        <v>868</v>
      </c>
      <c r="J2211" t="s">
        <v>253</v>
      </c>
      <c r="K2211" t="s">
        <v>2822</v>
      </c>
    </row>
    <row r="2212" spans="1:11" x14ac:dyDescent="0.25">
      <c r="A2212" t="s">
        <v>1571</v>
      </c>
      <c r="B2212" t="s">
        <v>253</v>
      </c>
      <c r="C2212">
        <v>100</v>
      </c>
      <c r="I2212" t="s">
        <v>869</v>
      </c>
      <c r="J2212" t="s">
        <v>253</v>
      </c>
      <c r="K2212" t="s">
        <v>2822</v>
      </c>
    </row>
    <row r="2213" spans="1:11" x14ac:dyDescent="0.25">
      <c r="A2213" t="s">
        <v>966</v>
      </c>
      <c r="B2213" t="s">
        <v>214</v>
      </c>
      <c r="C2213">
        <v>2.1800000000000002</v>
      </c>
      <c r="I2213" t="s">
        <v>870</v>
      </c>
      <c r="J2213" t="s">
        <v>253</v>
      </c>
      <c r="K2213" t="s">
        <v>2822</v>
      </c>
    </row>
    <row r="2214" spans="1:11" x14ac:dyDescent="0.25">
      <c r="A2214" t="s">
        <v>1039</v>
      </c>
      <c r="B2214" t="s">
        <v>214</v>
      </c>
      <c r="C2214">
        <v>1.82</v>
      </c>
      <c r="I2214" t="s">
        <v>871</v>
      </c>
      <c r="J2214" t="s">
        <v>253</v>
      </c>
      <c r="K2214" t="s">
        <v>2822</v>
      </c>
    </row>
    <row r="2215" spans="1:11" x14ac:dyDescent="0.25">
      <c r="A2215" t="s">
        <v>2105</v>
      </c>
      <c r="B2215" t="s">
        <v>214</v>
      </c>
      <c r="I2215" t="s">
        <v>872</v>
      </c>
      <c r="J2215" t="s">
        <v>253</v>
      </c>
      <c r="K2215" t="s">
        <v>2822</v>
      </c>
    </row>
    <row r="2216" spans="1:11" x14ac:dyDescent="0.25">
      <c r="A2216" t="s">
        <v>941</v>
      </c>
      <c r="B2216" t="s">
        <v>214</v>
      </c>
      <c r="C2216">
        <v>0</v>
      </c>
      <c r="I2216" t="s">
        <v>873</v>
      </c>
      <c r="J2216" t="s">
        <v>253</v>
      </c>
      <c r="K2216" t="s">
        <v>2822</v>
      </c>
    </row>
    <row r="2217" spans="1:11" x14ac:dyDescent="0.25">
      <c r="A2217" t="s">
        <v>2421</v>
      </c>
      <c r="B2217" t="s">
        <v>214</v>
      </c>
      <c r="I2217" t="s">
        <v>874</v>
      </c>
      <c r="J2217" t="s">
        <v>253</v>
      </c>
      <c r="K2217" t="s">
        <v>2822</v>
      </c>
    </row>
    <row r="2218" spans="1:11" x14ac:dyDescent="0.25">
      <c r="A2218" t="s">
        <v>2617</v>
      </c>
      <c r="B2218" t="s">
        <v>214</v>
      </c>
      <c r="I2218" t="s">
        <v>2053</v>
      </c>
      <c r="J2218" t="s">
        <v>253</v>
      </c>
      <c r="K2218" t="s">
        <v>2822</v>
      </c>
    </row>
    <row r="2219" spans="1:11" x14ac:dyDescent="0.25">
      <c r="A2219" t="s">
        <v>2618</v>
      </c>
      <c r="B2219" t="s">
        <v>214</v>
      </c>
      <c r="I2219" t="s">
        <v>875</v>
      </c>
      <c r="J2219" t="s">
        <v>253</v>
      </c>
      <c r="K2219" t="s">
        <v>2822</v>
      </c>
    </row>
    <row r="2220" spans="1:11" x14ac:dyDescent="0.25">
      <c r="A2220" t="s">
        <v>1881</v>
      </c>
      <c r="B2220" t="s">
        <v>214</v>
      </c>
      <c r="I2220" t="s">
        <v>876</v>
      </c>
      <c r="J2220" t="s">
        <v>253</v>
      </c>
      <c r="K2220" t="s">
        <v>2822</v>
      </c>
    </row>
    <row r="2221" spans="1:11" x14ac:dyDescent="0.25">
      <c r="A2221" t="s">
        <v>2535</v>
      </c>
      <c r="B2221" t="s">
        <v>214</v>
      </c>
      <c r="I2221" t="s">
        <v>877</v>
      </c>
      <c r="J2221" t="s">
        <v>253</v>
      </c>
      <c r="K2221" t="s">
        <v>2822</v>
      </c>
    </row>
    <row r="2222" spans="1:11" x14ac:dyDescent="0.25">
      <c r="A2222" t="s">
        <v>1906</v>
      </c>
      <c r="B2222" t="s">
        <v>214</v>
      </c>
      <c r="I2222" t="s">
        <v>2101</v>
      </c>
      <c r="J2222" t="s">
        <v>253</v>
      </c>
      <c r="K2222" t="s">
        <v>2822</v>
      </c>
    </row>
    <row r="2223" spans="1:11" x14ac:dyDescent="0.25">
      <c r="A2223" t="s">
        <v>1908</v>
      </c>
      <c r="B2223" t="s">
        <v>214</v>
      </c>
      <c r="I2223" t="s">
        <v>2104</v>
      </c>
      <c r="J2223" t="s">
        <v>253</v>
      </c>
      <c r="K2223" t="s">
        <v>2822</v>
      </c>
    </row>
    <row r="2224" spans="1:11" x14ac:dyDescent="0.25">
      <c r="A2224" t="s">
        <v>1859</v>
      </c>
      <c r="B2224" t="s">
        <v>214</v>
      </c>
      <c r="I2224" t="s">
        <v>878</v>
      </c>
      <c r="J2224" t="s">
        <v>253</v>
      </c>
      <c r="K2224" t="s">
        <v>2822</v>
      </c>
    </row>
    <row r="2225" spans="1:11" x14ac:dyDescent="0.25">
      <c r="A2225" t="s">
        <v>1885</v>
      </c>
      <c r="B2225" t="s">
        <v>214</v>
      </c>
      <c r="I2225" t="s">
        <v>879</v>
      </c>
      <c r="J2225" t="s">
        <v>253</v>
      </c>
      <c r="K2225" t="s">
        <v>2822</v>
      </c>
    </row>
    <row r="2226" spans="1:11" x14ac:dyDescent="0.25">
      <c r="A2226" t="s">
        <v>2537</v>
      </c>
      <c r="B2226" t="s">
        <v>214</v>
      </c>
      <c r="I2226" t="s">
        <v>880</v>
      </c>
      <c r="J2226" t="s">
        <v>253</v>
      </c>
      <c r="K2226" t="s">
        <v>2822</v>
      </c>
    </row>
    <row r="2227" spans="1:11" x14ac:dyDescent="0.25">
      <c r="A2227" t="s">
        <v>1972</v>
      </c>
      <c r="B2227" t="s">
        <v>214</v>
      </c>
      <c r="I2227" t="s">
        <v>881</v>
      </c>
      <c r="J2227" t="s">
        <v>253</v>
      </c>
      <c r="K2227" t="s">
        <v>2822</v>
      </c>
    </row>
    <row r="2228" spans="1:11" x14ac:dyDescent="0.25">
      <c r="A2228" t="s">
        <v>1889</v>
      </c>
      <c r="B2228" t="s">
        <v>214</v>
      </c>
      <c r="I2228" t="s">
        <v>882</v>
      </c>
      <c r="J2228" t="s">
        <v>253</v>
      </c>
      <c r="K2228" t="s">
        <v>2822</v>
      </c>
    </row>
    <row r="2229" spans="1:11" x14ac:dyDescent="0.25">
      <c r="A2229" t="s">
        <v>1897</v>
      </c>
      <c r="B2229" t="s">
        <v>214</v>
      </c>
      <c r="I2229" t="s">
        <v>883</v>
      </c>
      <c r="J2229" t="s">
        <v>253</v>
      </c>
      <c r="K2229" t="s">
        <v>2822</v>
      </c>
    </row>
    <row r="2230" spans="1:11" x14ac:dyDescent="0.25">
      <c r="A2230" t="s">
        <v>1890</v>
      </c>
      <c r="B2230" t="s">
        <v>214</v>
      </c>
      <c r="I2230" t="s">
        <v>884</v>
      </c>
      <c r="J2230" t="s">
        <v>253</v>
      </c>
      <c r="K2230" t="s">
        <v>2822</v>
      </c>
    </row>
    <row r="2231" spans="1:11" x14ac:dyDescent="0.25">
      <c r="A2231" t="s">
        <v>1868</v>
      </c>
      <c r="B2231" t="s">
        <v>214</v>
      </c>
      <c r="I2231" t="s">
        <v>885</v>
      </c>
      <c r="J2231" t="s">
        <v>253</v>
      </c>
      <c r="K2231" t="s">
        <v>2822</v>
      </c>
    </row>
    <row r="2232" spans="1:11" x14ac:dyDescent="0.25">
      <c r="A2232" t="s">
        <v>1869</v>
      </c>
      <c r="B2232" t="s">
        <v>214</v>
      </c>
      <c r="I2232" t="s">
        <v>886</v>
      </c>
      <c r="J2232" t="s">
        <v>253</v>
      </c>
      <c r="K2232" t="s">
        <v>2822</v>
      </c>
    </row>
    <row r="2233" spans="1:11" x14ac:dyDescent="0.25">
      <c r="A2233" t="s">
        <v>1905</v>
      </c>
      <c r="B2233" t="s">
        <v>214</v>
      </c>
      <c r="I2233" t="s">
        <v>887</v>
      </c>
      <c r="J2233" t="s">
        <v>253</v>
      </c>
      <c r="K2233" t="s">
        <v>2822</v>
      </c>
    </row>
    <row r="2234" spans="1:11" x14ac:dyDescent="0.25">
      <c r="A2234" t="s">
        <v>1893</v>
      </c>
      <c r="B2234" t="s">
        <v>214</v>
      </c>
      <c r="I2234" t="s">
        <v>888</v>
      </c>
      <c r="J2234" t="s">
        <v>253</v>
      </c>
      <c r="K2234" t="s">
        <v>2822</v>
      </c>
    </row>
    <row r="2235" spans="1:11" x14ac:dyDescent="0.25">
      <c r="A2235" t="s">
        <v>1975</v>
      </c>
      <c r="B2235" t="s">
        <v>214</v>
      </c>
      <c r="I2235" t="s">
        <v>889</v>
      </c>
      <c r="J2235" t="s">
        <v>253</v>
      </c>
      <c r="K2235" t="s">
        <v>2822</v>
      </c>
    </row>
    <row r="2236" spans="1:11" x14ac:dyDescent="0.25">
      <c r="A2236" t="s">
        <v>1973</v>
      </c>
      <c r="B2236" t="s">
        <v>214</v>
      </c>
      <c r="I2236" t="s">
        <v>890</v>
      </c>
      <c r="J2236" t="s">
        <v>253</v>
      </c>
      <c r="K2236" t="s">
        <v>2822</v>
      </c>
    </row>
    <row r="2237" spans="1:11" x14ac:dyDescent="0.25">
      <c r="A2237" t="s">
        <v>1903</v>
      </c>
      <c r="B2237" t="s">
        <v>214</v>
      </c>
      <c r="I2237" t="s">
        <v>1328</v>
      </c>
      <c r="J2237" t="s">
        <v>253</v>
      </c>
      <c r="K2237" t="s">
        <v>2822</v>
      </c>
    </row>
    <row r="2238" spans="1:11" x14ac:dyDescent="0.25">
      <c r="A2238" t="s">
        <v>1978</v>
      </c>
      <c r="B2238" t="s">
        <v>214</v>
      </c>
      <c r="I2238" t="s">
        <v>1980</v>
      </c>
      <c r="J2238" t="s">
        <v>253</v>
      </c>
      <c r="K2238" t="s">
        <v>2822</v>
      </c>
    </row>
    <row r="2239" spans="1:11" x14ac:dyDescent="0.25">
      <c r="A2239" t="s">
        <v>1914</v>
      </c>
      <c r="B2239" t="s">
        <v>214</v>
      </c>
      <c r="I2239" t="s">
        <v>891</v>
      </c>
      <c r="J2239" t="s">
        <v>253</v>
      </c>
      <c r="K2239" t="s">
        <v>2822</v>
      </c>
    </row>
    <row r="2240" spans="1:11" x14ac:dyDescent="0.25">
      <c r="A2240" t="s">
        <v>1904</v>
      </c>
      <c r="B2240" t="s">
        <v>214</v>
      </c>
      <c r="I2240" t="s">
        <v>1330</v>
      </c>
      <c r="J2240" t="s">
        <v>253</v>
      </c>
      <c r="K2240" t="s">
        <v>2822</v>
      </c>
    </row>
    <row r="2241" spans="1:11" x14ac:dyDescent="0.25">
      <c r="A2241" t="s">
        <v>1894</v>
      </c>
      <c r="B2241" t="s">
        <v>214</v>
      </c>
      <c r="I2241" t="s">
        <v>2062</v>
      </c>
      <c r="J2241" t="s">
        <v>253</v>
      </c>
      <c r="K2241" t="s">
        <v>2822</v>
      </c>
    </row>
    <row r="2242" spans="1:11" x14ac:dyDescent="0.25">
      <c r="A2242" t="s">
        <v>1899</v>
      </c>
      <c r="B2242" t="s">
        <v>214</v>
      </c>
      <c r="I2242" t="s">
        <v>2063</v>
      </c>
      <c r="J2242" t="s">
        <v>253</v>
      </c>
      <c r="K2242" t="s">
        <v>2822</v>
      </c>
    </row>
    <row r="2243" spans="1:11" x14ac:dyDescent="0.25">
      <c r="A2243" t="s">
        <v>1902</v>
      </c>
      <c r="B2243" t="s">
        <v>214</v>
      </c>
      <c r="I2243" t="s">
        <v>892</v>
      </c>
      <c r="J2243" t="s">
        <v>253</v>
      </c>
      <c r="K2243" t="s">
        <v>2822</v>
      </c>
    </row>
    <row r="2244" spans="1:11" x14ac:dyDescent="0.25">
      <c r="A2244" t="s">
        <v>1977</v>
      </c>
      <c r="B2244" t="s">
        <v>214</v>
      </c>
      <c r="I2244" t="s">
        <v>1331</v>
      </c>
      <c r="J2244" t="s">
        <v>253</v>
      </c>
      <c r="K2244" t="s">
        <v>2822</v>
      </c>
    </row>
    <row r="2245" spans="1:11" x14ac:dyDescent="0.25">
      <c r="A2245" t="s">
        <v>1907</v>
      </c>
      <c r="B2245" t="s">
        <v>214</v>
      </c>
      <c r="I2245" t="s">
        <v>1332</v>
      </c>
      <c r="J2245" t="s">
        <v>253</v>
      </c>
      <c r="K2245" t="s">
        <v>2822</v>
      </c>
    </row>
    <row r="2246" spans="1:11" x14ac:dyDescent="0.25">
      <c r="A2246" t="s">
        <v>1976</v>
      </c>
      <c r="B2246" t="s">
        <v>214</v>
      </c>
      <c r="I2246" t="s">
        <v>1333</v>
      </c>
      <c r="J2246" t="s">
        <v>253</v>
      </c>
      <c r="K2246" t="s">
        <v>2822</v>
      </c>
    </row>
    <row r="2247" spans="1:11" x14ac:dyDescent="0.25">
      <c r="A2247" t="s">
        <v>2538</v>
      </c>
      <c r="B2247" t="s">
        <v>214</v>
      </c>
      <c r="I2247" t="s">
        <v>893</v>
      </c>
      <c r="J2247" t="s">
        <v>253</v>
      </c>
      <c r="K2247" t="s">
        <v>2822</v>
      </c>
    </row>
    <row r="2248" spans="1:11" x14ac:dyDescent="0.25">
      <c r="A2248" t="s">
        <v>2534</v>
      </c>
      <c r="B2248" t="s">
        <v>214</v>
      </c>
      <c r="I2248" t="s">
        <v>894</v>
      </c>
      <c r="J2248" t="s">
        <v>253</v>
      </c>
      <c r="K2248" t="s">
        <v>2822</v>
      </c>
    </row>
    <row r="2249" spans="1:11" x14ac:dyDescent="0.25">
      <c r="A2249" t="s">
        <v>1867</v>
      </c>
      <c r="B2249" t="s">
        <v>214</v>
      </c>
      <c r="I2249" t="s">
        <v>895</v>
      </c>
      <c r="J2249" t="s">
        <v>253</v>
      </c>
      <c r="K2249" t="s">
        <v>2822</v>
      </c>
    </row>
    <row r="2250" spans="1:11" x14ac:dyDescent="0.25">
      <c r="A2250" t="s">
        <v>1921</v>
      </c>
      <c r="B2250" t="s">
        <v>253</v>
      </c>
      <c r="I2250" t="s">
        <v>896</v>
      </c>
      <c r="J2250" t="s">
        <v>253</v>
      </c>
      <c r="K2250" t="s">
        <v>2822</v>
      </c>
    </row>
    <row r="2251" spans="1:11" x14ac:dyDescent="0.25">
      <c r="A2251" t="s">
        <v>1922</v>
      </c>
      <c r="B2251" t="s">
        <v>253</v>
      </c>
      <c r="I2251" t="s">
        <v>897</v>
      </c>
      <c r="J2251" t="s">
        <v>253</v>
      </c>
      <c r="K2251" t="s">
        <v>2822</v>
      </c>
    </row>
    <row r="2252" spans="1:11" x14ac:dyDescent="0.25">
      <c r="A2252" t="s">
        <v>1923</v>
      </c>
      <c r="B2252" t="s">
        <v>253</v>
      </c>
      <c r="I2252" t="s">
        <v>898</v>
      </c>
      <c r="J2252" t="s">
        <v>253</v>
      </c>
      <c r="K2252" t="s">
        <v>2822</v>
      </c>
    </row>
    <row r="2253" spans="1:11" x14ac:dyDescent="0.25">
      <c r="A2253" t="s">
        <v>1926</v>
      </c>
      <c r="B2253" t="s">
        <v>253</v>
      </c>
      <c r="I2253" t="s">
        <v>899</v>
      </c>
      <c r="J2253" t="s">
        <v>253</v>
      </c>
      <c r="K2253" t="s">
        <v>2822</v>
      </c>
    </row>
    <row r="2254" spans="1:11" x14ac:dyDescent="0.25">
      <c r="A2254" t="s">
        <v>1938</v>
      </c>
      <c r="B2254" t="s">
        <v>214</v>
      </c>
      <c r="C2254">
        <v>2.91</v>
      </c>
      <c r="I2254" t="s">
        <v>900</v>
      </c>
      <c r="J2254" t="s">
        <v>253</v>
      </c>
      <c r="K2254" t="s">
        <v>2822</v>
      </c>
    </row>
    <row r="2255" spans="1:11" x14ac:dyDescent="0.25">
      <c r="A2255" t="s">
        <v>2548</v>
      </c>
      <c r="B2255" t="s">
        <v>253</v>
      </c>
      <c r="I2255" t="s">
        <v>901</v>
      </c>
      <c r="J2255" t="s">
        <v>253</v>
      </c>
      <c r="K2255" t="s">
        <v>2822</v>
      </c>
    </row>
    <row r="2256" spans="1:11" x14ac:dyDescent="0.25">
      <c r="A2256" t="s">
        <v>2558</v>
      </c>
      <c r="B2256" t="s">
        <v>253</v>
      </c>
      <c r="I2256" t="s">
        <v>902</v>
      </c>
      <c r="J2256" t="s">
        <v>253</v>
      </c>
      <c r="K2256" t="s">
        <v>2822</v>
      </c>
    </row>
    <row r="2257" spans="1:11" x14ac:dyDescent="0.25">
      <c r="A2257" t="s">
        <v>2560</v>
      </c>
      <c r="B2257" t="s">
        <v>253</v>
      </c>
      <c r="I2257" t="s">
        <v>903</v>
      </c>
      <c r="J2257" t="s">
        <v>253</v>
      </c>
      <c r="K2257" t="s">
        <v>2822</v>
      </c>
    </row>
    <row r="2258" spans="1:11" x14ac:dyDescent="0.25">
      <c r="A2258" t="s">
        <v>2559</v>
      </c>
      <c r="B2258" t="s">
        <v>253</v>
      </c>
      <c r="I2258" t="s">
        <v>904</v>
      </c>
      <c r="J2258" t="s">
        <v>253</v>
      </c>
      <c r="K2258" t="s">
        <v>2822</v>
      </c>
    </row>
    <row r="2259" spans="1:11" x14ac:dyDescent="0.25">
      <c r="A2259" t="s">
        <v>2547</v>
      </c>
      <c r="B2259" t="s">
        <v>253</v>
      </c>
      <c r="I2259" t="s">
        <v>2055</v>
      </c>
      <c r="J2259" t="s">
        <v>253</v>
      </c>
      <c r="K2259" t="s">
        <v>2822</v>
      </c>
    </row>
    <row r="2260" spans="1:11" x14ac:dyDescent="0.25">
      <c r="A2260" t="s">
        <v>2557</v>
      </c>
      <c r="B2260" t="s">
        <v>253</v>
      </c>
      <c r="I2260" t="s">
        <v>1860</v>
      </c>
      <c r="J2260" t="s">
        <v>253</v>
      </c>
      <c r="K2260" t="s">
        <v>2822</v>
      </c>
    </row>
    <row r="2261" spans="1:11" x14ac:dyDescent="0.25">
      <c r="A2261" t="s">
        <v>2556</v>
      </c>
      <c r="B2261" t="s">
        <v>253</v>
      </c>
      <c r="I2261" t="s">
        <v>1360</v>
      </c>
      <c r="J2261" t="s">
        <v>253</v>
      </c>
      <c r="K2261" t="s">
        <v>2822</v>
      </c>
    </row>
    <row r="2262" spans="1:11" x14ac:dyDescent="0.25">
      <c r="A2262" t="s">
        <v>2555</v>
      </c>
      <c r="B2262" t="s">
        <v>253</v>
      </c>
      <c r="I2262" t="s">
        <v>980</v>
      </c>
      <c r="J2262" t="s">
        <v>253</v>
      </c>
      <c r="K2262" t="s">
        <v>2822</v>
      </c>
    </row>
    <row r="2263" spans="1:11" x14ac:dyDescent="0.25">
      <c r="A2263" t="s">
        <v>2554</v>
      </c>
      <c r="B2263" t="s">
        <v>253</v>
      </c>
      <c r="I2263" t="s">
        <v>1075</v>
      </c>
      <c r="J2263" t="s">
        <v>253</v>
      </c>
      <c r="K2263" t="s">
        <v>2822</v>
      </c>
    </row>
    <row r="2264" spans="1:11" x14ac:dyDescent="0.25">
      <c r="A2264" t="s">
        <v>2553</v>
      </c>
      <c r="B2264" t="s">
        <v>253</v>
      </c>
      <c r="I2264" t="s">
        <v>1076</v>
      </c>
      <c r="J2264" t="s">
        <v>253</v>
      </c>
      <c r="K2264" t="s">
        <v>2822</v>
      </c>
    </row>
    <row r="2265" spans="1:11" x14ac:dyDescent="0.25">
      <c r="A2265" t="s">
        <v>2552</v>
      </c>
      <c r="B2265" t="s">
        <v>253</v>
      </c>
      <c r="I2265" t="s">
        <v>940</v>
      </c>
      <c r="J2265" t="s">
        <v>253</v>
      </c>
      <c r="K2265" t="s">
        <v>2822</v>
      </c>
    </row>
    <row r="2266" spans="1:11" x14ac:dyDescent="0.25">
      <c r="A2266" t="s">
        <v>2551</v>
      </c>
      <c r="B2266" t="s">
        <v>253</v>
      </c>
      <c r="I2266" t="s">
        <v>1007</v>
      </c>
      <c r="J2266" t="s">
        <v>253</v>
      </c>
      <c r="K2266" t="s">
        <v>2822</v>
      </c>
    </row>
    <row r="2267" spans="1:11" x14ac:dyDescent="0.25">
      <c r="A2267" t="s">
        <v>2550</v>
      </c>
      <c r="B2267" t="s">
        <v>253</v>
      </c>
      <c r="I2267" t="s">
        <v>1008</v>
      </c>
      <c r="J2267" t="s">
        <v>253</v>
      </c>
      <c r="K2267" t="s">
        <v>2822</v>
      </c>
    </row>
    <row r="2268" spans="1:11" x14ac:dyDescent="0.25">
      <c r="A2268" t="s">
        <v>2549</v>
      </c>
      <c r="B2268" t="s">
        <v>253</v>
      </c>
      <c r="I2268" t="s">
        <v>1009</v>
      </c>
      <c r="J2268" t="s">
        <v>253</v>
      </c>
      <c r="K2268" t="s">
        <v>2822</v>
      </c>
    </row>
    <row r="2269" spans="1:11" x14ac:dyDescent="0.25">
      <c r="A2269" t="s">
        <v>2619</v>
      </c>
      <c r="B2269" t="s">
        <v>253</v>
      </c>
      <c r="I2269" t="s">
        <v>2081</v>
      </c>
      <c r="J2269" t="s">
        <v>253</v>
      </c>
      <c r="K2269" t="s">
        <v>2822</v>
      </c>
    </row>
    <row r="2270" spans="1:11" x14ac:dyDescent="0.25">
      <c r="A2270" t="s">
        <v>2546</v>
      </c>
      <c r="B2270" t="s">
        <v>253</v>
      </c>
      <c r="I2270" t="s">
        <v>986</v>
      </c>
      <c r="J2270" t="s">
        <v>253</v>
      </c>
      <c r="K2270" t="s">
        <v>2822</v>
      </c>
    </row>
    <row r="2271" spans="1:11" x14ac:dyDescent="0.25">
      <c r="A2271" t="s">
        <v>2545</v>
      </c>
      <c r="B2271" t="s">
        <v>253</v>
      </c>
      <c r="I2271" t="s">
        <v>1124</v>
      </c>
      <c r="J2271" t="s">
        <v>253</v>
      </c>
      <c r="K2271" t="s">
        <v>2822</v>
      </c>
    </row>
    <row r="2272" spans="1:11" x14ac:dyDescent="0.25">
      <c r="A2272" t="s">
        <v>2544</v>
      </c>
      <c r="B2272" t="s">
        <v>253</v>
      </c>
      <c r="I2272" t="s">
        <v>342</v>
      </c>
      <c r="J2272" t="s">
        <v>253</v>
      </c>
      <c r="K2272" t="s">
        <v>2822</v>
      </c>
    </row>
    <row r="2273" spans="1:11" x14ac:dyDescent="0.25">
      <c r="A2273" t="s">
        <v>2543</v>
      </c>
      <c r="B2273" t="s">
        <v>253</v>
      </c>
      <c r="I2273" t="s">
        <v>2076</v>
      </c>
      <c r="J2273" t="s">
        <v>253</v>
      </c>
      <c r="K2273" t="s">
        <v>2822</v>
      </c>
    </row>
    <row r="2274" spans="1:11" x14ac:dyDescent="0.25">
      <c r="A2274" t="s">
        <v>2542</v>
      </c>
      <c r="B2274" t="s">
        <v>253</v>
      </c>
      <c r="I2274" t="s">
        <v>1112</v>
      </c>
      <c r="J2274" t="s">
        <v>253</v>
      </c>
      <c r="K2274" t="s">
        <v>2822</v>
      </c>
    </row>
    <row r="2275" spans="1:11" x14ac:dyDescent="0.25">
      <c r="A2275" t="s">
        <v>2541</v>
      </c>
      <c r="B2275" t="s">
        <v>253</v>
      </c>
      <c r="I2275" t="s">
        <v>1113</v>
      </c>
      <c r="J2275" t="s">
        <v>253</v>
      </c>
      <c r="K2275" t="s">
        <v>2822</v>
      </c>
    </row>
    <row r="2276" spans="1:11" x14ac:dyDescent="0.25">
      <c r="A2276" t="s">
        <v>2540</v>
      </c>
      <c r="B2276" t="s">
        <v>253</v>
      </c>
      <c r="I2276" t="s">
        <v>1114</v>
      </c>
      <c r="J2276" t="s">
        <v>253</v>
      </c>
      <c r="K2276" t="s">
        <v>2822</v>
      </c>
    </row>
    <row r="2277" spans="1:11" x14ac:dyDescent="0.25">
      <c r="A2277" t="s">
        <v>2539</v>
      </c>
      <c r="B2277" t="s">
        <v>253</v>
      </c>
      <c r="I2277" t="s">
        <v>969</v>
      </c>
      <c r="J2277" t="s">
        <v>253</v>
      </c>
      <c r="K2277" t="s">
        <v>2822</v>
      </c>
    </row>
    <row r="2278" spans="1:11" x14ac:dyDescent="0.25">
      <c r="A2278" t="s">
        <v>2096</v>
      </c>
      <c r="B2278" t="s">
        <v>253</v>
      </c>
      <c r="I2278" t="s">
        <v>987</v>
      </c>
      <c r="J2278" t="s">
        <v>253</v>
      </c>
      <c r="K2278" t="s">
        <v>2822</v>
      </c>
    </row>
    <row r="2279" spans="1:11" x14ac:dyDescent="0.25">
      <c r="A2279" t="s">
        <v>2099</v>
      </c>
      <c r="B2279" t="s">
        <v>253</v>
      </c>
      <c r="I2279" t="s">
        <v>988</v>
      </c>
      <c r="J2279" t="s">
        <v>253</v>
      </c>
      <c r="K2279" t="s">
        <v>2822</v>
      </c>
    </row>
    <row r="2280" spans="1:11" x14ac:dyDescent="0.25">
      <c r="A2280" t="s">
        <v>2097</v>
      </c>
      <c r="B2280" t="s">
        <v>253</v>
      </c>
      <c r="I2280" t="s">
        <v>979</v>
      </c>
      <c r="J2280" t="s">
        <v>253</v>
      </c>
      <c r="K2280" t="s">
        <v>2822</v>
      </c>
    </row>
    <row r="2281" spans="1:11" x14ac:dyDescent="0.25">
      <c r="A2281" t="s">
        <v>2098</v>
      </c>
      <c r="B2281" t="s">
        <v>253</v>
      </c>
      <c r="I2281" t="s">
        <v>1006</v>
      </c>
      <c r="J2281" t="s">
        <v>253</v>
      </c>
      <c r="K2281" t="s">
        <v>2822</v>
      </c>
    </row>
    <row r="2282" spans="1:11" x14ac:dyDescent="0.25">
      <c r="A2282" t="s">
        <v>2100</v>
      </c>
      <c r="B2282" t="s">
        <v>253</v>
      </c>
      <c r="I2282" t="s">
        <v>1111</v>
      </c>
      <c r="J2282" t="s">
        <v>253</v>
      </c>
      <c r="K2282" t="s">
        <v>2822</v>
      </c>
    </row>
    <row r="2283" spans="1:11" x14ac:dyDescent="0.25">
      <c r="A2283" t="s">
        <v>2137</v>
      </c>
      <c r="B2283" t="s">
        <v>214</v>
      </c>
      <c r="I2283" t="s">
        <v>1361</v>
      </c>
      <c r="J2283" t="s">
        <v>253</v>
      </c>
      <c r="K2283" t="s">
        <v>2822</v>
      </c>
    </row>
    <row r="2284" spans="1:11" x14ac:dyDescent="0.25">
      <c r="A2284" t="s">
        <v>2314</v>
      </c>
      <c r="B2284" t="s">
        <v>214</v>
      </c>
      <c r="I2284" t="s">
        <v>1110</v>
      </c>
      <c r="J2284" t="s">
        <v>253</v>
      </c>
      <c r="K2284" t="s">
        <v>2822</v>
      </c>
    </row>
    <row r="2285" spans="1:11" x14ac:dyDescent="0.25">
      <c r="A2285" t="s">
        <v>2119</v>
      </c>
      <c r="B2285" t="s">
        <v>214</v>
      </c>
      <c r="I2285" t="s">
        <v>1571</v>
      </c>
      <c r="J2285" t="s">
        <v>253</v>
      </c>
      <c r="K2285" t="s">
        <v>2822</v>
      </c>
    </row>
    <row r="2286" spans="1:11" x14ac:dyDescent="0.25">
      <c r="A2286" t="s">
        <v>2140</v>
      </c>
      <c r="B2286" t="s">
        <v>214</v>
      </c>
      <c r="I2286" t="s">
        <v>966</v>
      </c>
      <c r="J2286" t="s">
        <v>253</v>
      </c>
      <c r="K2286" t="s">
        <v>2822</v>
      </c>
    </row>
    <row r="2287" spans="1:11" x14ac:dyDescent="0.25">
      <c r="A2287" t="s">
        <v>2636</v>
      </c>
      <c r="B2287" t="s">
        <v>214</v>
      </c>
      <c r="I2287" t="s">
        <v>1039</v>
      </c>
      <c r="J2287" t="s">
        <v>253</v>
      </c>
      <c r="K2287" t="s">
        <v>2822</v>
      </c>
    </row>
    <row r="2288" spans="1:11" x14ac:dyDescent="0.25">
      <c r="A2288" t="s">
        <v>2633</v>
      </c>
      <c r="B2288" t="s">
        <v>214</v>
      </c>
      <c r="I2288" t="s">
        <v>2538</v>
      </c>
      <c r="J2288" t="s">
        <v>253</v>
      </c>
      <c r="K2288" t="s">
        <v>2822</v>
      </c>
    </row>
    <row r="2289" spans="1:11" x14ac:dyDescent="0.25">
      <c r="A2289" t="s">
        <v>1817</v>
      </c>
      <c r="B2289" t="s">
        <v>214</v>
      </c>
      <c r="I2289" t="s">
        <v>2105</v>
      </c>
      <c r="J2289" t="s">
        <v>253</v>
      </c>
      <c r="K2289" t="s">
        <v>2822</v>
      </c>
    </row>
    <row r="2290" spans="1:11" x14ac:dyDescent="0.25">
      <c r="A2290" t="s">
        <v>2632</v>
      </c>
      <c r="B2290" t="s">
        <v>214</v>
      </c>
      <c r="I2290" t="s">
        <v>941</v>
      </c>
      <c r="J2290" t="s">
        <v>253</v>
      </c>
      <c r="K2290" t="s">
        <v>2822</v>
      </c>
    </row>
    <row r="2291" spans="1:11" x14ac:dyDescent="0.25">
      <c r="A2291" t="s">
        <v>2635</v>
      </c>
      <c r="B2291" t="s">
        <v>214</v>
      </c>
      <c r="I2291" t="s">
        <v>2421</v>
      </c>
      <c r="J2291" t="s">
        <v>253</v>
      </c>
      <c r="K2291" t="s">
        <v>2822</v>
      </c>
    </row>
    <row r="2292" spans="1:11" x14ac:dyDescent="0.25">
      <c r="A2292" t="s">
        <v>2634</v>
      </c>
      <c r="B2292" t="s">
        <v>214</v>
      </c>
      <c r="I2292" t="s">
        <v>2617</v>
      </c>
      <c r="J2292" t="s">
        <v>253</v>
      </c>
      <c r="K2292" t="s">
        <v>2822</v>
      </c>
    </row>
    <row r="2293" spans="1:11" x14ac:dyDescent="0.25">
      <c r="A2293" t="s">
        <v>2631</v>
      </c>
      <c r="B2293" t="s">
        <v>214</v>
      </c>
      <c r="I2293" t="s">
        <v>2618</v>
      </c>
      <c r="J2293" t="s">
        <v>253</v>
      </c>
      <c r="K2293" t="s">
        <v>2822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/>
  <dimension ref="A3:J6"/>
  <sheetViews>
    <sheetView showGridLines="0" workbookViewId="0">
      <selection activeCell="C9" sqref="C9"/>
    </sheetView>
  </sheetViews>
  <sheetFormatPr baseColWidth="10" defaultColWidth="11.42578125" defaultRowHeight="15" x14ac:dyDescent="0.25"/>
  <cols>
    <col min="1" max="1" width="14.7109375" bestFit="1" customWidth="1"/>
    <col min="2" max="2" width="42.7109375" customWidth="1"/>
    <col min="3" max="3" width="25.7109375" customWidth="1"/>
    <col min="7" max="7" width="16.42578125" customWidth="1"/>
    <col min="8" max="8" width="16" customWidth="1"/>
    <col min="9" max="9" width="20" customWidth="1"/>
    <col min="10" max="10" width="19" bestFit="1" customWidth="1"/>
  </cols>
  <sheetData>
    <row r="3" spans="1:10" ht="21" x14ac:dyDescent="0.35">
      <c r="A3" s="14" t="s">
        <v>1185</v>
      </c>
      <c r="B3" s="4" t="s">
        <v>2839</v>
      </c>
    </row>
    <row r="5" spans="1:10" x14ac:dyDescent="0.25">
      <c r="A5" t="s">
        <v>5</v>
      </c>
      <c r="B5" t="s">
        <v>6</v>
      </c>
      <c r="C5" t="s">
        <v>7</v>
      </c>
      <c r="D5" t="s">
        <v>8</v>
      </c>
      <c r="E5" t="s">
        <v>210</v>
      </c>
      <c r="F5" t="s">
        <v>1186</v>
      </c>
      <c r="G5" t="s">
        <v>1182</v>
      </c>
      <c r="H5" t="s">
        <v>1183</v>
      </c>
      <c r="I5" s="20" t="s">
        <v>1192</v>
      </c>
      <c r="J5" s="20" t="s">
        <v>1193</v>
      </c>
    </row>
    <row r="6" spans="1:10" x14ac:dyDescent="0.25">
      <c r="E6" s="3"/>
      <c r="F6" s="3"/>
      <c r="G6" s="15"/>
      <c r="H6" s="15"/>
      <c r="I6" s="21"/>
      <c r="J6" s="21"/>
    </row>
  </sheetData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41" r:id="rId4" name="cmdVolver">
          <controlPr defaultSize="0" print="0" autoLine="0" autoPict="0" r:id="rId5">
            <anchor>
              <from>
                <xdr:col>2</xdr:col>
                <xdr:colOff>19050</xdr:colOff>
                <xdr:row>0</xdr:row>
                <xdr:rowOff>47625</xdr:rowOff>
              </from>
              <to>
                <xdr:col>2</xdr:col>
                <xdr:colOff>752475</xdr:colOff>
                <xdr:row>1</xdr:row>
                <xdr:rowOff>114300</xdr:rowOff>
              </to>
            </anchor>
          </controlPr>
        </control>
      </mc:Choice>
      <mc:Fallback>
        <control shapeId="10241" r:id="rId4" name="cmdVolver"/>
      </mc:Fallback>
    </mc:AlternateContent>
  </controls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A2:Y7"/>
  <sheetViews>
    <sheetView showGridLines="0" zoomScale="90" zoomScaleNormal="90" workbookViewId="0"/>
  </sheetViews>
  <sheetFormatPr baseColWidth="10" defaultColWidth="11.42578125" defaultRowHeight="15" x14ac:dyDescent="0.25"/>
  <cols>
    <col min="1" max="1" width="32.140625" customWidth="1"/>
    <col min="2" max="52" width="8.7109375" customWidth="1"/>
  </cols>
  <sheetData>
    <row r="2" spans="1:25" x14ac:dyDescent="0.25">
      <c r="T2" s="16" t="s">
        <v>1199</v>
      </c>
      <c r="U2" s="16" t="s">
        <v>2891</v>
      </c>
    </row>
    <row r="3" spans="1:25" x14ac:dyDescent="0.25">
      <c r="B3" s="16" t="s">
        <v>1195</v>
      </c>
      <c r="C3" s="16" t="s">
        <v>209</v>
      </c>
      <c r="T3" s="16" t="s">
        <v>2892</v>
      </c>
      <c r="U3" t="s">
        <v>1196</v>
      </c>
      <c r="V3" t="s">
        <v>1983</v>
      </c>
      <c r="W3" t="s">
        <v>1982</v>
      </c>
      <c r="X3" t="s">
        <v>2824</v>
      </c>
      <c r="Y3" t="s">
        <v>1981</v>
      </c>
    </row>
    <row r="4" spans="1:25" x14ac:dyDescent="0.25">
      <c r="B4" s="22" t="s">
        <v>1196</v>
      </c>
      <c r="C4" s="22"/>
      <c r="D4" s="30" t="s">
        <v>1983</v>
      </c>
      <c r="E4" s="30"/>
      <c r="F4" s="31" t="s">
        <v>1982</v>
      </c>
      <c r="G4" s="31"/>
      <c r="H4" s="36" t="s">
        <v>2824</v>
      </c>
      <c r="I4" s="36"/>
      <c r="J4" s="32" t="s">
        <v>1981</v>
      </c>
      <c r="K4" s="32"/>
      <c r="T4" s="25" t="s">
        <v>2893</v>
      </c>
      <c r="U4" s="26">
        <v>5</v>
      </c>
      <c r="V4" s="26">
        <v>49</v>
      </c>
      <c r="W4" s="26">
        <v>45</v>
      </c>
      <c r="X4" s="26">
        <v>19</v>
      </c>
      <c r="Y4" s="26">
        <v>43</v>
      </c>
    </row>
    <row r="5" spans="1:25" x14ac:dyDescent="0.25">
      <c r="A5" s="16" t="s">
        <v>0</v>
      </c>
      <c r="B5" s="23" t="s">
        <v>1197</v>
      </c>
      <c r="C5" s="23" t="s">
        <v>1198</v>
      </c>
      <c r="D5" s="33" t="s">
        <v>1197</v>
      </c>
      <c r="E5" s="33" t="s">
        <v>1198</v>
      </c>
      <c r="F5" s="34" t="s">
        <v>1197</v>
      </c>
      <c r="G5" s="34" t="s">
        <v>1198</v>
      </c>
      <c r="H5" s="37" t="s">
        <v>1197</v>
      </c>
      <c r="I5" s="37" t="s">
        <v>1198</v>
      </c>
      <c r="J5" s="35" t="s">
        <v>1197</v>
      </c>
      <c r="K5" s="35" t="s">
        <v>1198</v>
      </c>
    </row>
    <row r="6" spans="1:25" x14ac:dyDescent="0.25">
      <c r="A6" t="s">
        <v>2893</v>
      </c>
      <c r="B6" s="15">
        <v>5</v>
      </c>
      <c r="C6" s="24">
        <v>3.1055900621118012E-2</v>
      </c>
      <c r="D6" s="15">
        <v>49</v>
      </c>
      <c r="E6" s="24">
        <v>0.30434782608695654</v>
      </c>
      <c r="F6" s="15">
        <v>45</v>
      </c>
      <c r="G6" s="24">
        <v>0.27950310559006208</v>
      </c>
      <c r="H6" s="15">
        <v>19</v>
      </c>
      <c r="I6" s="24">
        <v>0.11801242236024845</v>
      </c>
      <c r="J6" s="15">
        <v>43</v>
      </c>
      <c r="K6" s="24">
        <v>0.26708074534161491</v>
      </c>
    </row>
    <row r="7" spans="1:25" x14ac:dyDescent="0.25">
      <c r="A7" t="s">
        <v>2840</v>
      </c>
      <c r="B7" s="15">
        <v>5</v>
      </c>
      <c r="C7" s="24">
        <v>3.1055900621118012E-2</v>
      </c>
      <c r="D7" s="15">
        <v>49</v>
      </c>
      <c r="E7" s="24">
        <v>0.30434782608695654</v>
      </c>
      <c r="F7" s="15">
        <v>45</v>
      </c>
      <c r="G7" s="24">
        <v>0.27950310559006208</v>
      </c>
      <c r="H7" s="15">
        <v>19</v>
      </c>
      <c r="I7" s="24">
        <v>0.11801242236024845</v>
      </c>
      <c r="J7" s="15">
        <v>43</v>
      </c>
      <c r="K7" s="24">
        <v>0.26708074534161491</v>
      </c>
    </row>
  </sheetData>
  <pageMargins left="0.7" right="0.7" top="0.75" bottom="0.75" header="0.3" footer="0.3"/>
  <pageSetup paperSize="9" orientation="portrait" r:id="rId3"/>
  <drawing r:id="rId4"/>
  <legacyDrawing r:id="rId5"/>
  <controls>
    <mc:AlternateContent xmlns:mc="http://schemas.openxmlformats.org/markup-compatibility/2006">
      <mc:Choice Requires="x14">
        <control shapeId="11265" r:id="rId6" name="cmdVolver">
          <controlPr defaultSize="0" autoLine="0" r:id="rId7">
            <anchor>
              <from>
                <xdr:col>4</xdr:col>
                <xdr:colOff>419100</xdr:colOff>
                <xdr:row>0</xdr:row>
                <xdr:rowOff>47625</xdr:rowOff>
              </from>
              <to>
                <xdr:col>5</xdr:col>
                <xdr:colOff>571500</xdr:colOff>
                <xdr:row>1</xdr:row>
                <xdr:rowOff>114300</xdr:rowOff>
              </to>
            </anchor>
          </controlPr>
        </control>
      </mc:Choice>
      <mc:Fallback>
        <control shapeId="11265" r:id="rId6" name="cmdVolver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D5"/>
  <sheetViews>
    <sheetView showGridLines="0" workbookViewId="0">
      <selection activeCell="A2" sqref="A2:D6"/>
    </sheetView>
  </sheetViews>
  <sheetFormatPr baseColWidth="10" defaultRowHeight="15" x14ac:dyDescent="0.25"/>
  <cols>
    <col min="3" max="3" width="12.42578125" customWidth="1"/>
  </cols>
  <sheetData>
    <row r="1" spans="1:4" x14ac:dyDescent="0.25">
      <c r="A1" t="s">
        <v>2</v>
      </c>
      <c r="B1" t="s">
        <v>0</v>
      </c>
      <c r="C1" t="s">
        <v>1</v>
      </c>
      <c r="D1" t="s">
        <v>2827</v>
      </c>
    </row>
    <row r="5" spans="1:4" x14ac:dyDescent="0.25">
      <c r="D5" s="11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6"/>
  <sheetViews>
    <sheetView showGridLines="0" workbookViewId="0">
      <selection activeCell="E10" sqref="E10"/>
    </sheetView>
  </sheetViews>
  <sheetFormatPr baseColWidth="10" defaultRowHeight="15" x14ac:dyDescent="0.25"/>
  <cols>
    <col min="1" max="1" width="11.5703125" customWidth="1"/>
  </cols>
  <sheetData>
    <row r="1" spans="1:2" x14ac:dyDescent="0.25">
      <c r="A1" t="s">
        <v>2826</v>
      </c>
    </row>
    <row r="6" spans="1:2" x14ac:dyDescent="0.25">
      <c r="B6" s="11"/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67</vt:i4>
      </vt:variant>
    </vt:vector>
  </HeadingPairs>
  <TitlesOfParts>
    <vt:vector size="77" baseType="lpstr">
      <vt:lpstr>SELECCION</vt:lpstr>
      <vt:lpstr>SELECCION1</vt:lpstr>
      <vt:lpstr>TESPECIAL</vt:lpstr>
      <vt:lpstr>CONSOLIDADO</vt:lpstr>
      <vt:lpstr>DECISION_COMPRA</vt:lpstr>
      <vt:lpstr>TIPOCOMPRA</vt:lpstr>
      <vt:lpstr>RELACION_BUFFERS</vt:lpstr>
      <vt:lpstr>BUFFER_POR_COLOR</vt:lpstr>
      <vt:lpstr>PROVEEDORES</vt:lpstr>
      <vt:lpstr>EMPRESAS</vt:lpstr>
      <vt:lpstr>bodega_seleccionada</vt:lpstr>
      <vt:lpstr>BODEGABASE</vt:lpstr>
      <vt:lpstr>BODEGABASE1</vt:lpstr>
      <vt:lpstr>BODEGATRANSFER</vt:lpstr>
      <vt:lpstr>calendarioe_seleccionada</vt:lpstr>
      <vt:lpstr>categoria_seleccionada</vt:lpstr>
      <vt:lpstr>chk_calendarioe</vt:lpstr>
      <vt:lpstr>chk_categoria</vt:lpstr>
      <vt:lpstr>chk_clasificacion</vt:lpstr>
      <vt:lpstr>chk_color</vt:lpstr>
      <vt:lpstr>chk_estatus</vt:lpstr>
      <vt:lpstr>chk_familia</vt:lpstr>
      <vt:lpstr>chk_grupo</vt:lpstr>
      <vt:lpstr>chk_hojacb</vt:lpstr>
      <vt:lpstr>chk_linea</vt:lpstr>
      <vt:lpstr>chk_marca</vt:lpstr>
      <vt:lpstr>chk_modelo</vt:lpstr>
      <vt:lpstr>chk_perfil</vt:lpstr>
      <vt:lpstr>chk_responsable</vt:lpstr>
      <vt:lpstr>chk_subfamilia</vt:lpstr>
      <vt:lpstr>chk_sublinea</vt:lpstr>
      <vt:lpstr>chk_tipo</vt:lpstr>
      <vt:lpstr>clasificacion_seleccionada</vt:lpstr>
      <vt:lpstr>color_seleccionada</vt:lpstr>
      <vt:lpstr>DESTINO</vt:lpstr>
      <vt:lpstr>empresa_seleccionada</vt:lpstr>
      <vt:lpstr>estatus_seleccionada</vt:lpstr>
      <vt:lpstr>familia_seleccionada</vt:lpstr>
      <vt:lpstr>grupo_seleccionada</vt:lpstr>
      <vt:lpstr>hojacb_seleccionada</vt:lpstr>
      <vt:lpstr>linea_seleccionada</vt:lpstr>
      <vt:lpstr>listaEmpresas</vt:lpstr>
      <vt:lpstr>marca_seleccionada</vt:lpstr>
      <vt:lpstr>modelo_seleccionada</vt:lpstr>
      <vt:lpstr>num_bodega_seleccionada</vt:lpstr>
      <vt:lpstr>num_calendarioe_seleccionada</vt:lpstr>
      <vt:lpstr>num_categoria_seleccionada</vt:lpstr>
      <vt:lpstr>num_clasificacion_seleccionada</vt:lpstr>
      <vt:lpstr>num_color_seleccionada</vt:lpstr>
      <vt:lpstr>num_empresa_seleccionada</vt:lpstr>
      <vt:lpstr>num_estatus_seleccionada</vt:lpstr>
      <vt:lpstr>num_familia_seleccionada</vt:lpstr>
      <vt:lpstr>num_grupo_seleccionada</vt:lpstr>
      <vt:lpstr>num_hojacb_seleccionada</vt:lpstr>
      <vt:lpstr>num_linea_seleccionada</vt:lpstr>
      <vt:lpstr>num_marca_seleccionada</vt:lpstr>
      <vt:lpstr>num_modelo_seleccionada</vt:lpstr>
      <vt:lpstr>num_perfil_seleccionada</vt:lpstr>
      <vt:lpstr>num_proveedor_seleccionada</vt:lpstr>
      <vt:lpstr>num_responsable_seleccionada</vt:lpstr>
      <vt:lpstr>num_subfamilia_seleccionada</vt:lpstr>
      <vt:lpstr>num_sublinea_seleccionada</vt:lpstr>
      <vt:lpstr>num_tipo_seleccionada</vt:lpstr>
      <vt:lpstr>ORIGEN</vt:lpstr>
      <vt:lpstr>perfil_seleccionada</vt:lpstr>
      <vt:lpstr>proveedor_seleccionada</vt:lpstr>
      <vt:lpstr>PROVEEDORTRANSFER</vt:lpstr>
      <vt:lpstr>RELACION</vt:lpstr>
      <vt:lpstr>responsable_seleccionada</vt:lpstr>
      <vt:lpstr>Ser</vt:lpstr>
      <vt:lpstr>subfamilia_seleccionada</vt:lpstr>
      <vt:lpstr>sublinea_seleccionada</vt:lpstr>
      <vt:lpstr>tipo_seleccionada</vt:lpstr>
      <vt:lpstr>VERIFICA_DESTINO</vt:lpstr>
      <vt:lpstr>VERIFICA_ORIGEN</vt:lpstr>
      <vt:lpstr>visualiza_requerim</vt:lpstr>
      <vt:lpstr>YACALCULADO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Semanate</dc:creator>
  <cp:lastModifiedBy>RAMCAS</cp:lastModifiedBy>
  <dcterms:created xsi:type="dcterms:W3CDTF">2010-02-17T07:30:39Z</dcterms:created>
  <dcterms:modified xsi:type="dcterms:W3CDTF">2018-05-09T21:19:09Z</dcterms:modified>
</cp:coreProperties>
</file>