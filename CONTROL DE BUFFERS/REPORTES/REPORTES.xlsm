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129000" windowWidth="11640" windowHeight="5370"/>
  </bookViews>
  <sheets>
    <sheet name="SELECCION" sheetId="11" r:id="rId1"/>
    <sheet name="Aux" sheetId="24" state="veryHidden" r:id="rId2"/>
    <sheet name="Combos" sheetId="23" state="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11" r:id="rId15"/>
    <pivotCache cacheId="12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<sst xmlns="http://schemas.openxmlformats.org/spreadsheetml/2006/main" count="12679" uniqueCount="2981">
  <si>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</si>
  <si>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</si>
  <si>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</si>
  <si>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</si>
  <si>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</si>
  <si>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</si>
  <si>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</si>
  <si>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</si>
  <si>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</si>
  <si>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</si>
  <si>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</si>
  <si>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</si>
  <si>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</si>
  <si>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</si>
  <si>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</si>
  <si>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</si>
  <si>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</si>
  <si>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</si>
  <si>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</si>
  <si>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</si>
  <si>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</si>
  <si>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</si>
  <si>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</si>
  <si>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</si>
  <si>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</si>
  <si>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</si>
  <si>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</si>
  <si>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</si>
  <si>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</si>
  <si>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</si>
  <si>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</si>
  <si>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</si>
  <si>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</si>
  <si>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</si>
  <si>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</si>
  <si>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</si>
  <si>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</si>
  <si>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</si>
  <si>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</si>
  <si>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</si>
  <si>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</si>
  <si>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</si>
  <si>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</si>
  <si>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</si>
  <si>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</si>
  <si>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</si>
  <si>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</si>
  <si>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</si>
  <si>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</si>
  <si>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</si>
  <si>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</si>
  <si>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</si>
  <si>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</si>
  <si>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</si>
  <si>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</si>
  <si>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</si>
  <si>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</si>
  <si>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</si>
  <si>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</si>
  <si>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</si>
  <si>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</si>
  <si>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</si>
  <si>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</si>
  <si>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</si>
  <si>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</si>
  <si>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</si>
  <si>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</si>
  <si>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</si>
  <si>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</si>
  <si>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</si>
  <si>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</si>
  <si>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</si>
  <si>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</si>
  <si>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</si>
  <si>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</si>
  <si>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</si>
  <si>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</si>
  <si>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</si>
  <si>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</si>
  <si>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</si>
  <si>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</si>
  <si>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</si>
  <si>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</si>
  <si>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</si>
  <si>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</si>
  <si>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</si>
  <si>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</si>
  <si>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</si>
  <si>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</si>
  <si>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</si>
  <si>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</si>
  <si>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</si>
  <si>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</si>
  <si>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</si>
  <si>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</si>
  <si>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</si>
  <si>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</si>
  <si>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</si>
  <si>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</si>
  <si>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</si>
  <si>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</si>
  <si>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</si>
  <si>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</si>
  <si>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</si>
  <si>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</si>
  <si>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</si>
  <si>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</si>
  <si>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</si>
  <si>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</si>
  <si>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</si>
  <si>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</si>
  <si>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</si>
  <si>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</si>
  <si>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</si>
  <si>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</si>
  <si>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</si>
  <si>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</si>
  <si>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</si>
  <si>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</si>
  <si>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</si>
  <si>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</si>
  <si>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</si>
  <si>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</si>
  <si>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</si>
  <si>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</si>
  <si>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</si>
  <si>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</si>
  <si>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</si>
  <si>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</si>
  <si>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</si>
  <si>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</si>
  <si>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</si>
  <si>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</si>
  <si>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</si>
  <si>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</si>
  <si>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</si>
  <si>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</si>
  <si>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</si>
  <si>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</si>
  <si>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</si>
  <si>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</si>
  <si>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</si>
  <si>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</si>
  <si>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</si>
  <si>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</si>
  <si>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</si>
  <si>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</si>
  <si>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</si>
  <si>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</si>
  <si>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</si>
  <si>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</si>
  <si>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</si>
  <si>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</si>
  <si>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</si>
  <si>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</si>
  <si>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</si>
  <si>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</si>
  <si>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</si>
  <si>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</si>
  <si>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</si>
  <si>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</si>
  <si>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</si>
  <si>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</si>
  <si>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</si>
  <si>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</si>
  <si>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</si>
  <si>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</si>
  <si>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</si>
  <si>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</si>
  <si>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</si>
  <si>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</si>
  <si>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</si>
  <si>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</si>
  <si>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</si>
  <si>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</si>
  <si>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</si>
  <si>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</si>
  <si>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</si>
  <si>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</si>
  <si>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</si>
  <si>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</si>
  <si>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</si>
  <si>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</si>
  <si>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</si>
  <si>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</si>
  <si>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</si>
  <si>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</si>
  <si>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</si>
  <si>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</si>
  <si>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</si>
  <si>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</si>
  <si>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</si>
  <si>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</si>
  <si>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</si>
  <si>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</si>
  <si>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</si>
  <si>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</si>
  <si>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</si>
  <si>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</si>
  <si>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</si>
  <si>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</si>
  <si>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</si>
  <si>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</si>
  <si>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</si>
  <si>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</si>
  <si>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</si>
  <si>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</si>
  <si>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</si>
  <si>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</si>
  <si>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</si>
  <si>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</si>
  <si>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</si>
  <si>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</si>
  <si>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</si>
  <si>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</si>
  <si>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</si>
  <si>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</si>
  <si>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</si>
  <si>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</si>
  <si>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</si>
  <si>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</si>
  <si>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</si>
  <si>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</si>
  <si>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</si>
  <si>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</si>
  <si>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</si>
  <si>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</si>
  <si>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</si>
  <si>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</si>
  <si>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</si>
  <si>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</si>
  <si>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</si>
  <si>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</si>
  <si>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</si>
  <si>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</si>
  <si>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</si>
  <si>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</si>
  <si>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</si>
  <si>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</si>
  <si>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</si>
  <si>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</si>
  <si>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</si>
  <si>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</si>
  <si>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</si>
  <si>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</si>
  <si>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</si>
  <si>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</si>
  <si>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</si>
  <si>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</si>
  <si>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</si>
  <si>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</si>
  <si>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</si>
  <si>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</si>
  <si>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</si>
  <si>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</si>
  <si>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</si>
  <si>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</si>
  <si>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</si>
  <si>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</si>
  <si>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</si>
  <si>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</si>
  <si>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</si>
  <si>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</si>
  <si>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</si>
  <si>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</si>
  <si>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</si>
  <si>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</si>
  <si>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</si>
  <si>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</si>
  <si>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</si>
  <si>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</si>
  <si>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</si>
  <si>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</si>
  <si>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</si>
  <si>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</si>
  <si>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</si>
  <si>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</si>
  <si>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</si>
  <si>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</si>
  <si>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</si>
  <si>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</si>
  <si>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</si>
  <si>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</si>
  <si>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</si>
  <si>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</si>
  <si>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</si>
  <si>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</si>
  <si>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</si>
  <si>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</si>
  <si>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</si>
  <si>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</si>
  <si>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</si>
  <si>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</si>
  <si>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</si>
  <si>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</si>
  <si>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</si>
  <si>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</si>
  <si>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</si>
  <si>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</si>
  <si>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</si>
  <si>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</si>
  <si>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</si>
  <si>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</si>
  <si>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</si>
  <si>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</si>
  <si>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</si>
  <si>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</si>
  <si>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</si>
  <si>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</si>
  <si>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</si>
  <si>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</si>
  <si>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</si>
  <si>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</si>
  <si>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</si>
  <si>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</si>
  <si>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</si>
  <si>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</si>
  <si>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</si>
  <si>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</si>
  <si>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</si>
  <si>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</si>
  <si>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</si>
  <si>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</si>
  <si>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</si>
  <si>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</si>
  <si>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</si>
  <si>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</si>
  <si>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</si>
  <si>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</si>
  <si>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</si>
  <si>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</si>
  <si>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</si>
  <si>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</si>
  <si>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</si>
  <si>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</si>
  <si>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</si>
  <si>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</si>
  <si>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</si>
  <si>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</si>
  <si>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</si>
  <si>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</si>
  <si>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</si>
  <si>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</si>
  <si>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</si>
  <si>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</si>
  <si>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</si>
  <si>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</si>
  <si>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</si>
  <si>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</si>
  <si>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</si>
  <si>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</si>
  <si>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</si>
  <si>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</si>
  <si>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</si>
  <si>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</si>
  <si>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</si>
  <si>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</si>
  <si>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</si>
  <si>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</si>
  <si>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</si>
  <si>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</si>
  <si>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</si>
  <si>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</si>
  <si>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</si>
  <si>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</si>
  <si>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</si>
  <si>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</si>
  <si>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</si>
  <si>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</si>
  <si>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</si>
  <si>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</si>
  <si>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</si>
  <si>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</si>
  <si>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</si>
  <si>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</si>
  <si>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</si>
  <si>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</si>
  <si>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</si>
  <si>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</si>
  <si>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</si>
  <si>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</si>
  <si>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</si>
  <si>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</si>
  <si>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</si>
  <si>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</si>
  <si>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</si>
  <si>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</si>
  <si>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</si>
  <si>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</si>
  <si>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</si>
  <si>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</si>
  <si>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</si>
  <si>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</si>
  <si>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</si>
  <si>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</si>
  <si>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</si>
  <si>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</si>
  <si>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</si>
  <si>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</si>
  <si>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</si>
  <si>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</si>
  <si>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</si>
  <si>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</si>
  <si>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</si>
  <si>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</si>
  <si>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</si>
  <si>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</si>
  <si>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</si>
  <si>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</si>
  <si>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</si>
  <si>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</si>
  <si>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</si>
  <si>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</si>
  <si>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</si>
  <si>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</si>
  <si>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</si>
  <si>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</si>
  <si>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</si>
  <si>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</si>
  <si>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</si>
  <si>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</si>
  <si>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</si>
  <si>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</si>
  <si>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</si>
  <si>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</si>
  <si>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</si>
  <si>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</si>
  <si>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</si>
  <si>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</si>
  <si>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</si>
  <si>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</si>
  <si>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</si>
  <si>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</si>
  <si>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</si>
  <si>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</si>
  <si>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</si>
  <si>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</si>
  <si>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</si>
  <si>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</si>
  <si>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</si>
  <si>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</si>
  <si>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</si>
  <si>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</si>
  <si>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</si>
  <si>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</si>
  <si>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</si>
  <si>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</si>
  <si>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</si>
  <si>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</si>
  <si>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</si>
  <si>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</si>
  <si>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</si>
  <si>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</si>
  <si>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</si>
  <si>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</si>
  <si>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</si>
  <si>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</si>
  <si>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</si>
  <si>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</si>
  <si>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</si>
  <si>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</si>
  <si>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</si>
  <si>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</si>
  <si>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</si>
  <si>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</si>
  <si>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</si>
  <si>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</si>
  <si>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</si>
  <si>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</si>
  <si>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</si>
  <si>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</si>
  <si>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</si>
  <si>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</si>
  <si>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</si>
  <si>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</si>
  <si>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</si>
  <si>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</si>
  <si>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</si>
  <si>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</si>
  <si>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</si>
  <si>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</si>
  <si>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</si>
  <si>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</si>
  <si>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</si>
  <si>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</si>
  <si>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</si>
  <si>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</si>
  <si>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</si>
  <si>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</si>
  <si>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</si>
  <si>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</si>
  <si>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</si>
  <si>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</si>
  <si>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</si>
  <si>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</si>
  <si>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</si>
  <si>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</si>
  <si>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</si>
  <si>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</si>
  <si>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</si>
  <si>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</si>
  <si>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</si>
  <si>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</si>
  <si>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</si>
  <si>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</si>
  <si>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</si>
  <si>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</si>
  <si>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</si>
  <si>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</si>
  <si>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</si>
  <si>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</si>
  <si>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</si>
  <si>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</si>
  <si>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</si>
  <si>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</si>
  <si>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</si>
  <si>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</si>
  <si>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</si>
  <si>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</si>
  <si>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</si>
  <si>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</si>
  <si>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</si>
  <si>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</si>
  <si>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</si>
  <si>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</si>
  <si>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</si>
  <si>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</si>
  <si>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</si>
  <si>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</si>
  <si>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</si>
  <si>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</si>
  <si>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</si>
  <si>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</si>
  <si>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</si>
  <si>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</si>
  <si>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</si>
  <si>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</si>
  <si>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</si>
  <si>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</si>
  <si>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</si>
  <si>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</si>
  <si>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</si>
  <si>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</si>
  <si>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</si>
  <si>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</si>
  <si>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</si>
  <si>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</si>
  <si>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</si>
  <si>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</si>
  <si>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</si>
  <si>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</si>
  <si>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</si>
  <si>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</si>
  <si>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</si>
  <si>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</si>
  <si>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</si>
  <si>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</si>
  <si>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</si>
  <si>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</si>
  <si>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</si>
  <si>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</si>
  <si>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</si>
  <si>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</si>
  <si>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</si>
  <si>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</si>
  <si>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</si>
  <si>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</si>
  <si>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</si>
  <si>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</si>
  <si>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</si>
  <si>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</si>
  <si>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</si>
  <si>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</si>
  <si>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</si>
  <si>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</si>
  <si>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</si>
  <si>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</si>
  <si>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</si>
  <si>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</si>
  <si>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</si>
  <si>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</si>
  <si>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</si>
  <si>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</si>
  <si>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</si>
  <si>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</si>
  <si>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</si>
  <si>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</si>
  <si>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</si>
  <si>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</si>
  <si>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</si>
  <si>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</si>
  <si>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</si>
  <si>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</si>
  <si>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</si>
  <si>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</si>
  <si>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</si>
  <si>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</si>
  <si>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</si>
  <si>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</si>
  <si>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</si>
  <si>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</si>
  <si>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</si>
  <si>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</si>
  <si>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</si>
  <si>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</si>
  <si>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</si>
  <si>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</si>
  <si>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</si>
  <si>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</si>
  <si>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</si>
  <si>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</si>
  <si>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</si>
  <si>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</si>
  <si>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</si>
  <si>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</si>
  <si>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</si>
  <si>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</si>
  <si>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</si>
  <si>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</si>
  <si>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</si>
  <si>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</si>
  <si>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</si>
  <si>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</si>
  <si>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</si>
  <si>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</si>
  <si>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</si>
  <si>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</si>
  <si>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</si>
  <si>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</si>
  <si>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</si>
  <si>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</si>
  <si>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</si>
  <si>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</si>
  <si>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</si>
  <si>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</si>
  <si>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</si>
  <si>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</si>
  <si>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</si>
  <si>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</si>
  <si>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</si>
  <si>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</si>
  <si>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</si>
  <si>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</si>
  <si>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</si>
  <si>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</si>
  <si>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</si>
  <si>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</si>
  <si>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</si>
  <si>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</si>
  <si>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</si>
  <si>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</si>
  <si>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</si>
  <si>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</si>
  <si>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</si>
  <si>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</si>
  <si>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</si>
  <si>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</si>
  <si>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</si>
  <si>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</si>
  <si>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</si>
  <si>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</si>
  <si>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</si>
  <si>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</si>
  <si>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</si>
  <si>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</si>
  <si>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</si>
  <si>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</si>
  <si>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</si>
  <si>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</si>
  <si>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</si>
  <si>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</si>
  <si>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</si>
  <si>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</si>
  <si>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</si>
  <si>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</si>
  <si>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</si>
  <si>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</si>
  <si>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</si>
  <si>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</si>
  <si>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</si>
  <si>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</si>
  <si>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</si>
  <si>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</si>
  <si>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</si>
  <si>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</si>
  <si>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</si>
  <si>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</si>
  <si>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</si>
  <si>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</si>
  <si>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</si>
  <si>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</si>
  <si>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</si>
  <si>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</si>
  <si>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</si>
  <si>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</si>
  <si>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</si>
  <si>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</si>
  <si>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</si>
  <si>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</si>
  <si>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</si>
  <si>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</si>
  <si>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</si>
  <si>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</si>
  <si>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</si>
  <si>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</si>
  <si>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</si>
  <si>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</si>
  <si>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</si>
  <si>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</si>
  <si>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</si>
  <si>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</si>
  <si>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</si>
  <si>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</si>
  <si>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</si>
  <si>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</si>
  <si>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</si>
  <si>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</si>
  <si>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</si>
  <si>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</si>
  <si>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</si>
  <si>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</si>
  <si>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</si>
  <si>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</si>
  <si>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</si>
  <si>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</si>
  <si>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</si>
  <si>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</si>
  <si>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</si>
  <si>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</si>
  <si>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</si>
  <si>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</si>
  <si>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</si>
  <si>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</si>
  <si>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</si>
  <si>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</si>
  <si>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</si>
  <si>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</si>
  <si>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</si>
  <si>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</si>
  <si>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</si>
  <si>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</si>
  <si>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</si>
  <si>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</si>
  <si>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</si>
  <si>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</si>
  <si>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</si>
  <si>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</si>
  <si>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</si>
  <si>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</si>
  <si>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</si>
  <si>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</si>
  <si>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</si>
  <si>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</si>
  <si>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</si>
  <si>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</si>
  <si>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</si>
  <si>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</si>
  <si>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</si>
  <si>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</si>
  <si>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</si>
  <si>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</si>
  <si>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</si>
  <si>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</si>
  <si>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</si>
  <si>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</si>
  <si>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</si>
  <si>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</si>
  <si>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</si>
  <si>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</si>
  <si>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</si>
  <si>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</si>
  <si>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</si>
  <si>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</si>
  <si>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</si>
  <si>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</si>
  <si>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</si>
  <si>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</si>
  <si>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</si>
  <si>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</si>
  <si>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</si>
  <si>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</si>
  <si>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</si>
  <si>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</si>
  <si>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</si>
  <si>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</si>
  <si>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</si>
  <si>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</si>
  <si>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</si>
  <si>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</si>
  <si>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</si>
  <si>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</si>
  <si>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</si>
  <si>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</si>
  <si>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</si>
  <si>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</si>
  <si>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</si>
  <si>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</si>
  <si>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</si>
  <si>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</si>
  <si>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</si>
  <si>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</si>
  <si>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</si>
  <si>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</si>
  <si>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</si>
  <si>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</si>
  <si>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</si>
  <si>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</si>
  <si>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</si>
  <si>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</si>
  <si>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</si>
  <si>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</si>
  <si>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</si>
  <si>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</si>
  <si>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</si>
  <si>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</si>
  <si>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</si>
  <si>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</si>
  <si>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</si>
  <si>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</si>
  <si>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</si>
  <si>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</si>
  <si>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</si>
  <si>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</si>
  <si>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</si>
  <si>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</si>
  <si>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</si>
  <si>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</si>
  <si>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</si>
  <si>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</si>
  <si>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</si>
  <si>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</si>
  <si>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</si>
  <si>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</si>
  <si>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</si>
  <si>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</si>
  <si>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</si>
  <si>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</si>
  <si>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</si>
  <si>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</si>
  <si>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</si>
  <si>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</si>
  <si>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</si>
  <si>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</si>
  <si>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</si>
  <si>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</si>
  <si>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</si>
  <si>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</si>
  <si>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</si>
  <si>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</si>
  <si>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</si>
  <si>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</si>
  <si>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</si>
  <si>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</si>
  <si>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</si>
  <si>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</si>
  <si>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</si>
  <si>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</si>
  <si>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</si>
  <si>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</si>
  <si>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</si>
  <si>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</si>
  <si>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</si>
  <si>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</si>
  <si>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</si>
  <si>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</si>
  <si>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</si>
  <si>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</si>
  <si>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</si>
  <si>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</si>
  <si>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</si>
  <si>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</si>
  <si>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</si>
  <si>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</si>
  <si>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</si>
  <si>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</si>
  <si>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</si>
  <si>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</si>
  <si>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</si>
  <si>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</si>
  <si>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</si>
  <si>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</si>
  <si>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</si>
  <si>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</si>
  <si>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</si>
  <si>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</si>
  <si>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</si>
  <si>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</si>
  <si>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</si>
  <si>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</si>
  <si>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</si>
  <si>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</si>
  <si>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</si>
  <si>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</si>
  <si>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</si>
  <si>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</si>
  <si>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</si>
  <si>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</si>
  <si>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</si>
  <si>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</si>
  <si>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</si>
  <si>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</si>
  <si>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</si>
  <si>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</si>
  <si>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</si>
  <si>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</si>
  <si>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</si>
  <si>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</si>
  <si>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</si>
  <si>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</si>
  <si>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</si>
  <si>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</si>
  <si>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</si>
  <si>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</si>
  <si>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</si>
  <si>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</si>
  <si>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</si>
  <si>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</si>
  <si>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</si>
  <si>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</si>
  <si>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</si>
  <si>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</si>
  <si>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</si>
  <si>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</si>
  <si>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</si>
  <si>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</si>
  <si>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</si>
  <si>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</si>
  <si>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</si>
  <si>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</si>
  <si>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</si>
  <si>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</si>
  <si>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</si>
  <si>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</si>
  <si>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</si>
  <si>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</si>
  <si>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</si>
  <si>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</si>
  <si>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</si>
  <si>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</si>
  <si>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</si>
  <si>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</si>
  <si>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</si>
  <si>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</si>
  <si>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</si>
  <si>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</si>
  <si>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</si>
  <si>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</si>
  <si>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</si>
  <si>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</si>
  <si>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</si>
  <si>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</si>
  <si>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</si>
  <si>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</si>
  <si>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</si>
  <si>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</si>
  <si>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</si>
  <si>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</si>
  <si>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</si>
  <si>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</si>
  <si>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</si>
  <si>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</si>
  <si>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</si>
  <si>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</si>
  <si>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</si>
  <si>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</si>
  <si>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</si>
  <si>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</si>
  <si>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</si>
  <si>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</si>
  <si>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</si>
  <si>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</si>
  <si>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</si>
  <si>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</si>
  <si>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</si>
  <si>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</si>
  <si>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</si>
  <si>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</si>
  <si>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</si>
  <si>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</si>
  <si>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</si>
  <si>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</si>
  <si>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</si>
  <si>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</si>
  <si>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</si>
  <si>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</si>
  <si>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</si>
  <si>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</si>
  <si>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</si>
  <si>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</si>
  <si>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</si>
  <si>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</si>
  <si>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</si>
  <si>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</si>
  <si>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</si>
  <si>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</si>
  <si>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</si>
  <si>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</si>
  <si>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</si>
  <si>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</si>
  <si>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</si>
  <si>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</si>
  <si>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</si>
  <si>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</si>
  <si>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</si>
  <si>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</si>
  <si>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</si>
  <si>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</si>
  <si>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</si>
  <si>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</si>
  <si>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</si>
  <si>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</si>
  <si>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</si>
  <si>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</si>
  <si>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</si>
  <si>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</si>
  <si>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</si>
  <si>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</si>
  <si>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</si>
  <si>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</si>
  <si>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</si>
  <si>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</si>
  <si>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</si>
  <si>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</si>
  <si>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</si>
  <si>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</si>
  <si>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</si>
  <si>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</si>
  <si>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</si>
  <si>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</si>
  <si>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</si>
  <si>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</si>
  <si>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</si>
  <si>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</si>
  <si>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</si>
  <si>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</si>
  <si>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</si>
  <si>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</si>
  <si>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</si>
  <si>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</si>
  <si>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</si>
  <si>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</si>
  <si>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</si>
  <si>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</si>
  <si>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</si>
  <si>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</si>
  <si>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</si>
  <si>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</si>
  <si>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</si>
  <si>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</si>
  <si>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</si>
  <si>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</si>
  <si>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</si>
  <si>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</si>
  <si>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</si>
  <si>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</si>
  <si>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</si>
  <si>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</si>
  <si>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</si>
  <si>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</si>
  <si>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</si>
  <si>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</si>
  <si>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</si>
  <si>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</si>
  <si>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</si>
  <si>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</si>
  <si>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</si>
  <si>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</si>
  <si>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</si>
  <si>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</si>
  <si>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</si>
  <si>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</si>
  <si>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</si>
  <si>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</si>
  <si>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</si>
  <si>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</si>
  <si>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</si>
  <si>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</si>
  <si>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</si>
  <si>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</si>
  <si>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</si>
  <si>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</si>
  <si>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</si>
  <si>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</si>
  <si>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</si>
  <si>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</si>
  <si>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</si>
  <si>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</si>
  <si>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</si>
  <si>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</si>
  <si>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</si>
  <si>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</si>
  <si>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</si>
  <si>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</si>
  <si>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</si>
  <si>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</si>
  <si>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</si>
  <si>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</si>
  <si>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</si>
  <si>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</si>
  <si>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</si>
  <si>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</si>
  <si>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</si>
  <si>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</si>
  <si>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</si>
  <si>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</si>
  <si>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</si>
  <si>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</si>
  <si>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</si>
  <si>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</si>
  <si>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</si>
  <si>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</si>
  <si>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</si>
  <si>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</si>
  <si>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</si>
  <si>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</si>
  <si>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</si>
  <si>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</si>
  <si>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</si>
  <si>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</si>
  <si>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</si>
  <si>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</si>
  <si>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</si>
  <si>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</si>
  <si>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</si>
  <si>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</si>
  <si>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</si>
  <si>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</si>
  <si>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</si>
  <si>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</si>
  <si>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</si>
  <si>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</si>
  <si>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</si>
  <si>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</si>
  <si>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</si>
  <si>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</si>
  <si>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</si>
  <si>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</si>
  <si>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</si>
  <si>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</si>
  <si>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</si>
  <si>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</si>
  <si>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</si>
  <si>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</si>
  <si>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</si>
  <si>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</si>
  <si>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</si>
  <si>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</si>
  <si>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</si>
  <si>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</si>
  <si>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</si>
  <si>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</si>
  <si>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</si>
  <si>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</si>
  <si>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</si>
  <si>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</si>
  <si>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</si>
  <si>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</si>
  <si>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</si>
  <si>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</si>
  <si>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</si>
  <si>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</si>
  <si>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</si>
  <si>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</si>
  <si>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</si>
  <si>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</si>
  <si>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</si>
  <si>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</si>
  <si>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</si>
  <si>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</si>
  <si>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</si>
  <si>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</si>
  <si>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</si>
  <si>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</si>
  <si>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</si>
  <si>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</si>
  <si>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</si>
  <si>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</si>
  <si>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</si>
  <si>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</si>
  <si>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</si>
  <si>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</si>
  <si>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</si>
  <si>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</si>
  <si>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</si>
  <si>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</si>
  <si>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</si>
  <si>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</si>
  <si>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</si>
  <si>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</si>
  <si>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</si>
  <si>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</si>
  <si>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</si>
  <si>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</si>
  <si>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</si>
  <si>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</si>
  <si>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</si>
  <si>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</si>
  <si>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</si>
  <si>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</si>
  <si>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</si>
  <si>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</si>
  <si>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</si>
  <si>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</si>
  <si>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</si>
  <si>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</si>
  <si>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</si>
  <si>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</si>
  <si>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</si>
  <si>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</si>
  <si>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</si>
  <si>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</si>
  <si>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</si>
  <si>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</si>
  <si>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</si>
  <si>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</si>
  <si>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</si>
  <si>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</si>
  <si>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</si>
  <si>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</si>
  <si>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</si>
  <si>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</si>
  <si>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</si>
  <si>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</si>
  <si>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</si>
  <si>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</si>
  <si>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</si>
  <si>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</si>
  <si>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</si>
  <si>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</si>
  <si>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</si>
  <si>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</si>
  <si>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</si>
  <si>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</si>
  <si>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</si>
  <si>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</si>
  <si>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</si>
  <si>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</si>
  <si>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</si>
  <si>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</si>
  <si>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</si>
  <si>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</si>
  <si>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</si>
  <si>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</si>
  <si>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</si>
  <si>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</si>
  <si>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</si>
  <si>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</si>
  <si>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</si>
  <si>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</si>
  <si>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</si>
  <si>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</si>
  <si>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</si>
  <si>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</si>
  <si>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</si>
  <si>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</si>
  <si>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</si>
  <si>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</si>
  <si>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</si>
  <si>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</si>
  <si>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</si>
  <si>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</si>
  <si>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</si>
  <si>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</si>
  <si>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</si>
  <si>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</si>
  <si>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</si>
  <si>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</si>
  <si>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</si>
  <si>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</si>
  <si>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</si>
  <si>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</si>
  <si>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</si>
  <si>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</si>
  <si>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</si>
  <si>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</si>
  <si>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</si>
  <si>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</si>
  <si>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</si>
  <si>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</si>
  <si>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</si>
  <si>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</si>
  <si>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</si>
  <si>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</si>
  <si>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</si>
  <si>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</si>
  <si>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</si>
  <si>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</si>
  <si>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</si>
  <si>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</si>
  <si>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</si>
  <si>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</si>
  <si>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</si>
  <si>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</si>
  <si>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</si>
  <si>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</si>
  <si>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</si>
  <si>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</si>
  <si>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</si>
  <si>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</si>
  <si>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</si>
  <si>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</si>
  <si>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</si>
  <si>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</si>
  <si>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</si>
  <si>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</si>
  <si>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</si>
  <si>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</si>
  <si>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</si>
  <si>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</si>
  <si>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</si>
  <si>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</si>
  <si>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</si>
  <si>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</si>
  <si>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</si>
  <si>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</si>
  <si>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</si>
  <si>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</si>
  <si>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</si>
  <si>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</si>
  <si>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</si>
  <si>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</si>
  <si>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</si>
  <si>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</si>
  <si>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</si>
  <si>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</si>
  <si>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</si>
  <si>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</si>
  <si>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</si>
  <si>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</si>
  <si>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</si>
  <si>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</si>
  <si>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</si>
  <si>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</si>
  <si>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</si>
  <si>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</si>
  <si>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</si>
  <si>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</si>
  <si>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</si>
  <si>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</si>
  <si>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</si>
  <si>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</si>
  <si>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</si>
  <si>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</si>
  <si>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</si>
  <si>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</si>
  <si>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</si>
  <si>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</si>
  <si>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</si>
  <si>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</si>
  <si>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</si>
  <si>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</si>
  <si>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</si>
  <si>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</si>
  <si>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</si>
  <si>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</si>
  <si>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</si>
  <si>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</si>
  <si>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</si>
  <si>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</si>
  <si>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</si>
  <si>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</si>
  <si>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</si>
  <si>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</si>
  <si>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</si>
  <si>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</si>
  <si>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</si>
  <si>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</si>
  <si>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</si>
  <si>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</si>
  <si>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</si>
  <si>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</si>
  <si>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</si>
  <si>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</si>
  <si>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</si>
  <si>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</si>
  <si>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</si>
  <si>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</si>
  <si>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</si>
  <si>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</si>
  <si>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</si>
  <si>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</si>
  <si>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</si>
  <si>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</si>
  <si>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</si>
  <si>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</si>
  <si>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</si>
  <si>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</si>
  <si>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</si>
  <si>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</si>
  <si>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</si>
  <si>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</si>
  <si>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</si>
  <si>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</si>
  <si>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</si>
  <si>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</si>
  <si>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</si>
  <si>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</si>
  <si>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</si>
  <si>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</si>
  <si>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</si>
  <si>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</si>
  <si>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</si>
  <si>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</si>
  <si>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</si>
  <si>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</si>
  <si>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</si>
  <si>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</si>
  <si>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</si>
  <si>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</si>
  <si>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</si>
  <si>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</si>
  <si>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</si>
  <si>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</si>
  <si>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</si>
  <si>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</si>
  <si>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</si>
  <si>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</si>
  <si>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</si>
  <si>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</si>
  <si>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</si>
  <si>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</si>
  <si>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</si>
  <si>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</si>
  <si>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</si>
  <si>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</si>
  <si>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</si>
  <si>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</si>
  <si>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</si>
  <si>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</si>
  <si>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</si>
  <si>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</si>
  <si>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</si>
  <si>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</si>
  <si>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</si>
  <si>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</si>
  <si>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</si>
  <si>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</si>
  <si>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</si>
  <si>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</si>
  <si>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</si>
  <si>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</si>
  <si>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</si>
  <si>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</si>
  <si>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</si>
  <si>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</si>
  <si>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</si>
  <si>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</si>
  <si>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</si>
  <si>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</si>
  <si>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</si>
  <si>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</si>
  <si>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</si>
  <si>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</si>
  <si>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</si>
  <si>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</si>
  <si>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</si>
  <si>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</si>
  <si>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</si>
  <si>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</si>
  <si>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</si>
  <si>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</si>
  <si>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</si>
  <si>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</si>
  <si>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</si>
  <si>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</si>
  <si>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</si>
  <si>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</si>
  <si>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</si>
  <si>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</si>
  <si>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</si>
  <si>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</si>
  <si>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</si>
  <si>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</si>
  <si>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</si>
  <si>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</si>
  <si>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</si>
  <si>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</si>
  <si>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</si>
  <si>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</si>
  <si>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</si>
  <si>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</si>
  <si>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</si>
  <si>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</si>
  <si>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</si>
  <si>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</si>
  <si>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</si>
  <si>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</si>
  <si>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</si>
  <si>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</si>
  <si>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</si>
  <si>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</si>
  <si>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</si>
  <si>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</si>
  <si>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</si>
  <si>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</si>
  <si>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</si>
  <si>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</si>
  <si>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</si>
  <si>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</si>
  <si>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</si>
  <si>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</si>
  <si>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</si>
  <si>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</si>
  <si>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</si>
  <si>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</si>
  <si>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</si>
  <si>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</si>
  <si>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</si>
  <si>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</si>
  <si>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</si>
  <si>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</si>
  <si>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</si>
  <si>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</si>
  <si>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</si>
  <si>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</si>
  <si>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</si>
  <si>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</si>
  <si>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</si>
  <si>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</si>
  <si>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</si>
  <si>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</si>
  <si>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</si>
  <si>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</si>
  <si>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</si>
  <si>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</si>
  <si>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</si>
  <si>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</si>
  <si>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</si>
  <si>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</si>
  <si>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</si>
  <si>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</si>
  <si>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</si>
  <si>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</si>
  <si>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</si>
  <si>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</si>
  <si>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</si>
  <si>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</si>
  <si>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</si>
  <si>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</si>
  <si>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</si>
  <si>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</si>
  <si>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</si>
  <si>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</si>
  <si>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</si>
  <si>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</si>
  <si>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</si>
  <si>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</si>
  <si>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</si>
  <si>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</si>
  <si>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</si>
  <si>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</si>
  <si>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</si>
  <si>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</si>
  <si>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</si>
  <si>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</si>
  <si>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</si>
  <si>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</si>
  <si>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</si>
  <si>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</si>
  <si>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</si>
  <si>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</si>
  <si>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</si>
  <si>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</si>
  <si>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</si>
  <si>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</si>
  <si>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</si>
  <si>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</si>
  <si>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</si>
  <si>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</si>
  <si>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</si>
  <si>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</si>
  <si>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</si>
  <si>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</si>
  <si>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</si>
  <si>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</si>
  <si>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</si>
  <si>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</si>
  <si>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</si>
  <si>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</si>
  <si>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</si>
  <si>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</si>
  <si>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</si>
  <si>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</si>
  <si>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</si>
  <si>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</si>
  <si>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</si>
  <si>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</si>
  <si>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</si>
  <si>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</si>
  <si>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</si>
  <si>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</si>
  <si>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</si>
  <si>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</si>
  <si>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</si>
  <si>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</si>
  <si>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</si>
  <si>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</si>
  <si>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</si>
  <si>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</si>
  <si>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</si>
  <si>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</si>
  <si>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</si>
  <si>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</si>
  <si>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</si>
  <si>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</si>
  <si>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</si>
  <si>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</si>
  <si>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</si>
  <si>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</si>
  <si>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</si>
  <si>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</si>
  <si>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</si>
  <si>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</si>
  <si>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</si>
  <si>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</si>
  <si>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</si>
  <si>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</si>
  <si>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</si>
  <si>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</si>
  <si>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</si>
  <si>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</si>
  <si>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</si>
  <si>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</si>
  <si>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</si>
  <si>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</si>
  <si>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</si>
  <si>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</si>
  <si>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</si>
  <si>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</si>
  <si>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</si>
  <si>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</si>
  <si>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</si>
  <si>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</si>
  <si>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</si>
  <si>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</si>
  <si>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</si>
  <si>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</si>
  <si>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</si>
  <si>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</si>
  <si>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</si>
  <si>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</si>
  <si>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</si>
  <si>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</si>
  <si>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</si>
  <si>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</si>
  <si>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</si>
  <si>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</si>
  <si>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</si>
  <si>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</si>
  <si>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</si>
  <si>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</si>
  <si>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</si>
  <si>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</si>
  <si>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</si>
  <si>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</si>
  <si>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</si>
  <si>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</si>
  <si>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</si>
  <si>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</si>
  <si>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</si>
  <si>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</si>
  <si>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</si>
  <si>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</si>
  <si>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</si>
  <si>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</si>
  <si>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</si>
  <si>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</si>
  <si>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</si>
  <si>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</si>
  <si>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</si>
  <si>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</si>
  <si>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</si>
  <si>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</si>
  <si>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</si>
  <si>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</si>
  <si>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</si>
  <si>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</si>
  <si>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</si>
  <si>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</si>
  <si>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</si>
  <si>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</si>
  <si>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</si>
  <si>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</si>
  <si>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</si>
  <si>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</si>
  <si>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</si>
  <si>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</si>
  <si>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</si>
  <si>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</si>
  <si>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</si>
  <si>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</si>
  <si>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</si>
  <si>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</si>
  <si>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</si>
  <si>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</si>
  <si>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</si>
  <si>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</si>
  <si>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</si>
  <si>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</si>
  <si>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</si>
  <si>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</si>
  <si>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</si>
  <si>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</si>
  <si>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</si>
  <si>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</si>
  <si>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</si>
  <si>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</si>
  <si>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</si>
  <si>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</si>
  <si>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</si>
  <si>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</si>
  <si>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</si>
  <si>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</si>
  <si>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</si>
  <si>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</si>
  <si>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</si>
  <si>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</si>
  <si>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</si>
  <si>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</si>
  <si>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</si>
  <si>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</si>
  <si>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</si>
  <si>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</si>
  <si>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</si>
  <si>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</si>
  <si>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</si>
  <si>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</si>
  <si>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</si>
  <si>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</si>
  <si>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</si>
  <si>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</si>
  <si>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</si>
  <si>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</si>
  <si>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</si>
  <si>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</si>
  <si>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</si>
  <si>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</si>
  <si>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</si>
  <si>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</si>
  <si>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</si>
  <si>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</si>
  <si>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</si>
  <si>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</si>
  <si>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</si>
  <si>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</si>
  <si>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</si>
  <si>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</si>
  <si>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</si>
  <si>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</si>
  <si>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</si>
  <si>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</si>
  <si>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</si>
  <si>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</si>
  <si>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</si>
  <si>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</si>
  <si>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</si>
  <si>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</si>
  <si>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</si>
  <si>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</si>
  <si>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</si>
  <si>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</si>
  <si>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</si>
  <si>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</si>
  <si>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</si>
  <si>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</si>
  <si>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</si>
  <si>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</si>
  <si>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</si>
  <si>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</si>
  <si>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</si>
  <si>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</si>
  <si>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</si>
  <si>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</si>
  <si>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</si>
  <si>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</si>
  <si>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</si>
  <si>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</si>
  <si>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</si>
  <si>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</si>
  <si>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</si>
  <si>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</si>
  <si>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</si>
  <si>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</si>
  <si>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</si>
  <si>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</si>
  <si>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</si>
  <si>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</si>
  <si>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</si>
  <si>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</si>
  <si>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</si>
  <si>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</si>
  <si>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</si>
  <si>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</si>
  <si>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</si>
  <si>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</si>
  <si>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</si>
  <si>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</si>
  <si>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</si>
  <si>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</si>
  <si>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</si>
  <si>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</si>
  <si>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</si>
  <si>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</si>
  <si>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</si>
  <si>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</si>
  <si>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</si>
  <si>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</si>
  <si>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</si>
  <si>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</si>
  <si>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</si>
  <si>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</si>
  <si>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</si>
  <si>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</si>
  <si>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</si>
  <si>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</si>
  <si>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</si>
  <si>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</si>
  <si>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</si>
  <si>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</si>
  <si>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</si>
  <si>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</si>
  <si>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</si>
  <si>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</si>
  <si>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</si>
  <si>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</si>
  <si>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</si>
  <si>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</si>
  <si>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</si>
  <si>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</si>
  <si>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</si>
  <si>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</si>
  <si>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</si>
  <si>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</si>
  <si>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</si>
  <si>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</si>
  <si>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</si>
  <si>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</si>
  <si>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</si>
  <si>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</si>
  <si>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</si>
  <si>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</si>
  <si>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</si>
  <si>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</si>
  <si>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</si>
  <si>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</si>
  <si>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</si>
  <si>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</si>
  <si>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</si>
  <si>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</si>
  <si>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</si>
  <si>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</si>
  <si>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</si>
  <si>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</si>
  <si>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</si>
  <si>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</si>
  <si>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</si>
  <si>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</si>
  <si>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</si>
  <si>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</si>
  <si>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</si>
  <si>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</si>
  <si>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</si>
  <si>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</si>
  <si>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</si>
  <si>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</si>
  <si>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</si>
  <si>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</si>
  <si>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</si>
  <si>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</si>
  <si>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</si>
  <si>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</si>
  <si>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</si>
  <si>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</si>
  <si>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</si>
  <si>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</si>
  <si>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</si>
  <si>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</si>
  <si>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</si>
  <si>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</si>
  <si>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</si>
  <si>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</si>
  <si>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</si>
  <si>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</si>
  <si>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</si>
  <si>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</si>
  <si>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</si>
  <si>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</si>
  <si>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</si>
  <si>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</si>
  <si>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</si>
  <si>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</si>
  <si>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</si>
  <si>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</si>
  <si>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</si>
  <si>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</si>
  <si>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</si>
  <si>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</si>
  <si>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</si>
  <si>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</si>
  <si>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</si>
  <si>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</si>
  <si>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</si>
  <si>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</si>
  <si>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</si>
  <si>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</si>
  <si>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</si>
  <si>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</si>
  <si>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</si>
  <si>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</si>
  <si>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</si>
  <si>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</si>
  <si>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</si>
  <si>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</si>
  <si>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</si>
  <si>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</si>
  <si>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</si>
  <si>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</si>
  <si>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</si>
  <si>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</si>
  <si>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</si>
  <si>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</si>
  <si>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</si>
  <si>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</si>
  <si>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</si>
  <si>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</si>
  <si>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</si>
  <si>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</si>
  <si>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</si>
  <si>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</si>
  <si>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</si>
  <si>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</si>
  <si>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</si>
  <si>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</si>
  <si>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</si>
  <si>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</si>
  <si>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</si>
  <si>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</si>
  <si>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</si>
  <si>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</si>
  <si>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</si>
  <si>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</si>
  <si>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</si>
  <si>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</si>
  <si>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</si>
  <si>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</si>
  <si>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</si>
  <si>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</si>
  <si>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</si>
  <si>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</si>
  <si>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</si>
  <si>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</si>
  <si>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</si>
  <si>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</si>
  <si>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</si>
  <si>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</si>
  <si>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</si>
  <si>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</si>
  <si>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</si>
  <si>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</si>
  <si>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</si>
  <si>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</si>
  <si>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</si>
  <si>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</si>
  <si>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</si>
  <si>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</si>
  <si>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</si>
  <si>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</si>
  <si>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</si>
  <si>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</si>
  <si>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</si>
  <si>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</si>
  <si>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</si>
  <si>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</si>
  <si>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</si>
  <si>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</si>
  <si>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</si>
  <si>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</si>
  <si>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</si>
  <si>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</si>
  <si>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</si>
  <si>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</si>
  <si>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</si>
  <si>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</si>
  <si>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</si>
  <si>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</si>
  <si>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</si>
  <si>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</si>
  <si>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</si>
  <si>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</si>
  <si>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</si>
  <si>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</si>
  <si>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</si>
  <si>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</si>
  <si>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</si>
  <si>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</si>
  <si>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</si>
  <si>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</si>
  <si>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</si>
  <si>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</si>
  <si>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</si>
  <si>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</si>
  <si>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</si>
  <si>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</si>
  <si>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</si>
  <si>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</si>
  <si>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</si>
  <si>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</si>
  <si>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</si>
  <si>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</si>
  <si>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</si>
  <si>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</si>
  <si>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</si>
  <si>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</si>
  <si>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</si>
  <si>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</si>
  <si>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</si>
  <si>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</si>
  <si>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</si>
  <si>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</si>
  <si>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</si>
  <si>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</si>
  <si>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</si>
  <si>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</si>
  <si>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</si>
  <si>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</si>
  <si>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</si>
  <si>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</si>
  <si>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</si>
  <si>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</si>
  <si>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</si>
  <si>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</si>
  <si>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</si>
  <si>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</si>
  <si>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</si>
  <si>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</si>
  <si>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</si>
  <si>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</si>
  <si>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</si>
  <si>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</si>
  <si>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</si>
  <si>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</si>
  <si>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</si>
  <si>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</si>
  <si>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</si>
  <si>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</si>
  <si>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</si>
  <si>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</si>
  <si>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</si>
  <si>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</si>
  <si>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</si>
  <si>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</si>
  <si>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</si>
  <si>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</si>
  <si>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</si>
  <si>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</si>
  <si>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</si>
  <si>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</si>
  <si>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</si>
  <si>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</si>
  <si>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</si>
  <si>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</si>
  <si>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</si>
  <si>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</si>
  <si>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</si>
  <si>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</si>
  <si>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</si>
  <si>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</si>
  <si>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</si>
  <si>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</si>
  <si>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</si>
  <si>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</si>
  <si>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</si>
  <si>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</si>
  <si>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</si>
  <si>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</si>
  <si>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</si>
  <si>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</si>
  <si>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</si>
  <si>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</si>
  <si>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</si>
  <si>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</si>
  <si>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</si>
  <si>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</si>
  <si>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</si>
  <si>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</si>
  <si>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</si>
  <si>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</si>
  <si>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</si>
  <si>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</si>
  <si>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</si>
  <si>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</si>
  <si>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</si>
  <si>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</si>
  <si>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</si>
  <si>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</si>
  <si>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</si>
  <si>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</si>
  <si>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</si>
  <si>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</si>
  <si>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</si>
  <si>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</si>
  <si>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</si>
  <si>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</si>
  <si>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</si>
  <si>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</si>
  <si>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</si>
  <si>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</si>
  <si>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</si>
  <si>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</si>
  <si>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</si>
  <si>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</si>
  <si>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</si>
  <si>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</si>
  <si>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</si>
  <si>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</si>
  <si>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</si>
  <si>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</si>
  <si>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</si>
  <si>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</si>
  <si>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</si>
  <si>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</si>
  <si>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</si>
  <si>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</si>
  <si>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</si>
  <si>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</si>
  <si>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</si>
  <si>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</si>
  <si>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</si>
  <si>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</si>
  <si>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</si>
  <si>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</si>
  <si>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</si>
  <si>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</si>
  <si>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</si>
  <si>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</si>
  <si>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</si>
  <si>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</si>
  <si>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</si>
  <si>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</si>
  <si>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</si>
  <si>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</si>
  <si>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</si>
  <si>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</si>
  <si>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</si>
  <si>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</si>
  <si>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</si>
  <si>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</si>
  <si>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</si>
  <si>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</si>
  <si>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</si>
  <si>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</si>
  <si>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</si>
  <si>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</si>
  <si>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</si>
  <si>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</si>
  <si>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</si>
  <si>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</si>
  <si>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</si>
  <si>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</si>
  <si>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</si>
  <si>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</si>
  <si>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</si>
  <si>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</si>
  <si>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</si>
  <si>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</si>
  <si>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</si>
  <si>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</si>
  <si>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</si>
  <si>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</si>
  <si>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</si>
  <si>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</si>
  <si>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</si>
  <si>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</si>
  <si>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</si>
  <si>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</si>
  <si>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</si>
  <si>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</si>
  <si>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</si>
  <si>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</si>
  <si>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</si>
  <si>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</si>
  <si>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</si>
  <si>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</si>
  <si>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</si>
  <si>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</si>
  <si>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</si>
  <si>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</si>
  <si>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</si>
  <si>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</si>
  <si>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</si>
  <si>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</si>
  <si>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</si>
  <si>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</si>
  <si>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</si>
  <si>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</si>
  <si>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</si>
  <si>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</si>
  <si>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</si>
  <si>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</si>
  <si>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</si>
  <si>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</si>
  <si>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</si>
  <si>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</si>
  <si>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</si>
  <si>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</si>
  <si>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</si>
  <si>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</si>
  <si>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</si>
  <si>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</si>
  <si>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</si>
  <si>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</si>
  <si>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</si>
  <si>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</si>
  <si>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</si>
  <si>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</si>
  <si>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</si>
  <si>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</si>
  <si>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</si>
  <si>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</si>
  <si>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</si>
  <si>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</si>
  <si>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</si>
  <si>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</si>
  <si>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</si>
  <si>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</si>
  <si>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</si>
  <si>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</si>
  <si>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</si>
  <si>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</si>
  <si>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</si>
  <si>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</si>
  <si>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</si>
  <si>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</si>
  <si>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</si>
  <si>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</si>
  <si>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</si>
  <si>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</si>
  <si>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</si>
  <si>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</si>
  <si>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</si>
  <si>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</si>
  <si>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</si>
  <si>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</si>
  <si>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</si>
  <si>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</si>
  <si>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</si>
  <si>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</si>
  <si>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</si>
  <si>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</si>
  <si>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</si>
  <si>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</si>
  <si>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</si>
  <si>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</si>
  <si>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</si>
  <si>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</si>
  <si>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</si>
  <si>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</si>
  <si>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</si>
  <si>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</si>
  <si>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</si>
  <si>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</si>
  <si>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</si>
  <si>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</si>
  <si>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</si>
  <si>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</si>
  <si>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</si>
  <si>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</si>
  <si>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</si>
  <si>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</si>
  <si>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</si>
  <si>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</si>
  <si>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</si>
  <si>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</si>
  <si>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</si>
  <si>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</si>
  <si>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</si>
  <si>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</si>
  <si>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</si>
  <si>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</si>
  <si>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</si>
  <si>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</si>
  <si>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</si>
  <si>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</si>
  <si>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</si>
  <si>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</si>
  <si>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</si>
  <si>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</si>
  <si>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</si>
  <si>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</si>
  <si>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</si>
  <si>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</si>
  <si>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</si>
  <si>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</si>
  <si>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</si>
  <si>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</si>
  <si>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</si>
  <si>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</si>
  <si>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</si>
  <si>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</si>
  <si>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</si>
  <si>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</si>
  <si>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</si>
  <si>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</si>
  <si>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</si>
  <si>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</si>
  <si>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</si>
  <si>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</si>
  <si>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</si>
  <si>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</si>
  <si>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</si>
  <si>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</si>
  <si>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</si>
  <si>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</si>
  <si>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</si>
  <si>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</si>
  <si>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</si>
  <si>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</si>
  <si>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</si>
  <si>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</si>
  <si>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</si>
  <si>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</si>
  <si>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</si>
  <si>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</si>
  <si>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</si>
  <si>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</si>
  <si>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</si>
  <si>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</si>
  <si>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</si>
  <si>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</si>
  <si>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</si>
  <si>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</si>
  <si>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</si>
  <si>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</si>
  <si>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</si>
  <si>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</si>
  <si>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</si>
  <si>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</si>
  <si>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</si>
  <si>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</si>
  <si>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</si>
  <si>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</si>
  <si>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</si>
  <si>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</si>
  <si>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</si>
  <si>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</si>
  <si>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</si>
  <si>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</si>
  <si>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</si>
  <si>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</si>
  <si>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</si>
  <si>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</si>
  <si>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</si>
  <si>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</si>
  <si>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</si>
  <si>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</si>
  <si>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</si>
  <si>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</si>
  <si>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</si>
  <si>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</si>
  <si>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</si>
  <si>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</si>
  <si>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</si>
  <si>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</si>
  <si>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</si>
  <si>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</si>
  <si>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</si>
  <si>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</si>
  <si>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</si>
  <si>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</si>
  <si>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</si>
  <si>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</si>
  <si>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</si>
  <si>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</si>
  <si>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</si>
  <si>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</si>
  <si>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</si>
  <si>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</si>
  <si>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</si>
  <si>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</si>
  <si>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</si>
  <si>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</si>
  <si>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</si>
  <si>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</si>
  <si>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</si>
  <si>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</si>
  <si>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</si>
  <si>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</si>
  <si>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</si>
  <si>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</si>
  <si>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</si>
  <si>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</si>
  <si>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</si>
  <si>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</si>
  <si>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</si>
  <si>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</si>
  <si>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</si>
  <si>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</si>
  <si>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</si>
  <si>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</si>
  <si>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</si>
  <si>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</si>
  <si>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</si>
  <si>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</si>
  <si>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</si>
  <si>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</si>
  <si>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</si>
  <si>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</si>
  <si>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</si>
  <si>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</si>
  <si>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</si>
  <si>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</si>
  <si>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</si>
  <si>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</si>
  <si>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</si>
  <si>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</si>
  <si>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</si>
  <si>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</si>
  <si>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</si>
  <si>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</si>
  <si>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</si>
  <si>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</si>
  <si>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</si>
  <si>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</si>
  <si>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</si>
  <si>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</si>
  <si>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</si>
  <si>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</si>
  <si>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</si>
  <si>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</si>
  <si>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</si>
  <si>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</si>
  <si>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</si>
  <si>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</si>
  <si>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</si>
  <si>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</si>
  <si>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</si>
  <si>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</si>
  <si>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</si>
  <si>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</si>
  <si>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</si>
  <si>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</si>
  <si>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</si>
  <si>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</si>
  <si>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</si>
  <si>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</si>
  <si>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</si>
  <si>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</si>
  <si>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</si>
  <si>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</si>
  <si>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</si>
  <si>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</si>
  <si>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</si>
  <si>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</si>
  <si>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</si>
  <si>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</si>
  <si>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</si>
  <si>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</si>
  <si>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</si>
  <si>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</si>
  <si>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</si>
  <si>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</si>
  <si>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</si>
  <si>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</si>
  <si>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</si>
  <si>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</si>
  <si>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</si>
  <si>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</si>
  <si>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</si>
  <si>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</si>
  <si>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</si>
  <si>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</si>
  <si>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</si>
  <si>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</si>
  <si>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</si>
  <si>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</si>
  <si>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</si>
  <si>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</si>
  <si>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</si>
  <si>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</si>
  <si>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</si>
  <si>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</si>
  <si>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</si>
  <si>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</si>
  <si>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</si>
  <si>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</si>
  <si>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</si>
  <si>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</si>
  <si>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</si>
  <si>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</si>
  <si>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</si>
  <si>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</si>
  <si>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</si>
  <si>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</si>
  <si>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</si>
  <si>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</si>
  <si>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</si>
  <si>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</si>
  <si>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</si>
  <si>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</si>
  <si>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</si>
  <si>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</si>
  <si>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</si>
  <si>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</si>
  <si>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</si>
  <si>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</si>
  <si>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</si>
  <si>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</si>
  <si>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</si>
  <si>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</si>
  <si>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</si>
  <si>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</si>
  <si>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</si>
  <si>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</si>
  <si>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</si>
  <si>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</si>
  <si>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</si>
  <si>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</si>
  <si>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</si>
  <si>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</si>
  <si>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</si>
  <si>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</si>
  <si>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</si>
  <si>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</si>
  <si>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</si>
  <si>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</si>
  <si>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</si>
  <si>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</si>
  <si>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</si>
  <si>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</si>
  <si>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</si>
  <si>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</si>
  <si>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</si>
  <si>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</si>
  <si>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</si>
  <si>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</si>
  <si>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</si>
  <si>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</si>
  <si>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</si>
  <si>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</si>
  <si>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</si>
  <si>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</si>
  <si>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</si>
  <si>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</si>
  <si>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</si>
  <si>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</si>
  <si>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</si>
  <si>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</si>
  <si>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</si>
  <si>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</si>
  <si>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</si>
  <si>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</si>
  <si>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</si>
  <si>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</si>
  <si>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</si>
  <si>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</si>
  <si>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</si>
  <si>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</si>
  <si>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</si>
  <si>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</si>
  <si>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</si>
  <si>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</si>
  <si>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</si>
  <si>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</si>
  <si>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</si>
  <si>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</si>
  <si>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</si>
  <si>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</si>
  <si>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</si>
  <si>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</si>
  <si>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</si>
  <si>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</si>
  <si>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</si>
  <si>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</si>
  <si>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</si>
  <si>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</si>
  <si>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</si>
  <si>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</si>
  <si>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</si>
  <si>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</si>
  <si>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</si>
  <si>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</si>
  <si>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</si>
  <si>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</si>
  <si>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</si>
  <si>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</si>
  <si>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</si>
  <si>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</si>
  <si>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</si>
  <si>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</si>
  <si>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</si>
  <si>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</si>
  <si>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</si>
  <si>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</si>
  <si>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</si>
  <si>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</si>
  <si>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</si>
  <si>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</si>
  <si>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</si>
  <si>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</si>
  <si>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</si>
  <si>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</si>
  <si>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</si>
  <si>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</si>
  <si>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</si>
  <si>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</si>
  <si>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</si>
  <si>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</si>
  <si>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</si>
  <si>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</si>
  <si>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</si>
  <si>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</si>
  <si>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</si>
  <si>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</si>
  <si>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</si>
  <si>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</si>
  <si>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</si>
  <si>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</si>
  <si>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</si>
  <si>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</si>
  <si>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</si>
  <si>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</si>
  <si>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</si>
  <si>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</si>
  <si>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</si>
  <si>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</si>
  <si>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</si>
  <si>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</si>
  <si>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</si>
  <si>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</si>
  <si>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</si>
  <si>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</si>
  <si>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</si>
  <si>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</si>
  <si>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</si>
  <si>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</si>
  <si>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</si>
  <si>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</si>
  <si>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</si>
  <si>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</si>
  <si>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</si>
  <si>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</si>
  <si>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</si>
  <si>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</si>
  <si>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</si>
  <si>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</si>
  <si>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</si>
  <si>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</si>
  <si>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</si>
  <si>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</si>
  <si>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</si>
  <si>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</si>
  <si>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</si>
  <si>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</si>
  <si>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</si>
  <si>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</si>
  <si>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</si>
  <si>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</si>
  <si>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</si>
  <si>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</si>
  <si>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</si>
  <si>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</si>
  <si>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</si>
  <si>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</si>
  <si>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</si>
  <si>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</si>
  <si>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</si>
  <si>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</si>
  <si>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</si>
  <si>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</si>
  <si>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</si>
  <si>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</si>
  <si>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</si>
  <si>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</si>
  <si>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</si>
  <si>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</si>
  <si>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</si>
  <si>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</si>
  <si>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</si>
  <si>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</si>
  <si>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</si>
  <si>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</si>
  <si>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</si>
  <si>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</si>
  <si>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</si>
  <si>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</si>
  <si>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</si>
  <si>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</si>
  <si>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</si>
  <si>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</si>
  <si>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</si>
  <si>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</si>
  <si>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</si>
  <si>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</si>
  <si>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</si>
  <si>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</si>
  <si>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</si>
  <si>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</si>
  <si>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</si>
  <si>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</si>
  <si>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</si>
  <si>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</si>
  <si>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</si>
  <si>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</si>
  <si>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</si>
  <si>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</si>
  <si>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</si>
  <si>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</si>
  <si>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</si>
  <si>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</si>
  <si>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</si>
  <si>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</si>
  <si>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</si>
  <si>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</si>
  <si>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</si>
  <si>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</si>
  <si>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</si>
  <si>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</si>
  <si>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</si>
  <si>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</si>
  <si>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</si>
  <si>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</si>
  <si>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</si>
  <si>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</si>
  <si>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</si>
  <si>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</si>
  <si>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</si>
  <si>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</si>
  <si>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</si>
  <si>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</si>
  <si>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</si>
  <si>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</si>
  <si>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</si>
  <si>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</si>
  <si>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</si>
  <si>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</si>
  <si>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</si>
  <si>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</si>
  <si>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</si>
  <si>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</si>
  <si>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</si>
  <si>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</si>
  <si>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</si>
  <si>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</si>
  <si>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</si>
  <si>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</si>
  <si>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</si>
  <si>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</si>
  <si>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</si>
  <si>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</si>
  <si>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</si>
  <si>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</si>
  <si>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</si>
  <si>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</si>
  <si>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</si>
  <si>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</si>
  <si>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</si>
  <si>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</si>
  <si>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</si>
  <si>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</si>
  <si>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</si>
  <si>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</si>
  <si>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</si>
  <si>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</si>
  <si>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</si>
  <si>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</si>
  <si>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</si>
  <si>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</si>
  <si>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</si>
  <si>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</si>
  <si>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</si>
  <si>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</si>
  <si>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</si>
  <si>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</si>
  <si>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</si>
  <si>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</si>
  <si>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</si>
  <si>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</si>
  <si>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</si>
  <si>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</si>
  <si>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</si>
  <si>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</si>
  <si>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</si>
  <si>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</si>
  <si>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</si>
  <si>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</si>
  <si>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</si>
  <si>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</si>
  <si>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</si>
  <si>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</si>
  <si>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</si>
  <si>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</si>
  <si>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</si>
  <si>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</si>
  <si>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</si>
  <si>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</si>
  <si>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</si>
  <si>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</si>
  <si>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</si>
  <si>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</si>
  <si>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</si>
  <si>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</si>
  <si>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</si>
  <si>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</si>
  <si>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</si>
  <si>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</si>
  <si>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</si>
  <si>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</si>
  <si>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</si>
  <si>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</si>
  <si>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</si>
  <si>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</si>
  <si>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</si>
  <si>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</si>
  <si>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</si>
  <si>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</si>
  <si>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</si>
  <si>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</si>
  <si>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</si>
  <si>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</si>
  <si>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</si>
  <si>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</si>
  <si>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</si>
  <si>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</si>
  <si>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</si>
  <si>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</si>
  <si>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</si>
  <si>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</si>
  <si>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</si>
  <si>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</si>
  <si>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</si>
  <si>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</si>
  <si>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</si>
  <si>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</si>
  <si>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</si>
  <si>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</si>
  <si>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</si>
  <si>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</si>
  <si>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</si>
  <si>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</si>
  <si>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</si>
  <si>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</si>
  <si>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</si>
  <si>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</si>
  <si>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</si>
  <si>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</si>
  <si>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</si>
  <si>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</si>
  <si>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</si>
  <si>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</si>
  <si>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</si>
  <si>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</si>
  <si>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</si>
  <si>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</si>
  <si>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</si>
  <si>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</si>
  <si>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</si>
  <si>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</si>
  <si>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</si>
  <si>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</si>
  <si>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</si>
  <si>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</si>
  <si>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</si>
  <si>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</si>
  <si>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</si>
  <si>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</si>
  <si>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</si>
  <si>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</si>
  <si>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</si>
  <si>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</si>
  <si>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</si>
  <si>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</si>
  <si>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</si>
  <si>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</si>
  <si>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</si>
  <si>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</si>
  <si>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</si>
  <si>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</si>
  <si>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</si>
  <si>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</si>
  <si>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</si>
  <si>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</si>
  <si>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</si>
  <si>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</si>
  <si>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</si>
  <si>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</si>
  <si>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</si>
  <si>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</si>
  <si>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</si>
  <si>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</si>
  <si>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</si>
  <si>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</si>
  <si>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</si>
  <si>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</si>
  <si>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</si>
  <si>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</si>
  <si>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Bodega ECU</t>
  </si>
  <si>
    <t>STERICLIN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</si>
  <si>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</si>
  <si>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</si>
  <si>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</si>
  <si>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</si>
  <si>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</si>
  <si>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</si>
  <si>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</si>
  <si>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</si>
  <si>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</si>
  <si>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</si>
  <si>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</si>
  <si>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</si>
  <si>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</si>
  <si>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MEDITOP</t>
  </si>
  <si>
    <t>HOSPICARE</t>
  </si>
  <si>
    <t>Visualiza Requerimiento</t>
  </si>
  <si>
    <t>admin</t>
  </si>
  <si>
    <t>PRODIMEDA</t>
  </si>
  <si>
    <t>HALYARD</t>
  </si>
  <si>
    <t>JERILEX</t>
  </si>
  <si>
    <t>KIMBERLY CLARK PROFESSIONAL</t>
  </si>
  <si>
    <t>METREX</t>
  </si>
  <si>
    <t>REDAX</t>
  </si>
  <si>
    <t>SAGE</t>
  </si>
  <si>
    <t>STERYLAB</t>
  </si>
  <si>
    <t>VIRUMEC</t>
  </si>
  <si>
    <t>HOSPICARE.xlsm</t>
  </si>
  <si>
    <t xml:space="preserve"> METRICIDE</t>
  </si>
  <si>
    <t>ACCESORIO SET DE AUTOTRANSFUSION</t>
  </si>
  <si>
    <t>ACCESORIOS  CAMPANAS</t>
  </si>
  <si>
    <t>ACCESORIOS CAMPANAS</t>
  </si>
  <si>
    <t>ANGIOGRAFIA</t>
  </si>
  <si>
    <t>BATAS AISLAMIENTO</t>
  </si>
  <si>
    <t>BATAS QUIMIOTERAPIA</t>
  </si>
  <si>
    <t>BOLSAS</t>
  </si>
  <si>
    <t>CAMP. AUTOTRASNF.TRES CAMARAS EN HUMEDO</t>
  </si>
  <si>
    <t>CAMP.AUTOTRANSF.CUATRO CAMARAS EN HUMEDO</t>
  </si>
  <si>
    <t>CAMP.AUTOTRANSF.TRES CAMARAS TOTALM.SECO</t>
  </si>
  <si>
    <t>CAMPANA  DOS CAMARAS</t>
  </si>
  <si>
    <t>CAMPANA CUATRO CAMARAS EN HUMEDO</t>
  </si>
  <si>
    <t>CAMPANA DE CUATRO CAMARAS EN SECO</t>
  </si>
  <si>
    <t>CAMPANA DE TRES CAMARAS HUMEDO</t>
  </si>
  <si>
    <t>CAMPANA DE TRES CAMARAS SECO</t>
  </si>
  <si>
    <t>CAMPANA TRES CAMARAS TOTALMENTE SECO</t>
  </si>
  <si>
    <t>CAMPANA UNICAMERAL</t>
  </si>
  <si>
    <t>CARDIOVASCULAR</t>
  </si>
  <si>
    <t>CATETERES ANGULADOS PVC</t>
  </si>
  <si>
    <t>CATETERES CON TROCAR PUNTA AFILADA</t>
  </si>
  <si>
    <t>CATETERES CON TROCAR PUNTA CERRADA</t>
  </si>
  <si>
    <t>CATETERES DE SILICON ANGULADO</t>
  </si>
  <si>
    <t>CATETERES DE SILICON RECTO</t>
  </si>
  <si>
    <t>CATETERES RECTOS PVC</t>
  </si>
  <si>
    <t>CAVICIDE</t>
  </si>
  <si>
    <t>CAVIWIPES 1</t>
  </si>
  <si>
    <t>CAVIWIPES 1 XL</t>
  </si>
  <si>
    <t>GENERAL</t>
  </si>
  <si>
    <t>GUANTES</t>
  </si>
  <si>
    <t>GUANTES PARA QUIMIOTERAPIA</t>
  </si>
  <si>
    <t>JACKSON PRATT</t>
  </si>
  <si>
    <t>KARDIAL</t>
  </si>
  <si>
    <t>KIMGUARD</t>
  </si>
  <si>
    <t>MASCARILLA RESPIRATORIA N95</t>
  </si>
  <si>
    <t>MASCARILLAS CONTRA LIQUIDOS</t>
  </si>
  <si>
    <t>METRISPONGE</t>
  </si>
  <si>
    <t>MICROCOOL</t>
  </si>
  <si>
    <t>MULTIMAT</t>
  </si>
  <si>
    <t>ORTOPEDIA</t>
  </si>
  <si>
    <t>QCARE Q4</t>
  </si>
  <si>
    <t>QCARE Q8</t>
  </si>
  <si>
    <t>RESERVORIOS</t>
  </si>
  <si>
    <t>SET DE AUTOTRANSFUSION</t>
  </si>
  <si>
    <t>SPIRAL</t>
  </si>
  <si>
    <t>STOKINETA</t>
  </si>
  <si>
    <t>TIRAS REACTIVAS</t>
  </si>
  <si>
    <t>ULTRA</t>
  </si>
  <si>
    <t>UNICO</t>
  </si>
  <si>
    <t>UNIVERSAL</t>
  </si>
  <si>
    <t>VALVULA DE HEIMLICH</t>
  </si>
  <si>
    <t>VISERA</t>
  </si>
  <si>
    <t>METREX MARITIMO</t>
  </si>
  <si>
    <t>REDAX AEREO</t>
  </si>
  <si>
    <t>HALYARD AEREO</t>
  </si>
  <si>
    <t>SAGE MARITIMO</t>
  </si>
  <si>
    <t>STERYLAB AEREO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</si>
</sst>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1064688"/>
        <c:axId val="261066320"/>
      </c:barChart>
      <c:catAx>
        <c:axId val="261064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n-US"/>
          </a:p>
        </c:txPr>
        <c:crossAx val="261066320"/>
        <c:crosses val="autoZero"/>
        <c:auto val="1"/>
        <c:lblAlgn val="ctr"/>
        <c:lblOffset val="100"/>
        <c:noMultiLvlLbl val="0"/>
      </c:catAx>
      <c:valAx>
        <c:axId val="2610663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61064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3" val="0"/>
</file>

<file path=xl/ctrlProps/ctrlProp2.xml><?xml version="1.0" encoding="utf-8"?>
<formControlPr xmlns="http://schemas.microsoft.com/office/spreadsheetml/2009/9/main" objectType="List" dx="22" fmlaLink="Combos!$G$1" fmlaRange="Combos!$E$2:$E$2" val="0"/>
</file>

<file path=xl/ctrlProps/ctrlProp3.xml><?xml version="1.0" encoding="utf-8"?>
<formControlPr xmlns="http://schemas.microsoft.com/office/spreadsheetml/2009/9/main" objectType="List" dx="22" fmlaLink="Combos!$K$1" fmlaRange="Combos!$I$2:$I$11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6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53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2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6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2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24</xdr:col>
          <xdr:colOff>628650</xdr:colOff>
          <xdr:row>17</xdr:row>
          <xdr:rowOff>114300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30</xdr:col>
          <xdr:colOff>9525</xdr:colOff>
          <xdr:row>17</xdr:row>
          <xdr:rowOff>95250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20</xdr:row>
          <xdr:rowOff>104775</xdr:rowOff>
        </xdr:from>
        <xdr:to>
          <xdr:col>2</xdr:col>
          <xdr:colOff>533400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vtOrigen" cacheId="1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12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12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3" totalsRowShown="0">
  <autoFilter ref="A1:A3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2" totalsRowShown="0">
  <autoFilter ref="E1:E2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11" totalsRowShown="0">
  <autoFilter ref="I1:I11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6" totalsRowShown="0">
  <autoFilter ref="M1:M6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" totalsRowShown="0">
  <autoFilter ref="Q1:Q2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" totalsRowShown="0">
  <autoFilter ref="U1:U2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53" totalsRowShown="0">
  <autoFilter ref="AK1:AK53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2" totalsRowShown="0">
  <autoFilter ref="AO1:AO2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6" totalsRowShown="0">
  <autoFilter ref="BI1:BI6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2" totalsRowShown="0">
  <autoFilter ref="BU1:BU2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 activeCell="L16" sqref="L16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2895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6" r:id="rId4" name="optEscasez">
          <controlPr defaultSize="0" autoLine="0" r:id="rId5">
            <anchor moveWithCells="1">
              <from>
                <xdr:col>1</xdr:col>
                <xdr:colOff>771525</xdr:colOff>
                <xdr:row>20</xdr:row>
                <xdr:rowOff>104775</xdr:rowOff>
              </from>
              <to>
                <xdr:col>2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2056" r:id="rId4" name="optEscasez"/>
      </mc:Fallback>
    </mc:AlternateContent>
    <mc:AlternateContent xmlns:mc="http://schemas.openxmlformats.org/markup-compatibility/2006">
      <mc:Choice Requires="x14">
        <control shapeId="2055" r:id="rId6" name="optNoEscasez">
          <controlPr defaultSize="0" autoLine="0" r:id="rId7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6" name="optNoEscasez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r:id="rId9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8" name="cmdFiltrar"/>
      </mc:Fallback>
    </mc:AlternateContent>
    <mc:AlternateContent xmlns:mc="http://schemas.openxmlformats.org/markup-compatibility/2006">
      <mc:Choice Requires="x14">
        <control shapeId="2052" r:id="rId10" name="lstBodega">
          <controlPr defaultSize="0" autoLine="0" r:id="rId11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26</xdr:col>
                <xdr:colOff>371475</xdr:colOff>
                <xdr:row>22</xdr:row>
                <xdr:rowOff>142875</xdr:rowOff>
              </to>
            </anchor>
          </controlPr>
        </control>
      </mc:Choice>
      <mc:Fallback>
        <control shapeId="2052" r:id="rId10" name="lstBodega"/>
      </mc:Fallback>
    </mc:AlternateContent>
    <mc:AlternateContent xmlns:mc="http://schemas.openxmlformats.org/markup-compatibility/2006">
      <mc:Choice Requires="x14">
        <control shapeId="2053" r:id="rId12" name="lstProveedor">
          <controlPr defaultSize="0" autoLine="0" r:id="rId11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31</xdr:col>
                <xdr:colOff>514350</xdr:colOff>
                <xdr:row>22</xdr:row>
                <xdr:rowOff>123825</xdr:rowOff>
              </to>
            </anchor>
          </controlPr>
        </control>
      </mc:Choice>
      <mc:Fallback>
        <control shapeId="2053" r:id="rId12" name="lstProveedor"/>
      </mc:Fallback>
    </mc:AlternateContent>
    <mc:AlternateContent xmlns:mc="http://schemas.openxmlformats.org/markup-compatibility/2006">
      <mc:Choice Requires="x14">
        <control shapeId="2112" r:id="rId13" name="cmdCancelar">
          <controlPr defaultSize="0" autoLine="0" r:id="rId14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13" name="cmdCancelar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2913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53"/>
  <sheetViews>
    <sheetView showGridLines="0" topLeftCell="BP1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1</v>
      </c>
      <c r="E1" t="s">
        <v>2894</v>
      </c>
      <c r="G1">
        <v>1</v>
      </c>
      <c r="I1" t="s">
        <v>2894</v>
      </c>
      <c r="K1">
        <v>1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2897</v>
      </c>
      <c r="BZ1" t="s">
        <v>209</v>
      </c>
      <c r="CB1" t="s">
        <v>2912</v>
      </c>
    </row>
    <row r="2" spans="1:80" x14ac:dyDescent="0.25">
      <c r="A2" t="s">
        <v>2911</v>
      </c>
      <c r="C2" t="str">
        <f>IFERROR(INDEX(tbl_empresa[Nombre],num_empresa_seleccionada,1),$A$2)</f>
        <v>HOSPICARE</v>
      </c>
      <c r="E2" t="s">
        <v>2895</v>
      </c>
      <c r="G2" t="str">
        <f>IFERROR(INDEX(tbl_bodega[Nombre],num_bodega_seleccionada,1),$E$2)</f>
        <v>Bodega ECU</v>
      </c>
      <c r="I2" t="s">
        <v>2915</v>
      </c>
      <c r="K2" t="str">
        <f>IFERROR(INDEX(tbl_proveedor[Nombre],num_proveedor_seleccionada,1),$I$2)</f>
        <v>HALYARD</v>
      </c>
      <c r="M2" t="s">
        <v>2915</v>
      </c>
      <c r="O2" t="str">
        <f>IFERROR(INDEX(tbl_marca[Nombre],num_marca_seleccionada,1),$M$2)</f>
        <v>HALYARD</v>
      </c>
      <c r="S2">
        <f>IFERROR(INDEX(tbl_grupo[Nombre],num_grupo_seleccionada,1),$Q$2)</f>
        <v>0</v>
      </c>
      <c r="W2">
        <f>IFERROR(INDEX(tbl_linea[Nombre],num_linea_seleccionada,1),$U$2)</f>
        <v>0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K2" t="s">
        <v>2924</v>
      </c>
      <c r="AM2" t="str">
        <f>IFERROR(INDEX(tbl_subfamilia[Nombre],num_subfamilia_seleccionada,1),$AK$2)</f>
        <v xml:space="preserve"> METRICIDE</v>
      </c>
      <c r="AQ2">
        <f>IFERROR(INDEX(tbl_categoria[Nombre],num_categoria_seleccionada,1),$AO$2)</f>
        <v>0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2976</v>
      </c>
      <c r="BK2" t="str">
        <f>IFERROR(INDEX(tbl_perfil[Nombre],num_perfil_seleccionada,1),$BI$2)</f>
        <v>METREX MARITIMO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2923</v>
      </c>
      <c r="BW2" t="str">
        <f>IFERROR(INDEX(tbl_hojacb[Nombre],num_hojacb_seleccionada,1),$BU$2)</f>
        <v>HOSPICARE.xlsm</v>
      </c>
      <c r="BY2" t="s">
        <v>2909</v>
      </c>
      <c r="BZ2" t="b">
        <v>0</v>
      </c>
      <c r="CB2" t="b">
        <v>1</v>
      </c>
    </row>
    <row r="3" spans="1:80" x14ac:dyDescent="0.25">
      <c r="A3" t="s">
        <v>2910</v>
      </c>
      <c r="I3" t="s">
        <v>2916</v>
      </c>
      <c r="M3" t="s">
        <v>2918</v>
      </c>
      <c r="AK3" t="s">
        <v>2925</v>
      </c>
      <c r="BI3" t="s">
        <v>2977</v>
      </c>
      <c r="BM3" t="s">
        <v>2908</v>
      </c>
      <c r="BY3" t="s">
        <v>2888</v>
      </c>
      <c r="BZ3" t="b">
        <v>0</v>
      </c>
    </row>
    <row r="4" spans="1:80" x14ac:dyDescent="0.25">
      <c r="I4" t="s">
        <v>2917</v>
      </c>
      <c r="M4" t="s">
        <v>2919</v>
      </c>
      <c r="AK4" t="s">
        <v>2926</v>
      </c>
      <c r="BI4" t="s">
        <v>2978</v>
      </c>
      <c r="BM4" t="s">
        <v>1981</v>
      </c>
      <c r="BY4" t="s">
        <v>2898</v>
      </c>
      <c r="BZ4" t="b">
        <v>0</v>
      </c>
    </row>
    <row r="5" spans="1:80" x14ac:dyDescent="0.25">
      <c r="I5" t="s">
        <v>2918</v>
      </c>
      <c r="M5" t="s">
        <v>2920</v>
      </c>
      <c r="AK5" t="s">
        <v>2927</v>
      </c>
      <c r="BI5" t="s">
        <v>2979</v>
      </c>
      <c r="BM5" t="s">
        <v>1196</v>
      </c>
      <c r="BY5" t="s">
        <v>2899</v>
      </c>
      <c r="BZ5" t="b">
        <v>0</v>
      </c>
    </row>
    <row r="6" spans="1:80" x14ac:dyDescent="0.25">
      <c r="I6" t="s">
        <v>2914</v>
      </c>
      <c r="M6" t="s">
        <v>2921</v>
      </c>
      <c r="AK6" t="s">
        <v>2928</v>
      </c>
      <c r="BI6" t="s">
        <v>2980</v>
      </c>
      <c r="BM6" t="s">
        <v>1983</v>
      </c>
      <c r="BY6" t="s">
        <v>7</v>
      </c>
      <c r="BZ6" t="b">
        <v>0</v>
      </c>
    </row>
    <row r="7" spans="1:80" x14ac:dyDescent="0.25">
      <c r="I7" t="s">
        <v>2919</v>
      </c>
      <c r="AK7" t="s">
        <v>2929</v>
      </c>
      <c r="BM7" t="s">
        <v>2824</v>
      </c>
      <c r="BY7" t="s">
        <v>2900</v>
      </c>
      <c r="BZ7" t="b">
        <v>0</v>
      </c>
    </row>
    <row r="8" spans="1:80" x14ac:dyDescent="0.25">
      <c r="I8" t="s">
        <v>2920</v>
      </c>
      <c r="AK8" t="s">
        <v>2930</v>
      </c>
      <c r="BY8" t="s">
        <v>2901</v>
      </c>
      <c r="BZ8" t="b">
        <v>0</v>
      </c>
    </row>
    <row r="9" spans="1:80" x14ac:dyDescent="0.25">
      <c r="I9" t="s">
        <v>2896</v>
      </c>
      <c r="AK9" t="s">
        <v>2931</v>
      </c>
      <c r="BY9" t="s">
        <v>2902</v>
      </c>
      <c r="BZ9" t="b">
        <v>0</v>
      </c>
    </row>
    <row r="10" spans="1:80" x14ac:dyDescent="0.25">
      <c r="I10" t="s">
        <v>2921</v>
      </c>
      <c r="AK10" t="s">
        <v>2932</v>
      </c>
      <c r="BY10" t="s">
        <v>2903</v>
      </c>
      <c r="BZ10" t="b">
        <v>0</v>
      </c>
    </row>
    <row r="11" spans="1:80" x14ac:dyDescent="0.25">
      <c r="I11" t="s">
        <v>2922</v>
      </c>
      <c r="AK11" t="s">
        <v>2933</v>
      </c>
      <c r="BY11" t="s">
        <v>2904</v>
      </c>
      <c r="BZ11" t="b">
        <v>0</v>
      </c>
    </row>
    <row r="12" spans="1:80" x14ac:dyDescent="0.25">
      <c r="AK12" t="s">
        <v>2934</v>
      </c>
      <c r="BY12" t="s">
        <v>2905</v>
      </c>
      <c r="BZ12" t="b">
        <v>0</v>
      </c>
    </row>
    <row r="13" spans="1:80" x14ac:dyDescent="0.25">
      <c r="AK13" t="s">
        <v>2935</v>
      </c>
      <c r="BY13" t="s">
        <v>1153</v>
      </c>
      <c r="BZ13" t="b">
        <v>0</v>
      </c>
    </row>
    <row r="14" spans="1:80" x14ac:dyDescent="0.25">
      <c r="AK14" t="s">
        <v>2936</v>
      </c>
      <c r="BY14" t="s">
        <v>2906</v>
      </c>
      <c r="BZ14" t="b">
        <v>0</v>
      </c>
    </row>
    <row r="15" spans="1:80" x14ac:dyDescent="0.25">
      <c r="AK15" t="s">
        <v>2937</v>
      </c>
      <c r="BY15" t="s">
        <v>2847</v>
      </c>
      <c r="BZ15" t="b">
        <v>0</v>
      </c>
    </row>
    <row r="16" spans="1:80" x14ac:dyDescent="0.25">
      <c r="AK16" t="s">
        <v>2938</v>
      </c>
      <c r="BY16" t="s">
        <v>1195</v>
      </c>
      <c r="BZ16" t="b">
        <v>0</v>
      </c>
    </row>
    <row r="17" spans="37:78" x14ac:dyDescent="0.25">
      <c r="AK17" t="s">
        <v>2939</v>
      </c>
      <c r="BY17" t="s">
        <v>2907</v>
      </c>
      <c r="BZ17" t="b">
        <v>0</v>
      </c>
    </row>
    <row r="18" spans="37:78" x14ac:dyDescent="0.25">
      <c r="AK18" t="s">
        <v>2940</v>
      </c>
    </row>
    <row r="19" spans="37:78" x14ac:dyDescent="0.25">
      <c r="AK19" t="s">
        <v>2941</v>
      </c>
    </row>
    <row r="20" spans="37:78" x14ac:dyDescent="0.25">
      <c r="AK20" t="s">
        <v>2942</v>
      </c>
    </row>
    <row r="21" spans="37:78" x14ac:dyDescent="0.25">
      <c r="AK21" t="s">
        <v>2943</v>
      </c>
    </row>
    <row r="22" spans="37:78" x14ac:dyDescent="0.25">
      <c r="AK22" t="s">
        <v>2944</v>
      </c>
    </row>
    <row r="23" spans="37:78" x14ac:dyDescent="0.25">
      <c r="AK23" t="s">
        <v>2945</v>
      </c>
    </row>
    <row r="24" spans="37:78" x14ac:dyDescent="0.25">
      <c r="AK24" t="s">
        <v>2946</v>
      </c>
    </row>
    <row r="25" spans="37:78" x14ac:dyDescent="0.25">
      <c r="AK25" t="s">
        <v>2947</v>
      </c>
    </row>
    <row r="26" spans="37:78" x14ac:dyDescent="0.25">
      <c r="AK26" t="s">
        <v>2948</v>
      </c>
    </row>
    <row r="27" spans="37:78" x14ac:dyDescent="0.25">
      <c r="AK27" t="s">
        <v>2949</v>
      </c>
    </row>
    <row r="28" spans="37:78" x14ac:dyDescent="0.25">
      <c r="AK28" t="s">
        <v>2950</v>
      </c>
    </row>
    <row r="29" spans="37:78" x14ac:dyDescent="0.25">
      <c r="AK29" t="s">
        <v>2951</v>
      </c>
    </row>
    <row r="30" spans="37:78" x14ac:dyDescent="0.25">
      <c r="AK30" t="s">
        <v>2952</v>
      </c>
    </row>
    <row r="31" spans="37:78" x14ac:dyDescent="0.25">
      <c r="AK31" t="s">
        <v>2953</v>
      </c>
    </row>
    <row r="32" spans="37:78" x14ac:dyDescent="0.25">
      <c r="AK32" t="s">
        <v>2954</v>
      </c>
    </row>
    <row r="33" spans="37:37" x14ac:dyDescent="0.25">
      <c r="AK33" t="s">
        <v>2955</v>
      </c>
    </row>
    <row r="34" spans="37:37" x14ac:dyDescent="0.25">
      <c r="AK34" t="s">
        <v>2956</v>
      </c>
    </row>
    <row r="35" spans="37:37" x14ac:dyDescent="0.25">
      <c r="AK35" t="s">
        <v>2957</v>
      </c>
    </row>
    <row r="36" spans="37:37" x14ac:dyDescent="0.25">
      <c r="AK36" t="s">
        <v>2958</v>
      </c>
    </row>
    <row r="37" spans="37:37" x14ac:dyDescent="0.25">
      <c r="AK37" t="s">
        <v>2959</v>
      </c>
    </row>
    <row r="38" spans="37:37" x14ac:dyDescent="0.25">
      <c r="AK38" t="s">
        <v>2960</v>
      </c>
    </row>
    <row r="39" spans="37:37" x14ac:dyDescent="0.25">
      <c r="AK39" t="s">
        <v>2961</v>
      </c>
    </row>
    <row r="40" spans="37:37" x14ac:dyDescent="0.25">
      <c r="AK40" t="s">
        <v>2962</v>
      </c>
    </row>
    <row r="41" spans="37:37" x14ac:dyDescent="0.25">
      <c r="AK41" t="s">
        <v>2963</v>
      </c>
    </row>
    <row r="42" spans="37:37" x14ac:dyDescent="0.25">
      <c r="AK42" t="s">
        <v>2964</v>
      </c>
    </row>
    <row r="43" spans="37:37" x14ac:dyDescent="0.25">
      <c r="AK43" t="s">
        <v>2965</v>
      </c>
    </row>
    <row r="44" spans="37:37" x14ac:dyDescent="0.25">
      <c r="AK44" t="s">
        <v>2966</v>
      </c>
    </row>
    <row r="45" spans="37:37" x14ac:dyDescent="0.25">
      <c r="AK45" t="s">
        <v>2967</v>
      </c>
    </row>
    <row r="46" spans="37:37" x14ac:dyDescent="0.25">
      <c r="AK46" t="s">
        <v>2968</v>
      </c>
    </row>
    <row r="47" spans="37:37" x14ac:dyDescent="0.25">
      <c r="AK47" t="s">
        <v>2969</v>
      </c>
    </row>
    <row r="48" spans="37:37" x14ac:dyDescent="0.25">
      <c r="AK48" t="s">
        <v>2970</v>
      </c>
    </row>
    <row r="49" spans="37:37" x14ac:dyDescent="0.25">
      <c r="AK49" t="s">
        <v>2971</v>
      </c>
    </row>
    <row r="50" spans="37:37" x14ac:dyDescent="0.25">
      <c r="AK50" t="s">
        <v>2972</v>
      </c>
    </row>
    <row r="51" spans="37:37" x14ac:dyDescent="0.25">
      <c r="AK51" t="s">
        <v>2973</v>
      </c>
    </row>
    <row r="52" spans="37:37" x14ac:dyDescent="0.25">
      <c r="AK52" t="s">
        <v>2974</v>
      </c>
    </row>
    <row r="53" spans="37:37" x14ac:dyDescent="0.25">
      <c r="AK53" t="s">
        <v>2975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0" r:id="rId4" name="cmdCancel">
          <controlPr defaultSize="0" autoLine="0" r:id="rId5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4" name="cmdCancel"/>
      </mc:Fallback>
    </mc:AlternateContent>
    <mc:AlternateContent xmlns:mc="http://schemas.openxmlformats.org/markup-compatibility/2006">
      <mc:Choice Requires="x14">
        <control shapeId="7169" r:id="rId6" name="cmdCrear">
          <controlPr defaultSize="0" autoLine="0" r:id="rId7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6" name="cmdCr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67</vt:i4>
      </vt:variant>
    </vt:vector>
  </HeadingPairs>
  <TitlesOfParts>
    <vt:vector size="78" baseType="lpstr">
      <vt:lpstr>SELECCION</vt:lpstr>
      <vt:lpstr>Combos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Carlos Semanate</cp:lastModifiedBy>
  <dcterms:created xsi:type="dcterms:W3CDTF">2010-02-17T07:30:39Z</dcterms:created>
  <dcterms:modified xsi:type="dcterms:W3CDTF">2017-04-04T17:03:24Z</dcterms:modified>
</cp:coreProperties>
</file>