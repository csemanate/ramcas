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3.xml" ContentType="application/vnd.openxmlformats-officedocument.spreadsheetml.table+xml"/>
  <Override PartName="/xl/comments1.xml" ContentType="application/vnd.openxmlformats-officedocument.spreadsheetml.comments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tables/table25.xml" ContentType="application/vnd.openxmlformats-officedocument.spreadsheetml.table+xml"/>
  <Override PartName="/xl/queryTables/queryTable3.xml" ContentType="application/vnd.openxmlformats-officedocument.spreadsheetml.query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129000" windowWidth="11640" windowHeight="5370"/>
  </bookViews>
  <sheets>
    <sheet name="SELECCION" sheetId="11" r:id="rId1"/>
    <sheet name="Aux" sheetId="24" state="veryHidden" r:id="rId2"/>
    <sheet name="Combos" sheetId="23" state="hidden" r:id="rId3"/>
    <sheet name="SELECCION1" sheetId="14" state="hidden" r:id="rId4"/>
    <sheet name="TESPECIAL" sheetId="15" state="hidden" r:id="rId5"/>
    <sheet name="CONSOLIDADO" sheetId="3" state="hidden" r:id="rId6"/>
    <sheet name="DECISION_COMPRA" sheetId="18" state="hidden" r:id="rId7"/>
    <sheet name="TIPOCOMPRA" sheetId="8" state="hidden" r:id="rId8"/>
    <sheet name="RELACION_BUFFERS" sheetId="20" state="hidden" r:id="rId9"/>
    <sheet name="BUFFER_POR_COLOR" sheetId="19" state="hidden" r:id="rId10"/>
    <sheet name="PROVEEDORES" sheetId="21" state="hidden" r:id="rId11"/>
    <sheet name="EMPRESAS" sheetId="22" state="hidden" r:id="rId12"/>
  </sheets>
  <functionGroups builtInGroupCount="18"/>
  <externalReferences>
    <externalReference r:id="rId13"/>
    <externalReference r:id="rId14"/>
  </externalReferences>
  <definedNames>
    <definedName name="_cmdCancelar_Range" localSheetId="0" hidden="1">{26.25,328.5,TRUE,3,325.5,57}</definedName>
    <definedName name="_cmdFiltrar_Range" localSheetId="0" hidden="1">{26.25,328.5,TRUE,3,296.25,57}</definedName>
    <definedName name="_xlnm._FilterDatabase" localSheetId="5" hidden="1">CONSOLIDADO!$A$2:$CE$2</definedName>
    <definedName name="_lstBodega_Range" localSheetId="0" hidden="1">{231,1233,TRUE,3,39.75,300}</definedName>
    <definedName name="_lstProveedor_Range" localSheetId="0" hidden="1">{231,1544.25,TRUE,3,38.25,300}</definedName>
    <definedName name="_optEscasez_Range" localSheetId="0" hidden="1">{20.25,117,TRUE,2,315,163.5}</definedName>
    <definedName name="_optNoEscasez_Range" localSheetId="0" hidden="1">{20.25,10.5,TRUE,2,315,126.75}</definedName>
    <definedName name="BODEGA">#REF!</definedName>
    <definedName name="bodega_seleccionada">Combos!$G$2</definedName>
    <definedName name="BODEGABASE">DECISION_COMPRA!$B$3</definedName>
    <definedName name="BODEGABASE1">RELACION_BUFFERS!$B$3</definedName>
    <definedName name="BODEGATRANSFER">SELECCION!$B$3</definedName>
    <definedName name="calendarioe_seleccionada">Combos!$BS$2</definedName>
    <definedName name="categoria_seleccionada">Combos!$AQ$2</definedName>
    <definedName name="chk_calendarioe">Combos!$BZ$17</definedName>
    <definedName name="chk_categoria">Combos!$BZ$12</definedName>
    <definedName name="chk_clasificacion">Combos!$BZ$4</definedName>
    <definedName name="chk_color">Combos!$BZ$16</definedName>
    <definedName name="chk_estatus">Combos!$BZ$3</definedName>
    <definedName name="chk_familia">Combos!$BZ$10</definedName>
    <definedName name="chk_grupo">Combos!$BZ$6</definedName>
    <definedName name="chk_hojacb">Combos!$BZ$2</definedName>
    <definedName name="chk_linea">Combos!$BZ$7</definedName>
    <definedName name="chk_marca">Combos!$BZ$14</definedName>
    <definedName name="chk_modelo">Combos!$BZ$9</definedName>
    <definedName name="chk_perfil">Combos!$BZ$15</definedName>
    <definedName name="chk_responsable">Combos!$BZ$5</definedName>
    <definedName name="chk_subfamilia">Combos!$BZ$11</definedName>
    <definedName name="chk_sublinea">Combos!$BZ$8</definedName>
    <definedName name="chk_tipo">Combos!$BZ$13</definedName>
    <definedName name="clasificacion_seleccionada">Combos!$BC$2</definedName>
    <definedName name="color_seleccionada">Combos!$BO$2</definedName>
    <definedName name="Consulta_desde_Buffers_Agroinsumos" localSheetId="7" hidden="1">TIPOCOMPRA!#REF!</definedName>
    <definedName name="Consulta_desde_Buffers_Agrota" localSheetId="7" hidden="1">TIPOCOMPRA!$A$1:$C$2293</definedName>
    <definedName name="Consulta_desde_BUFFERS_AGROTA_1" localSheetId="7" hidden="1">TIPOCOMPRA!#REF!</definedName>
    <definedName name="Consulta_desde_BUFFERS_SUKAMPO" localSheetId="7" hidden="1">TIPOCOMPRA!$I$1:$K$2293</definedName>
    <definedName name="Consulta_desde_HHH" localSheetId="7" hidden="1">TIPOCOMPRA!$E$1:$G$445</definedName>
    <definedName name="Consulta_desde_HHH_1" localSheetId="7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empresa_seleccionada">Combos!$C$2</definedName>
    <definedName name="estatus_seleccionada">Combos!$AY$2</definedName>
    <definedName name="familia_seleccionada">Combos!$AI$2</definedName>
    <definedName name="grupo_seleccionada">Combos!$S$2</definedName>
    <definedName name="hojacb_seleccionada">Combos!$BW$2</definedName>
    <definedName name="INICIO">[1]PEDIDOS!$A$8</definedName>
    <definedName name="INICIOTRANSFER">[2]!TRANSFERENCIAFILTRADA[[#Headers],[Empresa]]</definedName>
    <definedName name="linea_seleccionada">Combos!$W$2</definedName>
    <definedName name="listaEmpresas">tbl_empresa[Nombre]</definedName>
    <definedName name="marca_seleccionada">Combos!$O$2</definedName>
    <definedName name="modelo_seleccionada">Combos!$AE$2</definedName>
    <definedName name="num_bodega_seleccionada">Combos!$G$1</definedName>
    <definedName name="num_calendarioe_seleccionada">Combos!$BS$1</definedName>
    <definedName name="num_categoria_seleccionada">Combos!$AQ$1</definedName>
    <definedName name="num_clasificacion_seleccionada">Combos!$BC$1</definedName>
    <definedName name="num_color_seleccionada">Combos!$BO$1</definedName>
    <definedName name="num_empresa_seleccionada">Combos!$C$1</definedName>
    <definedName name="num_estatus_seleccionada">Combos!$AY$1</definedName>
    <definedName name="num_familia_seleccionada">Combos!$AI$1</definedName>
    <definedName name="num_grupo_seleccionada">Combos!$S$1</definedName>
    <definedName name="num_hojacb_seleccionada">Combos!$BW$1</definedName>
    <definedName name="num_linea_seleccionada">Combos!$W$1</definedName>
    <definedName name="num_marca_seleccionada">Combos!$O$1</definedName>
    <definedName name="num_modelo_seleccionada">Combos!$AE$1</definedName>
    <definedName name="num_perfil_seleccionada">Combos!$BK$1</definedName>
    <definedName name="num_proveedor_seleccionada">Combos!$K$1</definedName>
    <definedName name="num_responsable_seleccionada">Combos!$BG$1</definedName>
    <definedName name="num_subfamilia_seleccionada">Combos!$AM$1</definedName>
    <definedName name="num_sublinea_seleccionada">Combos!$AA$1</definedName>
    <definedName name="num_tipo_seleccionada">Combos!$AU$1</definedName>
    <definedName name="ORIGEN">SELECCION1!$C$10</definedName>
    <definedName name="perfil_seleccionada">Combos!$BK$2</definedName>
    <definedName name="PROVEEDOR">#REF!</definedName>
    <definedName name="proveedor_seleccionada">Combos!$K$2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responsable_seleccionada">Combos!$BG$2</definedName>
    <definedName name="Ser">Aux!$A$1</definedName>
    <definedName name="subfamilia_seleccionada">Combos!$AM$2</definedName>
    <definedName name="sublinea_seleccionada">Combos!$AA$2</definedName>
    <definedName name="tipo_seleccionada">Combos!$AU$2</definedName>
    <definedName name="VERIFICA_DESTINO">SELECCION1!$C$4</definedName>
    <definedName name="VERIFICA_ORIGEN">SELECCION1!$C$9</definedName>
    <definedName name="visualiza_requerim">Combos!$CB$2</definedName>
    <definedName name="YACALCULADO">SELECCION!$D$1</definedName>
  </definedNames>
  <calcPr calcId="152511"/>
  <pivotCaches>
    <pivotCache cacheId="0" r:id="rId15"/>
    <pivotCache cacheId="1" r:id="rId16"/>
  </pivotCaches>
</workbook>
</file>

<file path=xl/calcChain.xml><?xml version="1.0" encoding="utf-8"?>
<calcChain xmlns="http://schemas.openxmlformats.org/spreadsheetml/2006/main">
  <c r="BW2" i="23" l="1"/>
  <c r="BS2" i="23"/>
  <c r="BO2" i="23"/>
  <c r="BK2" i="23"/>
  <c r="BG2" i="23" l="1"/>
  <c r="BC2" i="23"/>
  <c r="AY2" i="23"/>
  <c r="AU2" i="23"/>
  <c r="AQ2" i="23"/>
  <c r="AM2" i="23"/>
  <c r="AI2" i="23"/>
  <c r="AE2" i="23"/>
  <c r="AA2" i="23"/>
  <c r="W2" i="23"/>
  <c r="S2" i="23"/>
  <c r="O2" i="23"/>
  <c r="K2" i="23" l="1"/>
  <c r="G2" i="23"/>
  <c r="C2" i="2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<sst xmlns="http://schemas.openxmlformats.org/spreadsheetml/2006/main" count="12683" uniqueCount="2985">
  <si>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</si>
  <si>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</si>
  <si>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</si>
  <si>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</si>
  <si>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</si>
  <si>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</si>
  <si>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</si>
  <si>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</si>
  <si>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</si>
  <si>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</si>
  <si>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</si>
  <si>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</si>
  <si>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</si>
  <si>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</si>
  <si>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</si>
  <si>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</si>
  <si>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</si>
  <si>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</si>
  <si>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</si>
  <si>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</si>
  <si>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</si>
  <si>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</si>
  <si>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</si>
  <si>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</si>
  <si>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</si>
  <si>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</si>
  <si>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</si>
  <si>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</si>
  <si>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</si>
  <si>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</si>
  <si>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</si>
  <si>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</si>
  <si>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</si>
  <si>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</si>
  <si>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</si>
  <si>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</si>
  <si>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</si>
  <si>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</si>
  <si>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</si>
  <si>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</si>
  <si>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</si>
  <si>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</si>
  <si>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</si>
  <si>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</si>
  <si>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</si>
  <si>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</si>
  <si>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</si>
  <si>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</si>
  <si>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</si>
  <si>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</si>
  <si>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</si>
  <si>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</si>
  <si>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</si>
  <si>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</si>
  <si>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</si>
  <si>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</si>
  <si>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</si>
  <si>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</si>
  <si>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</si>
  <si>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</si>
  <si>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</si>
  <si>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</si>
  <si>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</si>
  <si>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</si>
  <si>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</si>
  <si>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</si>
  <si>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</si>
  <si>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</si>
  <si>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</si>
  <si>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</si>
  <si>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</si>
  <si>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</si>
  <si>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</si>
  <si>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</si>
  <si>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</si>
  <si>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</si>
  <si>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</si>
  <si>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</si>
  <si>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</si>
  <si>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</si>
  <si>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</si>
  <si>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</si>
  <si>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</si>
  <si>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</si>
  <si>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</si>
  <si>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</si>
  <si>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</si>
  <si>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</si>
  <si>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</si>
  <si>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</si>
  <si>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</si>
  <si>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</si>
  <si>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</si>
  <si>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</si>
  <si>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</si>
  <si>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</si>
  <si>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</si>
  <si>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</si>
  <si>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</si>
  <si>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</si>
  <si>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</si>
  <si>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</si>
  <si>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</si>
  <si>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</si>
  <si>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</si>
  <si>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</si>
  <si>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</si>
  <si>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</si>
  <si>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</si>
  <si>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</si>
  <si>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</si>
  <si>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</si>
  <si>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</si>
  <si>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</si>
  <si>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</si>
  <si>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</si>
  <si>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</si>
  <si>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</si>
  <si>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</si>
  <si>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</si>
  <si>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</si>
  <si>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</si>
  <si>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</si>
  <si>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</si>
  <si>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</si>
  <si>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</si>
  <si>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</si>
  <si>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</si>
  <si>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</si>
  <si>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</si>
  <si>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</si>
  <si>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</si>
  <si>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</si>
  <si>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</si>
  <si>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</si>
  <si>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</si>
  <si>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</si>
  <si>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</si>
  <si>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</si>
  <si>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</si>
  <si>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</si>
  <si>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</si>
  <si>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</si>
  <si>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</si>
  <si>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</si>
  <si>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</si>
  <si>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</si>
  <si>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</si>
  <si>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</si>
  <si>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</si>
  <si>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</si>
  <si>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</si>
  <si>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</si>
  <si>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</si>
  <si>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</si>
  <si>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</si>
  <si>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</si>
  <si>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</si>
  <si>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</si>
  <si>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</si>
  <si>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</si>
  <si>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</si>
  <si>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</si>
  <si>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</si>
  <si>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</si>
  <si>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</si>
  <si>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</si>
  <si>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</si>
  <si>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</si>
  <si>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</si>
  <si>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</si>
  <si>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</si>
  <si>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</si>
  <si>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</si>
  <si>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</si>
  <si>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</si>
  <si>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</si>
  <si>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</si>
  <si>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</si>
  <si>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</si>
  <si>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</si>
  <si>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</si>
  <si>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</si>
  <si>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</si>
  <si>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</si>
  <si>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</si>
  <si>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</si>
  <si>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</si>
  <si>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</si>
  <si>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</si>
  <si>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</si>
  <si>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</si>
  <si>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</si>
  <si>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</si>
  <si>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</si>
  <si>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</si>
  <si>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</si>
  <si>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</si>
  <si>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</si>
  <si>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</si>
  <si>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</si>
  <si>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</si>
  <si>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</si>
  <si>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</si>
  <si>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</si>
  <si>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</si>
  <si>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</si>
  <si>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</si>
  <si>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</si>
  <si>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</si>
  <si>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</si>
  <si>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</si>
  <si>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</si>
  <si>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</si>
  <si>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</si>
  <si>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</si>
  <si>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</si>
  <si>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</si>
  <si>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</si>
  <si>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</si>
  <si>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</si>
  <si>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</si>
  <si>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</si>
  <si>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</si>
  <si>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</si>
  <si>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</si>
  <si>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</si>
  <si>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</si>
  <si>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</si>
  <si>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</si>
  <si>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</si>
  <si>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</si>
  <si>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</si>
  <si>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</si>
  <si>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</si>
  <si>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</si>
  <si>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</si>
  <si>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</si>
  <si>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</si>
  <si>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</si>
  <si>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</si>
  <si>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</si>
  <si>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</si>
  <si>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</si>
  <si>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</si>
  <si>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</si>
  <si>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</si>
  <si>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</si>
  <si>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</si>
  <si>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</si>
  <si>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</si>
  <si>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</si>
  <si>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</si>
  <si>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</si>
  <si>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</si>
  <si>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</si>
  <si>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</si>
  <si>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</si>
  <si>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</si>
  <si>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</si>
  <si>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</si>
  <si>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</si>
  <si>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</si>
  <si>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</si>
  <si>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</si>
  <si>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</si>
  <si>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</si>
  <si>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</si>
  <si>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</si>
  <si>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</si>
  <si>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</si>
  <si>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</si>
  <si>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</si>
  <si>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</si>
  <si>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</si>
  <si>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</si>
  <si>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</si>
  <si>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</si>
  <si>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</si>
  <si>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</si>
  <si>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</si>
  <si>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</si>
  <si>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</si>
  <si>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</si>
  <si>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</si>
  <si>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</si>
  <si>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</si>
  <si>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</si>
  <si>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</si>
  <si>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</si>
  <si>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</si>
  <si>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</si>
  <si>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</si>
  <si>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</si>
  <si>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</si>
  <si>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</si>
  <si>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</si>
  <si>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</si>
  <si>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</si>
  <si>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</si>
  <si>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</si>
  <si>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</si>
  <si>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</si>
  <si>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</si>
  <si>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</si>
  <si>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</si>
  <si>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</si>
  <si>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</si>
  <si>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</si>
  <si>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</si>
  <si>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</si>
  <si>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</si>
  <si>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</si>
  <si>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</si>
  <si>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</si>
  <si>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</si>
  <si>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</si>
  <si>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</si>
  <si>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</si>
  <si>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</si>
  <si>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</si>
  <si>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</si>
  <si>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</si>
  <si>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</si>
  <si>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</si>
  <si>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</si>
  <si>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</si>
  <si>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</si>
  <si>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</si>
  <si>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</si>
  <si>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</si>
  <si>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</si>
  <si>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</si>
  <si>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</si>
  <si>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</si>
  <si>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</si>
  <si>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</si>
  <si>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</si>
  <si>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</si>
  <si>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</si>
  <si>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</si>
  <si>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</si>
  <si>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</si>
  <si>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</si>
  <si>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</si>
  <si>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</si>
  <si>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</si>
  <si>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</si>
  <si>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</si>
  <si>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</si>
  <si>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</si>
  <si>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</si>
  <si>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</si>
  <si>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</si>
  <si>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</si>
  <si>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</si>
  <si>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</si>
  <si>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</si>
  <si>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</si>
  <si>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</si>
  <si>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</si>
  <si>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</si>
  <si>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</si>
  <si>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</si>
  <si>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</si>
  <si>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</si>
  <si>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</si>
  <si>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</si>
  <si>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</si>
  <si>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</si>
  <si>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</si>
  <si>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</si>
  <si>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</si>
  <si>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</si>
  <si>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</si>
  <si>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</si>
  <si>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</si>
  <si>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</si>
  <si>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</si>
  <si>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</si>
  <si>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</si>
  <si>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</si>
  <si>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</si>
  <si>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</si>
  <si>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</si>
  <si>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</si>
  <si>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</si>
  <si>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</si>
  <si>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</si>
  <si>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</si>
  <si>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</si>
  <si>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</si>
  <si>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</si>
  <si>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</si>
  <si>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</si>
  <si>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</si>
  <si>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</si>
  <si>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</si>
  <si>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</si>
  <si>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</si>
  <si>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</si>
  <si>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</si>
  <si>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</si>
  <si>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</si>
  <si>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</si>
  <si>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</si>
  <si>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</si>
  <si>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</si>
  <si>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</si>
  <si>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</si>
  <si>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</si>
  <si>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</si>
  <si>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</si>
  <si>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</si>
  <si>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</si>
  <si>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</si>
  <si>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</si>
  <si>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</si>
  <si>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</si>
  <si>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</si>
  <si>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</si>
  <si>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</si>
  <si>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</si>
  <si>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</si>
  <si>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</si>
  <si>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</si>
  <si>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</si>
  <si>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</si>
  <si>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</si>
  <si>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</si>
  <si>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</si>
  <si>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</si>
  <si>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</si>
  <si>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</si>
  <si>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</si>
  <si>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</si>
  <si>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</si>
  <si>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</si>
  <si>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</si>
  <si>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</si>
  <si>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</si>
  <si>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</si>
  <si>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</si>
  <si>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</si>
  <si>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</si>
  <si>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</si>
  <si>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</si>
  <si>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</si>
  <si>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</si>
  <si>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</si>
  <si>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</si>
  <si>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</si>
  <si>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</si>
  <si>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</si>
  <si>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</si>
  <si>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</si>
  <si>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</si>
  <si>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</si>
  <si>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</si>
  <si>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</si>
  <si>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</si>
  <si>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</si>
  <si>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</si>
  <si>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</si>
  <si>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</si>
  <si>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</si>
  <si>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</si>
  <si>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</si>
  <si>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</si>
  <si>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</si>
  <si>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</si>
  <si>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</si>
  <si>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</si>
  <si>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</si>
  <si>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</si>
  <si>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</si>
  <si>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</si>
  <si>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</si>
  <si>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</si>
  <si>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</si>
  <si>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</si>
  <si>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</si>
  <si>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</si>
  <si>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</si>
  <si>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</si>
  <si>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</si>
  <si>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</si>
  <si>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</si>
  <si>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</si>
  <si>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</si>
  <si>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</si>
  <si>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</si>
  <si>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</si>
  <si>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</si>
  <si>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</si>
  <si>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</si>
  <si>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</si>
  <si>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</si>
  <si>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</si>
  <si>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</si>
  <si>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</si>
  <si>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</si>
  <si>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</si>
  <si>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</si>
  <si>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</si>
  <si>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</si>
  <si>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</si>
  <si>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</si>
  <si>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</si>
  <si>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</si>
  <si>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</si>
  <si>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</si>
  <si>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</si>
  <si>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</si>
  <si>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</si>
  <si>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</si>
  <si>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</si>
  <si>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</si>
  <si>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</si>
  <si>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</si>
  <si>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</si>
  <si>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</si>
  <si>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</si>
  <si>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</si>
  <si>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</si>
  <si>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</si>
  <si>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</si>
  <si>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</si>
  <si>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</si>
  <si>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</si>
  <si>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</si>
  <si>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</si>
  <si>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</si>
  <si>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</si>
  <si>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</si>
  <si>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</si>
  <si>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</si>
  <si>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</si>
  <si>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</si>
  <si>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</si>
  <si>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</si>
  <si>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</si>
  <si>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</si>
  <si>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</si>
  <si>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</si>
  <si>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</si>
  <si>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</si>
  <si>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</si>
  <si>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</si>
  <si>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</si>
  <si>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</si>
  <si>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</si>
  <si>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</si>
  <si>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</si>
  <si>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</si>
  <si>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</si>
  <si>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</si>
  <si>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</si>
  <si>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</si>
  <si>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</si>
  <si>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</si>
  <si>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</si>
  <si>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</si>
  <si>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</si>
  <si>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</si>
  <si>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</si>
  <si>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</si>
  <si>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</si>
  <si>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</si>
  <si>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</si>
  <si>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</si>
  <si>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</si>
  <si>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</si>
  <si>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</si>
  <si>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</si>
  <si>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</si>
  <si>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</si>
  <si>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</si>
  <si>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</si>
  <si>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</si>
  <si>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</si>
  <si>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</si>
  <si>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</si>
  <si>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</si>
  <si>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</si>
  <si>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</si>
  <si>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</si>
  <si>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</si>
  <si>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</si>
  <si>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</si>
  <si>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</si>
  <si>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</si>
  <si>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</si>
  <si>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</si>
  <si>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</si>
  <si>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</si>
  <si>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</si>
  <si>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</si>
  <si>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</si>
  <si>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</si>
  <si>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</si>
  <si>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</si>
  <si>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</si>
  <si>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</si>
  <si>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</si>
  <si>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</si>
  <si>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</si>
  <si>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</si>
  <si>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</si>
  <si>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</si>
  <si>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</si>
  <si>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</si>
  <si>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</si>
  <si>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</si>
  <si>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</si>
  <si>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</si>
  <si>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</si>
  <si>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</si>
  <si>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</si>
  <si>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</si>
  <si>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</si>
  <si>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</si>
  <si>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</si>
  <si>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</si>
  <si>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</si>
  <si>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</si>
  <si>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</si>
  <si>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</si>
  <si>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</si>
  <si>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</si>
  <si>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</si>
  <si>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</si>
  <si>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</si>
  <si>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</si>
  <si>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</si>
  <si>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</si>
  <si>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</si>
  <si>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</si>
  <si>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</si>
  <si>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</si>
  <si>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</si>
  <si>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</si>
  <si>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</si>
  <si>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</si>
  <si>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</si>
  <si>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</si>
  <si>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</si>
  <si>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</si>
  <si>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</si>
  <si>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</si>
  <si>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</si>
  <si>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</si>
  <si>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</si>
  <si>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</si>
  <si>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</si>
  <si>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</si>
  <si>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</si>
  <si>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</si>
  <si>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</si>
  <si>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</si>
  <si>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</si>
  <si>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</si>
  <si>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</si>
  <si>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</si>
  <si>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</si>
  <si>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</si>
  <si>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</si>
  <si>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</si>
  <si>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</si>
  <si>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</si>
  <si>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</si>
  <si>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</si>
  <si>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</si>
  <si>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</si>
  <si>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</si>
  <si>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</si>
  <si>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</si>
  <si>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</si>
  <si>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</si>
  <si>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</si>
  <si>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</si>
  <si>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</si>
  <si>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</si>
  <si>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</si>
  <si>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</si>
  <si>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</si>
  <si>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</si>
  <si>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</si>
  <si>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</si>
  <si>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</si>
  <si>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</si>
  <si>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</si>
  <si>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</si>
  <si>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</si>
  <si>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</si>
  <si>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</si>
  <si>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</si>
  <si>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</si>
  <si>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</si>
  <si>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</si>
  <si>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</si>
  <si>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</si>
  <si>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</si>
  <si>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</si>
  <si>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</si>
  <si>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</si>
  <si>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</si>
  <si>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</si>
  <si>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</si>
  <si>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</si>
  <si>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</si>
  <si>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</si>
  <si>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</si>
  <si>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</si>
  <si>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</si>
  <si>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</si>
  <si>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</si>
  <si>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</si>
  <si>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</si>
  <si>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</si>
  <si>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</si>
  <si>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</si>
  <si>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</si>
  <si>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</si>
  <si>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</si>
  <si>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</si>
  <si>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</si>
  <si>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</si>
  <si>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</si>
  <si>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</si>
  <si>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</si>
  <si>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</si>
  <si>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</si>
  <si>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</si>
  <si>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</si>
  <si>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</si>
  <si>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</si>
  <si>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</si>
  <si>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</si>
  <si>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</si>
  <si>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</si>
  <si>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</si>
  <si>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</si>
  <si>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</si>
  <si>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</si>
  <si>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</si>
  <si>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</si>
  <si>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</si>
  <si>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</si>
  <si>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</si>
  <si>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</si>
  <si>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</si>
  <si>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</si>
  <si>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</si>
  <si>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</si>
  <si>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</si>
  <si>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</si>
  <si>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</si>
  <si>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</si>
  <si>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</si>
  <si>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</si>
  <si>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</si>
  <si>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</si>
  <si>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</si>
  <si>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</si>
  <si>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</si>
  <si>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</si>
  <si>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</si>
  <si>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</si>
  <si>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</si>
  <si>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</si>
  <si>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</si>
  <si>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</si>
  <si>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</si>
  <si>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</si>
  <si>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</si>
  <si>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</si>
  <si>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</si>
  <si>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</si>
  <si>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</si>
  <si>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</si>
  <si>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</si>
  <si>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</si>
  <si>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</si>
  <si>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</si>
  <si>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</si>
  <si>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</si>
  <si>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</si>
  <si>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</si>
  <si>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</si>
  <si>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</si>
  <si>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</si>
  <si>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</si>
  <si>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</si>
  <si>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</si>
  <si>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</si>
  <si>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</si>
  <si>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</si>
  <si>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</si>
  <si>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</si>
  <si>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</si>
  <si>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</si>
  <si>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</si>
  <si>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</si>
  <si>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</si>
  <si>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</si>
  <si>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</si>
  <si>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</si>
  <si>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</si>
  <si>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</si>
  <si>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</si>
  <si>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</si>
  <si>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</si>
  <si>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</si>
  <si>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</si>
  <si>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</si>
  <si>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</si>
  <si>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</si>
  <si>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</si>
  <si>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</si>
  <si>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</si>
  <si>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</si>
  <si>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</si>
  <si>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</si>
  <si>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</si>
  <si>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</si>
  <si>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</si>
  <si>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</si>
  <si>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</si>
  <si>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</si>
  <si>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</si>
  <si>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</si>
  <si>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</si>
  <si>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</si>
  <si>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</si>
  <si>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</si>
  <si>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</si>
  <si>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</si>
  <si>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</si>
  <si>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</si>
  <si>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</si>
  <si>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</si>
  <si>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</si>
  <si>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</si>
  <si>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</si>
  <si>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</si>
  <si>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</si>
  <si>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</si>
  <si>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</si>
  <si>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</si>
  <si>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</si>
  <si>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</si>
  <si>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</si>
  <si>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</si>
  <si>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</si>
  <si>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</si>
  <si>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</si>
  <si>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</si>
  <si>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</si>
  <si>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</si>
  <si>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</si>
  <si>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</si>
  <si>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</si>
  <si>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</si>
  <si>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</si>
  <si>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</si>
  <si>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</si>
  <si>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</si>
  <si>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</si>
  <si>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</si>
  <si>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</si>
  <si>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</si>
  <si>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</si>
  <si>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</si>
  <si>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</si>
  <si>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</si>
  <si>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</si>
  <si>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</si>
  <si>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</si>
  <si>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</si>
  <si>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</si>
  <si>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</si>
  <si>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</si>
  <si>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</si>
  <si>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</si>
  <si>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</si>
  <si>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</si>
  <si>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</si>
  <si>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</si>
  <si>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</si>
  <si>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</si>
  <si>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</si>
  <si>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</si>
  <si>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</si>
  <si>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</si>
  <si>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</si>
  <si>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</si>
  <si>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</si>
  <si>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</si>
  <si>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</si>
  <si>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</si>
  <si>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</si>
  <si>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</si>
  <si>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</si>
  <si>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</si>
  <si>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</si>
  <si>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</si>
  <si>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</si>
  <si>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</si>
  <si>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</si>
  <si>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</si>
  <si>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</si>
  <si>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</si>
  <si>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</si>
  <si>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</si>
  <si>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</si>
  <si>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</si>
  <si>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</si>
  <si>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</si>
  <si>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</si>
  <si>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</si>
  <si>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</si>
  <si>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</si>
  <si>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</si>
  <si>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</si>
  <si>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</si>
  <si>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</si>
  <si>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</si>
  <si>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</si>
  <si>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</si>
  <si>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</si>
  <si>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</si>
  <si>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</si>
  <si>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</si>
  <si>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</si>
  <si>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</si>
  <si>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</si>
  <si>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</si>
  <si>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</si>
  <si>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</si>
  <si>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</si>
  <si>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</si>
  <si>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</si>
  <si>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</si>
  <si>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</si>
  <si>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</si>
  <si>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</si>
  <si>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</si>
  <si>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</si>
  <si>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</si>
  <si>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</si>
  <si>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</si>
  <si>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</si>
  <si>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</si>
  <si>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</si>
  <si>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</si>
  <si>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</si>
  <si>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</si>
  <si>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</si>
  <si>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</si>
  <si>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</si>
  <si>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</si>
  <si>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</si>
  <si>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</si>
  <si>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</si>
  <si>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</si>
  <si>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</si>
  <si>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</si>
  <si>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</si>
  <si>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</si>
  <si>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</si>
  <si>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</si>
  <si>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</si>
  <si>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</si>
  <si>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</si>
  <si>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</si>
  <si>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</si>
  <si>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</si>
  <si>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</si>
  <si>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</si>
  <si>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</si>
  <si>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</si>
  <si>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</si>
  <si>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</si>
  <si>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</si>
  <si>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</si>
  <si>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</si>
  <si>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</si>
  <si>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</si>
  <si>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</si>
  <si>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</si>
  <si>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</si>
  <si>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</si>
  <si>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</si>
  <si>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</si>
  <si>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</si>
  <si>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</si>
  <si>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</si>
  <si>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</si>
  <si>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</si>
  <si>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</si>
  <si>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</si>
  <si>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</si>
  <si>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</si>
  <si>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</si>
  <si>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</si>
  <si>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</si>
  <si>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</si>
  <si>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</si>
  <si>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</si>
  <si>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</si>
  <si>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</si>
  <si>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</si>
  <si>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</si>
  <si>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</si>
  <si>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</si>
  <si>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</si>
  <si>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</si>
  <si>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</si>
  <si>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</si>
  <si>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</si>
  <si>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</si>
  <si>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</si>
  <si>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</si>
  <si>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</si>
  <si>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</si>
  <si>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</si>
  <si>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</si>
  <si>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</si>
  <si>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</si>
  <si>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</si>
  <si>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</si>
  <si>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</si>
  <si>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</si>
  <si>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</si>
  <si>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</si>
  <si>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</si>
  <si>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</si>
  <si>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</si>
  <si>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</si>
  <si>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</si>
  <si>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</si>
  <si>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</si>
  <si>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</si>
  <si>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</si>
  <si>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</si>
  <si>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</si>
  <si>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</si>
  <si>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</si>
  <si>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</si>
  <si>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</si>
  <si>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</si>
  <si>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</si>
  <si>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</si>
  <si>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</si>
  <si>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</si>
  <si>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</si>
  <si>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</si>
  <si>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</si>
  <si>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</si>
  <si>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</si>
  <si>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</si>
  <si>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</si>
  <si>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</si>
  <si>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</si>
  <si>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</si>
  <si>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</si>
  <si>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</si>
  <si>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</si>
  <si>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</si>
  <si>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</si>
  <si>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</si>
  <si>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</si>
  <si>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</si>
  <si>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</si>
  <si>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</si>
  <si>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</si>
  <si>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</si>
  <si>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</si>
  <si>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</si>
  <si>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</si>
  <si>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</si>
  <si>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</si>
  <si>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</si>
  <si>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</si>
  <si>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</si>
  <si>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</si>
  <si>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</si>
  <si>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</si>
  <si>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</si>
  <si>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</si>
  <si>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</si>
  <si>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</si>
  <si>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</si>
  <si>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</si>
  <si>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</si>
  <si>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</si>
  <si>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</si>
  <si>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</si>
  <si>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</si>
  <si>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</si>
  <si>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</si>
  <si>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</si>
  <si>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</si>
  <si>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</si>
  <si>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</si>
  <si>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</si>
  <si>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</si>
  <si>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</si>
  <si>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</si>
  <si>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</si>
  <si>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</si>
  <si>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</si>
  <si>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</si>
  <si>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</si>
  <si>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</si>
  <si>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</si>
  <si>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</si>
  <si>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</si>
  <si>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</si>
  <si>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</si>
  <si>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</si>
  <si>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</si>
  <si>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</si>
  <si>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</si>
  <si>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</si>
  <si>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</si>
  <si>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</si>
  <si>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</si>
  <si>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</si>
  <si>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</si>
  <si>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</si>
  <si>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</si>
  <si>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</si>
  <si>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</si>
  <si>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</si>
  <si>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</si>
  <si>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</si>
  <si>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</si>
  <si>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</si>
  <si>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</si>
  <si>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</si>
  <si>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</si>
  <si>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</si>
  <si>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</si>
  <si>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</si>
  <si>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</si>
  <si>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</si>
  <si>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</si>
  <si>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</si>
  <si>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</si>
  <si>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</si>
  <si>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</si>
  <si>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</si>
  <si>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</si>
  <si>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</si>
  <si>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</si>
  <si>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</si>
  <si>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</si>
  <si>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</si>
  <si>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</si>
  <si>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</si>
  <si>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</si>
  <si>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</si>
  <si>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</si>
  <si>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</si>
  <si>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</si>
  <si>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</si>
  <si>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</si>
  <si>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</si>
  <si>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</si>
  <si>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</si>
  <si>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</si>
  <si>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</si>
  <si>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</si>
  <si>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</si>
  <si>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</si>
  <si>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</si>
  <si>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</si>
  <si>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</si>
  <si>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</si>
  <si>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</si>
  <si>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</si>
  <si>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</si>
  <si>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</si>
  <si>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</si>
  <si>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</si>
  <si>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</si>
  <si>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</si>
  <si>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</si>
  <si>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</si>
  <si>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</si>
  <si>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</si>
  <si>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</si>
  <si>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</si>
  <si>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</si>
  <si>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</si>
  <si>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</si>
  <si>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</si>
  <si>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</si>
  <si>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</si>
  <si>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</si>
  <si>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</si>
  <si>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</si>
  <si>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</si>
  <si>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</si>
  <si>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</si>
  <si>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</si>
  <si>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</si>
  <si>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</si>
  <si>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</si>
  <si>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</si>
  <si>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</si>
  <si>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</si>
  <si>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</si>
  <si>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</si>
  <si>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</si>
  <si>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</si>
  <si>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</si>
  <si>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</si>
  <si>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</si>
  <si>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</si>
  <si>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</si>
  <si>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</si>
  <si>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</si>
  <si>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</si>
  <si>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</si>
  <si>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</si>
  <si>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</si>
  <si>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</si>
  <si>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</si>
  <si>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</si>
  <si>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</si>
  <si>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</si>
  <si>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</si>
  <si>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</si>
  <si>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</si>
  <si>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</si>
  <si>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</si>
  <si>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</si>
  <si>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</si>
  <si>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</si>
  <si>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</si>
  <si>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</si>
  <si>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</si>
  <si>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</si>
  <si>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</si>
  <si>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</si>
  <si>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</si>
  <si>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</si>
  <si>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</si>
  <si>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</si>
  <si>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</si>
  <si>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</si>
  <si>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</si>
  <si>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</si>
  <si>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</si>
  <si>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</si>
  <si>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</si>
  <si>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</si>
  <si>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</si>
  <si>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</si>
  <si>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</si>
  <si>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</si>
  <si>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</si>
  <si>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</si>
  <si>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</si>
  <si>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</si>
  <si>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</si>
  <si>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</si>
  <si>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</si>
  <si>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</si>
  <si>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</si>
  <si>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</si>
  <si>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</si>
  <si>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</si>
  <si>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</si>
  <si>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</si>
  <si>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</si>
  <si>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</si>
  <si>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</si>
  <si>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</si>
  <si>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</si>
  <si>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</si>
  <si>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</si>
  <si>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</si>
  <si>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</si>
  <si>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</si>
  <si>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</si>
  <si>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</si>
  <si>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</si>
  <si>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</si>
  <si>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</si>
  <si>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</si>
  <si>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</si>
  <si>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</si>
  <si>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</si>
  <si>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</si>
  <si>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</si>
  <si>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</si>
  <si>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</si>
  <si>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</si>
  <si>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</si>
  <si>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</si>
  <si>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</si>
  <si>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</si>
  <si>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</si>
  <si>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</si>
  <si>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</si>
  <si>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</si>
  <si>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</si>
  <si>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</si>
  <si>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</si>
  <si>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</si>
  <si>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</si>
  <si>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</si>
  <si>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</si>
  <si>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</si>
  <si>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</si>
  <si>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</si>
  <si>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</si>
  <si>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</si>
  <si>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</si>
  <si>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</si>
  <si>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</si>
  <si>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</si>
  <si>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</si>
  <si>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</si>
  <si>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</si>
  <si>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</si>
  <si>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</si>
  <si>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</si>
  <si>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</si>
  <si>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</si>
  <si>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</si>
  <si>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</si>
  <si>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</si>
  <si>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</si>
  <si>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</si>
  <si>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</si>
  <si>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</si>
  <si>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</si>
  <si>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</si>
  <si>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</si>
  <si>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</si>
  <si>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</si>
  <si>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</si>
  <si>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</si>
  <si>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</si>
  <si>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</si>
  <si>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</si>
  <si>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</si>
  <si>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</si>
  <si>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</si>
  <si>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</si>
  <si>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</si>
  <si>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</si>
  <si>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</si>
  <si>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</si>
  <si>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</si>
  <si>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</si>
  <si>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</si>
  <si>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</si>
  <si>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</si>
  <si>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</si>
  <si>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</si>
  <si>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</si>
  <si>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</si>
  <si>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</si>
  <si>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</si>
  <si>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</si>
  <si>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</si>
  <si>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</si>
  <si>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</si>
  <si>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</si>
  <si>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</si>
  <si>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</si>
  <si>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</si>
  <si>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</si>
  <si>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</si>
  <si>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</si>
  <si>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</si>
  <si>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</si>
  <si>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</si>
  <si>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</si>
  <si>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</si>
  <si>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</si>
  <si>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</si>
  <si>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</si>
  <si>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</si>
  <si>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</si>
  <si>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</si>
  <si>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</si>
  <si>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</si>
  <si>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</si>
  <si>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</si>
  <si>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</si>
  <si>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</si>
  <si>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</si>
  <si>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</si>
  <si>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</si>
  <si>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</si>
  <si>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</si>
  <si>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</si>
  <si>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</si>
  <si>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</si>
  <si>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</si>
  <si>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</si>
  <si>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</si>
  <si>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</si>
  <si>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</si>
  <si>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</si>
  <si>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</si>
  <si>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</si>
  <si>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</si>
  <si>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</si>
  <si>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</si>
  <si>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</si>
  <si>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</si>
  <si>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</si>
  <si>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</si>
  <si>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</si>
  <si>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</si>
  <si>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</si>
  <si>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</si>
  <si>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</si>
  <si>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</si>
  <si>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</si>
  <si>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</si>
  <si>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</si>
  <si>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</si>
  <si>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</si>
  <si>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</si>
  <si>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</si>
  <si>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</si>
  <si>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</si>
  <si>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</si>
  <si>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</si>
  <si>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</si>
  <si>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</si>
  <si>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</si>
  <si>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</si>
  <si>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</si>
  <si>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</si>
  <si>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</si>
  <si>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</si>
  <si>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</si>
  <si>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</si>
  <si>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</si>
  <si>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</si>
  <si>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</si>
  <si>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</si>
  <si>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</si>
  <si>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</si>
  <si>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</si>
  <si>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</si>
  <si>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</si>
  <si>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</si>
  <si>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</si>
  <si>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</si>
  <si>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</si>
  <si>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</si>
  <si>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</si>
  <si>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</si>
  <si>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</si>
  <si>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</si>
  <si>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</si>
  <si>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</si>
  <si>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</si>
  <si>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</si>
  <si>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</si>
  <si>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</si>
  <si>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</si>
  <si>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</si>
  <si>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</si>
  <si>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</si>
  <si>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</si>
  <si>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</si>
  <si>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</si>
  <si>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</si>
  <si>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</si>
  <si>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</si>
  <si>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</si>
  <si>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</si>
  <si>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</si>
  <si>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</si>
  <si>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</si>
  <si>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</si>
  <si>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</si>
  <si>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</si>
  <si>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</si>
  <si>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</si>
  <si>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</si>
  <si>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</si>
  <si>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</si>
  <si>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</si>
  <si>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</si>
  <si>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</si>
  <si>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</si>
  <si>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</si>
  <si>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</si>
  <si>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</si>
  <si>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</si>
  <si>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</si>
  <si>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</si>
  <si>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</si>
  <si>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</si>
  <si>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</si>
  <si>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</si>
  <si>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</si>
  <si>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</si>
  <si>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</si>
  <si>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</si>
  <si>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</si>
  <si>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</si>
  <si>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</si>
  <si>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</si>
  <si>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</si>
  <si>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</si>
  <si>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</si>
  <si>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</si>
  <si>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</si>
  <si>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</si>
  <si>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</si>
  <si>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</si>
  <si>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</si>
  <si>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</si>
  <si>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</si>
  <si>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</si>
  <si>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</si>
  <si>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</si>
  <si>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</si>
  <si>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</si>
  <si>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</si>
  <si>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</si>
  <si>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</si>
  <si>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</si>
  <si>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</si>
  <si>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</si>
  <si>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</si>
  <si>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</si>
  <si>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</si>
  <si>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</si>
  <si>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</si>
  <si>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</si>
  <si>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</si>
  <si>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</si>
  <si>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</si>
  <si>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</si>
  <si>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</si>
  <si>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</si>
  <si>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</si>
  <si>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</si>
  <si>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</si>
  <si>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</si>
  <si>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</si>
  <si>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</si>
  <si>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</si>
  <si>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</si>
  <si>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</si>
  <si>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</si>
  <si>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</si>
  <si>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</si>
  <si>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</si>
  <si>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</si>
  <si>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</si>
  <si>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</si>
  <si>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</si>
  <si>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</si>
  <si>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</si>
  <si>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</si>
  <si>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</si>
  <si>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</si>
  <si>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</si>
  <si>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</si>
  <si>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</si>
  <si>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</si>
  <si>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</si>
  <si>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</si>
  <si>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</si>
  <si>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</si>
  <si>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</si>
  <si>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</si>
  <si>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</si>
  <si>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</si>
  <si>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</si>
  <si>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</si>
  <si>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</si>
  <si>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</si>
  <si>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</si>
  <si>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</si>
  <si>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</si>
  <si>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</si>
  <si>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</si>
  <si>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</si>
  <si>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</si>
  <si>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</si>
  <si>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</si>
  <si>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</si>
  <si>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</si>
  <si>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</si>
  <si>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</si>
  <si>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</si>
  <si>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</si>
  <si>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</si>
  <si>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</si>
  <si>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</si>
  <si>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</si>
  <si>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</si>
  <si>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</si>
  <si>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</si>
  <si>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</si>
  <si>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</si>
  <si>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</si>
  <si>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</si>
  <si>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</si>
  <si>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</si>
  <si>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</si>
  <si>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</si>
  <si>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</si>
  <si>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</si>
  <si>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</si>
  <si>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</si>
  <si>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</si>
  <si>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</si>
  <si>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</si>
  <si>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</si>
  <si>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</si>
  <si>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</si>
  <si>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</si>
  <si>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</si>
  <si>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</si>
  <si>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</si>
  <si>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</si>
  <si>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</si>
  <si>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</si>
  <si>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</si>
  <si>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</si>
  <si>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</si>
  <si>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</si>
  <si>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</si>
  <si>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</si>
  <si>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</si>
  <si>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</si>
  <si>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</si>
  <si>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</si>
  <si>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</si>
  <si>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</si>
  <si>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</si>
  <si>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</si>
  <si>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</si>
  <si>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</si>
  <si>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</si>
  <si>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</si>
  <si>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</si>
  <si>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</si>
  <si>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</si>
  <si>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</si>
  <si>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</si>
  <si>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</si>
  <si>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</si>
  <si>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</si>
  <si>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</si>
  <si>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</si>
  <si>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</si>
  <si>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</si>
  <si>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</si>
  <si>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</si>
  <si>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</si>
  <si>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</si>
  <si>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</si>
  <si>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</si>
  <si>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</si>
  <si>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</si>
  <si>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</si>
  <si>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</si>
  <si>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</si>
  <si>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</si>
  <si>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</si>
  <si>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</si>
  <si>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</si>
  <si>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</si>
  <si>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</si>
  <si>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</si>
  <si>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</si>
  <si>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</si>
  <si>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</si>
  <si>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</si>
  <si>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</si>
  <si>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</si>
  <si>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</si>
  <si>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</si>
  <si>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</si>
  <si>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</si>
  <si>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</si>
  <si>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</si>
  <si>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</si>
  <si>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</si>
  <si>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</si>
  <si>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</si>
  <si>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</si>
  <si>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</si>
  <si>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</si>
  <si>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</si>
  <si>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</si>
  <si>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</si>
  <si>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</si>
  <si>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</si>
  <si>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</si>
  <si>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</si>
  <si>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</si>
  <si>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</si>
  <si>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</si>
  <si>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</si>
  <si>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</si>
  <si>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</si>
  <si>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</si>
  <si>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</si>
  <si>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</si>
  <si>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</si>
  <si>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</si>
  <si>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</si>
  <si>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</si>
  <si>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</si>
  <si>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</si>
  <si>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</si>
  <si>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</si>
  <si>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</si>
  <si>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</si>
  <si>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</si>
  <si>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</si>
  <si>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</si>
  <si>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</si>
  <si>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</si>
  <si>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</si>
  <si>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</si>
  <si>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</si>
  <si>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</si>
  <si>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</si>
  <si>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</si>
  <si>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</si>
  <si>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</si>
  <si>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</si>
  <si>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</si>
  <si>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</si>
  <si>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</si>
  <si>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</si>
  <si>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</si>
  <si>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</si>
  <si>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</si>
  <si>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</si>
  <si>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</si>
  <si>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</si>
  <si>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</si>
  <si>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</si>
  <si>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</si>
  <si>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</si>
  <si>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</si>
  <si>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</si>
  <si>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</si>
  <si>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</si>
  <si>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</si>
  <si>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</si>
  <si>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</si>
  <si>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</si>
  <si>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</si>
  <si>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</si>
  <si>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</si>
  <si>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</si>
  <si>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</si>
  <si>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</si>
  <si>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</si>
  <si>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</si>
  <si>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</si>
  <si>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</si>
  <si>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</si>
  <si>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</si>
  <si>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</si>
  <si>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</si>
  <si>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</si>
  <si>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</si>
  <si>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</si>
  <si>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</si>
  <si>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</si>
  <si>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</si>
  <si>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</si>
  <si>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</si>
  <si>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</si>
  <si>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</si>
  <si>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</si>
  <si>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</si>
  <si>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</si>
  <si>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</si>
  <si>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</si>
  <si>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</si>
  <si>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</si>
  <si>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</si>
  <si>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</si>
  <si>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</si>
  <si>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</si>
  <si>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</si>
  <si>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</si>
  <si>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</si>
  <si>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</si>
  <si>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</si>
  <si>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</si>
  <si>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</si>
  <si>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</si>
  <si>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</si>
  <si>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</si>
  <si>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</si>
  <si>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</si>
  <si>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</si>
  <si>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</si>
  <si>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</si>
  <si>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</si>
  <si>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</si>
  <si>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</si>
  <si>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</si>
  <si>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</si>
  <si>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</si>
  <si>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</si>
  <si>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</si>
  <si>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</si>
  <si>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</si>
  <si>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</si>
  <si>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</si>
  <si>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</si>
  <si>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</si>
  <si>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</si>
  <si>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</si>
  <si>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</si>
  <si>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</si>
  <si>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</si>
  <si>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</si>
  <si>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</si>
  <si>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</si>
  <si>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</si>
  <si>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</si>
  <si>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</si>
  <si>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</si>
  <si>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</si>
  <si>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</si>
  <si>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</si>
  <si>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</si>
  <si>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</si>
  <si>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</si>
  <si>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</si>
  <si>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</si>
  <si>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</si>
  <si>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</si>
  <si>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</si>
  <si>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</si>
  <si>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</si>
  <si>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</si>
  <si>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</si>
  <si>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</si>
  <si>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</si>
  <si>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</si>
  <si>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</si>
  <si>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</si>
  <si>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</si>
  <si>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</si>
  <si>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</si>
  <si>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</si>
  <si>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</si>
  <si>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</si>
  <si>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</si>
  <si>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</si>
  <si>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</si>
  <si>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</si>
  <si>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</si>
  <si>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</si>
  <si>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</si>
  <si>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</si>
  <si>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</si>
  <si>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</si>
  <si>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</si>
  <si>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</si>
  <si>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</si>
  <si>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</si>
  <si>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</si>
  <si>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</si>
  <si>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</si>
  <si>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</si>
  <si>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</si>
  <si>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</si>
  <si>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</si>
  <si>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</si>
  <si>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</si>
  <si>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</si>
  <si>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</si>
  <si>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</si>
  <si>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</si>
  <si>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</si>
  <si>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</si>
  <si>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</si>
  <si>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</si>
  <si>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</si>
  <si>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</si>
  <si>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</si>
  <si>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</si>
  <si>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</si>
  <si>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</si>
  <si>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</si>
  <si>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</si>
  <si>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</si>
  <si>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</si>
  <si>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</si>
  <si>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</si>
  <si>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</si>
  <si>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</si>
  <si>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</si>
  <si>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</si>
  <si>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</si>
  <si>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</si>
  <si>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</si>
  <si>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</si>
  <si>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</si>
  <si>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</si>
  <si>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</si>
  <si>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</si>
  <si>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</si>
  <si>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</si>
  <si>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</si>
  <si>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</si>
  <si>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</si>
  <si>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</si>
  <si>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</si>
  <si>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</si>
  <si>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</si>
  <si>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</si>
  <si>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</si>
  <si>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</si>
  <si>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</si>
  <si>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</si>
  <si>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</si>
  <si>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</si>
  <si>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</si>
  <si>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</si>
  <si>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</si>
  <si>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</si>
  <si>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</si>
  <si>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</si>
  <si>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</si>
  <si>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</si>
  <si>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</si>
  <si>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</si>
  <si>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</si>
  <si>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</si>
  <si>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</si>
  <si>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</si>
  <si>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</si>
  <si>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</si>
  <si>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</si>
  <si>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</si>
  <si>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</si>
  <si>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</si>
  <si>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</si>
  <si>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</si>
  <si>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</si>
  <si>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</si>
  <si>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</si>
  <si>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</si>
  <si>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</si>
  <si>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</si>
  <si>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</si>
  <si>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</si>
  <si>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</si>
  <si>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</si>
  <si>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</si>
  <si>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</si>
  <si>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</si>
  <si>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</si>
  <si>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</si>
  <si>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</si>
  <si>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</si>
  <si>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</si>
  <si>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</si>
  <si>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</si>
  <si>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</si>
  <si>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</si>
  <si>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</si>
  <si>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</si>
  <si>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</si>
  <si>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</si>
  <si>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</si>
  <si>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</si>
  <si>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</si>
  <si>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</si>
  <si>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</si>
  <si>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</si>
  <si>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</si>
  <si>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</si>
  <si>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</si>
  <si>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</si>
  <si>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</si>
  <si>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</si>
  <si>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</si>
  <si>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</si>
  <si>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</si>
  <si>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</si>
  <si>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</si>
  <si>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</si>
  <si>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</si>
  <si>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</si>
  <si>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</si>
  <si>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</si>
  <si>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</si>
  <si>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</si>
  <si>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</si>
  <si>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</si>
  <si>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</si>
  <si>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</si>
  <si>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</si>
  <si>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</si>
  <si>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</si>
  <si>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</si>
  <si>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</si>
  <si>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</si>
  <si>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</si>
  <si>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</si>
  <si>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</si>
  <si>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</si>
  <si>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</si>
  <si>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</si>
  <si>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</si>
  <si>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</si>
  <si>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</si>
  <si>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</si>
  <si>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</si>
  <si>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</si>
  <si>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</si>
  <si>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</si>
  <si>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</si>
  <si>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</si>
  <si>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</si>
  <si>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</si>
  <si>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</si>
  <si>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</si>
  <si>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</si>
  <si>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</si>
  <si>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</si>
  <si>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</si>
  <si>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</si>
  <si>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</si>
  <si>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</si>
  <si>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</si>
  <si>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</si>
  <si>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</si>
  <si>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</si>
  <si>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</si>
  <si>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</si>
  <si>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</si>
  <si>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</si>
  <si>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</si>
  <si>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</si>
  <si>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</si>
  <si>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</si>
  <si>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</si>
  <si>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</si>
  <si>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</si>
  <si>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</si>
  <si>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</si>
  <si>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</si>
  <si>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</si>
  <si>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</si>
  <si>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</si>
  <si>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</si>
  <si>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</si>
  <si>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</si>
  <si>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</si>
  <si>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</si>
  <si>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</si>
  <si>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</si>
  <si>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</si>
  <si>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</si>
  <si>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</si>
  <si>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</si>
  <si>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</si>
  <si>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</si>
  <si>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</si>
  <si>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</si>
  <si>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</si>
  <si>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</si>
  <si>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</si>
  <si>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</si>
  <si>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</si>
  <si>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</si>
  <si>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</si>
  <si>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</si>
  <si>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</si>
  <si>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</si>
  <si>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</si>
  <si>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</si>
  <si>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</si>
  <si>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</si>
  <si>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</si>
  <si>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</si>
  <si>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</si>
  <si>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</si>
  <si>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</si>
  <si>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</si>
  <si>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</si>
  <si>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</si>
  <si>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</si>
  <si>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</si>
  <si>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</si>
  <si>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</si>
  <si>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</si>
  <si>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</si>
  <si>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</si>
  <si>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</si>
  <si>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</si>
  <si>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</si>
  <si>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</si>
  <si>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</si>
  <si>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</si>
  <si>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</si>
  <si>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</si>
  <si>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</si>
  <si>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</si>
  <si>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</si>
  <si>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</si>
  <si>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</si>
  <si>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</si>
  <si>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</si>
  <si>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</si>
  <si>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</si>
  <si>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</si>
  <si>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</si>
  <si>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</si>
  <si>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</si>
  <si>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</si>
  <si>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</si>
  <si>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</si>
  <si>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</si>
  <si>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</si>
  <si>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</si>
  <si>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</si>
  <si>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</si>
  <si>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</si>
  <si>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</si>
  <si>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</si>
  <si>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</si>
  <si>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</si>
  <si>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</si>
  <si>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</si>
  <si>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</si>
  <si>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</si>
  <si>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</si>
  <si>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</si>
  <si>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</si>
  <si>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</si>
  <si>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</si>
  <si>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</si>
  <si>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</si>
  <si>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</si>
  <si>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</si>
  <si>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</si>
  <si>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</si>
  <si>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</si>
  <si>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</si>
  <si>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</si>
  <si>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</si>
  <si>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</si>
  <si>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</si>
  <si>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</si>
  <si>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</si>
  <si>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</si>
  <si>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</si>
  <si>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</si>
  <si>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</si>
  <si>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</si>
  <si>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</si>
  <si>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</si>
  <si>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</si>
  <si>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</si>
  <si>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</si>
  <si>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</si>
  <si>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</si>
  <si>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</si>
  <si>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</si>
  <si>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</si>
  <si>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</si>
  <si>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</si>
  <si>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</si>
  <si>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</si>
  <si>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</si>
  <si>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</si>
  <si>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</si>
  <si>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</si>
  <si>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</si>
  <si>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</si>
  <si>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</si>
  <si>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</si>
  <si>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</si>
  <si>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</si>
  <si>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</si>
  <si>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</si>
  <si>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</si>
  <si>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</si>
  <si>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</si>
  <si>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</si>
  <si>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</si>
  <si>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</si>
  <si>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</si>
  <si>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</si>
  <si>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</si>
  <si>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</si>
  <si>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</si>
  <si>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</si>
  <si>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</si>
  <si>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</si>
  <si>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</si>
  <si>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</si>
  <si>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</si>
  <si>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</si>
  <si>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</si>
  <si>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</si>
  <si>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</si>
  <si>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</si>
  <si>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</si>
  <si>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</si>
  <si>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</si>
  <si>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</si>
  <si>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</si>
  <si>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</si>
  <si>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</si>
  <si>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</si>
  <si>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</si>
  <si>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</si>
  <si>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</si>
  <si>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</si>
  <si>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</si>
  <si>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</si>
  <si>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</si>
  <si>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</si>
  <si>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</si>
  <si>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</si>
  <si>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</si>
  <si>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</si>
  <si>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</si>
  <si>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</si>
  <si>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</si>
  <si>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</si>
  <si>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</si>
  <si>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</si>
  <si>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</si>
  <si>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</si>
  <si>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</si>
  <si>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</si>
  <si>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</si>
  <si>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</si>
  <si>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</si>
  <si>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</si>
  <si>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</si>
  <si>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</si>
  <si>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</si>
  <si>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</si>
  <si>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</si>
  <si>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</si>
  <si>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</si>
  <si>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</si>
  <si>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</si>
  <si>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</si>
  <si>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</si>
  <si>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</si>
  <si>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</si>
  <si>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</si>
  <si>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</si>
  <si>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</si>
  <si>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</si>
  <si>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</si>
  <si>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</si>
  <si>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</si>
  <si>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</si>
  <si>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</si>
  <si>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</si>
  <si>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</si>
  <si>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</si>
  <si>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</si>
  <si>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</si>
  <si>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</si>
  <si>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</si>
  <si>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</si>
  <si>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</si>
  <si>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</si>
  <si>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</si>
  <si>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</si>
  <si>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</si>
  <si>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</si>
  <si>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</si>
  <si>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</si>
  <si>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</si>
  <si>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</si>
  <si>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</si>
  <si>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</si>
  <si>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</si>
  <si>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</si>
  <si>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</si>
  <si>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</si>
  <si>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</si>
  <si>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</si>
  <si>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</si>
  <si>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</si>
  <si>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</si>
  <si>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</si>
  <si>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</si>
  <si>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</si>
  <si>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</si>
  <si>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</si>
  <si>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</si>
  <si>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</si>
  <si>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</si>
  <si>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</si>
  <si>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</si>
  <si>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</si>
  <si>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</si>
  <si>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</si>
  <si>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</si>
  <si>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</si>
  <si>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</si>
  <si>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</si>
  <si>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</si>
  <si>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</si>
  <si>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</si>
  <si>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</si>
  <si>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</si>
  <si>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</si>
  <si>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</si>
  <si>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</si>
  <si>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</si>
  <si>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</si>
  <si>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</si>
  <si>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</si>
  <si>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</si>
  <si>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</si>
  <si>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</si>
  <si>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</si>
  <si>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</si>
  <si>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</si>
  <si>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</si>
  <si>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</si>
  <si>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</si>
  <si>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</si>
  <si>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</si>
  <si>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</si>
  <si>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</si>
  <si>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</si>
  <si>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</si>
  <si>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</si>
  <si>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</si>
  <si>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</si>
  <si>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</si>
  <si>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</si>
  <si>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</si>
  <si>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</si>
  <si>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</si>
  <si>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</si>
  <si>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</si>
  <si>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</si>
  <si>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</si>
  <si>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</si>
  <si>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</si>
  <si>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</si>
  <si>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</si>
  <si>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</si>
  <si>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</si>
  <si>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</si>
  <si>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</si>
  <si>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</si>
  <si>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</si>
  <si>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</si>
  <si>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</si>
  <si>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</si>
  <si>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</si>
  <si>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</si>
  <si>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</si>
  <si>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</si>
  <si>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</si>
  <si>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</si>
  <si>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</si>
  <si>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</si>
  <si>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</si>
  <si>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</si>
  <si>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</si>
  <si>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</si>
  <si>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</si>
  <si>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</si>
  <si>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</si>
  <si>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</si>
  <si>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</si>
  <si>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</si>
  <si>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</si>
  <si>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</si>
  <si>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</si>
  <si>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</si>
  <si>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</si>
  <si>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</si>
  <si>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</si>
  <si>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</si>
  <si>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</si>
  <si>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</si>
  <si>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</si>
  <si>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</si>
  <si>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</si>
  <si>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</si>
  <si>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</si>
  <si>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</si>
  <si>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</si>
  <si>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</si>
  <si>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</si>
  <si>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</si>
  <si>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</si>
  <si>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</si>
  <si>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</si>
  <si>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</si>
  <si>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</si>
  <si>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</si>
  <si>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</si>
  <si>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</si>
  <si>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</si>
  <si>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</si>
  <si>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</si>
  <si>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</si>
  <si>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</si>
  <si>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</si>
  <si>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</si>
  <si>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</si>
  <si>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</si>
  <si>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</si>
  <si>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</si>
  <si>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</si>
  <si>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</si>
  <si>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</si>
  <si>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</si>
  <si>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</si>
  <si>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</si>
  <si>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</si>
  <si>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</si>
  <si>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</si>
  <si>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</si>
  <si>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</si>
  <si>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</si>
  <si>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</si>
  <si>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</si>
  <si>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</si>
  <si>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</si>
  <si>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</si>
  <si>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</si>
  <si>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</si>
  <si>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</si>
  <si>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</si>
  <si>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</si>
  <si>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</si>
  <si>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</si>
  <si>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</si>
  <si>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</si>
  <si>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</si>
  <si>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</si>
  <si>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</si>
  <si>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</si>
  <si>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</si>
  <si>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</si>
  <si>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</si>
  <si>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</si>
  <si>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</si>
  <si>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</si>
  <si>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</si>
  <si>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</si>
  <si>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</si>
  <si>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</si>
  <si>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</si>
  <si>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</si>
  <si>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</si>
  <si>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</si>
  <si>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</si>
  <si>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</si>
  <si>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</si>
  <si>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</si>
  <si>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</si>
  <si>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</si>
  <si>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</si>
  <si>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</si>
  <si>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</si>
  <si>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</si>
  <si>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</si>
  <si>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</si>
  <si>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</si>
  <si>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</si>
  <si>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</si>
  <si>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</si>
  <si>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</si>
  <si>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</si>
  <si>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</si>
  <si>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</si>
  <si>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</si>
  <si>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</si>
  <si>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</si>
  <si>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</si>
  <si>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</si>
  <si>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</si>
  <si>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</si>
  <si>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</si>
  <si>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</si>
  <si>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</si>
  <si>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</si>
  <si>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</si>
  <si>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</si>
  <si>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</si>
  <si>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</si>
  <si>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</si>
  <si>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</si>
  <si>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</si>
  <si>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</si>
  <si>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</si>
  <si>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</si>
  <si>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</si>
  <si>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</si>
  <si>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</si>
  <si>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</si>
  <si>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</si>
  <si>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</si>
  <si>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</si>
  <si>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</si>
  <si>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</si>
  <si>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</si>
  <si>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</si>
  <si>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</si>
  <si>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</si>
  <si>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</si>
  <si>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</si>
  <si>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</si>
  <si>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</si>
  <si>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</si>
  <si>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</si>
  <si>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</si>
  <si>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</si>
  <si>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</si>
  <si>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</si>
  <si>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</si>
  <si>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</si>
  <si>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</si>
  <si>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</si>
  <si>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</si>
  <si>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</si>
  <si>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</si>
  <si>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</si>
  <si>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</si>
  <si>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</si>
  <si>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</si>
  <si>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</si>
  <si>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</si>
  <si>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</si>
  <si>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</si>
  <si>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</si>
  <si>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</si>
  <si>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</si>
  <si>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</si>
  <si>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</si>
  <si>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</si>
  <si>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</si>
  <si>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</si>
  <si>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</si>
  <si>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</si>
  <si>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</si>
  <si>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</si>
  <si>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</si>
  <si>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</si>
  <si>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</si>
  <si>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</si>
  <si>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</si>
  <si>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</si>
  <si>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</si>
  <si>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</si>
  <si>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</si>
  <si>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</si>
  <si>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</si>
  <si>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</si>
  <si>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</si>
  <si>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</si>
  <si>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</si>
  <si>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</si>
  <si>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</si>
  <si>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</si>
  <si>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</si>
  <si>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</si>
  <si>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</si>
  <si>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</si>
  <si>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</si>
  <si>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</si>
  <si>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</si>
  <si>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</si>
  <si>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</si>
  <si>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</si>
  <si>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</si>
  <si>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</si>
  <si>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</si>
  <si>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</si>
  <si>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</si>
  <si>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</si>
  <si>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</si>
  <si>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</si>
  <si>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</si>
  <si>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</si>
  <si>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</si>
  <si>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</si>
  <si>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</si>
  <si>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</si>
  <si>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</si>
  <si>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</si>
  <si>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</si>
  <si>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</si>
  <si>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</si>
  <si>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</si>
  <si>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</si>
  <si>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</si>
  <si>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</si>
  <si>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</si>
  <si>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</si>
  <si>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</si>
  <si>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</si>
  <si>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</si>
  <si>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</si>
  <si>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</si>
  <si>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</si>
  <si>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</si>
  <si>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</si>
  <si>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</si>
  <si>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</si>
  <si>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</si>
  <si>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</si>
  <si>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</si>
  <si>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</si>
  <si>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</si>
  <si>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</si>
  <si>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</si>
  <si>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</si>
  <si>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</si>
  <si>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</si>
  <si>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</si>
  <si>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</si>
  <si>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</si>
  <si>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</si>
  <si>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</si>
  <si>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</si>
  <si>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</si>
  <si>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</si>
  <si>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</si>
  <si>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</si>
  <si>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</si>
  <si>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</si>
  <si>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</si>
  <si>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</si>
  <si>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</si>
  <si>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</si>
  <si>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</si>
  <si>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</si>
  <si>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</si>
  <si>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</si>
  <si>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</si>
  <si>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</si>
  <si>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</si>
  <si>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</si>
  <si>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</si>
  <si>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</si>
  <si>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</si>
  <si>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</si>
  <si>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</si>
  <si>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</si>
  <si>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</si>
  <si>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</si>
  <si>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</si>
  <si>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</si>
  <si>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</si>
  <si>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</si>
  <si>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</si>
  <si>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</si>
  <si>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</si>
  <si>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</si>
  <si>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</si>
  <si>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</si>
  <si>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</si>
  <si>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</si>
  <si>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</si>
  <si>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</si>
  <si>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</si>
  <si>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</si>
  <si>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</si>
  <si>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</si>
  <si>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</si>
  <si>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</si>
  <si>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</si>
  <si>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</si>
  <si>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</si>
  <si>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</si>
  <si>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</si>
  <si>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</si>
  <si>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</si>
  <si>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</si>
  <si>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</si>
  <si>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</si>
  <si>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</si>
  <si>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</si>
  <si>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</si>
  <si>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</si>
  <si>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</si>
  <si>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</si>
  <si>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</si>
  <si>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</si>
  <si>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</si>
  <si>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</si>
  <si>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</si>
  <si>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</si>
  <si>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</si>
  <si>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</si>
  <si>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</si>
  <si>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</si>
  <si>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</si>
  <si>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</si>
  <si>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</si>
  <si>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</si>
  <si>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</si>
  <si>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</si>
  <si>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</si>
  <si>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</si>
  <si>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</si>
  <si>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</si>
  <si>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</si>
  <si>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</si>
  <si>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</si>
  <si>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</si>
  <si>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</si>
  <si>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</si>
  <si>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</si>
  <si>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</si>
  <si>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</si>
  <si>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</si>
  <si>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</si>
  <si>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</si>
  <si>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</si>
  <si>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</si>
  <si>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</si>
  <si>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</si>
  <si>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</si>
  <si>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</si>
  <si>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</si>
  <si>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</si>
  <si>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</si>
  <si>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</si>
  <si>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</si>
  <si>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</si>
  <si>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</si>
  <si>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</si>
  <si>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</si>
  <si>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</si>
  <si>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</si>
  <si>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</si>
  <si>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</si>
  <si>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</si>
  <si>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</si>
  <si>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</si>
  <si>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</si>
  <si>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</si>
  <si>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</si>
  <si>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</si>
  <si>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</si>
  <si>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</si>
  <si>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</si>
  <si>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</si>
  <si>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</si>
  <si>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</si>
  <si>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</si>
  <si>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</si>
  <si>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</si>
  <si>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</si>
  <si>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</si>
  <si>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</si>
  <si>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</si>
  <si>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</si>
  <si>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</si>
  <si>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</si>
  <si>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</si>
  <si>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</si>
  <si>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</si>
  <si>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</si>
  <si>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</si>
  <si>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</si>
  <si>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</si>
  <si>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</si>
  <si>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</si>
  <si>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</si>
  <si>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</si>
  <si>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</si>
  <si>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</si>
  <si>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</si>
  <si>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</si>
  <si>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</si>
  <si>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</si>
  <si>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</si>
  <si>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</si>
  <si>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</si>
  <si>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</si>
  <si>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</si>
  <si>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</si>
  <si>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</si>
  <si>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</si>
  <si>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</si>
  <si>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</si>
  <si>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</si>
  <si>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</si>
  <si>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</si>
  <si>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</si>
  <si>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</si>
  <si>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</si>
  <si>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</si>
  <si>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</si>
  <si>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</si>
  <si>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</si>
  <si>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</si>
  <si>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</si>
  <si>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</si>
  <si>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</si>
  <si>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</si>
  <si>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</si>
  <si>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</si>
  <si>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</si>
  <si>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</si>
  <si>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</si>
  <si>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</si>
  <si>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</si>
  <si>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</si>
  <si>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</si>
  <si>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</si>
  <si>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</si>
  <si>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</si>
  <si>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</si>
  <si>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</si>
  <si>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</si>
  <si>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</si>
  <si>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</si>
  <si>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</si>
  <si>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</si>
  <si>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</si>
  <si>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</si>
  <si>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</si>
  <si>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</si>
  <si>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</si>
  <si>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</si>
  <si>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</si>
  <si>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</si>
  <si>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</si>
  <si>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</si>
  <si>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</si>
  <si>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</si>
  <si>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</si>
  <si>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</si>
  <si>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</si>
  <si>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</si>
  <si>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</si>
  <si>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</si>
  <si>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</si>
  <si>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</si>
  <si>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</si>
  <si>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</si>
  <si>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</si>
  <si>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</si>
  <si>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</si>
  <si>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</si>
  <si>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</si>
  <si>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</si>
  <si>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</si>
  <si>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</si>
  <si>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</si>
  <si>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</si>
  <si>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</si>
  <si>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</si>
  <si>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</si>
  <si>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</si>
  <si>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</si>
  <si>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</si>
  <si>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</si>
  <si>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</si>
  <si>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</si>
  <si>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</si>
  <si>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</si>
  <si>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</si>
  <si>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</si>
  <si>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</si>
  <si>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</si>
  <si>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</si>
  <si>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</si>
  <si>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</si>
  <si>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Nombre</t>
  </si>
  <si>
    <t>Bodega ECU</t>
  </si>
  <si>
    <t>STERICLIN</t>
  </si>
  <si>
    <t>Checkboxes</t>
  </si>
  <si>
    <t>Clasificación</t>
  </si>
  <si>
    <t>Responsable</t>
  </si>
  <si>
    <t>Línea</t>
  </si>
  <si>
    <t>Sublínea</t>
  </si>
  <si>
    <t>Modelo</t>
  </si>
  <si>
    <t>Familia</t>
  </si>
  <si>
    <t>Subfamilia</t>
  </si>
  <si>
    <t>Categoría</t>
  </si>
  <si>
    <t>Marca</t>
  </si>
  <si>
    <t>CalendarioE</t>
  </si>
  <si>
    <t>G</t>
  </si>
  <si>
    <t>Hoja CB</t>
  </si>
  <si>
    <t>MEDITOP</t>
  </si>
  <si>
    <t>HOSPICARE</t>
  </si>
  <si>
    <t>Clínica Kennedy</t>
  </si>
  <si>
    <t>Junta</t>
  </si>
  <si>
    <t>Luis Vern</t>
  </si>
  <si>
    <t>Metropolitano</t>
  </si>
  <si>
    <t>admin</t>
  </si>
  <si>
    <t xml:space="preserve"> METRICIDE</t>
  </si>
  <si>
    <t>ACCESORIO SET DE AUTOTRANSFUSION</t>
  </si>
  <si>
    <t>ACCESORIOS  CAMPANAS</t>
  </si>
  <si>
    <t>ACCESORIOS CAMPANAS</t>
  </si>
  <si>
    <t>ANGIOGRAFIA</t>
  </si>
  <si>
    <t>BATAS AISLAMIENTO</t>
  </si>
  <si>
    <t>BATAS QUIMIOTERAPIA</t>
  </si>
  <si>
    <t>BOLSAS</t>
  </si>
  <si>
    <t>CAMP. AUTOTRASNF.TRES CAMARAS EN HUMEDO</t>
  </si>
  <si>
    <t>CAMP.AUTOTRANSF.CUATRO CAMARAS EN HUMEDO</t>
  </si>
  <si>
    <t>CAMP.AUTOTRANSF.TRES CAMARAS TOTALM.SECO</t>
  </si>
  <si>
    <t>CAMPANA  DOS CAMARAS</t>
  </si>
  <si>
    <t>CAMPANA CUATRO CAMARAS EN HUMEDO</t>
  </si>
  <si>
    <t>CAMPANA DE CUATRO CAMARAS EN SECO</t>
  </si>
  <si>
    <t>CAMPANA DE TRES CAMARAS HUMEDO</t>
  </si>
  <si>
    <t>CAMPANA DE TRES CAMARAS SECO</t>
  </si>
  <si>
    <t>CAMPANA TRES CAMARAS TOTALMENTE SECO</t>
  </si>
  <si>
    <t>CAMPANA UNICAMERAL</t>
  </si>
  <si>
    <t>CARDIOVASCULAR</t>
  </si>
  <si>
    <t>CATETERES ANGULADOS PVC</t>
  </si>
  <si>
    <t>CATETERES CON TROCAR PUNTA AFILADA</t>
  </si>
  <si>
    <t>CATETERES CON TROCAR PUNTA CERRADA</t>
  </si>
  <si>
    <t>CATETERES DE SILICON ANGULADO</t>
  </si>
  <si>
    <t>CATETERES DE SILICON RECTO</t>
  </si>
  <si>
    <t>CATETERES RECTOS PVC</t>
  </si>
  <si>
    <t>CAVICIDE</t>
  </si>
  <si>
    <t>CAVIWIPES 1</t>
  </si>
  <si>
    <t>CAVIWIPES 1 XL</t>
  </si>
  <si>
    <t>GENERAL</t>
  </si>
  <si>
    <t>GUANTES</t>
  </si>
  <si>
    <t>GUANTES PARA QUIMIOTERAPIA</t>
  </si>
  <si>
    <t>JACKSON PRATT</t>
  </si>
  <si>
    <t>KARDIAL</t>
  </si>
  <si>
    <t>KIMGUARD</t>
  </si>
  <si>
    <t>MASCARILLA RESPIRATORIA N95</t>
  </si>
  <si>
    <t>MASCARILLAS CONTRA LIQUIDOS</t>
  </si>
  <si>
    <t>METRISPONGE</t>
  </si>
  <si>
    <t>MICROCOOL</t>
  </si>
  <si>
    <t>MULTIMAT</t>
  </si>
  <si>
    <t>ORTOPEDIA</t>
  </si>
  <si>
    <t>QCARE Q4</t>
  </si>
  <si>
    <t>QCARE Q8</t>
  </si>
  <si>
    <t>RESERVORIOS</t>
  </si>
  <si>
    <t>SET DE AUTOTRANSFUSION</t>
  </si>
  <si>
    <t>SPIRAL</t>
  </si>
  <si>
    <t>STOKINETA</t>
  </si>
  <si>
    <t>TIRAS REACTIVAS</t>
  </si>
  <si>
    <t>ULTRA</t>
  </si>
  <si>
    <t>UNICO</t>
  </si>
  <si>
    <t>UNIVERSAL</t>
  </si>
  <si>
    <t>VALVULA DE HEIMLICH</t>
  </si>
  <si>
    <t>VISERA</t>
  </si>
  <si>
    <t>HALYARD</t>
  </si>
  <si>
    <t>METREX</t>
  </si>
  <si>
    <t>REDAX</t>
  </si>
  <si>
    <t>SAGE</t>
  </si>
  <si>
    <t>STERYLAB</t>
  </si>
  <si>
    <t>Visualiza Requerimiento</t>
  </si>
  <si>
    <t>PRODIMEDA</t>
  </si>
  <si>
    <t>JERILEX</t>
  </si>
  <si>
    <t>KIMBERLY CLARK PROFESSIONAL</t>
  </si>
  <si>
    <t>VIRUMEC</t>
  </si>
  <si>
    <t>HOSPICARE.xlsm</t>
  </si>
  <si>
    <t>METREX MARITIMO</t>
  </si>
  <si>
    <t>REDAX AEREO</t>
  </si>
  <si>
    <t>HALYARD AEREO</t>
  </si>
  <si>
    <t>SAGE MARITIMO</t>
  </si>
  <si>
    <t>STERYLAB AEREO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</si>
</sst>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0" fontId="0" fillId="0" borderId="0" xfId="0" applyNumberFormat="1" applyFill="1" applyProtection="1"/>
    <xf numFmtId="0" fontId="0" fillId="10" borderId="6" xfId="0" applyFill="1" applyBorder="1"/>
    <xf numFmtId="0" fontId="0" fillId="10" borderId="7" xfId="0" applyFill="1" applyBorder="1"/>
    <xf numFmtId="0" fontId="4" fillId="10" borderId="7" xfId="0" applyNumberFormat="1" applyFont="1" applyFill="1" applyBorder="1" applyProtection="1"/>
    <xf numFmtId="0" fontId="0" fillId="10" borderId="7" xfId="0" applyNumberFormat="1" applyFill="1" applyBorder="1" applyProtection="1"/>
    <xf numFmtId="0" fontId="0" fillId="10" borderId="8" xfId="0" applyNumberFormat="1" applyFill="1" applyBorder="1" applyProtection="1"/>
    <xf numFmtId="0" fontId="2" fillId="10" borderId="5" xfId="0" applyNumberFormat="1" applyFont="1" applyFill="1" applyBorder="1" applyProtection="1"/>
    <xf numFmtId="0" fontId="0" fillId="10" borderId="0" xfId="0" applyNumberFormat="1" applyFill="1" applyProtection="1"/>
    <xf numFmtId="0" fontId="0" fillId="10" borderId="1" xfId="0" applyNumberFormat="1" applyFill="1" applyBorder="1" applyProtection="1"/>
    <xf numFmtId="0" fontId="0" fillId="10" borderId="5" xfId="0" applyFill="1" applyBorder="1"/>
    <xf numFmtId="0" fontId="0" fillId="10" borderId="0" xfId="0" applyFill="1"/>
    <xf numFmtId="0" fontId="12" fillId="10" borderId="0" xfId="0" applyNumberFormat="1" applyFont="1" applyFill="1" applyProtection="1"/>
    <xf numFmtId="0" fontId="0" fillId="10" borderId="5" xfId="0" applyNumberFormat="1" applyFill="1" applyBorder="1" applyProtection="1"/>
    <xf numFmtId="0" fontId="6" fillId="10" borderId="0" xfId="0" applyNumberFormat="1" applyFont="1" applyFill="1" applyProtection="1"/>
    <xf numFmtId="0" fontId="0" fillId="10" borderId="4" xfId="0" applyNumberFormat="1" applyFill="1" applyBorder="1" applyProtection="1"/>
    <xf numFmtId="0" fontId="0" fillId="10" borderId="3" xfId="0" applyNumberFormat="1" applyFill="1" applyBorder="1" applyProtection="1"/>
    <xf numFmtId="0" fontId="0" fillId="10" borderId="2" xfId="0" applyNumberFormat="1" applyFill="1" applyBorder="1" applyProtection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protection locked="1" hidden="0"/>
    </dxf>
    <dxf>
      <numFmt numFmtId="0" formatCode="General"/>
      <fill>
        <patternFill patternType="solid">
          <fgColor indexed="64"/>
          <bgColor theme="8" tint="0.59999389629810485"/>
        </patternFill>
      </fill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9082000"/>
        <c:axId val="851149776"/>
      </c:barChart>
      <c:catAx>
        <c:axId val="859082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851149776"/>
        <c:crosses val="autoZero"/>
        <c:auto val="1"/>
        <c:lblAlgn val="ctr"/>
        <c:lblOffset val="100"/>
        <c:noMultiLvlLbl val="0"/>
      </c:catAx>
      <c:valAx>
        <c:axId val="8511497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59082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ombos!$C$1" fmlaRange="Combos!$A$2:$A$7" sel="2" val="0"/>
</file>

<file path=xl/ctrlProps/ctrlProp2.xml><?xml version="1.0" encoding="utf-8"?>
<formControlPr xmlns="http://schemas.microsoft.com/office/spreadsheetml/2009/9/main" objectType="List" dx="22" fmlaLink="Combos!$G$1" fmlaRange="Combos!$E$2:$E$2" val="0"/>
</file>

<file path=xl/ctrlProps/ctrlProp3.xml><?xml version="1.0" encoding="utf-8"?>
<formControlPr xmlns="http://schemas.microsoft.com/office/spreadsheetml/2009/9/main" objectType="List" dx="22" fmlaLink="Combos!$K$1" fmlaRange="Combos!$I$2:$I$11" sel="6" val="0"/>
</file>

<file path=xl/ctrlProps/ctrlProp4.xml><?xml version="1.0" encoding="utf-8"?>
<formControlPr xmlns="http://schemas.microsoft.com/office/spreadsheetml/2009/9/main" objectType="Drop" dropLines="20" dropStyle="combo" dx="16" fmlaLink="num_marca_seleccionada" fmlaRange="Combos!$M$2:$M$6" val="0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Drop" dropLines="20" dropStyle="combo" dx="16" fmlaLink="num_grupo_seleccionada" fmlaRange="Combos!$Q$2:$Q$2" val="0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Drop" dropLines="20" dropStyle="combo" dx="16" fmlaLink="num_linea_seleccionada" fmlaRange="Combos!$U$2:$U$2" val="0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Lines="20" dropStyle="combo" dx="16" fmlaLink="num_sublinea_seleccionada" fmlaRange="Combos!$Y$2:$Y$2" val="0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Drop" dropLines="20" dropStyle="combo" dx="16" fmlaLink="num_modelo_seleccionada" fmlaRange="Combos!$AC$2:$AC$2" val="0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Drop" dropLines="20" dropStyle="combo" dx="16" fmlaLink="num_familia_seleccionada" fmlaRange="Combos!$AG$2:$AG$2" val="0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Drop" dropLines="20" dropStyle="combo" dx="16" fmlaLink="num_subfamilia_seleccionada" fmlaRange="Combos!$AK$2:$AK$53" val="0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Drop" dropLines="20" dropStyle="combo" dx="16" fmlaLink="num_categoria_seleccionada" fmlaRange="Combos!$AO$2:$AO$2" val="0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Drop" dropLines="20" dropStyle="combo" dx="16" fmlaLink="num_tipo_seleccionada" fmlaRange="Combos!$AS$2:$AS$2" val="0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0" dropStyle="combo" dx="16" fmlaLink="num_estatus_seleccionada" fmlaRange="Combos!$AW$2:$AW$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0" dropStyle="combo" dx="16" fmlaLink="num_clasificacion_seleccionada" fmlaRange="Combos!$BA$2:$BA$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0" dropStyle="combo" dx="16" fmlaLink="num_responsable_seleccionada" fmlaRange="Combos!$BE$2:$BE$2" val="0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CheckBox" fmlaLink="chk_estatus" lockText="1"/>
</file>

<file path=xl/ctrlProps/ctrlProp33.xml><?xml version="1.0" encoding="utf-8"?>
<formControlPr xmlns="http://schemas.microsoft.com/office/spreadsheetml/2009/9/main" objectType="CheckBox" fmlaLink="chk_clasificacion" lockText="1"/>
</file>

<file path=xl/ctrlProps/ctrlProp34.xml><?xml version="1.0" encoding="utf-8"?>
<formControlPr xmlns="http://schemas.microsoft.com/office/spreadsheetml/2009/9/main" objectType="CheckBox" fmlaLink="chk_responsable" lockText="1"/>
</file>

<file path=xl/ctrlProps/ctrlProp35.xml><?xml version="1.0" encoding="utf-8"?>
<formControlPr xmlns="http://schemas.microsoft.com/office/spreadsheetml/2009/9/main" objectType="CheckBox" fmlaLink="chk_grupo" lockText="1"/>
</file>

<file path=xl/ctrlProps/ctrlProp36.xml><?xml version="1.0" encoding="utf-8"?>
<formControlPr xmlns="http://schemas.microsoft.com/office/spreadsheetml/2009/9/main" objectType="CheckBox" fmlaLink="chk_linea" lockText="1"/>
</file>

<file path=xl/ctrlProps/ctrlProp37.xml><?xml version="1.0" encoding="utf-8"?>
<formControlPr xmlns="http://schemas.microsoft.com/office/spreadsheetml/2009/9/main" objectType="CheckBox" fmlaLink="chk_sublinea" lockText="1"/>
</file>

<file path=xl/ctrlProps/ctrlProp38.xml><?xml version="1.0" encoding="utf-8"?>
<formControlPr xmlns="http://schemas.microsoft.com/office/spreadsheetml/2009/9/main" objectType="CheckBox" fmlaLink="chk_modelo" lockText="1"/>
</file>

<file path=xl/ctrlProps/ctrlProp39.xml><?xml version="1.0" encoding="utf-8"?>
<formControlPr xmlns="http://schemas.microsoft.com/office/spreadsheetml/2009/9/main" objectType="CheckBox" fmlaLink="chk_familia" lockText="1"/>
</file>

<file path=xl/ctrlProps/ctrlProp40.xml><?xml version="1.0" encoding="utf-8"?>
<formControlPr xmlns="http://schemas.microsoft.com/office/spreadsheetml/2009/9/main" objectType="CheckBox" fmlaLink="chk_subfamilia" lockText="1"/>
</file>

<file path=xl/ctrlProps/ctrlProp41.xml><?xml version="1.0" encoding="utf-8"?>
<formControlPr xmlns="http://schemas.microsoft.com/office/spreadsheetml/2009/9/main" objectType="CheckBox" fmlaLink="chk_categoria" lockText="1"/>
</file>

<file path=xl/ctrlProps/ctrlProp42.xml><?xml version="1.0" encoding="utf-8"?>
<formControlPr xmlns="http://schemas.microsoft.com/office/spreadsheetml/2009/9/main" objectType="CheckBox" fmlaLink="chk_tipo" lockText="1"/>
</file>

<file path=xl/ctrlProps/ctrlProp43.xml><?xml version="1.0" encoding="utf-8"?>
<formControlPr xmlns="http://schemas.microsoft.com/office/spreadsheetml/2009/9/main" objectType="CheckBox" fmlaLink="chk_marca" lockText="1"/>
</file>

<file path=xl/ctrlProps/ctrlProp44.xml><?xml version="1.0" encoding="utf-8"?>
<formControlPr xmlns="http://schemas.microsoft.com/office/spreadsheetml/2009/9/main" objectType="Drop" dropLines="20" dropStyle="combo" dx="16" fmlaLink="num_calendarioe_seleccionada" fmlaRange="Combos!$BQ$2:$BQ$2" val="0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Drop" dropLines="20" dropStyle="combo" dx="16" fmlaLink="num_perfil_seleccionada" fmlaRange="Combos!$BI$2:$BI$6" val="0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Drop" dropLines="20" dropStyle="combo" dx="16" fmlaLink="num_color_seleccionada" fmlaRange="Combos!$BM$2:$BM$7" val="0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CheckBox" fmlaLink="chk_perfil" lockText="1"/>
</file>

<file path=xl/ctrlProps/ctrlProp51.xml><?xml version="1.0" encoding="utf-8"?>
<formControlPr xmlns="http://schemas.microsoft.com/office/spreadsheetml/2009/9/main" objectType="CheckBox" fmlaLink="chk_color" lockText="1"/>
</file>

<file path=xl/ctrlProps/ctrlProp52.xml><?xml version="1.0" encoding="utf-8"?>
<formControlPr xmlns="http://schemas.microsoft.com/office/spreadsheetml/2009/9/main" objectType="CheckBox" fmlaLink="chk_calendarioe" lockText="1"/>
</file>

<file path=xl/ctrlProps/ctrlProp53.xml><?xml version="1.0" encoding="utf-8"?>
<formControlPr xmlns="http://schemas.microsoft.com/office/spreadsheetml/2009/9/main" objectType="Drop" dropLines="20" dropStyle="combo" dx="16" fmlaLink="num_hojacb_seleccionada" fmlaRange="Combos!$BU$2:$BU$2" val="0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CheckBox" fmlaLink="chk_hojacb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visualiza_requerim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590550</xdr:colOff>
      <xdr:row>0</xdr:row>
      <xdr:rowOff>28575</xdr:rowOff>
    </xdr:from>
    <xdr:to>
      <xdr:col>3</xdr:col>
      <xdr:colOff>152400</xdr:colOff>
      <xdr:row>1</xdr:row>
      <xdr:rowOff>200025</xdr:rowOff>
    </xdr:to>
    <xdr:sp macro="[0]!Controles.Controles" textlink="">
      <xdr:nvSpPr>
        <xdr:cNvPr id="2" name="1 Rectángulo redondeado"/>
        <xdr:cNvSpPr/>
      </xdr:nvSpPr>
      <xdr:spPr>
        <a:xfrm>
          <a:off x="59055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604838</xdr:colOff>
      <xdr:row>2</xdr:row>
      <xdr:rowOff>76200</xdr:rowOff>
    </xdr:from>
    <xdr:to>
      <xdr:col>1</xdr:col>
      <xdr:colOff>852488</xdr:colOff>
      <xdr:row>4</xdr:row>
      <xdr:rowOff>66675</xdr:rowOff>
    </xdr:to>
    <xdr:sp macro="" textlink="">
      <xdr:nvSpPr>
        <xdr:cNvPr id="3" name="2 Rectángulo redondeado"/>
        <xdr:cNvSpPr/>
      </xdr:nvSpPr>
      <xdr:spPr>
        <a:xfrm>
          <a:off x="604838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HACIA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19</xdr:row>
          <xdr:rowOff>57150</xdr:rowOff>
        </xdr:from>
        <xdr:to>
          <xdr:col>4</xdr:col>
          <xdr:colOff>95250</xdr:colOff>
          <xdr:row>21</xdr:row>
          <xdr:rowOff>9525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628650</xdr:colOff>
          <xdr:row>2</xdr:row>
          <xdr:rowOff>38100</xdr:rowOff>
        </xdr:from>
        <xdr:to>
          <xdr:col>24</xdr:col>
          <xdr:colOff>628650</xdr:colOff>
          <xdr:row>17</xdr:row>
          <xdr:rowOff>114300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9525</xdr:colOff>
          <xdr:row>2</xdr:row>
          <xdr:rowOff>19050</xdr:rowOff>
        </xdr:from>
        <xdr:to>
          <xdr:col>30</xdr:col>
          <xdr:colOff>9525</xdr:colOff>
          <xdr:row>17</xdr:row>
          <xdr:rowOff>95250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20</xdr:row>
          <xdr:rowOff>104775</xdr:rowOff>
        </xdr:from>
        <xdr:to>
          <xdr:col>1</xdr:col>
          <xdr:colOff>781050</xdr:colOff>
          <xdr:row>21</xdr:row>
          <xdr:rowOff>171450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20</xdr:row>
          <xdr:rowOff>104775</xdr:rowOff>
        </xdr:from>
        <xdr:to>
          <xdr:col>2</xdr:col>
          <xdr:colOff>533400</xdr:colOff>
          <xdr:row>21</xdr:row>
          <xdr:rowOff>171450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5</xdr:row>
          <xdr:rowOff>104775</xdr:rowOff>
        </xdr:from>
        <xdr:to>
          <xdr:col>1</xdr:col>
          <xdr:colOff>1190625</xdr:colOff>
          <xdr:row>7</xdr:row>
          <xdr:rowOff>9525</xdr:rowOff>
        </xdr:to>
        <xdr:sp macro="" textlink="">
          <xdr:nvSpPr>
            <xdr:cNvPr id="2058" name="lstEmpresa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9</xdr:row>
          <xdr:rowOff>0</xdr:rowOff>
        </xdr:from>
        <xdr:to>
          <xdr:col>1</xdr:col>
          <xdr:colOff>1390650</xdr:colOff>
          <xdr:row>18</xdr:row>
          <xdr:rowOff>76200</xdr:rowOff>
        </xdr:to>
        <xdr:sp macro="" textlink="">
          <xdr:nvSpPr>
            <xdr:cNvPr id="2060" name="cboBodegas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2114551</xdr:colOff>
      <xdr:row>2</xdr:row>
      <xdr:rowOff>76200</xdr:rowOff>
    </xdr:from>
    <xdr:to>
      <xdr:col>3</xdr:col>
      <xdr:colOff>247651</xdr:colOff>
      <xdr:row>4</xdr:row>
      <xdr:rowOff>66675</xdr:rowOff>
    </xdr:to>
    <xdr:sp macro="" textlink="">
      <xdr:nvSpPr>
        <xdr:cNvPr id="12" name="2 Rectángulo redondeado"/>
        <xdr:cNvSpPr/>
      </xdr:nvSpPr>
      <xdr:spPr>
        <a:xfrm>
          <a:off x="3076576" y="542925"/>
          <a:ext cx="120967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DESDE</a:t>
          </a:r>
        </a:p>
      </xdr:txBody>
    </xdr:sp>
    <xdr:clientData/>
  </xdr:twoCellAnchor>
  <xdr:twoCellAnchor>
    <xdr:from>
      <xdr:col>1</xdr:col>
      <xdr:colOff>1032273</xdr:colOff>
      <xdr:row>2</xdr:row>
      <xdr:rowOff>123825</xdr:rowOff>
    </xdr:from>
    <xdr:to>
      <xdr:col>1</xdr:col>
      <xdr:colOff>1934766</xdr:colOff>
      <xdr:row>4</xdr:row>
      <xdr:rowOff>47625</xdr:rowOff>
    </xdr:to>
    <xdr:sp macro="" textlink="">
      <xdr:nvSpPr>
        <xdr:cNvPr id="5" name="Flecha izquierda 4"/>
        <xdr:cNvSpPr/>
      </xdr:nvSpPr>
      <xdr:spPr>
        <a:xfrm>
          <a:off x="1994298" y="581025"/>
          <a:ext cx="902493" cy="304800"/>
        </a:xfrm>
        <a:prstGeom prst="leftArrow">
          <a:avLst>
            <a:gd name="adj1" fmla="val 50000"/>
            <a:gd name="adj2" fmla="val 118750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5</xdr:row>
          <xdr:rowOff>104775</xdr:rowOff>
        </xdr:from>
        <xdr:to>
          <xdr:col>4</xdr:col>
          <xdr:colOff>38100</xdr:colOff>
          <xdr:row>18</xdr:row>
          <xdr:rowOff>104775</xdr:rowOff>
        </xdr:to>
        <xdr:sp macro="" textlink="">
          <xdr:nvSpPr>
            <xdr:cNvPr id="2061" name="cboProveedores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18</xdr:row>
          <xdr:rowOff>104775</xdr:rowOff>
        </xdr:from>
        <xdr:to>
          <xdr:col>7</xdr:col>
          <xdr:colOff>619125</xdr:colOff>
          <xdr:row>19</xdr:row>
          <xdr:rowOff>114300</xdr:rowOff>
        </xdr:to>
        <xdr:sp macro="" textlink="">
          <xdr:nvSpPr>
            <xdr:cNvPr id="2063" name="lstMarca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18</xdr:row>
          <xdr:rowOff>123825</xdr:rowOff>
        </xdr:from>
        <xdr:to>
          <xdr:col>5</xdr:col>
          <xdr:colOff>104775</xdr:colOff>
          <xdr:row>19</xdr:row>
          <xdr:rowOff>95250</xdr:rowOff>
        </xdr:to>
        <xdr:sp macro="" textlink="">
          <xdr:nvSpPr>
            <xdr:cNvPr id="2065" name="Label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4</xdr:row>
          <xdr:rowOff>114300</xdr:rowOff>
        </xdr:from>
        <xdr:to>
          <xdr:col>0</xdr:col>
          <xdr:colOff>552450</xdr:colOff>
          <xdr:row>5</xdr:row>
          <xdr:rowOff>85725</xdr:rowOff>
        </xdr:to>
        <xdr:sp macro="" textlink="">
          <xdr:nvSpPr>
            <xdr:cNvPr id="2066" name="Label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EMPRESA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8</xdr:row>
          <xdr:rowOff>9525</xdr:rowOff>
        </xdr:from>
        <xdr:to>
          <xdr:col>0</xdr:col>
          <xdr:colOff>523875</xdr:colOff>
          <xdr:row>8</xdr:row>
          <xdr:rowOff>171450</xdr:rowOff>
        </xdr:to>
        <xdr:sp macro="" textlink="">
          <xdr:nvSpPr>
            <xdr:cNvPr id="2067" name="Label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BODEGA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1562100</xdr:colOff>
          <xdr:row>4</xdr:row>
          <xdr:rowOff>114300</xdr:rowOff>
        </xdr:from>
        <xdr:to>
          <xdr:col>1</xdr:col>
          <xdr:colOff>2209800</xdr:colOff>
          <xdr:row>5</xdr:row>
          <xdr:rowOff>85725</xdr:rowOff>
        </xdr:to>
        <xdr:sp macro="" textlink="">
          <xdr:nvSpPr>
            <xdr:cNvPr id="2068" name="Label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PROVEEDOR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19</xdr:row>
          <xdr:rowOff>66675</xdr:rowOff>
        </xdr:from>
        <xdr:to>
          <xdr:col>1</xdr:col>
          <xdr:colOff>161925</xdr:colOff>
          <xdr:row>20</xdr:row>
          <xdr:rowOff>38100</xdr:rowOff>
        </xdr:to>
        <xdr:sp macro="" textlink="">
          <xdr:nvSpPr>
            <xdr:cNvPr id="2071" name="Label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 Requerimiento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7</xdr:row>
          <xdr:rowOff>114300</xdr:rowOff>
        </xdr:from>
        <xdr:to>
          <xdr:col>7</xdr:col>
          <xdr:colOff>619125</xdr:colOff>
          <xdr:row>8</xdr:row>
          <xdr:rowOff>123825</xdr:rowOff>
        </xdr:to>
        <xdr:sp macro="" textlink="">
          <xdr:nvSpPr>
            <xdr:cNvPr id="2072" name="lstGrupo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7</xdr:row>
          <xdr:rowOff>133350</xdr:rowOff>
        </xdr:from>
        <xdr:to>
          <xdr:col>5</xdr:col>
          <xdr:colOff>104775</xdr:colOff>
          <xdr:row>8</xdr:row>
          <xdr:rowOff>104775</xdr:rowOff>
        </xdr:to>
        <xdr:sp macro="" textlink="">
          <xdr:nvSpPr>
            <xdr:cNvPr id="2074" name="Label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Grupo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8</xdr:row>
          <xdr:rowOff>180975</xdr:rowOff>
        </xdr:from>
        <xdr:to>
          <xdr:col>7</xdr:col>
          <xdr:colOff>619125</xdr:colOff>
          <xdr:row>10</xdr:row>
          <xdr:rowOff>0</xdr:rowOff>
        </xdr:to>
        <xdr:sp macro="" textlink="">
          <xdr:nvSpPr>
            <xdr:cNvPr id="2075" name="lstLinea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9</xdr:row>
          <xdr:rowOff>9525</xdr:rowOff>
        </xdr:from>
        <xdr:to>
          <xdr:col>5</xdr:col>
          <xdr:colOff>104775</xdr:colOff>
          <xdr:row>9</xdr:row>
          <xdr:rowOff>171450</xdr:rowOff>
        </xdr:to>
        <xdr:sp macro="" textlink="">
          <xdr:nvSpPr>
            <xdr:cNvPr id="2077" name="Label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10</xdr:row>
          <xdr:rowOff>66675</xdr:rowOff>
        </xdr:from>
        <xdr:to>
          <xdr:col>7</xdr:col>
          <xdr:colOff>619125</xdr:colOff>
          <xdr:row>11</xdr:row>
          <xdr:rowOff>76200</xdr:rowOff>
        </xdr:to>
        <xdr:sp macro="" textlink="">
          <xdr:nvSpPr>
            <xdr:cNvPr id="2078" name="lstSublinea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10</xdr:row>
          <xdr:rowOff>76200</xdr:rowOff>
        </xdr:from>
        <xdr:to>
          <xdr:col>5</xdr:col>
          <xdr:colOff>104775</xdr:colOff>
          <xdr:row>11</xdr:row>
          <xdr:rowOff>47625</xdr:rowOff>
        </xdr:to>
        <xdr:sp macro="" textlink="">
          <xdr:nvSpPr>
            <xdr:cNvPr id="2080" name="Label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Sublínea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11</xdr:row>
          <xdr:rowOff>133350</xdr:rowOff>
        </xdr:from>
        <xdr:to>
          <xdr:col>7</xdr:col>
          <xdr:colOff>619125</xdr:colOff>
          <xdr:row>12</xdr:row>
          <xdr:rowOff>142875</xdr:rowOff>
        </xdr:to>
        <xdr:sp macro="" textlink="">
          <xdr:nvSpPr>
            <xdr:cNvPr id="2081" name="lstModelo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11</xdr:row>
          <xdr:rowOff>152400</xdr:rowOff>
        </xdr:from>
        <xdr:to>
          <xdr:col>5</xdr:col>
          <xdr:colOff>104775</xdr:colOff>
          <xdr:row>12</xdr:row>
          <xdr:rowOff>123825</xdr:rowOff>
        </xdr:to>
        <xdr:sp macro="" textlink="">
          <xdr:nvSpPr>
            <xdr:cNvPr id="2083" name="Label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Modelo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13</xdr:row>
          <xdr:rowOff>19050</xdr:rowOff>
        </xdr:from>
        <xdr:to>
          <xdr:col>7</xdr:col>
          <xdr:colOff>619125</xdr:colOff>
          <xdr:row>14</xdr:row>
          <xdr:rowOff>28575</xdr:rowOff>
        </xdr:to>
        <xdr:sp macro="" textlink="">
          <xdr:nvSpPr>
            <xdr:cNvPr id="2084" name="lstFamilia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13</xdr:row>
          <xdr:rowOff>28575</xdr:rowOff>
        </xdr:from>
        <xdr:to>
          <xdr:col>5</xdr:col>
          <xdr:colOff>104775</xdr:colOff>
          <xdr:row>14</xdr:row>
          <xdr:rowOff>0</xdr:rowOff>
        </xdr:to>
        <xdr:sp macro="" textlink="">
          <xdr:nvSpPr>
            <xdr:cNvPr id="2085" name="Label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14</xdr:row>
          <xdr:rowOff>85725</xdr:rowOff>
        </xdr:from>
        <xdr:to>
          <xdr:col>7</xdr:col>
          <xdr:colOff>619125</xdr:colOff>
          <xdr:row>15</xdr:row>
          <xdr:rowOff>95250</xdr:rowOff>
        </xdr:to>
        <xdr:sp macro="" textlink="">
          <xdr:nvSpPr>
            <xdr:cNvPr id="2086" name="lstSubfamilia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14</xdr:row>
          <xdr:rowOff>104775</xdr:rowOff>
        </xdr:from>
        <xdr:to>
          <xdr:col>5</xdr:col>
          <xdr:colOff>104775</xdr:colOff>
          <xdr:row>15</xdr:row>
          <xdr:rowOff>76200</xdr:rowOff>
        </xdr:to>
        <xdr:sp macro="" textlink="">
          <xdr:nvSpPr>
            <xdr:cNvPr id="2087" name="Label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Subfamilia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15</xdr:row>
          <xdr:rowOff>152400</xdr:rowOff>
        </xdr:from>
        <xdr:to>
          <xdr:col>7</xdr:col>
          <xdr:colOff>619125</xdr:colOff>
          <xdr:row>16</xdr:row>
          <xdr:rowOff>161925</xdr:rowOff>
        </xdr:to>
        <xdr:sp macro="" textlink="">
          <xdr:nvSpPr>
            <xdr:cNvPr id="2089" name="lstCategoria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15</xdr:row>
          <xdr:rowOff>171450</xdr:rowOff>
        </xdr:from>
        <xdr:to>
          <xdr:col>5</xdr:col>
          <xdr:colOff>104775</xdr:colOff>
          <xdr:row>16</xdr:row>
          <xdr:rowOff>142875</xdr:rowOff>
        </xdr:to>
        <xdr:sp macro="" textlink="">
          <xdr:nvSpPr>
            <xdr:cNvPr id="2090" name="Label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Categoría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17</xdr:row>
          <xdr:rowOff>38100</xdr:rowOff>
        </xdr:from>
        <xdr:to>
          <xdr:col>7</xdr:col>
          <xdr:colOff>619125</xdr:colOff>
          <xdr:row>18</xdr:row>
          <xdr:rowOff>47625</xdr:rowOff>
        </xdr:to>
        <xdr:sp macro="" textlink="">
          <xdr:nvSpPr>
            <xdr:cNvPr id="2091" name="lstTipo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17</xdr:row>
          <xdr:rowOff>57150</xdr:rowOff>
        </xdr:from>
        <xdr:to>
          <xdr:col>5</xdr:col>
          <xdr:colOff>104775</xdr:colOff>
          <xdr:row>18</xdr:row>
          <xdr:rowOff>28575</xdr:rowOff>
        </xdr:to>
        <xdr:sp macro="" textlink="">
          <xdr:nvSpPr>
            <xdr:cNvPr id="2092" name="Label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28575</xdr:colOff>
      <xdr:row>2</xdr:row>
      <xdr:rowOff>19051</xdr:rowOff>
    </xdr:from>
    <xdr:to>
      <xdr:col>4</xdr:col>
      <xdr:colOff>95250</xdr:colOff>
      <xdr:row>19</xdr:row>
      <xdr:rowOff>0</xdr:rowOff>
    </xdr:to>
    <xdr:sp macro="" textlink="">
      <xdr:nvSpPr>
        <xdr:cNvPr id="7" name="Rectángulo redondeado 6"/>
        <xdr:cNvSpPr/>
      </xdr:nvSpPr>
      <xdr:spPr>
        <a:xfrm>
          <a:off x="28575" y="485776"/>
          <a:ext cx="4867275" cy="3219449"/>
        </a:xfrm>
        <a:prstGeom prst="roundRect">
          <a:avLst>
            <a:gd name="adj" fmla="val 1669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28575</xdr:rowOff>
        </xdr:from>
        <xdr:to>
          <xdr:col>7</xdr:col>
          <xdr:colOff>619125</xdr:colOff>
          <xdr:row>4</xdr:row>
          <xdr:rowOff>38100</xdr:rowOff>
        </xdr:to>
        <xdr:sp macro="" textlink="">
          <xdr:nvSpPr>
            <xdr:cNvPr id="2093" name="lstEstatus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3</xdr:row>
          <xdr:rowOff>47625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2094" name="Label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Estatus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4</xdr:row>
          <xdr:rowOff>95250</xdr:rowOff>
        </xdr:from>
        <xdr:to>
          <xdr:col>7</xdr:col>
          <xdr:colOff>619125</xdr:colOff>
          <xdr:row>5</xdr:row>
          <xdr:rowOff>104775</xdr:rowOff>
        </xdr:to>
        <xdr:sp macro="" textlink="">
          <xdr:nvSpPr>
            <xdr:cNvPr id="2095" name="lstClasificacion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4</xdr:row>
          <xdr:rowOff>114300</xdr:rowOff>
        </xdr:from>
        <xdr:to>
          <xdr:col>5</xdr:col>
          <xdr:colOff>152400</xdr:colOff>
          <xdr:row>5</xdr:row>
          <xdr:rowOff>85725</xdr:rowOff>
        </xdr:to>
        <xdr:sp macro="" textlink="">
          <xdr:nvSpPr>
            <xdr:cNvPr id="2096" name="Label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Clasificación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5</xdr:row>
          <xdr:rowOff>161925</xdr:rowOff>
        </xdr:from>
        <xdr:to>
          <xdr:col>7</xdr:col>
          <xdr:colOff>619125</xdr:colOff>
          <xdr:row>6</xdr:row>
          <xdr:rowOff>171450</xdr:rowOff>
        </xdr:to>
        <xdr:sp macro="" textlink="">
          <xdr:nvSpPr>
            <xdr:cNvPr id="2097" name="lstResponsable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5</xdr:row>
          <xdr:rowOff>180975</xdr:rowOff>
        </xdr:from>
        <xdr:to>
          <xdr:col>5</xdr:col>
          <xdr:colOff>152400</xdr:colOff>
          <xdr:row>6</xdr:row>
          <xdr:rowOff>152400</xdr:rowOff>
        </xdr:to>
        <xdr:sp macro="" textlink="">
          <xdr:nvSpPr>
            <xdr:cNvPr id="2098" name="Label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Responsable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571500</xdr:colOff>
      <xdr:row>0</xdr:row>
      <xdr:rowOff>114300</xdr:rowOff>
    </xdr:from>
    <xdr:to>
      <xdr:col>6</xdr:col>
      <xdr:colOff>638176</xdr:colOff>
      <xdr:row>1</xdr:row>
      <xdr:rowOff>152400</xdr:rowOff>
    </xdr:to>
    <xdr:sp macro="[0]!setControlsOnSheet" textlink="">
      <xdr:nvSpPr>
        <xdr:cNvPr id="55" name="2 Rectángulo redondeado"/>
        <xdr:cNvSpPr/>
      </xdr:nvSpPr>
      <xdr:spPr>
        <a:xfrm>
          <a:off x="6134100" y="114300"/>
          <a:ext cx="828676" cy="2381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s-ES" sz="1400" b="1"/>
            <a:t>Filtros</a:t>
          </a:r>
        </a:p>
      </xdr:txBody>
    </xdr:sp>
    <xdr:clientData/>
  </xdr:twoCellAnchor>
  <xdr:twoCellAnchor editAs="absolute">
    <xdr:from>
      <xdr:col>0</xdr:col>
      <xdr:colOff>28575</xdr:colOff>
      <xdr:row>19</xdr:row>
      <xdr:rowOff>57152</xdr:rowOff>
    </xdr:from>
    <xdr:to>
      <xdr:col>2</xdr:col>
      <xdr:colOff>581025</xdr:colOff>
      <xdr:row>23</xdr:row>
      <xdr:rowOff>133350</xdr:rowOff>
    </xdr:to>
    <xdr:sp macro="" textlink="">
      <xdr:nvSpPr>
        <xdr:cNvPr id="56" name="Rectángulo redondeado 55"/>
        <xdr:cNvSpPr/>
      </xdr:nvSpPr>
      <xdr:spPr>
        <a:xfrm>
          <a:off x="28575" y="3762377"/>
          <a:ext cx="3829050" cy="838198"/>
        </a:xfrm>
        <a:prstGeom prst="roundRect">
          <a:avLst>
            <a:gd name="adj" fmla="val 10598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0</xdr:row>
      <xdr:rowOff>57150</xdr:rowOff>
    </xdr:from>
    <xdr:to>
      <xdr:col>9</xdr:col>
      <xdr:colOff>200025</xdr:colOff>
      <xdr:row>24</xdr:row>
      <xdr:rowOff>142875</xdr:rowOff>
    </xdr:to>
    <xdr:sp macro="" textlink="">
      <xdr:nvSpPr>
        <xdr:cNvPr id="57" name="Rectángulo redondeado 56"/>
        <xdr:cNvSpPr/>
      </xdr:nvSpPr>
      <xdr:spPr>
        <a:xfrm>
          <a:off x="5019675" y="57150"/>
          <a:ext cx="3028950" cy="4743450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3</xdr:row>
          <xdr:rowOff>38100</xdr:rowOff>
        </xdr:from>
        <xdr:to>
          <xdr:col>9</xdr:col>
          <xdr:colOff>114300</xdr:colOff>
          <xdr:row>4</xdr:row>
          <xdr:rowOff>47625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4</xdr:row>
          <xdr:rowOff>114300</xdr:rowOff>
        </xdr:from>
        <xdr:to>
          <xdr:col>9</xdr:col>
          <xdr:colOff>114300</xdr:colOff>
          <xdr:row>5</xdr:row>
          <xdr:rowOff>123825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6</xdr:row>
          <xdr:rowOff>0</xdr:rowOff>
        </xdr:from>
        <xdr:to>
          <xdr:col>9</xdr:col>
          <xdr:colOff>114300</xdr:colOff>
          <xdr:row>7</xdr:row>
          <xdr:rowOff>9525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7</xdr:row>
          <xdr:rowOff>76200</xdr:rowOff>
        </xdr:from>
        <xdr:to>
          <xdr:col>9</xdr:col>
          <xdr:colOff>114300</xdr:colOff>
          <xdr:row>8</xdr:row>
          <xdr:rowOff>85725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8</xdr:row>
          <xdr:rowOff>152400</xdr:rowOff>
        </xdr:from>
        <xdr:to>
          <xdr:col>9</xdr:col>
          <xdr:colOff>114300</xdr:colOff>
          <xdr:row>9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10</xdr:row>
          <xdr:rowOff>38100</xdr:rowOff>
        </xdr:from>
        <xdr:to>
          <xdr:col>9</xdr:col>
          <xdr:colOff>114300</xdr:colOff>
          <xdr:row>11</xdr:row>
          <xdr:rowOff>47625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11</xdr:row>
          <xdr:rowOff>104775</xdr:rowOff>
        </xdr:from>
        <xdr:to>
          <xdr:col>9</xdr:col>
          <xdr:colOff>114300</xdr:colOff>
          <xdr:row>12</xdr:row>
          <xdr:rowOff>114300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12</xdr:row>
          <xdr:rowOff>180975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14</xdr:row>
          <xdr:rowOff>66675</xdr:rowOff>
        </xdr:from>
        <xdr:to>
          <xdr:col>9</xdr:col>
          <xdr:colOff>114300</xdr:colOff>
          <xdr:row>15</xdr:row>
          <xdr:rowOff>76200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15</xdr:row>
          <xdr:rowOff>142875</xdr:rowOff>
        </xdr:from>
        <xdr:to>
          <xdr:col>9</xdr:col>
          <xdr:colOff>114300</xdr:colOff>
          <xdr:row>16</xdr:row>
          <xdr:rowOff>152400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17</xdr:row>
          <xdr:rowOff>28575</xdr:rowOff>
        </xdr:from>
        <xdr:to>
          <xdr:col>9</xdr:col>
          <xdr:colOff>114300</xdr:colOff>
          <xdr:row>18</xdr:row>
          <xdr:rowOff>38100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18</xdr:row>
          <xdr:rowOff>104775</xdr:rowOff>
        </xdr:from>
        <xdr:to>
          <xdr:col>9</xdr:col>
          <xdr:colOff>114300</xdr:colOff>
          <xdr:row>19</xdr:row>
          <xdr:rowOff>114300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47625</xdr:rowOff>
        </xdr:from>
        <xdr:to>
          <xdr:col>4</xdr:col>
          <xdr:colOff>95250</xdr:colOff>
          <xdr:row>23</xdr:row>
          <xdr:rowOff>0</xdr:rowOff>
        </xdr:to>
        <xdr:sp macro="" textlink="">
          <xdr:nvSpPr>
            <xdr:cNvPr id="2112" name="cmdCancelar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23</xdr:row>
          <xdr:rowOff>9525</xdr:rowOff>
        </xdr:from>
        <xdr:to>
          <xdr:col>7</xdr:col>
          <xdr:colOff>619125</xdr:colOff>
          <xdr:row>24</xdr:row>
          <xdr:rowOff>19050</xdr:rowOff>
        </xdr:to>
        <xdr:sp macro="" textlink="">
          <xdr:nvSpPr>
            <xdr:cNvPr id="2113" name="lstCalendarioe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22</xdr:row>
          <xdr:rowOff>180975</xdr:rowOff>
        </xdr:from>
        <xdr:to>
          <xdr:col>5</xdr:col>
          <xdr:colOff>133350</xdr:colOff>
          <xdr:row>24</xdr:row>
          <xdr:rowOff>95250</xdr:rowOff>
        </xdr:to>
        <xdr:sp macro="" textlink="">
          <xdr:nvSpPr>
            <xdr:cNvPr id="2114" name="Label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Calendario Estacional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20</xdr:row>
          <xdr:rowOff>57150</xdr:rowOff>
        </xdr:from>
        <xdr:to>
          <xdr:col>7</xdr:col>
          <xdr:colOff>619125</xdr:colOff>
          <xdr:row>21</xdr:row>
          <xdr:rowOff>66675</xdr:rowOff>
        </xdr:to>
        <xdr:sp macro="" textlink="">
          <xdr:nvSpPr>
            <xdr:cNvPr id="2115" name="lstPerfil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20</xdr:row>
          <xdr:rowOff>76200</xdr:rowOff>
        </xdr:from>
        <xdr:to>
          <xdr:col>5</xdr:col>
          <xdr:colOff>104775</xdr:colOff>
          <xdr:row>21</xdr:row>
          <xdr:rowOff>47625</xdr:rowOff>
        </xdr:to>
        <xdr:sp macro="" textlink="">
          <xdr:nvSpPr>
            <xdr:cNvPr id="2116" name="Label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Perfil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21</xdr:row>
          <xdr:rowOff>133350</xdr:rowOff>
        </xdr:from>
        <xdr:to>
          <xdr:col>7</xdr:col>
          <xdr:colOff>619125</xdr:colOff>
          <xdr:row>22</xdr:row>
          <xdr:rowOff>142875</xdr:rowOff>
        </xdr:to>
        <xdr:sp macro="" textlink="">
          <xdr:nvSpPr>
            <xdr:cNvPr id="2117" name="lstColor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571500</xdr:colOff>
          <xdr:row>21</xdr:row>
          <xdr:rowOff>152400</xdr:rowOff>
        </xdr:from>
        <xdr:to>
          <xdr:col>5</xdr:col>
          <xdr:colOff>104775</xdr:colOff>
          <xdr:row>22</xdr:row>
          <xdr:rowOff>123825</xdr:rowOff>
        </xdr:to>
        <xdr:sp macro="" textlink="">
          <xdr:nvSpPr>
            <xdr:cNvPr id="2118" name="Label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20</xdr:row>
          <xdr:rowOff>47625</xdr:rowOff>
        </xdr:from>
        <xdr:to>
          <xdr:col>9</xdr:col>
          <xdr:colOff>114300</xdr:colOff>
          <xdr:row>21</xdr:row>
          <xdr:rowOff>57150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21</xdr:row>
          <xdr:rowOff>123825</xdr:rowOff>
        </xdr:from>
        <xdr:to>
          <xdr:col>9</xdr:col>
          <xdr:colOff>114300</xdr:colOff>
          <xdr:row>22</xdr:row>
          <xdr:rowOff>133350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23</xdr:row>
          <xdr:rowOff>9525</xdr:rowOff>
        </xdr:from>
        <xdr:to>
          <xdr:col>9</xdr:col>
          <xdr:colOff>114300</xdr:colOff>
          <xdr:row>24</xdr:row>
          <xdr:rowOff>19050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238125</xdr:rowOff>
        </xdr:from>
        <xdr:to>
          <xdr:col>7</xdr:col>
          <xdr:colOff>619125</xdr:colOff>
          <xdr:row>2</xdr:row>
          <xdr:rowOff>171450</xdr:rowOff>
        </xdr:to>
        <xdr:sp macro="" textlink="">
          <xdr:nvSpPr>
            <xdr:cNvPr id="2122" name="lstHojaCB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495300</xdr:colOff>
          <xdr:row>1</xdr:row>
          <xdr:rowOff>257175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2123" name="Label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Hoja 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647700</xdr:colOff>
          <xdr:row>1</xdr:row>
          <xdr:rowOff>247650</xdr:rowOff>
        </xdr:from>
        <xdr:to>
          <xdr:col>9</xdr:col>
          <xdr:colOff>114300</xdr:colOff>
          <xdr:row>2</xdr:row>
          <xdr:rowOff>180975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219075</xdr:colOff>
      <xdr:row>7</xdr:row>
      <xdr:rowOff>19050</xdr:rowOff>
    </xdr:from>
    <xdr:to>
      <xdr:col>9</xdr:col>
      <xdr:colOff>200025</xdr:colOff>
      <xdr:row>7</xdr:row>
      <xdr:rowOff>85725</xdr:rowOff>
    </xdr:to>
    <xdr:sp macro="" textlink="">
      <xdr:nvSpPr>
        <xdr:cNvPr id="74" name="Rectángulo redondeado 73"/>
        <xdr:cNvSpPr/>
      </xdr:nvSpPr>
      <xdr:spPr>
        <a:xfrm>
          <a:off x="5019675" y="143827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absolute">
    <xdr:from>
      <xdr:col>4</xdr:col>
      <xdr:colOff>219075</xdr:colOff>
      <xdr:row>19</xdr:row>
      <xdr:rowOff>152400</xdr:rowOff>
    </xdr:from>
    <xdr:to>
      <xdr:col>9</xdr:col>
      <xdr:colOff>200025</xdr:colOff>
      <xdr:row>20</xdr:row>
      <xdr:rowOff>28575</xdr:rowOff>
    </xdr:to>
    <xdr:sp macro="" textlink="">
      <xdr:nvSpPr>
        <xdr:cNvPr id="75" name="Rectángulo redondeado 74"/>
        <xdr:cNvSpPr/>
      </xdr:nvSpPr>
      <xdr:spPr>
        <a:xfrm>
          <a:off x="5019675" y="3857625"/>
          <a:ext cx="3028950" cy="66675"/>
        </a:xfrm>
        <a:prstGeom prst="roundRect">
          <a:avLst>
            <a:gd name="adj" fmla="val 2237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1209675</xdr:colOff>
          <xdr:row>5</xdr:row>
          <xdr:rowOff>104775</xdr:rowOff>
        </xdr:from>
        <xdr:to>
          <xdr:col>1</xdr:col>
          <xdr:colOff>1390650</xdr:colOff>
          <xdr:row>7</xdr:row>
          <xdr:rowOff>9525</xdr:rowOff>
        </xdr:to>
        <xdr:sp macro="" textlink="">
          <xdr:nvSpPr>
            <xdr:cNvPr id="2125" name="cmdRefrescaDatos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EC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22</xdr:row>
          <xdr:rowOff>38100</xdr:rowOff>
        </xdr:from>
        <xdr:to>
          <xdr:col>1</xdr:col>
          <xdr:colOff>1009650</xdr:colOff>
          <xdr:row>23</xdr:row>
          <xdr:rowOff>123825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 Requerimiento en Transfencia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vtOrigen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1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1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1" name="tbl_empresa" displayName="tbl_empresa" ref="A1:A7" totalsRowShown="0">
  <autoFilter ref="A1:A7"/>
  <tableColumns count="1">
    <tableColumn id="1" name="Nombr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2" name="tbl_bodega" displayName="tbl_bodega" ref="E1:E2" totalsRowShown="0">
  <autoFilter ref="E1:E2"/>
  <tableColumns count="1">
    <tableColumn id="1" name="Nombr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_proveedor" displayName="tbl_proveedor" ref="I1:I11" totalsRowShown="0">
  <autoFilter ref="I1:I11"/>
  <tableColumns count="1">
    <tableColumn id="1" name="Nombr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4" name="tbl_marca" displayName="tbl_marca" ref="M1:M6" totalsRowShown="0">
  <autoFilter ref="M1:M6"/>
  <tableColumns count="1">
    <tableColumn id="1" name="Nombr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tbl_grupo" displayName="tbl_grupo" ref="Q1:Q2" totalsRowShown="0">
  <autoFilter ref="Q1:Q2"/>
  <tableColumns count="1">
    <tableColumn id="1" name="Nombr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6" name="tbl_linea" displayName="tbl_linea" ref="U1:U2" totalsRowShown="0">
  <autoFilter ref="U1:U2"/>
  <tableColumns count="1">
    <tableColumn id="1" name="Nombr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7" name="tbl_sublinea" displayName="tbl_sublinea" ref="Y1:Y2" totalsRowShown="0">
  <autoFilter ref="Y1:Y2"/>
  <tableColumns count="1">
    <tableColumn id="1" name="Nombr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8" name="tbl_modelo" displayName="tbl_modelo" ref="AC1:AC2" totalsRowShown="0">
  <autoFilter ref="AC1:AC2"/>
  <tableColumns count="1">
    <tableColumn id="1" name="Nombr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9" name="tbl_familia" displayName="tbl_familia" ref="AG1:AG2" totalsRowShown="0">
  <autoFilter ref="AG1:AG2"/>
  <tableColumns count="1">
    <tableColumn id="1" name="Nombr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0" name="tbl_subfamilia" displayName="tbl_subfamilia" ref="AK1:AK53" totalsRowShown="0">
  <autoFilter ref="AK1:AK53"/>
  <tableColumns count="1">
    <tableColumn id="1" name="Nombr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21" name="tbl_categoria" displayName="tbl_categoria" ref="AO1:AO2" totalsRowShown="0">
  <autoFilter ref="AO1:AO2"/>
  <tableColumns count="1">
    <tableColumn id="1" name="Nombr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22" name="tbl_tipo" displayName="tbl_tipo" ref="AS1:AS2" totalsRowShown="0">
  <autoFilter ref="AS1:AS2"/>
  <tableColumns count="1">
    <tableColumn id="1" name="Nombr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3" name="tbl_estatus" displayName="tbl_estatus" ref="AW1:AW2" totalsRowShown="0">
  <autoFilter ref="AW1:AW2"/>
  <tableColumns count="1">
    <tableColumn id="1" name="Nombr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4" name="tbl_clasificacion" displayName="tbl_clasificacion" ref="BA1:BA2" totalsRowShown="0">
  <autoFilter ref="BA1:BA2"/>
  <tableColumns count="1">
    <tableColumn id="1" name="Nombr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25" name="tbl_responsable" displayName="tbl_responsable" ref="BE1:BE2" totalsRowShown="0">
  <autoFilter ref="BE1:BE2"/>
  <tableColumns count="1">
    <tableColumn id="1" name="Nombr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6" name="tbl_perfil" displayName="tbl_perfil" ref="BI1:BI6" totalsRowShown="0">
  <autoFilter ref="BI1:BI6"/>
  <tableColumns count="1">
    <tableColumn id="1" name="Nombr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7" name="tbl_color" displayName="tbl_color" ref="BM1:BM7" totalsRowShown="0">
  <autoFilter ref="BM1:BM7"/>
  <tableColumns count="1">
    <tableColumn id="1" name="Nombre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8" name="tbl_calendarioe" displayName="tbl_calendarioe" ref="BQ1:BQ2" insertRow="1" totalsRowShown="0">
  <autoFilter ref="BQ1:BQ2"/>
  <tableColumns count="1">
    <tableColumn id="1" name="Nombre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9" name="tbl_hojacb" displayName="tbl_hojacb" ref="BU1:BU2" totalsRowShown="0">
  <autoFilter ref="BU1:BU2"/>
  <tableColumns count="1">
    <tableColumn id="1" name="Nombr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4" name="TABLACONSOLIDADA" displayName="TABLACONSOLIDADA" ref="A1:CE2" insertRow="1" totalsRowShown="0" headerRowDxfId="70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.xml"/><Relationship Id="rId21" Type="http://schemas.openxmlformats.org/officeDocument/2006/relationships/ctrlProp" Target="../ctrlProps/ctrlProp7.xml"/><Relationship Id="rId42" Type="http://schemas.openxmlformats.org/officeDocument/2006/relationships/ctrlProp" Target="../ctrlProps/ctrlProp28.xml"/><Relationship Id="rId47" Type="http://schemas.openxmlformats.org/officeDocument/2006/relationships/ctrlProp" Target="../ctrlProps/ctrlProp33.xml"/><Relationship Id="rId63" Type="http://schemas.openxmlformats.org/officeDocument/2006/relationships/ctrlProp" Target="../ctrlProps/ctrlProp49.xml"/><Relationship Id="rId68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29" Type="http://schemas.openxmlformats.org/officeDocument/2006/relationships/ctrlProp" Target="../ctrlProps/ctrlProp15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0.xml"/><Relationship Id="rId32" Type="http://schemas.openxmlformats.org/officeDocument/2006/relationships/ctrlProp" Target="../ctrlProps/ctrlProp18.xml"/><Relationship Id="rId37" Type="http://schemas.openxmlformats.org/officeDocument/2006/relationships/ctrlProp" Target="../ctrlProps/ctrlProp23.xml"/><Relationship Id="rId40" Type="http://schemas.openxmlformats.org/officeDocument/2006/relationships/ctrlProp" Target="../ctrlProps/ctrlProp26.xml"/><Relationship Id="rId45" Type="http://schemas.openxmlformats.org/officeDocument/2006/relationships/ctrlProp" Target="../ctrlProps/ctrlProp31.xml"/><Relationship Id="rId53" Type="http://schemas.openxmlformats.org/officeDocument/2006/relationships/ctrlProp" Target="../ctrlProps/ctrlProp39.xml"/><Relationship Id="rId58" Type="http://schemas.openxmlformats.org/officeDocument/2006/relationships/ctrlProp" Target="../ctrlProps/ctrlProp44.xml"/><Relationship Id="rId66" Type="http://schemas.openxmlformats.org/officeDocument/2006/relationships/ctrlProp" Target="../ctrlProps/ctrlProp52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47.xml"/><Relationship Id="rId19" Type="http://schemas.openxmlformats.org/officeDocument/2006/relationships/ctrlProp" Target="../ctrlProps/ctrlProp5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8.xml"/><Relationship Id="rId27" Type="http://schemas.openxmlformats.org/officeDocument/2006/relationships/ctrlProp" Target="../ctrlProps/ctrlProp13.xml"/><Relationship Id="rId30" Type="http://schemas.openxmlformats.org/officeDocument/2006/relationships/ctrlProp" Target="../ctrlProps/ctrlProp16.xml"/><Relationship Id="rId35" Type="http://schemas.openxmlformats.org/officeDocument/2006/relationships/ctrlProp" Target="../ctrlProps/ctrlProp21.xml"/><Relationship Id="rId43" Type="http://schemas.openxmlformats.org/officeDocument/2006/relationships/ctrlProp" Target="../ctrlProps/ctrlProp29.xml"/><Relationship Id="rId48" Type="http://schemas.openxmlformats.org/officeDocument/2006/relationships/ctrlProp" Target="../ctrlProps/ctrlProp34.xml"/><Relationship Id="rId56" Type="http://schemas.openxmlformats.org/officeDocument/2006/relationships/ctrlProp" Target="../ctrlProps/ctrlProp42.xml"/><Relationship Id="rId64" Type="http://schemas.openxmlformats.org/officeDocument/2006/relationships/ctrlProp" Target="../ctrlProps/ctrlProp50.xml"/><Relationship Id="rId69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7.xml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5" Type="http://schemas.openxmlformats.org/officeDocument/2006/relationships/ctrlProp" Target="../ctrlProps/ctrlProp11.xml"/><Relationship Id="rId33" Type="http://schemas.openxmlformats.org/officeDocument/2006/relationships/ctrlProp" Target="../ctrlProps/ctrlProp19.xml"/><Relationship Id="rId38" Type="http://schemas.openxmlformats.org/officeDocument/2006/relationships/ctrlProp" Target="../ctrlProps/ctrlProp24.xml"/><Relationship Id="rId46" Type="http://schemas.openxmlformats.org/officeDocument/2006/relationships/ctrlProp" Target="../ctrlProps/ctrlProp32.xml"/><Relationship Id="rId59" Type="http://schemas.openxmlformats.org/officeDocument/2006/relationships/ctrlProp" Target="../ctrlProps/ctrlProp45.xml"/><Relationship Id="rId67" Type="http://schemas.openxmlformats.org/officeDocument/2006/relationships/ctrlProp" Target="../ctrlProps/ctrlProp53.xml"/><Relationship Id="rId20" Type="http://schemas.openxmlformats.org/officeDocument/2006/relationships/ctrlProp" Target="../ctrlProps/ctrlProp6.xml"/><Relationship Id="rId41" Type="http://schemas.openxmlformats.org/officeDocument/2006/relationships/ctrlProp" Target="../ctrlProps/ctrlProp27.xml"/><Relationship Id="rId54" Type="http://schemas.openxmlformats.org/officeDocument/2006/relationships/ctrlProp" Target="../ctrlProps/ctrlProp40.xml"/><Relationship Id="rId62" Type="http://schemas.openxmlformats.org/officeDocument/2006/relationships/ctrlProp" Target="../ctrlProps/ctrlProp48.xml"/><Relationship Id="rId7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ctrlProp" Target="../ctrlProps/ctrlProp9.xml"/><Relationship Id="rId28" Type="http://schemas.openxmlformats.org/officeDocument/2006/relationships/ctrlProp" Target="../ctrlProps/ctrlProp14.xml"/><Relationship Id="rId36" Type="http://schemas.openxmlformats.org/officeDocument/2006/relationships/ctrlProp" Target="../ctrlProps/ctrlProp22.xml"/><Relationship Id="rId49" Type="http://schemas.openxmlformats.org/officeDocument/2006/relationships/ctrlProp" Target="../ctrlProps/ctrlProp35.xml"/><Relationship Id="rId57" Type="http://schemas.openxmlformats.org/officeDocument/2006/relationships/ctrlProp" Target="../ctrlProps/ctrlProp43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7.xml"/><Relationship Id="rId44" Type="http://schemas.openxmlformats.org/officeDocument/2006/relationships/ctrlProp" Target="../ctrlProps/ctrlProp30.xml"/><Relationship Id="rId52" Type="http://schemas.openxmlformats.org/officeDocument/2006/relationships/ctrlProp" Target="../ctrlProps/ctrlProp38.xml"/><Relationship Id="rId60" Type="http://schemas.openxmlformats.org/officeDocument/2006/relationships/ctrlProp" Target="../ctrlProps/ctrlProp46.xml"/><Relationship Id="rId65" Type="http://schemas.openxmlformats.org/officeDocument/2006/relationships/ctrlProp" Target="../ctrlProps/ctrlProp5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4.xml"/><Relationship Id="rId39" Type="http://schemas.openxmlformats.org/officeDocument/2006/relationships/ctrlProp" Target="../ctrlProps/ctrlProp25.xml"/><Relationship Id="rId34" Type="http://schemas.openxmlformats.org/officeDocument/2006/relationships/ctrlProp" Target="../ctrlProps/ctrlProp20.xml"/><Relationship Id="rId50" Type="http://schemas.openxmlformats.org/officeDocument/2006/relationships/ctrlProp" Target="../ctrlProps/ctrlProp36.xml"/><Relationship Id="rId55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7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image" Target="../media/image10.emf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R26"/>
  <sheetViews>
    <sheetView showGridLines="0" showRowColHeaders="0" tabSelected="1" workbookViewId="0">
      <pane ySplit="25" topLeftCell="A44" activePane="bottomLeft" state="frozen"/>
      <selection pane="bottomLeft" activeCell="L6" sqref="L6"/>
    </sheetView>
  </sheetViews>
  <sheetFormatPr baseColWidth="10" defaultColWidth="11.42578125" defaultRowHeight="15" x14ac:dyDescent="0.25"/>
  <cols>
    <col min="1" max="1" width="14.42578125" style="44" customWidth="1"/>
    <col min="2" max="2" width="34.7109375" style="44" customWidth="1"/>
    <col min="3" max="8" width="11.42578125" style="44"/>
    <col min="9" max="9" width="14" style="44" hidden="1" customWidth="1"/>
    <col min="10" max="10" width="4.85546875" style="44" customWidth="1"/>
    <col min="11" max="18" width="11.42578125" style="44"/>
    <col min="19" max="16384" width="11.42578125" style="7"/>
  </cols>
  <sheetData>
    <row r="1" spans="1:10" ht="15.75" thickTop="1" x14ac:dyDescent="0.25">
      <c r="A1" s="45"/>
      <c r="B1" s="46"/>
      <c r="C1" s="46"/>
      <c r="D1" s="47"/>
      <c r="E1" s="48"/>
      <c r="F1" s="48"/>
      <c r="G1" s="48"/>
      <c r="H1" s="48"/>
      <c r="I1" s="48" t="s">
        <v>1138</v>
      </c>
      <c r="J1" s="49"/>
    </row>
    <row r="2" spans="1:10" ht="21" x14ac:dyDescent="0.35">
      <c r="A2" s="50"/>
      <c r="B2" s="51"/>
      <c r="C2" s="51"/>
      <c r="D2" s="51"/>
      <c r="E2" s="51"/>
      <c r="F2" s="51"/>
      <c r="G2" s="51"/>
      <c r="H2" s="51"/>
      <c r="I2" s="51" t="s">
        <v>2895</v>
      </c>
      <c r="J2" s="52"/>
    </row>
    <row r="3" spans="1:10" x14ac:dyDescent="0.25">
      <c r="A3" s="53"/>
      <c r="B3" s="54"/>
      <c r="C3" s="51"/>
      <c r="D3" s="55">
        <f t="array" ref="D3">SUM(IFERROR(--(BODEGATRANSFER&amp;PROVEEDORTRANSFER=TABLACONSOLIDADA[Bodega]&amp;TABLACONSOLIDADA[TipoCompra]),0))</f>
        <v>1</v>
      </c>
      <c r="E3" s="51"/>
      <c r="F3" s="51"/>
      <c r="G3" s="51"/>
      <c r="H3" s="51"/>
      <c r="I3" s="51"/>
      <c r="J3" s="52"/>
    </row>
    <row r="4" spans="1:10" x14ac:dyDescent="0.25">
      <c r="A4" s="53"/>
      <c r="B4" s="54"/>
      <c r="C4" s="51"/>
      <c r="D4" s="51"/>
      <c r="E4" s="51"/>
      <c r="F4" s="51"/>
      <c r="G4" s="51"/>
      <c r="H4" s="51"/>
      <c r="I4" s="51"/>
      <c r="J4" s="52"/>
    </row>
    <row r="5" spans="1:10" x14ac:dyDescent="0.25">
      <c r="A5" s="56"/>
      <c r="B5" s="51"/>
      <c r="C5" s="51"/>
      <c r="D5" s="51"/>
      <c r="E5" s="51"/>
      <c r="F5" s="51"/>
      <c r="G5" s="51"/>
      <c r="H5" s="51"/>
      <c r="I5" s="51"/>
      <c r="J5" s="52"/>
    </row>
    <row r="6" spans="1:10" x14ac:dyDescent="0.25">
      <c r="A6" s="56"/>
      <c r="B6" s="51"/>
      <c r="C6" s="51"/>
      <c r="D6" s="51"/>
      <c r="E6" s="51"/>
      <c r="F6" s="51"/>
      <c r="G6" s="51"/>
      <c r="H6" s="51"/>
      <c r="I6" s="51"/>
      <c r="J6" s="52"/>
    </row>
    <row r="7" spans="1:10" x14ac:dyDescent="0.25">
      <c r="A7" s="56"/>
      <c r="B7" s="51"/>
      <c r="C7" s="51"/>
      <c r="D7" s="51"/>
      <c r="E7" s="51"/>
      <c r="F7" s="51"/>
      <c r="G7" s="51"/>
      <c r="H7" s="51"/>
      <c r="I7" s="51"/>
      <c r="J7" s="52"/>
    </row>
    <row r="8" spans="1:10" x14ac:dyDescent="0.25">
      <c r="A8" s="56"/>
      <c r="B8" s="51"/>
      <c r="C8" s="51"/>
      <c r="D8" s="51"/>
      <c r="E8" s="51"/>
      <c r="F8" s="51"/>
      <c r="G8" s="51"/>
      <c r="H8" s="51"/>
      <c r="I8" s="51"/>
      <c r="J8" s="52"/>
    </row>
    <row r="9" spans="1:10" x14ac:dyDescent="0.25">
      <c r="A9" s="53"/>
      <c r="B9" s="54"/>
      <c r="C9" s="51"/>
      <c r="D9" s="51"/>
      <c r="E9" s="51"/>
      <c r="F9" s="51"/>
      <c r="G9" s="51"/>
      <c r="H9" s="51"/>
      <c r="I9" s="51"/>
      <c r="J9" s="52"/>
    </row>
    <row r="10" spans="1:10" x14ac:dyDescent="0.25">
      <c r="A10" s="56"/>
      <c r="B10" s="51"/>
      <c r="C10" s="51"/>
      <c r="D10" s="51"/>
      <c r="E10" s="51"/>
      <c r="F10" s="51"/>
      <c r="G10" s="51"/>
      <c r="H10" s="51"/>
      <c r="I10" s="57"/>
      <c r="J10" s="52"/>
    </row>
    <row r="11" spans="1:10" x14ac:dyDescent="0.25">
      <c r="A11" s="56"/>
      <c r="B11" s="51"/>
      <c r="C11" s="51"/>
      <c r="D11" s="51"/>
      <c r="E11" s="51"/>
      <c r="F11" s="51"/>
      <c r="G11" s="51"/>
      <c r="H11" s="51"/>
      <c r="I11" s="51"/>
      <c r="J11" s="52"/>
    </row>
    <row r="12" spans="1:10" x14ac:dyDescent="0.25">
      <c r="A12" s="56"/>
      <c r="B12" s="51"/>
      <c r="C12" s="51"/>
      <c r="D12" s="51"/>
      <c r="E12" s="51"/>
      <c r="F12" s="51"/>
      <c r="G12" s="51"/>
      <c r="H12" s="51"/>
      <c r="I12" s="51"/>
      <c r="J12" s="52"/>
    </row>
    <row r="13" spans="1:10" x14ac:dyDescent="0.25">
      <c r="A13" s="56"/>
      <c r="B13" s="51"/>
      <c r="C13" s="51"/>
      <c r="D13" s="51"/>
      <c r="E13" s="51"/>
      <c r="F13" s="51"/>
      <c r="G13" s="51"/>
      <c r="H13" s="51"/>
      <c r="I13" s="51"/>
      <c r="J13" s="52"/>
    </row>
    <row r="14" spans="1:10" x14ac:dyDescent="0.25">
      <c r="A14" s="56"/>
      <c r="B14" s="51"/>
      <c r="C14" s="51"/>
      <c r="D14" s="51"/>
      <c r="E14" s="51"/>
      <c r="F14" s="51"/>
      <c r="G14" s="51"/>
      <c r="H14" s="51"/>
      <c r="I14" s="51"/>
      <c r="J14" s="52"/>
    </row>
    <row r="15" spans="1:10" x14ac:dyDescent="0.25">
      <c r="A15" s="56"/>
      <c r="B15" s="51"/>
      <c r="C15" s="51"/>
      <c r="D15" s="51"/>
      <c r="E15" s="51"/>
      <c r="F15" s="51"/>
      <c r="G15" s="51"/>
      <c r="H15" s="51"/>
      <c r="I15" s="51"/>
      <c r="J15" s="52"/>
    </row>
    <row r="16" spans="1:10" x14ac:dyDescent="0.25">
      <c r="A16" s="56"/>
      <c r="B16" s="51"/>
      <c r="C16" s="51"/>
      <c r="D16" s="51"/>
      <c r="E16" s="51"/>
      <c r="F16" s="51"/>
      <c r="G16" s="51"/>
      <c r="H16" s="51"/>
      <c r="I16" s="51"/>
      <c r="J16" s="52"/>
    </row>
    <row r="17" spans="1:10" x14ac:dyDescent="0.25">
      <c r="A17" s="56"/>
      <c r="B17" s="51"/>
      <c r="C17" s="51"/>
      <c r="D17" s="51"/>
      <c r="E17" s="51"/>
      <c r="F17" s="51"/>
      <c r="G17" s="51"/>
      <c r="H17" s="51"/>
      <c r="I17" s="51"/>
      <c r="J17" s="52"/>
    </row>
    <row r="18" spans="1:10" x14ac:dyDescent="0.25">
      <c r="A18" s="56"/>
      <c r="B18" s="51"/>
      <c r="C18" s="51"/>
      <c r="D18" s="51"/>
      <c r="E18" s="51"/>
      <c r="F18" s="51"/>
      <c r="G18" s="51"/>
      <c r="H18" s="51"/>
      <c r="I18" s="51"/>
      <c r="J18" s="52"/>
    </row>
    <row r="19" spans="1:10" x14ac:dyDescent="0.25">
      <c r="A19" s="56"/>
      <c r="B19" s="51"/>
      <c r="C19" s="51"/>
      <c r="D19" s="51"/>
      <c r="E19" s="51"/>
      <c r="F19" s="51"/>
      <c r="G19" s="51"/>
      <c r="H19" s="51"/>
      <c r="I19" s="51"/>
      <c r="J19" s="52"/>
    </row>
    <row r="20" spans="1:10" x14ac:dyDescent="0.25">
      <c r="A20" s="56"/>
      <c r="B20" s="51"/>
      <c r="C20" s="51"/>
      <c r="D20" s="51"/>
      <c r="E20" s="51"/>
      <c r="F20" s="51"/>
      <c r="G20" s="51"/>
      <c r="H20" s="51"/>
      <c r="I20" s="51"/>
      <c r="J20" s="52"/>
    </row>
    <row r="21" spans="1:10" x14ac:dyDescent="0.25">
      <c r="A21" s="56"/>
      <c r="B21" s="51"/>
      <c r="C21" s="51"/>
      <c r="D21" s="51"/>
      <c r="E21" s="51"/>
      <c r="F21" s="51"/>
      <c r="G21" s="51"/>
      <c r="H21" s="51"/>
      <c r="I21" s="51"/>
      <c r="J21" s="52"/>
    </row>
    <row r="22" spans="1:10" x14ac:dyDescent="0.25">
      <c r="A22" s="56"/>
      <c r="B22" s="51"/>
      <c r="C22" s="51"/>
      <c r="D22" s="51"/>
      <c r="E22" s="51"/>
      <c r="F22" s="51"/>
      <c r="G22" s="51"/>
      <c r="H22" s="51"/>
      <c r="I22" s="51"/>
      <c r="J22" s="52"/>
    </row>
    <row r="23" spans="1:10" x14ac:dyDescent="0.25">
      <c r="A23" s="56"/>
      <c r="B23" s="51"/>
      <c r="C23" s="51"/>
      <c r="D23" s="51"/>
      <c r="E23" s="51"/>
      <c r="F23" s="51"/>
      <c r="G23" s="51"/>
      <c r="H23" s="51"/>
      <c r="I23" s="51"/>
      <c r="J23" s="52"/>
    </row>
    <row r="24" spans="1:10" x14ac:dyDescent="0.25">
      <c r="A24" s="56"/>
      <c r="B24" s="51"/>
      <c r="C24" s="51"/>
      <c r="D24" s="51"/>
      <c r="E24" s="51"/>
      <c r="F24" s="51"/>
      <c r="G24" s="51"/>
      <c r="H24" s="51"/>
      <c r="I24" s="51"/>
      <c r="J24" s="52"/>
    </row>
    <row r="25" spans="1:10" ht="15.75" thickBot="1" x14ac:dyDescent="0.3">
      <c r="A25" s="58"/>
      <c r="B25" s="59"/>
      <c r="C25" s="59"/>
      <c r="D25" s="59"/>
      <c r="E25" s="59"/>
      <c r="F25" s="59"/>
      <c r="G25" s="59"/>
      <c r="H25" s="59"/>
      <c r="I25" s="59"/>
      <c r="J25" s="60"/>
    </row>
    <row r="26" spans="1:10" ht="15.75" thickTop="1" x14ac:dyDescent="0.25"/>
  </sheetData>
  <sheetProtection algorithmName="SHA-512" hashValue="xhCK3lrmur/tLcGmofXlW3B5Tf9Ue0eVySbvy5qCTuKccBPwhNRWfOY+o3qrqiXe1QANuBbbuOXapkJKL09j2A==" saltValue="oS0Vj96aIXtjsP10DxzlcQ==" spinCount="100000" sheet="1" objects="1" scenarios="1" formatCells="0" sort="0" autoFilter="0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6" r:id="rId4" name="optEscasez">
          <controlPr defaultSize="0" autoLine="0" r:id="rId5">
            <anchor moveWithCells="1">
              <from>
                <xdr:col>1</xdr:col>
                <xdr:colOff>771525</xdr:colOff>
                <xdr:row>20</xdr:row>
                <xdr:rowOff>104775</xdr:rowOff>
              </from>
              <to>
                <xdr:col>2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2056" r:id="rId4" name="optEscasez"/>
      </mc:Fallback>
    </mc:AlternateContent>
    <mc:AlternateContent xmlns:mc="http://schemas.openxmlformats.org/markup-compatibility/2006">
      <mc:Choice Requires="x14">
        <control shapeId="2055" r:id="rId6" name="optNoEscasez">
          <controlPr defaultSize="0" autoLine="0" r:id="rId7">
            <anchor moveWithCells="1">
              <from>
                <xdr:col>0</xdr:col>
                <xdr:colOff>133350</xdr:colOff>
                <xdr:row>20</xdr:row>
                <xdr:rowOff>104775</xdr:rowOff>
              </from>
              <to>
                <xdr:col>1</xdr:col>
                <xdr:colOff>781050</xdr:colOff>
                <xdr:row>21</xdr:row>
                <xdr:rowOff>171450</xdr:rowOff>
              </to>
            </anchor>
          </controlPr>
        </control>
      </mc:Choice>
      <mc:Fallback>
        <control shapeId="2055" r:id="rId6" name="optNoEscasez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r:id="rId9">
            <anchor>
              <from>
                <xdr:col>3</xdr:col>
                <xdr:colOff>133350</xdr:colOff>
                <xdr:row>19</xdr:row>
                <xdr:rowOff>57150</xdr:rowOff>
              </from>
              <to>
                <xdr:col>4</xdr:col>
                <xdr:colOff>95250</xdr:colOff>
                <xdr:row>21</xdr:row>
                <xdr:rowOff>9525</xdr:rowOff>
              </to>
            </anchor>
          </controlPr>
        </control>
      </mc:Choice>
      <mc:Fallback>
        <control shapeId="2051" r:id="rId8" name="cmdFiltrar"/>
      </mc:Fallback>
    </mc:AlternateContent>
    <mc:AlternateContent xmlns:mc="http://schemas.openxmlformats.org/markup-compatibility/2006">
      <mc:Choice Requires="x14">
        <control shapeId="2052" r:id="rId10" name="lstBodega">
          <controlPr defaultSize="0" autoLine="0" r:id="rId11">
            <anchor>
              <from>
                <xdr:col>19</xdr:col>
                <xdr:colOff>628650</xdr:colOff>
                <xdr:row>2</xdr:row>
                <xdr:rowOff>38100</xdr:rowOff>
              </from>
              <to>
                <xdr:col>24</xdr:col>
                <xdr:colOff>628650</xdr:colOff>
                <xdr:row>17</xdr:row>
                <xdr:rowOff>114300</xdr:rowOff>
              </to>
            </anchor>
          </controlPr>
        </control>
      </mc:Choice>
      <mc:Fallback>
        <control shapeId="2052" r:id="rId10" name="lstBodega"/>
      </mc:Fallback>
    </mc:AlternateContent>
    <mc:AlternateContent xmlns:mc="http://schemas.openxmlformats.org/markup-compatibility/2006">
      <mc:Choice Requires="x14">
        <control shapeId="2053" r:id="rId12" name="lstProveedor">
          <controlPr defaultSize="0" autoLine="0" r:id="rId11">
            <anchor>
              <from>
                <xdr:col>25</xdr:col>
                <xdr:colOff>9525</xdr:colOff>
                <xdr:row>2</xdr:row>
                <xdr:rowOff>19050</xdr:rowOff>
              </from>
              <to>
                <xdr:col>30</xdr:col>
                <xdr:colOff>9525</xdr:colOff>
                <xdr:row>17</xdr:row>
                <xdr:rowOff>95250</xdr:rowOff>
              </to>
            </anchor>
          </controlPr>
        </control>
      </mc:Choice>
      <mc:Fallback>
        <control shapeId="2053" r:id="rId12" name="lstProveedor"/>
      </mc:Fallback>
    </mc:AlternateContent>
    <mc:AlternateContent xmlns:mc="http://schemas.openxmlformats.org/markup-compatibility/2006">
      <mc:Choice Requires="x14">
        <control shapeId="2112" r:id="rId13" name="cmdCancelar">
          <controlPr defaultSize="0" autoLine="0" r:id="rId14">
            <anchor>
              <from>
                <xdr:col>3</xdr:col>
                <xdr:colOff>133350</xdr:colOff>
                <xdr:row>21</xdr:row>
                <xdr:rowOff>47625</xdr:rowOff>
              </from>
              <to>
                <xdr:col>4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2112" r:id="rId13" name="cmdCancelar"/>
      </mc:Fallback>
    </mc:AlternateContent>
    <mc:AlternateContent xmlns:mc="http://schemas.openxmlformats.org/markup-compatibility/2006">
      <mc:Choice Requires="x14">
        <control shapeId="2058" r:id="rId15" name="lstEmpresa">
          <controlPr defaultSize="0" autoLine="0" autoPict="0" macro="[0]!Actualiza_Combos">
            <anchor>
              <from>
                <xdr:col>0</xdr:col>
                <xdr:colOff>66675</xdr:colOff>
                <xdr:row>5</xdr:row>
                <xdr:rowOff>104775</xdr:rowOff>
              </from>
              <to>
                <xdr:col>1</xdr:col>
                <xdr:colOff>1190625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6" name="cboBodegas">
          <controlPr defaultSize="0" autoLine="0" autoPict="0" macro="[0]!Actualiza_Combos_Seleccion_Bodega">
            <anchor>
              <from>
                <xdr:col>0</xdr:col>
                <xdr:colOff>66675</xdr:colOff>
                <xdr:row>9</xdr:row>
                <xdr:rowOff>0</xdr:rowOff>
              </from>
              <to>
                <xdr:col>1</xdr:col>
                <xdr:colOff>1390650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7" name="cboProveedores">
          <controlPr defaultSize="0" autoLine="0" autoPict="0">
            <anchor>
              <from>
                <xdr:col>1</xdr:col>
                <xdr:colOff>1562100</xdr:colOff>
                <xdr:row>5</xdr:row>
                <xdr:rowOff>104775</xdr:rowOff>
              </from>
              <to>
                <xdr:col>4</xdr:col>
                <xdr:colOff>38100</xdr:colOff>
                <xdr:row>18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lstMarca">
          <controlPr defaultSize="0" autoLine="0" autoPict="0">
            <anchor>
              <from>
                <xdr:col>5</xdr:col>
                <xdr:colOff>161925</xdr:colOff>
                <xdr:row>18</xdr:row>
                <xdr:rowOff>104775</xdr:rowOff>
              </from>
              <to>
                <xdr:col>7</xdr:col>
                <xdr:colOff>619125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9" name="Label 17">
          <controlPr defaultSize="0" autoFill="0" autoLine="0" autoPict="0">
            <anchor>
              <from>
                <xdr:col>4</xdr:col>
                <xdr:colOff>542925</xdr:colOff>
                <xdr:row>18</xdr:row>
                <xdr:rowOff>123825</xdr:rowOff>
              </from>
              <to>
                <xdr:col>5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0" name="Label 18">
          <controlPr defaultSize="0" autoFill="0" autoLine="0" autoPict="0">
            <anchor>
              <from>
                <xdr:col>0</xdr:col>
                <xdr:colOff>66675</xdr:colOff>
                <xdr:row>4</xdr:row>
                <xdr:rowOff>114300</xdr:rowOff>
              </from>
              <to>
                <xdr:col>0</xdr:col>
                <xdr:colOff>552450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1" name="Label 19">
          <controlPr defaultSize="0" autoFill="0" autoLine="0" autoPict="0">
            <anchor>
              <from>
                <xdr:col>0</xdr:col>
                <xdr:colOff>66675</xdr:colOff>
                <xdr:row>8</xdr:row>
                <xdr:rowOff>9525</xdr:rowOff>
              </from>
              <to>
                <xdr:col>0</xdr:col>
                <xdr:colOff>523875</xdr:colOff>
                <xdr:row>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2" name="Label 20">
          <controlPr defaultSize="0" autoFill="0" autoLine="0" autoPict="0">
            <anchor>
              <from>
                <xdr:col>1</xdr:col>
                <xdr:colOff>1562100</xdr:colOff>
                <xdr:row>4</xdr:row>
                <xdr:rowOff>114300</xdr:rowOff>
              </from>
              <to>
                <xdr:col>1</xdr:col>
                <xdr:colOff>2209800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3" name="Label 23">
          <controlPr defaultSize="0" autoFill="0" autoLine="0" autoPict="0">
            <anchor>
              <from>
                <xdr:col>0</xdr:col>
                <xdr:colOff>133350</xdr:colOff>
                <xdr:row>19</xdr:row>
                <xdr:rowOff>66675</xdr:rowOff>
              </from>
              <to>
                <xdr:col>1</xdr:col>
                <xdr:colOff>161925</xdr:colOff>
                <xdr:row>20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4" name="lstGrupo">
          <controlPr defaultSize="0" autoLine="0" autoPict="0">
            <anchor>
              <from>
                <xdr:col>5</xdr:col>
                <xdr:colOff>161925</xdr:colOff>
                <xdr:row>7</xdr:row>
                <xdr:rowOff>114300</xdr:rowOff>
              </from>
              <to>
                <xdr:col>7</xdr:col>
                <xdr:colOff>619125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5" name="Label 26">
          <controlPr defaultSize="0" autoFill="0" autoLine="0" autoPict="0">
            <anchor>
              <from>
                <xdr:col>4</xdr:col>
                <xdr:colOff>523875</xdr:colOff>
                <xdr:row>7</xdr:row>
                <xdr:rowOff>133350</xdr:rowOff>
              </from>
              <to>
                <xdr:col>5</xdr:col>
                <xdr:colOff>104775</xdr:colOff>
                <xdr:row>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6" name="lstLinea">
          <controlPr defaultSize="0" autoLine="0" autoPict="0">
            <anchor>
              <from>
                <xdr:col>5</xdr:col>
                <xdr:colOff>161925</xdr:colOff>
                <xdr:row>8</xdr:row>
                <xdr:rowOff>180975</xdr:rowOff>
              </from>
              <to>
                <xdr:col>7</xdr:col>
                <xdr:colOff>619125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27" name="Label 29">
          <controlPr defaultSize="0" autoFill="0" autoLine="0" autoPict="0">
            <anchor>
              <from>
                <xdr:col>4</xdr:col>
                <xdr:colOff>581025</xdr:colOff>
                <xdr:row>9</xdr:row>
                <xdr:rowOff>9525</xdr:rowOff>
              </from>
              <to>
                <xdr:col>5</xdr:col>
                <xdr:colOff>104775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28" name="lstSublinea">
          <controlPr defaultSize="0" autoLine="0" autoPict="0">
            <anchor>
              <from>
                <xdr:col>5</xdr:col>
                <xdr:colOff>161925</xdr:colOff>
                <xdr:row>10</xdr:row>
                <xdr:rowOff>66675</xdr:rowOff>
              </from>
              <to>
                <xdr:col>7</xdr:col>
                <xdr:colOff>619125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29" name="Label 32">
          <controlPr defaultSize="0" autoFill="0" autoLine="0" autoPict="0">
            <anchor>
              <from>
                <xdr:col>4</xdr:col>
                <xdr:colOff>409575</xdr:colOff>
                <xdr:row>10</xdr:row>
                <xdr:rowOff>76200</xdr:rowOff>
              </from>
              <to>
                <xdr:col>5</xdr:col>
                <xdr:colOff>104775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30" name="lstModelo">
          <controlPr defaultSize="0" autoLine="0" autoPict="0">
            <anchor>
              <from>
                <xdr:col>5</xdr:col>
                <xdr:colOff>161925</xdr:colOff>
                <xdr:row>11</xdr:row>
                <xdr:rowOff>133350</xdr:rowOff>
              </from>
              <to>
                <xdr:col>7</xdr:col>
                <xdr:colOff>619125</xdr:colOff>
                <xdr:row>12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31" name="Label 35">
          <controlPr defaultSize="0" autoFill="0" autoLine="0" autoPict="0">
            <anchor>
              <from>
                <xdr:col>4</xdr:col>
                <xdr:colOff>457200</xdr:colOff>
                <xdr:row>11</xdr:row>
                <xdr:rowOff>152400</xdr:rowOff>
              </from>
              <to>
                <xdr:col>5</xdr:col>
                <xdr:colOff>104775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32" name="lstFamilia">
          <controlPr defaultSize="0" autoLine="0" autoPict="0">
            <anchor>
              <from>
                <xdr:col>5</xdr:col>
                <xdr:colOff>161925</xdr:colOff>
                <xdr:row>13</xdr:row>
                <xdr:rowOff>19050</xdr:rowOff>
              </from>
              <to>
                <xdr:col>7</xdr:col>
                <xdr:colOff>619125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33" name="Label 37">
          <controlPr defaultSize="0" autoFill="0" autoLine="0" autoPict="0">
            <anchor>
              <from>
                <xdr:col>4</xdr:col>
                <xdr:colOff>495300</xdr:colOff>
                <xdr:row>13</xdr:row>
                <xdr:rowOff>28575</xdr:rowOff>
              </from>
              <to>
                <xdr:col>5</xdr:col>
                <xdr:colOff>104775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4" name="lstSubfamilia">
          <controlPr defaultSize="0" autoLine="0" autoPict="0">
            <anchor>
              <from>
                <xdr:col>5</xdr:col>
                <xdr:colOff>161925</xdr:colOff>
                <xdr:row>14</xdr:row>
                <xdr:rowOff>85725</xdr:rowOff>
              </from>
              <to>
                <xdr:col>7</xdr:col>
                <xdr:colOff>619125</xdr:colOff>
                <xdr:row>15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5" name="Label 39">
          <controlPr defaultSize="0" autoFill="0" autoLine="0" autoPict="0">
            <anchor>
              <from>
                <xdr:col>4</xdr:col>
                <xdr:colOff>323850</xdr:colOff>
                <xdr:row>14</xdr:row>
                <xdr:rowOff>104775</xdr:rowOff>
              </from>
              <to>
                <xdr:col>5</xdr:col>
                <xdr:colOff>104775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6" name="lstCategoria">
          <controlPr defaultSize="0" autoLine="0" autoPict="0">
            <anchor>
              <from>
                <xdr:col>5</xdr:col>
                <xdr:colOff>161925</xdr:colOff>
                <xdr:row>15</xdr:row>
                <xdr:rowOff>152400</xdr:rowOff>
              </from>
              <to>
                <xdr:col>7</xdr:col>
                <xdr:colOff>619125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7" name="Label 42">
          <controlPr defaultSize="0" autoFill="0" autoLine="0" autoPict="0">
            <anchor>
              <from>
                <xdr:col>4</xdr:col>
                <xdr:colOff>361950</xdr:colOff>
                <xdr:row>15</xdr:row>
                <xdr:rowOff>171450</xdr:rowOff>
              </from>
              <to>
                <xdr:col>5</xdr:col>
                <xdr:colOff>104775</xdr:colOff>
                <xdr:row>16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8" name="lstTipo">
          <controlPr defaultSize="0" autoLine="0" autoPict="0">
            <anchor>
              <from>
                <xdr:col>5</xdr:col>
                <xdr:colOff>161925</xdr:colOff>
                <xdr:row>17</xdr:row>
                <xdr:rowOff>38100</xdr:rowOff>
              </from>
              <to>
                <xdr:col>7</xdr:col>
                <xdr:colOff>619125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9" name="Label 44">
          <controlPr defaultSize="0" autoFill="0" autoLine="0" autoPict="0">
            <anchor>
              <from>
                <xdr:col>4</xdr:col>
                <xdr:colOff>628650</xdr:colOff>
                <xdr:row>17</xdr:row>
                <xdr:rowOff>57150</xdr:rowOff>
              </from>
              <to>
                <xdr:col>5</xdr:col>
                <xdr:colOff>104775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0" name="lstEstatus">
          <controlPr defaultSize="0" autoLine="0" autoPict="0">
            <anchor>
              <from>
                <xdr:col>5</xdr:col>
                <xdr:colOff>161925</xdr:colOff>
                <xdr:row>3</xdr:row>
                <xdr:rowOff>28575</xdr:rowOff>
              </from>
              <to>
                <xdr:col>7</xdr:col>
                <xdr:colOff>619125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1" name="Label 46">
          <controlPr defaultSize="0" autoFill="0" autoLine="0" autoPict="0">
            <anchor>
              <from>
                <xdr:col>4</xdr:col>
                <xdr:colOff>533400</xdr:colOff>
                <xdr:row>3</xdr:row>
                <xdr:rowOff>47625</xdr:rowOff>
              </from>
              <to>
                <xdr:col>5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2" name="lstClasificacion">
          <controlPr defaultSize="0" autoLine="0" autoPict="0">
            <anchor>
              <from>
                <xdr:col>5</xdr:col>
                <xdr:colOff>161925</xdr:colOff>
                <xdr:row>4</xdr:row>
                <xdr:rowOff>95250</xdr:rowOff>
              </from>
              <to>
                <xdr:col>7</xdr:col>
                <xdr:colOff>619125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3" name="Label 48">
          <controlPr defaultSize="0" autoFill="0" autoLine="0" autoPict="0">
            <anchor>
              <from>
                <xdr:col>4</xdr:col>
                <xdr:colOff>276225</xdr:colOff>
                <xdr:row>4</xdr:row>
                <xdr:rowOff>114300</xdr:rowOff>
              </from>
              <to>
                <xdr:col>5</xdr:col>
                <xdr:colOff>152400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4" name="lstResponsable">
          <controlPr defaultSize="0" autoLine="0" autoPict="0">
            <anchor>
              <from>
                <xdr:col>5</xdr:col>
                <xdr:colOff>161925</xdr:colOff>
                <xdr:row>5</xdr:row>
                <xdr:rowOff>161925</xdr:rowOff>
              </from>
              <to>
                <xdr:col>7</xdr:col>
                <xdr:colOff>619125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5" name="Label 50">
          <controlPr defaultSize="0" autoFill="0" autoLine="0" autoPict="0">
            <anchor>
              <from>
                <xdr:col>4</xdr:col>
                <xdr:colOff>257175</xdr:colOff>
                <xdr:row>5</xdr:row>
                <xdr:rowOff>180975</xdr:rowOff>
              </from>
              <to>
                <xdr:col>5</xdr:col>
                <xdr:colOff>152400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6" name="Check Box 51">
          <controlPr defaultSize="0" autoFill="0" autoLine="0" autoPict="0">
            <anchor>
              <from>
                <xdr:col>7</xdr:col>
                <xdr:colOff>647700</xdr:colOff>
                <xdr:row>3</xdr:row>
                <xdr:rowOff>38100</xdr:rowOff>
              </from>
              <to>
                <xdr:col>9</xdr:col>
                <xdr:colOff>114300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7" name="Check Box 52">
          <controlPr defaultSize="0" autoFill="0" autoLine="0" autoPict="0">
            <anchor>
              <from>
                <xdr:col>7</xdr:col>
                <xdr:colOff>647700</xdr:colOff>
                <xdr:row>4</xdr:row>
                <xdr:rowOff>114300</xdr:rowOff>
              </from>
              <to>
                <xdr:col>9</xdr:col>
                <xdr:colOff>114300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48" name="Check Box 53">
          <controlPr defaultSize="0" autoFill="0" autoLine="0" autoPict="0">
            <anchor>
              <from>
                <xdr:col>7</xdr:col>
                <xdr:colOff>647700</xdr:colOff>
                <xdr:row>6</xdr:row>
                <xdr:rowOff>0</xdr:rowOff>
              </from>
              <to>
                <xdr:col>9</xdr:col>
                <xdr:colOff>114300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defaultSize="0" autoFill="0" autoLine="0" autoPict="0">
            <anchor>
              <from>
                <xdr:col>7</xdr:col>
                <xdr:colOff>647700</xdr:colOff>
                <xdr:row>7</xdr:row>
                <xdr:rowOff>76200</xdr:rowOff>
              </from>
              <to>
                <xdr:col>9</xdr:col>
                <xdr:colOff>114300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3" r:id="rId50" name="Check Box 55">
          <controlPr defaultSize="0" autoFill="0" autoLine="0" autoPict="0">
            <anchor>
              <from>
                <xdr:col>7</xdr:col>
                <xdr:colOff>647700</xdr:colOff>
                <xdr:row>8</xdr:row>
                <xdr:rowOff>152400</xdr:rowOff>
              </from>
              <to>
                <xdr:col>9</xdr:col>
                <xdr:colOff>114300</xdr:colOff>
                <xdr:row>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4" r:id="rId51" name="Check Box 56">
          <controlPr defaultSize="0" autoFill="0" autoLine="0" autoPict="0">
            <anchor>
              <from>
                <xdr:col>7</xdr:col>
                <xdr:colOff>647700</xdr:colOff>
                <xdr:row>10</xdr:row>
                <xdr:rowOff>38100</xdr:rowOff>
              </from>
              <to>
                <xdr:col>9</xdr:col>
                <xdr:colOff>114300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5" r:id="rId52" name="Check Box 57">
          <controlPr defaultSize="0" autoFill="0" autoLine="0" autoPict="0">
            <anchor>
              <from>
                <xdr:col>7</xdr:col>
                <xdr:colOff>647700</xdr:colOff>
                <xdr:row>11</xdr:row>
                <xdr:rowOff>104775</xdr:rowOff>
              </from>
              <to>
                <xdr:col>9</xdr:col>
                <xdr:colOff>114300</xdr:colOff>
                <xdr:row>12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6" r:id="rId53" name="Check Box 58">
          <controlPr defaultSize="0" autoFill="0" autoLine="0" autoPict="0">
            <anchor>
              <from>
                <xdr:col>7</xdr:col>
                <xdr:colOff>647700</xdr:colOff>
                <xdr:row>12</xdr:row>
                <xdr:rowOff>180975</xdr:rowOff>
              </from>
              <to>
                <xdr:col>9</xdr:col>
                <xdr:colOff>114300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54" name="Check Box 59">
          <controlPr defaultSize="0" autoFill="0" autoLine="0" autoPict="0">
            <anchor>
              <from>
                <xdr:col>7</xdr:col>
                <xdr:colOff>647700</xdr:colOff>
                <xdr:row>14</xdr:row>
                <xdr:rowOff>66675</xdr:rowOff>
              </from>
              <to>
                <xdr:col>9</xdr:col>
                <xdr:colOff>114300</xdr:colOff>
                <xdr:row>15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8" r:id="rId55" name="Check Box 60">
          <controlPr defaultSize="0" autoFill="0" autoLine="0" autoPict="0">
            <anchor>
              <from>
                <xdr:col>7</xdr:col>
                <xdr:colOff>647700</xdr:colOff>
                <xdr:row>15</xdr:row>
                <xdr:rowOff>142875</xdr:rowOff>
              </from>
              <to>
                <xdr:col>9</xdr:col>
                <xdr:colOff>114300</xdr:colOff>
                <xdr:row>16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56" name="Check Box 61">
          <controlPr defaultSize="0" autoFill="0" autoLine="0" autoPict="0">
            <anchor>
              <from>
                <xdr:col>7</xdr:col>
                <xdr:colOff>647700</xdr:colOff>
                <xdr:row>17</xdr:row>
                <xdr:rowOff>28575</xdr:rowOff>
              </from>
              <to>
                <xdr:col>9</xdr:col>
                <xdr:colOff>114300</xdr:colOff>
                <xdr:row>18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57" name="Check Box 62">
          <controlPr defaultSize="0" autoFill="0" autoLine="0" autoPict="0">
            <anchor>
              <from>
                <xdr:col>7</xdr:col>
                <xdr:colOff>647700</xdr:colOff>
                <xdr:row>18</xdr:row>
                <xdr:rowOff>104775</xdr:rowOff>
              </from>
              <to>
                <xdr:col>9</xdr:col>
                <xdr:colOff>114300</xdr:colOff>
                <xdr:row>19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3" r:id="rId58" name="lstCalendarioe">
          <controlPr defaultSize="0" autoLine="0" autoPict="0">
            <anchor>
              <from>
                <xdr:col>5</xdr:col>
                <xdr:colOff>161925</xdr:colOff>
                <xdr:row>23</xdr:row>
                <xdr:rowOff>9525</xdr:rowOff>
              </from>
              <to>
                <xdr:col>7</xdr:col>
                <xdr:colOff>619125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4" r:id="rId59" name="Label 66">
          <controlPr defaultSize="0" autoFill="0" autoLine="0" autoPict="0">
            <anchor>
              <from>
                <xdr:col>4</xdr:col>
                <xdr:colOff>333375</xdr:colOff>
                <xdr:row>22</xdr:row>
                <xdr:rowOff>180975</xdr:rowOff>
              </from>
              <to>
                <xdr:col>5</xdr:col>
                <xdr:colOff>133350</xdr:colOff>
                <xdr:row>24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5" r:id="rId60" name="lstPerfil">
          <controlPr defaultSize="0" autoLine="0" autoPict="0">
            <anchor>
              <from>
                <xdr:col>5</xdr:col>
                <xdr:colOff>161925</xdr:colOff>
                <xdr:row>20</xdr:row>
                <xdr:rowOff>57150</xdr:rowOff>
              </from>
              <to>
                <xdr:col>7</xdr:col>
                <xdr:colOff>619125</xdr:colOff>
                <xdr:row>21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61" name="Label 68">
          <controlPr defaultSize="0" autoFill="0" autoLine="0" autoPict="0">
            <anchor>
              <from>
                <xdr:col>4</xdr:col>
                <xdr:colOff>590550</xdr:colOff>
                <xdr:row>20</xdr:row>
                <xdr:rowOff>76200</xdr:rowOff>
              </from>
              <to>
                <xdr:col>5</xdr:col>
                <xdr:colOff>104775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7" r:id="rId62" name="lstColor">
          <controlPr defaultSize="0" autoLine="0" autoPict="0">
            <anchor>
              <from>
                <xdr:col>5</xdr:col>
                <xdr:colOff>161925</xdr:colOff>
                <xdr:row>21</xdr:row>
                <xdr:rowOff>133350</xdr:rowOff>
              </from>
              <to>
                <xdr:col>7</xdr:col>
                <xdr:colOff>619125</xdr:colOff>
                <xdr:row>22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63" name="Label 70">
          <controlPr defaultSize="0" autoFill="0" autoLine="0" autoPict="0">
            <anchor>
              <from>
                <xdr:col>4</xdr:col>
                <xdr:colOff>571500</xdr:colOff>
                <xdr:row>21</xdr:row>
                <xdr:rowOff>152400</xdr:rowOff>
              </from>
              <to>
                <xdr:col>5</xdr:col>
                <xdr:colOff>104775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9" r:id="rId64" name="Check Box 71">
          <controlPr defaultSize="0" autoFill="0" autoLine="0" autoPict="0">
            <anchor>
              <from>
                <xdr:col>7</xdr:col>
                <xdr:colOff>647700</xdr:colOff>
                <xdr:row>20</xdr:row>
                <xdr:rowOff>47625</xdr:rowOff>
              </from>
              <to>
                <xdr:col>9</xdr:col>
                <xdr:colOff>114300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65" name="Check Box 72">
          <controlPr defaultSize="0" autoFill="0" autoLine="0" autoPict="0">
            <anchor>
              <from>
                <xdr:col>7</xdr:col>
                <xdr:colOff>647700</xdr:colOff>
                <xdr:row>21</xdr:row>
                <xdr:rowOff>123825</xdr:rowOff>
              </from>
              <to>
                <xdr:col>9</xdr:col>
                <xdr:colOff>114300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66" name="Check Box 73">
          <controlPr defaultSize="0" autoFill="0" autoLine="0" autoPict="0">
            <anchor>
              <from>
                <xdr:col>7</xdr:col>
                <xdr:colOff>647700</xdr:colOff>
                <xdr:row>23</xdr:row>
                <xdr:rowOff>9525</xdr:rowOff>
              </from>
              <to>
                <xdr:col>9</xdr:col>
                <xdr:colOff>114300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67" name="lstHojaCB">
          <controlPr defaultSize="0" autoLine="0" autoPict="0">
            <anchor>
              <from>
                <xdr:col>5</xdr:col>
                <xdr:colOff>161925</xdr:colOff>
                <xdr:row>1</xdr:row>
                <xdr:rowOff>238125</xdr:rowOff>
              </from>
              <to>
                <xdr:col>7</xdr:col>
                <xdr:colOff>619125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68" name="Label 75">
          <controlPr defaultSize="0" autoFill="0" autoLine="0" autoPict="0">
            <anchor>
              <from>
                <xdr:col>4</xdr:col>
                <xdr:colOff>495300</xdr:colOff>
                <xdr:row>1</xdr:row>
                <xdr:rowOff>257175</xdr:rowOff>
              </from>
              <to>
                <xdr:col>5</xdr:col>
                <xdr:colOff>152400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69" name="Check Box 76">
          <controlPr defaultSize="0" autoFill="0" autoLine="0" autoPict="0">
            <anchor>
              <from>
                <xdr:col>7</xdr:col>
                <xdr:colOff>647700</xdr:colOff>
                <xdr:row>1</xdr:row>
                <xdr:rowOff>247650</xdr:rowOff>
              </from>
              <to>
                <xdr:col>9</xdr:col>
                <xdr:colOff>114300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70" name="cmdRefrescaDatos">
          <controlPr defaultSize="0" print="0" autoFill="0" autoPict="0" macro="[0]!Actualiza_Todo">
            <anchor>
              <from>
                <xdr:col>1</xdr:col>
                <xdr:colOff>1209675</xdr:colOff>
                <xdr:row>5</xdr:row>
                <xdr:rowOff>104775</xdr:rowOff>
              </from>
              <to>
                <xdr:col>1</xdr:col>
                <xdr:colOff>1390650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71" name="Check Box 78">
          <controlPr defaultSize="0" autoFill="0" autoLine="0" autoPict="0">
            <anchor>
              <from>
                <xdr:col>0</xdr:col>
                <xdr:colOff>95250</xdr:colOff>
                <xdr:row>22</xdr:row>
                <xdr:rowOff>38100</xdr:rowOff>
              </from>
              <to>
                <xdr:col>1</xdr:col>
                <xdr:colOff>1009650</xdr:colOff>
                <xdr:row>23</xdr:row>
                <xdr:rowOff>123825</xdr:rowOff>
              </to>
            </anchor>
          </controlPr>
        </control>
      </mc:Choice>
    </mc:AlternateContent>
  </controls>
  <tableParts count="1">
    <tablePart r:id="rId7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/>
  </sheetViews>
  <sheetFormatPr baseColWidth="10" defaultRowHeight="15" x14ac:dyDescent="0.25"/>
  <sheetData>
    <row r="1" spans="1:1" x14ac:dyDescent="0.25">
      <c r="A1" t="s">
        <v>2916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B53"/>
  <sheetViews>
    <sheetView showGridLines="0" topLeftCell="BP1" workbookViewId="0">
      <selection activeCell="BQ2" sqref="BQ2"/>
    </sheetView>
  </sheetViews>
  <sheetFormatPr baseColWidth="10" defaultRowHeight="15" x14ac:dyDescent="0.25"/>
  <cols>
    <col min="2" max="2" width="4.5703125" customWidth="1"/>
    <col min="4" max="4" width="7.140625" customWidth="1"/>
    <col min="6" max="6" width="4.5703125" customWidth="1"/>
    <col min="10" max="10" width="4.42578125" customWidth="1"/>
    <col min="14" max="14" width="5.5703125" customWidth="1"/>
    <col min="18" max="18" width="6.5703125" customWidth="1"/>
    <col min="22" max="22" width="5.5703125" customWidth="1"/>
    <col min="26" max="26" width="6.28515625" customWidth="1"/>
    <col min="30" max="30" width="4.5703125" customWidth="1"/>
    <col min="34" max="34" width="5.85546875" customWidth="1"/>
    <col min="38" max="38" width="5.5703125" customWidth="1"/>
    <col min="42" max="42" width="6.140625" customWidth="1"/>
    <col min="46" max="46" width="5" customWidth="1"/>
    <col min="50" max="50" width="6.5703125" customWidth="1"/>
    <col min="54" max="54" width="5.140625" customWidth="1"/>
    <col min="58" max="58" width="6" customWidth="1"/>
    <col min="62" max="62" width="5.7109375" customWidth="1"/>
    <col min="70" max="70" width="8.140625" customWidth="1"/>
    <col min="74" max="74" width="6.28515625" customWidth="1"/>
    <col min="78" max="78" width="18.42578125" customWidth="1"/>
    <col min="80" max="80" width="23" bestFit="1" customWidth="1"/>
  </cols>
  <sheetData>
    <row r="1" spans="1:80" x14ac:dyDescent="0.25">
      <c r="A1" t="s">
        <v>2894</v>
      </c>
      <c r="C1">
        <v>2</v>
      </c>
      <c r="E1" t="s">
        <v>2894</v>
      </c>
      <c r="G1">
        <v>1</v>
      </c>
      <c r="I1" t="s">
        <v>2894</v>
      </c>
      <c r="K1">
        <v>6</v>
      </c>
      <c r="M1" t="s">
        <v>2894</v>
      </c>
      <c r="O1">
        <v>1</v>
      </c>
      <c r="Q1" t="s">
        <v>2894</v>
      </c>
      <c r="S1">
        <v>1</v>
      </c>
      <c r="U1" t="s">
        <v>2894</v>
      </c>
      <c r="W1">
        <v>1</v>
      </c>
      <c r="Y1" t="s">
        <v>2894</v>
      </c>
      <c r="AA1">
        <v>1</v>
      </c>
      <c r="AC1" t="s">
        <v>2894</v>
      </c>
      <c r="AE1">
        <v>1</v>
      </c>
      <c r="AG1" t="s">
        <v>2894</v>
      </c>
      <c r="AI1">
        <v>1</v>
      </c>
      <c r="AK1" t="s">
        <v>2894</v>
      </c>
      <c r="AM1">
        <v>1</v>
      </c>
      <c r="AO1" t="s">
        <v>2894</v>
      </c>
      <c r="AQ1">
        <v>1</v>
      </c>
      <c r="AS1" t="s">
        <v>2894</v>
      </c>
      <c r="AU1">
        <v>1</v>
      </c>
      <c r="AW1" t="s">
        <v>2894</v>
      </c>
      <c r="AY1">
        <v>1</v>
      </c>
      <c r="BA1" t="s">
        <v>2894</v>
      </c>
      <c r="BC1">
        <v>1</v>
      </c>
      <c r="BE1" t="s">
        <v>2894</v>
      </c>
      <c r="BG1">
        <v>1</v>
      </c>
      <c r="BI1" t="s">
        <v>2894</v>
      </c>
      <c r="BK1">
        <v>1</v>
      </c>
      <c r="BM1" t="s">
        <v>2894</v>
      </c>
      <c r="BO1">
        <v>1</v>
      </c>
      <c r="BQ1" t="s">
        <v>2894</v>
      </c>
      <c r="BS1">
        <v>1</v>
      </c>
      <c r="BU1" t="s">
        <v>2894</v>
      </c>
      <c r="BW1">
        <v>1</v>
      </c>
      <c r="BY1" t="s">
        <v>2897</v>
      </c>
      <c r="BZ1" t="s">
        <v>209</v>
      </c>
      <c r="CB1" t="s">
        <v>2974</v>
      </c>
    </row>
    <row r="2" spans="1:80" x14ac:dyDescent="0.25">
      <c r="A2" t="s">
        <v>2912</v>
      </c>
      <c r="C2" t="str">
        <f>IFERROR(INDEX(tbl_empresa[Nombre],num_empresa_seleccionada,1),$A$2)</f>
        <v>HOSPICARE</v>
      </c>
      <c r="E2" t="s">
        <v>2895</v>
      </c>
      <c r="G2" t="str">
        <f>IFERROR(INDEX(tbl_bodega[Nombre],num_bodega_seleccionada,1),$E$2)</f>
        <v>Bodega ECU</v>
      </c>
      <c r="I2" t="s">
        <v>2969</v>
      </c>
      <c r="K2" t="str">
        <f>IFERROR(INDEX(tbl_proveedor[Nombre],num_proveedor_seleccionada,1),$I$2)</f>
        <v>REDAX</v>
      </c>
      <c r="M2" t="s">
        <v>2969</v>
      </c>
      <c r="O2" t="str">
        <f>IFERROR(INDEX(tbl_marca[Nombre],num_marca_seleccionada,1),$M$2)</f>
        <v>HALYARD</v>
      </c>
      <c r="S2">
        <f>IFERROR(INDEX(tbl_grupo[Nombre],num_grupo_seleccionada,1),$Q$2)</f>
        <v>0</v>
      </c>
      <c r="W2">
        <f>IFERROR(INDEX(tbl_linea[Nombre],num_linea_seleccionada,1),$U$2)</f>
        <v>0</v>
      </c>
      <c r="AA2">
        <f>IFERROR(INDEX(tbl_sublinea[Nombre],num_sublinea_seleccionada,1),$Y$2)</f>
        <v>0</v>
      </c>
      <c r="AE2">
        <f>IFERROR(INDEX(tbl_modelo[Nombre],num_modelo_seleccionada,1),$AC$2)</f>
        <v>0</v>
      </c>
      <c r="AI2">
        <f>IFERROR(INDEX(tbl_familia[Nombre],num_familia_seleccionada,1),$AG$2)</f>
        <v>0</v>
      </c>
      <c r="AK2" t="s">
        <v>2917</v>
      </c>
      <c r="AM2" t="str">
        <f>IFERROR(INDEX(tbl_subfamilia[Nombre],num_subfamilia_seleccionada,1),$AK$2)</f>
        <v xml:space="preserve"> METRICIDE</v>
      </c>
      <c r="AQ2">
        <f>IFERROR(INDEX(tbl_categoria[Nombre],num_categoria_seleccionada,1),$AO$2)</f>
        <v>0</v>
      </c>
      <c r="AU2">
        <f>IFERROR(INDEX(tbl_tipo[Nombre],num_tipo_seleccionada,1),$AS$2)</f>
        <v>0</v>
      </c>
      <c r="AY2">
        <f>IFERROR(INDEX(tbl_estatus[Nombre],num_estatus_seleccionada,1),$AW$2)</f>
        <v>0</v>
      </c>
      <c r="BC2">
        <f>IFERROR(INDEX(tbl_clasificacion[Nombre],num_clasificacion_seleccionada,1),$BA$2)</f>
        <v>0</v>
      </c>
      <c r="BG2">
        <f>IFERROR(INDEX(tbl_responsable[Nombre],num_responsable_seleccionada,1),$BE$2)</f>
        <v>0</v>
      </c>
      <c r="BI2" t="s">
        <v>2980</v>
      </c>
      <c r="BK2" t="str">
        <f>IFERROR(INDEX(tbl_perfil[Nombre],num_perfil_seleccionada,1),$BI$2)</f>
        <v>METREX MARITIMO</v>
      </c>
      <c r="BM2" t="s">
        <v>1982</v>
      </c>
      <c r="BO2" t="str">
        <f>IFERROR(INDEX(tbl_color[Nombre],num_color_seleccionada,1),$BM$2)</f>
        <v>A</v>
      </c>
      <c r="BS2">
        <f>IFERROR(INDEX(tbl_calendarioe[Nombre],num_calendarioe_seleccionada,1),$BQ$2)</f>
        <v>0</v>
      </c>
      <c r="BU2" t="s">
        <v>2979</v>
      </c>
      <c r="BW2" t="str">
        <f>IFERROR(INDEX(tbl_hojacb[Nombre],num_hojacb_seleccionada,1),$BU$2)</f>
        <v>HOSPICARE.xlsm</v>
      </c>
      <c r="BY2" t="s">
        <v>2909</v>
      </c>
      <c r="BZ2" t="b">
        <v>0</v>
      </c>
      <c r="CB2" t="b">
        <v>1</v>
      </c>
    </row>
    <row r="3" spans="1:80" x14ac:dyDescent="0.25">
      <c r="A3" t="s">
        <v>2911</v>
      </c>
      <c r="I3" t="s">
        <v>2976</v>
      </c>
      <c r="M3" t="s">
        <v>2970</v>
      </c>
      <c r="AK3" t="s">
        <v>2918</v>
      </c>
      <c r="BI3" t="s">
        <v>2981</v>
      </c>
      <c r="BM3" t="s">
        <v>2908</v>
      </c>
      <c r="BY3" t="s">
        <v>2888</v>
      </c>
      <c r="BZ3" t="b">
        <v>0</v>
      </c>
    </row>
    <row r="4" spans="1:80" x14ac:dyDescent="0.25">
      <c r="A4" t="s">
        <v>2913</v>
      </c>
      <c r="I4" t="s">
        <v>2977</v>
      </c>
      <c r="M4" t="s">
        <v>2971</v>
      </c>
      <c r="AK4" t="s">
        <v>2919</v>
      </c>
      <c r="BI4" t="s">
        <v>2982</v>
      </c>
      <c r="BM4" t="s">
        <v>1981</v>
      </c>
      <c r="BY4" t="s">
        <v>2898</v>
      </c>
      <c r="BZ4" t="b">
        <v>0</v>
      </c>
    </row>
    <row r="5" spans="1:80" x14ac:dyDescent="0.25">
      <c r="A5" t="s">
        <v>2914</v>
      </c>
      <c r="I5" t="s">
        <v>2970</v>
      </c>
      <c r="M5" t="s">
        <v>2972</v>
      </c>
      <c r="AK5" t="s">
        <v>2920</v>
      </c>
      <c r="BI5" t="s">
        <v>2983</v>
      </c>
      <c r="BM5" t="s">
        <v>1196</v>
      </c>
      <c r="BY5" t="s">
        <v>2899</v>
      </c>
      <c r="BZ5" t="b">
        <v>0</v>
      </c>
    </row>
    <row r="6" spans="1:80" x14ac:dyDescent="0.25">
      <c r="A6" t="s">
        <v>2910</v>
      </c>
      <c r="I6" t="s">
        <v>2975</v>
      </c>
      <c r="M6" t="s">
        <v>2973</v>
      </c>
      <c r="AK6" t="s">
        <v>2921</v>
      </c>
      <c r="BI6" t="s">
        <v>2984</v>
      </c>
      <c r="BM6" t="s">
        <v>1983</v>
      </c>
      <c r="BY6" t="s">
        <v>7</v>
      </c>
      <c r="BZ6" t="b">
        <v>0</v>
      </c>
    </row>
    <row r="7" spans="1:80" x14ac:dyDescent="0.25">
      <c r="A7" t="s">
        <v>2915</v>
      </c>
      <c r="I7" t="s">
        <v>2971</v>
      </c>
      <c r="AK7" t="s">
        <v>2922</v>
      </c>
      <c r="BM7" t="s">
        <v>2824</v>
      </c>
      <c r="BY7" t="s">
        <v>2900</v>
      </c>
      <c r="BZ7" t="b">
        <v>0</v>
      </c>
    </row>
    <row r="8" spans="1:80" x14ac:dyDescent="0.25">
      <c r="I8" t="s">
        <v>2972</v>
      </c>
      <c r="AK8" t="s">
        <v>2923</v>
      </c>
      <c r="BY8" t="s">
        <v>2901</v>
      </c>
      <c r="BZ8" t="b">
        <v>0</v>
      </c>
    </row>
    <row r="9" spans="1:80" x14ac:dyDescent="0.25">
      <c r="I9" t="s">
        <v>2896</v>
      </c>
      <c r="AK9" t="s">
        <v>2924</v>
      </c>
      <c r="BY9" t="s">
        <v>2902</v>
      </c>
      <c r="BZ9" t="b">
        <v>0</v>
      </c>
    </row>
    <row r="10" spans="1:80" x14ac:dyDescent="0.25">
      <c r="I10" t="s">
        <v>2973</v>
      </c>
      <c r="AK10" t="s">
        <v>2925</v>
      </c>
      <c r="BY10" t="s">
        <v>2903</v>
      </c>
      <c r="BZ10" t="b">
        <v>0</v>
      </c>
    </row>
    <row r="11" spans="1:80" x14ac:dyDescent="0.25">
      <c r="I11" t="s">
        <v>2978</v>
      </c>
      <c r="AK11" t="s">
        <v>2926</v>
      </c>
      <c r="BY11" t="s">
        <v>2904</v>
      </c>
      <c r="BZ11" t="b">
        <v>0</v>
      </c>
    </row>
    <row r="12" spans="1:80" x14ac:dyDescent="0.25">
      <c r="AK12" t="s">
        <v>2927</v>
      </c>
      <c r="BY12" t="s">
        <v>2905</v>
      </c>
      <c r="BZ12" t="b">
        <v>0</v>
      </c>
    </row>
    <row r="13" spans="1:80" x14ac:dyDescent="0.25">
      <c r="AK13" t="s">
        <v>2928</v>
      </c>
      <c r="BY13" t="s">
        <v>1153</v>
      </c>
      <c r="BZ13" t="b">
        <v>0</v>
      </c>
    </row>
    <row r="14" spans="1:80" x14ac:dyDescent="0.25">
      <c r="AK14" t="s">
        <v>2929</v>
      </c>
      <c r="BY14" t="s">
        <v>2906</v>
      </c>
      <c r="BZ14" t="b">
        <v>0</v>
      </c>
    </row>
    <row r="15" spans="1:80" x14ac:dyDescent="0.25">
      <c r="AK15" t="s">
        <v>2930</v>
      </c>
      <c r="BY15" t="s">
        <v>2847</v>
      </c>
      <c r="BZ15" t="b">
        <v>0</v>
      </c>
    </row>
    <row r="16" spans="1:80" x14ac:dyDescent="0.25">
      <c r="AK16" t="s">
        <v>2931</v>
      </c>
      <c r="BY16" t="s">
        <v>1195</v>
      </c>
      <c r="BZ16" t="b">
        <v>0</v>
      </c>
    </row>
    <row r="17" spans="37:78" x14ac:dyDescent="0.25">
      <c r="AK17" t="s">
        <v>2932</v>
      </c>
      <c r="BY17" t="s">
        <v>2907</v>
      </c>
      <c r="BZ17" t="b">
        <v>0</v>
      </c>
    </row>
    <row r="18" spans="37:78" x14ac:dyDescent="0.25">
      <c r="AK18" t="s">
        <v>2933</v>
      </c>
    </row>
    <row r="19" spans="37:78" x14ac:dyDescent="0.25">
      <c r="AK19" t="s">
        <v>2934</v>
      </c>
    </row>
    <row r="20" spans="37:78" x14ac:dyDescent="0.25">
      <c r="AK20" t="s">
        <v>2935</v>
      </c>
    </row>
    <row r="21" spans="37:78" x14ac:dyDescent="0.25">
      <c r="AK21" t="s">
        <v>2936</v>
      </c>
    </row>
    <row r="22" spans="37:78" x14ac:dyDescent="0.25">
      <c r="AK22" t="s">
        <v>2937</v>
      </c>
    </row>
    <row r="23" spans="37:78" x14ac:dyDescent="0.25">
      <c r="AK23" t="s">
        <v>2938</v>
      </c>
    </row>
    <row r="24" spans="37:78" x14ac:dyDescent="0.25">
      <c r="AK24" t="s">
        <v>2939</v>
      </c>
    </row>
    <row r="25" spans="37:78" x14ac:dyDescent="0.25">
      <c r="AK25" t="s">
        <v>2940</v>
      </c>
    </row>
    <row r="26" spans="37:78" x14ac:dyDescent="0.25">
      <c r="AK26" t="s">
        <v>2941</v>
      </c>
    </row>
    <row r="27" spans="37:78" x14ac:dyDescent="0.25">
      <c r="AK27" t="s">
        <v>2942</v>
      </c>
    </row>
    <row r="28" spans="37:78" x14ac:dyDescent="0.25">
      <c r="AK28" t="s">
        <v>2943</v>
      </c>
    </row>
    <row r="29" spans="37:78" x14ac:dyDescent="0.25">
      <c r="AK29" t="s">
        <v>2944</v>
      </c>
    </row>
    <row r="30" spans="37:78" x14ac:dyDescent="0.25">
      <c r="AK30" t="s">
        <v>2945</v>
      </c>
    </row>
    <row r="31" spans="37:78" x14ac:dyDescent="0.25">
      <c r="AK31" t="s">
        <v>2946</v>
      </c>
    </row>
    <row r="32" spans="37:78" x14ac:dyDescent="0.25">
      <c r="AK32" t="s">
        <v>2947</v>
      </c>
    </row>
    <row r="33" spans="37:37" x14ac:dyDescent="0.25">
      <c r="AK33" t="s">
        <v>2948</v>
      </c>
    </row>
    <row r="34" spans="37:37" x14ac:dyDescent="0.25">
      <c r="AK34" t="s">
        <v>2949</v>
      </c>
    </row>
    <row r="35" spans="37:37" x14ac:dyDescent="0.25">
      <c r="AK35" t="s">
        <v>2950</v>
      </c>
    </row>
    <row r="36" spans="37:37" x14ac:dyDescent="0.25">
      <c r="AK36" t="s">
        <v>2951</v>
      </c>
    </row>
    <row r="37" spans="37:37" x14ac:dyDescent="0.25">
      <c r="AK37" t="s">
        <v>2952</v>
      </c>
    </row>
    <row r="38" spans="37:37" x14ac:dyDescent="0.25">
      <c r="AK38" t="s">
        <v>2953</v>
      </c>
    </row>
    <row r="39" spans="37:37" x14ac:dyDescent="0.25">
      <c r="AK39" t="s">
        <v>2954</v>
      </c>
    </row>
    <row r="40" spans="37:37" x14ac:dyDescent="0.25">
      <c r="AK40" t="s">
        <v>2955</v>
      </c>
    </row>
    <row r="41" spans="37:37" x14ac:dyDescent="0.25">
      <c r="AK41" t="s">
        <v>2956</v>
      </c>
    </row>
    <row r="42" spans="37:37" x14ac:dyDescent="0.25">
      <c r="AK42" t="s">
        <v>2957</v>
      </c>
    </row>
    <row r="43" spans="37:37" x14ac:dyDescent="0.25">
      <c r="AK43" t="s">
        <v>2958</v>
      </c>
    </row>
    <row r="44" spans="37:37" x14ac:dyDescent="0.25">
      <c r="AK44" t="s">
        <v>2959</v>
      </c>
    </row>
    <row r="45" spans="37:37" x14ac:dyDescent="0.25">
      <c r="AK45" t="s">
        <v>2960</v>
      </c>
    </row>
    <row r="46" spans="37:37" x14ac:dyDescent="0.25">
      <c r="AK46" t="s">
        <v>2961</v>
      </c>
    </row>
    <row r="47" spans="37:37" x14ac:dyDescent="0.25">
      <c r="AK47" t="s">
        <v>2962</v>
      </c>
    </row>
    <row r="48" spans="37:37" x14ac:dyDescent="0.25">
      <c r="AK48" t="s">
        <v>2963</v>
      </c>
    </row>
    <row r="49" spans="37:37" x14ac:dyDescent="0.25">
      <c r="AK49" t="s">
        <v>2964</v>
      </c>
    </row>
    <row r="50" spans="37:37" x14ac:dyDescent="0.25">
      <c r="AK50" t="s">
        <v>2965</v>
      </c>
    </row>
    <row r="51" spans="37:37" x14ac:dyDescent="0.25">
      <c r="AK51" t="s">
        <v>2966</v>
      </c>
    </row>
    <row r="52" spans="37:37" x14ac:dyDescent="0.25">
      <c r="AK52" t="s">
        <v>2967</v>
      </c>
    </row>
    <row r="53" spans="37:37" x14ac:dyDescent="0.25">
      <c r="AK53" t="s">
        <v>2968</v>
      </c>
    </row>
  </sheetData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1"/>
    </row>
    <row r="3" spans="1:3" ht="21" x14ac:dyDescent="0.35">
      <c r="A3" s="10" t="s">
        <v>1178</v>
      </c>
    </row>
    <row r="4" spans="1:3" ht="21" x14ac:dyDescent="0.35">
      <c r="A4" s="8" t="s">
        <v>0</v>
      </c>
      <c r="B4" s="4" t="s">
        <v>2825</v>
      </c>
      <c r="C4" s="9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8" t="s">
        <v>1177</v>
      </c>
      <c r="B5" s="4" t="s">
        <v>1194</v>
      </c>
      <c r="C5" s="17" t="str">
        <f>IF($B$4="(Todas)",$B$5,IF($B$5="(Todas)",$B$4,0))</f>
        <v>AGROINSUMOSLAFINCA</v>
      </c>
    </row>
    <row r="8" spans="1:3" ht="21" x14ac:dyDescent="0.35">
      <c r="A8" s="10" t="s">
        <v>1179</v>
      </c>
    </row>
    <row r="9" spans="1:3" ht="21" x14ac:dyDescent="0.35">
      <c r="A9" s="8" t="s">
        <v>0</v>
      </c>
      <c r="B9" s="4" t="s">
        <v>1194</v>
      </c>
      <c r="C9" s="9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8" t="s">
        <v>1177</v>
      </c>
      <c r="B10" s="4" t="s">
        <v>1194</v>
      </c>
      <c r="C10" s="17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27" t="s">
        <v>49</v>
      </c>
      <c r="B2" s="27"/>
      <c r="C2" s="27"/>
      <c r="D2" s="27"/>
      <c r="E2" s="12" t="str">
        <f>IFERROR(INDEX(TABLACONSOLIDADA[PEDID Prom],SUMPRODUCT(--((DESTINO&amp;TRANSFERENCIA_ESPECIAL[[#This Row],[Codigo]]=TABLACONSOLIDADA[Bodega]&amp;TABLACONSOLIDADA[Codigo])),ROW(TABLACONSOLIDADA[Codigo]))-1),"")</f>
        <v/>
      </c>
      <c r="F2" s="12" t="str">
        <f>IFERROR(INDEX(TABLACONSOLIDADA[CTV],SUMPRODUCT(--((DESTINO&amp;TRANSFERENCIA_ESPECIAL[[#This Row],[Codigo]]=TABLACONSOLIDADA[Bodega]&amp;TABLACONSOLIDADA[Codigo])),ROW(TABLACONSOLIDADA[Codigo]))-1),"")</f>
        <v/>
      </c>
      <c r="G2" s="12" t="str">
        <f>IFERROR(INDEX(TABLACONSOLIDADA[PV],SUMPRODUCT(--((DESTINO&amp;TRANSFERENCIA_ESPECIAL[[#This Row],[Codigo]]=TABLACONSOLIDADA[Bodega]&amp;TABLACONSOLIDADA[Codigo])),ROW(TABLACONSOLIDADA[Codigo]))-1),"")</f>
        <v/>
      </c>
      <c r="H2" s="12" t="str">
        <f>IFERROR(INDEX(TABLACONSOLIDADA[Buff Act],SUMPRODUCT(--((DESTINO&amp;TRANSFERENCIA_ESPECIAL[[#This Row],[Codigo]]=TABLACONSOLIDADA[Bodega]&amp;TABLACONSOLIDADA[Codigo])),ROW(TABLACONSOLIDADA[Codigo]))-1),"")</f>
        <v/>
      </c>
      <c r="I2" s="18" t="str">
        <f>IFERROR(INDEX(TABLACONSOLIDADA[Consumo],SUMPRODUCT(--((DESTINO&amp;TRANSFERENCIA_ESPECIAL[[#This Row],[Codigo]]=TABLACONSOLIDADA[Bodega]&amp;TABLACONSOLIDADA[Codigo])),ROW(TABLACONSOLIDADA[Codigo]))-1),"")</f>
        <v/>
      </c>
      <c r="J2" s="13" t="str">
        <f>IFERROR(INDEX(TABLACONSOLIDADA[Rentabilid],SUMPRODUCT(--((DESTINO&amp;TRANSFERENCIA_ESPECIAL[[#This Row],[Codigo]]=TABLACONSOLIDADA[Bodega]&amp;TABLACONSOLIDADA[Codigo])),ROW(TABLACONSOLIDADA[Codigo]))-1),"")</f>
        <v/>
      </c>
      <c r="K2" s="28">
        <v>5</v>
      </c>
      <c r="L2" s="28" t="str">
        <f>IFERROR(INDEX(TABLACONSOLIDADA[Vel Efect],SUMPRODUCT(--((DESTINO&amp;TRANSFERENCIA_ESPECIAL[[#This Row],[Codigo]]=TABLACONSOLIDADA[Bodega]&amp;TABLACONSOLIDADA[Codigo])),ROW(TABLACONSOLIDADA[Codigo]))-1),"")</f>
        <v/>
      </c>
      <c r="M2" s="28" t="str">
        <f>IFERROR(INDEX(TABLACONSOLIDADA[Servicio],SUMPRODUCT(--((DESTINO&amp;TRANSFERENCIA_ESPECIAL[[#This Row],[Codigo]]=TABLACONSOLIDADA[Bodega]&amp;TABLACONSOLIDADA[Codigo])),ROW(TABLACONSOLIDADA[Codigo]))-1),"")</f>
        <v/>
      </c>
      <c r="N2" s="12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0" r:id="rId4" name="cmdCancel">
          <controlPr defaultSize="0" autoLine="0" r:id="rId5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4" name="cmdCancel"/>
      </mc:Fallback>
    </mc:AlternateContent>
    <mc:AlternateContent xmlns:mc="http://schemas.openxmlformats.org/markup-compatibility/2006">
      <mc:Choice Requires="x14">
        <control shapeId="7169" r:id="rId6" name="cmdCrear">
          <controlPr defaultSize="0" autoLine="0" r:id="rId7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6" name="cmdCr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38" bestFit="1" customWidth="1"/>
    <col min="54" max="54" width="11.5703125" style="38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29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39" bestFit="1" customWidth="1"/>
    <col min="75" max="75" width="10.140625" style="39" bestFit="1" customWidth="1"/>
    <col min="76" max="76" width="16.7109375" style="41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0" t="s">
        <v>2</v>
      </c>
      <c r="B1" s="40" t="s">
        <v>1141</v>
      </c>
      <c r="C1" s="40" t="s">
        <v>0</v>
      </c>
      <c r="D1" s="40" t="s">
        <v>1</v>
      </c>
      <c r="E1" s="40" t="s">
        <v>2847</v>
      </c>
      <c r="F1" s="40" t="s">
        <v>5</v>
      </c>
      <c r="G1" s="40" t="s">
        <v>2841</v>
      </c>
      <c r="H1" s="40" t="s">
        <v>2842</v>
      </c>
      <c r="I1" s="42" t="s">
        <v>2851</v>
      </c>
      <c r="J1" s="42" t="s">
        <v>2852</v>
      </c>
      <c r="K1" s="42" t="s">
        <v>2853</v>
      </c>
      <c r="L1" s="42" t="s">
        <v>2882</v>
      </c>
      <c r="M1" s="42" t="s">
        <v>2854</v>
      </c>
      <c r="N1" s="42" t="s">
        <v>2855</v>
      </c>
      <c r="O1" s="42" t="s">
        <v>2856</v>
      </c>
      <c r="P1" s="42" t="s">
        <v>2857</v>
      </c>
      <c r="Q1" s="42" t="s">
        <v>2858</v>
      </c>
      <c r="R1" s="42" t="s">
        <v>2859</v>
      </c>
      <c r="S1" s="42" t="s">
        <v>2860</v>
      </c>
      <c r="T1" s="42" t="s">
        <v>2861</v>
      </c>
      <c r="U1" s="42" t="s">
        <v>2862</v>
      </c>
      <c r="V1" s="42" t="s">
        <v>2863</v>
      </c>
      <c r="W1" s="42" t="s">
        <v>2864</v>
      </c>
      <c r="X1" s="42" t="s">
        <v>2865</v>
      </c>
      <c r="Y1" s="42" t="s">
        <v>2866</v>
      </c>
      <c r="Z1" s="42" t="s">
        <v>2867</v>
      </c>
      <c r="AA1" s="42" t="s">
        <v>2868</v>
      </c>
      <c r="AB1" s="42" t="s">
        <v>2869</v>
      </c>
      <c r="AC1" s="42" t="s">
        <v>2870</v>
      </c>
      <c r="AD1" s="42" t="s">
        <v>2871</v>
      </c>
      <c r="AE1" s="42" t="s">
        <v>2872</v>
      </c>
      <c r="AF1" s="42" t="s">
        <v>2873</v>
      </c>
      <c r="AG1" s="42" t="s">
        <v>2874</v>
      </c>
      <c r="AH1" s="42" t="s">
        <v>2875</v>
      </c>
      <c r="AI1" s="42" t="s">
        <v>2876</v>
      </c>
      <c r="AJ1" s="42" t="s">
        <v>2877</v>
      </c>
      <c r="AK1" s="42" t="s">
        <v>2878</v>
      </c>
      <c r="AL1" s="42" t="s">
        <v>2879</v>
      </c>
      <c r="AM1" s="42" t="s">
        <v>2880</v>
      </c>
      <c r="AN1" s="42" t="s">
        <v>2881</v>
      </c>
      <c r="AO1" s="42" t="s">
        <v>2883</v>
      </c>
      <c r="AP1" s="42" t="s">
        <v>2884</v>
      </c>
      <c r="AQ1" s="42" t="s">
        <v>2885</v>
      </c>
      <c r="AR1" s="42" t="s">
        <v>2886</v>
      </c>
      <c r="AS1" s="42" t="s">
        <v>2887</v>
      </c>
      <c r="AT1" s="42" t="s">
        <v>2888</v>
      </c>
      <c r="AU1" s="42" t="s">
        <v>2889</v>
      </c>
      <c r="AV1" s="42" t="s">
        <v>2890</v>
      </c>
      <c r="AW1" s="40" t="s">
        <v>1150</v>
      </c>
      <c r="AX1" s="40" t="s">
        <v>1151</v>
      </c>
      <c r="AY1" s="40" t="s">
        <v>1152</v>
      </c>
      <c r="AZ1" s="40" t="s">
        <v>1153</v>
      </c>
      <c r="BA1" s="40" t="s">
        <v>1164</v>
      </c>
      <c r="BB1" s="40" t="s">
        <v>1165</v>
      </c>
      <c r="BC1" s="40" t="s">
        <v>2843</v>
      </c>
      <c r="BD1" s="40" t="s">
        <v>2844</v>
      </c>
      <c r="BE1" s="40" t="s">
        <v>2845</v>
      </c>
      <c r="BF1" s="40" t="s">
        <v>2846</v>
      </c>
      <c r="BG1" s="40" t="s">
        <v>1156</v>
      </c>
      <c r="BH1" s="40" t="s">
        <v>9</v>
      </c>
      <c r="BI1" s="40" t="s">
        <v>10</v>
      </c>
      <c r="BJ1" s="40" t="s">
        <v>1195</v>
      </c>
      <c r="BK1" s="40" t="s">
        <v>11</v>
      </c>
      <c r="BL1" s="40" t="s">
        <v>12</v>
      </c>
      <c r="BM1" s="40" t="s">
        <v>2848</v>
      </c>
      <c r="BN1" s="40" t="s">
        <v>2849</v>
      </c>
      <c r="BO1" s="40" t="s">
        <v>2850</v>
      </c>
      <c r="BP1" s="40" t="s">
        <v>3</v>
      </c>
      <c r="BQ1" s="40" t="s">
        <v>4</v>
      </c>
      <c r="BR1" s="40" t="s">
        <v>13</v>
      </c>
      <c r="BS1" s="40" t="s">
        <v>1154</v>
      </c>
      <c r="BT1" s="40" t="s">
        <v>1155</v>
      </c>
      <c r="BU1" s="40" t="s">
        <v>1984</v>
      </c>
      <c r="BV1" s="40" t="s">
        <v>1985</v>
      </c>
      <c r="BW1" s="40" t="s">
        <v>1986</v>
      </c>
      <c r="BX1" s="40" t="s">
        <v>14</v>
      </c>
      <c r="BY1" s="40" t="s">
        <v>1987</v>
      </c>
      <c r="BZ1" s="40" t="s">
        <v>1988</v>
      </c>
      <c r="CA1" s="40" t="s">
        <v>1989</v>
      </c>
      <c r="CB1" s="40" t="s">
        <v>1138</v>
      </c>
      <c r="CC1" s="40" t="s">
        <v>1148</v>
      </c>
      <c r="CD1" s="40" t="s">
        <v>1158</v>
      </c>
      <c r="CE1" s="40" t="s">
        <v>1161</v>
      </c>
    </row>
    <row r="2" spans="1:83" x14ac:dyDescent="0.25">
      <c r="AE2" s="5"/>
      <c r="CA2" s="43"/>
    </row>
  </sheetData>
  <sheetProtection algorithmName="SHA-512" hashValue="rNkFkpyKyuEEkaSc9cUM98l9nZ06OTw++wudmw/z0DC+plPdqxsmYOjJKOS1D+gxnPlsnv0iDPR9S6GQ5iV6Wg==" saltValue="klsABwnYaaF1PNKpBqbQFw==" spinCount="100000" sheet="1" objects="1" scenarios="1" sort="0" autoFilter="0"/>
  <conditionalFormatting sqref="BI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4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19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5">
        <f t="array" ref="H6">SUM((--(Tabla_DECISION_COMPRA[[#This Row],[Codigo]]=TABLACONSOLIDADA[Codigo]))*(--(TABLACONSOLIDADA[Proveedor]=BODEGABASE))*TABLACONSOLIDADA[Buff Act])</f>
        <v>0</v>
      </c>
      <c r="I6" s="15">
        <f t="array" ref="I6">SUM((--(Tabla_DECISION_COMPRA[[#This Row],[Codigo]]=TABLACONSOLIDADA[Codigo]))*(--(TABLACONSOLIDADA[Proveedor]=BODEGABASE))*TABLACONSOLIDADA[Inv Fís Act])</f>
        <v>0</v>
      </c>
      <c r="J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5">
        <f t="array" ref="H7">SUM((--(Tabla_DECISION_COMPRA[[#This Row],[Codigo]]=TABLACONSOLIDADA[Codigo]))*(--(TABLACONSOLIDADA[Proveedor]=BODEGABASE))*TABLACONSOLIDADA[Buff Act])</f>
        <v>0</v>
      </c>
      <c r="I7" s="15">
        <f t="array" ref="I7">SUM((--(Tabla_DECISION_COMPRA[[#This Row],[Codigo]]=TABLACONSOLIDADA[Codigo]))*(--(TABLACONSOLIDADA[Proveedor]=BODEGABASE))*TABLACONSOLIDADA[Inv Fís Act])</f>
        <v>0</v>
      </c>
      <c r="J7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5">
        <f t="array" ref="H8">SUM((--(Tabla_DECISION_COMPRA[[#This Row],[Codigo]]=TABLACONSOLIDADA[Codigo]))*(--(TABLACONSOLIDADA[Proveedor]=BODEGABASE))*TABLACONSOLIDADA[Buff Act])</f>
        <v>0</v>
      </c>
      <c r="I8" s="15">
        <f t="array" ref="I8">SUM((--(Tabla_DECISION_COMPRA[[#This Row],[Codigo]]=TABLACONSOLIDADA[Codigo]))*(--(TABLACONSOLIDADA[Proveedor]=BODEGABASE))*TABLACONSOLIDADA[Inv Fís Act])</f>
        <v>0</v>
      </c>
      <c r="J8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5">
        <f t="array" ref="H9">SUM((--(Tabla_DECISION_COMPRA[[#This Row],[Codigo]]=TABLACONSOLIDADA[Codigo]))*(--(TABLACONSOLIDADA[Proveedor]=BODEGABASE))*TABLACONSOLIDADA[Buff Act])</f>
        <v>0</v>
      </c>
      <c r="I9" s="15">
        <f t="array" ref="I9">SUM((--(Tabla_DECISION_COMPRA[[#This Row],[Codigo]]=TABLACONSOLIDADA[Codigo]))*(--(TABLACONSOLIDADA[Proveedor]=BODEGABASE))*TABLACONSOLIDADA[Inv Fís Act])</f>
        <v>0</v>
      </c>
      <c r="J9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5">
        <f t="array" ref="H10">SUM((--(Tabla_DECISION_COMPRA[[#This Row],[Codigo]]=TABLACONSOLIDADA[Codigo]))*(--(TABLACONSOLIDADA[Proveedor]=BODEGABASE))*TABLACONSOLIDADA[Buff Act])</f>
        <v>0</v>
      </c>
      <c r="I10" s="15">
        <f t="array" ref="I10">SUM((--(Tabla_DECISION_COMPRA[[#This Row],[Codigo]]=TABLACONSOLIDADA[Codigo]))*(--(TABLACONSOLIDADA[Proveedor]=BODEGABASE))*TABLACONSOLIDADA[Inv Fís Act])</f>
        <v>0</v>
      </c>
      <c r="J10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5">
        <f t="array" ref="H11">SUM((--(Tabla_DECISION_COMPRA[[#This Row],[Codigo]]=TABLACONSOLIDADA[Codigo]))*(--(TABLACONSOLIDADA[Proveedor]=BODEGABASE))*TABLACONSOLIDADA[Buff Act])</f>
        <v>0</v>
      </c>
      <c r="I11" s="15">
        <f t="array" ref="I11">SUM((--(Tabla_DECISION_COMPRA[[#This Row],[Codigo]]=TABLACONSOLIDADA[Codigo]))*(--(TABLACONSOLIDADA[Proveedor]=BODEGABASE))*TABLACONSOLIDADA[Inv Fís Act])</f>
        <v>0</v>
      </c>
      <c r="J11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5">
        <f t="array" ref="H12">SUM((--(Tabla_DECISION_COMPRA[[#This Row],[Codigo]]=TABLACONSOLIDADA[Codigo]))*(--(TABLACONSOLIDADA[Proveedor]=BODEGABASE))*TABLACONSOLIDADA[Buff Act])</f>
        <v>0</v>
      </c>
      <c r="I12" s="15">
        <f t="array" ref="I12">SUM((--(Tabla_DECISION_COMPRA[[#This Row],[Codigo]]=TABLACONSOLIDADA[Codigo]))*(--(TABLACONSOLIDADA[Proveedor]=BODEGABASE))*TABLACONSOLIDADA[Inv Fís Act])</f>
        <v>0</v>
      </c>
      <c r="J12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5">
        <f t="array" ref="H13">SUM((--(Tabla_DECISION_COMPRA[[#This Row],[Codigo]]=TABLACONSOLIDADA[Codigo]))*(--(TABLACONSOLIDADA[Proveedor]=BODEGABASE))*TABLACONSOLIDADA[Buff Act])</f>
        <v>0</v>
      </c>
      <c r="I13" s="15">
        <f t="array" ref="I13">SUM((--(Tabla_DECISION_COMPRA[[#This Row],[Codigo]]=TABLACONSOLIDADA[Codigo]))*(--(TABLACONSOLIDADA[Proveedor]=BODEGABASE))*TABLACONSOLIDADA[Inv Fís Act])</f>
        <v>0</v>
      </c>
      <c r="J13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5">
        <f t="array" ref="H14">SUM((--(Tabla_DECISION_COMPRA[[#This Row],[Codigo]]=TABLACONSOLIDADA[Codigo]))*(--(TABLACONSOLIDADA[Proveedor]=BODEGABASE))*TABLACONSOLIDADA[Buff Act])</f>
        <v>0</v>
      </c>
      <c r="I14" s="15">
        <f t="array" ref="I14">SUM((--(Tabla_DECISION_COMPRA[[#This Row],[Codigo]]=TABLACONSOLIDADA[Codigo]))*(--(TABLACONSOLIDADA[Proveedor]=BODEGABASE))*TABLACONSOLIDADA[Inv Fís Act])</f>
        <v>0</v>
      </c>
      <c r="J14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5">
        <f t="array" ref="H15">SUM((--(Tabla_DECISION_COMPRA[[#This Row],[Codigo]]=TABLACONSOLIDADA[Codigo]))*(--(TABLACONSOLIDADA[Proveedor]=BODEGABASE))*TABLACONSOLIDADA[Buff Act])</f>
        <v>0</v>
      </c>
      <c r="I15" s="15">
        <f t="array" ref="I15">SUM((--(Tabla_DECISION_COMPRA[[#This Row],[Codigo]]=TABLACONSOLIDADA[Codigo]))*(--(TABLACONSOLIDADA[Proveedor]=BODEGABASE))*TABLACONSOLIDADA[Inv Fís Act])</f>
        <v>0</v>
      </c>
      <c r="J15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5">
        <f t="array" ref="H16">SUM((--(Tabla_DECISION_COMPRA[[#This Row],[Codigo]]=TABLACONSOLIDADA[Codigo]))*(--(TABLACONSOLIDADA[Proveedor]=BODEGABASE))*TABLACONSOLIDADA[Buff Act])</f>
        <v>0</v>
      </c>
      <c r="I16" s="15">
        <f t="array" ref="I16">SUM((--(Tabla_DECISION_COMPRA[[#This Row],[Codigo]]=TABLACONSOLIDADA[Codigo]))*(--(TABLACONSOLIDADA[Proveedor]=BODEGABASE))*TABLACONSOLIDADA[Inv Fís Act])</f>
        <v>0</v>
      </c>
      <c r="J16" s="15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5">
        <f t="array" ref="H17">SUM((--(Tabla_DECISION_COMPRA[[#This Row],[Codigo]]=TABLACONSOLIDADA[Codigo]))*(--(TABLACONSOLIDADA[Proveedor]=BODEGABASE))*TABLACONSOLIDADA[Buff Act])</f>
        <v>0</v>
      </c>
      <c r="I17" s="15">
        <f t="array" ref="I17">SUM((--(Tabla_DECISION_COMPRA[[#This Row],[Codigo]]=TABLACONSOLIDADA[Codigo]))*(--(TABLACONSOLIDADA[Proveedor]=BODEGABASE))*TABLACONSOLIDADA[Inv Fís Act])</f>
        <v>0</v>
      </c>
      <c r="J17" s="15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4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0" t="s">
        <v>1192</v>
      </c>
      <c r="J5" s="20" t="s">
        <v>1193</v>
      </c>
    </row>
    <row r="6" spans="1:10" x14ac:dyDescent="0.25">
      <c r="E6" s="3"/>
      <c r="F6" s="3"/>
      <c r="G6" s="15"/>
      <c r="H6" s="15"/>
      <c r="I6" s="21"/>
      <c r="J6" s="2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6" t="s">
        <v>1199</v>
      </c>
      <c r="U2" s="16" t="s">
        <v>2891</v>
      </c>
    </row>
    <row r="3" spans="1:25" x14ac:dyDescent="0.25">
      <c r="B3" s="16" t="s">
        <v>1195</v>
      </c>
      <c r="C3" s="16" t="s">
        <v>209</v>
      </c>
      <c r="T3" s="16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2" t="s">
        <v>1196</v>
      </c>
      <c r="C4" s="22"/>
      <c r="D4" s="30" t="s">
        <v>1983</v>
      </c>
      <c r="E4" s="30"/>
      <c r="F4" s="31" t="s">
        <v>1982</v>
      </c>
      <c r="G4" s="31"/>
      <c r="H4" s="36" t="s">
        <v>2824</v>
      </c>
      <c r="I4" s="36"/>
      <c r="J4" s="32" t="s">
        <v>1981</v>
      </c>
      <c r="K4" s="32"/>
      <c r="T4" s="25" t="s">
        <v>2893</v>
      </c>
      <c r="U4" s="26">
        <v>5</v>
      </c>
      <c r="V4" s="26">
        <v>49</v>
      </c>
      <c r="W4" s="26">
        <v>45</v>
      </c>
      <c r="X4" s="26">
        <v>19</v>
      </c>
      <c r="Y4" s="26">
        <v>43</v>
      </c>
    </row>
    <row r="5" spans="1:25" x14ac:dyDescent="0.25">
      <c r="A5" s="16" t="s">
        <v>0</v>
      </c>
      <c r="B5" s="23" t="s">
        <v>1197</v>
      </c>
      <c r="C5" s="23" t="s">
        <v>1198</v>
      </c>
      <c r="D5" s="33" t="s">
        <v>1197</v>
      </c>
      <c r="E5" s="33" t="s">
        <v>1198</v>
      </c>
      <c r="F5" s="34" t="s">
        <v>1197</v>
      </c>
      <c r="G5" s="34" t="s">
        <v>1198</v>
      </c>
      <c r="H5" s="37" t="s">
        <v>1197</v>
      </c>
      <c r="I5" s="37" t="s">
        <v>1198</v>
      </c>
      <c r="J5" s="35" t="s">
        <v>1197</v>
      </c>
      <c r="K5" s="35" t="s">
        <v>1198</v>
      </c>
    </row>
    <row r="6" spans="1:25" x14ac:dyDescent="0.25">
      <c r="A6" t="s">
        <v>2893</v>
      </c>
      <c r="B6" s="15">
        <v>5</v>
      </c>
      <c r="C6" s="24">
        <v>3.1055900621118012E-2</v>
      </c>
      <c r="D6" s="15">
        <v>49</v>
      </c>
      <c r="E6" s="24">
        <v>0.30434782608695654</v>
      </c>
      <c r="F6" s="15">
        <v>45</v>
      </c>
      <c r="G6" s="24">
        <v>0.27950310559006208</v>
      </c>
      <c r="H6" s="15">
        <v>19</v>
      </c>
      <c r="I6" s="24">
        <v>0.11801242236024845</v>
      </c>
      <c r="J6" s="15">
        <v>43</v>
      </c>
      <c r="K6" s="24">
        <v>0.26708074534161491</v>
      </c>
    </row>
    <row r="7" spans="1:25" x14ac:dyDescent="0.25">
      <c r="A7" t="s">
        <v>2840</v>
      </c>
      <c r="B7" s="15">
        <v>5</v>
      </c>
      <c r="C7" s="24">
        <v>3.1055900621118012E-2</v>
      </c>
      <c r="D7" s="15">
        <v>49</v>
      </c>
      <c r="E7" s="24">
        <v>0.30434782608695654</v>
      </c>
      <c r="F7" s="15">
        <v>45</v>
      </c>
      <c r="G7" s="24">
        <v>0.27950310559006208</v>
      </c>
      <c r="H7" s="15">
        <v>19</v>
      </c>
      <c r="I7" s="24">
        <v>0.11801242236024845</v>
      </c>
      <c r="J7" s="15">
        <v>43</v>
      </c>
      <c r="K7" s="24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67</vt:i4>
      </vt:variant>
    </vt:vector>
  </HeadingPairs>
  <TitlesOfParts>
    <vt:vector size="78" baseType="lpstr">
      <vt:lpstr>SELECCION</vt:lpstr>
      <vt:lpstr>Combos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bodega_seleccionada</vt:lpstr>
      <vt:lpstr>BODEGABASE</vt:lpstr>
      <vt:lpstr>BODEGABASE1</vt:lpstr>
      <vt:lpstr>BODEGATRANSFER</vt:lpstr>
      <vt:lpstr>calendarioe_seleccionada</vt:lpstr>
      <vt:lpstr>categoria_seleccionada</vt:lpstr>
      <vt:lpstr>chk_calendarioe</vt:lpstr>
      <vt:lpstr>chk_categoria</vt:lpstr>
      <vt:lpstr>chk_clasificacion</vt:lpstr>
      <vt:lpstr>chk_color</vt:lpstr>
      <vt:lpstr>chk_estatus</vt:lpstr>
      <vt:lpstr>chk_familia</vt:lpstr>
      <vt:lpstr>chk_grupo</vt:lpstr>
      <vt:lpstr>chk_hojacb</vt:lpstr>
      <vt:lpstr>chk_linea</vt:lpstr>
      <vt:lpstr>chk_marca</vt:lpstr>
      <vt:lpstr>chk_modelo</vt:lpstr>
      <vt:lpstr>chk_perfil</vt:lpstr>
      <vt:lpstr>chk_responsable</vt:lpstr>
      <vt:lpstr>chk_subfamilia</vt:lpstr>
      <vt:lpstr>chk_sublinea</vt:lpstr>
      <vt:lpstr>chk_tipo</vt:lpstr>
      <vt:lpstr>clasificacion_seleccionada</vt:lpstr>
      <vt:lpstr>color_seleccionada</vt:lpstr>
      <vt:lpstr>DESTINO</vt:lpstr>
      <vt:lpstr>empresa_seleccionada</vt:lpstr>
      <vt:lpstr>estatus_seleccionada</vt:lpstr>
      <vt:lpstr>familia_seleccionada</vt:lpstr>
      <vt:lpstr>grupo_seleccionada</vt:lpstr>
      <vt:lpstr>hojacb_seleccionada</vt:lpstr>
      <vt:lpstr>linea_seleccionada</vt:lpstr>
      <vt:lpstr>listaEmpresas</vt:lpstr>
      <vt:lpstr>marca_seleccionada</vt:lpstr>
      <vt:lpstr>modelo_seleccionada</vt:lpstr>
      <vt:lpstr>num_bodega_seleccionada</vt:lpstr>
      <vt:lpstr>num_calendarioe_seleccionada</vt:lpstr>
      <vt:lpstr>num_categoria_seleccionada</vt:lpstr>
      <vt:lpstr>num_clasificacion_seleccionada</vt:lpstr>
      <vt:lpstr>num_color_seleccionada</vt:lpstr>
      <vt:lpstr>num_empresa_seleccionada</vt:lpstr>
      <vt:lpstr>num_estatus_seleccionada</vt:lpstr>
      <vt:lpstr>num_familia_seleccionada</vt:lpstr>
      <vt:lpstr>num_grupo_seleccionada</vt:lpstr>
      <vt:lpstr>num_hojacb_seleccionada</vt:lpstr>
      <vt:lpstr>num_linea_seleccionada</vt:lpstr>
      <vt:lpstr>num_marca_seleccionada</vt:lpstr>
      <vt:lpstr>num_modelo_seleccionada</vt:lpstr>
      <vt:lpstr>num_perfil_seleccionada</vt:lpstr>
      <vt:lpstr>num_proveedor_seleccionada</vt:lpstr>
      <vt:lpstr>num_responsable_seleccionada</vt:lpstr>
      <vt:lpstr>num_subfamilia_seleccionada</vt:lpstr>
      <vt:lpstr>num_sublinea_seleccionada</vt:lpstr>
      <vt:lpstr>num_tipo_seleccionada</vt:lpstr>
      <vt:lpstr>ORIGEN</vt:lpstr>
      <vt:lpstr>perfil_seleccionada</vt:lpstr>
      <vt:lpstr>proveedor_seleccionada</vt:lpstr>
      <vt:lpstr>PROVEEDORTRANSFER</vt:lpstr>
      <vt:lpstr>RELACION</vt:lpstr>
      <vt:lpstr>responsable_seleccionada</vt:lpstr>
      <vt:lpstr>Ser</vt:lpstr>
      <vt:lpstr>subfamilia_seleccionada</vt:lpstr>
      <vt:lpstr>sublinea_seleccionada</vt:lpstr>
      <vt:lpstr>tipo_seleccionada</vt:lpstr>
      <vt:lpstr>VERIFICA_DESTINO</vt:lpstr>
      <vt:lpstr>VERIFICA_ORIGEN</vt:lpstr>
      <vt:lpstr>visualiza_requerim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2017-02-17T05:22:18Z</dcterms:modified>
</cp:coreProperties>
</file>