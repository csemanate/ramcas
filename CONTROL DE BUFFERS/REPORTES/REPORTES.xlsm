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129000" windowWidth="11640" windowHeight="5370" firstSheet="4" activeTab="4"/>
  </bookViews>
  <sheets>
    <sheet name="SELECCION" sheetId="11" state="hidden" r:id="rId1"/>
    <sheet name="Combos" sheetId="23" state="hidden" r:id="rId2"/>
    <sheet name="SELECCION1" sheetId="14" state="hidden" r:id="rId3"/>
    <sheet name="TESPECIAL" sheetId="15" state="hidden" r:id="rId4"/>
    <sheet name="CONSOLIDADO" sheetId="3" r:id="rId5"/>
    <sheet name="DECISION_COMPRA" sheetId="18" state="hidden" r:id="rId6"/>
    <sheet name="TIPOCOMPRA" sheetId="8" state="hidden" r:id="rId7"/>
    <sheet name="RELACION_BUFFERS" sheetId="20" state="hidden" r:id="rId8"/>
    <sheet name="BUFFER_POR_COLOR" sheetId="19" state="hidden" r:id="rId9"/>
    <sheet name="PROVEEDORES" sheetId="21" state="hidden" r:id="rId10"/>
    <sheet name="EMPRESAS" sheetId="22" state="hidden" r:id="rId11"/>
  </sheets>
  <functionGroups builtInGroupCount="18"/>
  <externalReferences>
    <externalReference r:id="rId12"/>
    <externalReference r:id="rId13"/>
  </externalReferences>
  <definedNames>
    <definedName name="_cmdFiltrar_Range" localSheetId="0" hidden="1">{33.75,317.25,TRUE,3,2.25,63}</definedName>
    <definedName name="_xlnm._FilterDatabase" localSheetId="4" hidden="1">CONSOLIDADO!$A$2:$CE$2</definedName>
    <definedName name="_lstBodega_Range" localSheetId="0" hidden="1">{340.5,15.75,TRUE,3,83.25,300}</definedName>
    <definedName name="_lstProveedor_Range" localSheetId="0" hidden="1">{340.5,326.25,TRUE,3,83.25,300}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onsulta_desde_Buffers_Agroinsumos" localSheetId="6" hidden="1">TIPOCOMPRA!#REF!</definedName>
    <definedName name="Consulta_desde_Buffers_Agrota" localSheetId="6" hidden="1">TIPOCOMPRA!$A$1:$C$2293</definedName>
    <definedName name="Consulta_desde_BUFFERS_AGROTA_1" localSheetId="6" hidden="1">TIPOCOMPRA!#REF!</definedName>
    <definedName name="Consulta_desde_BUFFERS_SUKAMPO" localSheetId="6" hidden="1">TIPOCOMPRA!$I$1:$K$2293</definedName>
    <definedName name="Consulta_desde_HHH" localSheetId="6" hidden="1">TIPOCOMPRA!$E$1:$G$445</definedName>
    <definedName name="Consulta_desde_HHH_1" localSheetId="6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INICIO">[1]PEDIDOS!$A$8</definedName>
    <definedName name="INICIOTRANSFER">[2]!TRANSFERENCIAFILTRADA[[#Headers],[Empresa]]</definedName>
    <definedName name="listaEmpresas">tbl_empresa[Nombre]</definedName>
    <definedName name="num_bodega_seleccionada">Combos!$G$1</definedName>
    <definedName name="num_empresa_seleccionada">Combos!$C$1</definedName>
    <definedName name="num_proveedor_seleccionad">Combos!$K$1</definedName>
    <definedName name="ORIGEN">SELECCION1!$C$10</definedName>
    <definedName name="PROVEEDOR">#REF!</definedName>
    <definedName name="proveedor_seleccionado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VERIFICA_DESTINO">SELECCION1!$C$4</definedName>
    <definedName name="VERIFICA_ORIGEN">SELECCION1!$C$9</definedName>
    <definedName name="YACALCULADO">SELECCION!$D$1</definedName>
  </definedNames>
  <calcPr calcId="152511"/>
  <pivotCaches>
    <pivotCache cacheId="28" r:id="rId14"/>
    <pivotCache cacheId="29" r:id="rId15"/>
  </pivotCaches>
</workbook>
</file>

<file path=xl/calcChain.xml><?xml version="1.0" encoding="utf-8"?>
<calcChain xmlns="http://schemas.openxmlformats.org/spreadsheetml/2006/main"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<sst xmlns="http://schemas.openxmlformats.org/spreadsheetml/2006/main" count="12574" uniqueCount="2909">
  <si>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</si>
  <si>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</si>
  <si>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</si>
  <si>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</si>
  <si>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</si>
  <si>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</si>
  <si>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</si>
  <si>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</si>
  <si>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</si>
  <si>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</si>
  <si>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</si>
  <si>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</si>
  <si>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</si>
  <si>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</si>
  <si>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</si>
  <si>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</si>
  <si>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</si>
  <si>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</si>
  <si>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</si>
  <si>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</si>
  <si>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</si>
  <si>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</si>
  <si>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</si>
  <si>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</si>
  <si>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</si>
  <si>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</si>
  <si>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</si>
  <si>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</si>
  <si>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</si>
  <si>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</si>
  <si>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</si>
  <si>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</si>
  <si>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</si>
  <si>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</si>
  <si>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</si>
  <si>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</si>
  <si>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</si>
  <si>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</si>
  <si>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</si>
  <si>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</si>
  <si>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</si>
  <si>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</si>
  <si>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</si>
  <si>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</si>
  <si>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</si>
  <si>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</si>
  <si>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</si>
  <si>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</si>
  <si>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</si>
  <si>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</si>
  <si>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</si>
  <si>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</si>
  <si>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</si>
  <si>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</si>
  <si>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</si>
  <si>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</si>
  <si>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</si>
  <si>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</si>
  <si>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</si>
  <si>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</si>
  <si>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</si>
  <si>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</si>
  <si>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</si>
  <si>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</si>
  <si>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</si>
  <si>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</si>
  <si>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</si>
  <si>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</si>
  <si>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</si>
  <si>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</si>
  <si>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</si>
  <si>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</si>
  <si>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</si>
  <si>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</si>
  <si>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</si>
  <si>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</si>
  <si>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</si>
  <si>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</si>
  <si>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</si>
  <si>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</si>
  <si>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</si>
  <si>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</si>
  <si>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</si>
  <si>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</si>
  <si>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</si>
  <si>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</si>
  <si>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</si>
  <si>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</si>
  <si>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</si>
  <si>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</si>
  <si>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</si>
  <si>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</si>
  <si>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</si>
  <si>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</si>
  <si>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</si>
  <si>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</si>
  <si>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</si>
  <si>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</si>
  <si>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</si>
  <si>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</si>
  <si>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</si>
  <si>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</si>
  <si>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</si>
  <si>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</si>
  <si>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</si>
  <si>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</si>
  <si>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</si>
  <si>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</si>
  <si>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</si>
  <si>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</si>
  <si>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</si>
  <si>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</si>
  <si>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</si>
  <si>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</si>
  <si>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</si>
  <si>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</si>
  <si>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</si>
  <si>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</si>
  <si>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</si>
  <si>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</si>
  <si>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</si>
  <si>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</si>
  <si>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</si>
  <si>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</si>
  <si>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</si>
  <si>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</si>
  <si>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</si>
  <si>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</si>
  <si>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</si>
  <si>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</si>
  <si>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</si>
  <si>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</si>
  <si>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</si>
  <si>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</si>
  <si>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</si>
  <si>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</si>
  <si>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</si>
  <si>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</si>
  <si>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</si>
  <si>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</si>
  <si>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</si>
  <si>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</si>
  <si>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</si>
  <si>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</si>
  <si>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</si>
  <si>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</si>
  <si>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</si>
  <si>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</si>
  <si>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</si>
  <si>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</si>
  <si>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</si>
  <si>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</si>
  <si>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</si>
  <si>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</si>
  <si>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</si>
  <si>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</si>
  <si>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</si>
  <si>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</si>
  <si>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</si>
  <si>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</si>
  <si>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</si>
  <si>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</si>
  <si>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</si>
  <si>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</si>
  <si>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</si>
  <si>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</si>
  <si>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</si>
  <si>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</si>
  <si>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</si>
  <si>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</si>
  <si>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</si>
  <si>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</si>
  <si>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</si>
  <si>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</si>
  <si>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</si>
  <si>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</si>
  <si>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</si>
  <si>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</si>
  <si>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</si>
  <si>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</si>
  <si>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</si>
  <si>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</si>
  <si>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</si>
  <si>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</si>
  <si>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</si>
  <si>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</si>
  <si>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</si>
  <si>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</si>
  <si>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</si>
  <si>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</si>
  <si>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</si>
  <si>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</si>
  <si>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</si>
  <si>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</si>
  <si>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</si>
  <si>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</si>
  <si>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</si>
  <si>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</si>
  <si>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</si>
  <si>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</si>
  <si>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</si>
  <si>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</si>
  <si>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</si>
  <si>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</si>
  <si>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</si>
  <si>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</si>
  <si>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</si>
  <si>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</si>
  <si>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</si>
  <si>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</si>
  <si>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</si>
  <si>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</si>
  <si>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</si>
  <si>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</si>
  <si>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</si>
  <si>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</si>
  <si>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</si>
  <si>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</si>
  <si>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</si>
  <si>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</si>
  <si>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</si>
  <si>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</si>
  <si>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</si>
  <si>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</si>
  <si>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</si>
  <si>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</si>
  <si>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</si>
  <si>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</si>
  <si>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</si>
  <si>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</si>
  <si>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</si>
  <si>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</si>
  <si>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</si>
  <si>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</si>
  <si>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</si>
  <si>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</si>
  <si>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</si>
  <si>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</si>
  <si>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</si>
  <si>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</si>
  <si>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</si>
  <si>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</si>
  <si>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</si>
  <si>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</si>
  <si>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</si>
  <si>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</si>
  <si>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</si>
  <si>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</si>
  <si>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</si>
  <si>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</si>
  <si>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</si>
  <si>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</si>
  <si>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</si>
  <si>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</si>
  <si>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</si>
  <si>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</si>
  <si>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</si>
  <si>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</si>
  <si>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</si>
  <si>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</si>
  <si>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</si>
  <si>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</si>
  <si>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</si>
  <si>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</si>
  <si>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</si>
  <si>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</si>
  <si>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</si>
  <si>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</si>
  <si>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</si>
  <si>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</si>
  <si>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</si>
  <si>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</si>
  <si>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</si>
  <si>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</si>
  <si>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</si>
  <si>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</si>
  <si>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</si>
  <si>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</si>
  <si>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</si>
  <si>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</si>
  <si>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</si>
  <si>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</si>
  <si>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</si>
  <si>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</si>
  <si>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</si>
  <si>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</si>
  <si>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</si>
  <si>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</si>
  <si>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</si>
  <si>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</si>
  <si>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</si>
  <si>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</si>
  <si>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</si>
  <si>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</si>
  <si>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</si>
  <si>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</si>
  <si>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</si>
  <si>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</si>
  <si>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</si>
  <si>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</si>
  <si>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</si>
  <si>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</si>
  <si>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</si>
  <si>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</si>
  <si>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</si>
  <si>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</si>
  <si>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</si>
  <si>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</si>
  <si>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</si>
  <si>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</si>
  <si>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</si>
  <si>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</si>
  <si>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</si>
  <si>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</si>
  <si>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</si>
  <si>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</si>
  <si>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</si>
  <si>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</si>
  <si>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</si>
  <si>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</si>
  <si>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</si>
  <si>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</si>
  <si>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</si>
  <si>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</si>
  <si>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</si>
  <si>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</si>
  <si>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</si>
  <si>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</si>
  <si>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</si>
  <si>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</si>
  <si>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</si>
  <si>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</si>
  <si>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</si>
  <si>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</si>
  <si>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</si>
  <si>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</si>
  <si>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</si>
  <si>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</si>
  <si>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</si>
  <si>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</si>
  <si>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</si>
  <si>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</si>
  <si>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</si>
  <si>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</si>
  <si>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</si>
  <si>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</si>
  <si>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</si>
  <si>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</si>
  <si>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</si>
  <si>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</si>
  <si>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</si>
  <si>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</si>
  <si>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</si>
  <si>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</si>
  <si>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</si>
  <si>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</si>
  <si>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</si>
  <si>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</si>
  <si>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</si>
  <si>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</si>
  <si>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</si>
  <si>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</si>
  <si>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</si>
  <si>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</si>
  <si>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</si>
  <si>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</si>
  <si>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</si>
  <si>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</si>
  <si>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</si>
  <si>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</si>
  <si>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</si>
  <si>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</si>
  <si>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</si>
  <si>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</si>
  <si>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</si>
  <si>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</si>
  <si>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</si>
  <si>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</si>
  <si>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</si>
  <si>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</si>
  <si>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</si>
  <si>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</si>
  <si>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</si>
  <si>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</si>
  <si>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</si>
  <si>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</si>
  <si>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</si>
  <si>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</si>
  <si>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</si>
  <si>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</si>
  <si>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</si>
  <si>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</si>
  <si>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</si>
  <si>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</si>
  <si>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</si>
  <si>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</si>
  <si>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</si>
  <si>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</si>
  <si>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</si>
  <si>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</si>
  <si>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</si>
  <si>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</si>
  <si>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</si>
  <si>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</si>
  <si>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</si>
  <si>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</si>
  <si>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</si>
  <si>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</si>
  <si>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</si>
  <si>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</si>
  <si>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</si>
  <si>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</si>
  <si>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</si>
  <si>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</si>
  <si>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</si>
  <si>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</si>
  <si>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</si>
  <si>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</si>
  <si>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</si>
  <si>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</si>
  <si>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</si>
  <si>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</si>
  <si>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</si>
  <si>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</si>
  <si>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</si>
  <si>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</si>
  <si>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</si>
  <si>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</si>
  <si>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</si>
  <si>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</si>
  <si>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</si>
  <si>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</si>
  <si>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</si>
  <si>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</si>
  <si>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</si>
  <si>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</si>
  <si>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</si>
  <si>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</si>
  <si>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</si>
  <si>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</si>
  <si>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</si>
  <si>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</si>
  <si>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</si>
  <si>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</si>
  <si>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</si>
  <si>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</si>
  <si>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</si>
  <si>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</si>
  <si>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</si>
  <si>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</si>
  <si>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</si>
  <si>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</si>
  <si>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</si>
  <si>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</si>
  <si>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</si>
  <si>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</si>
  <si>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</si>
  <si>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</si>
  <si>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</si>
  <si>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</si>
  <si>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</si>
  <si>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</si>
  <si>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</si>
  <si>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</si>
  <si>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</si>
  <si>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</si>
  <si>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</si>
  <si>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</si>
  <si>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</si>
  <si>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</si>
  <si>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</si>
  <si>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</si>
  <si>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</si>
  <si>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</si>
  <si>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</si>
  <si>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</si>
  <si>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</si>
  <si>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</si>
  <si>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</si>
  <si>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</si>
  <si>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</si>
  <si>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</si>
  <si>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</si>
  <si>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</si>
  <si>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</si>
  <si>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</si>
  <si>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</si>
  <si>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</si>
  <si>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</si>
  <si>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</si>
  <si>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</si>
  <si>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</si>
  <si>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</si>
  <si>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</si>
  <si>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</si>
  <si>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</si>
  <si>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</si>
  <si>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</si>
  <si>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</si>
  <si>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</si>
  <si>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</si>
  <si>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</si>
  <si>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</si>
  <si>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</si>
  <si>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</si>
  <si>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</si>
  <si>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</si>
  <si>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</si>
  <si>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</si>
  <si>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</si>
  <si>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</si>
  <si>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</si>
  <si>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</si>
  <si>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</si>
  <si>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</si>
  <si>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</si>
  <si>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</si>
  <si>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</si>
  <si>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</si>
  <si>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</si>
  <si>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</si>
  <si>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</si>
  <si>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</si>
  <si>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</si>
  <si>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</si>
  <si>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</si>
  <si>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</si>
  <si>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</si>
  <si>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</si>
  <si>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</si>
  <si>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</si>
  <si>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</si>
  <si>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</si>
  <si>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</si>
  <si>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</si>
  <si>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</si>
  <si>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</si>
  <si>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</si>
  <si>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</si>
  <si>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</si>
  <si>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</si>
  <si>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</si>
  <si>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</si>
  <si>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</si>
  <si>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</si>
  <si>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</si>
  <si>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</si>
  <si>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</si>
  <si>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</si>
  <si>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</si>
  <si>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</si>
  <si>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</si>
  <si>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</si>
  <si>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</si>
  <si>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</si>
  <si>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</si>
  <si>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</si>
  <si>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</si>
  <si>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</si>
  <si>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</si>
  <si>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</si>
  <si>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</si>
  <si>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</si>
  <si>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</si>
  <si>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</si>
  <si>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</si>
  <si>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</si>
  <si>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</si>
  <si>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</si>
  <si>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</si>
  <si>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</si>
  <si>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</si>
  <si>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</si>
  <si>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</si>
  <si>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</si>
  <si>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</si>
  <si>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</si>
  <si>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</si>
  <si>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</si>
  <si>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</si>
  <si>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</si>
  <si>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</si>
  <si>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</si>
  <si>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</si>
  <si>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</si>
  <si>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</si>
  <si>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</si>
  <si>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</si>
  <si>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</si>
  <si>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</si>
  <si>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</si>
  <si>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</si>
  <si>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</si>
  <si>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</si>
  <si>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</si>
  <si>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</si>
  <si>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</si>
  <si>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</si>
  <si>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</si>
  <si>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</si>
  <si>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</si>
  <si>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</si>
  <si>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</si>
  <si>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</si>
  <si>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</si>
  <si>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</si>
  <si>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</si>
  <si>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</si>
  <si>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</si>
  <si>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</si>
  <si>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</si>
  <si>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</si>
  <si>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</si>
  <si>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</si>
  <si>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</si>
  <si>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</si>
  <si>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</si>
  <si>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</si>
  <si>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</si>
  <si>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</si>
  <si>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</si>
  <si>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</si>
  <si>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</si>
  <si>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</si>
  <si>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</si>
  <si>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</si>
  <si>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</si>
  <si>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</si>
  <si>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</si>
  <si>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</si>
  <si>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</si>
  <si>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</si>
  <si>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</si>
  <si>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</si>
  <si>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</si>
  <si>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</si>
  <si>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</si>
  <si>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</si>
  <si>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</si>
  <si>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</si>
  <si>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</si>
  <si>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</si>
  <si>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</si>
  <si>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</si>
  <si>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</si>
  <si>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</si>
  <si>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</si>
  <si>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</si>
  <si>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</si>
  <si>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</si>
  <si>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</si>
  <si>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</si>
  <si>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</si>
  <si>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</si>
  <si>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</si>
  <si>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</si>
  <si>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</si>
  <si>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</si>
  <si>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</si>
  <si>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</si>
  <si>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</si>
  <si>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</si>
  <si>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</si>
  <si>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</si>
  <si>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</si>
  <si>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</si>
  <si>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</si>
  <si>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</si>
  <si>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</si>
  <si>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</si>
  <si>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</si>
  <si>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</si>
  <si>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</si>
  <si>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</si>
  <si>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</si>
  <si>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</si>
  <si>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</si>
  <si>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</si>
  <si>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</si>
  <si>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</si>
  <si>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</si>
  <si>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</si>
  <si>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</si>
  <si>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</si>
  <si>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</si>
  <si>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</si>
  <si>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</si>
  <si>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</si>
  <si>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</si>
  <si>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</si>
  <si>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</si>
  <si>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</si>
  <si>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</si>
  <si>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</si>
  <si>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</si>
  <si>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</si>
  <si>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</si>
  <si>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</si>
  <si>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</si>
  <si>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</si>
  <si>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</si>
  <si>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</si>
  <si>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</si>
  <si>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</si>
  <si>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</si>
  <si>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</si>
  <si>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</si>
  <si>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</si>
  <si>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</si>
  <si>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</si>
  <si>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</si>
  <si>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</si>
  <si>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</si>
  <si>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</si>
  <si>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</si>
  <si>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</si>
  <si>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</si>
  <si>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</si>
  <si>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</si>
  <si>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</si>
  <si>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</si>
  <si>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</si>
  <si>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</si>
  <si>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</si>
  <si>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</si>
  <si>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</si>
  <si>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</si>
  <si>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</si>
  <si>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</si>
  <si>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</si>
  <si>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</si>
  <si>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</si>
  <si>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</si>
  <si>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</si>
  <si>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</si>
  <si>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</si>
  <si>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</si>
  <si>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</si>
  <si>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</si>
  <si>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</si>
  <si>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</si>
  <si>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</si>
  <si>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</si>
  <si>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</si>
  <si>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</si>
  <si>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</si>
  <si>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</si>
  <si>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</si>
  <si>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</si>
  <si>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</si>
  <si>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</si>
  <si>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</si>
  <si>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</si>
  <si>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</si>
  <si>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</si>
  <si>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</si>
  <si>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</si>
  <si>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</si>
  <si>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</si>
  <si>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</si>
  <si>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</si>
  <si>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</si>
  <si>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</si>
  <si>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</si>
  <si>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</si>
  <si>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</si>
  <si>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</si>
  <si>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</si>
  <si>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</si>
  <si>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</si>
  <si>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</si>
  <si>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</si>
  <si>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</si>
  <si>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</si>
  <si>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</si>
  <si>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</si>
  <si>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</si>
  <si>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</si>
  <si>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</si>
  <si>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</si>
  <si>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</si>
  <si>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</si>
  <si>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</si>
  <si>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</si>
  <si>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</si>
  <si>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</si>
  <si>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</si>
  <si>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</si>
  <si>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</si>
  <si>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</si>
  <si>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</si>
  <si>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</si>
  <si>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</si>
  <si>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</si>
  <si>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</si>
  <si>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</si>
  <si>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</si>
  <si>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</si>
  <si>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</si>
  <si>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</si>
  <si>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</si>
  <si>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</si>
  <si>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</si>
  <si>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</si>
  <si>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</si>
  <si>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</si>
  <si>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</si>
  <si>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</si>
  <si>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</si>
  <si>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</si>
  <si>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</si>
  <si>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</si>
  <si>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</si>
  <si>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</si>
  <si>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</si>
  <si>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</si>
  <si>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</si>
  <si>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</si>
  <si>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</si>
  <si>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</si>
  <si>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</si>
  <si>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</si>
  <si>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</si>
  <si>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</si>
  <si>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</si>
  <si>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</si>
  <si>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</si>
  <si>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</si>
  <si>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</si>
  <si>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</si>
  <si>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</si>
  <si>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</si>
  <si>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</si>
  <si>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</si>
  <si>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</si>
  <si>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</si>
  <si>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</si>
  <si>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</si>
  <si>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</si>
  <si>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</si>
  <si>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</si>
  <si>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</si>
  <si>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</si>
  <si>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</si>
  <si>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</si>
  <si>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</si>
  <si>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</si>
  <si>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</si>
  <si>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</si>
  <si>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</si>
  <si>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</si>
  <si>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</si>
  <si>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</si>
  <si>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</si>
  <si>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</si>
  <si>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</si>
  <si>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</si>
  <si>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</si>
  <si>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</si>
  <si>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</si>
  <si>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</si>
  <si>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</si>
  <si>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</si>
  <si>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</si>
  <si>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</si>
  <si>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</si>
  <si>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</si>
  <si>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</si>
  <si>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</si>
  <si>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</si>
  <si>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</si>
  <si>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</si>
  <si>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</si>
  <si>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</si>
  <si>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</si>
  <si>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</si>
  <si>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</si>
  <si>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</si>
  <si>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</si>
  <si>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</si>
  <si>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</si>
  <si>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</si>
  <si>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</si>
  <si>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</si>
  <si>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</si>
  <si>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</si>
  <si>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</si>
  <si>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</si>
  <si>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</si>
  <si>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</si>
  <si>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</si>
  <si>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</si>
  <si>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</si>
  <si>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</si>
  <si>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</si>
  <si>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</si>
  <si>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</si>
  <si>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</si>
  <si>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</si>
  <si>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</si>
  <si>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</si>
  <si>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</si>
  <si>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</si>
  <si>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</si>
  <si>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</si>
  <si>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</si>
  <si>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</si>
  <si>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</si>
  <si>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</si>
  <si>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</si>
  <si>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</si>
  <si>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</si>
  <si>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</si>
  <si>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</si>
  <si>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</si>
  <si>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</si>
  <si>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</si>
  <si>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</si>
  <si>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</si>
  <si>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</si>
  <si>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</si>
  <si>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</si>
  <si>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</si>
  <si>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</si>
  <si>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</si>
  <si>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</si>
  <si>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</si>
  <si>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</si>
  <si>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</si>
  <si>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</si>
  <si>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</si>
  <si>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</si>
  <si>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</si>
  <si>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</si>
  <si>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</si>
  <si>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</si>
  <si>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</si>
  <si>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</si>
  <si>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</si>
  <si>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</si>
  <si>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</si>
  <si>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</si>
  <si>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</si>
  <si>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</si>
  <si>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</si>
  <si>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</si>
  <si>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</si>
  <si>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</si>
  <si>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</si>
  <si>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</si>
  <si>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</si>
  <si>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</si>
  <si>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</si>
  <si>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</si>
  <si>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</si>
  <si>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</si>
  <si>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</si>
  <si>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</si>
  <si>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</si>
  <si>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</si>
  <si>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</si>
  <si>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</si>
  <si>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</si>
  <si>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</si>
  <si>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</si>
  <si>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</si>
  <si>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</si>
  <si>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</si>
  <si>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</si>
  <si>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</si>
  <si>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</si>
  <si>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</si>
  <si>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</si>
  <si>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</si>
  <si>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</si>
  <si>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</si>
  <si>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</si>
  <si>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</si>
  <si>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</si>
  <si>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</si>
  <si>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</si>
  <si>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</si>
  <si>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</si>
  <si>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</si>
  <si>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</si>
  <si>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</si>
  <si>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</si>
  <si>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</si>
  <si>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</si>
  <si>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</si>
  <si>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</si>
  <si>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</si>
  <si>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</si>
  <si>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</si>
  <si>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</si>
  <si>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</si>
  <si>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</si>
  <si>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</si>
  <si>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</si>
  <si>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</si>
  <si>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</si>
  <si>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</si>
  <si>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</si>
  <si>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</si>
  <si>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</si>
  <si>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</si>
  <si>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</si>
  <si>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</si>
  <si>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</si>
  <si>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</si>
  <si>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</si>
  <si>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</si>
  <si>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</si>
  <si>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</si>
  <si>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</si>
  <si>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</si>
  <si>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</si>
  <si>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</si>
  <si>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</si>
  <si>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</si>
  <si>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</si>
  <si>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</si>
  <si>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</si>
  <si>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</si>
  <si>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</si>
  <si>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</si>
  <si>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</si>
  <si>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</si>
  <si>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</si>
  <si>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</si>
  <si>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</si>
  <si>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</si>
  <si>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</si>
  <si>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</si>
  <si>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</si>
  <si>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</si>
  <si>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</si>
  <si>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</si>
  <si>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</si>
  <si>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</si>
  <si>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</si>
  <si>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</si>
  <si>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</si>
  <si>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</si>
  <si>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</si>
  <si>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</si>
  <si>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</si>
  <si>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</si>
  <si>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</si>
  <si>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</si>
  <si>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</si>
  <si>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</si>
  <si>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</si>
  <si>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</si>
  <si>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</si>
  <si>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</si>
  <si>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</si>
  <si>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</si>
  <si>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</si>
  <si>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</si>
  <si>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</si>
  <si>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</si>
  <si>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</si>
  <si>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</si>
  <si>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</si>
  <si>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</si>
  <si>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</si>
  <si>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</si>
  <si>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</si>
  <si>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</si>
  <si>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</si>
  <si>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</si>
  <si>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</si>
  <si>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</si>
  <si>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</si>
  <si>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</si>
  <si>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</si>
  <si>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</si>
  <si>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</si>
  <si>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</si>
  <si>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</si>
  <si>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</si>
  <si>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</si>
  <si>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</si>
  <si>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</si>
  <si>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</si>
  <si>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</si>
  <si>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</si>
  <si>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</si>
  <si>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</si>
  <si>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</si>
  <si>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</si>
  <si>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</si>
  <si>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</si>
  <si>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</si>
  <si>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</si>
  <si>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</si>
  <si>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</si>
  <si>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</si>
  <si>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</si>
  <si>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</si>
  <si>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</si>
  <si>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</si>
  <si>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</si>
  <si>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</si>
  <si>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</si>
  <si>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</si>
  <si>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</si>
  <si>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</si>
  <si>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</si>
  <si>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</si>
  <si>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</si>
  <si>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</si>
  <si>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</si>
  <si>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</si>
  <si>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</si>
  <si>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</si>
  <si>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</si>
  <si>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</si>
  <si>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</si>
  <si>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</si>
  <si>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</si>
  <si>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</si>
  <si>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</si>
  <si>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</si>
  <si>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</si>
  <si>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</si>
  <si>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</si>
  <si>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</si>
  <si>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</si>
  <si>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</si>
  <si>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</si>
  <si>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</si>
  <si>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</si>
  <si>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</si>
  <si>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</si>
  <si>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</si>
  <si>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</si>
  <si>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</si>
  <si>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</si>
  <si>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</si>
  <si>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</si>
  <si>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</si>
  <si>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</si>
  <si>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</si>
  <si>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</si>
  <si>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</si>
  <si>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</si>
  <si>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</si>
  <si>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</si>
  <si>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</si>
  <si>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</si>
  <si>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</si>
  <si>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</si>
  <si>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</si>
  <si>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</si>
  <si>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</si>
  <si>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</si>
  <si>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</si>
  <si>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</si>
  <si>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</si>
  <si>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</si>
  <si>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</si>
  <si>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</si>
  <si>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</si>
  <si>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</si>
  <si>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</si>
  <si>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</si>
  <si>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</si>
  <si>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</si>
  <si>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</si>
  <si>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</si>
  <si>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</si>
  <si>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</si>
  <si>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</si>
  <si>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</si>
  <si>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</si>
  <si>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</si>
  <si>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</si>
  <si>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</si>
  <si>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</si>
  <si>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</si>
  <si>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</si>
  <si>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</si>
  <si>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</si>
  <si>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</si>
  <si>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</si>
  <si>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</si>
  <si>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</si>
  <si>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</si>
  <si>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</si>
  <si>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</si>
  <si>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</si>
  <si>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</si>
  <si>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</si>
  <si>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</si>
  <si>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</si>
  <si>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</si>
  <si>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</si>
  <si>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</si>
  <si>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</si>
  <si>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</si>
  <si>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</si>
  <si>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</si>
  <si>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</si>
  <si>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</si>
  <si>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</si>
  <si>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</si>
  <si>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</si>
  <si>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</si>
  <si>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</si>
  <si>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</si>
  <si>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</si>
  <si>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</si>
  <si>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</si>
  <si>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</si>
  <si>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</si>
  <si>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</si>
  <si>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</si>
  <si>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</si>
  <si>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</si>
  <si>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</si>
  <si>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</si>
  <si>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</si>
  <si>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</si>
  <si>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</si>
  <si>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</si>
  <si>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</si>
  <si>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</si>
  <si>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</si>
  <si>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</si>
  <si>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</si>
  <si>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</si>
  <si>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</si>
  <si>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</si>
  <si>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</si>
  <si>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</si>
  <si>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</si>
  <si>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</si>
  <si>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</si>
  <si>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</si>
  <si>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</si>
  <si>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</si>
  <si>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</si>
  <si>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</si>
  <si>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</si>
  <si>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</si>
  <si>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</si>
  <si>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</si>
  <si>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</si>
  <si>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</si>
  <si>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</si>
  <si>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</si>
  <si>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</si>
  <si>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</si>
  <si>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</si>
  <si>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</si>
  <si>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</si>
  <si>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</si>
  <si>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</si>
  <si>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</si>
  <si>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</si>
  <si>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</si>
  <si>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</si>
  <si>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</si>
  <si>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</si>
  <si>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</si>
  <si>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</si>
  <si>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</si>
  <si>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</si>
  <si>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</si>
  <si>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</si>
  <si>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</si>
  <si>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</si>
  <si>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</si>
  <si>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</si>
  <si>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</si>
  <si>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</si>
  <si>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</si>
  <si>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</si>
  <si>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</si>
  <si>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</si>
  <si>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</si>
  <si>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</si>
  <si>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</si>
  <si>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</si>
  <si>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</si>
  <si>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</si>
  <si>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</si>
  <si>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</si>
  <si>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</si>
  <si>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</si>
  <si>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</si>
  <si>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</si>
  <si>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</si>
  <si>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</si>
  <si>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</si>
  <si>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</si>
  <si>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</si>
  <si>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</si>
  <si>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</si>
  <si>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</si>
  <si>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</si>
  <si>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</si>
  <si>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</si>
  <si>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</si>
  <si>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</si>
  <si>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</si>
  <si>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</si>
  <si>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</si>
  <si>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</si>
  <si>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</si>
  <si>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</si>
  <si>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</si>
  <si>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</si>
  <si>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</si>
  <si>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</si>
  <si>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</si>
  <si>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</si>
  <si>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</si>
  <si>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</si>
  <si>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</si>
  <si>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</si>
  <si>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</si>
  <si>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</si>
  <si>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</si>
  <si>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</si>
  <si>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</si>
  <si>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</si>
  <si>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</si>
  <si>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</si>
  <si>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</si>
  <si>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</si>
  <si>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</si>
  <si>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</si>
  <si>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</si>
  <si>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</si>
  <si>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</si>
  <si>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</si>
  <si>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</si>
  <si>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</si>
  <si>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</si>
  <si>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</si>
  <si>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</si>
  <si>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</si>
  <si>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</si>
  <si>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</si>
  <si>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</si>
  <si>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</si>
  <si>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</si>
  <si>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</si>
  <si>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</si>
  <si>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</si>
  <si>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</si>
  <si>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</si>
  <si>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</si>
  <si>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</si>
  <si>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</si>
  <si>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</si>
  <si>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</si>
  <si>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</si>
  <si>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</si>
  <si>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</si>
  <si>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</si>
  <si>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</si>
  <si>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</si>
  <si>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</si>
  <si>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</si>
  <si>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</si>
  <si>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</si>
  <si>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</si>
  <si>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</si>
  <si>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</si>
  <si>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</si>
  <si>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</si>
  <si>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</si>
  <si>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</si>
  <si>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</si>
  <si>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</si>
  <si>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</si>
  <si>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</si>
  <si>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</si>
  <si>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</si>
  <si>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</si>
  <si>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</si>
  <si>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</si>
  <si>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</si>
  <si>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</si>
  <si>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</si>
  <si>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</si>
  <si>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</si>
  <si>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</si>
  <si>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</si>
  <si>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</si>
  <si>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</si>
  <si>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</si>
  <si>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</si>
  <si>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</si>
  <si>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</si>
  <si>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</si>
  <si>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</si>
  <si>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</si>
  <si>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</si>
  <si>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</si>
  <si>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</si>
  <si>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</si>
  <si>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</si>
  <si>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</si>
  <si>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</si>
  <si>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</si>
  <si>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</si>
  <si>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</si>
  <si>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</si>
  <si>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</si>
  <si>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</si>
  <si>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</si>
  <si>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</si>
  <si>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</si>
  <si>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</si>
  <si>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</si>
  <si>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</si>
  <si>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</si>
  <si>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</si>
  <si>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</si>
  <si>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</si>
  <si>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</si>
  <si>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</si>
  <si>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</si>
  <si>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</si>
  <si>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</si>
  <si>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</si>
  <si>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</si>
  <si>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</si>
  <si>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</si>
  <si>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</si>
  <si>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</si>
  <si>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</si>
  <si>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</si>
  <si>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</si>
  <si>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</si>
  <si>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</si>
  <si>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</si>
  <si>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</si>
  <si>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</si>
  <si>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</si>
  <si>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</si>
  <si>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</si>
  <si>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</si>
  <si>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</si>
  <si>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</si>
  <si>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</si>
  <si>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</si>
  <si>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</si>
  <si>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</si>
  <si>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</si>
  <si>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</si>
  <si>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</si>
  <si>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</si>
  <si>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</si>
  <si>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</si>
  <si>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</si>
  <si>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</si>
  <si>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</si>
  <si>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</si>
  <si>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</si>
  <si>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</si>
  <si>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</si>
  <si>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</si>
  <si>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</si>
  <si>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</si>
  <si>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</si>
  <si>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</si>
  <si>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</si>
  <si>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</si>
  <si>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</si>
  <si>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</si>
  <si>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</si>
  <si>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</si>
  <si>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</si>
  <si>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</si>
  <si>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</si>
  <si>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</si>
  <si>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</si>
  <si>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</si>
  <si>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</si>
  <si>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</si>
  <si>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</si>
  <si>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</si>
  <si>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</si>
  <si>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</si>
  <si>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</si>
  <si>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</si>
  <si>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</si>
  <si>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</si>
  <si>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</si>
  <si>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</si>
  <si>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</si>
  <si>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</si>
  <si>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</si>
  <si>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</si>
  <si>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</si>
  <si>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</si>
  <si>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</si>
  <si>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</si>
  <si>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</si>
  <si>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</si>
  <si>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</si>
  <si>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</si>
  <si>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</si>
  <si>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</si>
  <si>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</si>
  <si>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</si>
  <si>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</si>
  <si>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</si>
  <si>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</si>
  <si>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</si>
  <si>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</si>
  <si>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</si>
  <si>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</si>
  <si>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</si>
  <si>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</si>
  <si>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</si>
  <si>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</si>
  <si>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</si>
  <si>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</si>
  <si>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</si>
  <si>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</si>
  <si>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</si>
  <si>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</si>
  <si>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</si>
  <si>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</si>
  <si>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</si>
  <si>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</si>
  <si>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</si>
  <si>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</si>
  <si>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</si>
  <si>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</si>
  <si>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</si>
  <si>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</si>
  <si>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</si>
  <si>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</si>
  <si>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</si>
  <si>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</si>
  <si>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</si>
  <si>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</si>
  <si>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</si>
  <si>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</si>
  <si>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</si>
  <si>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</si>
  <si>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</si>
  <si>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</si>
  <si>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</si>
  <si>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</si>
  <si>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</si>
  <si>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</si>
  <si>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</si>
  <si>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</si>
  <si>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</si>
  <si>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</si>
  <si>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</si>
  <si>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</si>
  <si>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</si>
  <si>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</si>
  <si>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</si>
  <si>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</si>
  <si>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</si>
  <si>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</si>
  <si>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</si>
  <si>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</si>
  <si>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</si>
  <si>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</si>
  <si>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</si>
  <si>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</si>
  <si>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</si>
  <si>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</si>
  <si>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</si>
  <si>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</si>
  <si>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</si>
  <si>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</si>
  <si>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</si>
  <si>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</si>
  <si>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</si>
  <si>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</si>
  <si>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</si>
  <si>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</si>
  <si>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</si>
  <si>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</si>
  <si>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</si>
  <si>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</si>
  <si>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</si>
  <si>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</si>
  <si>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</si>
  <si>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</si>
  <si>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</si>
  <si>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</si>
  <si>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</si>
  <si>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</si>
  <si>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</si>
  <si>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</si>
  <si>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</si>
  <si>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</si>
  <si>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</si>
  <si>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</si>
  <si>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</si>
  <si>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</si>
  <si>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</si>
  <si>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</si>
  <si>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</si>
  <si>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</si>
  <si>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</si>
  <si>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</si>
  <si>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</si>
  <si>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</si>
  <si>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</si>
  <si>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</si>
  <si>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</si>
  <si>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</si>
  <si>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</si>
  <si>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</si>
  <si>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</si>
  <si>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</si>
  <si>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</si>
  <si>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</si>
  <si>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</si>
  <si>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</si>
  <si>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</si>
  <si>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</si>
  <si>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</si>
  <si>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</si>
  <si>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</si>
  <si>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</si>
  <si>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</si>
  <si>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</si>
  <si>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</si>
  <si>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</si>
  <si>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</si>
  <si>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</si>
  <si>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</si>
  <si>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</si>
  <si>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</si>
  <si>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</si>
  <si>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</si>
  <si>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</si>
  <si>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</si>
  <si>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</si>
  <si>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</si>
  <si>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</si>
  <si>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</si>
  <si>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</si>
  <si>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</si>
  <si>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</si>
  <si>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</si>
  <si>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</si>
  <si>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</si>
  <si>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</si>
  <si>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</si>
  <si>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</si>
  <si>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</si>
  <si>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</si>
  <si>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</si>
  <si>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</si>
  <si>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</si>
  <si>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</si>
  <si>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</si>
  <si>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</si>
  <si>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</si>
  <si>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</si>
  <si>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</si>
  <si>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</si>
  <si>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</si>
  <si>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</si>
  <si>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</si>
  <si>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</si>
  <si>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</si>
  <si>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</si>
  <si>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</si>
  <si>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</si>
  <si>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</si>
  <si>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</si>
  <si>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</si>
  <si>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</si>
  <si>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</si>
  <si>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</si>
  <si>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</si>
  <si>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</si>
  <si>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</si>
  <si>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</si>
  <si>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</si>
  <si>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</si>
  <si>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</si>
  <si>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</si>
  <si>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</si>
  <si>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</si>
  <si>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</si>
  <si>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</si>
  <si>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</si>
  <si>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</si>
  <si>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</si>
  <si>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</si>
  <si>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</si>
  <si>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</si>
  <si>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</si>
  <si>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</si>
  <si>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</si>
  <si>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</si>
  <si>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</si>
  <si>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</si>
  <si>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</si>
  <si>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</si>
  <si>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</si>
  <si>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</si>
  <si>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</si>
  <si>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</si>
  <si>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</si>
  <si>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</si>
  <si>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</si>
  <si>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</si>
  <si>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</si>
  <si>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</si>
  <si>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</si>
  <si>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</si>
  <si>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</si>
  <si>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</si>
  <si>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</si>
  <si>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</si>
  <si>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</si>
  <si>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</si>
  <si>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</si>
  <si>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</si>
  <si>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</si>
  <si>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</si>
  <si>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</si>
  <si>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</si>
  <si>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</si>
  <si>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</si>
  <si>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</si>
  <si>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</si>
  <si>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</si>
  <si>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</si>
  <si>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</si>
  <si>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</si>
  <si>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</si>
  <si>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</si>
  <si>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</si>
  <si>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</si>
  <si>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</si>
  <si>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</si>
  <si>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</si>
  <si>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</si>
  <si>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</si>
  <si>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</si>
  <si>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</si>
  <si>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</si>
  <si>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</si>
  <si>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</si>
  <si>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</si>
  <si>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</si>
  <si>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</si>
  <si>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</si>
  <si>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</si>
  <si>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</si>
  <si>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</si>
  <si>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</si>
  <si>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</si>
  <si>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</si>
  <si>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</si>
  <si>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</si>
  <si>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</si>
  <si>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</si>
  <si>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</si>
  <si>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</si>
  <si>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</si>
  <si>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</si>
  <si>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</si>
  <si>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</si>
  <si>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</si>
  <si>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</si>
  <si>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</si>
  <si>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</si>
  <si>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</si>
  <si>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</si>
  <si>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</si>
  <si>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</si>
  <si>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</si>
  <si>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</si>
  <si>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</si>
  <si>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</si>
  <si>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</si>
  <si>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</si>
  <si>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</si>
  <si>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</si>
  <si>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</si>
  <si>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</si>
  <si>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</si>
  <si>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</si>
  <si>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</si>
  <si>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</si>
  <si>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</si>
  <si>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</si>
  <si>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</si>
  <si>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</si>
  <si>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</si>
  <si>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</si>
  <si>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</si>
  <si>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</si>
  <si>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</si>
  <si>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</si>
  <si>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</si>
  <si>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</si>
  <si>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</si>
  <si>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</si>
  <si>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</si>
  <si>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</si>
  <si>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</si>
  <si>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</si>
  <si>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</si>
  <si>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</si>
  <si>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</si>
  <si>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</si>
  <si>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</si>
  <si>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</si>
  <si>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</si>
  <si>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</si>
  <si>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</si>
  <si>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</si>
  <si>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</si>
  <si>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</si>
  <si>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</si>
  <si>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</si>
  <si>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</si>
  <si>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</si>
  <si>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</si>
  <si>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</si>
  <si>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</si>
  <si>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</si>
  <si>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</si>
  <si>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</si>
  <si>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</si>
  <si>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</si>
  <si>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</si>
  <si>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</si>
  <si>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</si>
  <si>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</si>
  <si>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</si>
  <si>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</si>
  <si>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</si>
  <si>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</si>
  <si>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</si>
  <si>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</si>
  <si>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</si>
  <si>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</si>
  <si>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</si>
  <si>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</si>
  <si>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</si>
  <si>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</si>
  <si>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</si>
  <si>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</si>
  <si>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</si>
  <si>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</si>
  <si>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</si>
  <si>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</si>
  <si>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</si>
  <si>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</si>
  <si>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</si>
  <si>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</si>
  <si>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</si>
  <si>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</si>
  <si>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</si>
  <si>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</si>
  <si>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</si>
  <si>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</si>
  <si>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</si>
  <si>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</si>
  <si>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</si>
  <si>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</si>
  <si>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</si>
  <si>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</si>
  <si>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</si>
  <si>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</si>
  <si>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</si>
  <si>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</si>
  <si>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</si>
  <si>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</si>
  <si>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</si>
  <si>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</si>
  <si>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</si>
  <si>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</si>
  <si>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</si>
  <si>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</si>
  <si>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</si>
  <si>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</si>
  <si>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</si>
  <si>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</si>
  <si>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</si>
  <si>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</si>
  <si>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</si>
  <si>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</si>
  <si>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</si>
  <si>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</si>
  <si>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</si>
  <si>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</si>
  <si>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</si>
  <si>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</si>
  <si>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</si>
  <si>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</si>
  <si>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</si>
  <si>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</si>
  <si>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</si>
  <si>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</si>
  <si>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</si>
  <si>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</si>
  <si>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</si>
  <si>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</si>
  <si>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</si>
  <si>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</si>
  <si>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</si>
  <si>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</si>
  <si>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</si>
  <si>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</si>
  <si>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</si>
  <si>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</si>
  <si>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</si>
  <si>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</si>
  <si>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</si>
  <si>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</si>
  <si>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</si>
  <si>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</si>
  <si>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</si>
  <si>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</si>
  <si>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</si>
  <si>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</si>
  <si>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</si>
  <si>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</si>
  <si>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</si>
  <si>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</si>
  <si>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</si>
  <si>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</si>
  <si>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</si>
  <si>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</si>
  <si>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</si>
  <si>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</si>
  <si>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</si>
  <si>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</si>
  <si>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</si>
  <si>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</si>
  <si>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</si>
  <si>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</si>
  <si>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</si>
  <si>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</si>
  <si>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</si>
  <si>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</si>
  <si>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</si>
  <si>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</si>
  <si>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</si>
  <si>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</si>
  <si>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</si>
  <si>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</si>
  <si>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</si>
  <si>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</si>
  <si>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</si>
  <si>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</si>
  <si>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</si>
  <si>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</si>
  <si>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</si>
  <si>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</si>
  <si>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</si>
  <si>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</si>
  <si>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</si>
  <si>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</si>
  <si>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</si>
  <si>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</si>
  <si>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</si>
  <si>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</si>
  <si>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</si>
  <si>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</si>
  <si>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</si>
  <si>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</si>
  <si>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</si>
  <si>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</si>
  <si>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</si>
  <si>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</si>
  <si>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</si>
  <si>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</si>
  <si>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</si>
  <si>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</si>
  <si>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</si>
  <si>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</si>
  <si>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</si>
  <si>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</si>
  <si>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</si>
  <si>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</si>
  <si>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</si>
  <si>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</si>
  <si>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</si>
  <si>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</si>
  <si>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</si>
  <si>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</si>
  <si>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</si>
  <si>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</si>
  <si>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</si>
  <si>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</si>
  <si>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</si>
  <si>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</si>
  <si>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</si>
  <si>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</si>
  <si>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</si>
  <si>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</si>
  <si>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</si>
  <si>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</si>
  <si>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</si>
  <si>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</si>
  <si>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</si>
  <si>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</si>
  <si>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</si>
  <si>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</si>
  <si>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</si>
  <si>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</si>
  <si>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</si>
  <si>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</si>
  <si>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</si>
  <si>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</si>
  <si>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</si>
  <si>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</si>
  <si>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</si>
  <si>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</si>
  <si>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</si>
  <si>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</si>
  <si>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</si>
  <si>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</si>
  <si>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</si>
  <si>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</si>
  <si>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</si>
  <si>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</si>
  <si>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</si>
  <si>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</si>
  <si>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</si>
  <si>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</si>
  <si>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</si>
  <si>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</si>
  <si>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</si>
  <si>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</si>
  <si>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</si>
  <si>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</si>
  <si>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</si>
  <si>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</si>
  <si>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</si>
  <si>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</si>
  <si>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</si>
  <si>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</si>
  <si>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</si>
  <si>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</si>
  <si>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</si>
  <si>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</si>
  <si>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</si>
  <si>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</si>
  <si>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</si>
  <si>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</si>
  <si>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</si>
  <si>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</si>
  <si>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</si>
  <si>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</si>
  <si>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</si>
  <si>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</si>
  <si>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</si>
  <si>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</si>
  <si>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</si>
  <si>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</si>
  <si>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</si>
  <si>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</si>
  <si>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</si>
  <si>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</si>
  <si>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</si>
  <si>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</si>
  <si>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</si>
  <si>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</si>
  <si>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</si>
  <si>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</si>
  <si>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</si>
  <si>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</si>
  <si>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</si>
  <si>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</si>
  <si>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</si>
  <si>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</si>
  <si>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</si>
  <si>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</si>
  <si>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</si>
  <si>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</si>
  <si>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</si>
  <si>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</si>
  <si>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</si>
  <si>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</si>
  <si>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</si>
  <si>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</si>
  <si>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</si>
  <si>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</si>
  <si>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</si>
  <si>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</si>
  <si>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</si>
  <si>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</si>
  <si>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</si>
  <si>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</si>
  <si>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</si>
  <si>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</si>
  <si>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</si>
  <si>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</si>
  <si>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</si>
  <si>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</si>
  <si>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</si>
  <si>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</si>
  <si>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</si>
  <si>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</si>
  <si>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</si>
  <si>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</si>
  <si>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</si>
  <si>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</si>
  <si>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</si>
  <si>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</si>
  <si>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</si>
  <si>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</si>
  <si>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</si>
  <si>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</si>
  <si>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</si>
  <si>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</si>
  <si>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</si>
  <si>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</si>
  <si>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</si>
  <si>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</si>
  <si>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</si>
  <si>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</si>
  <si>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</si>
  <si>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</si>
  <si>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</si>
  <si>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</si>
  <si>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</si>
  <si>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</si>
  <si>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</si>
  <si>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</si>
  <si>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</si>
  <si>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</si>
  <si>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</si>
  <si>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</si>
  <si>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</si>
  <si>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</si>
  <si>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</si>
  <si>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</si>
  <si>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</si>
  <si>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</si>
  <si>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</si>
  <si>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</si>
  <si>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</si>
  <si>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</si>
  <si>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</si>
  <si>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</si>
  <si>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</si>
  <si>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</si>
  <si>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</si>
  <si>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</si>
  <si>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</si>
  <si>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</si>
  <si>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</si>
  <si>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</si>
  <si>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</si>
  <si>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</si>
  <si>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</si>
  <si>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</si>
  <si>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</si>
  <si>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</si>
  <si>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</si>
  <si>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</si>
  <si>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</si>
  <si>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</si>
  <si>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</si>
  <si>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</si>
  <si>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</si>
  <si>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</si>
  <si>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</si>
  <si>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</si>
  <si>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</si>
  <si>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</si>
  <si>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</si>
  <si>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</si>
  <si>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</si>
  <si>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</si>
  <si>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</si>
  <si>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</si>
  <si>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</si>
  <si>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</si>
  <si>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</si>
  <si>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</si>
  <si>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</si>
  <si>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</si>
  <si>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</si>
  <si>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</si>
  <si>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</si>
  <si>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</si>
  <si>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</si>
  <si>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</si>
  <si>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</si>
  <si>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</si>
  <si>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</si>
  <si>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</si>
  <si>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</si>
  <si>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</si>
  <si>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</si>
  <si>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</si>
  <si>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</si>
  <si>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</si>
  <si>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</si>
  <si>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</si>
  <si>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</si>
  <si>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</si>
  <si>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</si>
  <si>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</si>
  <si>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</si>
  <si>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</si>
  <si>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</si>
  <si>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</si>
  <si>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</si>
  <si>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</si>
  <si>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</si>
  <si>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</si>
  <si>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</si>
  <si>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</si>
  <si>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</si>
  <si>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</si>
  <si>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</si>
  <si>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</si>
  <si>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</si>
  <si>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</si>
  <si>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</si>
  <si>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</si>
  <si>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</si>
  <si>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</si>
  <si>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</si>
  <si>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</si>
  <si>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</si>
  <si>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</si>
  <si>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</si>
  <si>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</si>
  <si>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</si>
  <si>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</si>
  <si>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</si>
  <si>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</si>
  <si>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</si>
  <si>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</si>
  <si>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</si>
  <si>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</si>
  <si>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</si>
  <si>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</si>
  <si>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</si>
  <si>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</si>
  <si>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</si>
  <si>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</si>
  <si>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</si>
  <si>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</si>
  <si>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</si>
  <si>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</si>
  <si>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</si>
  <si>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</si>
  <si>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</si>
  <si>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</si>
  <si>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</si>
  <si>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</si>
  <si>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</si>
  <si>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</si>
  <si>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</si>
  <si>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</si>
  <si>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</si>
  <si>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</si>
  <si>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</si>
  <si>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</si>
  <si>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</si>
  <si>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</si>
  <si>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</si>
  <si>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</si>
  <si>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</si>
  <si>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</si>
  <si>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</si>
  <si>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</si>
  <si>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</si>
  <si>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</si>
  <si>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</si>
  <si>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</si>
  <si>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</si>
  <si>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</si>
  <si>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</si>
  <si>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</si>
  <si>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</si>
  <si>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</si>
  <si>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</si>
  <si>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</si>
  <si>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</si>
  <si>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</si>
  <si>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</si>
  <si>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</si>
  <si>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</si>
  <si>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</si>
  <si>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</si>
  <si>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</si>
  <si>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</si>
  <si>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</si>
  <si>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</si>
  <si>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</si>
  <si>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</si>
  <si>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</si>
  <si>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</si>
  <si>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</si>
  <si>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</si>
  <si>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</si>
  <si>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</si>
  <si>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</si>
  <si>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</si>
  <si>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</si>
  <si>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</si>
  <si>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</si>
  <si>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</si>
  <si>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</si>
  <si>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</si>
  <si>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</si>
  <si>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</si>
  <si>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</si>
  <si>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</si>
  <si>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</si>
  <si>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</si>
  <si>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</si>
  <si>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</si>
  <si>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</si>
  <si>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</si>
  <si>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</si>
  <si>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</si>
  <si>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</si>
  <si>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</si>
  <si>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</si>
  <si>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</si>
  <si>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</si>
  <si>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</si>
  <si>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</si>
  <si>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</si>
  <si>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</si>
  <si>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</si>
  <si>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</si>
  <si>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</si>
  <si>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</si>
  <si>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</si>
  <si>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</si>
  <si>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</si>
  <si>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</si>
  <si>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</si>
  <si>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</si>
  <si>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</si>
  <si>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</si>
  <si>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</si>
  <si>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</si>
  <si>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</si>
  <si>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</si>
  <si>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</si>
  <si>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</si>
  <si>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</si>
  <si>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</si>
  <si>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</si>
  <si>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</si>
  <si>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</si>
  <si>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</si>
  <si>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</si>
  <si>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</si>
  <si>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</si>
  <si>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</si>
  <si>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</si>
  <si>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</si>
  <si>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</si>
  <si>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</si>
  <si>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</si>
  <si>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</si>
  <si>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</si>
  <si>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</si>
  <si>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</si>
  <si>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</si>
  <si>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</si>
  <si>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</si>
  <si>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</si>
  <si>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</si>
  <si>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</si>
  <si>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</si>
  <si>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</si>
  <si>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</si>
  <si>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</si>
  <si>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</si>
  <si>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</si>
  <si>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</si>
  <si>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</si>
  <si>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</si>
  <si>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</si>
  <si>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</si>
  <si>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</si>
  <si>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</si>
  <si>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</si>
  <si>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</si>
  <si>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</si>
  <si>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</si>
  <si>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</si>
  <si>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</si>
  <si>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</si>
  <si>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</si>
  <si>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</si>
  <si>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</si>
  <si>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</si>
  <si>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</si>
  <si>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</si>
  <si>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</si>
  <si>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</si>
  <si>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</si>
  <si>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</si>
  <si>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</si>
  <si>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</si>
  <si>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</si>
  <si>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</si>
  <si>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</si>
  <si>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</si>
  <si>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</si>
  <si>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</si>
  <si>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</si>
  <si>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</si>
  <si>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</si>
  <si>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</si>
  <si>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</si>
  <si>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</si>
  <si>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</si>
  <si>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</si>
  <si>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</si>
  <si>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</si>
  <si>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</si>
  <si>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</si>
  <si>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</si>
  <si>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</si>
  <si>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</si>
  <si>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</si>
  <si>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</si>
  <si>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</si>
  <si>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</si>
  <si>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</si>
  <si>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</si>
  <si>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</si>
  <si>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</si>
  <si>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</si>
  <si>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</si>
  <si>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</si>
  <si>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</si>
  <si>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</si>
  <si>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</si>
  <si>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</si>
  <si>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</si>
  <si>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</si>
  <si>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</si>
  <si>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</si>
  <si>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</si>
  <si>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</si>
  <si>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</si>
  <si>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</si>
  <si>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</si>
  <si>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</si>
  <si>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</si>
  <si>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</si>
  <si>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</si>
  <si>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</si>
  <si>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</si>
  <si>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</si>
  <si>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</si>
  <si>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</si>
  <si>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</si>
  <si>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</si>
  <si>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</si>
  <si>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</si>
  <si>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</si>
  <si>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</si>
  <si>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</si>
  <si>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</si>
  <si>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</si>
  <si>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</si>
  <si>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</si>
  <si>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</si>
  <si>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</si>
  <si>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</si>
  <si>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</si>
  <si>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</si>
  <si>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</si>
  <si>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</si>
  <si>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</si>
  <si>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</si>
  <si>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</si>
  <si>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</si>
  <si>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</si>
  <si>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</si>
  <si>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</si>
  <si>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</si>
  <si>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</si>
  <si>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</si>
  <si>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</si>
  <si>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</si>
  <si>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</si>
  <si>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</si>
  <si>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</si>
  <si>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</si>
  <si>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</si>
  <si>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</si>
  <si>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</si>
  <si>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</si>
  <si>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</si>
  <si>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</si>
  <si>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</si>
  <si>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</si>
  <si>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</si>
  <si>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</si>
  <si>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</si>
  <si>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</si>
  <si>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</si>
  <si>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</si>
  <si>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</si>
  <si>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</si>
  <si>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</si>
  <si>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</si>
  <si>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</si>
  <si>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</si>
  <si>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</si>
  <si>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</si>
  <si>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</si>
  <si>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</si>
  <si>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</si>
  <si>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</si>
  <si>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</si>
  <si>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</si>
  <si>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</si>
  <si>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</si>
  <si>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</si>
  <si>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</si>
  <si>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</si>
  <si>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</si>
  <si>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</si>
  <si>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</si>
  <si>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</si>
  <si>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</si>
  <si>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</si>
  <si>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</si>
  <si>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</si>
  <si>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</si>
  <si>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</si>
  <si>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</si>
  <si>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</si>
  <si>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</si>
  <si>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</si>
  <si>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</si>
  <si>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</si>
  <si>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</si>
  <si>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</si>
  <si>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</si>
  <si>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</si>
  <si>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</si>
  <si>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</si>
  <si>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</si>
  <si>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</si>
  <si>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</si>
  <si>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</si>
  <si>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</si>
  <si>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</si>
  <si>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</si>
  <si>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</si>
  <si>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</si>
  <si>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</si>
  <si>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</si>
  <si>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</si>
  <si>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</si>
  <si>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</si>
  <si>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</si>
  <si>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</si>
  <si>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</si>
  <si>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</si>
  <si>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</si>
  <si>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</si>
  <si>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</si>
  <si>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</si>
  <si>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</si>
  <si>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</si>
  <si>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</si>
  <si>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</si>
  <si>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</si>
  <si>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</si>
  <si>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</si>
  <si>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</si>
  <si>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</si>
  <si>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</si>
  <si>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</si>
  <si>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</si>
  <si>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</si>
  <si>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</si>
  <si>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</si>
  <si>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</si>
  <si>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</si>
  <si>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</si>
  <si>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</si>
  <si>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</si>
  <si>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</si>
  <si>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</si>
  <si>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</si>
  <si>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</si>
  <si>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</si>
  <si>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</si>
  <si>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</si>
  <si>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</si>
  <si>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</si>
  <si>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</si>
  <si>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</si>
  <si>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</si>
  <si>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</si>
  <si>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</si>
  <si>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</si>
  <si>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</si>
  <si>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</si>
  <si>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</si>
  <si>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</si>
  <si>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</si>
  <si>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</si>
  <si>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</si>
  <si>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</si>
  <si>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</si>
  <si>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</si>
  <si>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</si>
  <si>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</si>
  <si>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</si>
  <si>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</si>
  <si>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</si>
  <si>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</si>
  <si>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</si>
  <si>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</si>
  <si>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</si>
  <si>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</si>
  <si>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</si>
  <si>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</si>
  <si>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</si>
  <si>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</si>
  <si>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</si>
  <si>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</si>
  <si>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</si>
  <si>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</si>
  <si>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</si>
  <si>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</si>
  <si>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</si>
  <si>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</si>
  <si>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</si>
  <si>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</si>
  <si>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</si>
  <si>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</si>
  <si>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</si>
  <si>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</si>
  <si>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</si>
  <si>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</si>
  <si>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</si>
  <si>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</si>
  <si>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</si>
  <si>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</si>
  <si>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</si>
  <si>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</si>
  <si>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</si>
  <si>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</si>
  <si>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</si>
  <si>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</si>
  <si>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</si>
  <si>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</si>
  <si>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</si>
  <si>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</si>
  <si>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</si>
  <si>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</si>
  <si>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</si>
  <si>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</si>
  <si>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</si>
  <si>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</si>
  <si>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</si>
  <si>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</si>
  <si>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</si>
  <si>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</si>
  <si>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</si>
  <si>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</si>
  <si>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</si>
  <si>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</si>
  <si>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</si>
  <si>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</si>
  <si>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</si>
  <si>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</si>
  <si>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</si>
  <si>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</si>
  <si>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</si>
  <si>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</si>
  <si>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</si>
  <si>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</si>
  <si>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</si>
  <si>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</si>
  <si>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</si>
  <si>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</si>
  <si>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</si>
  <si>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</si>
  <si>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</si>
  <si>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</si>
  <si>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</si>
  <si>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</si>
  <si>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</si>
  <si>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</si>
  <si>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</si>
  <si>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</si>
  <si>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</si>
  <si>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</si>
  <si>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</si>
  <si>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</si>
  <si>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</si>
  <si>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</si>
  <si>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</si>
  <si>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</si>
  <si>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</si>
  <si>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</si>
  <si>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</si>
  <si>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</si>
  <si>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</si>
  <si>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</si>
  <si>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</si>
  <si>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</si>
  <si>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</si>
  <si>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</si>
  <si>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</si>
  <si>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</si>
  <si>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</si>
  <si>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</si>
  <si>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</si>
  <si>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</si>
  <si>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</si>
  <si>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</si>
  <si>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</si>
  <si>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</si>
  <si>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</si>
  <si>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</si>
  <si>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</si>
  <si>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</si>
  <si>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</si>
  <si>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</si>
  <si>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</si>
  <si>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</si>
  <si>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</si>
  <si>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</si>
  <si>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</si>
  <si>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</si>
  <si>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</si>
  <si>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</si>
  <si>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</si>
  <si>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</si>
  <si>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</si>
  <si>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</si>
  <si>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</si>
  <si>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</si>
  <si>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</si>
  <si>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</si>
  <si>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</si>
  <si>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</si>
  <si>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</si>
  <si>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</si>
  <si>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</si>
  <si>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</si>
  <si>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</si>
  <si>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</si>
  <si>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</si>
  <si>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</si>
  <si>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</si>
  <si>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</si>
  <si>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</si>
  <si>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</si>
  <si>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</si>
  <si>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</si>
  <si>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</si>
  <si>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</si>
  <si>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</si>
  <si>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</si>
  <si>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</si>
  <si>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</si>
  <si>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</si>
  <si>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</si>
  <si>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</si>
  <si>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</si>
  <si>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</si>
  <si>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</si>
  <si>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</si>
  <si>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</si>
  <si>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</si>
  <si>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</si>
  <si>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</si>
  <si>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</si>
  <si>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</si>
  <si>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</si>
  <si>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</si>
  <si>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</si>
  <si>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</si>
  <si>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</si>
  <si>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</si>
  <si>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</si>
  <si>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</si>
  <si>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</si>
  <si>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</si>
  <si>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</si>
  <si>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</si>
  <si>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</si>
  <si>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</si>
  <si>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</si>
  <si>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</si>
  <si>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</si>
  <si>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</si>
  <si>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</si>
  <si>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</si>
  <si>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</si>
  <si>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</si>
  <si>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</si>
  <si>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</si>
  <si>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</si>
  <si>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</si>
  <si>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</si>
  <si>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</si>
  <si>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</si>
  <si>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</si>
  <si>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</si>
  <si>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</si>
  <si>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</si>
  <si>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</si>
  <si>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</si>
  <si>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</si>
  <si>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</si>
  <si>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</si>
  <si>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</si>
  <si>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</si>
  <si>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</si>
  <si>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</si>
  <si>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</si>
  <si>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</si>
  <si>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</si>
  <si>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</si>
  <si>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</si>
  <si>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</si>
  <si>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</si>
  <si>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</si>
  <si>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</si>
  <si>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</si>
  <si>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</si>
  <si>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</si>
  <si>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</si>
  <si>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</si>
  <si>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</si>
  <si>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</si>
  <si>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</si>
  <si>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</si>
  <si>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</si>
  <si>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</si>
  <si>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</si>
  <si>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</si>
  <si>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</si>
  <si>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</si>
  <si>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</si>
  <si>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</si>
  <si>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</si>
  <si>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</si>
  <si>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</si>
  <si>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</si>
  <si>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</si>
  <si>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</si>
  <si>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</si>
  <si>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</si>
  <si>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</si>
  <si>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</si>
  <si>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</si>
  <si>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</si>
  <si>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</si>
  <si>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</si>
  <si>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</si>
  <si>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</si>
  <si>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</si>
  <si>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</si>
  <si>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</si>
  <si>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</si>
  <si>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</si>
  <si>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</si>
  <si>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</si>
  <si>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</si>
  <si>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</si>
  <si>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</si>
  <si>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</si>
  <si>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</si>
  <si>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</si>
  <si>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</si>
  <si>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</si>
  <si>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</si>
  <si>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</si>
  <si>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</si>
  <si>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</si>
  <si>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</si>
  <si>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</si>
  <si>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HOSPICARE</t>
  </si>
  <si>
    <t>MEDITOP</t>
  </si>
  <si>
    <t>STERICLIN</t>
  </si>
  <si>
    <t>LOHMANN &amp; RAUSCHER</t>
  </si>
  <si>
    <t>PRODIMEDA</t>
  </si>
  <si>
    <t>HALYARD</t>
  </si>
  <si>
    <t>JERILEX</t>
  </si>
  <si>
    <t>KIMBERLY CLARK PROFESSIONAL</t>
  </si>
  <si>
    <t>METREX</t>
  </si>
  <si>
    <t>REDAX</t>
  </si>
  <si>
    <t>SAGE</t>
  </si>
  <si>
    <t>STERYLAB</t>
  </si>
  <si>
    <t>VIRUMEC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</si>
</sst>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2" borderId="0" xfId="0" applyFill="1"/>
    <xf numFmtId="0" fontId="4" fillId="2" borderId="0" xfId="0" applyNumberFormat="1" applyFont="1" applyFill="1" applyProtection="1"/>
    <xf numFmtId="0" fontId="0" fillId="2" borderId="0" xfId="0" applyNumberFormat="1" applyFill="1" applyProtection="1"/>
    <xf numFmtId="0" fontId="2" fillId="2" borderId="0" xfId="0" applyNumberFormat="1" applyFont="1" applyFill="1" applyProtection="1"/>
    <xf numFmtId="0" fontId="6" fillId="2" borderId="0" xfId="0" applyNumberFormat="1" applyFont="1" applyFill="1" applyProtection="1"/>
    <xf numFmtId="0" fontId="12" fillId="2" borderId="0" xfId="0" applyNumberFormat="1" applyFont="1" applyFill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3" tint="0.79998168889431442"/>
        </patternFill>
      </fill>
      <protection locked="1" hidden="0"/>
    </dxf>
    <dxf>
      <numFmt numFmtId="0" formatCode="General"/>
      <fill>
        <patternFill patternType="solid">
          <fgColor indexed="64"/>
          <bgColor theme="3" tint="0.79998168889431442"/>
        </patternFill>
      </fill>
      <protection locked="1" hidden="0"/>
    </dxf>
    <dxf>
      <numFmt numFmtId="0" formatCode="General"/>
      <fill>
        <patternFill patternType="solid">
          <fgColor indexed="64"/>
          <bgColor theme="3" tint="0.79998168889431442"/>
        </patternFill>
      </fill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0938832"/>
        <c:axId val="1456455664"/>
      </c:barChart>
      <c:catAx>
        <c:axId val="1440938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1456455664"/>
        <c:crosses val="autoZero"/>
        <c:auto val="1"/>
        <c:lblAlgn val="ctr"/>
        <c:lblOffset val="100"/>
        <c:noMultiLvlLbl val="0"/>
      </c:catAx>
      <c:valAx>
        <c:axId val="14564556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40938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2" val="0"/>
</file>

<file path=xl/ctrlProps/ctrlProp3.xml><?xml version="1.0" encoding="utf-8"?>
<formControlPr xmlns="http://schemas.microsoft.com/office/spreadsheetml/2009/9/main" objectType="List" dx="22" fmlaLink="Combos!$K$1" fmlaRange="Combos!$I$2:$I$11" sel="6" val="0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2</xdr:col>
      <xdr:colOff>323850</xdr:colOff>
      <xdr:row>1</xdr:row>
      <xdr:rowOff>209550</xdr:rowOff>
    </xdr:to>
    <xdr:sp macro="[0]!Controles.Controles" textlink="">
      <xdr:nvSpPr>
        <xdr:cNvPr id="2" name="1 Rectángulo redondeado"/>
        <xdr:cNvSpPr/>
      </xdr:nvSpPr>
      <xdr:spPr>
        <a:xfrm>
          <a:off x="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647700</xdr:colOff>
      <xdr:row>2</xdr:row>
      <xdr:rowOff>85725</xdr:rowOff>
    </xdr:from>
    <xdr:to>
      <xdr:col>1</xdr:col>
      <xdr:colOff>895350</xdr:colOff>
      <xdr:row>4</xdr:row>
      <xdr:rowOff>76200</xdr:rowOff>
    </xdr:to>
    <xdr:sp macro="" textlink="">
      <xdr:nvSpPr>
        <xdr:cNvPr id="3" name="2 Rectángulo redondeado"/>
        <xdr:cNvSpPr/>
      </xdr:nvSpPr>
      <xdr:spPr>
        <a:xfrm>
          <a:off x="647700" y="542925"/>
          <a:ext cx="120967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752475</xdr:colOff>
          <xdr:row>0</xdr:row>
          <xdr:rowOff>28575</xdr:rowOff>
        </xdr:from>
        <xdr:to>
          <xdr:col>4</xdr:col>
          <xdr:colOff>28575</xdr:colOff>
          <xdr:row>2</xdr:row>
          <xdr:rowOff>0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2</xdr:row>
          <xdr:rowOff>47625</xdr:rowOff>
        </xdr:from>
        <xdr:to>
          <xdr:col>23</xdr:col>
          <xdr:colOff>19050</xdr:colOff>
          <xdr:row>17</xdr:row>
          <xdr:rowOff>123825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161925</xdr:colOff>
          <xdr:row>2</xdr:row>
          <xdr:rowOff>28575</xdr:rowOff>
        </xdr:from>
        <xdr:to>
          <xdr:col>28</xdr:col>
          <xdr:colOff>161925</xdr:colOff>
          <xdr:row>17</xdr:row>
          <xdr:rowOff>104775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2</xdr:row>
          <xdr:rowOff>142875</xdr:rowOff>
        </xdr:from>
        <xdr:to>
          <xdr:col>7</xdr:col>
          <xdr:colOff>676275</xdr:colOff>
          <xdr:row>4</xdr:row>
          <xdr:rowOff>19050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4</xdr:row>
          <xdr:rowOff>19050</xdr:rowOff>
        </xdr:from>
        <xdr:to>
          <xdr:col>7</xdr:col>
          <xdr:colOff>676275</xdr:colOff>
          <xdr:row>6</xdr:row>
          <xdr:rowOff>66675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47625</xdr:rowOff>
        </xdr:from>
        <xdr:to>
          <xdr:col>1</xdr:col>
          <xdr:colOff>1390650</xdr:colOff>
          <xdr:row>6</xdr:row>
          <xdr:rowOff>142875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133350</xdr:rowOff>
        </xdr:from>
        <xdr:to>
          <xdr:col>1</xdr:col>
          <xdr:colOff>1390650</xdr:colOff>
          <xdr:row>18</xdr:row>
          <xdr:rowOff>19050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161925</xdr:colOff>
      <xdr:row>2</xdr:row>
      <xdr:rowOff>85725</xdr:rowOff>
    </xdr:from>
    <xdr:to>
      <xdr:col>3</xdr:col>
      <xdr:colOff>609600</xdr:colOff>
      <xdr:row>4</xdr:row>
      <xdr:rowOff>76200</xdr:rowOff>
    </xdr:to>
    <xdr:sp macro="" textlink="">
      <xdr:nvSpPr>
        <xdr:cNvPr id="12" name="2 Rectángulo redondeado"/>
        <xdr:cNvSpPr/>
      </xdr:nvSpPr>
      <xdr:spPr>
        <a:xfrm>
          <a:off x="3438525" y="542925"/>
          <a:ext cx="120967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1123950</xdr:colOff>
      <xdr:row>2</xdr:row>
      <xdr:rowOff>123825</xdr:rowOff>
    </xdr:from>
    <xdr:to>
      <xdr:col>1</xdr:col>
      <xdr:colOff>2305050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2085975" y="581025"/>
          <a:ext cx="1181100" cy="304800"/>
        </a:xfrm>
        <a:prstGeom prst="leftArrow">
          <a:avLst>
            <a:gd name="adj1" fmla="val 50000"/>
            <a:gd name="adj2" fmla="val 15937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1895475</xdr:colOff>
          <xdr:row>8</xdr:row>
          <xdr:rowOff>142875</xdr:rowOff>
        </xdr:from>
        <xdr:to>
          <xdr:col>4</xdr:col>
          <xdr:colOff>695325</xdr:colOff>
          <xdr:row>18</xdr:row>
          <xdr:rowOff>28575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2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2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Buffer_por_Color" cacheId="29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Grafico_Buffer_por_Color" cacheId="29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" totalsRowShown="0">
  <autoFilter ref="E1:E2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1" totalsRowShown="0">
  <autoFilter ref="I1:I11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image" Target="../media/image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0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1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43"/>
  <sheetViews>
    <sheetView showGridLines="0" workbookViewId="0"/>
  </sheetViews>
  <sheetFormatPr baseColWidth="10" defaultColWidth="11.42578125" defaultRowHeight="15" x14ac:dyDescent="0.25"/>
  <cols>
    <col min="1" max="1" width="14.42578125" style="7" customWidth="1"/>
    <col min="2" max="2" width="34.7109375" style="7" customWidth="1"/>
    <col min="3" max="8" width="11.42578125" style="7"/>
    <col min="9" max="9" width="14" style="7" customWidth="1"/>
    <col min="10" max="10" width="11.42578125" style="7" customWidth="1"/>
    <col min="11" max="16384" width="11.42578125" style="7"/>
  </cols>
  <sheetData>
    <row r="1" spans="1:18" x14ac:dyDescent="0.25">
      <c r="A1" s="44"/>
      <c r="B1" s="44"/>
      <c r="C1" s="44"/>
      <c r="D1" s="45"/>
      <c r="E1" s="46"/>
      <c r="F1" s="46"/>
      <c r="G1" s="46"/>
      <c r="H1" s="46"/>
      <c r="I1" s="46" t="s">
        <v>1138</v>
      </c>
      <c r="J1" s="46"/>
      <c r="K1" s="46"/>
      <c r="L1" s="46"/>
      <c r="M1" s="46"/>
      <c r="N1" s="46"/>
      <c r="O1" s="46"/>
      <c r="P1" s="46"/>
      <c r="Q1" s="46"/>
      <c r="R1" s="46"/>
    </row>
    <row r="2" spans="1:18" ht="21" x14ac:dyDescent="0.35">
      <c r="A2" s="47"/>
      <c r="B2" s="46"/>
      <c r="C2" s="46"/>
      <c r="D2" s="46"/>
      <c r="E2" s="46"/>
      <c r="F2" s="46"/>
      <c r="G2" s="46"/>
      <c r="H2" s="46"/>
      <c r="I2" s="46" t="s">
        <v>2899</v>
      </c>
      <c r="J2" s="46"/>
      <c r="K2" s="46"/>
      <c r="L2" s="46"/>
      <c r="M2" s="46"/>
      <c r="N2" s="46"/>
      <c r="O2" s="46"/>
      <c r="P2" s="46"/>
      <c r="Q2" s="46"/>
      <c r="R2" s="46"/>
    </row>
    <row r="3" spans="1:18" x14ac:dyDescent="0.25">
      <c r="A3" s="44"/>
      <c r="B3" s="44"/>
      <c r="C3" s="46"/>
      <c r="D3" s="49">
        <f t="array" ref="D3">SUM(IFERROR(--(BODEGATRANSFER&amp;PROVEEDORTRANSFER=TABLACONSOLIDADA[Bodega]&amp;TABLACONSOLIDADA[TipoCompra]),0))</f>
        <v>1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</row>
    <row r="4" spans="1:18" x14ac:dyDescent="0.25">
      <c r="A4" s="44"/>
      <c r="B4" s="44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</row>
    <row r="5" spans="1:18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</row>
    <row r="6" spans="1:1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</row>
    <row r="9" spans="1:18" x14ac:dyDescent="0.25">
      <c r="A9" s="44"/>
      <c r="B9" s="44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</row>
    <row r="10" spans="1:18" x14ac:dyDescent="0.25">
      <c r="A10" s="46"/>
      <c r="B10" s="46"/>
      <c r="C10" s="46"/>
      <c r="D10" s="46"/>
      <c r="E10" s="46"/>
      <c r="F10" s="46"/>
      <c r="G10" s="46"/>
      <c r="H10" s="46"/>
      <c r="I10" s="48"/>
      <c r="J10" s="46"/>
      <c r="K10" s="46"/>
      <c r="L10" s="46"/>
      <c r="M10" s="46"/>
      <c r="N10" s="46"/>
      <c r="O10" s="46"/>
      <c r="P10" s="46"/>
      <c r="Q10" s="46"/>
      <c r="R10" s="46"/>
    </row>
    <row r="11" spans="1:1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</row>
    <row r="12" spans="1:1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</row>
    <row r="13" spans="1:1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</row>
    <row r="14" spans="1:1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</row>
    <row r="15" spans="1:1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</row>
    <row r="16" spans="1:18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</row>
    <row r="17" spans="1:18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</row>
    <row r="18" spans="1:18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</row>
    <row r="19" spans="1:18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</row>
    <row r="20" spans="1:18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</row>
    <row r="21" spans="1:18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</row>
    <row r="22" spans="1:18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</row>
    <row r="23" spans="1:18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</row>
    <row r="24" spans="1:18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</row>
    <row r="25" spans="1:18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</row>
    <row r="26" spans="1:18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</row>
    <row r="27" spans="1:18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</row>
    <row r="28" spans="1:18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</row>
    <row r="29" spans="1:18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1:18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</row>
    <row r="31" spans="1:18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</row>
    <row r="32" spans="1:18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</row>
    <row r="33" spans="1:18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</row>
    <row r="34" spans="1:18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</row>
    <row r="35" spans="1:18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</row>
    <row r="36" spans="1:18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</row>
    <row r="37" spans="1:18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</row>
    <row r="38" spans="1:18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</row>
    <row r="39" spans="1:18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</row>
    <row r="40" spans="1:18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</row>
    <row r="41" spans="1:18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</row>
    <row r="42" spans="1:18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</row>
    <row r="43" spans="1:18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</row>
  </sheetData>
  <sheetProtection algorithmName="SHA-512" hashValue="l90VZyCKnwWcBQWkrhB+jf0wAd0js9SClm9PGLXZkN94EoGBlLonOY+TCv1Mls2sRqz/rCWF4NTqqYQw2HKvew==" saltValue="Vy/VZooKQVnyAJaMqvM7YQ==" spinCount="100000"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5</xdr:col>
                <xdr:colOff>590550</xdr:colOff>
                <xdr:row>4</xdr:row>
                <xdr:rowOff>19050</xdr:rowOff>
              </from>
              <to>
                <xdr:col>7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5</xdr:col>
                <xdr:colOff>590550</xdr:colOff>
                <xdr:row>2</xdr:row>
                <xdr:rowOff>142875</xdr:rowOff>
              </from>
              <to>
                <xdr:col>7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autoPict="0" r:id="rId9">
            <anchor>
              <from>
                <xdr:col>2</xdr:col>
                <xdr:colOff>752475</xdr:colOff>
                <xdr:row>0</xdr:row>
                <xdr:rowOff>28575</xdr:rowOff>
              </from>
              <to>
                <xdr:col>4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18</xdr:col>
                <xdr:colOff>19050</xdr:colOff>
                <xdr:row>2</xdr:row>
                <xdr:rowOff>47625</xdr:rowOff>
              </from>
              <to>
                <xdr:col>23</xdr:col>
                <xdr:colOff>19050</xdr:colOff>
                <xdr:row>17</xdr:row>
                <xdr:rowOff>123825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23</xdr:col>
                <xdr:colOff>161925</xdr:colOff>
                <xdr:row>2</xdr:row>
                <xdr:rowOff>28575</xdr:rowOff>
              </from>
              <to>
                <xdr:col>28</xdr:col>
                <xdr:colOff>161925</xdr:colOff>
                <xdr:row>17</xdr:row>
                <xdr:rowOff>104775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058" r:id="rId13" name="lstEmpresa">
          <controlPr defaultSize="0" autoLine="0" autoPict="0" macro="[0]!Despliega_Combos_Bodega_Proveedor">
            <anchor>
              <from>
                <xdr:col>0</xdr:col>
                <xdr:colOff>66675</xdr:colOff>
                <xdr:row>5</xdr:row>
                <xdr:rowOff>47625</xdr:rowOff>
              </from>
              <to>
                <xdr:col>1</xdr:col>
                <xdr:colOff>1390650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4" name="cboBodegas">
          <controlPr defaultSize="0" autoLine="0" autoPict="0" macro="[0]!Trae_Proveedores">
            <anchor>
              <from>
                <xdr:col>0</xdr:col>
                <xdr:colOff>66675</xdr:colOff>
                <xdr:row>8</xdr:row>
                <xdr:rowOff>133350</xdr:rowOff>
              </from>
              <to>
                <xdr:col>1</xdr:col>
                <xdr:colOff>1390650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5" name="cboProveedores">
          <controlPr defaultSize="0" autoLine="0" autoPict="0">
            <anchor>
              <from>
                <xdr:col>1</xdr:col>
                <xdr:colOff>1895475</xdr:colOff>
                <xdr:row>8</xdr:row>
                <xdr:rowOff>142875</xdr:rowOff>
              </from>
              <to>
                <xdr:col>4</xdr:col>
                <xdr:colOff>695325</xdr:colOff>
                <xdr:row>18</xdr:row>
                <xdr:rowOff>28575</xdr:rowOff>
              </to>
            </anchor>
          </controlPr>
        </control>
      </mc:Choice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11"/>
  <sheetViews>
    <sheetView showGridLines="0" workbookViewId="0">
      <selection activeCell="I2" sqref="I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6.85546875" customWidth="1"/>
  </cols>
  <sheetData>
    <row r="1" spans="1:11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6</v>
      </c>
    </row>
    <row r="2" spans="1:11" x14ac:dyDescent="0.25">
      <c r="A2" t="s">
        <v>2896</v>
      </c>
      <c r="C2" t="str">
        <f>IFERROR(INDEX(tbl_empresa[Nombre],num_empresa_seleccionada,1),$A$2)</f>
        <v>HOSPICARE</v>
      </c>
      <c r="E2" t="s">
        <v>2895</v>
      </c>
      <c r="G2" t="str">
        <f>IFERROR(INDEX(tbl_bodega[Nombre],num_bodega_seleccionada,1),$E$2)</f>
        <v>Bodega ECU</v>
      </c>
      <c r="I2" t="s">
        <v>2901</v>
      </c>
      <c r="K2" t="str">
        <f>IFERROR(INDEX(tbl_proveedor[Nombre],num_proveedor_seleccionad,1),$I$2)</f>
        <v>REDAX</v>
      </c>
    </row>
    <row r="3" spans="1:11" x14ac:dyDescent="0.25">
      <c r="A3" t="s">
        <v>2897</v>
      </c>
      <c r="I3" t="s">
        <v>2902</v>
      </c>
    </row>
    <row r="4" spans="1:11" x14ac:dyDescent="0.25">
      <c r="I4" t="s">
        <v>2903</v>
      </c>
    </row>
    <row r="5" spans="1:11" x14ac:dyDescent="0.25">
      <c r="I5" t="s">
        <v>2904</v>
      </c>
    </row>
    <row r="6" spans="1:11" x14ac:dyDescent="0.25">
      <c r="I6" t="s">
        <v>2900</v>
      </c>
    </row>
    <row r="7" spans="1:11" x14ac:dyDescent="0.25">
      <c r="I7" t="s">
        <v>2905</v>
      </c>
    </row>
    <row r="8" spans="1:11" x14ac:dyDescent="0.25">
      <c r="I8" t="s">
        <v>2906</v>
      </c>
    </row>
    <row r="9" spans="1:11" x14ac:dyDescent="0.25">
      <c r="I9" t="s">
        <v>2898</v>
      </c>
    </row>
    <row r="10" spans="1:11" x14ac:dyDescent="0.25">
      <c r="I10" t="s">
        <v>2907</v>
      </c>
    </row>
    <row r="11" spans="1:11" x14ac:dyDescent="0.25">
      <c r="I11" t="s">
        <v>2908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tabSelected="1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17</vt:i4>
      </vt:variant>
    </vt:vector>
  </HeadingPairs>
  <TitlesOfParts>
    <vt:vector size="2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DESTINO</vt:lpstr>
      <vt:lpstr>empresa_seleccionada</vt:lpstr>
      <vt:lpstr>listaEmpresas</vt:lpstr>
      <vt:lpstr>num_bodega_seleccionada</vt:lpstr>
      <vt:lpstr>num_empresa_seleccionada</vt:lpstr>
      <vt:lpstr>num_proveedor_seleccionad</vt:lpstr>
      <vt:lpstr>ORIGEN</vt:lpstr>
      <vt:lpstr>proveedor_seleccionado</vt:lpstr>
      <vt:lpstr>PROVEEDORTRANSFER</vt:lpstr>
      <vt:lpstr>RELACION</vt:lpstr>
      <vt:lpstr>VERIFICA_DESTINO</vt:lpstr>
      <vt:lpstr>VERIFICA_ORIGEN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2017-02-15T06:28:09Z</dcterms:modified>
</cp:coreProperties>
</file>