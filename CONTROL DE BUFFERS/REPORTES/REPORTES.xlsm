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19.xml" ContentType="application/vnd.openxmlformats-officedocument.spreadsheetml.table+xml"/>
  <Override PartName="/xl/comments1.xml" ContentType="application/vnd.openxmlformats-officedocument.spreadsheetml.comments+xml"/>
  <Override PartName="/xl/tables/table20.xml" ContentType="application/vnd.openxmlformats-officedocument.spreadsheetml.table+xml"/>
  <Override PartName="/xl/queryTables/queryTable2.xml" ContentType="application/vnd.openxmlformats-officedocument.spreadsheetml.queryTable+xml"/>
  <Override PartName="/xl/tables/table21.xml" ContentType="application/vnd.openxmlformats-officedocument.spreadsheetml.table+xml"/>
  <Override PartName="/xl/queryTables/queryTable3.xml" ContentType="application/vnd.openxmlformats-officedocument.spreadsheetml.queryTable+xml"/>
  <Override PartName="/xl/tables/table2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129000" windowWidth="11640" windowHeight="5370"/>
  </bookViews>
  <sheets>
    <sheet name="SELECCION" sheetId="11" r:id="rId1"/>
    <sheet name="Combos" sheetId="23" state="hidden" r:id="rId2"/>
    <sheet name="SELECCION1" sheetId="14" state="hidden" r:id="rId3"/>
    <sheet name="TESPECIAL" sheetId="15" state="hidden" r:id="rId4"/>
    <sheet name="CONSOLIDADO" sheetId="3" state="hidden" r:id="rId5"/>
    <sheet name="DECISION_COMPRA" sheetId="18" state="hidden" r:id="rId6"/>
    <sheet name="TIPOCOMPRA" sheetId="8" state="hidden" r:id="rId7"/>
    <sheet name="RELACION_BUFFERS" sheetId="20" state="hidden" r:id="rId8"/>
    <sheet name="BUFFER_POR_COLOR" sheetId="19" state="hidden" r:id="rId9"/>
    <sheet name="PROVEEDORES" sheetId="21" state="hidden" r:id="rId10"/>
    <sheet name="EMPRESAS" sheetId="22" state="hidden" r:id="rId11"/>
  </sheets>
  <functionGroups builtInGroupCount="18"/>
  <externalReferences>
    <externalReference r:id="rId12"/>
    <externalReference r:id="rId13"/>
  </externalReferences>
  <definedNames>
    <definedName name="_cmdCancelar_Range" localSheetId="0" hidden="1">{31.5,368.25,TRUE,3,303,67.5}</definedName>
    <definedName name="_cmdFiltrar_Range" localSheetId="0" hidden="1">{31.5,300.75,TRUE,3,303,55.5}</definedName>
    <definedName name="_xlnm._FilterDatabase" localSheetId="4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{20.25,117,TRUE,2,311.25,163.5}</definedName>
    <definedName name="_optNoEscasez_Range" localSheetId="0" hidden="1">{20.25,10.5,TRUE,2,311.25,126.75}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tegoria_seleccionada">Combos!$AQ$2</definedName>
    <definedName name="chk_categoria">Combos!$BK$11</definedName>
    <definedName name="chk_clasificacion">Combos!$BK$3</definedName>
    <definedName name="chk_estatus">Combos!$BK$2</definedName>
    <definedName name="chk_familia">Combos!$BK$9</definedName>
    <definedName name="chk_grupo">Combos!$BK$5</definedName>
    <definedName name="chk_linea">Combos!$BK$6</definedName>
    <definedName name="chk_marca">Combos!$BK$13</definedName>
    <definedName name="chk_modelo">Combos!$BK$8</definedName>
    <definedName name="chk_responsable">Combos!$BK$4</definedName>
    <definedName name="chk_subfamilia">Combos!$BK$10</definedName>
    <definedName name="chk_sublinea">Combos!$BK$7</definedName>
    <definedName name="chk_tipo">Combos!$BK$12</definedName>
    <definedName name="clasificacion_seleccionada">Combos!$BC$2</definedName>
    <definedName name="Consulta_desde_Buffers_Agroinsumos" localSheetId="6" hidden="1">TIPOCOMPRA!#REF!</definedName>
    <definedName name="Consulta_desde_Buffers_Agrota" localSheetId="6" hidden="1">TIPOCOMPRA!$A$1:$C$2293</definedName>
    <definedName name="Consulta_desde_BUFFERS_AGROTA_1" localSheetId="6" hidden="1">TIPOCOMPRA!#REF!</definedName>
    <definedName name="Consulta_desde_BUFFERS_SUKAMPO" localSheetId="6" hidden="1">TIPOCOMPRA!$I$1:$K$2293</definedName>
    <definedName name="Consulta_desde_HHH" localSheetId="6" hidden="1">TIPOCOMPRA!$E$1:$G$445</definedName>
    <definedName name="Consulta_desde_HHH_1" localSheetId="6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tegoria_seleccionada">Combos!$AQ$1</definedName>
    <definedName name="num_clasificacion_seleccionada">Combos!$BC$1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linea_seleccionada">Combos!$W$1</definedName>
    <definedName name="num_marca_seleccionada">Combos!$O$1</definedName>
    <definedName name="num_modelo_seleccionada">Combos!$AE$1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YACALCULADO">SELECCION!$D$1</definedName>
  </definedNames>
  <calcPr calcId="152511"/>
  <pivotCaches>
    <pivotCache cacheId="33" r:id="rId14"/>
    <pivotCache cacheId="34" r:id="rId15"/>
  </pivotCaches>
</workbook>
</file>

<file path=xl/calcChain.xml><?xml version="1.0" encoding="utf-8"?>
<calcChain xmlns="http://schemas.openxmlformats.org/spreadsheetml/2006/main"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<sst xmlns="http://schemas.openxmlformats.org/spreadsheetml/2006/main" count="12657" uniqueCount="2971">
  <si>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</si>
  <si>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</si>
  <si>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</si>
  <si>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</si>
  <si>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</si>
  <si>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</si>
  <si>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</si>
  <si>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</si>
  <si>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</si>
  <si>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</si>
  <si>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</si>
  <si>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</si>
  <si>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</si>
  <si>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</si>
  <si>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</si>
  <si>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</si>
  <si>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</si>
  <si>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</si>
  <si>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</si>
  <si>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</si>
  <si>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</si>
  <si>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</si>
  <si>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</si>
  <si>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</si>
  <si>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</si>
  <si>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</si>
  <si>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</si>
  <si>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</si>
  <si>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</si>
  <si>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</si>
  <si>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</si>
  <si>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</si>
  <si>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</si>
  <si>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</si>
  <si>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</si>
  <si>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</si>
  <si>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</si>
  <si>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</si>
  <si>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</si>
  <si>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</si>
  <si>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</si>
  <si>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</si>
  <si>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</si>
  <si>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</si>
  <si>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</si>
  <si>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</si>
  <si>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</si>
  <si>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</si>
  <si>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</si>
  <si>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</si>
  <si>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</si>
  <si>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</si>
  <si>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</si>
  <si>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</si>
  <si>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</si>
  <si>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</si>
  <si>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</si>
  <si>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</si>
  <si>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</si>
  <si>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</si>
  <si>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</si>
  <si>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</si>
  <si>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</si>
  <si>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</si>
  <si>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</si>
  <si>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</si>
  <si>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</si>
  <si>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</si>
  <si>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</si>
  <si>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</si>
  <si>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</si>
  <si>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</si>
  <si>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</si>
  <si>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</si>
  <si>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</si>
  <si>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</si>
  <si>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</si>
  <si>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</si>
  <si>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</si>
  <si>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</si>
  <si>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</si>
  <si>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</si>
  <si>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</si>
  <si>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</si>
  <si>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</si>
  <si>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</si>
  <si>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</si>
  <si>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</si>
  <si>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</si>
  <si>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</si>
  <si>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</si>
  <si>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</si>
  <si>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</si>
  <si>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</si>
  <si>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</si>
  <si>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</si>
  <si>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</si>
  <si>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</si>
  <si>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</si>
  <si>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</si>
  <si>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</si>
  <si>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</si>
  <si>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</si>
  <si>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</si>
  <si>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</si>
  <si>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</si>
  <si>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</si>
  <si>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</si>
  <si>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</si>
  <si>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</si>
  <si>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</si>
  <si>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</si>
  <si>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</si>
  <si>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</si>
  <si>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</si>
  <si>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</si>
  <si>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</si>
  <si>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</si>
  <si>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</si>
  <si>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</si>
  <si>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</si>
  <si>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</si>
  <si>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</si>
  <si>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</si>
  <si>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</si>
  <si>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</si>
  <si>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</si>
  <si>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</si>
  <si>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</si>
  <si>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</si>
  <si>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</si>
  <si>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</si>
  <si>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</si>
  <si>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</si>
  <si>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</si>
  <si>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</si>
  <si>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</si>
  <si>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</si>
  <si>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</si>
  <si>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</si>
  <si>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</si>
  <si>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</si>
  <si>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</si>
  <si>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</si>
  <si>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</si>
  <si>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</si>
  <si>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</si>
  <si>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</si>
  <si>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</si>
  <si>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</si>
  <si>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</si>
  <si>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</si>
  <si>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</si>
  <si>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</si>
  <si>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</si>
  <si>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</si>
  <si>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</si>
  <si>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</si>
  <si>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</si>
  <si>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</si>
  <si>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</si>
  <si>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</si>
  <si>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</si>
  <si>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</si>
  <si>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</si>
  <si>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</si>
  <si>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</si>
  <si>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</si>
  <si>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</si>
  <si>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</si>
  <si>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</si>
  <si>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</si>
  <si>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</si>
  <si>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</si>
  <si>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</si>
  <si>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</si>
  <si>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</si>
  <si>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</si>
  <si>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</si>
  <si>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</si>
  <si>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</si>
  <si>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</si>
  <si>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</si>
  <si>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</si>
  <si>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</si>
  <si>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</si>
  <si>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</si>
  <si>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</si>
  <si>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</si>
  <si>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</si>
  <si>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</si>
  <si>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</si>
  <si>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</si>
  <si>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</si>
  <si>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</si>
  <si>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</si>
  <si>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</si>
  <si>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</si>
  <si>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</si>
  <si>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</si>
  <si>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</si>
  <si>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</si>
  <si>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</si>
  <si>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</si>
  <si>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</si>
  <si>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</si>
  <si>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</si>
  <si>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</si>
  <si>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</si>
  <si>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</si>
  <si>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</si>
  <si>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</si>
  <si>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</si>
  <si>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</si>
  <si>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</si>
  <si>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</si>
  <si>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</si>
  <si>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</si>
  <si>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</si>
  <si>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</si>
  <si>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</si>
  <si>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</si>
  <si>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</si>
  <si>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</si>
  <si>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</si>
  <si>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</si>
  <si>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</si>
  <si>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</si>
  <si>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</si>
  <si>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</si>
  <si>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</si>
  <si>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</si>
  <si>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</si>
  <si>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</si>
  <si>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</si>
  <si>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</si>
  <si>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</si>
  <si>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</si>
  <si>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</si>
  <si>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</si>
  <si>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</si>
  <si>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</si>
  <si>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</si>
  <si>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</si>
  <si>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</si>
  <si>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</si>
  <si>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</si>
  <si>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</si>
  <si>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</si>
  <si>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</si>
  <si>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</si>
  <si>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</si>
  <si>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</si>
  <si>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</si>
  <si>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</si>
  <si>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</si>
  <si>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</si>
  <si>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</si>
  <si>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</si>
  <si>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</si>
  <si>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</si>
  <si>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</si>
  <si>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</si>
  <si>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</si>
  <si>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</si>
  <si>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</si>
  <si>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</si>
  <si>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</si>
  <si>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</si>
  <si>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</si>
  <si>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</si>
  <si>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</si>
  <si>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</si>
  <si>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</si>
  <si>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</si>
  <si>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</si>
  <si>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</si>
  <si>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</si>
  <si>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</si>
  <si>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</si>
  <si>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</si>
  <si>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</si>
  <si>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</si>
  <si>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</si>
  <si>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</si>
  <si>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</si>
  <si>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</si>
  <si>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</si>
  <si>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</si>
  <si>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</si>
  <si>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</si>
  <si>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</si>
  <si>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</si>
  <si>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</si>
  <si>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</si>
  <si>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</si>
  <si>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</si>
  <si>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</si>
  <si>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</si>
  <si>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</si>
  <si>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</si>
  <si>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</si>
  <si>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</si>
  <si>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</si>
  <si>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</si>
  <si>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</si>
  <si>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</si>
  <si>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</si>
  <si>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</si>
  <si>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</si>
  <si>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</si>
  <si>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</si>
  <si>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</si>
  <si>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</si>
  <si>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</si>
  <si>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</si>
  <si>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</si>
  <si>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</si>
  <si>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</si>
  <si>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</si>
  <si>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</si>
  <si>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</si>
  <si>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</si>
  <si>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</si>
  <si>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</si>
  <si>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</si>
  <si>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</si>
  <si>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</si>
  <si>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</si>
  <si>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</si>
  <si>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</si>
  <si>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</si>
  <si>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</si>
  <si>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</si>
  <si>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</si>
  <si>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</si>
  <si>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</si>
  <si>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</si>
  <si>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</si>
  <si>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</si>
  <si>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</si>
  <si>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</si>
  <si>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</si>
  <si>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</si>
  <si>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</si>
  <si>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</si>
  <si>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</si>
  <si>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</si>
  <si>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</si>
  <si>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</si>
  <si>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</si>
  <si>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</si>
  <si>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</si>
  <si>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</si>
  <si>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</si>
  <si>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</si>
  <si>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</si>
  <si>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</si>
  <si>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</si>
  <si>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</si>
  <si>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</si>
  <si>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</si>
  <si>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</si>
  <si>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</si>
  <si>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</si>
  <si>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</si>
  <si>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</si>
  <si>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</si>
  <si>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</si>
  <si>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</si>
  <si>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</si>
  <si>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</si>
  <si>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</si>
  <si>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</si>
  <si>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</si>
  <si>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</si>
  <si>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</si>
  <si>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</si>
  <si>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</si>
  <si>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</si>
  <si>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</si>
  <si>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</si>
  <si>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</si>
  <si>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</si>
  <si>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</si>
  <si>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</si>
  <si>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</si>
  <si>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</si>
  <si>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</si>
  <si>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</si>
  <si>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</si>
  <si>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</si>
  <si>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</si>
  <si>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</si>
  <si>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</si>
  <si>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</si>
  <si>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</si>
  <si>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</si>
  <si>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</si>
  <si>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</si>
  <si>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</si>
  <si>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</si>
  <si>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</si>
  <si>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</si>
  <si>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</si>
  <si>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</si>
  <si>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</si>
  <si>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</si>
  <si>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</si>
  <si>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</si>
  <si>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</si>
  <si>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</si>
  <si>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</si>
  <si>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</si>
  <si>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</si>
  <si>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</si>
  <si>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</si>
  <si>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</si>
  <si>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</si>
  <si>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</si>
  <si>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</si>
  <si>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</si>
  <si>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</si>
  <si>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</si>
  <si>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</si>
  <si>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</si>
  <si>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</si>
  <si>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</si>
  <si>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</si>
  <si>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</si>
  <si>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</si>
  <si>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</si>
  <si>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</si>
  <si>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</si>
  <si>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</si>
  <si>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</si>
  <si>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</si>
  <si>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</si>
  <si>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</si>
  <si>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</si>
  <si>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</si>
  <si>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</si>
  <si>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</si>
  <si>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</si>
  <si>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</si>
  <si>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</si>
  <si>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</si>
  <si>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</si>
  <si>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</si>
  <si>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</si>
  <si>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</si>
  <si>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</si>
  <si>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</si>
  <si>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</si>
  <si>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</si>
  <si>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</si>
  <si>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</si>
  <si>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</si>
  <si>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</si>
  <si>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</si>
  <si>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</si>
  <si>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</si>
  <si>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</si>
  <si>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</si>
  <si>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</si>
  <si>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</si>
  <si>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</si>
  <si>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</si>
  <si>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</si>
  <si>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</si>
  <si>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</si>
  <si>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</si>
  <si>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</si>
  <si>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</si>
  <si>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</si>
  <si>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</si>
  <si>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</si>
  <si>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</si>
  <si>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</si>
  <si>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</si>
  <si>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</si>
  <si>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</si>
  <si>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</si>
  <si>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</si>
  <si>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</si>
  <si>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</si>
  <si>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</si>
  <si>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</si>
  <si>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</si>
  <si>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</si>
  <si>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</si>
  <si>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</si>
  <si>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</si>
  <si>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</si>
  <si>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</si>
  <si>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</si>
  <si>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</si>
  <si>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</si>
  <si>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</si>
  <si>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</si>
  <si>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</si>
  <si>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</si>
  <si>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</si>
  <si>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</si>
  <si>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</si>
  <si>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</si>
  <si>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</si>
  <si>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</si>
  <si>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</si>
  <si>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</si>
  <si>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</si>
  <si>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</si>
  <si>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</si>
  <si>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</si>
  <si>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</si>
  <si>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</si>
  <si>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</si>
  <si>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</si>
  <si>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</si>
  <si>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</si>
  <si>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</si>
  <si>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</si>
  <si>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</si>
  <si>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</si>
  <si>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</si>
  <si>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</si>
  <si>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</si>
  <si>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</si>
  <si>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</si>
  <si>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</si>
  <si>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</si>
  <si>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</si>
  <si>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</si>
  <si>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</si>
  <si>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</si>
  <si>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</si>
  <si>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</si>
  <si>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</si>
  <si>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</si>
  <si>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</si>
  <si>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</si>
  <si>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</si>
  <si>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</si>
  <si>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</si>
  <si>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</si>
  <si>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</si>
  <si>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</si>
  <si>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</si>
  <si>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</si>
  <si>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</si>
  <si>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</si>
  <si>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</si>
  <si>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</si>
  <si>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</si>
  <si>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</si>
  <si>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</si>
  <si>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</si>
  <si>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</si>
  <si>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</si>
  <si>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</si>
  <si>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</si>
  <si>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</si>
  <si>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</si>
  <si>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</si>
  <si>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</si>
  <si>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</si>
  <si>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</si>
  <si>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</si>
  <si>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</si>
  <si>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</si>
  <si>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</si>
  <si>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</si>
  <si>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</si>
  <si>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</si>
  <si>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</si>
  <si>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</si>
  <si>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</si>
  <si>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</si>
  <si>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</si>
  <si>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</si>
  <si>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</si>
  <si>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</si>
  <si>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</si>
  <si>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</si>
  <si>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</si>
  <si>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</si>
  <si>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</si>
  <si>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</si>
  <si>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</si>
  <si>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</si>
  <si>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</si>
  <si>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</si>
  <si>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</si>
  <si>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</si>
  <si>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</si>
  <si>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</si>
  <si>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</si>
  <si>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</si>
  <si>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</si>
  <si>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</si>
  <si>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</si>
  <si>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</si>
  <si>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</si>
  <si>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</si>
  <si>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</si>
  <si>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</si>
  <si>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</si>
  <si>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</si>
  <si>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</si>
  <si>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</si>
  <si>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</si>
  <si>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</si>
  <si>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</si>
  <si>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</si>
  <si>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</si>
  <si>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</si>
  <si>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</si>
  <si>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</si>
  <si>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</si>
  <si>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</si>
  <si>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</si>
  <si>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</si>
  <si>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</si>
  <si>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</si>
  <si>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</si>
  <si>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</si>
  <si>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</si>
  <si>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</si>
  <si>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</si>
  <si>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</si>
  <si>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</si>
  <si>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</si>
  <si>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</si>
  <si>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</si>
  <si>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</si>
  <si>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</si>
  <si>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</si>
  <si>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</si>
  <si>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</si>
  <si>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</si>
  <si>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</si>
  <si>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</si>
  <si>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</si>
  <si>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</si>
  <si>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</si>
  <si>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</si>
  <si>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</si>
  <si>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</si>
  <si>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</si>
  <si>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</si>
  <si>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</si>
  <si>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</si>
  <si>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</si>
  <si>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</si>
  <si>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</si>
  <si>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</si>
  <si>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</si>
  <si>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</si>
  <si>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</si>
  <si>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</si>
  <si>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</si>
  <si>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</si>
  <si>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</si>
  <si>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</si>
  <si>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</si>
  <si>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</si>
  <si>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</si>
  <si>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</si>
  <si>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</si>
  <si>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</si>
  <si>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</si>
  <si>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</si>
  <si>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</si>
  <si>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</si>
  <si>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</si>
  <si>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</si>
  <si>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</si>
  <si>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</si>
  <si>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</si>
  <si>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</si>
  <si>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</si>
  <si>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</si>
  <si>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</si>
  <si>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</si>
  <si>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</si>
  <si>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</si>
  <si>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</si>
  <si>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</si>
  <si>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</si>
  <si>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</si>
  <si>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</si>
  <si>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</si>
  <si>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</si>
  <si>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</si>
  <si>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</si>
  <si>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</si>
  <si>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</si>
  <si>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</si>
  <si>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</si>
  <si>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</si>
  <si>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</si>
  <si>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</si>
  <si>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</si>
  <si>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</si>
  <si>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</si>
  <si>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</si>
  <si>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</si>
  <si>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</si>
  <si>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</si>
  <si>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</si>
  <si>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</si>
  <si>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</si>
  <si>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</si>
  <si>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</si>
  <si>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</si>
  <si>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</si>
  <si>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</si>
  <si>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</si>
  <si>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</si>
  <si>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</si>
  <si>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</si>
  <si>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</si>
  <si>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</si>
  <si>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</si>
  <si>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</si>
  <si>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</si>
  <si>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</si>
  <si>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</si>
  <si>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</si>
  <si>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</si>
  <si>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</si>
  <si>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</si>
  <si>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</si>
  <si>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</si>
  <si>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</si>
  <si>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</si>
  <si>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</si>
  <si>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</si>
  <si>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</si>
  <si>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</si>
  <si>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</si>
  <si>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</si>
  <si>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</si>
  <si>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</si>
  <si>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</si>
  <si>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</si>
  <si>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</si>
  <si>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</si>
  <si>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</si>
  <si>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</si>
  <si>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</si>
  <si>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</si>
  <si>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</si>
  <si>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</si>
  <si>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</si>
  <si>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</si>
  <si>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</si>
  <si>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</si>
  <si>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</si>
  <si>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</si>
  <si>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</si>
  <si>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</si>
  <si>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</si>
  <si>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</si>
  <si>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</si>
  <si>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</si>
  <si>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</si>
  <si>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</si>
  <si>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</si>
  <si>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</si>
  <si>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</si>
  <si>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</si>
  <si>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</si>
  <si>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</si>
  <si>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</si>
  <si>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</si>
  <si>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</si>
  <si>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</si>
  <si>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</si>
  <si>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</si>
  <si>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</si>
  <si>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</si>
  <si>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</si>
  <si>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</si>
  <si>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</si>
  <si>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</si>
  <si>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</si>
  <si>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</si>
  <si>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</si>
  <si>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</si>
  <si>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</si>
  <si>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</si>
  <si>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</si>
  <si>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</si>
  <si>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</si>
  <si>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</si>
  <si>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</si>
  <si>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</si>
  <si>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</si>
  <si>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</si>
  <si>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</si>
  <si>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</si>
  <si>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</si>
  <si>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</si>
  <si>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</si>
  <si>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</si>
  <si>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</si>
  <si>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</si>
  <si>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</si>
  <si>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</si>
  <si>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</si>
  <si>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</si>
  <si>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</si>
  <si>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</si>
  <si>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</si>
  <si>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</si>
  <si>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</si>
  <si>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</si>
  <si>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</si>
  <si>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</si>
  <si>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</si>
  <si>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</si>
  <si>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</si>
  <si>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</si>
  <si>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</si>
  <si>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</si>
  <si>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</si>
  <si>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</si>
  <si>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</si>
  <si>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</si>
  <si>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</si>
  <si>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</si>
  <si>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</si>
  <si>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</si>
  <si>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</si>
  <si>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</si>
  <si>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</si>
  <si>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</si>
  <si>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</si>
  <si>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</si>
  <si>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</si>
  <si>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</si>
  <si>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</si>
  <si>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</si>
  <si>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</si>
  <si>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</si>
  <si>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</si>
  <si>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</si>
  <si>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</si>
  <si>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</si>
  <si>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</si>
  <si>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</si>
  <si>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</si>
  <si>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</si>
  <si>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</si>
  <si>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</si>
  <si>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</si>
  <si>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</si>
  <si>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</si>
  <si>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</si>
  <si>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</si>
  <si>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</si>
  <si>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</si>
  <si>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</si>
  <si>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</si>
  <si>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</si>
  <si>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</si>
  <si>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</si>
  <si>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</si>
  <si>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</si>
  <si>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</si>
  <si>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</si>
  <si>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</si>
  <si>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</si>
  <si>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</si>
  <si>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</si>
  <si>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</si>
  <si>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</si>
  <si>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</si>
  <si>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</si>
  <si>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</si>
  <si>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</si>
  <si>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</si>
  <si>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</si>
  <si>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</si>
  <si>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</si>
  <si>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</si>
  <si>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</si>
  <si>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</si>
  <si>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</si>
  <si>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</si>
  <si>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</si>
  <si>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</si>
  <si>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</si>
  <si>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</si>
  <si>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</si>
  <si>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</si>
  <si>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</si>
  <si>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</si>
  <si>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</si>
  <si>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</si>
  <si>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</si>
  <si>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</si>
  <si>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</si>
  <si>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</si>
  <si>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</si>
  <si>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</si>
  <si>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</si>
  <si>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</si>
  <si>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</si>
  <si>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</si>
  <si>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</si>
  <si>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</si>
  <si>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</si>
  <si>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</si>
  <si>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</si>
  <si>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</si>
  <si>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</si>
  <si>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</si>
  <si>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</si>
  <si>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</si>
  <si>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</si>
  <si>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</si>
  <si>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</si>
  <si>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</si>
  <si>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</si>
  <si>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</si>
  <si>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</si>
  <si>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</si>
  <si>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</si>
  <si>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</si>
  <si>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</si>
  <si>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</si>
  <si>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</si>
  <si>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</si>
  <si>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</si>
  <si>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</si>
  <si>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</si>
  <si>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</si>
  <si>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</si>
  <si>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</si>
  <si>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</si>
  <si>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</si>
  <si>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</si>
  <si>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</si>
  <si>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</si>
  <si>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</si>
  <si>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</si>
  <si>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</si>
  <si>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</si>
  <si>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</si>
  <si>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</si>
  <si>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</si>
  <si>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</si>
  <si>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</si>
  <si>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</si>
  <si>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</si>
  <si>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</si>
  <si>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</si>
  <si>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</si>
  <si>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</si>
  <si>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</si>
  <si>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</si>
  <si>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</si>
  <si>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</si>
  <si>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</si>
  <si>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</si>
  <si>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</si>
  <si>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</si>
  <si>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</si>
  <si>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</si>
  <si>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</si>
  <si>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</si>
  <si>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</si>
  <si>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</si>
  <si>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</si>
  <si>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</si>
  <si>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</si>
  <si>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</si>
  <si>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</si>
  <si>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</si>
  <si>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</si>
  <si>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</si>
  <si>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</si>
  <si>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</si>
  <si>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</si>
  <si>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</si>
  <si>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</si>
  <si>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</si>
  <si>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</si>
  <si>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</si>
  <si>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</si>
  <si>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</si>
  <si>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</si>
  <si>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</si>
  <si>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</si>
  <si>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</si>
  <si>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</si>
  <si>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</si>
  <si>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</si>
  <si>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</si>
  <si>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</si>
  <si>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</si>
  <si>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</si>
  <si>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</si>
  <si>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</si>
  <si>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</si>
  <si>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</si>
  <si>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</si>
  <si>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</si>
  <si>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</si>
  <si>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</si>
  <si>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</si>
  <si>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</si>
  <si>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</si>
  <si>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</si>
  <si>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</si>
  <si>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</si>
  <si>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</si>
  <si>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</si>
  <si>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</si>
  <si>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</si>
  <si>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</si>
  <si>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</si>
  <si>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</si>
  <si>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</si>
  <si>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</si>
  <si>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</si>
  <si>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</si>
  <si>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</si>
  <si>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</si>
  <si>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</si>
  <si>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</si>
  <si>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</si>
  <si>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</si>
  <si>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</si>
  <si>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</si>
  <si>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</si>
  <si>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</si>
  <si>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</si>
  <si>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</si>
  <si>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</si>
  <si>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</si>
  <si>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</si>
  <si>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</si>
  <si>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</si>
  <si>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</si>
  <si>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</si>
  <si>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</si>
  <si>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</si>
  <si>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</si>
  <si>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</si>
  <si>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</si>
  <si>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</si>
  <si>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</si>
  <si>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</si>
  <si>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</si>
  <si>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</si>
  <si>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</si>
  <si>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</si>
  <si>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</si>
  <si>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</si>
  <si>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</si>
  <si>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</si>
  <si>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</si>
  <si>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</si>
  <si>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</si>
  <si>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</si>
  <si>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</si>
  <si>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</si>
  <si>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</si>
  <si>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</si>
  <si>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</si>
  <si>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</si>
  <si>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</si>
  <si>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</si>
  <si>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</si>
  <si>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</si>
  <si>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</si>
  <si>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</si>
  <si>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</si>
  <si>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</si>
  <si>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</si>
  <si>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</si>
  <si>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</si>
  <si>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</si>
  <si>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</si>
  <si>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</si>
  <si>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</si>
  <si>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</si>
  <si>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</si>
  <si>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</si>
  <si>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</si>
  <si>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</si>
  <si>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</si>
  <si>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</si>
  <si>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</si>
  <si>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</si>
  <si>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</si>
  <si>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</si>
  <si>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</si>
  <si>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</si>
  <si>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</si>
  <si>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</si>
  <si>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</si>
  <si>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</si>
  <si>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</si>
  <si>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</si>
  <si>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</si>
  <si>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</si>
  <si>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</si>
  <si>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</si>
  <si>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</si>
  <si>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</si>
  <si>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</si>
  <si>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</si>
  <si>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</si>
  <si>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</si>
  <si>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</si>
  <si>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</si>
  <si>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</si>
  <si>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</si>
  <si>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</si>
  <si>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</si>
  <si>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</si>
  <si>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</si>
  <si>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</si>
  <si>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</si>
  <si>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</si>
  <si>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</si>
  <si>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</si>
  <si>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</si>
  <si>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</si>
  <si>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</si>
  <si>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</si>
  <si>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</si>
  <si>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</si>
  <si>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</si>
  <si>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</si>
  <si>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</si>
  <si>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</si>
  <si>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</si>
  <si>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</si>
  <si>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</si>
  <si>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</si>
  <si>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</si>
  <si>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</si>
  <si>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</si>
  <si>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</si>
  <si>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</si>
  <si>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</si>
  <si>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</si>
  <si>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</si>
  <si>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</si>
  <si>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</si>
  <si>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</si>
  <si>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</si>
  <si>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</si>
  <si>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</si>
  <si>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</si>
  <si>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</si>
  <si>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</si>
  <si>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</si>
  <si>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</si>
  <si>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</si>
  <si>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</si>
  <si>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</si>
  <si>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</si>
  <si>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</si>
  <si>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</si>
  <si>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</si>
  <si>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</si>
  <si>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</si>
  <si>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</si>
  <si>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</si>
  <si>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</si>
  <si>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</si>
  <si>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</si>
  <si>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</si>
  <si>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</si>
  <si>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</si>
  <si>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</si>
  <si>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</si>
  <si>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</si>
  <si>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</si>
  <si>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</si>
  <si>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</si>
  <si>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</si>
  <si>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</si>
  <si>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</si>
  <si>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</si>
  <si>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</si>
  <si>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</si>
  <si>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</si>
  <si>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</si>
  <si>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</si>
  <si>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</si>
  <si>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</si>
  <si>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</si>
  <si>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</si>
  <si>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</si>
  <si>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</si>
  <si>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</si>
  <si>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</si>
  <si>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</si>
  <si>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</si>
  <si>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</si>
  <si>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</si>
  <si>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</si>
  <si>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</si>
  <si>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</si>
  <si>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</si>
  <si>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</si>
  <si>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</si>
  <si>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</si>
  <si>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</si>
  <si>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</si>
  <si>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</si>
  <si>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</si>
  <si>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</si>
  <si>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</si>
  <si>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</si>
  <si>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</si>
  <si>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</si>
  <si>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</si>
  <si>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</si>
  <si>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</si>
  <si>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</si>
  <si>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</si>
  <si>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</si>
  <si>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</si>
  <si>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</si>
  <si>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</si>
  <si>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</si>
  <si>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</si>
  <si>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</si>
  <si>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</si>
  <si>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</si>
  <si>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</si>
  <si>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</si>
  <si>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</si>
  <si>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</si>
  <si>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</si>
  <si>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</si>
  <si>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</si>
  <si>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</si>
  <si>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</si>
  <si>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</si>
  <si>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</si>
  <si>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</si>
  <si>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</si>
  <si>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</si>
  <si>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</si>
  <si>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</si>
  <si>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</si>
  <si>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</si>
  <si>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</si>
  <si>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</si>
  <si>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</si>
  <si>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</si>
  <si>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</si>
  <si>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</si>
  <si>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</si>
  <si>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</si>
  <si>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</si>
  <si>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</si>
  <si>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</si>
  <si>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</si>
  <si>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</si>
  <si>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</si>
  <si>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</si>
  <si>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</si>
  <si>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</si>
  <si>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</si>
  <si>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</si>
  <si>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</si>
  <si>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</si>
  <si>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</si>
  <si>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</si>
  <si>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</si>
  <si>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</si>
  <si>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</si>
  <si>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</si>
  <si>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</si>
  <si>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</si>
  <si>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</si>
  <si>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</si>
  <si>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</si>
  <si>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</si>
  <si>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</si>
  <si>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</si>
  <si>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</si>
  <si>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</si>
  <si>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</si>
  <si>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</si>
  <si>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</si>
  <si>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</si>
  <si>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</si>
  <si>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</si>
  <si>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</si>
  <si>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</si>
  <si>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</si>
  <si>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</si>
  <si>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</si>
  <si>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</si>
  <si>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</si>
  <si>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</si>
  <si>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</si>
  <si>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</si>
  <si>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</si>
  <si>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</si>
  <si>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</si>
  <si>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</si>
  <si>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</si>
  <si>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</si>
  <si>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</si>
  <si>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</si>
  <si>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</si>
  <si>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</si>
  <si>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</si>
  <si>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</si>
  <si>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</si>
  <si>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</si>
  <si>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</si>
  <si>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</si>
  <si>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</si>
  <si>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</si>
  <si>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</si>
  <si>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</si>
  <si>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</si>
  <si>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</si>
  <si>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</si>
  <si>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</si>
  <si>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</si>
  <si>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</si>
  <si>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</si>
  <si>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</si>
  <si>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</si>
  <si>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</si>
  <si>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</si>
  <si>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</si>
  <si>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</si>
  <si>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</si>
  <si>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</si>
  <si>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</si>
  <si>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</si>
  <si>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</si>
  <si>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</si>
  <si>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</si>
  <si>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</si>
  <si>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</si>
  <si>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</si>
  <si>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</si>
  <si>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</si>
  <si>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</si>
  <si>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</si>
  <si>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</si>
  <si>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</si>
  <si>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</si>
  <si>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</si>
  <si>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</si>
  <si>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</si>
  <si>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</si>
  <si>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</si>
  <si>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</si>
  <si>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</si>
  <si>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</si>
  <si>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</si>
  <si>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</si>
  <si>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</si>
  <si>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</si>
  <si>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</si>
  <si>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</si>
  <si>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</si>
  <si>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</si>
  <si>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</si>
  <si>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</si>
  <si>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</si>
  <si>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</si>
  <si>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</si>
  <si>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</si>
  <si>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</si>
  <si>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</si>
  <si>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</si>
  <si>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</si>
  <si>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</si>
  <si>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</si>
  <si>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</si>
  <si>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</si>
  <si>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</si>
  <si>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</si>
  <si>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</si>
  <si>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</si>
  <si>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</si>
  <si>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</si>
  <si>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</si>
  <si>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</si>
  <si>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</si>
  <si>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</si>
  <si>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</si>
  <si>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</si>
  <si>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</si>
  <si>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</si>
  <si>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</si>
  <si>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</si>
  <si>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</si>
  <si>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</si>
  <si>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</si>
  <si>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</si>
  <si>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</si>
  <si>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</si>
  <si>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</si>
  <si>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</si>
  <si>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</si>
  <si>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</si>
  <si>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</si>
  <si>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</si>
  <si>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</si>
  <si>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</si>
  <si>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</si>
  <si>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</si>
  <si>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</si>
  <si>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</si>
  <si>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</si>
  <si>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</si>
  <si>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</si>
  <si>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</si>
  <si>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</si>
  <si>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</si>
  <si>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</si>
  <si>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</si>
  <si>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</si>
  <si>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</si>
  <si>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</si>
  <si>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</si>
  <si>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</si>
  <si>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</si>
  <si>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</si>
  <si>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</si>
  <si>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</si>
  <si>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</si>
  <si>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</si>
  <si>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</si>
  <si>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</si>
  <si>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</si>
  <si>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</si>
  <si>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</si>
  <si>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</si>
  <si>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</si>
  <si>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</si>
  <si>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</si>
  <si>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</si>
  <si>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</si>
  <si>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</si>
  <si>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</si>
  <si>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</si>
  <si>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</si>
  <si>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</si>
  <si>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</si>
  <si>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</si>
  <si>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</si>
  <si>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</si>
  <si>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</si>
  <si>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</si>
  <si>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</si>
  <si>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</si>
  <si>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</si>
  <si>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</si>
  <si>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</si>
  <si>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</si>
  <si>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</si>
  <si>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</si>
  <si>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</si>
  <si>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</si>
  <si>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</si>
  <si>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</si>
  <si>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</si>
  <si>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</si>
  <si>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</si>
  <si>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</si>
  <si>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</si>
  <si>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</si>
  <si>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</si>
  <si>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</si>
  <si>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</si>
  <si>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</si>
  <si>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</si>
  <si>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</si>
  <si>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</si>
  <si>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</si>
  <si>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</si>
  <si>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</si>
  <si>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</si>
  <si>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</si>
  <si>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</si>
  <si>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</si>
  <si>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</si>
  <si>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</si>
  <si>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</si>
  <si>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</si>
  <si>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</si>
  <si>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</si>
  <si>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</si>
  <si>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</si>
  <si>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</si>
  <si>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</si>
  <si>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</si>
  <si>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</si>
  <si>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</si>
  <si>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</si>
  <si>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</si>
  <si>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</si>
  <si>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</si>
  <si>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</si>
  <si>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</si>
  <si>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</si>
  <si>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</si>
  <si>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</si>
  <si>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</si>
  <si>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</si>
  <si>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</si>
  <si>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</si>
  <si>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</si>
  <si>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</si>
  <si>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</si>
  <si>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</si>
  <si>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</si>
  <si>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</si>
  <si>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</si>
  <si>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</si>
  <si>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</si>
  <si>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</si>
  <si>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</si>
  <si>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</si>
  <si>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</si>
  <si>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</si>
  <si>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</si>
  <si>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</si>
  <si>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</si>
  <si>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</si>
  <si>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</si>
  <si>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</si>
  <si>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</si>
  <si>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</si>
  <si>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</si>
  <si>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</si>
  <si>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</si>
  <si>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</si>
  <si>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</si>
  <si>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</si>
  <si>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</si>
  <si>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</si>
  <si>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</si>
  <si>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</si>
  <si>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</si>
  <si>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</si>
  <si>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</si>
  <si>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</si>
  <si>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</si>
  <si>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</si>
  <si>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</si>
  <si>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</si>
  <si>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</si>
  <si>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</si>
  <si>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</si>
  <si>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</si>
  <si>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</si>
  <si>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</si>
  <si>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</si>
  <si>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</si>
  <si>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</si>
  <si>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</si>
  <si>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</si>
  <si>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</si>
  <si>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</si>
  <si>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</si>
  <si>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</si>
  <si>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</si>
  <si>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</si>
  <si>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</si>
  <si>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</si>
  <si>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</si>
  <si>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</si>
  <si>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</si>
  <si>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</si>
  <si>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</si>
  <si>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</si>
  <si>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</si>
  <si>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</si>
  <si>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</si>
  <si>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</si>
  <si>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</si>
  <si>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</si>
  <si>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</si>
  <si>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</si>
  <si>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</si>
  <si>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</si>
  <si>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</si>
  <si>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</si>
  <si>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</si>
  <si>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</si>
  <si>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</si>
  <si>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</si>
  <si>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</si>
  <si>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</si>
  <si>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</si>
  <si>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</si>
  <si>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</si>
  <si>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</si>
  <si>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</si>
  <si>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</si>
  <si>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</si>
  <si>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</si>
  <si>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</si>
  <si>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</si>
  <si>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</si>
  <si>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</si>
  <si>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</si>
  <si>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</si>
  <si>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</si>
  <si>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</si>
  <si>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</si>
  <si>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</si>
  <si>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</si>
  <si>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</si>
  <si>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</si>
  <si>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</si>
  <si>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</si>
  <si>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</si>
  <si>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</si>
  <si>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</si>
  <si>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</si>
  <si>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</si>
  <si>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</si>
  <si>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</si>
  <si>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</si>
  <si>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</si>
  <si>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</si>
  <si>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</si>
  <si>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</si>
  <si>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</si>
  <si>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</si>
  <si>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</si>
  <si>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</si>
  <si>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</si>
  <si>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</si>
  <si>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</si>
  <si>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</si>
  <si>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</si>
  <si>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</si>
  <si>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</si>
  <si>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</si>
  <si>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</si>
  <si>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</si>
  <si>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</si>
  <si>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</si>
  <si>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</si>
  <si>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</si>
  <si>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</si>
  <si>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</si>
  <si>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</si>
  <si>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</si>
  <si>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</si>
  <si>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</si>
  <si>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</si>
  <si>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</si>
  <si>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</si>
  <si>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</si>
  <si>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</si>
  <si>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</si>
  <si>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</si>
  <si>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</si>
  <si>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</si>
  <si>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</si>
  <si>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</si>
  <si>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</si>
  <si>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</si>
  <si>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</si>
  <si>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</si>
  <si>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</si>
  <si>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</si>
  <si>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</si>
  <si>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</si>
  <si>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</si>
  <si>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</si>
  <si>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</si>
  <si>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</si>
  <si>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</si>
  <si>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</si>
  <si>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</si>
  <si>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</si>
  <si>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</si>
  <si>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</si>
  <si>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</si>
  <si>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</si>
  <si>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</si>
  <si>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</si>
  <si>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</si>
  <si>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</si>
  <si>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</si>
  <si>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</si>
  <si>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</si>
  <si>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</si>
  <si>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</si>
  <si>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</si>
  <si>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</si>
  <si>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</si>
  <si>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</si>
  <si>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</si>
  <si>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</si>
  <si>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</si>
  <si>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</si>
  <si>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</si>
  <si>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</si>
  <si>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</si>
  <si>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</si>
  <si>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</si>
  <si>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</si>
  <si>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</si>
  <si>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</si>
  <si>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</si>
  <si>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</si>
  <si>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</si>
  <si>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</si>
  <si>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</si>
  <si>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</si>
  <si>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</si>
  <si>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</si>
  <si>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</si>
  <si>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</si>
  <si>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</si>
  <si>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</si>
  <si>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</si>
  <si>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</si>
  <si>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</si>
  <si>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</si>
  <si>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</si>
  <si>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</si>
  <si>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</si>
  <si>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</si>
  <si>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</si>
  <si>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</si>
  <si>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</si>
  <si>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</si>
  <si>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</si>
  <si>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</si>
  <si>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</si>
  <si>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</si>
  <si>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</si>
  <si>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</si>
  <si>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</si>
  <si>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</si>
  <si>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</si>
  <si>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</si>
  <si>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</si>
  <si>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</si>
  <si>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</si>
  <si>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</si>
  <si>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</si>
  <si>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</si>
  <si>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</si>
  <si>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</si>
  <si>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</si>
  <si>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</si>
  <si>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</si>
  <si>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</si>
  <si>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</si>
  <si>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</si>
  <si>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</si>
  <si>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</si>
  <si>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</si>
  <si>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</si>
  <si>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</si>
  <si>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</si>
  <si>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</si>
  <si>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</si>
  <si>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</si>
  <si>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</si>
  <si>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</si>
  <si>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</si>
  <si>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</si>
  <si>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</si>
  <si>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</si>
  <si>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</si>
  <si>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</si>
  <si>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</si>
  <si>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</si>
  <si>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</si>
  <si>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</si>
  <si>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</si>
  <si>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</si>
  <si>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</si>
  <si>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</si>
  <si>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</si>
  <si>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</si>
  <si>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</si>
  <si>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</si>
  <si>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</si>
  <si>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</si>
  <si>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</si>
  <si>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</si>
  <si>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</si>
  <si>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</si>
  <si>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</si>
  <si>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</si>
  <si>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</si>
  <si>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</si>
  <si>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</si>
  <si>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</si>
  <si>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</si>
  <si>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</si>
  <si>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</si>
  <si>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</si>
  <si>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</si>
  <si>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</si>
  <si>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</si>
  <si>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</si>
  <si>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</si>
  <si>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</si>
  <si>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</si>
  <si>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</si>
  <si>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</si>
  <si>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</si>
  <si>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</si>
  <si>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</si>
  <si>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</si>
  <si>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</si>
  <si>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</si>
  <si>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</si>
  <si>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</si>
  <si>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</si>
  <si>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</si>
  <si>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</si>
  <si>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</si>
  <si>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</si>
  <si>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</si>
  <si>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</si>
  <si>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</si>
  <si>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</si>
  <si>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</si>
  <si>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</si>
  <si>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</si>
  <si>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</si>
  <si>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</si>
  <si>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</si>
  <si>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</si>
  <si>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</si>
  <si>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</si>
  <si>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</si>
  <si>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</si>
  <si>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</si>
  <si>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</si>
  <si>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</si>
  <si>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</si>
  <si>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</si>
  <si>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</si>
  <si>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</si>
  <si>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</si>
  <si>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</si>
  <si>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</si>
  <si>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</si>
  <si>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</si>
  <si>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</si>
  <si>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</si>
  <si>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</si>
  <si>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</si>
  <si>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</si>
  <si>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</si>
  <si>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</si>
  <si>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</si>
  <si>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</si>
  <si>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</si>
  <si>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</si>
  <si>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</si>
  <si>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</si>
  <si>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</si>
  <si>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</si>
  <si>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</si>
  <si>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</si>
  <si>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</si>
  <si>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</si>
  <si>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</si>
  <si>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</si>
  <si>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</si>
  <si>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</si>
  <si>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</si>
  <si>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</si>
  <si>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</si>
  <si>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</si>
  <si>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</si>
  <si>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</si>
  <si>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</si>
  <si>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</si>
  <si>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</si>
  <si>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</si>
  <si>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</si>
  <si>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</si>
  <si>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</si>
  <si>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</si>
  <si>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</si>
  <si>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</si>
  <si>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</si>
  <si>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</si>
  <si>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</si>
  <si>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</si>
  <si>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</si>
  <si>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</si>
  <si>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</si>
  <si>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</si>
  <si>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</si>
  <si>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</si>
  <si>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</si>
  <si>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</si>
  <si>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</si>
  <si>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</si>
  <si>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</si>
  <si>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</si>
  <si>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</si>
  <si>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</si>
  <si>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</si>
  <si>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</si>
  <si>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</si>
  <si>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</si>
  <si>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</si>
  <si>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</si>
  <si>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</si>
  <si>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</si>
  <si>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</si>
  <si>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</si>
  <si>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</si>
  <si>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</si>
  <si>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</si>
  <si>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</si>
  <si>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</si>
  <si>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</si>
  <si>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</si>
  <si>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</si>
  <si>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</si>
  <si>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</si>
  <si>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</si>
  <si>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</si>
  <si>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</si>
  <si>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</si>
  <si>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</si>
  <si>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</si>
  <si>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</si>
  <si>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</si>
  <si>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</si>
  <si>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</si>
  <si>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</si>
  <si>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</si>
  <si>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</si>
  <si>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</si>
  <si>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</si>
  <si>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</si>
  <si>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</si>
  <si>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</si>
  <si>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</si>
  <si>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</si>
  <si>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</si>
  <si>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</si>
  <si>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</si>
  <si>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</si>
  <si>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</si>
  <si>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</si>
  <si>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</si>
  <si>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</si>
  <si>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</si>
  <si>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</si>
  <si>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</si>
  <si>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</si>
  <si>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</si>
  <si>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</si>
  <si>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</si>
  <si>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</si>
  <si>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</si>
  <si>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</si>
  <si>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</si>
  <si>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</si>
  <si>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</si>
  <si>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</si>
  <si>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</si>
  <si>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</si>
  <si>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</si>
  <si>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</si>
  <si>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</si>
  <si>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</si>
  <si>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</si>
  <si>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</si>
  <si>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</si>
  <si>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</si>
  <si>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</si>
  <si>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</si>
  <si>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</si>
  <si>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</si>
  <si>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</si>
  <si>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</si>
  <si>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</si>
  <si>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</si>
  <si>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</si>
  <si>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</si>
  <si>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</si>
  <si>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</si>
  <si>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</si>
  <si>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</si>
  <si>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</si>
  <si>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</si>
  <si>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</si>
  <si>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</si>
  <si>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</si>
  <si>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</si>
  <si>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</si>
  <si>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</si>
  <si>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</si>
  <si>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</si>
  <si>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</si>
  <si>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</si>
  <si>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</si>
  <si>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</si>
  <si>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</si>
  <si>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</si>
  <si>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</si>
  <si>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</si>
  <si>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</si>
  <si>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</si>
  <si>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</si>
  <si>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</si>
  <si>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</si>
  <si>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</si>
  <si>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</si>
  <si>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</si>
  <si>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</si>
  <si>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</si>
  <si>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</si>
  <si>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</si>
  <si>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</si>
  <si>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</si>
  <si>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</si>
  <si>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</si>
  <si>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</si>
  <si>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</si>
  <si>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</si>
  <si>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</si>
  <si>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</si>
  <si>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</si>
  <si>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</si>
  <si>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</si>
  <si>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</si>
  <si>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</si>
  <si>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</si>
  <si>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</si>
  <si>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</si>
  <si>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</si>
  <si>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</si>
  <si>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</si>
  <si>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</si>
  <si>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</si>
  <si>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</si>
  <si>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</si>
  <si>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</si>
  <si>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</si>
  <si>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</si>
  <si>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</si>
  <si>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</si>
  <si>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</si>
  <si>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</si>
  <si>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</si>
  <si>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</si>
  <si>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</si>
  <si>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</si>
  <si>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</si>
  <si>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</si>
  <si>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</si>
  <si>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</si>
  <si>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</si>
  <si>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</si>
  <si>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</si>
  <si>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</si>
  <si>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</si>
  <si>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</si>
  <si>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</si>
  <si>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</si>
  <si>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</si>
  <si>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</si>
  <si>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</si>
  <si>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</si>
  <si>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</si>
  <si>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</si>
  <si>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</si>
  <si>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</si>
  <si>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</si>
  <si>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</si>
  <si>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</si>
  <si>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</si>
  <si>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</si>
  <si>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</si>
  <si>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</si>
  <si>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</si>
  <si>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</si>
  <si>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</si>
  <si>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</si>
  <si>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</si>
  <si>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</si>
  <si>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</si>
  <si>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</si>
  <si>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</si>
  <si>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</si>
  <si>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</si>
  <si>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</si>
  <si>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</si>
  <si>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</si>
  <si>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</si>
  <si>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</si>
  <si>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</si>
  <si>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</si>
  <si>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</si>
  <si>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</si>
  <si>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</si>
  <si>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</si>
  <si>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</si>
  <si>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</si>
  <si>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</si>
  <si>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</si>
  <si>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</si>
  <si>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</si>
  <si>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</si>
  <si>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</si>
  <si>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</si>
  <si>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</si>
  <si>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</si>
  <si>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</si>
  <si>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</si>
  <si>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</si>
  <si>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</si>
  <si>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</si>
  <si>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</si>
  <si>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</si>
  <si>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</si>
  <si>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</si>
  <si>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</si>
  <si>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</si>
  <si>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</si>
  <si>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</si>
  <si>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</si>
  <si>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</si>
  <si>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</si>
  <si>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</si>
  <si>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</si>
  <si>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</si>
  <si>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</si>
  <si>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</si>
  <si>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</si>
  <si>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</si>
  <si>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</si>
  <si>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</si>
  <si>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</si>
  <si>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</si>
  <si>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</si>
  <si>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</si>
  <si>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</si>
  <si>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</si>
  <si>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</si>
  <si>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</si>
  <si>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</si>
  <si>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</si>
  <si>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</si>
  <si>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</si>
  <si>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</si>
  <si>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</si>
  <si>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</si>
  <si>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</si>
  <si>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</si>
  <si>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</si>
  <si>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</si>
  <si>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</si>
  <si>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</si>
  <si>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</si>
  <si>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</si>
  <si>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</si>
  <si>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</si>
  <si>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</si>
  <si>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</si>
  <si>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</si>
  <si>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</si>
  <si>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</si>
  <si>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</si>
  <si>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</si>
  <si>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</si>
  <si>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</si>
  <si>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</si>
  <si>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</si>
  <si>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</si>
  <si>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</si>
  <si>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</si>
  <si>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</si>
  <si>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</si>
  <si>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</si>
  <si>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</si>
  <si>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</si>
  <si>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</si>
  <si>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</si>
  <si>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</si>
  <si>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</si>
  <si>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</si>
  <si>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</si>
  <si>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</si>
  <si>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</si>
  <si>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</si>
  <si>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</si>
  <si>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</si>
  <si>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</si>
  <si>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</si>
  <si>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</si>
  <si>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</si>
  <si>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</si>
  <si>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</si>
  <si>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</si>
  <si>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</si>
  <si>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</si>
  <si>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</si>
  <si>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</si>
  <si>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</si>
  <si>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</si>
  <si>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</si>
  <si>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</si>
  <si>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</si>
  <si>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</si>
  <si>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</si>
  <si>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</si>
  <si>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</si>
  <si>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</si>
  <si>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</si>
  <si>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</si>
  <si>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</si>
  <si>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</si>
  <si>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</si>
  <si>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</si>
  <si>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</si>
  <si>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</si>
  <si>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</si>
  <si>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</si>
  <si>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</si>
  <si>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</si>
  <si>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</si>
  <si>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</si>
  <si>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</si>
  <si>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</si>
  <si>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</si>
  <si>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</si>
  <si>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</si>
  <si>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</si>
  <si>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</si>
  <si>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</si>
  <si>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</si>
  <si>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</si>
  <si>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</si>
  <si>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</si>
  <si>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</si>
  <si>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</si>
  <si>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</si>
  <si>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</si>
  <si>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</si>
  <si>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</si>
  <si>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</si>
  <si>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</si>
  <si>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</si>
  <si>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</si>
  <si>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</si>
  <si>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</si>
  <si>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</si>
  <si>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</si>
  <si>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</si>
  <si>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</si>
  <si>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</si>
  <si>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</si>
  <si>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</si>
  <si>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</si>
  <si>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</si>
  <si>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</si>
  <si>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</si>
  <si>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</si>
  <si>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</si>
  <si>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</si>
  <si>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</si>
  <si>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</si>
  <si>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</si>
  <si>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</si>
  <si>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</si>
  <si>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</si>
  <si>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</si>
  <si>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</si>
  <si>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</si>
  <si>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</si>
  <si>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</si>
  <si>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</si>
  <si>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</si>
  <si>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</si>
  <si>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</si>
  <si>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</si>
  <si>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</si>
  <si>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</si>
  <si>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</si>
  <si>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</si>
  <si>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</si>
  <si>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</si>
  <si>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</si>
  <si>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</si>
  <si>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</si>
  <si>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</si>
  <si>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</si>
  <si>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</si>
  <si>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</si>
  <si>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</si>
  <si>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</si>
  <si>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</si>
  <si>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</si>
  <si>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</si>
  <si>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</si>
  <si>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</si>
  <si>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</si>
  <si>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</si>
  <si>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</si>
  <si>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</si>
  <si>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</si>
  <si>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</si>
  <si>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</si>
  <si>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</si>
  <si>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</si>
  <si>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</si>
  <si>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</si>
  <si>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</si>
  <si>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</si>
  <si>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</si>
  <si>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</si>
  <si>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</si>
  <si>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</si>
  <si>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</si>
  <si>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</si>
  <si>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</si>
  <si>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</si>
  <si>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</si>
  <si>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</si>
  <si>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</si>
  <si>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</si>
  <si>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</si>
  <si>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</si>
  <si>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</si>
  <si>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</si>
  <si>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</si>
  <si>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</si>
  <si>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</si>
  <si>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</si>
  <si>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</si>
  <si>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</si>
  <si>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</si>
  <si>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</si>
  <si>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</si>
  <si>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</si>
  <si>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</si>
  <si>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</si>
  <si>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</si>
  <si>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</si>
  <si>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</si>
  <si>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</si>
  <si>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</si>
  <si>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</si>
  <si>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</si>
  <si>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</si>
  <si>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</si>
  <si>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</si>
  <si>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</si>
  <si>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</si>
  <si>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</si>
  <si>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</si>
  <si>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</si>
  <si>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</si>
  <si>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</si>
  <si>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</si>
  <si>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</si>
  <si>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</si>
  <si>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</si>
  <si>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</si>
  <si>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</si>
  <si>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</si>
  <si>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</si>
  <si>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</si>
  <si>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</si>
  <si>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</si>
  <si>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</si>
  <si>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</si>
  <si>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</si>
  <si>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</si>
  <si>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</si>
  <si>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</si>
  <si>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</si>
  <si>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</si>
  <si>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</si>
  <si>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</si>
  <si>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</si>
  <si>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</si>
  <si>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</si>
  <si>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</si>
  <si>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</si>
  <si>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</si>
  <si>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</si>
  <si>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</si>
  <si>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</si>
  <si>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</si>
  <si>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</si>
  <si>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</si>
  <si>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</si>
  <si>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</si>
  <si>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</si>
  <si>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</si>
  <si>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</si>
  <si>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</si>
  <si>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</si>
  <si>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</si>
  <si>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</si>
  <si>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</si>
  <si>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</si>
  <si>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</si>
  <si>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</si>
  <si>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</si>
  <si>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</si>
  <si>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</si>
  <si>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</si>
  <si>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</si>
  <si>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</si>
  <si>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</si>
  <si>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</si>
  <si>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</si>
  <si>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</si>
  <si>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</si>
  <si>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</si>
  <si>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</si>
  <si>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</si>
  <si>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</si>
  <si>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</si>
  <si>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</si>
  <si>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</si>
  <si>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</si>
  <si>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</si>
  <si>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</si>
  <si>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</si>
  <si>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</si>
  <si>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</si>
  <si>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</si>
  <si>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</si>
  <si>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</si>
  <si>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</si>
  <si>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</si>
  <si>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</si>
  <si>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</si>
  <si>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</si>
  <si>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</si>
  <si>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</si>
  <si>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</si>
  <si>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</si>
  <si>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</si>
  <si>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</si>
  <si>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</si>
  <si>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</si>
  <si>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</si>
  <si>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</si>
  <si>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</si>
  <si>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</si>
  <si>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</si>
  <si>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</si>
  <si>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</si>
  <si>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</si>
  <si>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</si>
  <si>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</si>
  <si>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</si>
  <si>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</si>
  <si>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</si>
  <si>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</si>
  <si>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</si>
  <si>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</si>
  <si>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</si>
  <si>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</si>
  <si>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</si>
  <si>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</si>
  <si>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</si>
  <si>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</si>
  <si>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</si>
  <si>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</si>
  <si>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</si>
  <si>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</si>
  <si>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</si>
  <si>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</si>
  <si>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</si>
  <si>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</si>
  <si>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</si>
  <si>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</si>
  <si>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</si>
  <si>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</si>
  <si>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</si>
  <si>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</si>
  <si>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</si>
  <si>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</si>
  <si>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</si>
  <si>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</si>
  <si>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</si>
  <si>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</si>
  <si>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</si>
  <si>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</si>
  <si>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</si>
  <si>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</si>
  <si>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</si>
  <si>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</si>
  <si>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</si>
  <si>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</si>
  <si>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</si>
  <si>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</si>
  <si>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</si>
  <si>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</si>
  <si>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</si>
  <si>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</si>
  <si>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</si>
  <si>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</si>
  <si>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</si>
  <si>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</si>
  <si>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</si>
  <si>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</si>
  <si>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</si>
  <si>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</si>
  <si>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</si>
  <si>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</si>
  <si>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</si>
  <si>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</si>
  <si>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</si>
  <si>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</si>
  <si>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</si>
  <si>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</si>
  <si>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</si>
  <si>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</si>
  <si>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</si>
  <si>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</si>
  <si>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</si>
  <si>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</si>
  <si>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</si>
  <si>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</si>
  <si>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</si>
  <si>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</si>
  <si>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</si>
  <si>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</si>
  <si>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</si>
  <si>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</si>
  <si>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</si>
  <si>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</si>
  <si>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</si>
  <si>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</si>
  <si>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</si>
  <si>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</si>
  <si>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</si>
  <si>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</si>
  <si>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</si>
  <si>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</si>
  <si>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</si>
  <si>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</si>
  <si>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</si>
  <si>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</si>
  <si>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</si>
  <si>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</si>
  <si>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</si>
  <si>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</si>
  <si>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</si>
  <si>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</si>
  <si>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</si>
  <si>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</si>
  <si>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</si>
  <si>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</si>
  <si>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</si>
  <si>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</si>
  <si>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</si>
  <si>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</si>
  <si>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</si>
  <si>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</si>
  <si>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</si>
  <si>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</si>
  <si>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</si>
  <si>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</si>
  <si>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</si>
  <si>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</si>
  <si>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</si>
  <si>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</si>
  <si>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</si>
  <si>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</si>
  <si>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</si>
  <si>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</si>
  <si>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</si>
  <si>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</si>
  <si>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</si>
  <si>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</si>
  <si>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</si>
  <si>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</si>
  <si>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</si>
  <si>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</si>
  <si>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</si>
  <si>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</si>
  <si>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</si>
  <si>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</si>
  <si>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</si>
  <si>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</si>
  <si>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</si>
  <si>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</si>
  <si>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</si>
  <si>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</si>
  <si>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</si>
  <si>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</si>
  <si>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</si>
  <si>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</si>
  <si>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</si>
  <si>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</si>
  <si>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</si>
  <si>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</si>
  <si>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</si>
  <si>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</si>
  <si>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</si>
  <si>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</si>
  <si>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</si>
  <si>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</si>
  <si>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</si>
  <si>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</si>
  <si>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</si>
  <si>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</si>
  <si>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</si>
  <si>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</si>
  <si>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</si>
  <si>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</si>
  <si>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</si>
  <si>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</si>
  <si>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</si>
  <si>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</si>
  <si>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</si>
  <si>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</si>
  <si>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</si>
  <si>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</si>
  <si>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</si>
  <si>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</si>
  <si>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</si>
  <si>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</si>
  <si>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</si>
  <si>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</si>
  <si>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</si>
  <si>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</si>
  <si>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</si>
  <si>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</si>
  <si>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</si>
  <si>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</si>
  <si>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</si>
  <si>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</si>
  <si>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</si>
  <si>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</si>
  <si>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</si>
  <si>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</si>
  <si>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</si>
  <si>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</si>
  <si>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</si>
  <si>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</si>
  <si>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</si>
  <si>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</si>
  <si>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</si>
  <si>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</si>
  <si>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</si>
  <si>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</si>
  <si>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</si>
  <si>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</si>
  <si>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</si>
  <si>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</si>
  <si>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</si>
  <si>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</si>
  <si>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</si>
  <si>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</si>
  <si>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</si>
  <si>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</si>
  <si>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</si>
  <si>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</si>
  <si>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</si>
  <si>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</si>
  <si>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</si>
  <si>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</si>
  <si>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</si>
  <si>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</si>
  <si>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</si>
  <si>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</si>
  <si>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</si>
  <si>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</si>
  <si>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</si>
  <si>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</si>
  <si>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</si>
  <si>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</si>
  <si>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</si>
  <si>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</si>
  <si>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</si>
  <si>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</si>
  <si>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</si>
  <si>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</si>
  <si>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</si>
  <si>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</si>
  <si>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</si>
  <si>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</si>
  <si>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</si>
  <si>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</si>
  <si>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</si>
  <si>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</si>
  <si>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</si>
  <si>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</si>
  <si>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</si>
  <si>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</si>
  <si>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</si>
  <si>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</si>
  <si>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</si>
  <si>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</si>
  <si>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</si>
  <si>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</si>
  <si>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</si>
  <si>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</si>
  <si>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</si>
  <si>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</si>
  <si>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</si>
  <si>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</si>
  <si>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</si>
  <si>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</si>
  <si>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</si>
  <si>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</si>
  <si>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</si>
  <si>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</si>
  <si>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</si>
  <si>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</si>
  <si>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</si>
  <si>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</si>
  <si>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</si>
  <si>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</si>
  <si>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</si>
  <si>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</si>
  <si>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</si>
  <si>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</si>
  <si>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</si>
  <si>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</si>
  <si>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</si>
  <si>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</si>
  <si>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</si>
  <si>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</si>
  <si>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</si>
  <si>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</si>
  <si>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</si>
  <si>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</si>
  <si>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</si>
  <si>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</si>
  <si>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</si>
  <si>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</si>
  <si>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</si>
  <si>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</si>
  <si>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</si>
  <si>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</si>
  <si>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</si>
  <si>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</si>
  <si>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</si>
  <si>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</si>
  <si>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</si>
  <si>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</si>
  <si>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</si>
  <si>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</si>
  <si>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</si>
  <si>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</si>
  <si>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</si>
  <si>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</si>
  <si>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</si>
  <si>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</si>
  <si>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</si>
  <si>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</si>
  <si>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</si>
  <si>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</si>
  <si>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</si>
  <si>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</si>
  <si>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</si>
  <si>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</si>
  <si>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</si>
  <si>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</si>
  <si>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</si>
  <si>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</si>
  <si>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</si>
  <si>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</si>
  <si>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</si>
  <si>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</si>
  <si>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</si>
  <si>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</si>
  <si>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</si>
  <si>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</si>
  <si>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</si>
  <si>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</si>
  <si>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</si>
  <si>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</si>
  <si>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</si>
  <si>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</si>
  <si>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</si>
  <si>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</si>
  <si>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</si>
  <si>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</si>
  <si>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</si>
  <si>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</si>
  <si>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</si>
  <si>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</si>
  <si>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</si>
  <si>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</si>
  <si>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</si>
  <si>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</si>
  <si>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</si>
  <si>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</si>
  <si>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</si>
  <si>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</si>
  <si>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</si>
  <si>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</si>
  <si>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</si>
  <si>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</si>
  <si>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</si>
  <si>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</si>
  <si>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</si>
  <si>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</si>
  <si>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</si>
  <si>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</si>
  <si>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</si>
  <si>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</si>
  <si>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</si>
  <si>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</si>
  <si>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</si>
  <si>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</si>
  <si>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</si>
  <si>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</si>
  <si>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</si>
  <si>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</si>
  <si>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</si>
  <si>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</si>
  <si>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</si>
  <si>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</si>
  <si>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</si>
  <si>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</si>
  <si>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</si>
  <si>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</si>
  <si>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</si>
  <si>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</si>
  <si>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</si>
  <si>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</si>
  <si>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</si>
  <si>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</si>
  <si>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</si>
  <si>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</si>
  <si>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</si>
  <si>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</si>
  <si>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</si>
  <si>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</si>
  <si>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</si>
  <si>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</si>
  <si>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</si>
  <si>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</si>
  <si>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</si>
  <si>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</si>
  <si>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</si>
  <si>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</si>
  <si>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</si>
  <si>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</si>
  <si>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</si>
  <si>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</si>
  <si>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</si>
  <si>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</si>
  <si>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</si>
  <si>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</si>
  <si>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</si>
  <si>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</si>
  <si>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</si>
  <si>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</si>
  <si>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</si>
  <si>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</si>
  <si>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</si>
  <si>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</si>
  <si>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</si>
  <si>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</si>
  <si>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</si>
  <si>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</si>
  <si>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</si>
  <si>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</si>
  <si>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</si>
  <si>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</si>
  <si>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</si>
  <si>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</si>
  <si>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</si>
  <si>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</si>
  <si>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</si>
  <si>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</si>
  <si>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</si>
  <si>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</si>
  <si>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</si>
  <si>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</si>
  <si>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Bodega ECU</t>
  </si>
  <si>
    <t>HOSPICARE</t>
  </si>
  <si>
    <t>MEDITOP</t>
  </si>
  <si>
    <t>STERICLIN</t>
  </si>
  <si>
    <t>PRODIMEDA</t>
  </si>
  <si>
    <t>JOTEC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</si>
  <si>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</si>
  <si>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</si>
  <si>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</si>
  <si>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</si>
  <si>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</si>
  <si>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</si>
  <si>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</si>
  <si>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</si>
  <si>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</si>
  <si>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</si>
  <si>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HALYARD</t>
  </si>
  <si>
    <t>JERILEX</t>
  </si>
  <si>
    <t>KIMBERLY CLARK PROFESSIONAL</t>
  </si>
  <si>
    <t>METREX</t>
  </si>
  <si>
    <t>REDAX</t>
  </si>
  <si>
    <t>SAGE</t>
  </si>
  <si>
    <t>STERYLAB</t>
  </si>
  <si>
    <t>VIRUMEC</t>
  </si>
  <si>
    <t xml:space="preserve"> METRICIDE</t>
  </si>
  <si>
    <t>ACCESORIO SET DE AUTOTRANSFUSION</t>
  </si>
  <si>
    <t>ACCESORIOS  CAMPANAS</t>
  </si>
  <si>
    <t>ACCESORIOS CAMPANAS</t>
  </si>
  <si>
    <t>ANGIOGRAFIA</t>
  </si>
  <si>
    <t>BATAS AISLAMIENTO</t>
  </si>
  <si>
    <t>BATAS QUIMIOTERAPIA</t>
  </si>
  <si>
    <t>BOLSAS</t>
  </si>
  <si>
    <t>CAMP. AUTOTRASNF.TRES CAMARAS EN HUMEDO</t>
  </si>
  <si>
    <t>CAMP.AUTOTRANSF.CUATRO CAMARAS EN HUMEDO</t>
  </si>
  <si>
    <t>CAMP.AUTOTRANSF.TRES CAMARAS TOTALM.SECO</t>
  </si>
  <si>
    <t>CAMPANA  DOS CAMARAS</t>
  </si>
  <si>
    <t>CAMPANA CUATRO CAMARAS EN HUMEDO</t>
  </si>
  <si>
    <t>CAMPANA DE CUATRO CAMARAS EN SECO</t>
  </si>
  <si>
    <t>CAMPANA DE TRES CAMARAS HUMEDO</t>
  </si>
  <si>
    <t>CAMPANA DE TRES CAMARAS SECO</t>
  </si>
  <si>
    <t>CAMPANA TRES CAMARAS TOTALMENTE SECO</t>
  </si>
  <si>
    <t>CAMPANA UNICAMERAL</t>
  </si>
  <si>
    <t>CARDIOVASCULAR</t>
  </si>
  <si>
    <t>CATETERES ANGULADOS PVC</t>
  </si>
  <si>
    <t>CATETERES CON TROCAR PUNTA AFILADA</t>
  </si>
  <si>
    <t>CATETERES CON TROCAR PUNTA CERRADA</t>
  </si>
  <si>
    <t>CATETERES DE SILICON ANGULADO</t>
  </si>
  <si>
    <t>CATETERES DE SILICON RECTO</t>
  </si>
  <si>
    <t>CATETERES RECTOS PVC</t>
  </si>
  <si>
    <t>CAVICIDE</t>
  </si>
  <si>
    <t>CAVIWIPES 1</t>
  </si>
  <si>
    <t>CAVIWIPES 1 XL</t>
  </si>
  <si>
    <t>GENERAL</t>
  </si>
  <si>
    <t>GUANTES</t>
  </si>
  <si>
    <t>GUANTES PARA QUIMIOTERAPIA</t>
  </si>
  <si>
    <t>JACKSON PRATT</t>
  </si>
  <si>
    <t>KARDIAL</t>
  </si>
  <si>
    <t>KIMGUARD</t>
  </si>
  <si>
    <t>MASCARILLA RESPIRATORIA N95</t>
  </si>
  <si>
    <t>MASCARILLAS CONTRA LIQUIDOS</t>
  </si>
  <si>
    <t>METRISPONGE</t>
  </si>
  <si>
    <t>MICROCOOL</t>
  </si>
  <si>
    <t>MULTIMAT</t>
  </si>
  <si>
    <t>ORTOPEDIA</t>
  </si>
  <si>
    <t>QCARE Q4</t>
  </si>
  <si>
    <t>QCARE Q8</t>
  </si>
  <si>
    <t>RESERVORIOS</t>
  </si>
  <si>
    <t>SET DE AUTOTRANSFUSION</t>
  </si>
  <si>
    <t>SPIRAL</t>
  </si>
  <si>
    <t>STOKINETA</t>
  </si>
  <si>
    <t>TIRAS REACTIVAS</t>
  </si>
  <si>
    <t>ULTRA</t>
  </si>
  <si>
    <t>UNICO</t>
  </si>
  <si>
    <t>UNIVERSAL</t>
  </si>
  <si>
    <t>VALVULA DE HEIMLICH</t>
  </si>
  <si>
    <t>VISERA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</si>
</sst>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4" tint="0.599963377788628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10" borderId="0" xfId="0" applyFill="1"/>
    <xf numFmtId="0" fontId="0" fillId="10" borderId="0" xfId="0" applyNumberFormat="1" applyFill="1" applyProtection="1"/>
    <xf numFmtId="0" fontId="6" fillId="10" borderId="0" xfId="0" applyNumberFormat="1" applyFont="1" applyFill="1" applyProtection="1"/>
    <xf numFmtId="0" fontId="12" fillId="10" borderId="0" xfId="0" applyNumberFormat="1" applyFont="1" applyFill="1" applyProtection="1"/>
    <xf numFmtId="0" fontId="0" fillId="0" borderId="0" xfId="0" applyNumberFormat="1" applyFill="1" applyProtection="1"/>
    <xf numFmtId="0" fontId="0" fillId="10" borderId="1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  <xf numFmtId="0" fontId="0" fillId="10" borderId="5" xfId="0" applyFill="1" applyBorder="1"/>
    <xf numFmtId="0" fontId="2" fillId="10" borderId="5" xfId="0" applyNumberFormat="1" applyFont="1" applyFill="1" applyBorder="1" applyProtection="1"/>
    <xf numFmtId="0" fontId="0" fillId="10" borderId="5" xfId="0" applyNumberFormat="1" applyFill="1" applyBorder="1" applyProtection="1"/>
    <xf numFmtId="0" fontId="0" fillId="10" borderId="4" xfId="0" applyNumberFormat="1" applyFill="1" applyBorder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4" tint="0.59996337778862885"/>
        </patternFill>
      </fill>
      <protection locked="1" hidden="0"/>
    </dxf>
    <dxf>
      <numFmt numFmtId="0" formatCode="General"/>
      <fill>
        <patternFill patternType="solid">
          <fgColor indexed="64"/>
          <bgColor theme="4" tint="0.59996337778862885"/>
        </patternFill>
      </fill>
      <protection locked="1" hidden="0"/>
    </dxf>
    <dxf>
      <numFmt numFmtId="0" formatCode="General"/>
      <fill>
        <patternFill patternType="solid">
          <fgColor indexed="64"/>
          <bgColor theme="4" tint="0.59996337778862885"/>
        </patternFill>
      </fill>
      <border diagonalUp="0" diagonalDown="0">
        <left/>
        <right/>
        <top/>
        <bottom/>
        <vertical/>
        <horizontal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3171216"/>
        <c:axId val="1443169536"/>
      </c:barChart>
      <c:catAx>
        <c:axId val="144317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1443169536"/>
        <c:crosses val="autoZero"/>
        <c:auto val="1"/>
        <c:lblAlgn val="ctr"/>
        <c:lblOffset val="100"/>
        <c:noMultiLvlLbl val="0"/>
      </c:catAx>
      <c:valAx>
        <c:axId val="14431695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443171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2" val="0"/>
</file>

<file path=xl/ctrlProps/ctrlProp3.xml><?xml version="1.0" encoding="utf-8"?>
<formControlPr xmlns="http://schemas.microsoft.com/office/spreadsheetml/2009/9/main" objectType="List" dx="22" fmlaLink="Combos!$K$1" fmlaRange="Combos!$I$2:$I$11" val="0"/>
</file>

<file path=xl/ctrlProps/ctrlProp4.xml><?xml version="1.0" encoding="utf-8"?>
<formControlPr xmlns="http://schemas.microsoft.com/office/spreadsheetml/2009/9/main" objectType="Drop" dropLines="20" dropStyle="combo" dx="16" fmlaLink="Combos!$O$1" fmlaRange="Combos!$M$2:$M$6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Combos!$S$1" fmlaRange="Combos!$Q$2:$Q$2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Combos!$W$1" fmlaRange="Combos!$U$2:$U$2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Combos!$AA$1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Combos!$AE$1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Combos!$AI$1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Combos!$AM$1" fmlaRange="Combos!$AK$2:$AK$53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Combos!$AQ$1" fmlaRange="Combos!$AO$2:$AO$2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Combos!$AU$1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Combos!$AY$1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Combos!$BC$1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Combos!$BG$1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19</xdr:row>
          <xdr:rowOff>142875</xdr:rowOff>
        </xdr:from>
        <xdr:to>
          <xdr:col>3</xdr:col>
          <xdr:colOff>485775</xdr:colOff>
          <xdr:row>21</xdr:row>
          <xdr:rowOff>161925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628650</xdr:colOff>
          <xdr:row>17</xdr:row>
          <xdr:rowOff>114300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30</xdr:col>
          <xdr:colOff>9525</xdr:colOff>
          <xdr:row>17</xdr:row>
          <xdr:rowOff>95250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57150</xdr:rowOff>
        </xdr:from>
        <xdr:to>
          <xdr:col>1</xdr:col>
          <xdr:colOff>781050</xdr:colOff>
          <xdr:row>21</xdr:row>
          <xdr:rowOff>123825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20</xdr:row>
          <xdr:rowOff>57150</xdr:rowOff>
        </xdr:from>
        <xdr:to>
          <xdr:col>2</xdr:col>
          <xdr:colOff>285750</xdr:colOff>
          <xdr:row>21</xdr:row>
          <xdr:rowOff>123825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114300</xdr:rowOff>
        </xdr:from>
        <xdr:to>
          <xdr:col>7</xdr:col>
          <xdr:colOff>619125</xdr:colOff>
          <xdr:row>18</xdr:row>
          <xdr:rowOff>123825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17</xdr:row>
          <xdr:rowOff>133350</xdr:rowOff>
        </xdr:from>
        <xdr:to>
          <xdr:col>5</xdr:col>
          <xdr:colOff>104775</xdr:colOff>
          <xdr:row>18</xdr:row>
          <xdr:rowOff>104775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6</xdr:row>
          <xdr:rowOff>123825</xdr:rowOff>
        </xdr:from>
        <xdr:to>
          <xdr:col>7</xdr:col>
          <xdr:colOff>619125</xdr:colOff>
          <xdr:row>7</xdr:row>
          <xdr:rowOff>133350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6</xdr:row>
          <xdr:rowOff>142875</xdr:rowOff>
        </xdr:from>
        <xdr:to>
          <xdr:col>5</xdr:col>
          <xdr:colOff>104775</xdr:colOff>
          <xdr:row>7</xdr:row>
          <xdr:rowOff>114300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0</xdr:rowOff>
        </xdr:from>
        <xdr:to>
          <xdr:col>7</xdr:col>
          <xdr:colOff>619125</xdr:colOff>
          <xdr:row>9</xdr:row>
          <xdr:rowOff>9525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8</xdr:row>
          <xdr:rowOff>19050</xdr:rowOff>
        </xdr:from>
        <xdr:to>
          <xdr:col>5</xdr:col>
          <xdr:colOff>104775</xdr:colOff>
          <xdr:row>8</xdr:row>
          <xdr:rowOff>180975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9</xdr:row>
          <xdr:rowOff>76200</xdr:rowOff>
        </xdr:from>
        <xdr:to>
          <xdr:col>7</xdr:col>
          <xdr:colOff>619125</xdr:colOff>
          <xdr:row>10</xdr:row>
          <xdr:rowOff>85725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9</xdr:row>
          <xdr:rowOff>85725</xdr:rowOff>
        </xdr:from>
        <xdr:to>
          <xdr:col>5</xdr:col>
          <xdr:colOff>104775</xdr:colOff>
          <xdr:row>10</xdr:row>
          <xdr:rowOff>57150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142875</xdr:rowOff>
        </xdr:from>
        <xdr:to>
          <xdr:col>7</xdr:col>
          <xdr:colOff>619125</xdr:colOff>
          <xdr:row>11</xdr:row>
          <xdr:rowOff>152400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10</xdr:row>
          <xdr:rowOff>161925</xdr:rowOff>
        </xdr:from>
        <xdr:to>
          <xdr:col>5</xdr:col>
          <xdr:colOff>104775</xdr:colOff>
          <xdr:row>11</xdr:row>
          <xdr:rowOff>133350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12</xdr:row>
          <xdr:rowOff>28575</xdr:rowOff>
        </xdr:from>
        <xdr:to>
          <xdr:col>7</xdr:col>
          <xdr:colOff>619125</xdr:colOff>
          <xdr:row>13</xdr:row>
          <xdr:rowOff>38100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12</xdr:row>
          <xdr:rowOff>38100</xdr:rowOff>
        </xdr:from>
        <xdr:to>
          <xdr:col>5</xdr:col>
          <xdr:colOff>104775</xdr:colOff>
          <xdr:row>13</xdr:row>
          <xdr:rowOff>9525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95250</xdr:rowOff>
        </xdr:from>
        <xdr:to>
          <xdr:col>7</xdr:col>
          <xdr:colOff>619125</xdr:colOff>
          <xdr:row>14</xdr:row>
          <xdr:rowOff>104775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13</xdr:row>
          <xdr:rowOff>114300</xdr:rowOff>
        </xdr:from>
        <xdr:to>
          <xdr:col>5</xdr:col>
          <xdr:colOff>104775</xdr:colOff>
          <xdr:row>14</xdr:row>
          <xdr:rowOff>85725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161925</xdr:rowOff>
        </xdr:from>
        <xdr:to>
          <xdr:col>7</xdr:col>
          <xdr:colOff>619125</xdr:colOff>
          <xdr:row>15</xdr:row>
          <xdr:rowOff>171450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14</xdr:row>
          <xdr:rowOff>180975</xdr:rowOff>
        </xdr:from>
        <xdr:to>
          <xdr:col>5</xdr:col>
          <xdr:colOff>104775</xdr:colOff>
          <xdr:row>15</xdr:row>
          <xdr:rowOff>152400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16</xdr:row>
          <xdr:rowOff>47625</xdr:rowOff>
        </xdr:from>
        <xdr:to>
          <xdr:col>7</xdr:col>
          <xdr:colOff>619125</xdr:colOff>
          <xdr:row>17</xdr:row>
          <xdr:rowOff>57150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16</xdr:row>
          <xdr:rowOff>66675</xdr:rowOff>
        </xdr:from>
        <xdr:to>
          <xdr:col>5</xdr:col>
          <xdr:colOff>104775</xdr:colOff>
          <xdr:row>17</xdr:row>
          <xdr:rowOff>38100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76251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</xdr:row>
          <xdr:rowOff>38100</xdr:rowOff>
        </xdr:from>
        <xdr:to>
          <xdr:col>7</xdr:col>
          <xdr:colOff>619125</xdr:colOff>
          <xdr:row>3</xdr:row>
          <xdr:rowOff>47625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2</xdr:row>
          <xdr:rowOff>57150</xdr:rowOff>
        </xdr:from>
        <xdr:to>
          <xdr:col>5</xdr:col>
          <xdr:colOff>152400</xdr:colOff>
          <xdr:row>3</xdr:row>
          <xdr:rowOff>28575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104775</xdr:rowOff>
        </xdr:from>
        <xdr:to>
          <xdr:col>7</xdr:col>
          <xdr:colOff>619125</xdr:colOff>
          <xdr:row>4</xdr:row>
          <xdr:rowOff>114300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3</xdr:row>
          <xdr:rowOff>123825</xdr:rowOff>
        </xdr:from>
        <xdr:to>
          <xdr:col>5</xdr:col>
          <xdr:colOff>152400</xdr:colOff>
          <xdr:row>4</xdr:row>
          <xdr:rowOff>95250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171450</xdr:rowOff>
        </xdr:from>
        <xdr:to>
          <xdr:col>7</xdr:col>
          <xdr:colOff>619125</xdr:colOff>
          <xdr:row>5</xdr:row>
          <xdr:rowOff>180975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0</xdr:rowOff>
        </xdr:from>
        <xdr:to>
          <xdr:col>5</xdr:col>
          <xdr:colOff>152400</xdr:colOff>
          <xdr:row>5</xdr:row>
          <xdr:rowOff>161925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>
    <xdr:from>
      <xdr:col>0</xdr:col>
      <xdr:colOff>28575</xdr:colOff>
      <xdr:row>19</xdr:row>
      <xdr:rowOff>57151</xdr:rowOff>
    </xdr:from>
    <xdr:to>
      <xdr:col>2</xdr:col>
      <xdr:colOff>361950</xdr:colOff>
      <xdr:row>22</xdr:row>
      <xdr:rowOff>19050</xdr:rowOff>
    </xdr:to>
    <xdr:sp macro="" textlink="">
      <xdr:nvSpPr>
        <xdr:cNvPr id="56" name="Rectángulo redondeado 55"/>
        <xdr:cNvSpPr/>
      </xdr:nvSpPr>
      <xdr:spPr>
        <a:xfrm>
          <a:off x="28575" y="3752851"/>
          <a:ext cx="3609975" cy="533399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4</xdr:col>
      <xdr:colOff>219075</xdr:colOff>
      <xdr:row>0</xdr:row>
      <xdr:rowOff>57150</xdr:rowOff>
    </xdr:from>
    <xdr:to>
      <xdr:col>9</xdr:col>
      <xdr:colOff>200025</xdr:colOff>
      <xdr:row>19</xdr:row>
      <xdr:rowOff>9525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36480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</xdr:row>
          <xdr:rowOff>47625</xdr:rowOff>
        </xdr:from>
        <xdr:to>
          <xdr:col>9</xdr:col>
          <xdr:colOff>114300</xdr:colOff>
          <xdr:row>3</xdr:row>
          <xdr:rowOff>57150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123825</xdr:rowOff>
        </xdr:from>
        <xdr:to>
          <xdr:col>9</xdr:col>
          <xdr:colOff>114300</xdr:colOff>
          <xdr:row>4</xdr:row>
          <xdr:rowOff>133350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5</xdr:row>
          <xdr:rowOff>9525</xdr:rowOff>
        </xdr:from>
        <xdr:to>
          <xdr:col>9</xdr:col>
          <xdr:colOff>114300</xdr:colOff>
          <xdr:row>6</xdr:row>
          <xdr:rowOff>19050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85725</xdr:rowOff>
        </xdr:from>
        <xdr:to>
          <xdr:col>9</xdr:col>
          <xdr:colOff>114300</xdr:colOff>
          <xdr:row>7</xdr:row>
          <xdr:rowOff>95250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161925</xdr:rowOff>
        </xdr:from>
        <xdr:to>
          <xdr:col>9</xdr:col>
          <xdr:colOff>114300</xdr:colOff>
          <xdr:row>8</xdr:row>
          <xdr:rowOff>171450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9</xdr:row>
          <xdr:rowOff>47625</xdr:rowOff>
        </xdr:from>
        <xdr:to>
          <xdr:col>9</xdr:col>
          <xdr:colOff>114300</xdr:colOff>
          <xdr:row>10</xdr:row>
          <xdr:rowOff>57150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114300</xdr:rowOff>
        </xdr:from>
        <xdr:to>
          <xdr:col>9</xdr:col>
          <xdr:colOff>114300</xdr:colOff>
          <xdr:row>11</xdr:row>
          <xdr:rowOff>123825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0</xdr:rowOff>
        </xdr:from>
        <xdr:to>
          <xdr:col>9</xdr:col>
          <xdr:colOff>114300</xdr:colOff>
          <xdr:row>13</xdr:row>
          <xdr:rowOff>9525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13</xdr:row>
          <xdr:rowOff>76200</xdr:rowOff>
        </xdr:from>
        <xdr:to>
          <xdr:col>9</xdr:col>
          <xdr:colOff>114300</xdr:colOff>
          <xdr:row>14</xdr:row>
          <xdr:rowOff>85725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152400</xdr:rowOff>
        </xdr:from>
        <xdr:to>
          <xdr:col>9</xdr:col>
          <xdr:colOff>114300</xdr:colOff>
          <xdr:row>15</xdr:row>
          <xdr:rowOff>161925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16</xdr:row>
          <xdr:rowOff>38100</xdr:rowOff>
        </xdr:from>
        <xdr:to>
          <xdr:col>9</xdr:col>
          <xdr:colOff>114300</xdr:colOff>
          <xdr:row>17</xdr:row>
          <xdr:rowOff>47625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114300</xdr:rowOff>
        </xdr:from>
        <xdr:to>
          <xdr:col>9</xdr:col>
          <xdr:colOff>114300</xdr:colOff>
          <xdr:row>18</xdr:row>
          <xdr:rowOff>123825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638175</xdr:colOff>
          <xdr:row>19</xdr:row>
          <xdr:rowOff>142875</xdr:rowOff>
        </xdr:from>
        <xdr:to>
          <xdr:col>4</xdr:col>
          <xdr:colOff>733425</xdr:colOff>
          <xdr:row>21</xdr:row>
          <xdr:rowOff>161925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3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Origen" cacheId="3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Buffer_por_Color" cacheId="34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Grafico_Buffer_por_Color" cacheId="34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2" totalsRowShown="0">
  <autoFilter ref="E1:E2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11" totalsRowShown="0">
  <autoFilter ref="I1:I11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6" totalsRowShown="0">
  <autoFilter ref="M1:M6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" totalsRowShown="0">
  <autoFilter ref="Q1:Q2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" totalsRowShown="0">
  <autoFilter ref="U1:U2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53" totalsRowShown="0">
  <autoFilter ref="AK1:AK53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2" totalsRowShown="0">
  <autoFilter ref="AO1:AO2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26" Type="http://schemas.openxmlformats.org/officeDocument/2006/relationships/ctrlProp" Target="../ctrlProps/ctrlProp12.xml"/><Relationship Id="rId39" Type="http://schemas.openxmlformats.org/officeDocument/2006/relationships/ctrlProp" Target="../ctrlProps/ctrlProp25.xml"/><Relationship Id="rId21" Type="http://schemas.openxmlformats.org/officeDocument/2006/relationships/ctrlProp" Target="../ctrlProps/ctrlProp7.xml"/><Relationship Id="rId34" Type="http://schemas.openxmlformats.org/officeDocument/2006/relationships/ctrlProp" Target="../ctrlProps/ctrlProp20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control" Target="../activeX/activeX5.xml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table" Target="../tables/table1.xml"/><Relationship Id="rId5" Type="http://schemas.openxmlformats.org/officeDocument/2006/relationships/image" Target="../media/image1.emf"/><Relationship Id="rId19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image" Target="../media/image3.emf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9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4"/>
  <sheetViews>
    <sheetView showGridLines="0" tabSelected="1" workbookViewId="0">
      <selection activeCell="B29" sqref="B29"/>
    </sheetView>
  </sheetViews>
  <sheetFormatPr baseColWidth="10" defaultColWidth="11.42578125" defaultRowHeight="15" x14ac:dyDescent="0.25"/>
  <cols>
    <col min="1" max="1" width="14.42578125" style="48" customWidth="1"/>
    <col min="2" max="2" width="34.7109375" style="48" customWidth="1"/>
    <col min="3" max="8" width="11.42578125" style="48"/>
    <col min="9" max="9" width="14" style="48" hidden="1" customWidth="1"/>
    <col min="10" max="10" width="4.85546875" style="48" customWidth="1"/>
    <col min="11" max="18" width="11.42578125" style="48"/>
    <col min="19" max="16384" width="11.42578125" style="7"/>
  </cols>
  <sheetData>
    <row r="1" spans="1:10" ht="15.75" thickTop="1" x14ac:dyDescent="0.25">
      <c r="A1" s="56"/>
      <c r="B1" s="57"/>
      <c r="C1" s="57"/>
      <c r="D1" s="58"/>
      <c r="E1" s="59"/>
      <c r="F1" s="59"/>
      <c r="G1" s="59"/>
      <c r="H1" s="59"/>
      <c r="I1" s="59" t="s">
        <v>1138</v>
      </c>
      <c r="J1" s="60"/>
    </row>
    <row r="2" spans="1:10" ht="21" x14ac:dyDescent="0.35">
      <c r="A2" s="53"/>
      <c r="B2" s="45"/>
      <c r="C2" s="45"/>
      <c r="D2" s="45"/>
      <c r="E2" s="45"/>
      <c r="F2" s="45"/>
      <c r="G2" s="45"/>
      <c r="H2" s="45"/>
      <c r="I2" s="45" t="s">
        <v>2900</v>
      </c>
      <c r="J2" s="49"/>
    </row>
    <row r="3" spans="1:10" x14ac:dyDescent="0.25">
      <c r="A3" s="52"/>
      <c r="B3" s="44"/>
      <c r="C3" s="45"/>
      <c r="D3" s="47">
        <f t="array" ref="D3">SUM(IFERROR(--(BODEGATRANSFER&amp;PROVEEDORTRANSFER=TABLACONSOLIDADA[Bodega]&amp;TABLACONSOLIDADA[TipoCompra]),0))</f>
        <v>1</v>
      </c>
      <c r="E3" s="45"/>
      <c r="F3" s="45"/>
      <c r="G3" s="45"/>
      <c r="H3" s="45"/>
      <c r="I3" s="45"/>
      <c r="J3" s="49"/>
    </row>
    <row r="4" spans="1:10" x14ac:dyDescent="0.25">
      <c r="A4" s="52"/>
      <c r="B4" s="44"/>
      <c r="C4" s="45"/>
      <c r="D4" s="45"/>
      <c r="E4" s="45"/>
      <c r="F4" s="45"/>
      <c r="G4" s="45"/>
      <c r="H4" s="45"/>
      <c r="I4" s="45"/>
      <c r="J4" s="49"/>
    </row>
    <row r="5" spans="1:10" x14ac:dyDescent="0.25">
      <c r="A5" s="54"/>
      <c r="B5" s="45"/>
      <c r="C5" s="45"/>
      <c r="D5" s="45"/>
      <c r="E5" s="45"/>
      <c r="F5" s="45"/>
      <c r="G5" s="45"/>
      <c r="H5" s="45"/>
      <c r="I5" s="45"/>
      <c r="J5" s="49"/>
    </row>
    <row r="6" spans="1:10" x14ac:dyDescent="0.25">
      <c r="A6" s="54"/>
      <c r="B6" s="45"/>
      <c r="C6" s="45"/>
      <c r="D6" s="45"/>
      <c r="E6" s="45"/>
      <c r="F6" s="45"/>
      <c r="G6" s="45"/>
      <c r="H6" s="45"/>
      <c r="I6" s="45"/>
      <c r="J6" s="49"/>
    </row>
    <row r="7" spans="1:10" x14ac:dyDescent="0.25">
      <c r="A7" s="54"/>
      <c r="B7" s="45"/>
      <c r="C7" s="45"/>
      <c r="D7" s="45"/>
      <c r="E7" s="45"/>
      <c r="F7" s="45"/>
      <c r="G7" s="45"/>
      <c r="H7" s="45"/>
      <c r="I7" s="45"/>
      <c r="J7" s="49"/>
    </row>
    <row r="8" spans="1:10" x14ac:dyDescent="0.25">
      <c r="A8" s="54"/>
      <c r="B8" s="45"/>
      <c r="C8" s="45"/>
      <c r="D8" s="45"/>
      <c r="E8" s="45"/>
      <c r="F8" s="45"/>
      <c r="G8" s="45"/>
      <c r="H8" s="45"/>
      <c r="I8" s="45"/>
      <c r="J8" s="49"/>
    </row>
    <row r="9" spans="1:10" x14ac:dyDescent="0.25">
      <c r="A9" s="52"/>
      <c r="B9" s="44"/>
      <c r="C9" s="45"/>
      <c r="D9" s="45"/>
      <c r="E9" s="45"/>
      <c r="F9" s="45"/>
      <c r="G9" s="45"/>
      <c r="H9" s="45"/>
      <c r="I9" s="45"/>
      <c r="J9" s="49"/>
    </row>
    <row r="10" spans="1:10" x14ac:dyDescent="0.25">
      <c r="A10" s="54"/>
      <c r="B10" s="45"/>
      <c r="C10" s="45"/>
      <c r="D10" s="45"/>
      <c r="E10" s="45"/>
      <c r="F10" s="45"/>
      <c r="G10" s="45"/>
      <c r="H10" s="45"/>
      <c r="I10" s="46"/>
      <c r="J10" s="49"/>
    </row>
    <row r="11" spans="1:10" x14ac:dyDescent="0.25">
      <c r="A11" s="54"/>
      <c r="B11" s="45"/>
      <c r="C11" s="45"/>
      <c r="D11" s="45"/>
      <c r="E11" s="45"/>
      <c r="F11" s="45"/>
      <c r="G11" s="45"/>
      <c r="H11" s="45"/>
      <c r="I11" s="45"/>
      <c r="J11" s="49"/>
    </row>
    <row r="12" spans="1:10" x14ac:dyDescent="0.25">
      <c r="A12" s="54"/>
      <c r="B12" s="45"/>
      <c r="C12" s="45"/>
      <c r="D12" s="45"/>
      <c r="E12" s="45"/>
      <c r="F12" s="45"/>
      <c r="G12" s="45"/>
      <c r="H12" s="45"/>
      <c r="I12" s="45"/>
      <c r="J12" s="49"/>
    </row>
    <row r="13" spans="1:10" x14ac:dyDescent="0.25">
      <c r="A13" s="54"/>
      <c r="B13" s="45"/>
      <c r="C13" s="45"/>
      <c r="D13" s="45"/>
      <c r="E13" s="45"/>
      <c r="F13" s="45"/>
      <c r="G13" s="45"/>
      <c r="H13" s="45"/>
      <c r="I13" s="45"/>
      <c r="J13" s="49"/>
    </row>
    <row r="14" spans="1:10" x14ac:dyDescent="0.25">
      <c r="A14" s="54"/>
      <c r="B14" s="45"/>
      <c r="C14" s="45"/>
      <c r="D14" s="45"/>
      <c r="E14" s="45"/>
      <c r="F14" s="45"/>
      <c r="G14" s="45"/>
      <c r="H14" s="45"/>
      <c r="I14" s="45"/>
      <c r="J14" s="49"/>
    </row>
    <row r="15" spans="1:10" x14ac:dyDescent="0.25">
      <c r="A15" s="54"/>
      <c r="B15" s="45"/>
      <c r="C15" s="45"/>
      <c r="D15" s="45"/>
      <c r="E15" s="45"/>
      <c r="F15" s="45"/>
      <c r="G15" s="45"/>
      <c r="H15" s="45"/>
      <c r="I15" s="45"/>
      <c r="J15" s="49"/>
    </row>
    <row r="16" spans="1:10" x14ac:dyDescent="0.25">
      <c r="A16" s="54"/>
      <c r="B16" s="45"/>
      <c r="C16" s="45"/>
      <c r="D16" s="45"/>
      <c r="E16" s="45"/>
      <c r="F16" s="45"/>
      <c r="G16" s="45"/>
      <c r="H16" s="45"/>
      <c r="I16" s="45"/>
      <c r="J16" s="49"/>
    </row>
    <row r="17" spans="1:10" x14ac:dyDescent="0.25">
      <c r="A17" s="54"/>
      <c r="B17" s="45"/>
      <c r="C17" s="45"/>
      <c r="D17" s="45"/>
      <c r="E17" s="45"/>
      <c r="F17" s="45"/>
      <c r="G17" s="45"/>
      <c r="H17" s="45"/>
      <c r="I17" s="45"/>
      <c r="J17" s="49"/>
    </row>
    <row r="18" spans="1:10" x14ac:dyDescent="0.25">
      <c r="A18" s="54"/>
      <c r="B18" s="45"/>
      <c r="C18" s="45"/>
      <c r="D18" s="45"/>
      <c r="E18" s="45"/>
      <c r="F18" s="45"/>
      <c r="G18" s="45"/>
      <c r="H18" s="45"/>
      <c r="I18" s="45"/>
      <c r="J18" s="49"/>
    </row>
    <row r="19" spans="1:10" x14ac:dyDescent="0.25">
      <c r="A19" s="54"/>
      <c r="B19" s="45"/>
      <c r="C19" s="45"/>
      <c r="D19" s="45"/>
      <c r="E19" s="45"/>
      <c r="F19" s="45"/>
      <c r="G19" s="45"/>
      <c r="H19" s="45"/>
      <c r="I19" s="45"/>
      <c r="J19" s="49"/>
    </row>
    <row r="20" spans="1:10" x14ac:dyDescent="0.25">
      <c r="A20" s="54"/>
      <c r="B20" s="45"/>
      <c r="C20" s="45"/>
      <c r="D20" s="45"/>
      <c r="E20" s="45"/>
      <c r="F20" s="45"/>
      <c r="G20" s="45"/>
      <c r="H20" s="45"/>
      <c r="I20" s="45"/>
      <c r="J20" s="49"/>
    </row>
    <row r="21" spans="1:10" x14ac:dyDescent="0.25">
      <c r="A21" s="54"/>
      <c r="B21" s="45"/>
      <c r="C21" s="45"/>
      <c r="D21" s="45"/>
      <c r="E21" s="45"/>
      <c r="F21" s="45"/>
      <c r="G21" s="45"/>
      <c r="H21" s="45"/>
      <c r="I21" s="45"/>
      <c r="J21" s="49"/>
    </row>
    <row r="22" spans="1:10" x14ac:dyDescent="0.25">
      <c r="A22" s="54"/>
      <c r="B22" s="45"/>
      <c r="C22" s="45"/>
      <c r="D22" s="45"/>
      <c r="E22" s="45"/>
      <c r="F22" s="45"/>
      <c r="G22" s="45"/>
      <c r="H22" s="45"/>
      <c r="I22" s="45"/>
      <c r="J22" s="49"/>
    </row>
    <row r="23" spans="1:10" ht="15.75" thickBot="1" x14ac:dyDescent="0.3">
      <c r="A23" s="55"/>
      <c r="B23" s="50"/>
      <c r="C23" s="50"/>
      <c r="D23" s="50"/>
      <c r="E23" s="50"/>
      <c r="F23" s="50"/>
      <c r="G23" s="50"/>
      <c r="H23" s="50"/>
      <c r="I23" s="50"/>
      <c r="J23" s="51"/>
    </row>
    <row r="24" spans="1:10" ht="15.75" thickTop="1" x14ac:dyDescent="0.25"/>
  </sheetData>
  <sheetProtection algorithmName="SHA-512" hashValue="qvdR8b7Fw1LCjGzS+4iT/ktxwN4qQ5Iyya3fG/2nNu8R3Ws7f2V2je7m2xnTDqEtwv89mRNpJiETwLB8RLkLJQ==" saltValue="1+r/e2FNuvCUFxHakcUiTQ==" spinCount="100000" sheet="1" objects="1" scenarios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12" r:id="rId4" name="cmdCancelar">
          <controlPr defaultSize="0" autoLine="0" r:id="rId5">
            <anchor>
              <from>
                <xdr:col>3</xdr:col>
                <xdr:colOff>638175</xdr:colOff>
                <xdr:row>19</xdr:row>
                <xdr:rowOff>142875</xdr:rowOff>
              </from>
              <to>
                <xdr:col>4</xdr:col>
                <xdr:colOff>733425</xdr:colOff>
                <xdr:row>21</xdr:row>
                <xdr:rowOff>161925</xdr:rowOff>
              </to>
            </anchor>
          </controlPr>
        </control>
      </mc:Choice>
      <mc:Fallback>
        <control shapeId="2112" r:id="rId4" name="cmdCancelar"/>
      </mc:Fallback>
    </mc:AlternateContent>
    <mc:AlternateContent xmlns:mc="http://schemas.openxmlformats.org/markup-compatibility/2006">
      <mc:Choice Requires="x14">
        <control shapeId="2053" r:id="rId6" name="lstProveedor">
          <controlPr defaultSize="0" autoLine="0" r:id="rId7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30</xdr:col>
                <xdr:colOff>9525</xdr:colOff>
                <xdr:row>17</xdr:row>
                <xdr:rowOff>95250</xdr:rowOff>
              </to>
            </anchor>
          </controlPr>
        </control>
      </mc:Choice>
      <mc:Fallback>
        <control shapeId="2053" r:id="rId6" name="lstProveedor"/>
      </mc:Fallback>
    </mc:AlternateContent>
    <mc:AlternateContent xmlns:mc="http://schemas.openxmlformats.org/markup-compatibility/2006">
      <mc:Choice Requires="x14">
        <control shapeId="2052" r:id="rId8" name="lstBodega">
          <controlPr defaultSize="0" autoLine="0" r:id="rId7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24</xdr:col>
                <xdr:colOff>628650</xdr:colOff>
                <xdr:row>17</xdr:row>
                <xdr:rowOff>114300</xdr:rowOff>
              </to>
            </anchor>
          </controlPr>
        </control>
      </mc:Choice>
      <mc:Fallback>
        <control shapeId="2052" r:id="rId8" name="lstBodega"/>
      </mc:Fallback>
    </mc:AlternateContent>
    <mc:AlternateContent xmlns:mc="http://schemas.openxmlformats.org/markup-compatibility/2006">
      <mc:Choice Requires="x14">
        <control shapeId="2051" r:id="rId9" name="cmdFiltrar">
          <controlPr defaultSize="0" autoLine="0" r:id="rId10">
            <anchor>
              <from>
                <xdr:col>2</xdr:col>
                <xdr:colOff>542925</xdr:colOff>
                <xdr:row>19</xdr:row>
                <xdr:rowOff>142875</xdr:rowOff>
              </from>
              <to>
                <xdr:col>3</xdr:col>
                <xdr:colOff>485775</xdr:colOff>
                <xdr:row>21</xdr:row>
                <xdr:rowOff>161925</xdr:rowOff>
              </to>
            </anchor>
          </controlPr>
        </control>
      </mc:Choice>
      <mc:Fallback>
        <control shapeId="2051" r:id="rId9" name="cmdFiltrar"/>
      </mc:Fallback>
    </mc:AlternateContent>
    <mc:AlternateContent xmlns:mc="http://schemas.openxmlformats.org/markup-compatibility/2006">
      <mc:Choice Requires="x14">
        <control shapeId="2055" r:id="rId11" name="optNoEscasez">
          <controlPr defaultSize="0" autoLine="0" r:id="rId12">
            <anchor moveWithCells="1">
              <from>
                <xdr:col>0</xdr:col>
                <xdr:colOff>133350</xdr:colOff>
                <xdr:row>20</xdr:row>
                <xdr:rowOff>57150</xdr:rowOff>
              </from>
              <to>
                <xdr:col>1</xdr:col>
                <xdr:colOff>781050</xdr:colOff>
                <xdr:row>21</xdr:row>
                <xdr:rowOff>123825</xdr:rowOff>
              </to>
            </anchor>
          </controlPr>
        </control>
      </mc:Choice>
      <mc:Fallback>
        <control shapeId="2055" r:id="rId11" name="optNoEscasez"/>
      </mc:Fallback>
    </mc:AlternateContent>
    <mc:AlternateContent xmlns:mc="http://schemas.openxmlformats.org/markup-compatibility/2006">
      <mc:Choice Requires="x14">
        <control shapeId="2056" r:id="rId13" name="optEscasez">
          <controlPr defaultSize="0" autoLine="0" r:id="rId14">
            <anchor moveWithCells="1">
              <from>
                <xdr:col>1</xdr:col>
                <xdr:colOff>523875</xdr:colOff>
                <xdr:row>20</xdr:row>
                <xdr:rowOff>57150</xdr:rowOff>
              </from>
              <to>
                <xdr:col>2</xdr:col>
                <xdr:colOff>285750</xdr:colOff>
                <xdr:row>21</xdr:row>
                <xdr:rowOff>123825</xdr:rowOff>
              </to>
            </anchor>
          </controlPr>
        </control>
      </mc:Choice>
      <mc:Fallback>
        <control shapeId="2056" r:id="rId13" name="optEscasez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Despliega_Combos_Bodega_Proveedor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Trae_Proveedores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17</xdr:row>
                <xdr:rowOff>114300</xdr:rowOff>
              </from>
              <to>
                <xdr:col>7</xdr:col>
                <xdr:colOff>619125</xdr:colOff>
                <xdr:row>18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17</xdr:row>
                <xdr:rowOff>133350</xdr:rowOff>
              </from>
              <to>
                <xdr:col>5</xdr:col>
                <xdr:colOff>104775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6</xdr:row>
                <xdr:rowOff>123825</xdr:rowOff>
              </from>
              <to>
                <xdr:col>7</xdr:col>
                <xdr:colOff>619125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6</xdr:row>
                <xdr:rowOff>142875</xdr:rowOff>
              </from>
              <to>
                <xdr:col>5</xdr:col>
                <xdr:colOff>104775</xdr:colOff>
                <xdr:row>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0</xdr:rowOff>
              </from>
              <to>
                <xdr:col>7</xdr:col>
                <xdr:colOff>619125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8</xdr:row>
                <xdr:rowOff>19050</xdr:rowOff>
              </from>
              <to>
                <xdr:col>5</xdr:col>
                <xdr:colOff>104775</xdr:colOff>
                <xdr:row>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9</xdr:row>
                <xdr:rowOff>76200</xdr:rowOff>
              </from>
              <to>
                <xdr:col>7</xdr:col>
                <xdr:colOff>619125</xdr:colOff>
                <xdr:row>10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9</xdr:row>
                <xdr:rowOff>85725</xdr:rowOff>
              </from>
              <to>
                <xdr:col>5</xdr:col>
                <xdr:colOff>104775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10</xdr:row>
                <xdr:rowOff>142875</xdr:rowOff>
              </from>
              <to>
                <xdr:col>7</xdr:col>
                <xdr:colOff>619125</xdr:colOff>
                <xdr:row>11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10</xdr:row>
                <xdr:rowOff>161925</xdr:rowOff>
              </from>
              <to>
                <xdr:col>5</xdr:col>
                <xdr:colOff>104775</xdr:colOff>
                <xdr:row>11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12</xdr:row>
                <xdr:rowOff>28575</xdr:rowOff>
              </from>
              <to>
                <xdr:col>7</xdr:col>
                <xdr:colOff>619125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12</xdr:row>
                <xdr:rowOff>38100</xdr:rowOff>
              </from>
              <to>
                <xdr:col>5</xdr:col>
                <xdr:colOff>104775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13</xdr:row>
                <xdr:rowOff>95250</xdr:rowOff>
              </from>
              <to>
                <xdr:col>7</xdr:col>
                <xdr:colOff>619125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13</xdr:row>
                <xdr:rowOff>114300</xdr:rowOff>
              </from>
              <to>
                <xdr:col>5</xdr:col>
                <xdr:colOff>104775</xdr:colOff>
                <xdr:row>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14</xdr:row>
                <xdr:rowOff>161925</xdr:rowOff>
              </from>
              <to>
                <xdr:col>7</xdr:col>
                <xdr:colOff>619125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14</xdr:row>
                <xdr:rowOff>180975</xdr:rowOff>
              </from>
              <to>
                <xdr:col>5</xdr:col>
                <xdr:colOff>104775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16</xdr:row>
                <xdr:rowOff>47625</xdr:rowOff>
              </from>
              <to>
                <xdr:col>7</xdr:col>
                <xdr:colOff>619125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16</xdr:row>
                <xdr:rowOff>66675</xdr:rowOff>
              </from>
              <to>
                <xdr:col>5</xdr:col>
                <xdr:colOff>104775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2</xdr:row>
                <xdr:rowOff>38100</xdr:rowOff>
              </from>
              <to>
                <xdr:col>7</xdr:col>
                <xdr:colOff>619125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2</xdr:row>
                <xdr:rowOff>57150</xdr:rowOff>
              </from>
              <to>
                <xdr:col>5</xdr:col>
                <xdr:colOff>152400</xdr:colOff>
                <xdr:row>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3</xdr:row>
                <xdr:rowOff>104775</xdr:rowOff>
              </from>
              <to>
                <xdr:col>7</xdr:col>
                <xdr:colOff>619125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3</xdr:row>
                <xdr:rowOff>123825</xdr:rowOff>
              </from>
              <to>
                <xdr:col>5</xdr:col>
                <xdr:colOff>152400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4</xdr:row>
                <xdr:rowOff>171450</xdr:rowOff>
              </from>
              <to>
                <xdr:col>7</xdr:col>
                <xdr:colOff>619125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0</xdr:rowOff>
              </from>
              <to>
                <xdr:col>5</xdr:col>
                <xdr:colOff>152400</xdr:colOff>
                <xdr:row>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2</xdr:row>
                <xdr:rowOff>47625</xdr:rowOff>
              </from>
              <to>
                <xdr:col>9</xdr:col>
                <xdr:colOff>114300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3</xdr:row>
                <xdr:rowOff>123825</xdr:rowOff>
              </from>
              <to>
                <xdr:col>9</xdr:col>
                <xdr:colOff>114300</xdr:colOff>
                <xdr:row>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5</xdr:row>
                <xdr:rowOff>9525</xdr:rowOff>
              </from>
              <to>
                <xdr:col>9</xdr:col>
                <xdr:colOff>114300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6</xdr:row>
                <xdr:rowOff>85725</xdr:rowOff>
              </from>
              <to>
                <xdr:col>9</xdr:col>
                <xdr:colOff>114300</xdr:colOff>
                <xdr:row>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7</xdr:row>
                <xdr:rowOff>161925</xdr:rowOff>
              </from>
              <to>
                <xdr:col>9</xdr:col>
                <xdr:colOff>114300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9</xdr:row>
                <xdr:rowOff>47625</xdr:rowOff>
              </from>
              <to>
                <xdr:col>9</xdr:col>
                <xdr:colOff>114300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10</xdr:row>
                <xdr:rowOff>114300</xdr:rowOff>
              </from>
              <to>
                <xdr:col>9</xdr:col>
                <xdr:colOff>114300</xdr:colOff>
                <xdr:row>11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0</xdr:rowOff>
              </from>
              <to>
                <xdr:col>9</xdr:col>
                <xdr:colOff>114300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13</xdr:row>
                <xdr:rowOff>76200</xdr:rowOff>
              </from>
              <to>
                <xdr:col>9</xdr:col>
                <xdr:colOff>114300</xdr:colOff>
                <xdr:row>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14</xdr:row>
                <xdr:rowOff>152400</xdr:rowOff>
              </from>
              <to>
                <xdr:col>9</xdr:col>
                <xdr:colOff>114300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16</xdr:row>
                <xdr:rowOff>38100</xdr:rowOff>
              </from>
              <to>
                <xdr:col>9</xdr:col>
                <xdr:colOff>114300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17</xdr:row>
                <xdr:rowOff>114300</xdr:rowOff>
              </from>
              <to>
                <xdr:col>9</xdr:col>
                <xdr:colOff>114300</xdr:colOff>
                <xdr:row>18</xdr:row>
                <xdr:rowOff>123825</xdr:rowOff>
              </to>
            </anchor>
          </controlPr>
        </control>
      </mc:Choice>
    </mc:AlternateContent>
  </controls>
  <tableParts count="1">
    <tablePart r:id="rId5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K53"/>
  <sheetViews>
    <sheetView showGridLines="0" topLeftCell="AV1" workbookViewId="0">
      <selection activeCell="M2" sqref="M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63" max="63" width="18.42578125" customWidth="1"/>
  </cols>
  <sheetData>
    <row r="1" spans="1:63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1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J1" t="s">
        <v>2901</v>
      </c>
      <c r="BK1" t="s">
        <v>209</v>
      </c>
    </row>
    <row r="2" spans="1:63" x14ac:dyDescent="0.25">
      <c r="A2" t="s">
        <v>2896</v>
      </c>
      <c r="C2" t="str">
        <f>IFERROR(INDEX(tbl_empresa[Nombre],num_empresa_seleccionada,1),$A$2)</f>
        <v>HOSPICARE</v>
      </c>
      <c r="E2" t="s">
        <v>2895</v>
      </c>
      <c r="G2" t="str">
        <f>IFERROR(INDEX(tbl_bodega[Nombre],num_bodega_seleccionada,1),$E$2)</f>
        <v>Bodega ECU</v>
      </c>
      <c r="I2" t="s">
        <v>2911</v>
      </c>
      <c r="K2" t="str">
        <f>IFERROR(INDEX(tbl_proveedor[Nombre],num_proveedor_seleccionada,1),$I$2)</f>
        <v>HALYARD</v>
      </c>
      <c r="M2" t="s">
        <v>2911</v>
      </c>
      <c r="O2" t="str">
        <f>IFERROR(INDEX(tbl_marca[Nombre],num_marca_seleccionada,1),$M$2)</f>
        <v>HALYARD</v>
      </c>
      <c r="S2">
        <f>IFERROR(INDEX(tbl_grupo[Nombre],num_grupo_seleccionada,1),$Q$2)</f>
        <v>0</v>
      </c>
      <c r="W2">
        <f>IFERROR(INDEX(tbl_linea[Nombre],num_linea_seleccionada,1),$U$2)</f>
        <v>0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K2" t="s">
        <v>2919</v>
      </c>
      <c r="AM2" t="str">
        <f>IFERROR(INDEX(tbl_subfamilia[Nombre],num_subfamilia_seleccionada,1),$AK$2)</f>
        <v xml:space="preserve"> METRICIDE</v>
      </c>
      <c r="AQ2">
        <f>IFERROR(INDEX(tbl_categoria[Nombre],num_categoria_seleccionada,1),$AO$2)</f>
        <v>0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J2" t="s">
        <v>2888</v>
      </c>
      <c r="BK2" t="b">
        <v>0</v>
      </c>
    </row>
    <row r="3" spans="1:63" x14ac:dyDescent="0.25">
      <c r="A3" t="s">
        <v>2897</v>
      </c>
      <c r="I3" t="s">
        <v>2912</v>
      </c>
      <c r="M3" t="s">
        <v>2914</v>
      </c>
      <c r="AK3" t="s">
        <v>2920</v>
      </c>
      <c r="BJ3" t="s">
        <v>2902</v>
      </c>
      <c r="BK3" t="b">
        <v>0</v>
      </c>
    </row>
    <row r="4" spans="1:63" x14ac:dyDescent="0.25">
      <c r="I4" t="s">
        <v>2913</v>
      </c>
      <c r="M4" t="s">
        <v>2915</v>
      </c>
      <c r="AK4" t="s">
        <v>2921</v>
      </c>
      <c r="BJ4" t="s">
        <v>2903</v>
      </c>
      <c r="BK4" t="b">
        <v>0</v>
      </c>
    </row>
    <row r="5" spans="1:63" x14ac:dyDescent="0.25">
      <c r="I5" t="s">
        <v>2914</v>
      </c>
      <c r="M5" t="s">
        <v>2916</v>
      </c>
      <c r="AK5" t="s">
        <v>2922</v>
      </c>
      <c r="BJ5" t="s">
        <v>7</v>
      </c>
      <c r="BK5" t="b">
        <v>0</v>
      </c>
    </row>
    <row r="6" spans="1:63" x14ac:dyDescent="0.25">
      <c r="I6" t="s">
        <v>2899</v>
      </c>
      <c r="M6" t="s">
        <v>2917</v>
      </c>
      <c r="AK6" t="s">
        <v>2923</v>
      </c>
      <c r="BJ6" t="s">
        <v>2904</v>
      </c>
      <c r="BK6" t="b">
        <v>0</v>
      </c>
    </row>
    <row r="7" spans="1:63" x14ac:dyDescent="0.25">
      <c r="I7" t="s">
        <v>2915</v>
      </c>
      <c r="AK7" t="s">
        <v>2924</v>
      </c>
      <c r="BJ7" t="s">
        <v>2905</v>
      </c>
      <c r="BK7" t="b">
        <v>0</v>
      </c>
    </row>
    <row r="8" spans="1:63" x14ac:dyDescent="0.25">
      <c r="I8" t="s">
        <v>2916</v>
      </c>
      <c r="AK8" t="s">
        <v>2925</v>
      </c>
      <c r="BJ8" t="s">
        <v>2906</v>
      </c>
      <c r="BK8" t="b">
        <v>0</v>
      </c>
    </row>
    <row r="9" spans="1:63" x14ac:dyDescent="0.25">
      <c r="I9" t="s">
        <v>2898</v>
      </c>
      <c r="AK9" t="s">
        <v>2926</v>
      </c>
      <c r="BJ9" t="s">
        <v>2907</v>
      </c>
      <c r="BK9" t="b">
        <v>0</v>
      </c>
    </row>
    <row r="10" spans="1:63" x14ac:dyDescent="0.25">
      <c r="I10" t="s">
        <v>2917</v>
      </c>
      <c r="AK10" t="s">
        <v>2927</v>
      </c>
      <c r="BJ10" t="s">
        <v>2908</v>
      </c>
      <c r="BK10" t="b">
        <v>0</v>
      </c>
    </row>
    <row r="11" spans="1:63" x14ac:dyDescent="0.25">
      <c r="I11" t="s">
        <v>2918</v>
      </c>
      <c r="AK11" t="s">
        <v>2928</v>
      </c>
      <c r="BJ11" t="s">
        <v>2909</v>
      </c>
      <c r="BK11" t="b">
        <v>0</v>
      </c>
    </row>
    <row r="12" spans="1:63" x14ac:dyDescent="0.25">
      <c r="AK12" t="s">
        <v>2929</v>
      </c>
      <c r="BJ12" t="s">
        <v>1153</v>
      </c>
      <c r="BK12" t="b">
        <v>0</v>
      </c>
    </row>
    <row r="13" spans="1:63" x14ac:dyDescent="0.25">
      <c r="AK13" t="s">
        <v>2930</v>
      </c>
      <c r="BJ13" t="s">
        <v>2910</v>
      </c>
      <c r="BK13" t="b">
        <v>0</v>
      </c>
    </row>
    <row r="14" spans="1:63" x14ac:dyDescent="0.25">
      <c r="AK14" t="s">
        <v>2931</v>
      </c>
    </row>
    <row r="15" spans="1:63" x14ac:dyDescent="0.25">
      <c r="AK15" t="s">
        <v>2932</v>
      </c>
    </row>
    <row r="16" spans="1:63" x14ac:dyDescent="0.25">
      <c r="AK16" t="s">
        <v>2933</v>
      </c>
    </row>
    <row r="17" spans="37:37" x14ac:dyDescent="0.25">
      <c r="AK17" t="s">
        <v>2934</v>
      </c>
    </row>
    <row r="18" spans="37:37" x14ac:dyDescent="0.25">
      <c r="AK18" t="s">
        <v>2935</v>
      </c>
    </row>
    <row r="19" spans="37:37" x14ac:dyDescent="0.25">
      <c r="AK19" t="s">
        <v>2936</v>
      </c>
    </row>
    <row r="20" spans="37:37" x14ac:dyDescent="0.25">
      <c r="AK20" t="s">
        <v>2937</v>
      </c>
    </row>
    <row r="21" spans="37:37" x14ac:dyDescent="0.25">
      <c r="AK21" t="s">
        <v>2938</v>
      </c>
    </row>
    <row r="22" spans="37:37" x14ac:dyDescent="0.25">
      <c r="AK22" t="s">
        <v>2939</v>
      </c>
    </row>
    <row r="23" spans="37:37" x14ac:dyDescent="0.25">
      <c r="AK23" t="s">
        <v>2940</v>
      </c>
    </row>
    <row r="24" spans="37:37" x14ac:dyDescent="0.25">
      <c r="AK24" t="s">
        <v>2941</v>
      </c>
    </row>
    <row r="25" spans="37:37" x14ac:dyDescent="0.25">
      <c r="AK25" t="s">
        <v>2942</v>
      </c>
    </row>
    <row r="26" spans="37:37" x14ac:dyDescent="0.25">
      <c r="AK26" t="s">
        <v>2943</v>
      </c>
    </row>
    <row r="27" spans="37:37" x14ac:dyDescent="0.25">
      <c r="AK27" t="s">
        <v>2944</v>
      </c>
    </row>
    <row r="28" spans="37:37" x14ac:dyDescent="0.25">
      <c r="AK28" t="s">
        <v>2945</v>
      </c>
    </row>
    <row r="29" spans="37:37" x14ac:dyDescent="0.25">
      <c r="AK29" t="s">
        <v>2946</v>
      </c>
    </row>
    <row r="30" spans="37:37" x14ac:dyDescent="0.25">
      <c r="AK30" t="s">
        <v>2947</v>
      </c>
    </row>
    <row r="31" spans="37:37" x14ac:dyDescent="0.25">
      <c r="AK31" t="s">
        <v>2948</v>
      </c>
    </row>
    <row r="32" spans="37:37" x14ac:dyDescent="0.25">
      <c r="AK32" t="s">
        <v>2949</v>
      </c>
    </row>
    <row r="33" spans="37:37" x14ac:dyDescent="0.25">
      <c r="AK33" t="s">
        <v>2950</v>
      </c>
    </row>
    <row r="34" spans="37:37" x14ac:dyDescent="0.25">
      <c r="AK34" t="s">
        <v>2951</v>
      </c>
    </row>
    <row r="35" spans="37:37" x14ac:dyDescent="0.25">
      <c r="AK35" t="s">
        <v>2952</v>
      </c>
    </row>
    <row r="36" spans="37:37" x14ac:dyDescent="0.25">
      <c r="AK36" t="s">
        <v>2953</v>
      </c>
    </row>
    <row r="37" spans="37:37" x14ac:dyDescent="0.25">
      <c r="AK37" t="s">
        <v>2954</v>
      </c>
    </row>
    <row r="38" spans="37:37" x14ac:dyDescent="0.25">
      <c r="AK38" t="s">
        <v>2955</v>
      </c>
    </row>
    <row r="39" spans="37:37" x14ac:dyDescent="0.25">
      <c r="AK39" t="s">
        <v>2956</v>
      </c>
    </row>
    <row r="40" spans="37:37" x14ac:dyDescent="0.25">
      <c r="AK40" t="s">
        <v>2957</v>
      </c>
    </row>
    <row r="41" spans="37:37" x14ac:dyDescent="0.25">
      <c r="AK41" t="s">
        <v>2958</v>
      </c>
    </row>
    <row r="42" spans="37:37" x14ac:dyDescent="0.25">
      <c r="AK42" t="s">
        <v>2959</v>
      </c>
    </row>
    <row r="43" spans="37:37" x14ac:dyDescent="0.25">
      <c r="AK43" t="s">
        <v>2960</v>
      </c>
    </row>
    <row r="44" spans="37:37" x14ac:dyDescent="0.25">
      <c r="AK44" t="s">
        <v>2961</v>
      </c>
    </row>
    <row r="45" spans="37:37" x14ac:dyDescent="0.25">
      <c r="AK45" t="s">
        <v>2962</v>
      </c>
    </row>
    <row r="46" spans="37:37" x14ac:dyDescent="0.25">
      <c r="AK46" t="s">
        <v>2963</v>
      </c>
    </row>
    <row r="47" spans="37:37" x14ac:dyDescent="0.25">
      <c r="AK47" t="s">
        <v>2964</v>
      </c>
    </row>
    <row r="48" spans="37:37" x14ac:dyDescent="0.25">
      <c r="AK48" t="s">
        <v>2965</v>
      </c>
    </row>
    <row r="49" spans="37:37" x14ac:dyDescent="0.25">
      <c r="AK49" t="s">
        <v>2966</v>
      </c>
    </row>
    <row r="50" spans="37:37" x14ac:dyDescent="0.25">
      <c r="AK50" t="s">
        <v>2967</v>
      </c>
    </row>
    <row r="51" spans="37:37" x14ac:dyDescent="0.25">
      <c r="AK51" t="s">
        <v>2968</v>
      </c>
    </row>
    <row r="52" spans="37:37" x14ac:dyDescent="0.25">
      <c r="AK52" t="s">
        <v>2969</v>
      </c>
    </row>
    <row r="53" spans="37:37" x14ac:dyDescent="0.25">
      <c r="AK53" t="s">
        <v>2970</v>
      </c>
    </row>
  </sheetData>
  <pageMargins left="0.7" right="0.7" top="0.75" bottom="0.75" header="0.3" footer="0.3"/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mdCrear">
          <controlPr defaultSize="0" autoLine="0" r:id="rId5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4" name="cmdCrear"/>
      </mc:Fallback>
    </mc:AlternateContent>
    <mc:AlternateContent xmlns:mc="http://schemas.openxmlformats.org/markup-compatibility/2006">
      <mc:Choice Requires="x14">
        <control shapeId="7170" r:id="rId6" name="cmdCancel">
          <controlPr defaultSize="0" autoLine="0" r:id="rId7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6" name="cmdCancel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53</vt:i4>
      </vt:variant>
    </vt:vector>
  </HeadingPairs>
  <TitlesOfParts>
    <vt:vector size="64" baseType="lpstr">
      <vt:lpstr>SELECCION</vt:lpstr>
      <vt:lpstr>Combos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categoria_seleccionada</vt:lpstr>
      <vt:lpstr>chk_categoria</vt:lpstr>
      <vt:lpstr>chk_clasificacion</vt:lpstr>
      <vt:lpstr>chk_estatus</vt:lpstr>
      <vt:lpstr>chk_familia</vt:lpstr>
      <vt:lpstr>chk_grupo</vt:lpstr>
      <vt:lpstr>chk_linea</vt:lpstr>
      <vt:lpstr>chk_marca</vt:lpstr>
      <vt:lpstr>chk_modelo</vt:lpstr>
      <vt:lpstr>chk_responsable</vt:lpstr>
      <vt:lpstr>chk_subfamilia</vt:lpstr>
      <vt:lpstr>chk_sublinea</vt:lpstr>
      <vt:lpstr>chk_tipo</vt:lpstr>
      <vt:lpstr>clasificacion_seleccionada</vt:lpstr>
      <vt:lpstr>DESTINO</vt:lpstr>
      <vt:lpstr>empresa_seleccionada</vt:lpstr>
      <vt:lpstr>estatus_seleccionada</vt:lpstr>
      <vt:lpstr>familia_seleccionada</vt:lpstr>
      <vt:lpstr>grupo_seleccionada</vt:lpstr>
      <vt:lpstr>linea_seleccionada</vt:lpstr>
      <vt:lpstr>listaEmpresas</vt:lpstr>
      <vt:lpstr>marca_seleccionada</vt:lpstr>
      <vt:lpstr>modelo_seleccionada</vt:lpstr>
      <vt:lpstr>num_bodega_seleccionada</vt:lpstr>
      <vt:lpstr>num_categoria_seleccionada</vt:lpstr>
      <vt:lpstr>num_clasificacion_seleccionada</vt:lpstr>
      <vt:lpstr>num_empresa_seleccionada</vt:lpstr>
      <vt:lpstr>num_estatus_seleccionada</vt:lpstr>
      <vt:lpstr>num_familia_seleccionada</vt:lpstr>
      <vt:lpstr>num_grupo_seleccionada</vt:lpstr>
      <vt:lpstr>num_linea_seleccionada</vt:lpstr>
      <vt:lpstr>num_marca_seleccionada</vt:lpstr>
      <vt:lpstr>num_modelo_seleccionada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proveedor_seleccionada</vt:lpstr>
      <vt:lpstr>PROVEEDORTRANSFER</vt:lpstr>
      <vt:lpstr>RELACION</vt:lpstr>
      <vt:lpstr>responsable_seleccionada</vt:lpstr>
      <vt:lpstr>subfamilia_seleccionada</vt:lpstr>
      <vt:lpstr>sublinea_seleccionada</vt:lpstr>
      <vt:lpstr>tipo_seleccionada</vt:lpstr>
      <vt:lpstr>VERIFICA_DESTINO</vt:lpstr>
      <vt:lpstr>VERIFICA_ORIGEN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2017-02-16T01:41:27Z</dcterms:modified>
</cp:coreProperties>
</file>