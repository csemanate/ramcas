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129000" windowWidth="11640" windowHeight="5370"/>
  </bookViews>
  <sheets>
    <sheet name="SELECCION" sheetId="11" r:id="rId1"/>
    <sheet name="Aux" sheetId="24" state="veryHidden" r:id="rId2"/>
    <sheet name="Combos" sheetId="23" state="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5" r:id="rId15"/>
    <pivotCache cacheId="6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<sst xmlns="http://schemas.openxmlformats.org/spreadsheetml/2006/main" count="12744" uniqueCount="3047">
  <si>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</si>
  <si>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</si>
  <si>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</si>
  <si>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</si>
  <si>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</si>
  <si>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</si>
  <si>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</si>
  <si>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</si>
  <si>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</si>
  <si>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</si>
  <si>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</si>
  <si>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</si>
  <si>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</si>
  <si>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</si>
  <si>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</si>
  <si>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</si>
  <si>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</si>
  <si>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</si>
  <si>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</si>
  <si>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</si>
  <si>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</si>
  <si>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</si>
  <si>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</si>
  <si>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</si>
  <si>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</si>
  <si>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</si>
  <si>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</si>
  <si>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</si>
  <si>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</si>
  <si>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</si>
  <si>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</si>
  <si>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</si>
  <si>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</si>
  <si>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</si>
  <si>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</si>
  <si>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</si>
  <si>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</si>
  <si>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</si>
  <si>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</si>
  <si>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</si>
  <si>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</si>
  <si>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</si>
  <si>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</si>
  <si>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</si>
  <si>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</si>
  <si>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</si>
  <si>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</si>
  <si>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</si>
  <si>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</si>
  <si>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</si>
  <si>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</si>
  <si>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</si>
  <si>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</si>
  <si>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</si>
  <si>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</si>
  <si>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</si>
  <si>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</si>
  <si>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</si>
  <si>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</si>
  <si>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</si>
  <si>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</si>
  <si>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</si>
  <si>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</si>
  <si>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</si>
  <si>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</si>
  <si>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</si>
  <si>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</si>
  <si>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</si>
  <si>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</si>
  <si>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</si>
  <si>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</si>
  <si>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</si>
  <si>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</si>
  <si>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</si>
  <si>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</si>
  <si>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</si>
  <si>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</si>
  <si>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</si>
  <si>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</si>
  <si>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</si>
  <si>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</si>
  <si>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</si>
  <si>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</si>
  <si>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</si>
  <si>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</si>
  <si>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</si>
  <si>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</si>
  <si>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</si>
  <si>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</si>
  <si>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</si>
  <si>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</si>
  <si>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</si>
  <si>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</si>
  <si>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</si>
  <si>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</si>
  <si>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</si>
  <si>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</si>
  <si>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</si>
  <si>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</si>
  <si>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</si>
  <si>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</si>
  <si>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</si>
  <si>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</si>
  <si>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</si>
  <si>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</si>
  <si>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</si>
  <si>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</si>
  <si>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</si>
  <si>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</si>
  <si>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</si>
  <si>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</si>
  <si>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</si>
  <si>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</si>
  <si>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</si>
  <si>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</si>
  <si>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</si>
  <si>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</si>
  <si>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</si>
  <si>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</si>
  <si>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</si>
  <si>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</si>
  <si>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</si>
  <si>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</si>
  <si>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</si>
  <si>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</si>
  <si>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</si>
  <si>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</si>
  <si>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</si>
  <si>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</si>
  <si>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</si>
  <si>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</si>
  <si>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</si>
  <si>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</si>
  <si>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</si>
  <si>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</si>
  <si>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</si>
  <si>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</si>
  <si>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</si>
  <si>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</si>
  <si>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</si>
  <si>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</si>
  <si>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</si>
  <si>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</si>
  <si>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</si>
  <si>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</si>
  <si>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</si>
  <si>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</si>
  <si>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</si>
  <si>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</si>
  <si>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</si>
  <si>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</si>
  <si>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</si>
  <si>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</si>
  <si>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</si>
  <si>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</si>
  <si>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</si>
  <si>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</si>
  <si>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</si>
  <si>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</si>
  <si>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</si>
  <si>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</si>
  <si>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</si>
  <si>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</si>
  <si>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</si>
  <si>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</si>
  <si>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</si>
  <si>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</si>
  <si>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</si>
  <si>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</si>
  <si>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</si>
  <si>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</si>
  <si>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</si>
  <si>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</si>
  <si>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</si>
  <si>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</si>
  <si>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</si>
  <si>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</si>
  <si>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</si>
  <si>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</si>
  <si>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</si>
  <si>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</si>
  <si>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</si>
  <si>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</si>
  <si>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</si>
  <si>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</si>
  <si>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</si>
  <si>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</si>
  <si>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</si>
  <si>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</si>
  <si>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</si>
  <si>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</si>
  <si>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</si>
  <si>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</si>
  <si>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</si>
  <si>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</si>
  <si>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</si>
  <si>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</si>
  <si>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</si>
  <si>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</si>
  <si>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</si>
  <si>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</si>
  <si>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</si>
  <si>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</si>
  <si>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</si>
  <si>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</si>
  <si>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</si>
  <si>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</si>
  <si>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</si>
  <si>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</si>
  <si>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</si>
  <si>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</si>
  <si>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</si>
  <si>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</si>
  <si>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</si>
  <si>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</si>
  <si>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</si>
  <si>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</si>
  <si>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</si>
  <si>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</si>
  <si>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</si>
  <si>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</si>
  <si>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</si>
  <si>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</si>
  <si>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</si>
  <si>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</si>
  <si>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</si>
  <si>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</si>
  <si>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</si>
  <si>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</si>
  <si>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</si>
  <si>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</si>
  <si>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</si>
  <si>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</si>
  <si>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</si>
  <si>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</si>
  <si>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</si>
  <si>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</si>
  <si>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</si>
  <si>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</si>
  <si>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</si>
  <si>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</si>
  <si>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</si>
  <si>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</si>
  <si>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</si>
  <si>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</si>
  <si>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</si>
  <si>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</si>
  <si>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</si>
  <si>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</si>
  <si>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</si>
  <si>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</si>
  <si>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</si>
  <si>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</si>
  <si>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</si>
  <si>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</si>
  <si>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</si>
  <si>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</si>
  <si>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</si>
  <si>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</si>
  <si>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</si>
  <si>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</si>
  <si>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</si>
  <si>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</si>
  <si>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</si>
  <si>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</si>
  <si>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</si>
  <si>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</si>
  <si>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</si>
  <si>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</si>
  <si>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</si>
  <si>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</si>
  <si>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</si>
  <si>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</si>
  <si>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</si>
  <si>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</si>
  <si>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</si>
  <si>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</si>
  <si>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</si>
  <si>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</si>
  <si>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</si>
  <si>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</si>
  <si>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</si>
  <si>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</si>
  <si>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</si>
  <si>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</si>
  <si>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</si>
  <si>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</si>
  <si>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</si>
  <si>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</si>
  <si>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</si>
  <si>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</si>
  <si>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</si>
  <si>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</si>
  <si>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</si>
  <si>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</si>
  <si>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</si>
  <si>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</si>
  <si>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</si>
  <si>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</si>
  <si>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</si>
  <si>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</si>
  <si>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</si>
  <si>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</si>
  <si>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</si>
  <si>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</si>
  <si>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</si>
  <si>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</si>
  <si>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</si>
  <si>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</si>
  <si>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</si>
  <si>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</si>
  <si>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</si>
  <si>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</si>
  <si>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</si>
  <si>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</si>
  <si>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</si>
  <si>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</si>
  <si>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</si>
  <si>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</si>
  <si>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</si>
  <si>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</si>
  <si>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</si>
  <si>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</si>
  <si>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</si>
  <si>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</si>
  <si>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</si>
  <si>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</si>
  <si>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</si>
  <si>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</si>
  <si>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</si>
  <si>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</si>
  <si>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</si>
  <si>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</si>
  <si>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</si>
  <si>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</si>
  <si>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</si>
  <si>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</si>
  <si>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</si>
  <si>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</si>
  <si>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</si>
  <si>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</si>
  <si>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</si>
  <si>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</si>
  <si>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</si>
  <si>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</si>
  <si>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</si>
  <si>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</si>
  <si>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</si>
  <si>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</si>
  <si>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</si>
  <si>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</si>
  <si>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</si>
  <si>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</si>
  <si>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</si>
  <si>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</si>
  <si>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</si>
  <si>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</si>
  <si>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</si>
  <si>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</si>
  <si>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</si>
  <si>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</si>
  <si>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</si>
  <si>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</si>
  <si>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</si>
  <si>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</si>
  <si>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</si>
  <si>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</si>
  <si>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</si>
  <si>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</si>
  <si>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</si>
  <si>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</si>
  <si>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</si>
  <si>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</si>
  <si>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</si>
  <si>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</si>
  <si>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</si>
  <si>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</si>
  <si>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</si>
  <si>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</si>
  <si>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</si>
  <si>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</si>
  <si>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</si>
  <si>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</si>
  <si>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</si>
  <si>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</si>
  <si>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</si>
  <si>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</si>
  <si>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</si>
  <si>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</si>
  <si>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</si>
  <si>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</si>
  <si>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</si>
  <si>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</si>
  <si>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</si>
  <si>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</si>
  <si>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</si>
  <si>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</si>
  <si>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</si>
  <si>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</si>
  <si>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</si>
  <si>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</si>
  <si>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</si>
  <si>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</si>
  <si>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</si>
  <si>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</si>
  <si>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</si>
  <si>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</si>
  <si>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</si>
  <si>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</si>
  <si>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</si>
  <si>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</si>
  <si>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</si>
  <si>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</si>
  <si>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</si>
  <si>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</si>
  <si>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</si>
  <si>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</si>
  <si>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</si>
  <si>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</si>
  <si>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</si>
  <si>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</si>
  <si>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</si>
  <si>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</si>
  <si>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</si>
  <si>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</si>
  <si>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</si>
  <si>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</si>
  <si>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</si>
  <si>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</si>
  <si>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</si>
  <si>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</si>
  <si>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</si>
  <si>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</si>
  <si>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</si>
  <si>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</si>
  <si>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</si>
  <si>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</si>
  <si>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</si>
  <si>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</si>
  <si>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</si>
  <si>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</si>
  <si>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</si>
  <si>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</si>
  <si>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</si>
  <si>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</si>
  <si>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</si>
  <si>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</si>
  <si>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</si>
  <si>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</si>
  <si>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</si>
  <si>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</si>
  <si>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</si>
  <si>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</si>
  <si>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</si>
  <si>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</si>
  <si>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</si>
  <si>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</si>
  <si>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</si>
  <si>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</si>
  <si>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</si>
  <si>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</si>
  <si>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</si>
  <si>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</si>
  <si>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</si>
  <si>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</si>
  <si>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</si>
  <si>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</si>
  <si>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</si>
  <si>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</si>
  <si>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</si>
  <si>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</si>
  <si>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</si>
  <si>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</si>
  <si>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</si>
  <si>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</si>
  <si>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</si>
  <si>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</si>
  <si>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</si>
  <si>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</si>
  <si>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</si>
  <si>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</si>
  <si>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</si>
  <si>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</si>
  <si>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</si>
  <si>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</si>
  <si>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</si>
  <si>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</si>
  <si>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</si>
  <si>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</si>
  <si>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</si>
  <si>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</si>
  <si>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</si>
  <si>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</si>
  <si>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</si>
  <si>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</si>
  <si>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</si>
  <si>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</si>
  <si>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</si>
  <si>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</si>
  <si>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</si>
  <si>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</si>
  <si>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</si>
  <si>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</si>
  <si>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</si>
  <si>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</si>
  <si>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</si>
  <si>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</si>
  <si>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</si>
  <si>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</si>
  <si>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</si>
  <si>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</si>
  <si>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</si>
  <si>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</si>
  <si>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</si>
  <si>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</si>
  <si>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</si>
  <si>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</si>
  <si>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</si>
  <si>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</si>
  <si>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</si>
  <si>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</si>
  <si>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</si>
  <si>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</si>
  <si>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</si>
  <si>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</si>
  <si>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</si>
  <si>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</si>
  <si>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</si>
  <si>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</si>
  <si>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</si>
  <si>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</si>
  <si>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</si>
  <si>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</si>
  <si>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</si>
  <si>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</si>
  <si>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</si>
  <si>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</si>
  <si>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</si>
  <si>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</si>
  <si>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</si>
  <si>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</si>
  <si>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</si>
  <si>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</si>
  <si>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</si>
  <si>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</si>
  <si>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</si>
  <si>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</si>
  <si>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</si>
  <si>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</si>
  <si>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</si>
  <si>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</si>
  <si>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</si>
  <si>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</si>
  <si>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</si>
  <si>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</si>
  <si>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</si>
  <si>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</si>
  <si>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</si>
  <si>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</si>
  <si>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</si>
  <si>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</si>
  <si>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</si>
  <si>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</si>
  <si>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</si>
  <si>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</si>
  <si>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</si>
  <si>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</si>
  <si>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</si>
  <si>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</si>
  <si>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</si>
  <si>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</si>
  <si>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</si>
  <si>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</si>
  <si>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</si>
  <si>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</si>
  <si>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</si>
  <si>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</si>
  <si>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</si>
  <si>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</si>
  <si>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</si>
  <si>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</si>
  <si>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</si>
  <si>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</si>
  <si>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</si>
  <si>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</si>
  <si>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</si>
  <si>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</si>
  <si>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</si>
  <si>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</si>
  <si>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</si>
  <si>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</si>
  <si>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</si>
  <si>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</si>
  <si>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</si>
  <si>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</si>
  <si>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</si>
  <si>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</si>
  <si>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</si>
  <si>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</si>
  <si>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</si>
  <si>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</si>
  <si>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</si>
  <si>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</si>
  <si>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</si>
  <si>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</si>
  <si>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</si>
  <si>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</si>
  <si>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</si>
  <si>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</si>
  <si>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</si>
  <si>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</si>
  <si>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</si>
  <si>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</si>
  <si>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</si>
  <si>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</si>
  <si>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</si>
  <si>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</si>
  <si>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</si>
  <si>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</si>
  <si>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</si>
  <si>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</si>
  <si>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</si>
  <si>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</si>
  <si>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</si>
  <si>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</si>
  <si>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</si>
  <si>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</si>
  <si>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</si>
  <si>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</si>
  <si>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</si>
  <si>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</si>
  <si>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</si>
  <si>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</si>
  <si>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</si>
  <si>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</si>
  <si>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</si>
  <si>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</si>
  <si>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</si>
  <si>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</si>
  <si>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</si>
  <si>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</si>
  <si>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</si>
  <si>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</si>
  <si>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</si>
  <si>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</si>
  <si>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</si>
  <si>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</si>
  <si>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</si>
  <si>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</si>
  <si>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</si>
  <si>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</si>
  <si>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</si>
  <si>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</si>
  <si>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</si>
  <si>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</si>
  <si>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</si>
  <si>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</si>
  <si>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</si>
  <si>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</si>
  <si>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</si>
  <si>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</si>
  <si>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</si>
  <si>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</si>
  <si>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</si>
  <si>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</si>
  <si>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</si>
  <si>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</si>
  <si>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</si>
  <si>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</si>
  <si>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</si>
  <si>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</si>
  <si>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</si>
  <si>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</si>
  <si>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</si>
  <si>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</si>
  <si>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</si>
  <si>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</si>
  <si>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</si>
  <si>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</si>
  <si>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</si>
  <si>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</si>
  <si>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</si>
  <si>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</si>
  <si>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</si>
  <si>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</si>
  <si>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</si>
  <si>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</si>
  <si>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</si>
  <si>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</si>
  <si>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</si>
  <si>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</si>
  <si>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</si>
  <si>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</si>
  <si>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</si>
  <si>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</si>
  <si>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</si>
  <si>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</si>
  <si>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</si>
  <si>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</si>
  <si>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</si>
  <si>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</si>
  <si>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</si>
  <si>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</si>
  <si>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</si>
  <si>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</si>
  <si>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</si>
  <si>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</si>
  <si>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</si>
  <si>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</si>
  <si>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</si>
  <si>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</si>
  <si>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</si>
  <si>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</si>
  <si>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</si>
  <si>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</si>
  <si>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</si>
  <si>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</si>
  <si>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</si>
  <si>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</si>
  <si>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</si>
  <si>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</si>
  <si>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</si>
  <si>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</si>
  <si>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</si>
  <si>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</si>
  <si>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</si>
  <si>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</si>
  <si>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</si>
  <si>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</si>
  <si>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</si>
  <si>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</si>
  <si>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</si>
  <si>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</si>
  <si>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</si>
  <si>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</si>
  <si>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</si>
  <si>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</si>
  <si>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</si>
  <si>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</si>
  <si>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</si>
  <si>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</si>
  <si>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</si>
  <si>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</si>
  <si>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</si>
  <si>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</si>
  <si>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</si>
  <si>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</si>
  <si>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</si>
  <si>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</si>
  <si>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</si>
  <si>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</si>
  <si>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</si>
  <si>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</si>
  <si>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</si>
  <si>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</si>
  <si>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</si>
  <si>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</si>
  <si>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</si>
  <si>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</si>
  <si>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</si>
  <si>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</si>
  <si>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</si>
  <si>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</si>
  <si>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</si>
  <si>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</si>
  <si>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</si>
  <si>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</si>
  <si>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</si>
  <si>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</si>
  <si>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</si>
  <si>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</si>
  <si>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</si>
  <si>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</si>
  <si>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</si>
  <si>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</si>
  <si>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</si>
  <si>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</si>
  <si>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</si>
  <si>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</si>
  <si>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</si>
  <si>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</si>
  <si>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</si>
  <si>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</si>
  <si>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</si>
  <si>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</si>
  <si>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</si>
  <si>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</si>
  <si>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</si>
  <si>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</si>
  <si>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</si>
  <si>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</si>
  <si>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</si>
  <si>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</si>
  <si>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</si>
  <si>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</si>
  <si>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</si>
  <si>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</si>
  <si>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</si>
  <si>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</si>
  <si>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</si>
  <si>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</si>
  <si>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</si>
  <si>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</si>
  <si>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</si>
  <si>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</si>
  <si>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</si>
  <si>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</si>
  <si>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</si>
  <si>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</si>
  <si>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</si>
  <si>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</si>
  <si>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</si>
  <si>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</si>
  <si>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</si>
  <si>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</si>
  <si>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</si>
  <si>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</si>
  <si>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</si>
  <si>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</si>
  <si>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</si>
  <si>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</si>
  <si>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</si>
  <si>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</si>
  <si>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</si>
  <si>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</si>
  <si>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</si>
  <si>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</si>
  <si>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</si>
  <si>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</si>
  <si>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</si>
  <si>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</si>
  <si>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</si>
  <si>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</si>
  <si>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</si>
  <si>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</si>
  <si>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</si>
  <si>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</si>
  <si>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</si>
  <si>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</si>
  <si>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</si>
  <si>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</si>
  <si>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</si>
  <si>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</si>
  <si>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</si>
  <si>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</si>
  <si>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</si>
  <si>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</si>
  <si>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</si>
  <si>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</si>
  <si>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</si>
  <si>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</si>
  <si>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</si>
  <si>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</si>
  <si>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</si>
  <si>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</si>
  <si>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</si>
  <si>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</si>
  <si>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</si>
  <si>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</si>
  <si>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</si>
  <si>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</si>
  <si>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</si>
  <si>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</si>
  <si>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</si>
  <si>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</si>
  <si>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</si>
  <si>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</si>
  <si>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</si>
  <si>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</si>
  <si>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</si>
  <si>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</si>
  <si>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</si>
  <si>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</si>
  <si>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</si>
  <si>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</si>
  <si>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</si>
  <si>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</si>
  <si>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</si>
  <si>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</si>
  <si>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</si>
  <si>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</si>
  <si>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</si>
  <si>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</si>
  <si>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</si>
  <si>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</si>
  <si>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</si>
  <si>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</si>
  <si>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</si>
  <si>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</si>
  <si>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</si>
  <si>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</si>
  <si>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</si>
  <si>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</si>
  <si>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</si>
  <si>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</si>
  <si>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</si>
  <si>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</si>
  <si>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</si>
  <si>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</si>
  <si>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</si>
  <si>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</si>
  <si>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</si>
  <si>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</si>
  <si>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</si>
  <si>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</si>
  <si>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</si>
  <si>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</si>
  <si>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</si>
  <si>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</si>
  <si>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</si>
  <si>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</si>
  <si>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</si>
  <si>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</si>
  <si>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</si>
  <si>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</si>
  <si>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</si>
  <si>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</si>
  <si>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</si>
  <si>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</si>
  <si>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</si>
  <si>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</si>
  <si>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</si>
  <si>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</si>
  <si>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</si>
  <si>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</si>
  <si>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</si>
  <si>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</si>
  <si>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</si>
  <si>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</si>
  <si>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</si>
  <si>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</si>
  <si>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</si>
  <si>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</si>
  <si>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</si>
  <si>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</si>
  <si>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</si>
  <si>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</si>
  <si>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</si>
  <si>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</si>
  <si>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</si>
  <si>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</si>
  <si>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</si>
  <si>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</si>
  <si>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</si>
  <si>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</si>
  <si>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</si>
  <si>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</si>
  <si>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</si>
  <si>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</si>
  <si>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</si>
  <si>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</si>
  <si>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</si>
  <si>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</si>
  <si>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</si>
  <si>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</si>
  <si>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</si>
  <si>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</si>
  <si>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</si>
  <si>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</si>
  <si>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</si>
  <si>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</si>
  <si>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</si>
  <si>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</si>
  <si>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</si>
  <si>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</si>
  <si>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</si>
  <si>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</si>
  <si>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</si>
  <si>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</si>
  <si>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</si>
  <si>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</si>
  <si>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</si>
  <si>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</si>
  <si>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</si>
  <si>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</si>
  <si>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</si>
  <si>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</si>
  <si>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</si>
  <si>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</si>
  <si>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</si>
  <si>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</si>
  <si>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</si>
  <si>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</si>
  <si>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</si>
  <si>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</si>
  <si>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</si>
  <si>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</si>
  <si>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</si>
  <si>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</si>
  <si>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</si>
  <si>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</si>
  <si>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</si>
  <si>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</si>
  <si>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</si>
  <si>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</si>
  <si>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</si>
  <si>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</si>
  <si>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</si>
  <si>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</si>
  <si>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</si>
  <si>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</si>
  <si>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</si>
  <si>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</si>
  <si>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</si>
  <si>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</si>
  <si>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</si>
  <si>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</si>
  <si>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</si>
  <si>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</si>
  <si>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</si>
  <si>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</si>
  <si>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</si>
  <si>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</si>
  <si>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</si>
  <si>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</si>
  <si>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</si>
  <si>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</si>
  <si>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</si>
  <si>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</si>
  <si>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</si>
  <si>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</si>
  <si>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</si>
  <si>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</si>
  <si>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</si>
  <si>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</si>
  <si>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</si>
  <si>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</si>
  <si>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</si>
  <si>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</si>
  <si>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</si>
  <si>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</si>
  <si>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</si>
  <si>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</si>
  <si>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</si>
  <si>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</si>
  <si>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</si>
  <si>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</si>
  <si>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</si>
  <si>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</si>
  <si>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</si>
  <si>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</si>
  <si>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</si>
  <si>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</si>
  <si>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</si>
  <si>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</si>
  <si>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</si>
  <si>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</si>
  <si>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</si>
  <si>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</si>
  <si>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</si>
  <si>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</si>
  <si>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</si>
  <si>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</si>
  <si>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</si>
  <si>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</si>
  <si>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</si>
  <si>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</si>
  <si>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</si>
  <si>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</si>
  <si>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</si>
  <si>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</si>
  <si>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</si>
  <si>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</si>
  <si>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</si>
  <si>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</si>
  <si>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</si>
  <si>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</si>
  <si>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</si>
  <si>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</si>
  <si>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</si>
  <si>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</si>
  <si>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</si>
  <si>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</si>
  <si>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</si>
  <si>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</si>
  <si>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</si>
  <si>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</si>
  <si>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</si>
  <si>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</si>
  <si>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</si>
  <si>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</si>
  <si>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</si>
  <si>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</si>
  <si>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</si>
  <si>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</si>
  <si>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</si>
  <si>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</si>
  <si>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</si>
  <si>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</si>
  <si>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</si>
  <si>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</si>
  <si>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</si>
  <si>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</si>
  <si>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</si>
  <si>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</si>
  <si>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</si>
  <si>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</si>
  <si>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</si>
  <si>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</si>
  <si>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</si>
  <si>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</si>
  <si>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</si>
  <si>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</si>
  <si>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</si>
  <si>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</si>
  <si>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</si>
  <si>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</si>
  <si>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</si>
  <si>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</si>
  <si>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</si>
  <si>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</si>
  <si>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</si>
  <si>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</si>
  <si>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</si>
  <si>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</si>
  <si>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</si>
  <si>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</si>
  <si>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</si>
  <si>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</si>
  <si>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</si>
  <si>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</si>
  <si>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</si>
  <si>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</si>
  <si>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</si>
  <si>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</si>
  <si>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</si>
  <si>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</si>
  <si>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</si>
  <si>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</si>
  <si>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</si>
  <si>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</si>
  <si>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</si>
  <si>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</si>
  <si>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</si>
  <si>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</si>
  <si>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</si>
  <si>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</si>
  <si>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</si>
  <si>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</si>
  <si>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</si>
  <si>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</si>
  <si>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</si>
  <si>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</si>
  <si>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</si>
  <si>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</si>
  <si>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</si>
  <si>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</si>
  <si>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</si>
  <si>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</si>
  <si>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</si>
  <si>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</si>
  <si>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</si>
  <si>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</si>
  <si>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</si>
  <si>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</si>
  <si>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</si>
  <si>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</si>
  <si>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</si>
  <si>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</si>
  <si>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</si>
  <si>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</si>
  <si>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</si>
  <si>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</si>
  <si>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</si>
  <si>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</si>
  <si>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</si>
  <si>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</si>
  <si>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</si>
  <si>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</si>
  <si>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</si>
  <si>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</si>
  <si>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</si>
  <si>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</si>
  <si>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</si>
  <si>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</si>
  <si>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</si>
  <si>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</si>
  <si>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</si>
  <si>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</si>
  <si>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</si>
  <si>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</si>
  <si>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</si>
  <si>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</si>
  <si>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</si>
  <si>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</si>
  <si>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</si>
  <si>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</si>
  <si>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</si>
  <si>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</si>
  <si>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</si>
  <si>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</si>
  <si>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</si>
  <si>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</si>
  <si>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</si>
  <si>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</si>
  <si>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</si>
  <si>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</si>
  <si>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</si>
  <si>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</si>
  <si>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</si>
  <si>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</si>
  <si>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</si>
  <si>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</si>
  <si>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</si>
  <si>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</si>
  <si>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</si>
  <si>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</si>
  <si>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</si>
  <si>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</si>
  <si>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</si>
  <si>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</si>
  <si>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</si>
  <si>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</si>
  <si>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</si>
  <si>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</si>
  <si>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</si>
  <si>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</si>
  <si>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</si>
  <si>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</si>
  <si>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</si>
  <si>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</si>
  <si>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</si>
  <si>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</si>
  <si>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</si>
  <si>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</si>
  <si>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</si>
  <si>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</si>
  <si>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</si>
  <si>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</si>
  <si>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</si>
  <si>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</si>
  <si>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</si>
  <si>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</si>
  <si>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</si>
  <si>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</si>
  <si>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</si>
  <si>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</si>
  <si>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</si>
  <si>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</si>
  <si>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</si>
  <si>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</si>
  <si>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</si>
  <si>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</si>
  <si>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</si>
  <si>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</si>
  <si>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</si>
  <si>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</si>
  <si>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</si>
  <si>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</si>
  <si>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</si>
  <si>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</si>
  <si>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</si>
  <si>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</si>
  <si>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</si>
  <si>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</si>
  <si>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</si>
  <si>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</si>
  <si>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</si>
  <si>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</si>
  <si>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</si>
  <si>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</si>
  <si>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</si>
  <si>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</si>
  <si>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</si>
  <si>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</si>
  <si>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</si>
  <si>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</si>
  <si>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</si>
  <si>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</si>
  <si>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</si>
  <si>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</si>
  <si>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</si>
  <si>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</si>
  <si>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</si>
  <si>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</si>
  <si>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</si>
  <si>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</si>
  <si>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</si>
  <si>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</si>
  <si>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</si>
  <si>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</si>
  <si>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</si>
  <si>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</si>
  <si>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</si>
  <si>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</si>
  <si>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</si>
  <si>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</si>
  <si>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</si>
  <si>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</si>
  <si>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</si>
  <si>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</si>
  <si>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</si>
  <si>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</si>
  <si>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</si>
  <si>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</si>
  <si>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</si>
  <si>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</si>
  <si>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</si>
  <si>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</si>
  <si>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</si>
  <si>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</si>
  <si>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</si>
  <si>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</si>
  <si>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</si>
  <si>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</si>
  <si>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</si>
  <si>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</si>
  <si>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</si>
  <si>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</si>
  <si>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</si>
  <si>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</si>
  <si>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</si>
  <si>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</si>
  <si>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</si>
  <si>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</si>
  <si>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</si>
  <si>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</si>
  <si>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</si>
  <si>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</si>
  <si>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</si>
  <si>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</si>
  <si>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</si>
  <si>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</si>
  <si>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</si>
  <si>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</si>
  <si>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</si>
  <si>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</si>
  <si>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</si>
  <si>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</si>
  <si>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</si>
  <si>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</si>
  <si>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</si>
  <si>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</si>
  <si>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</si>
  <si>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</si>
  <si>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</si>
  <si>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</si>
  <si>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</si>
  <si>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</si>
  <si>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</si>
  <si>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</si>
  <si>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</si>
  <si>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</si>
  <si>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</si>
  <si>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</si>
  <si>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</si>
  <si>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</si>
  <si>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</si>
  <si>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</si>
  <si>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</si>
  <si>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</si>
  <si>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</si>
  <si>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</si>
  <si>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</si>
  <si>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</si>
  <si>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</si>
  <si>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</si>
  <si>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</si>
  <si>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</si>
  <si>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</si>
  <si>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</si>
  <si>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</si>
  <si>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</si>
  <si>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</si>
  <si>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</si>
  <si>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</si>
  <si>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</si>
  <si>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</si>
  <si>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</si>
  <si>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</si>
  <si>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</si>
  <si>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</si>
  <si>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</si>
  <si>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</si>
  <si>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</si>
  <si>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</si>
  <si>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</si>
  <si>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</si>
  <si>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</si>
  <si>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</si>
  <si>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</si>
  <si>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</si>
  <si>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</si>
  <si>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</si>
  <si>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</si>
  <si>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</si>
  <si>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</si>
  <si>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</si>
  <si>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</si>
  <si>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</si>
  <si>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</si>
  <si>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</si>
  <si>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</si>
  <si>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</si>
  <si>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</si>
  <si>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</si>
  <si>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</si>
  <si>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</si>
  <si>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</si>
  <si>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</si>
  <si>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</si>
  <si>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</si>
  <si>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</si>
  <si>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</si>
  <si>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</si>
  <si>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</si>
  <si>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</si>
  <si>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</si>
  <si>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</si>
  <si>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</si>
  <si>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</si>
  <si>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</si>
  <si>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</si>
  <si>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</si>
  <si>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</si>
  <si>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</si>
  <si>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</si>
  <si>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</si>
  <si>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</si>
  <si>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</si>
  <si>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</si>
  <si>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</si>
  <si>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</si>
  <si>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</si>
  <si>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</si>
  <si>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</si>
  <si>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</si>
  <si>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</si>
  <si>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</si>
  <si>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</si>
  <si>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</si>
  <si>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</si>
  <si>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</si>
  <si>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</si>
  <si>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</si>
  <si>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</si>
  <si>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</si>
  <si>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</si>
  <si>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</si>
  <si>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</si>
  <si>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</si>
  <si>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</si>
  <si>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</si>
  <si>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</si>
  <si>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</si>
  <si>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</si>
  <si>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</si>
  <si>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</si>
  <si>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</si>
  <si>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</si>
  <si>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</si>
  <si>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</si>
  <si>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</si>
  <si>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</si>
  <si>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</si>
  <si>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</si>
  <si>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</si>
  <si>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</si>
  <si>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</si>
  <si>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</si>
  <si>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</si>
  <si>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</si>
  <si>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</si>
  <si>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</si>
  <si>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</si>
  <si>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</si>
  <si>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</si>
  <si>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</si>
  <si>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</si>
  <si>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</si>
  <si>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</si>
  <si>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</si>
  <si>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</si>
  <si>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</si>
  <si>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</si>
  <si>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</si>
  <si>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</si>
  <si>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</si>
  <si>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</si>
  <si>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</si>
  <si>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</si>
  <si>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</si>
  <si>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</si>
  <si>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</si>
  <si>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</si>
  <si>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</si>
  <si>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</si>
  <si>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</si>
  <si>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</si>
  <si>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</si>
  <si>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</si>
  <si>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</si>
  <si>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</si>
  <si>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</si>
  <si>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</si>
  <si>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</si>
  <si>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</si>
  <si>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</si>
  <si>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</si>
  <si>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</si>
  <si>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</si>
  <si>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</si>
  <si>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</si>
  <si>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</si>
  <si>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</si>
  <si>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</si>
  <si>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</si>
  <si>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</si>
  <si>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</si>
  <si>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</si>
  <si>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</si>
  <si>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</si>
  <si>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</si>
  <si>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</si>
  <si>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</si>
  <si>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</si>
  <si>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</si>
  <si>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</si>
  <si>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</si>
  <si>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</si>
  <si>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</si>
  <si>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</si>
  <si>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</si>
  <si>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</si>
  <si>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</si>
  <si>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</si>
  <si>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</si>
  <si>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</si>
  <si>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</si>
  <si>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</si>
  <si>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</si>
  <si>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</si>
  <si>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</si>
  <si>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</si>
  <si>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</si>
  <si>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</si>
  <si>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</si>
  <si>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</si>
  <si>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</si>
  <si>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</si>
  <si>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</si>
  <si>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</si>
  <si>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</si>
  <si>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</si>
  <si>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</si>
  <si>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</si>
  <si>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</si>
  <si>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</si>
  <si>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</si>
  <si>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</si>
  <si>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</si>
  <si>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</si>
  <si>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</si>
  <si>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</si>
  <si>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</si>
  <si>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</si>
  <si>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</si>
  <si>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</si>
  <si>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</si>
  <si>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</si>
  <si>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</si>
  <si>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</si>
  <si>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</si>
  <si>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</si>
  <si>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</si>
  <si>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</si>
  <si>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</si>
  <si>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</si>
  <si>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</si>
  <si>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</si>
  <si>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</si>
  <si>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</si>
  <si>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</si>
  <si>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</si>
  <si>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</si>
  <si>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</si>
  <si>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</si>
  <si>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</si>
  <si>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</si>
  <si>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</si>
  <si>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</si>
  <si>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</si>
  <si>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</si>
  <si>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</si>
  <si>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</si>
  <si>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</si>
  <si>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</si>
  <si>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</si>
  <si>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</si>
  <si>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</si>
  <si>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</si>
  <si>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</si>
  <si>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</si>
  <si>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</si>
  <si>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</si>
  <si>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</si>
  <si>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</si>
  <si>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</si>
  <si>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</si>
  <si>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</si>
  <si>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</si>
  <si>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</si>
  <si>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</si>
  <si>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</si>
  <si>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</si>
  <si>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</si>
  <si>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</si>
  <si>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</si>
  <si>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</si>
  <si>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</si>
  <si>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</si>
  <si>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</si>
  <si>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</si>
  <si>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</si>
  <si>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</si>
  <si>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</si>
  <si>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</si>
  <si>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</si>
  <si>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</si>
  <si>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</si>
  <si>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</si>
  <si>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</si>
  <si>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</si>
  <si>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</si>
  <si>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</si>
  <si>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</si>
  <si>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</si>
  <si>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</si>
  <si>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</si>
  <si>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</si>
  <si>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</si>
  <si>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</si>
  <si>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</si>
  <si>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</si>
  <si>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</si>
  <si>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</si>
  <si>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</si>
  <si>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</si>
  <si>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</si>
  <si>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</si>
  <si>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</si>
  <si>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</si>
  <si>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</si>
  <si>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</si>
  <si>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</si>
  <si>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</si>
  <si>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</si>
  <si>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</si>
  <si>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</si>
  <si>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</si>
  <si>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</si>
  <si>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</si>
  <si>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</si>
  <si>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</si>
  <si>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</si>
  <si>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</si>
  <si>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</si>
  <si>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</si>
  <si>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</si>
  <si>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</si>
  <si>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</si>
  <si>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</si>
  <si>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</si>
  <si>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</si>
  <si>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</si>
  <si>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</si>
  <si>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</si>
  <si>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</si>
  <si>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</si>
  <si>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</si>
  <si>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</si>
  <si>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</si>
  <si>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</si>
  <si>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</si>
  <si>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</si>
  <si>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</si>
  <si>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</si>
  <si>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</si>
  <si>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</si>
  <si>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</si>
  <si>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</si>
  <si>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</si>
  <si>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</si>
  <si>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</si>
  <si>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</si>
  <si>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</si>
  <si>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</si>
  <si>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</si>
  <si>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</si>
  <si>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</si>
  <si>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</si>
  <si>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</si>
  <si>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</si>
  <si>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</si>
  <si>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</si>
  <si>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</si>
  <si>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</si>
  <si>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</si>
  <si>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</si>
  <si>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</si>
  <si>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</si>
  <si>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</si>
  <si>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</si>
  <si>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</si>
  <si>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</si>
  <si>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</si>
  <si>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</si>
  <si>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</si>
  <si>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</si>
  <si>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</si>
  <si>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</si>
  <si>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</si>
  <si>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</si>
  <si>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</si>
  <si>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</si>
  <si>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</si>
  <si>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</si>
  <si>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</si>
  <si>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</si>
  <si>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</si>
  <si>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</si>
  <si>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</si>
  <si>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</si>
  <si>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</si>
  <si>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</si>
  <si>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</si>
  <si>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</si>
  <si>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</si>
  <si>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</si>
  <si>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</si>
  <si>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</si>
  <si>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</si>
  <si>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</si>
  <si>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</si>
  <si>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</si>
  <si>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</si>
  <si>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</si>
  <si>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</si>
  <si>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</si>
  <si>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</si>
  <si>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</si>
  <si>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</si>
  <si>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</si>
  <si>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</si>
  <si>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</si>
  <si>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</si>
  <si>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</si>
  <si>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</si>
  <si>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</si>
  <si>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</si>
  <si>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</si>
  <si>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</si>
  <si>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</si>
  <si>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</si>
  <si>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</si>
  <si>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</si>
  <si>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</si>
  <si>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</si>
  <si>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</si>
  <si>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</si>
  <si>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</si>
  <si>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</si>
  <si>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</si>
  <si>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</si>
  <si>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</si>
  <si>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</si>
  <si>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</si>
  <si>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</si>
  <si>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</si>
  <si>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</si>
  <si>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</si>
  <si>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</si>
  <si>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</si>
  <si>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</si>
  <si>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</si>
  <si>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</si>
  <si>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</si>
  <si>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</si>
  <si>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</si>
  <si>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</si>
  <si>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</si>
  <si>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</si>
  <si>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</si>
  <si>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</si>
  <si>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</si>
  <si>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</si>
  <si>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</si>
  <si>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</si>
  <si>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</si>
  <si>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</si>
  <si>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</si>
  <si>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</si>
  <si>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</si>
  <si>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</si>
  <si>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</si>
  <si>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</si>
  <si>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</si>
  <si>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</si>
  <si>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</si>
  <si>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</si>
  <si>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</si>
  <si>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</si>
  <si>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</si>
  <si>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</si>
  <si>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</si>
  <si>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</si>
  <si>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</si>
  <si>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</si>
  <si>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</si>
  <si>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</si>
  <si>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</si>
  <si>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</si>
  <si>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</si>
  <si>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</si>
  <si>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</si>
  <si>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</si>
  <si>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</si>
  <si>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</si>
  <si>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</si>
  <si>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</si>
  <si>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</si>
  <si>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</si>
  <si>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</si>
  <si>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</si>
  <si>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</si>
  <si>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</si>
  <si>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</si>
  <si>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</si>
  <si>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</si>
  <si>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</si>
  <si>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</si>
  <si>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</si>
  <si>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</si>
  <si>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</si>
  <si>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</si>
  <si>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</si>
  <si>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</si>
  <si>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</si>
  <si>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</si>
  <si>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</si>
  <si>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</si>
  <si>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</si>
  <si>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</si>
  <si>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</si>
  <si>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</si>
  <si>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</si>
  <si>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</si>
  <si>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</si>
  <si>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</si>
  <si>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</si>
  <si>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</si>
  <si>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</si>
  <si>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</si>
  <si>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</si>
  <si>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</si>
  <si>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</si>
  <si>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</si>
  <si>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</si>
  <si>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</si>
  <si>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</si>
  <si>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</si>
  <si>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</si>
  <si>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</si>
  <si>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</si>
  <si>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</si>
  <si>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</si>
  <si>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</si>
  <si>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</si>
  <si>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</si>
  <si>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</si>
  <si>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</si>
  <si>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</si>
  <si>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</si>
  <si>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</si>
  <si>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</si>
  <si>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</si>
  <si>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</si>
  <si>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</si>
  <si>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</si>
  <si>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</si>
  <si>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</si>
  <si>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</si>
  <si>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</si>
  <si>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</si>
  <si>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</si>
  <si>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</si>
  <si>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</si>
  <si>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</si>
  <si>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</si>
  <si>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</si>
  <si>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</si>
  <si>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</si>
  <si>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</si>
  <si>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</si>
  <si>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</si>
  <si>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</si>
  <si>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</si>
  <si>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</si>
  <si>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</si>
  <si>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</si>
  <si>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</si>
  <si>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</si>
  <si>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</si>
  <si>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</si>
  <si>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</si>
  <si>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</si>
  <si>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</si>
  <si>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</si>
  <si>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</si>
  <si>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</si>
  <si>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</si>
  <si>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</si>
  <si>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</si>
  <si>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</si>
  <si>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</si>
  <si>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</si>
  <si>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</si>
  <si>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</si>
  <si>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</si>
  <si>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</si>
  <si>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</si>
  <si>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</si>
  <si>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</si>
  <si>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</si>
  <si>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</si>
  <si>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</si>
  <si>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</si>
  <si>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</si>
  <si>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</si>
  <si>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</si>
  <si>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</si>
  <si>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</si>
  <si>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</si>
  <si>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</si>
  <si>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</si>
  <si>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</si>
  <si>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</si>
  <si>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</si>
  <si>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</si>
  <si>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</si>
  <si>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</si>
  <si>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</si>
  <si>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</si>
  <si>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</si>
  <si>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</si>
  <si>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</si>
  <si>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</si>
  <si>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</si>
  <si>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</si>
  <si>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</si>
  <si>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</si>
  <si>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</si>
  <si>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</si>
  <si>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</si>
  <si>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</si>
  <si>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</si>
  <si>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</si>
  <si>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</si>
  <si>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</si>
  <si>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</si>
  <si>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</si>
  <si>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</si>
  <si>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</si>
  <si>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</si>
  <si>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</si>
  <si>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</si>
  <si>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</si>
  <si>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</si>
  <si>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</si>
  <si>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</si>
  <si>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</si>
  <si>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</si>
  <si>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</si>
  <si>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</si>
  <si>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</si>
  <si>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</si>
  <si>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</si>
  <si>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</si>
  <si>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</si>
  <si>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</si>
  <si>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</si>
  <si>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</si>
  <si>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</si>
  <si>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</si>
  <si>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</si>
  <si>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</si>
  <si>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</si>
  <si>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</si>
  <si>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</si>
  <si>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</si>
  <si>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</si>
  <si>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</si>
  <si>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</si>
  <si>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</si>
  <si>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</si>
  <si>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</si>
  <si>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</si>
  <si>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</si>
  <si>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</si>
  <si>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</si>
  <si>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</si>
  <si>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</si>
  <si>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</si>
  <si>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</si>
  <si>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</si>
  <si>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</si>
  <si>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</si>
  <si>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</si>
  <si>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</si>
  <si>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</si>
  <si>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</si>
  <si>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</si>
  <si>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</si>
  <si>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</si>
  <si>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</si>
  <si>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</si>
  <si>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</si>
  <si>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</si>
  <si>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</si>
  <si>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</si>
  <si>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</si>
  <si>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</si>
  <si>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</si>
  <si>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</si>
  <si>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</si>
  <si>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</si>
  <si>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</si>
  <si>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</si>
  <si>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</si>
  <si>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</si>
  <si>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</si>
  <si>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</si>
  <si>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</si>
  <si>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</si>
  <si>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</si>
  <si>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</si>
  <si>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</si>
  <si>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</si>
  <si>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</si>
  <si>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</si>
  <si>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</si>
  <si>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</si>
  <si>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</si>
  <si>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</si>
  <si>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</si>
  <si>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</si>
  <si>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</si>
  <si>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</si>
  <si>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</si>
  <si>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</si>
  <si>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</si>
  <si>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</si>
  <si>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</si>
  <si>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</si>
  <si>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</si>
  <si>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</si>
  <si>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</si>
  <si>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</si>
  <si>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</si>
  <si>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</si>
  <si>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</si>
  <si>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</si>
  <si>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</si>
  <si>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</si>
  <si>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</si>
  <si>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</si>
  <si>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</si>
  <si>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</si>
  <si>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</si>
  <si>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</si>
  <si>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</si>
  <si>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</si>
  <si>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</si>
  <si>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</si>
  <si>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</si>
  <si>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</si>
  <si>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</si>
  <si>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</si>
  <si>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</si>
  <si>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</si>
  <si>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</si>
  <si>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</si>
  <si>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</si>
  <si>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</si>
  <si>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</si>
  <si>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</si>
  <si>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</si>
  <si>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</si>
  <si>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</si>
  <si>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</si>
  <si>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</si>
  <si>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</si>
  <si>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</si>
  <si>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</si>
  <si>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</si>
  <si>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</si>
  <si>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</si>
  <si>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</si>
  <si>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</si>
  <si>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</si>
  <si>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</si>
  <si>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</si>
  <si>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</si>
  <si>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</si>
  <si>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</si>
  <si>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</si>
  <si>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</si>
  <si>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</si>
  <si>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</si>
  <si>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</si>
  <si>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</si>
  <si>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</si>
  <si>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</si>
  <si>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</si>
  <si>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</si>
  <si>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</si>
  <si>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</si>
  <si>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</si>
  <si>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</si>
  <si>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</si>
  <si>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</si>
  <si>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</si>
  <si>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</si>
  <si>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</si>
  <si>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</si>
  <si>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</si>
  <si>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</si>
  <si>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</si>
  <si>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</si>
  <si>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</si>
  <si>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</si>
  <si>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</si>
  <si>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</si>
  <si>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</si>
  <si>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</si>
  <si>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</si>
  <si>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</si>
  <si>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</si>
  <si>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</si>
  <si>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</si>
  <si>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</si>
  <si>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</si>
  <si>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</si>
  <si>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</si>
  <si>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</si>
  <si>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</si>
  <si>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</si>
  <si>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</si>
  <si>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</si>
  <si>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</si>
  <si>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</si>
  <si>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</si>
  <si>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</si>
  <si>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</si>
  <si>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</si>
  <si>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</si>
  <si>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</si>
  <si>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</si>
  <si>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</si>
  <si>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</si>
  <si>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</si>
  <si>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</si>
  <si>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</si>
  <si>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</si>
  <si>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</si>
  <si>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</si>
  <si>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</si>
  <si>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</si>
  <si>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</si>
  <si>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</si>
  <si>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</si>
  <si>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</si>
  <si>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</si>
  <si>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</si>
  <si>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</si>
  <si>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</si>
  <si>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</si>
  <si>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</si>
  <si>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</si>
  <si>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</si>
  <si>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</si>
  <si>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</si>
  <si>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</si>
  <si>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</si>
  <si>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</si>
  <si>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</si>
  <si>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</si>
  <si>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</si>
  <si>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</si>
  <si>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</si>
  <si>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</si>
  <si>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</si>
  <si>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</si>
  <si>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</si>
  <si>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</si>
  <si>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</si>
  <si>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</si>
  <si>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</si>
  <si>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</si>
  <si>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</si>
  <si>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</si>
  <si>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</si>
  <si>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</si>
  <si>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</si>
  <si>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</si>
  <si>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</si>
  <si>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</si>
  <si>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</si>
  <si>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</si>
  <si>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</si>
  <si>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</si>
  <si>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</si>
  <si>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</si>
  <si>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</si>
  <si>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</si>
  <si>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</si>
  <si>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</si>
  <si>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</si>
  <si>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</si>
  <si>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</si>
  <si>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</si>
  <si>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</si>
  <si>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</si>
  <si>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</si>
  <si>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</si>
  <si>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</si>
  <si>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</si>
  <si>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</si>
  <si>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</si>
  <si>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</si>
  <si>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</si>
  <si>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</si>
  <si>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</si>
  <si>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</si>
  <si>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</si>
  <si>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</si>
  <si>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</si>
  <si>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</si>
  <si>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</si>
  <si>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</si>
  <si>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</si>
  <si>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</si>
  <si>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</si>
  <si>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</si>
  <si>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</si>
  <si>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</si>
  <si>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</si>
  <si>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</si>
  <si>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</si>
  <si>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</si>
  <si>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</si>
  <si>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</si>
  <si>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</si>
  <si>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</si>
  <si>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</si>
  <si>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</si>
  <si>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</si>
  <si>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</si>
  <si>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</si>
  <si>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</si>
  <si>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</si>
  <si>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</si>
  <si>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</si>
  <si>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</si>
  <si>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</si>
  <si>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</si>
  <si>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</si>
  <si>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</si>
  <si>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</si>
  <si>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</si>
  <si>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</si>
  <si>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</si>
  <si>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</si>
  <si>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</si>
  <si>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</si>
  <si>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</si>
  <si>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</si>
  <si>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</si>
  <si>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</si>
  <si>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</si>
  <si>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</si>
  <si>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</si>
  <si>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</si>
  <si>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</si>
  <si>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</si>
  <si>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</si>
  <si>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</si>
  <si>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</si>
  <si>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</si>
  <si>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</si>
  <si>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</si>
  <si>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</si>
  <si>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</si>
  <si>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</si>
  <si>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</si>
  <si>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</si>
  <si>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</si>
  <si>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</si>
  <si>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</si>
  <si>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</si>
  <si>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</si>
  <si>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</si>
  <si>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</si>
  <si>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</si>
  <si>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</si>
  <si>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</si>
  <si>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</si>
  <si>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</si>
  <si>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</si>
  <si>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</si>
  <si>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</si>
  <si>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</si>
  <si>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</si>
  <si>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</si>
  <si>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</si>
  <si>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</si>
  <si>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</si>
  <si>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</si>
  <si>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</si>
  <si>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</si>
  <si>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</si>
  <si>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</si>
  <si>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</si>
  <si>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</si>
  <si>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</si>
  <si>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</si>
  <si>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</si>
  <si>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</si>
  <si>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</si>
  <si>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</si>
  <si>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</si>
  <si>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</si>
  <si>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</si>
  <si>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</si>
  <si>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</si>
  <si>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</si>
  <si>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</si>
  <si>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</si>
  <si>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</si>
  <si>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</si>
  <si>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</si>
  <si>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</si>
  <si>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</si>
  <si>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</si>
  <si>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</si>
  <si>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</si>
  <si>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</si>
  <si>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</si>
  <si>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</si>
  <si>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</si>
  <si>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</si>
  <si>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</si>
  <si>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</si>
  <si>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</si>
  <si>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</si>
  <si>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</si>
  <si>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</si>
  <si>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</si>
  <si>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</si>
  <si>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</si>
  <si>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</si>
  <si>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</si>
  <si>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</si>
  <si>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</si>
  <si>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</si>
  <si>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</si>
  <si>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</si>
  <si>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</si>
  <si>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</si>
  <si>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</si>
  <si>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</si>
  <si>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</si>
  <si>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</si>
  <si>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</si>
  <si>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</si>
  <si>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</si>
  <si>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</si>
  <si>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</si>
  <si>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</si>
  <si>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</si>
  <si>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</si>
  <si>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</si>
  <si>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</si>
  <si>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</si>
  <si>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</si>
  <si>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</si>
  <si>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</si>
  <si>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</si>
  <si>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</si>
  <si>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</si>
  <si>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</si>
  <si>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</si>
  <si>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</si>
  <si>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</si>
  <si>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</si>
  <si>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</si>
  <si>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</si>
  <si>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</si>
  <si>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</si>
  <si>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</si>
  <si>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</si>
  <si>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</si>
  <si>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</si>
  <si>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</si>
  <si>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</si>
  <si>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</si>
  <si>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</si>
  <si>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</si>
  <si>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</si>
  <si>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</si>
  <si>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</si>
  <si>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</si>
  <si>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</si>
  <si>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</si>
  <si>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</si>
  <si>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</si>
  <si>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</si>
  <si>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</si>
  <si>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</si>
  <si>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</si>
  <si>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</si>
  <si>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</si>
  <si>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</si>
  <si>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</si>
  <si>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</si>
  <si>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</si>
  <si>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</si>
  <si>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</si>
  <si>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</si>
  <si>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</si>
  <si>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</si>
  <si>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</si>
  <si>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</si>
  <si>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</si>
  <si>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</si>
  <si>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</si>
  <si>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</si>
  <si>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</si>
  <si>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</si>
  <si>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</si>
  <si>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</si>
  <si>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</si>
  <si>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</si>
  <si>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</si>
  <si>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</si>
  <si>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</si>
  <si>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</si>
  <si>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</si>
  <si>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</si>
  <si>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</si>
  <si>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</si>
  <si>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</si>
  <si>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</si>
  <si>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</si>
  <si>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</si>
  <si>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</si>
  <si>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</si>
  <si>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</si>
  <si>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</si>
  <si>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</si>
  <si>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</si>
  <si>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</si>
  <si>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</si>
  <si>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</si>
  <si>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</si>
  <si>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</si>
  <si>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</si>
  <si>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</si>
  <si>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</si>
  <si>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</si>
  <si>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</si>
  <si>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</si>
  <si>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</si>
  <si>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</si>
  <si>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</si>
  <si>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</si>
  <si>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</si>
  <si>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</si>
  <si>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</si>
  <si>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</si>
  <si>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</si>
  <si>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</si>
  <si>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</si>
  <si>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</si>
  <si>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</si>
  <si>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</si>
  <si>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</si>
  <si>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</si>
  <si>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</si>
  <si>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</si>
  <si>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</si>
  <si>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</si>
  <si>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</si>
  <si>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</si>
  <si>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</si>
  <si>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</si>
  <si>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</si>
  <si>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</si>
  <si>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</si>
  <si>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</si>
  <si>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</si>
  <si>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</si>
  <si>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</si>
  <si>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</si>
  <si>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</si>
  <si>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</si>
  <si>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</si>
  <si>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</si>
  <si>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</si>
  <si>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</si>
  <si>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</si>
  <si>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</si>
  <si>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</si>
  <si>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</si>
  <si>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</si>
  <si>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</si>
  <si>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</si>
  <si>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</si>
  <si>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</si>
  <si>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</si>
  <si>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</si>
  <si>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</si>
  <si>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</si>
  <si>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</si>
  <si>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</si>
  <si>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</si>
  <si>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</si>
  <si>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</si>
  <si>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</si>
  <si>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</si>
  <si>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</si>
  <si>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</si>
  <si>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</si>
  <si>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</si>
  <si>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</si>
  <si>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</si>
  <si>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</si>
  <si>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</si>
  <si>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</si>
  <si>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</si>
  <si>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</si>
  <si>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</si>
  <si>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</si>
  <si>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</si>
  <si>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</si>
  <si>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</si>
  <si>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</si>
  <si>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</si>
  <si>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</si>
  <si>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</si>
  <si>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</si>
  <si>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</si>
  <si>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</si>
  <si>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</si>
  <si>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</si>
  <si>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</si>
  <si>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</si>
  <si>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</si>
  <si>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</si>
  <si>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</si>
  <si>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</si>
  <si>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</si>
  <si>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</si>
  <si>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</si>
  <si>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</si>
  <si>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</si>
  <si>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</si>
  <si>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</si>
  <si>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</si>
  <si>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</si>
  <si>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</si>
  <si>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</si>
  <si>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</si>
  <si>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</si>
  <si>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</si>
  <si>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</si>
  <si>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</si>
  <si>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</si>
  <si>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</si>
  <si>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</si>
  <si>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</si>
  <si>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</si>
  <si>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</si>
  <si>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</si>
  <si>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</si>
  <si>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</si>
  <si>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</si>
  <si>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</si>
  <si>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</si>
  <si>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</si>
  <si>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</si>
  <si>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</si>
  <si>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</si>
  <si>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</si>
  <si>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</si>
  <si>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</si>
  <si>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</si>
  <si>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</si>
  <si>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</si>
  <si>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</si>
  <si>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</si>
  <si>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</si>
  <si>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</si>
  <si>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</si>
  <si>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</si>
  <si>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</si>
  <si>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</si>
  <si>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</si>
  <si>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</si>
  <si>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</si>
  <si>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</si>
  <si>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</si>
  <si>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</si>
  <si>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</si>
  <si>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</si>
  <si>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</si>
  <si>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</si>
  <si>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</si>
  <si>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</si>
  <si>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</si>
  <si>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</si>
  <si>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</si>
  <si>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</si>
  <si>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</si>
  <si>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</si>
  <si>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</si>
  <si>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</si>
  <si>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</si>
  <si>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</si>
  <si>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</si>
  <si>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</si>
  <si>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</si>
  <si>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</si>
  <si>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</si>
  <si>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</si>
  <si>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</si>
  <si>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</si>
  <si>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</si>
  <si>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</si>
  <si>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</si>
  <si>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</si>
  <si>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</si>
  <si>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</si>
  <si>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</si>
  <si>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</si>
  <si>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</si>
  <si>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</si>
  <si>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</si>
  <si>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</si>
  <si>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</si>
  <si>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</si>
  <si>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</si>
  <si>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</si>
  <si>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</si>
  <si>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</si>
  <si>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</si>
  <si>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</si>
  <si>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</si>
  <si>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</si>
  <si>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</si>
  <si>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</si>
  <si>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</si>
  <si>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</si>
  <si>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</si>
  <si>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</si>
  <si>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</si>
  <si>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</si>
  <si>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</si>
  <si>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</si>
  <si>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</si>
  <si>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</si>
  <si>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</si>
  <si>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</si>
  <si>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</si>
  <si>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</si>
  <si>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</si>
  <si>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</si>
  <si>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</si>
  <si>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</si>
  <si>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</si>
  <si>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</si>
  <si>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</si>
  <si>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</si>
  <si>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</si>
  <si>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</si>
  <si>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</si>
  <si>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</si>
  <si>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</si>
  <si>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</si>
  <si>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</si>
  <si>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</si>
  <si>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</si>
  <si>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</si>
  <si>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</si>
  <si>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</si>
  <si>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</si>
  <si>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</si>
  <si>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</si>
  <si>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</si>
  <si>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</si>
  <si>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</si>
  <si>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</si>
  <si>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</si>
  <si>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</si>
  <si>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</si>
  <si>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</si>
  <si>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</si>
  <si>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</si>
  <si>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</si>
  <si>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</si>
  <si>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</si>
  <si>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</si>
  <si>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</si>
  <si>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</si>
  <si>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</si>
  <si>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</si>
  <si>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</si>
  <si>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</si>
  <si>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</si>
  <si>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</si>
  <si>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</si>
  <si>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</si>
  <si>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</si>
  <si>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</si>
  <si>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</si>
  <si>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</si>
  <si>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</si>
  <si>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</si>
  <si>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</si>
  <si>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</si>
  <si>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</si>
  <si>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</si>
  <si>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</si>
  <si>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</si>
  <si>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</si>
  <si>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</si>
  <si>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</si>
  <si>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</si>
  <si>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</si>
  <si>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</si>
  <si>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</si>
  <si>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</si>
  <si>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</si>
  <si>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</si>
  <si>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</si>
  <si>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</si>
  <si>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</si>
  <si>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</si>
  <si>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</si>
  <si>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</si>
  <si>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</si>
  <si>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</si>
  <si>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</si>
  <si>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</si>
  <si>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</si>
  <si>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</si>
  <si>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</si>
  <si>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</si>
  <si>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</si>
  <si>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</si>
  <si>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</si>
  <si>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</si>
  <si>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</si>
  <si>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</si>
  <si>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</si>
  <si>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</si>
  <si>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</si>
  <si>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</si>
  <si>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</si>
  <si>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</si>
  <si>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</si>
  <si>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</si>
  <si>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</si>
  <si>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</si>
  <si>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</si>
  <si>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</si>
  <si>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</si>
  <si>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</si>
  <si>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</si>
  <si>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</si>
  <si>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</si>
  <si>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</si>
  <si>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</si>
  <si>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</si>
  <si>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</si>
  <si>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</si>
  <si>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</si>
  <si>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</si>
  <si>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</si>
  <si>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</si>
  <si>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</si>
  <si>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</si>
  <si>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</si>
  <si>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</si>
  <si>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</si>
  <si>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</si>
  <si>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</si>
  <si>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</si>
  <si>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</si>
  <si>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</si>
  <si>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</si>
  <si>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</si>
  <si>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</si>
  <si>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</si>
  <si>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</si>
  <si>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</si>
  <si>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</si>
  <si>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</si>
  <si>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</si>
  <si>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</si>
  <si>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</si>
  <si>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</si>
  <si>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</si>
  <si>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</si>
  <si>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</si>
  <si>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</si>
  <si>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</si>
  <si>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</si>
  <si>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</si>
  <si>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</si>
  <si>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</si>
  <si>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</si>
  <si>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</si>
  <si>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</si>
  <si>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</si>
  <si>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</si>
  <si>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</si>
  <si>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</si>
  <si>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</si>
  <si>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</si>
  <si>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</si>
  <si>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</si>
  <si>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</si>
  <si>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</si>
  <si>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</si>
  <si>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</si>
  <si>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</si>
  <si>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</si>
  <si>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</si>
  <si>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</si>
  <si>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</si>
  <si>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</si>
  <si>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</si>
  <si>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</si>
  <si>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</si>
  <si>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</si>
  <si>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</si>
  <si>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</si>
  <si>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</si>
  <si>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</si>
  <si>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</si>
  <si>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</si>
  <si>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</si>
  <si>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</si>
  <si>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</si>
  <si>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</si>
  <si>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</si>
  <si>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</si>
  <si>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</si>
  <si>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</si>
  <si>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</si>
  <si>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</si>
  <si>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</si>
  <si>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</si>
  <si>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</si>
  <si>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</si>
  <si>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</si>
  <si>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</si>
  <si>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</si>
  <si>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</si>
  <si>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</si>
  <si>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</si>
  <si>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</si>
  <si>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</si>
  <si>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</si>
  <si>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</si>
  <si>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</si>
  <si>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</si>
  <si>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</si>
  <si>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</si>
  <si>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</si>
  <si>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</si>
  <si>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</si>
  <si>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</si>
  <si>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</si>
  <si>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</si>
  <si>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</si>
  <si>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</si>
  <si>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</si>
  <si>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</si>
  <si>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</si>
  <si>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</si>
  <si>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</si>
  <si>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</si>
  <si>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</si>
  <si>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</si>
  <si>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STERICLIN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</si>
  <si>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</si>
  <si>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</si>
  <si>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</si>
  <si>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</si>
  <si>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</si>
  <si>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</si>
  <si>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</si>
  <si>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</si>
  <si>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</si>
  <si>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</si>
  <si>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</si>
  <si>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</si>
  <si>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</si>
  <si>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MEDITOP</t>
  </si>
  <si>
    <t>HOSPICARE</t>
  </si>
  <si>
    <t>Visualiza Requerimiento</t>
  </si>
  <si>
    <t>Clínica Kennedy</t>
  </si>
  <si>
    <t>Junta</t>
  </si>
  <si>
    <t>Luis Vern</t>
  </si>
  <si>
    <t>Metropolitano</t>
  </si>
  <si>
    <t>ACCESORIOS</t>
  </si>
  <si>
    <t>ACET. R3 TITANIO NO CEMENT</t>
  </si>
  <si>
    <t>Acetabular Cup  All Poly (cementada)</t>
  </si>
  <si>
    <t>Acetabular Cup  All Poly XLPE (cementada</t>
  </si>
  <si>
    <t>Acoples Offset</t>
  </si>
  <si>
    <t>Actico TPS</t>
  </si>
  <si>
    <t>Bases tibiales</t>
  </si>
  <si>
    <t>Bowie &amp; Dick</t>
  </si>
  <si>
    <t>CABEZA FEMORAL CrCo</t>
  </si>
  <si>
    <t>CABEZA FEMORAL OXINIUM</t>
  </si>
  <si>
    <t>Cellacare Genucast</t>
  </si>
  <si>
    <t>Cellacare Maleo Akut</t>
  </si>
  <si>
    <t>Cellacast Xtra</t>
  </si>
  <si>
    <t>Cellona Guata sintética</t>
  </si>
  <si>
    <t>Cellona Shoecast</t>
  </si>
  <si>
    <t>Cellona Xtra</t>
  </si>
  <si>
    <t>CEMENTOS</t>
  </si>
  <si>
    <t>CENTRALIZADORES</t>
  </si>
  <si>
    <t>Cintas Control</t>
  </si>
  <si>
    <t>Componente Femoral Constreñido</t>
  </si>
  <si>
    <t>COMPONENTE FEMORAL CrCo (IZQUIERDO Y DER</t>
  </si>
  <si>
    <t>COMPONENTE FEMORAL OXINIUM (IZQUIERDO Y</t>
  </si>
  <si>
    <t>COMPONENTE PATELAR GENESIS II</t>
  </si>
  <si>
    <t>COMPONENTE TIBIAL TITANIO (IZQUIERDA Y D</t>
  </si>
  <si>
    <t>CUCHILLAS</t>
  </si>
  <si>
    <t>Cuñas Femorales</t>
  </si>
  <si>
    <t>Cuñas Tibiales</t>
  </si>
  <si>
    <t>Curafix H</t>
  </si>
  <si>
    <t>Curapor Transparent</t>
  </si>
  <si>
    <t>Dauerbinde</t>
  </si>
  <si>
    <t>Debrisoft</t>
  </si>
  <si>
    <t>Dispensadores</t>
  </si>
  <si>
    <t>DRENAJES TORACICOS</t>
  </si>
  <si>
    <t>E-liac</t>
  </si>
  <si>
    <t>E-tegra</t>
  </si>
  <si>
    <t>E-ventus</t>
  </si>
  <si>
    <t>E-Wire</t>
  </si>
  <si>
    <t>Easy Plus</t>
  </si>
  <si>
    <t>Empaque Polipropileno</t>
  </si>
  <si>
    <t>Enjoy</t>
  </si>
  <si>
    <t>Evita Abdominal</t>
  </si>
  <si>
    <t>Evita Abdominal XT</t>
  </si>
  <si>
    <t>Evita Custom Made</t>
  </si>
  <si>
    <t>Evita Open</t>
  </si>
  <si>
    <t>Evita Thoracic 3G</t>
  </si>
  <si>
    <t>Exl</t>
  </si>
  <si>
    <t>Expand</t>
  </si>
  <si>
    <t>Flow Line Bipore Heparin SW</t>
  </si>
  <si>
    <t>Flow Line Bipore Heparin TW</t>
  </si>
  <si>
    <t>Flow Nit Bioseal Bifurcations</t>
  </si>
  <si>
    <t>Flow Nit Bioseal Straight tubes</t>
  </si>
  <si>
    <t>FLOW WEAVE PLUS</t>
  </si>
  <si>
    <t>Flow Weave Plus Tetrabranch Abdominal</t>
  </si>
  <si>
    <t>Flow Weave Plus Tetrabranch Thoracic</t>
  </si>
  <si>
    <t>Flowline Bipore SW</t>
  </si>
  <si>
    <t>Flowline Bipore SW Spiral</t>
  </si>
  <si>
    <t>Flowline Bipore TW Spiral</t>
  </si>
  <si>
    <t>Fortelast Plus</t>
  </si>
  <si>
    <t>Fundas esterilización Vapor/Eto</t>
  </si>
  <si>
    <t>GAZIN</t>
  </si>
  <si>
    <t>Haftan</t>
  </si>
  <si>
    <t>INSERTO TIBIAL  HIGH FLEX LEGION</t>
  </si>
  <si>
    <t>INSERTO TIBIAL STANDARD GENESIS II</t>
  </si>
  <si>
    <t>Insertos Constreñidos</t>
  </si>
  <si>
    <t>Komprex II</t>
  </si>
  <si>
    <t>Lenkelast</t>
  </si>
  <si>
    <t>LINER ACETABULAR POLIETILENO RETICULADO</t>
  </si>
  <si>
    <t>Lomatuell H</t>
  </si>
  <si>
    <t>Metalline</t>
  </si>
  <si>
    <t>Mollelast Haft</t>
  </si>
  <si>
    <t>Otros accesorios</t>
  </si>
  <si>
    <t>Papel Empaque Crepe</t>
  </si>
  <si>
    <t>Pro-Ophta</t>
  </si>
  <si>
    <t>PUNTAS DE RADIOFRECUENCIA</t>
  </si>
  <si>
    <t>Raucocell</t>
  </si>
  <si>
    <t>RAUCODRAPE</t>
  </si>
  <si>
    <t>RESTRICTORES</t>
  </si>
  <si>
    <t>Rollos Tyvek</t>
  </si>
  <si>
    <t>Rollos Vapor/Eto</t>
  </si>
  <si>
    <t>Rollos Vapor/Eto con fuelle</t>
  </si>
  <si>
    <t>Rosidal K</t>
  </si>
  <si>
    <t>Rosidal Mobil</t>
  </si>
  <si>
    <t>SENTINEX</t>
  </si>
  <si>
    <t>SET PACK</t>
  </si>
  <si>
    <t>Suprasorb</t>
  </si>
  <si>
    <t>Tacón de Marcha</t>
  </si>
  <si>
    <t>TG Fix</t>
  </si>
  <si>
    <t>TG Soft</t>
  </si>
  <si>
    <t>Tiras Indicadoras</t>
  </si>
  <si>
    <t>TORNILLOS PARA EL ACETABULO</t>
  </si>
  <si>
    <t>Valpeau Crepe</t>
  </si>
  <si>
    <t>Varicex</t>
  </si>
  <si>
    <t>VASTAGO FEMORAL CONQUEST CEMENTADO</t>
  </si>
  <si>
    <t>VASTAGO FEMORAL SYNERGY NO CEMENTADO CON</t>
  </si>
  <si>
    <t>VASTAGO FEMORAL SYNERGY NO CEMENTADO POR</t>
  </si>
  <si>
    <t>Vástagos Cementados</t>
  </si>
  <si>
    <t>Vástagos Press Fit</t>
  </si>
  <si>
    <t>Vendaje Tubular (estoquineta)</t>
  </si>
  <si>
    <t>Vliwaktiv</t>
  </si>
  <si>
    <t>Vliwaktiv + Ag</t>
  </si>
  <si>
    <t>Vliwasoft</t>
  </si>
  <si>
    <t>Vliwasorb</t>
  </si>
  <si>
    <t>Vliwazell</t>
  </si>
  <si>
    <t>JOTEC</t>
  </si>
  <si>
    <t>LOHMANN &amp; RAUSCHER</t>
  </si>
  <si>
    <t>OTRAS MERCADERIAS</t>
  </si>
  <si>
    <t>SMITH &amp; NEPHEW</t>
  </si>
  <si>
    <t>admin</t>
  </si>
  <si>
    <t>Bodega GYE</t>
  </si>
  <si>
    <t>Bodega ILS</t>
  </si>
  <si>
    <t>Bodega UIO</t>
  </si>
  <si>
    <t>ConsigPend</t>
  </si>
  <si>
    <t>ACKERMANN</t>
  </si>
  <si>
    <t>ECUASURGICAL S.A.</t>
  </si>
  <si>
    <t>GIMPROMED CIA. LTDA.</t>
  </si>
  <si>
    <t>HAWO</t>
  </si>
  <si>
    <t>HOSPICARE S.A.</t>
  </si>
  <si>
    <t>MICROAIRE</t>
  </si>
  <si>
    <t>NEOMEX</t>
  </si>
  <si>
    <t>NIPRO MEDICAL CORPORATION ECUADOR</t>
  </si>
  <si>
    <t>PRODIMEDA</t>
  </si>
  <si>
    <t>SAIPACOL S.A.</t>
  </si>
  <si>
    <t>UNILENE</t>
  </si>
  <si>
    <t>MEDITOP.xlsm</t>
  </si>
  <si>
    <t>COMPRA LOCAL</t>
  </si>
  <si>
    <t>JOTEC AÉREO</t>
  </si>
  <si>
    <t>LOHMANN AÉREO</t>
  </si>
  <si>
    <t>SMITH &amp; NEPHEW AÉREO</t>
  </si>
  <si>
    <t>STERICLIN MARÍTIMO</t>
  </si>
  <si>
    <t>LOHMANN MARÍTIMO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</si>
</sst>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1224496"/>
        <c:axId val="901225056"/>
      </c:barChart>
      <c:catAx>
        <c:axId val="9012244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901225056"/>
        <c:crosses val="autoZero"/>
        <c:auto val="1"/>
        <c:lblAlgn val="ctr"/>
        <c:lblOffset val="100"/>
        <c:noMultiLvlLbl val="0"/>
      </c:catAx>
      <c:valAx>
        <c:axId val="9012250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01224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7" sel="5" val="0"/>
</file>

<file path=xl/ctrlProps/ctrlProp2.xml><?xml version="1.0" encoding="utf-8"?>
<formControlPr xmlns="http://schemas.microsoft.com/office/spreadsheetml/2009/9/main" objectType="List" dx="22" fmlaLink="Combos!$G$1" fmlaRange="Combos!$E$2:$E$6" val="0"/>
</file>

<file path=xl/ctrlProps/ctrlProp3.xml><?xml version="1.0" encoding="utf-8"?>
<formControlPr xmlns="http://schemas.microsoft.com/office/spreadsheetml/2009/9/main" objectType="List" dx="22" fmlaLink="Combos!$K$1" fmlaRange="Combos!$I$2:$I$16" sel="7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6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104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2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7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6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6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7" totalsRowShown="0">
  <autoFilter ref="A1:A7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6" totalsRowShown="0">
  <autoFilter ref="E1:E6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6" totalsRowShown="0">
  <autoFilter ref="I1:I16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6" totalsRowShown="0">
  <autoFilter ref="M1:M6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" totalsRowShown="0">
  <autoFilter ref="Q1:Q2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" totalsRowShown="0">
  <autoFilter ref="U1:U2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104" totalsRowShown="0">
  <autoFilter ref="AK1:AK104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2" totalsRowShown="0">
  <autoFilter ref="AO1:AO2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7" totalsRowShown="0">
  <autoFilter ref="BI1:BI7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3021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3iegsVKeL9gdfZBKHROpMRHdmViBQDd7aM9ynGtkAsmAx5d27LUf7d/4BcGGnWgc5f6I5waubbn/hGg+IevsUQ==" saltValue="yRE7nAKWzSfkrxcWPjFyng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3024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104"/>
  <sheetViews>
    <sheetView showGridLines="0" topLeftCell="BP1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5</v>
      </c>
      <c r="E1" t="s">
        <v>2894</v>
      </c>
      <c r="G1">
        <v>1</v>
      </c>
      <c r="I1" t="s">
        <v>2894</v>
      </c>
      <c r="K1">
        <v>7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2897</v>
      </c>
      <c r="BZ1" t="s">
        <v>209</v>
      </c>
      <c r="CB1" t="s">
        <v>2912</v>
      </c>
    </row>
    <row r="2" spans="1:80" x14ac:dyDescent="0.25">
      <c r="A2" t="s">
        <v>2913</v>
      </c>
      <c r="C2" t="str">
        <f>IFERROR(INDEX(tbl_empresa[Nombre],num_empresa_seleccionada,1),$A$2)</f>
        <v>MEDITOP</v>
      </c>
      <c r="E2" t="s">
        <v>2895</v>
      </c>
      <c r="G2" t="str">
        <f>IFERROR(INDEX(tbl_bodega[Nombre],num_bodega_seleccionada,1),$E$2)</f>
        <v>Bodega ECU</v>
      </c>
      <c r="I2" t="s">
        <v>3029</v>
      </c>
      <c r="K2" t="str">
        <f>IFERROR(INDEX(tbl_proveedor[Nombre],num_proveedor_seleccionada,1),$I$2)</f>
        <v>LOHMANN &amp; RAUSCHER</v>
      </c>
      <c r="M2" t="s">
        <v>3020</v>
      </c>
      <c r="O2" t="str">
        <f>IFERROR(INDEX(tbl_marca[Nombre],num_marca_seleccionada,1),$M$2)</f>
        <v>JOTEC</v>
      </c>
      <c r="S2">
        <f>IFERROR(INDEX(tbl_grupo[Nombre],num_grupo_seleccionada,1),$Q$2)</f>
        <v>0</v>
      </c>
      <c r="W2">
        <f>IFERROR(INDEX(tbl_linea[Nombre],num_linea_seleccionada,1),$U$2)</f>
        <v>0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K2" t="s">
        <v>2917</v>
      </c>
      <c r="AM2" t="str">
        <f>IFERROR(INDEX(tbl_subfamilia[Nombre],num_subfamilia_seleccionada,1),$AK$2)</f>
        <v>ACCESORIOS</v>
      </c>
      <c r="AQ2">
        <f>IFERROR(INDEX(tbl_categoria[Nombre],num_categoria_seleccionada,1),$AO$2)</f>
        <v>0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3041</v>
      </c>
      <c r="BK2" t="str">
        <f>IFERROR(INDEX(tbl_perfil[Nombre],num_perfil_seleccionada,1),$BI$2)</f>
        <v>COMPRA 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3040</v>
      </c>
      <c r="BW2" t="str">
        <f>IFERROR(INDEX(tbl_hojacb[Nombre],num_hojacb_seleccionada,1),$BU$2)</f>
        <v>MEDITOP.xlsm</v>
      </c>
      <c r="BY2" t="s">
        <v>2909</v>
      </c>
      <c r="BZ2" t="b">
        <v>0</v>
      </c>
      <c r="CB2" t="b">
        <v>1</v>
      </c>
    </row>
    <row r="3" spans="1:80" x14ac:dyDescent="0.25">
      <c r="A3" t="s">
        <v>2911</v>
      </c>
      <c r="E3" t="s">
        <v>3025</v>
      </c>
      <c r="I3" t="s">
        <v>3030</v>
      </c>
      <c r="M3" t="s">
        <v>3021</v>
      </c>
      <c r="AK3" t="s">
        <v>2918</v>
      </c>
      <c r="BI3" t="s">
        <v>3042</v>
      </c>
      <c r="BM3" t="s">
        <v>2908</v>
      </c>
      <c r="BY3" t="s">
        <v>2888</v>
      </c>
      <c r="BZ3" t="b">
        <v>0</v>
      </c>
    </row>
    <row r="4" spans="1:80" x14ac:dyDescent="0.25">
      <c r="A4" t="s">
        <v>2914</v>
      </c>
      <c r="E4" t="s">
        <v>3026</v>
      </c>
      <c r="I4" t="s">
        <v>3031</v>
      </c>
      <c r="M4" t="s">
        <v>3022</v>
      </c>
      <c r="AK4" t="s">
        <v>2919</v>
      </c>
      <c r="BI4" t="s">
        <v>3043</v>
      </c>
      <c r="BM4" t="s">
        <v>1981</v>
      </c>
      <c r="BY4" t="s">
        <v>2898</v>
      </c>
      <c r="BZ4" t="b">
        <v>0</v>
      </c>
    </row>
    <row r="5" spans="1:80" x14ac:dyDescent="0.25">
      <c r="A5" t="s">
        <v>2915</v>
      </c>
      <c r="E5" t="s">
        <v>3027</v>
      </c>
      <c r="I5" t="s">
        <v>3032</v>
      </c>
      <c r="M5" t="s">
        <v>3023</v>
      </c>
      <c r="AK5" t="s">
        <v>2920</v>
      </c>
      <c r="BI5" t="s">
        <v>3044</v>
      </c>
      <c r="BM5" t="s">
        <v>1196</v>
      </c>
      <c r="BY5" t="s">
        <v>2899</v>
      </c>
      <c r="BZ5" t="b">
        <v>0</v>
      </c>
    </row>
    <row r="6" spans="1:80" x14ac:dyDescent="0.25">
      <c r="A6" t="s">
        <v>2910</v>
      </c>
      <c r="E6" t="s">
        <v>3028</v>
      </c>
      <c r="I6" t="s">
        <v>3033</v>
      </c>
      <c r="M6" t="s">
        <v>2896</v>
      </c>
      <c r="AK6" t="s">
        <v>2921</v>
      </c>
      <c r="BI6" t="s">
        <v>3045</v>
      </c>
      <c r="BM6" t="s">
        <v>1983</v>
      </c>
      <c r="BY6" t="s">
        <v>7</v>
      </c>
      <c r="BZ6" t="b">
        <v>0</v>
      </c>
    </row>
    <row r="7" spans="1:80" x14ac:dyDescent="0.25">
      <c r="A7" t="s">
        <v>2916</v>
      </c>
      <c r="I7" t="s">
        <v>3020</v>
      </c>
      <c r="AK7" t="s">
        <v>2922</v>
      </c>
      <c r="BI7" t="s">
        <v>3046</v>
      </c>
      <c r="BM7" t="s">
        <v>2824</v>
      </c>
      <c r="BY7" t="s">
        <v>2900</v>
      </c>
      <c r="BZ7" t="b">
        <v>0</v>
      </c>
    </row>
    <row r="8" spans="1:80" x14ac:dyDescent="0.25">
      <c r="I8" t="s">
        <v>3021</v>
      </c>
      <c r="AK8" t="s">
        <v>2923</v>
      </c>
      <c r="BY8" t="s">
        <v>2901</v>
      </c>
      <c r="BZ8" t="b">
        <v>0</v>
      </c>
    </row>
    <row r="9" spans="1:80" x14ac:dyDescent="0.25">
      <c r="I9" t="s">
        <v>3034</v>
      </c>
      <c r="AK9" t="s">
        <v>2924</v>
      </c>
      <c r="BY9" t="s">
        <v>2902</v>
      </c>
      <c r="BZ9" t="b">
        <v>0</v>
      </c>
    </row>
    <row r="10" spans="1:80" x14ac:dyDescent="0.25">
      <c r="I10" t="s">
        <v>3035</v>
      </c>
      <c r="AK10" t="s">
        <v>2925</v>
      </c>
      <c r="BY10" t="s">
        <v>2903</v>
      </c>
      <c r="BZ10" t="b">
        <v>0</v>
      </c>
    </row>
    <row r="11" spans="1:80" x14ac:dyDescent="0.25">
      <c r="I11" t="s">
        <v>3036</v>
      </c>
      <c r="AK11" t="s">
        <v>2926</v>
      </c>
      <c r="BY11" t="s">
        <v>2904</v>
      </c>
      <c r="BZ11" t="b">
        <v>0</v>
      </c>
    </row>
    <row r="12" spans="1:80" x14ac:dyDescent="0.25">
      <c r="I12" t="s">
        <v>3037</v>
      </c>
      <c r="AK12" t="s">
        <v>2927</v>
      </c>
      <c r="BY12" t="s">
        <v>2905</v>
      </c>
      <c r="BZ12" t="b">
        <v>0</v>
      </c>
    </row>
    <row r="13" spans="1:80" x14ac:dyDescent="0.25">
      <c r="I13" t="s">
        <v>3038</v>
      </c>
      <c r="AK13" t="s">
        <v>2928</v>
      </c>
      <c r="BY13" t="s">
        <v>1153</v>
      </c>
      <c r="BZ13" t="b">
        <v>0</v>
      </c>
    </row>
    <row r="14" spans="1:80" x14ac:dyDescent="0.25">
      <c r="I14" t="s">
        <v>3023</v>
      </c>
      <c r="AK14" t="s">
        <v>2929</v>
      </c>
      <c r="BY14" t="s">
        <v>2906</v>
      </c>
      <c r="BZ14" t="b">
        <v>0</v>
      </c>
    </row>
    <row r="15" spans="1:80" x14ac:dyDescent="0.25">
      <c r="I15" t="s">
        <v>2896</v>
      </c>
      <c r="AK15" t="s">
        <v>2930</v>
      </c>
      <c r="BY15" t="s">
        <v>2847</v>
      </c>
      <c r="BZ15" t="b">
        <v>0</v>
      </c>
    </row>
    <row r="16" spans="1:80" x14ac:dyDescent="0.25">
      <c r="I16" t="s">
        <v>3039</v>
      </c>
      <c r="AK16" t="s">
        <v>2931</v>
      </c>
      <c r="BY16" t="s">
        <v>1195</v>
      </c>
      <c r="BZ16" t="b">
        <v>0</v>
      </c>
    </row>
    <row r="17" spans="37:78" x14ac:dyDescent="0.25">
      <c r="AK17" t="s">
        <v>2932</v>
      </c>
      <c r="BY17" t="s">
        <v>2907</v>
      </c>
      <c r="BZ17" t="b">
        <v>0</v>
      </c>
    </row>
    <row r="18" spans="37:78" x14ac:dyDescent="0.25">
      <c r="AK18" t="s">
        <v>2933</v>
      </c>
    </row>
    <row r="19" spans="37:78" x14ac:dyDescent="0.25">
      <c r="AK19" t="s">
        <v>2934</v>
      </c>
    </row>
    <row r="20" spans="37:78" x14ac:dyDescent="0.25">
      <c r="AK20" t="s">
        <v>2935</v>
      </c>
    </row>
    <row r="21" spans="37:78" x14ac:dyDescent="0.25">
      <c r="AK21" t="s">
        <v>2936</v>
      </c>
    </row>
    <row r="22" spans="37:78" x14ac:dyDescent="0.25">
      <c r="AK22" t="s">
        <v>2937</v>
      </c>
    </row>
    <row r="23" spans="37:78" x14ac:dyDescent="0.25">
      <c r="AK23" t="s">
        <v>2938</v>
      </c>
    </row>
    <row r="24" spans="37:78" x14ac:dyDescent="0.25">
      <c r="AK24" t="s">
        <v>2939</v>
      </c>
    </row>
    <row r="25" spans="37:78" x14ac:dyDescent="0.25">
      <c r="AK25" t="s">
        <v>2940</v>
      </c>
    </row>
    <row r="26" spans="37:78" x14ac:dyDescent="0.25">
      <c r="AK26" t="s">
        <v>2941</v>
      </c>
    </row>
    <row r="27" spans="37:78" x14ac:dyDescent="0.25">
      <c r="AK27" t="s">
        <v>2942</v>
      </c>
    </row>
    <row r="28" spans="37:78" x14ac:dyDescent="0.25">
      <c r="AK28" t="s">
        <v>2943</v>
      </c>
    </row>
    <row r="29" spans="37:78" x14ac:dyDescent="0.25">
      <c r="AK29" t="s">
        <v>2944</v>
      </c>
    </row>
    <row r="30" spans="37:78" x14ac:dyDescent="0.25">
      <c r="AK30" t="s">
        <v>2945</v>
      </c>
    </row>
    <row r="31" spans="37:78" x14ac:dyDescent="0.25">
      <c r="AK31" t="s">
        <v>2946</v>
      </c>
    </row>
    <row r="32" spans="37:78" x14ac:dyDescent="0.25">
      <c r="AK32" t="s">
        <v>2947</v>
      </c>
    </row>
    <row r="33" spans="37:37" x14ac:dyDescent="0.25">
      <c r="AK33" t="s">
        <v>2948</v>
      </c>
    </row>
    <row r="34" spans="37:37" x14ac:dyDescent="0.25">
      <c r="AK34" t="s">
        <v>2949</v>
      </c>
    </row>
    <row r="35" spans="37:37" x14ac:dyDescent="0.25">
      <c r="AK35" t="s">
        <v>2950</v>
      </c>
    </row>
    <row r="36" spans="37:37" x14ac:dyDescent="0.25">
      <c r="AK36" t="s">
        <v>2951</v>
      </c>
    </row>
    <row r="37" spans="37:37" x14ac:dyDescent="0.25">
      <c r="AK37" t="s">
        <v>2952</v>
      </c>
    </row>
    <row r="38" spans="37:37" x14ac:dyDescent="0.25">
      <c r="AK38" t="s">
        <v>2953</v>
      </c>
    </row>
    <row r="39" spans="37:37" x14ac:dyDescent="0.25">
      <c r="AK39" t="s">
        <v>2954</v>
      </c>
    </row>
    <row r="40" spans="37:37" x14ac:dyDescent="0.25">
      <c r="AK40" t="s">
        <v>2955</v>
      </c>
    </row>
    <row r="41" spans="37:37" x14ac:dyDescent="0.25">
      <c r="AK41" t="s">
        <v>2956</v>
      </c>
    </row>
    <row r="42" spans="37:37" x14ac:dyDescent="0.25">
      <c r="AK42" t="s">
        <v>2957</v>
      </c>
    </row>
    <row r="43" spans="37:37" x14ac:dyDescent="0.25">
      <c r="AK43" t="s">
        <v>2958</v>
      </c>
    </row>
    <row r="44" spans="37:37" x14ac:dyDescent="0.25">
      <c r="AK44" t="s">
        <v>2959</v>
      </c>
    </row>
    <row r="45" spans="37:37" x14ac:dyDescent="0.25">
      <c r="AK45" t="s">
        <v>2960</v>
      </c>
    </row>
    <row r="46" spans="37:37" x14ac:dyDescent="0.25">
      <c r="AK46" t="s">
        <v>2961</v>
      </c>
    </row>
    <row r="47" spans="37:37" x14ac:dyDescent="0.25">
      <c r="AK47" t="s">
        <v>2962</v>
      </c>
    </row>
    <row r="48" spans="37:37" x14ac:dyDescent="0.25">
      <c r="AK48" t="s">
        <v>2963</v>
      </c>
    </row>
    <row r="49" spans="37:37" x14ac:dyDescent="0.25">
      <c r="AK49" t="s">
        <v>2964</v>
      </c>
    </row>
    <row r="50" spans="37:37" x14ac:dyDescent="0.25">
      <c r="AK50" t="s">
        <v>2965</v>
      </c>
    </row>
    <row r="51" spans="37:37" x14ac:dyDescent="0.25">
      <c r="AK51" t="s">
        <v>2966</v>
      </c>
    </row>
    <row r="52" spans="37:37" x14ac:dyDescent="0.25">
      <c r="AK52" t="s">
        <v>2967</v>
      </c>
    </row>
    <row r="53" spans="37:37" x14ac:dyDescent="0.25">
      <c r="AK53" t="s">
        <v>2968</v>
      </c>
    </row>
    <row r="54" spans="37:37" x14ac:dyDescent="0.25">
      <c r="AK54" t="s">
        <v>2969</v>
      </c>
    </row>
    <row r="55" spans="37:37" x14ac:dyDescent="0.25">
      <c r="AK55" t="s">
        <v>2970</v>
      </c>
    </row>
    <row r="56" spans="37:37" x14ac:dyDescent="0.25">
      <c r="AK56" t="s">
        <v>2971</v>
      </c>
    </row>
    <row r="57" spans="37:37" x14ac:dyDescent="0.25">
      <c r="AK57" t="s">
        <v>2972</v>
      </c>
    </row>
    <row r="58" spans="37:37" x14ac:dyDescent="0.25">
      <c r="AK58" t="s">
        <v>2973</v>
      </c>
    </row>
    <row r="59" spans="37:37" x14ac:dyDescent="0.25">
      <c r="AK59" t="s">
        <v>2974</v>
      </c>
    </row>
    <row r="60" spans="37:37" x14ac:dyDescent="0.25">
      <c r="AK60" t="s">
        <v>2975</v>
      </c>
    </row>
    <row r="61" spans="37:37" x14ac:dyDescent="0.25">
      <c r="AK61" t="s">
        <v>2976</v>
      </c>
    </row>
    <row r="62" spans="37:37" x14ac:dyDescent="0.25">
      <c r="AK62" t="s">
        <v>2977</v>
      </c>
    </row>
    <row r="63" spans="37:37" x14ac:dyDescent="0.25">
      <c r="AK63" t="s">
        <v>2978</v>
      </c>
    </row>
    <row r="64" spans="37:37" x14ac:dyDescent="0.25">
      <c r="AK64" t="s">
        <v>2979</v>
      </c>
    </row>
    <row r="65" spans="37:37" x14ac:dyDescent="0.25">
      <c r="AK65" t="s">
        <v>2980</v>
      </c>
    </row>
    <row r="66" spans="37:37" x14ac:dyDescent="0.25">
      <c r="AK66" t="s">
        <v>2981</v>
      </c>
    </row>
    <row r="67" spans="37:37" x14ac:dyDescent="0.25">
      <c r="AK67" t="s">
        <v>2982</v>
      </c>
    </row>
    <row r="68" spans="37:37" x14ac:dyDescent="0.25">
      <c r="AK68" t="s">
        <v>2983</v>
      </c>
    </row>
    <row r="69" spans="37:37" x14ac:dyDescent="0.25">
      <c r="AK69" t="s">
        <v>2984</v>
      </c>
    </row>
    <row r="70" spans="37:37" x14ac:dyDescent="0.25">
      <c r="AK70" t="s">
        <v>2985</v>
      </c>
    </row>
    <row r="71" spans="37:37" x14ac:dyDescent="0.25">
      <c r="AK71" t="s">
        <v>2986</v>
      </c>
    </row>
    <row r="72" spans="37:37" x14ac:dyDescent="0.25">
      <c r="AK72" t="s">
        <v>2987</v>
      </c>
    </row>
    <row r="73" spans="37:37" x14ac:dyDescent="0.25">
      <c r="AK73" t="s">
        <v>2988</v>
      </c>
    </row>
    <row r="74" spans="37:37" x14ac:dyDescent="0.25">
      <c r="AK74" t="s">
        <v>2989</v>
      </c>
    </row>
    <row r="75" spans="37:37" x14ac:dyDescent="0.25">
      <c r="AK75" t="s">
        <v>2990</v>
      </c>
    </row>
    <row r="76" spans="37:37" x14ac:dyDescent="0.25">
      <c r="AK76" t="s">
        <v>2991</v>
      </c>
    </row>
    <row r="77" spans="37:37" x14ac:dyDescent="0.25">
      <c r="AK77" t="s">
        <v>2992</v>
      </c>
    </row>
    <row r="78" spans="37:37" x14ac:dyDescent="0.25">
      <c r="AK78" t="s">
        <v>2993</v>
      </c>
    </row>
    <row r="79" spans="37:37" x14ac:dyDescent="0.25">
      <c r="AK79" t="s">
        <v>2994</v>
      </c>
    </row>
    <row r="80" spans="37:37" x14ac:dyDescent="0.25">
      <c r="AK80" t="s">
        <v>2995</v>
      </c>
    </row>
    <row r="81" spans="37:37" x14ac:dyDescent="0.25">
      <c r="AK81" t="s">
        <v>2996</v>
      </c>
    </row>
    <row r="82" spans="37:37" x14ac:dyDescent="0.25">
      <c r="AK82" t="s">
        <v>2997</v>
      </c>
    </row>
    <row r="83" spans="37:37" x14ac:dyDescent="0.25">
      <c r="AK83" t="s">
        <v>2998</v>
      </c>
    </row>
    <row r="84" spans="37:37" x14ac:dyDescent="0.25">
      <c r="AK84" t="s">
        <v>2999</v>
      </c>
    </row>
    <row r="85" spans="37:37" x14ac:dyDescent="0.25">
      <c r="AK85" t="s">
        <v>3000</v>
      </c>
    </row>
    <row r="86" spans="37:37" x14ac:dyDescent="0.25">
      <c r="AK86" t="s">
        <v>3001</v>
      </c>
    </row>
    <row r="87" spans="37:37" x14ac:dyDescent="0.25">
      <c r="AK87" t="s">
        <v>3002</v>
      </c>
    </row>
    <row r="88" spans="37:37" x14ac:dyDescent="0.25">
      <c r="AK88" t="s">
        <v>3003</v>
      </c>
    </row>
    <row r="89" spans="37:37" x14ac:dyDescent="0.25">
      <c r="AK89" t="s">
        <v>3004</v>
      </c>
    </row>
    <row r="90" spans="37:37" x14ac:dyDescent="0.25">
      <c r="AK90" t="s">
        <v>3005</v>
      </c>
    </row>
    <row r="91" spans="37:37" x14ac:dyDescent="0.25">
      <c r="AK91" t="s">
        <v>3006</v>
      </c>
    </row>
    <row r="92" spans="37:37" x14ac:dyDescent="0.25">
      <c r="AK92" t="s">
        <v>3007</v>
      </c>
    </row>
    <row r="93" spans="37:37" x14ac:dyDescent="0.25">
      <c r="AK93" t="s">
        <v>3008</v>
      </c>
    </row>
    <row r="94" spans="37:37" x14ac:dyDescent="0.25">
      <c r="AK94" t="s">
        <v>3009</v>
      </c>
    </row>
    <row r="95" spans="37:37" x14ac:dyDescent="0.25">
      <c r="AK95" t="s">
        <v>3010</v>
      </c>
    </row>
    <row r="96" spans="37:37" x14ac:dyDescent="0.25">
      <c r="AK96" t="s">
        <v>3011</v>
      </c>
    </row>
    <row r="97" spans="37:37" x14ac:dyDescent="0.25">
      <c r="AK97" t="s">
        <v>3012</v>
      </c>
    </row>
    <row r="98" spans="37:37" x14ac:dyDescent="0.25">
      <c r="AK98" t="s">
        <v>3013</v>
      </c>
    </row>
    <row r="99" spans="37:37" x14ac:dyDescent="0.25">
      <c r="AK99" t="s">
        <v>3014</v>
      </c>
    </row>
    <row r="100" spans="37:37" x14ac:dyDescent="0.25">
      <c r="AK100" t="s">
        <v>3015</v>
      </c>
    </row>
    <row r="101" spans="37:37" x14ac:dyDescent="0.25">
      <c r="AK101" t="s">
        <v>3016</v>
      </c>
    </row>
    <row r="102" spans="37:37" x14ac:dyDescent="0.25">
      <c r="AK102" t="s">
        <v>3017</v>
      </c>
    </row>
    <row r="103" spans="37:37" x14ac:dyDescent="0.25">
      <c r="AK103" t="s">
        <v>3018</v>
      </c>
    </row>
    <row r="104" spans="37:37" x14ac:dyDescent="0.25">
      <c r="AK104" t="s">
        <v>3019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67</vt:i4>
      </vt:variant>
    </vt:vector>
  </HeadingPairs>
  <TitlesOfParts>
    <vt:vector size="78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2017-02-21T02:31:05Z</dcterms:modified>
</cp:coreProperties>
</file>