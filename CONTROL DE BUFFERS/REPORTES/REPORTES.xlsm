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1640" windowHeight="5370"/>
  </bookViews>
  <sheets>
    <sheet name="SELECCION" sheetId="11" r:id="rId1"/>
    <sheet name="Aux" sheetId="24" state="veryHidden" r:id="rId2"/>
    <sheet name="Combos" sheetId="23" state="very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14" r:id="rId15"/>
    <pivotCache cacheId="15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<sst xmlns="http://schemas.openxmlformats.org/spreadsheetml/2006/main" count="13229" uniqueCount="3486">
  <si>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</si>
  <si>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</si>
  <si>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</si>
  <si>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</si>
  <si>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</si>
  <si>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</si>
  <si>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</si>
  <si>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</si>
  <si>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</si>
  <si>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</si>
  <si>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</si>
  <si>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</si>
  <si>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</si>
  <si>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</si>
  <si>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</si>
  <si>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</si>
  <si>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</si>
  <si>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</si>
  <si>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</si>
  <si>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</si>
  <si>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</si>
  <si>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</si>
  <si>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</si>
  <si>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</si>
  <si>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</si>
  <si>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</si>
  <si>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</si>
  <si>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</si>
  <si>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</si>
  <si>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</si>
  <si>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</si>
  <si>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</si>
  <si>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</si>
  <si>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</si>
  <si>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</si>
  <si>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</si>
  <si>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</si>
  <si>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</si>
  <si>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</si>
  <si>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</si>
  <si>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</si>
  <si>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</si>
  <si>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</si>
  <si>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</si>
  <si>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</si>
  <si>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</si>
  <si>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</si>
  <si>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</si>
  <si>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</si>
  <si>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</si>
  <si>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</si>
  <si>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</si>
  <si>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</si>
  <si>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</si>
  <si>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</si>
  <si>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</si>
  <si>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</si>
  <si>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</si>
  <si>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</si>
  <si>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</si>
  <si>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</si>
  <si>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</si>
  <si>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</si>
  <si>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</si>
  <si>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</si>
  <si>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</si>
  <si>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</si>
  <si>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</si>
  <si>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</si>
  <si>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</si>
  <si>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</si>
  <si>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</si>
  <si>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</si>
  <si>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</si>
  <si>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</si>
  <si>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</si>
  <si>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</si>
  <si>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</si>
  <si>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</si>
  <si>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</si>
  <si>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</si>
  <si>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</si>
  <si>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</si>
  <si>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</si>
  <si>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</si>
  <si>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</si>
  <si>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</si>
  <si>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</si>
  <si>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</si>
  <si>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</si>
  <si>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</si>
  <si>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</si>
  <si>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</si>
  <si>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</si>
  <si>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</si>
  <si>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</si>
  <si>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</si>
  <si>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</si>
  <si>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</si>
  <si>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</si>
  <si>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</si>
  <si>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</si>
  <si>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</si>
  <si>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</si>
  <si>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</si>
  <si>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</si>
  <si>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</si>
  <si>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</si>
  <si>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</si>
  <si>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</si>
  <si>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</si>
  <si>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</si>
  <si>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</si>
  <si>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</si>
  <si>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</si>
  <si>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</si>
  <si>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</si>
  <si>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</si>
  <si>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</si>
  <si>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</si>
  <si>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</si>
  <si>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</si>
  <si>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</si>
  <si>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</si>
  <si>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</si>
  <si>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</si>
  <si>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</si>
  <si>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</si>
  <si>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</si>
  <si>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</si>
  <si>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</si>
  <si>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</si>
  <si>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</si>
  <si>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</si>
  <si>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</si>
  <si>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</si>
  <si>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</si>
  <si>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</si>
  <si>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</si>
  <si>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</si>
  <si>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</si>
  <si>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</si>
  <si>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</si>
  <si>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</si>
  <si>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</si>
  <si>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</si>
  <si>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</si>
  <si>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</si>
  <si>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</si>
  <si>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</si>
  <si>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</si>
  <si>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</si>
  <si>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</si>
  <si>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</si>
  <si>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</si>
  <si>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</si>
  <si>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</si>
  <si>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</si>
  <si>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</si>
  <si>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</si>
  <si>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</si>
  <si>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</si>
  <si>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</si>
  <si>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</si>
  <si>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</si>
  <si>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</si>
  <si>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</si>
  <si>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</si>
  <si>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</si>
  <si>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</si>
  <si>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</si>
  <si>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</si>
  <si>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</si>
  <si>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</si>
  <si>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</si>
  <si>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</si>
  <si>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</si>
  <si>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</si>
  <si>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</si>
  <si>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</si>
  <si>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</si>
  <si>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</si>
  <si>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</si>
  <si>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</si>
  <si>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</si>
  <si>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</si>
  <si>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</si>
  <si>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</si>
  <si>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</si>
  <si>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</si>
  <si>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</si>
  <si>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</si>
  <si>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</si>
  <si>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</si>
  <si>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</si>
  <si>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</si>
  <si>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</si>
  <si>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</si>
  <si>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</si>
  <si>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</si>
  <si>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</si>
  <si>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</si>
  <si>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</si>
  <si>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</si>
  <si>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</si>
  <si>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</si>
  <si>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</si>
  <si>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</si>
  <si>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</si>
  <si>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</si>
  <si>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</si>
  <si>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</si>
  <si>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</si>
  <si>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</si>
  <si>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</si>
  <si>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</si>
  <si>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</si>
  <si>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</si>
  <si>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</si>
  <si>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</si>
  <si>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</si>
  <si>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</si>
  <si>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</si>
  <si>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</si>
  <si>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</si>
  <si>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</si>
  <si>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</si>
  <si>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</si>
  <si>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</si>
  <si>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</si>
  <si>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</si>
  <si>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</si>
  <si>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</si>
  <si>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</si>
  <si>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</si>
  <si>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</si>
  <si>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</si>
  <si>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</si>
  <si>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</si>
  <si>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</si>
  <si>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</si>
  <si>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</si>
  <si>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</si>
  <si>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</si>
  <si>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</si>
  <si>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</si>
  <si>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</si>
  <si>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</si>
  <si>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</si>
  <si>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</si>
  <si>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</si>
  <si>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</si>
  <si>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</si>
  <si>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</si>
  <si>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</si>
  <si>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</si>
  <si>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</si>
  <si>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</si>
  <si>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</si>
  <si>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</si>
  <si>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</si>
  <si>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</si>
  <si>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</si>
  <si>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</si>
  <si>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</si>
  <si>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</si>
  <si>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</si>
  <si>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</si>
  <si>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</si>
  <si>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</si>
  <si>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</si>
  <si>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</si>
  <si>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</si>
  <si>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</si>
  <si>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</si>
  <si>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</si>
  <si>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</si>
  <si>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</si>
  <si>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</si>
  <si>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</si>
  <si>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</si>
  <si>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</si>
  <si>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</si>
  <si>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</si>
  <si>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</si>
  <si>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</si>
  <si>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</si>
  <si>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</si>
  <si>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</si>
  <si>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</si>
  <si>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</si>
  <si>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</si>
  <si>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</si>
  <si>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</si>
  <si>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</si>
  <si>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</si>
  <si>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</si>
  <si>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</si>
  <si>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</si>
  <si>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</si>
  <si>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</si>
  <si>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</si>
  <si>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</si>
  <si>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</si>
  <si>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</si>
  <si>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</si>
  <si>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</si>
  <si>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</si>
  <si>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</si>
  <si>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</si>
  <si>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</si>
  <si>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</si>
  <si>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</si>
  <si>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</si>
  <si>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</si>
  <si>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</si>
  <si>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</si>
  <si>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</si>
  <si>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</si>
  <si>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</si>
  <si>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</si>
  <si>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</si>
  <si>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</si>
  <si>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</si>
  <si>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</si>
  <si>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</si>
  <si>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</si>
  <si>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</si>
  <si>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</si>
  <si>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</si>
  <si>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</si>
  <si>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</si>
  <si>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</si>
  <si>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</si>
  <si>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</si>
  <si>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</si>
  <si>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</si>
  <si>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</si>
  <si>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</si>
  <si>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</si>
  <si>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</si>
  <si>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</si>
  <si>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</si>
  <si>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</si>
  <si>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</si>
  <si>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</si>
  <si>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</si>
  <si>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</si>
  <si>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</si>
  <si>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</si>
  <si>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</si>
  <si>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</si>
  <si>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</si>
  <si>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</si>
  <si>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</si>
  <si>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</si>
  <si>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</si>
  <si>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</si>
  <si>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</si>
  <si>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</si>
  <si>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</si>
  <si>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</si>
  <si>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</si>
  <si>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</si>
  <si>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</si>
  <si>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</si>
  <si>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</si>
  <si>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</si>
  <si>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</si>
  <si>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</si>
  <si>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</si>
  <si>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</si>
  <si>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</si>
  <si>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</si>
  <si>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</si>
  <si>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</si>
  <si>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</si>
  <si>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</si>
  <si>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</si>
  <si>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</si>
  <si>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</si>
  <si>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</si>
  <si>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</si>
  <si>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</si>
  <si>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</si>
  <si>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</si>
  <si>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</si>
  <si>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</si>
  <si>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</si>
  <si>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</si>
  <si>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</si>
  <si>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</si>
  <si>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</si>
  <si>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</si>
  <si>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</si>
  <si>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</si>
  <si>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</si>
  <si>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</si>
  <si>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</si>
  <si>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</si>
  <si>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</si>
  <si>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</si>
  <si>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</si>
  <si>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</si>
  <si>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</si>
  <si>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</si>
  <si>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</si>
  <si>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</si>
  <si>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</si>
  <si>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</si>
  <si>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</si>
  <si>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</si>
  <si>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</si>
  <si>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</si>
  <si>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</si>
  <si>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</si>
  <si>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</si>
  <si>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</si>
  <si>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</si>
  <si>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</si>
  <si>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</si>
  <si>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</si>
  <si>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</si>
  <si>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</si>
  <si>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</si>
  <si>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</si>
  <si>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</si>
  <si>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</si>
  <si>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</si>
  <si>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</si>
  <si>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</si>
  <si>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</si>
  <si>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</si>
  <si>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</si>
  <si>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</si>
  <si>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</si>
  <si>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</si>
  <si>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</si>
  <si>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</si>
  <si>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</si>
  <si>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</si>
  <si>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</si>
  <si>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</si>
  <si>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</si>
  <si>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</si>
  <si>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</si>
  <si>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</si>
  <si>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</si>
  <si>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</si>
  <si>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</si>
  <si>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</si>
  <si>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</si>
  <si>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</si>
  <si>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</si>
  <si>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</si>
  <si>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</si>
  <si>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</si>
  <si>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</si>
  <si>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</si>
  <si>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</si>
  <si>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</si>
  <si>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</si>
  <si>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</si>
  <si>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</si>
  <si>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</si>
  <si>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</si>
  <si>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</si>
  <si>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</si>
  <si>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</si>
  <si>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</si>
  <si>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</si>
  <si>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</si>
  <si>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</si>
  <si>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</si>
  <si>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</si>
  <si>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</si>
  <si>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</si>
  <si>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</si>
  <si>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</si>
  <si>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</si>
  <si>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</si>
  <si>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</si>
  <si>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</si>
  <si>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</si>
  <si>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</si>
  <si>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</si>
  <si>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</si>
  <si>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</si>
  <si>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</si>
  <si>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</si>
  <si>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</si>
  <si>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</si>
  <si>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</si>
  <si>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</si>
  <si>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</si>
  <si>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</si>
  <si>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</si>
  <si>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</si>
  <si>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</si>
  <si>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</si>
  <si>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</si>
  <si>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</si>
  <si>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</si>
  <si>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</si>
  <si>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</si>
  <si>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</si>
  <si>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</si>
  <si>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</si>
  <si>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</si>
  <si>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</si>
  <si>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</si>
  <si>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</si>
  <si>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</si>
  <si>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</si>
  <si>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</si>
  <si>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</si>
  <si>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</si>
  <si>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</si>
  <si>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</si>
  <si>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</si>
  <si>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</si>
  <si>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</si>
  <si>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</si>
  <si>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</si>
  <si>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</si>
  <si>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</si>
  <si>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</si>
  <si>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</si>
  <si>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</si>
  <si>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</si>
  <si>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</si>
  <si>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</si>
  <si>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</si>
  <si>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</si>
  <si>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</si>
  <si>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</si>
  <si>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</si>
  <si>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</si>
  <si>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</si>
  <si>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</si>
  <si>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</si>
  <si>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</si>
  <si>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</si>
  <si>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</si>
  <si>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</si>
  <si>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</si>
  <si>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</si>
  <si>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</si>
  <si>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</si>
  <si>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</si>
  <si>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</si>
  <si>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</si>
  <si>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</si>
  <si>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</si>
  <si>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</si>
  <si>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</si>
  <si>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</si>
  <si>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</si>
  <si>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</si>
  <si>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</si>
  <si>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</si>
  <si>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</si>
  <si>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</si>
  <si>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</si>
  <si>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</si>
  <si>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</si>
  <si>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</si>
  <si>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</si>
  <si>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</si>
  <si>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</si>
  <si>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</si>
  <si>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</si>
  <si>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</si>
  <si>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</si>
  <si>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</si>
  <si>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</si>
  <si>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</si>
  <si>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</si>
  <si>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</si>
  <si>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</si>
  <si>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</si>
  <si>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</si>
  <si>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</si>
  <si>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</si>
  <si>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</si>
  <si>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</si>
  <si>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</si>
  <si>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</si>
  <si>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</si>
  <si>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</si>
  <si>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</si>
  <si>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</si>
  <si>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</si>
  <si>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</si>
  <si>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</si>
  <si>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</si>
  <si>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</si>
  <si>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</si>
  <si>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</si>
  <si>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</si>
  <si>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</si>
  <si>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</si>
  <si>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</si>
  <si>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</si>
  <si>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</si>
  <si>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</si>
  <si>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</si>
  <si>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</si>
  <si>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</si>
  <si>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</si>
  <si>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</si>
  <si>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</si>
  <si>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</si>
  <si>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</si>
  <si>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</si>
  <si>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</si>
  <si>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</si>
  <si>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</si>
  <si>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</si>
  <si>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</si>
  <si>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</si>
  <si>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</si>
  <si>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</si>
  <si>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</si>
  <si>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</si>
  <si>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</si>
  <si>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</si>
  <si>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</si>
  <si>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</si>
  <si>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</si>
  <si>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</si>
  <si>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</si>
  <si>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</si>
  <si>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</si>
  <si>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</si>
  <si>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</si>
  <si>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</si>
  <si>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</si>
  <si>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</si>
  <si>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</si>
  <si>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</si>
  <si>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</si>
  <si>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</si>
  <si>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</si>
  <si>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</si>
  <si>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</si>
  <si>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</si>
  <si>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</si>
  <si>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</si>
  <si>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</si>
  <si>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</si>
  <si>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</si>
  <si>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</si>
  <si>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</si>
  <si>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</si>
  <si>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</si>
  <si>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</si>
  <si>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</si>
  <si>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</si>
  <si>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</si>
  <si>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</si>
  <si>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</si>
  <si>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</si>
  <si>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</si>
  <si>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</si>
  <si>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</si>
  <si>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</si>
  <si>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</si>
  <si>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</si>
  <si>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</si>
  <si>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</si>
  <si>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</si>
  <si>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</si>
  <si>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</si>
  <si>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</si>
  <si>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</si>
  <si>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</si>
  <si>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</si>
  <si>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</si>
  <si>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</si>
  <si>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</si>
  <si>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</si>
  <si>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</si>
  <si>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</si>
  <si>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</si>
  <si>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</si>
  <si>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</si>
  <si>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</si>
  <si>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</si>
  <si>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</si>
  <si>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</si>
  <si>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</si>
  <si>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</si>
  <si>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</si>
  <si>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</si>
  <si>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</si>
  <si>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</si>
  <si>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</si>
  <si>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</si>
  <si>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</si>
  <si>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</si>
  <si>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</si>
  <si>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</si>
  <si>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</si>
  <si>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</si>
  <si>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</si>
  <si>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</si>
  <si>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</si>
  <si>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</si>
  <si>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</si>
  <si>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</si>
  <si>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</si>
  <si>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</si>
  <si>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</si>
  <si>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</si>
  <si>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</si>
  <si>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</si>
  <si>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</si>
  <si>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</si>
  <si>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</si>
  <si>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</si>
  <si>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</si>
  <si>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</si>
  <si>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</si>
  <si>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</si>
  <si>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</si>
  <si>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</si>
  <si>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</si>
  <si>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</si>
  <si>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</si>
  <si>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</si>
  <si>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</si>
  <si>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</si>
  <si>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</si>
  <si>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</si>
  <si>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</si>
  <si>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</si>
  <si>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</si>
  <si>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</si>
  <si>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</si>
  <si>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</si>
  <si>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</si>
  <si>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</si>
  <si>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</si>
  <si>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</si>
  <si>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</si>
  <si>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</si>
  <si>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</si>
  <si>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</si>
  <si>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</si>
  <si>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</si>
  <si>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</si>
  <si>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</si>
  <si>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</si>
  <si>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</si>
  <si>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</si>
  <si>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</si>
  <si>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</si>
  <si>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</si>
  <si>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</si>
  <si>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</si>
  <si>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</si>
  <si>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</si>
  <si>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</si>
  <si>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</si>
  <si>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</si>
  <si>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</si>
  <si>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</si>
  <si>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</si>
  <si>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</si>
  <si>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</si>
  <si>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</si>
  <si>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</si>
  <si>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</si>
  <si>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</si>
  <si>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</si>
  <si>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</si>
  <si>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</si>
  <si>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</si>
  <si>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</si>
  <si>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</si>
  <si>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</si>
  <si>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</si>
  <si>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</si>
  <si>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</si>
  <si>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</si>
  <si>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</si>
  <si>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</si>
  <si>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</si>
  <si>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</si>
  <si>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</si>
  <si>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</si>
  <si>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</si>
  <si>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</si>
  <si>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</si>
  <si>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</si>
  <si>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</si>
  <si>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</si>
  <si>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</si>
  <si>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</si>
  <si>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</si>
  <si>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</si>
  <si>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</si>
  <si>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</si>
  <si>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</si>
  <si>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</si>
  <si>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</si>
  <si>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</si>
  <si>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</si>
  <si>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</si>
  <si>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</si>
  <si>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</si>
  <si>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</si>
  <si>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</si>
  <si>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</si>
  <si>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</si>
  <si>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</si>
  <si>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</si>
  <si>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</si>
  <si>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</si>
  <si>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</si>
  <si>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</si>
  <si>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</si>
  <si>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</si>
  <si>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</si>
  <si>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</si>
  <si>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</si>
  <si>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</si>
  <si>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</si>
  <si>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</si>
  <si>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</si>
  <si>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</si>
  <si>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</si>
  <si>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</si>
  <si>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</si>
  <si>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</si>
  <si>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</si>
  <si>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</si>
  <si>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</si>
  <si>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</si>
  <si>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</si>
  <si>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</si>
  <si>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</si>
  <si>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</si>
  <si>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</si>
  <si>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</si>
  <si>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</si>
  <si>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</si>
  <si>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</si>
  <si>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</si>
  <si>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</si>
  <si>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</si>
  <si>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</si>
  <si>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</si>
  <si>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</si>
  <si>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</si>
  <si>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</si>
  <si>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</si>
  <si>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</si>
  <si>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</si>
  <si>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</si>
  <si>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</si>
  <si>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</si>
  <si>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</si>
  <si>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</si>
  <si>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</si>
  <si>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</si>
  <si>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</si>
  <si>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</si>
  <si>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</si>
  <si>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</si>
  <si>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</si>
  <si>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</si>
  <si>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</si>
  <si>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</si>
  <si>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</si>
  <si>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</si>
  <si>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</si>
  <si>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</si>
  <si>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</si>
  <si>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</si>
  <si>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</si>
  <si>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</si>
  <si>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</si>
  <si>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</si>
  <si>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</si>
  <si>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</si>
  <si>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</si>
  <si>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</si>
  <si>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</si>
  <si>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</si>
  <si>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</si>
  <si>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</si>
  <si>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</si>
  <si>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</si>
  <si>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</si>
  <si>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</si>
  <si>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</si>
  <si>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</si>
  <si>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</si>
  <si>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</si>
  <si>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</si>
  <si>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</si>
  <si>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</si>
  <si>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</si>
  <si>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</si>
  <si>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</si>
  <si>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</si>
  <si>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</si>
  <si>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</si>
  <si>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</si>
  <si>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</si>
  <si>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</si>
  <si>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</si>
  <si>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</si>
  <si>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</si>
  <si>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</si>
  <si>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</si>
  <si>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</si>
  <si>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</si>
  <si>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</si>
  <si>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</si>
  <si>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</si>
  <si>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</si>
  <si>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</si>
  <si>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</si>
  <si>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</si>
  <si>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</si>
  <si>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</si>
  <si>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</si>
  <si>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</si>
  <si>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</si>
  <si>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</si>
  <si>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</si>
  <si>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</si>
  <si>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</si>
  <si>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</si>
  <si>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</si>
  <si>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</si>
  <si>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</si>
  <si>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</si>
  <si>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</si>
  <si>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</si>
  <si>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</si>
  <si>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</si>
  <si>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</si>
  <si>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</si>
  <si>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</si>
  <si>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</si>
  <si>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</si>
  <si>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</si>
  <si>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</si>
  <si>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</si>
  <si>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</si>
  <si>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</si>
  <si>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</si>
  <si>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</si>
  <si>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</si>
  <si>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</si>
  <si>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</si>
  <si>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</si>
  <si>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</si>
  <si>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</si>
  <si>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</si>
  <si>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</si>
  <si>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</si>
  <si>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</si>
  <si>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</si>
  <si>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</si>
  <si>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</si>
  <si>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</si>
  <si>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</si>
  <si>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</si>
  <si>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</si>
  <si>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</si>
  <si>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</si>
  <si>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</si>
  <si>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</si>
  <si>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</si>
  <si>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</si>
  <si>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</si>
  <si>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</si>
  <si>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</si>
  <si>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</si>
  <si>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</si>
  <si>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</si>
  <si>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</si>
  <si>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</si>
  <si>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</si>
  <si>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</si>
  <si>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</si>
  <si>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</si>
  <si>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</si>
  <si>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</si>
  <si>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</si>
  <si>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</si>
  <si>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</si>
  <si>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</si>
  <si>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</si>
  <si>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</si>
  <si>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</si>
  <si>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</si>
  <si>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</si>
  <si>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</si>
  <si>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</si>
  <si>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</si>
  <si>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</si>
  <si>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</si>
  <si>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</si>
  <si>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</si>
  <si>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</si>
  <si>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</si>
  <si>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</si>
  <si>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</si>
  <si>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</si>
  <si>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</si>
  <si>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</si>
  <si>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</si>
  <si>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</si>
  <si>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</si>
  <si>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</si>
  <si>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</si>
  <si>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</si>
  <si>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</si>
  <si>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</si>
  <si>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</si>
  <si>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</si>
  <si>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</si>
  <si>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</si>
  <si>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</si>
  <si>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</si>
  <si>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</si>
  <si>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</si>
  <si>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</si>
  <si>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</si>
  <si>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</si>
  <si>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</si>
  <si>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</si>
  <si>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</si>
  <si>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</si>
  <si>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</si>
  <si>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</si>
  <si>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</si>
  <si>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</si>
  <si>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</si>
  <si>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</si>
  <si>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</si>
  <si>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</si>
  <si>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</si>
  <si>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</si>
  <si>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</si>
  <si>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</si>
  <si>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</si>
  <si>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</si>
  <si>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</si>
  <si>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</si>
  <si>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</si>
  <si>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</si>
  <si>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</si>
  <si>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</si>
  <si>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</si>
  <si>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</si>
  <si>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</si>
  <si>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</si>
  <si>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</si>
  <si>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</si>
  <si>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</si>
  <si>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</si>
  <si>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</si>
  <si>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</si>
  <si>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</si>
  <si>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</si>
  <si>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</si>
  <si>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</si>
  <si>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</si>
  <si>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</si>
  <si>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</si>
  <si>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</si>
  <si>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</si>
  <si>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</si>
  <si>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</si>
  <si>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</si>
  <si>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</si>
  <si>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</si>
  <si>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</si>
  <si>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</si>
  <si>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</si>
  <si>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</si>
  <si>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</si>
  <si>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</si>
  <si>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</si>
  <si>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</si>
  <si>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</si>
  <si>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</si>
  <si>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</si>
  <si>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</si>
  <si>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</si>
  <si>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</si>
  <si>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</si>
  <si>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</si>
  <si>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</si>
  <si>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</si>
  <si>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</si>
  <si>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</si>
  <si>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</si>
  <si>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</si>
  <si>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</si>
  <si>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</si>
  <si>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</si>
  <si>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</si>
  <si>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</si>
  <si>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</si>
  <si>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</si>
  <si>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</si>
  <si>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</si>
  <si>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</si>
  <si>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</si>
  <si>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</si>
  <si>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</si>
  <si>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</si>
  <si>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</si>
  <si>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</si>
  <si>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</si>
  <si>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</si>
  <si>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</si>
  <si>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</si>
  <si>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</si>
  <si>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</si>
  <si>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</si>
  <si>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</si>
  <si>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</si>
  <si>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</si>
  <si>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</si>
  <si>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</si>
  <si>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</si>
  <si>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</si>
  <si>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</si>
  <si>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</si>
  <si>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</si>
  <si>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</si>
  <si>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</si>
  <si>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</si>
  <si>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</si>
  <si>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</si>
  <si>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</si>
  <si>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</si>
  <si>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</si>
  <si>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</si>
  <si>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</si>
  <si>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</si>
  <si>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</si>
  <si>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</si>
  <si>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</si>
  <si>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</si>
  <si>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</si>
  <si>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</si>
  <si>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</si>
  <si>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</si>
  <si>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</si>
  <si>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</si>
  <si>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</si>
  <si>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</si>
  <si>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</si>
  <si>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</si>
  <si>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</si>
  <si>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</si>
  <si>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</si>
  <si>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</si>
  <si>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</si>
  <si>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</si>
  <si>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</si>
  <si>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</si>
  <si>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</si>
  <si>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</si>
  <si>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</si>
  <si>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</si>
  <si>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</si>
  <si>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</si>
  <si>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</si>
  <si>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</si>
  <si>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</si>
  <si>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</si>
  <si>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</si>
  <si>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</si>
  <si>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</si>
  <si>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</si>
  <si>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</si>
  <si>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</si>
  <si>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</si>
  <si>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</si>
  <si>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</si>
  <si>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</si>
  <si>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</si>
  <si>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</si>
  <si>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</si>
  <si>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</si>
  <si>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</si>
  <si>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</si>
  <si>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</si>
  <si>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</si>
  <si>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</si>
  <si>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</si>
  <si>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</si>
  <si>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</si>
  <si>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</si>
  <si>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</si>
  <si>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</si>
  <si>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</si>
  <si>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</si>
  <si>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</si>
  <si>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</si>
  <si>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</si>
  <si>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</si>
  <si>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</si>
  <si>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</si>
  <si>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</si>
  <si>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</si>
  <si>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</si>
  <si>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</si>
  <si>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</si>
  <si>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</si>
  <si>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</si>
  <si>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</si>
  <si>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</si>
  <si>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</si>
  <si>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</si>
  <si>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</si>
  <si>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</si>
  <si>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</si>
  <si>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</si>
  <si>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</si>
  <si>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</si>
  <si>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</si>
  <si>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</si>
  <si>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</si>
  <si>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</si>
  <si>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</si>
  <si>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</si>
  <si>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</si>
  <si>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</si>
  <si>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</si>
  <si>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</si>
  <si>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</si>
  <si>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</si>
  <si>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</si>
  <si>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</si>
  <si>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</si>
  <si>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</si>
  <si>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</si>
  <si>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</si>
  <si>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</si>
  <si>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</si>
  <si>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</si>
  <si>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</si>
  <si>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</si>
  <si>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</si>
  <si>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</si>
  <si>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</si>
  <si>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</si>
  <si>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</si>
  <si>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</si>
  <si>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</si>
  <si>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</si>
  <si>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</si>
  <si>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</si>
  <si>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</si>
  <si>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</si>
  <si>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</si>
  <si>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</si>
  <si>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</si>
  <si>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</si>
  <si>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</si>
  <si>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</si>
  <si>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</si>
  <si>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</si>
  <si>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</si>
  <si>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</si>
  <si>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</si>
  <si>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</si>
  <si>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</si>
  <si>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</si>
  <si>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</si>
  <si>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</si>
  <si>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</si>
  <si>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</si>
  <si>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</si>
  <si>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</si>
  <si>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</si>
  <si>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</si>
  <si>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</si>
  <si>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</si>
  <si>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</si>
  <si>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</si>
  <si>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</si>
  <si>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</si>
  <si>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</si>
  <si>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</si>
  <si>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</si>
  <si>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</si>
  <si>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</si>
  <si>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</si>
  <si>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</si>
  <si>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</si>
  <si>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</si>
  <si>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</si>
  <si>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</si>
  <si>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</si>
  <si>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</si>
  <si>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</si>
  <si>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</si>
  <si>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</si>
  <si>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</si>
  <si>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</si>
  <si>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</si>
  <si>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</si>
  <si>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</si>
  <si>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</si>
  <si>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</si>
  <si>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</si>
  <si>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</si>
  <si>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</si>
  <si>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</si>
  <si>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</si>
  <si>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</si>
  <si>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</si>
  <si>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</si>
  <si>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</si>
  <si>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</si>
  <si>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</si>
  <si>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</si>
  <si>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</si>
  <si>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</si>
  <si>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</si>
  <si>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</si>
  <si>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</si>
  <si>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</si>
  <si>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</si>
  <si>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</si>
  <si>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</si>
  <si>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</si>
  <si>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</si>
  <si>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</si>
  <si>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</si>
  <si>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</si>
  <si>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</si>
  <si>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</si>
  <si>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</si>
  <si>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</si>
  <si>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</si>
  <si>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</si>
  <si>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</si>
  <si>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</si>
  <si>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</si>
  <si>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</si>
  <si>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</si>
  <si>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</si>
  <si>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</si>
  <si>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</si>
  <si>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</si>
  <si>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</si>
  <si>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</si>
  <si>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</si>
  <si>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</si>
  <si>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</si>
  <si>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</si>
  <si>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</si>
  <si>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</si>
  <si>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</si>
  <si>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</si>
  <si>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</si>
  <si>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</si>
  <si>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</si>
  <si>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</si>
  <si>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</si>
  <si>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</si>
  <si>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</si>
  <si>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</si>
  <si>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</si>
  <si>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</si>
  <si>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</si>
  <si>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</si>
  <si>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</si>
  <si>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</si>
  <si>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</si>
  <si>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</si>
  <si>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</si>
  <si>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</si>
  <si>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</si>
  <si>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</si>
  <si>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</si>
  <si>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</si>
  <si>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</si>
  <si>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</si>
  <si>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</si>
  <si>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</si>
  <si>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</si>
  <si>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</si>
  <si>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</si>
  <si>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</si>
  <si>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</si>
  <si>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</si>
  <si>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</si>
  <si>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</si>
  <si>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</si>
  <si>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</si>
  <si>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</si>
  <si>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</si>
  <si>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</si>
  <si>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</si>
  <si>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</si>
  <si>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</si>
  <si>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</si>
  <si>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</si>
  <si>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</si>
  <si>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</si>
  <si>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</si>
  <si>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</si>
  <si>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</si>
  <si>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</si>
  <si>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</si>
  <si>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</si>
  <si>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</si>
  <si>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</si>
  <si>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</si>
  <si>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</si>
  <si>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</si>
  <si>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</si>
  <si>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</si>
  <si>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</si>
  <si>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</si>
  <si>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</si>
  <si>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</si>
  <si>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</si>
  <si>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</si>
  <si>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</si>
  <si>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</si>
  <si>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</si>
  <si>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</si>
  <si>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</si>
  <si>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</si>
  <si>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</si>
  <si>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</si>
  <si>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</si>
  <si>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</si>
  <si>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</si>
  <si>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</si>
  <si>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</si>
  <si>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</si>
  <si>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</si>
  <si>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</si>
  <si>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</si>
  <si>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</si>
  <si>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</si>
  <si>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</si>
  <si>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</si>
  <si>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</si>
  <si>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</si>
  <si>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</si>
  <si>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</si>
  <si>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</si>
  <si>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</si>
  <si>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</si>
  <si>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</si>
  <si>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</si>
  <si>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</si>
  <si>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</si>
  <si>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</si>
  <si>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</si>
  <si>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</si>
  <si>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</si>
  <si>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</si>
  <si>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</si>
  <si>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</si>
  <si>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</si>
  <si>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</si>
  <si>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</si>
  <si>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</si>
  <si>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</si>
  <si>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</si>
  <si>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</si>
  <si>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</si>
  <si>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</si>
  <si>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</si>
  <si>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</si>
  <si>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</si>
  <si>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</si>
  <si>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</si>
  <si>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</si>
  <si>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</si>
  <si>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</si>
  <si>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</si>
  <si>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</si>
  <si>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</si>
  <si>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</si>
  <si>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</si>
  <si>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</si>
  <si>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</si>
  <si>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</si>
  <si>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</si>
  <si>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</si>
  <si>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</si>
  <si>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</si>
  <si>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</si>
  <si>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</si>
  <si>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</si>
  <si>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</si>
  <si>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</si>
  <si>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</si>
  <si>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</si>
  <si>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</si>
  <si>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</si>
  <si>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</si>
  <si>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</si>
  <si>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</si>
  <si>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</si>
  <si>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</si>
  <si>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</si>
  <si>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</si>
  <si>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</si>
  <si>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</si>
  <si>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</si>
  <si>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</si>
  <si>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</si>
  <si>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</si>
  <si>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</si>
  <si>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</si>
  <si>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</si>
  <si>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</si>
  <si>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</si>
  <si>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</si>
  <si>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</si>
  <si>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</si>
  <si>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</si>
  <si>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</si>
  <si>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</si>
  <si>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</si>
  <si>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</si>
  <si>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</si>
  <si>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</si>
  <si>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</si>
  <si>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</si>
  <si>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</si>
  <si>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</si>
  <si>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</si>
  <si>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</si>
  <si>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</si>
  <si>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</si>
  <si>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</si>
  <si>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</si>
  <si>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</si>
  <si>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</si>
  <si>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</si>
  <si>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</si>
  <si>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</si>
  <si>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</si>
  <si>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</si>
  <si>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</si>
  <si>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</si>
  <si>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</si>
  <si>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</si>
  <si>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</si>
  <si>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</si>
  <si>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</si>
  <si>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</si>
  <si>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</si>
  <si>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</si>
  <si>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</si>
  <si>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</si>
  <si>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</si>
  <si>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</si>
  <si>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</si>
  <si>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</si>
  <si>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</si>
  <si>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</si>
  <si>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</si>
  <si>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</si>
  <si>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</si>
  <si>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</si>
  <si>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</si>
  <si>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</si>
  <si>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</si>
  <si>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</si>
  <si>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</si>
  <si>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</si>
  <si>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</si>
  <si>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</si>
  <si>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</si>
  <si>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</si>
  <si>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</si>
  <si>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</si>
  <si>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</si>
  <si>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</si>
  <si>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</si>
  <si>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</si>
  <si>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</si>
  <si>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</si>
  <si>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</si>
  <si>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</si>
  <si>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</si>
  <si>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</si>
  <si>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</si>
  <si>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</si>
  <si>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</si>
  <si>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</si>
  <si>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</si>
  <si>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</si>
  <si>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</si>
  <si>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</si>
  <si>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</si>
  <si>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</si>
  <si>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</si>
  <si>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</si>
  <si>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</si>
  <si>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</si>
  <si>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</si>
  <si>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</si>
  <si>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</si>
  <si>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</si>
  <si>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</si>
  <si>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</si>
  <si>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</si>
  <si>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</si>
  <si>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</si>
  <si>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</si>
  <si>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</si>
  <si>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</si>
  <si>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</si>
  <si>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</si>
  <si>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</si>
  <si>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</si>
  <si>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</si>
  <si>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</si>
  <si>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</si>
  <si>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</si>
  <si>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</si>
  <si>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</si>
  <si>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</si>
  <si>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</si>
  <si>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</si>
  <si>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</si>
  <si>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</si>
  <si>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</si>
  <si>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</si>
  <si>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</si>
  <si>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</si>
  <si>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</si>
  <si>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</si>
  <si>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</si>
  <si>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</si>
  <si>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</si>
  <si>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</si>
  <si>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</si>
  <si>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</si>
  <si>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</si>
  <si>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</si>
  <si>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</si>
  <si>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</si>
  <si>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</si>
  <si>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</si>
  <si>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</si>
  <si>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</si>
  <si>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</si>
  <si>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</si>
  <si>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</si>
  <si>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</si>
  <si>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</si>
  <si>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</si>
  <si>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</si>
  <si>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</si>
  <si>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</si>
  <si>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</si>
  <si>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</si>
  <si>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</si>
  <si>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</si>
  <si>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</si>
  <si>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</si>
  <si>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</si>
  <si>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</si>
  <si>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</si>
  <si>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</si>
  <si>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</si>
  <si>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</si>
  <si>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</si>
  <si>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</si>
  <si>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</si>
  <si>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</si>
  <si>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</si>
  <si>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</si>
  <si>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</si>
  <si>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</si>
  <si>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</si>
  <si>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</si>
  <si>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</si>
  <si>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</si>
  <si>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</si>
  <si>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</si>
  <si>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</si>
  <si>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</si>
  <si>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</si>
  <si>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</si>
  <si>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</si>
  <si>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</si>
  <si>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</si>
  <si>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</si>
  <si>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</si>
  <si>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</si>
  <si>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</si>
  <si>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</si>
  <si>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</si>
  <si>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</si>
  <si>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</si>
  <si>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</si>
  <si>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</si>
  <si>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</si>
  <si>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</si>
  <si>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</si>
  <si>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</si>
  <si>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</si>
  <si>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</si>
  <si>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</si>
  <si>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</si>
  <si>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</si>
  <si>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</si>
  <si>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</si>
  <si>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</si>
  <si>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</si>
  <si>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</si>
  <si>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</si>
  <si>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</si>
  <si>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</si>
  <si>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</si>
  <si>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</si>
  <si>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</si>
  <si>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</si>
  <si>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</si>
  <si>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</si>
  <si>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</si>
  <si>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</si>
  <si>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</si>
  <si>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</si>
  <si>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</si>
  <si>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</si>
  <si>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</si>
  <si>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</si>
  <si>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</si>
  <si>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</si>
  <si>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</si>
  <si>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</si>
  <si>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</si>
  <si>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</si>
  <si>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</si>
  <si>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</si>
  <si>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</si>
  <si>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</si>
  <si>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</si>
  <si>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</si>
  <si>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</si>
  <si>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</si>
  <si>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</si>
  <si>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</si>
  <si>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</si>
  <si>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</si>
  <si>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</si>
  <si>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</si>
  <si>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</si>
  <si>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</si>
  <si>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</si>
  <si>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</si>
  <si>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</si>
  <si>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</si>
  <si>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</si>
  <si>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</si>
  <si>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</si>
  <si>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</si>
  <si>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</si>
  <si>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</si>
  <si>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</si>
  <si>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</si>
  <si>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</si>
  <si>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</si>
  <si>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</si>
  <si>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</si>
  <si>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</si>
  <si>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</si>
  <si>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</si>
  <si>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</si>
  <si>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</si>
  <si>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</si>
  <si>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</si>
  <si>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</si>
  <si>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</si>
  <si>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</si>
  <si>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</si>
  <si>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</si>
  <si>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</si>
  <si>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</si>
  <si>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</si>
  <si>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</si>
  <si>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</si>
  <si>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</si>
  <si>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</si>
  <si>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</si>
  <si>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</si>
  <si>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</si>
  <si>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</si>
  <si>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</si>
  <si>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</si>
  <si>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</si>
  <si>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</si>
  <si>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</si>
  <si>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</si>
  <si>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</si>
  <si>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</si>
  <si>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</si>
  <si>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</si>
  <si>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</si>
  <si>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</si>
  <si>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</si>
  <si>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</si>
  <si>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</si>
  <si>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</si>
  <si>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</si>
  <si>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</si>
  <si>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</si>
  <si>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</si>
  <si>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</si>
  <si>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</si>
  <si>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</si>
  <si>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</si>
  <si>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</si>
  <si>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</si>
  <si>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</si>
  <si>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</si>
  <si>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</si>
  <si>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</si>
  <si>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</si>
  <si>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</si>
  <si>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</si>
  <si>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</si>
  <si>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</si>
  <si>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</si>
  <si>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</si>
  <si>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</si>
  <si>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</si>
  <si>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</si>
  <si>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</si>
  <si>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</si>
  <si>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</si>
  <si>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</si>
  <si>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</si>
  <si>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</si>
  <si>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</si>
  <si>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</si>
  <si>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</si>
  <si>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</si>
  <si>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</si>
  <si>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</si>
  <si>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</si>
  <si>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</si>
  <si>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</si>
  <si>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</si>
  <si>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</si>
  <si>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</si>
  <si>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</si>
  <si>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</si>
  <si>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</si>
  <si>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</si>
  <si>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</si>
  <si>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</si>
  <si>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</si>
  <si>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</si>
  <si>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</si>
  <si>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</si>
  <si>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</si>
  <si>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</si>
  <si>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</si>
  <si>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</si>
  <si>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</si>
  <si>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</si>
  <si>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</si>
  <si>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</si>
  <si>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</si>
  <si>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</si>
  <si>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</si>
  <si>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</si>
  <si>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</si>
  <si>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</si>
  <si>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</si>
  <si>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</si>
  <si>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</si>
  <si>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</si>
  <si>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</si>
  <si>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</si>
  <si>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</si>
  <si>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</si>
  <si>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</si>
  <si>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</si>
  <si>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</si>
  <si>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</si>
  <si>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</si>
  <si>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</si>
  <si>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</si>
  <si>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</si>
  <si>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</si>
  <si>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</si>
  <si>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</si>
  <si>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</si>
  <si>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</si>
  <si>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</si>
  <si>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</si>
  <si>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</si>
  <si>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</si>
  <si>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</si>
  <si>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</si>
  <si>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</si>
  <si>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</si>
  <si>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</si>
  <si>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</si>
  <si>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</si>
  <si>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</si>
  <si>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</si>
  <si>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</si>
  <si>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</si>
  <si>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</si>
  <si>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</si>
  <si>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</si>
  <si>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</si>
  <si>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</si>
  <si>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</si>
  <si>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</si>
  <si>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</si>
  <si>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</si>
  <si>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</si>
  <si>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</si>
  <si>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</si>
  <si>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</si>
  <si>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</si>
  <si>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</si>
  <si>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</si>
  <si>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</si>
  <si>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</si>
  <si>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</si>
  <si>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</si>
  <si>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</si>
  <si>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</si>
  <si>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</si>
  <si>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</si>
  <si>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</si>
  <si>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</si>
  <si>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</si>
  <si>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</si>
  <si>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</si>
  <si>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</si>
  <si>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</si>
  <si>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</si>
  <si>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</si>
  <si>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</si>
  <si>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</si>
  <si>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</si>
  <si>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</si>
  <si>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</si>
  <si>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</si>
  <si>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</si>
  <si>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</si>
  <si>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</si>
  <si>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</si>
  <si>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</si>
  <si>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</si>
  <si>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</si>
  <si>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</si>
  <si>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</si>
  <si>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</si>
  <si>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</si>
  <si>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</si>
  <si>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</si>
  <si>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</si>
  <si>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</si>
  <si>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</si>
  <si>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</si>
  <si>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</si>
  <si>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</si>
  <si>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</si>
  <si>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</si>
  <si>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</si>
  <si>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</si>
  <si>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</si>
  <si>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</si>
  <si>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</si>
  <si>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</si>
  <si>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</si>
  <si>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</si>
  <si>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</si>
  <si>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</si>
  <si>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</si>
  <si>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</si>
  <si>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</si>
  <si>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</si>
  <si>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</si>
  <si>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</si>
  <si>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</si>
  <si>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</si>
  <si>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</si>
  <si>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</si>
  <si>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</si>
  <si>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</si>
  <si>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</si>
  <si>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</si>
  <si>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</si>
  <si>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</si>
  <si>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</si>
  <si>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</si>
  <si>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</si>
  <si>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</si>
  <si>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</si>
  <si>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</si>
  <si>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</si>
  <si>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</si>
  <si>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</si>
  <si>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</si>
  <si>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</si>
  <si>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</si>
  <si>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</si>
  <si>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</si>
  <si>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</si>
  <si>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</si>
  <si>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</si>
  <si>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</si>
  <si>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</si>
  <si>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</si>
  <si>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</si>
  <si>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</si>
  <si>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</si>
  <si>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</si>
  <si>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</si>
  <si>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</si>
  <si>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</si>
  <si>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</si>
  <si>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</si>
  <si>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</si>
  <si>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</si>
  <si>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</si>
  <si>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</si>
  <si>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</si>
  <si>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</si>
  <si>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</si>
  <si>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</si>
  <si>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</si>
  <si>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</si>
  <si>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</si>
  <si>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</si>
  <si>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</si>
  <si>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</si>
  <si>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</si>
  <si>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</si>
  <si>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</si>
  <si>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</si>
  <si>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</si>
  <si>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</si>
  <si>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</si>
  <si>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</si>
  <si>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</si>
  <si>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</si>
  <si>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</si>
  <si>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</si>
  <si>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</si>
  <si>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</si>
  <si>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</si>
  <si>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</si>
  <si>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</si>
  <si>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</si>
  <si>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</si>
  <si>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</si>
  <si>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</si>
  <si>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</si>
  <si>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</si>
  <si>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</si>
  <si>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</si>
  <si>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</si>
  <si>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</si>
  <si>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</si>
  <si>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</si>
  <si>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</si>
  <si>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</si>
  <si>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</si>
  <si>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</si>
  <si>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</si>
  <si>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</si>
  <si>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</si>
  <si>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</si>
  <si>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</si>
  <si>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</si>
  <si>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</si>
  <si>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</si>
  <si>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</si>
  <si>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</si>
  <si>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</si>
  <si>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</si>
  <si>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</si>
  <si>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</si>
  <si>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</si>
  <si>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</si>
  <si>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</si>
  <si>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</si>
  <si>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</si>
  <si>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</si>
  <si>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</si>
  <si>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</si>
  <si>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</si>
  <si>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</si>
  <si>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</si>
  <si>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</si>
  <si>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</si>
  <si>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</si>
  <si>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</si>
  <si>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</si>
  <si>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</si>
  <si>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</si>
  <si>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</si>
  <si>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</si>
  <si>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</si>
  <si>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</si>
  <si>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</si>
  <si>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</si>
  <si>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</si>
  <si>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</si>
  <si>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</si>
  <si>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</si>
  <si>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</si>
  <si>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</si>
  <si>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</si>
  <si>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</si>
  <si>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</si>
  <si>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</si>
  <si>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</si>
  <si>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</si>
  <si>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</si>
  <si>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</si>
  <si>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</si>
  <si>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</si>
  <si>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</si>
  <si>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</si>
  <si>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</si>
  <si>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</si>
  <si>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</si>
  <si>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</si>
  <si>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</si>
  <si>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</si>
  <si>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</si>
  <si>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</si>
  <si>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</si>
  <si>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</si>
  <si>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</si>
  <si>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</si>
  <si>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</si>
  <si>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</si>
  <si>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</si>
  <si>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</si>
  <si>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</si>
  <si>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</si>
  <si>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</si>
  <si>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</si>
  <si>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</si>
  <si>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</si>
  <si>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</si>
  <si>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</si>
  <si>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</si>
  <si>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</si>
  <si>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</si>
  <si>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</si>
  <si>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</si>
  <si>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</si>
  <si>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</si>
  <si>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</si>
  <si>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</si>
  <si>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</si>
  <si>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</si>
  <si>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</si>
  <si>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</si>
  <si>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</si>
  <si>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</si>
  <si>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</si>
  <si>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</si>
  <si>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</si>
  <si>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</si>
  <si>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</si>
  <si>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</si>
  <si>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</si>
  <si>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</si>
  <si>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</si>
  <si>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</si>
  <si>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</si>
  <si>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</si>
  <si>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</si>
  <si>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</si>
  <si>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</si>
  <si>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</si>
  <si>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</si>
  <si>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</si>
  <si>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</si>
  <si>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</si>
  <si>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</si>
  <si>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</si>
  <si>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</si>
  <si>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</si>
  <si>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</si>
  <si>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</si>
  <si>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</si>
  <si>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</si>
  <si>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</si>
  <si>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</si>
  <si>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</si>
  <si>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</si>
  <si>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</si>
  <si>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</si>
  <si>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</si>
  <si>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</si>
  <si>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</si>
  <si>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</si>
  <si>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</si>
  <si>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</si>
  <si>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</si>
  <si>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</si>
  <si>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</si>
  <si>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</si>
  <si>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</si>
  <si>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</si>
  <si>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</si>
  <si>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</si>
  <si>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</si>
  <si>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</si>
  <si>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</si>
  <si>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</si>
  <si>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</si>
  <si>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</si>
  <si>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</si>
  <si>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</si>
  <si>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</si>
  <si>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</si>
  <si>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</si>
  <si>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</si>
  <si>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</si>
  <si>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</si>
  <si>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</si>
  <si>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</si>
  <si>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</si>
  <si>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</si>
  <si>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</si>
  <si>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</si>
  <si>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</si>
  <si>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</si>
  <si>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</si>
  <si>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</si>
  <si>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</si>
  <si>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</si>
  <si>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</si>
  <si>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</si>
  <si>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</si>
  <si>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</si>
  <si>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</si>
  <si>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</si>
  <si>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</si>
  <si>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</si>
  <si>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</si>
  <si>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</si>
  <si>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</si>
  <si>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</si>
  <si>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</si>
  <si>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</si>
  <si>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</si>
  <si>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</si>
  <si>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</si>
  <si>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</si>
  <si>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</si>
  <si>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</si>
  <si>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</si>
  <si>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</si>
  <si>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</si>
  <si>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</si>
  <si>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</si>
  <si>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</si>
  <si>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</si>
  <si>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</si>
  <si>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</si>
  <si>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</si>
  <si>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</si>
  <si>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</si>
  <si>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</si>
  <si>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</si>
  <si>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</si>
  <si>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</si>
  <si>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</si>
  <si>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</si>
  <si>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</si>
  <si>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</si>
  <si>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</si>
  <si>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</si>
  <si>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</si>
  <si>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</si>
  <si>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</si>
  <si>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</si>
  <si>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</si>
  <si>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</si>
  <si>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</si>
  <si>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</si>
  <si>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</si>
  <si>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</si>
  <si>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</si>
  <si>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</si>
  <si>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</si>
  <si>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</si>
  <si>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</si>
  <si>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</si>
  <si>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</si>
  <si>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</si>
  <si>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</si>
  <si>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</si>
  <si>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</si>
  <si>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</si>
  <si>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</si>
  <si>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</si>
  <si>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</si>
  <si>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</si>
  <si>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</si>
  <si>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</si>
  <si>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</si>
  <si>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</si>
  <si>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</si>
  <si>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</si>
  <si>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</si>
  <si>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</si>
  <si>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</si>
  <si>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</si>
  <si>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</si>
  <si>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</si>
  <si>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</si>
  <si>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</si>
  <si>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</si>
  <si>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</si>
  <si>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</si>
  <si>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</si>
  <si>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</si>
  <si>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</si>
  <si>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</si>
  <si>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</si>
  <si>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</si>
  <si>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</si>
  <si>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</si>
  <si>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</si>
  <si>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</si>
  <si>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</si>
  <si>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</si>
  <si>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</si>
  <si>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</si>
  <si>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</si>
  <si>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</si>
  <si>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</si>
  <si>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</si>
  <si>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</si>
  <si>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</si>
  <si>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</si>
  <si>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</si>
  <si>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</si>
  <si>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</si>
  <si>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</si>
  <si>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</si>
  <si>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</si>
  <si>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</si>
  <si>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</si>
  <si>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</si>
  <si>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</si>
  <si>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</si>
  <si>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</si>
  <si>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</si>
  <si>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</si>
  <si>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</si>
  <si>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</si>
  <si>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</si>
  <si>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</si>
  <si>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</si>
  <si>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</si>
  <si>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</si>
  <si>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</si>
  <si>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</si>
  <si>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</si>
  <si>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</si>
  <si>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</si>
  <si>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</si>
  <si>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</si>
  <si>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</si>
  <si>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</si>
  <si>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</si>
  <si>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</si>
  <si>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</si>
  <si>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</si>
  <si>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</si>
  <si>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</si>
  <si>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</si>
  <si>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</si>
  <si>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</si>
  <si>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</si>
  <si>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</si>
  <si>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</si>
  <si>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</si>
  <si>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</si>
  <si>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</si>
  <si>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</si>
  <si>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</si>
  <si>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</si>
  <si>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</si>
  <si>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</si>
  <si>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</si>
  <si>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</si>
  <si>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</si>
  <si>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</si>
  <si>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</si>
  <si>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</si>
  <si>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</si>
  <si>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</si>
  <si>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</si>
  <si>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</si>
  <si>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</si>
  <si>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</si>
  <si>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</si>
  <si>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</si>
  <si>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</si>
  <si>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</si>
  <si>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</si>
  <si>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</si>
  <si>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</si>
  <si>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</si>
  <si>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</si>
  <si>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</si>
  <si>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</si>
  <si>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</si>
  <si>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</si>
  <si>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</si>
  <si>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</si>
  <si>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</si>
  <si>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</si>
  <si>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</si>
  <si>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</si>
  <si>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</si>
  <si>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</si>
  <si>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</si>
  <si>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</si>
  <si>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</si>
  <si>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</si>
  <si>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</si>
  <si>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</si>
  <si>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</si>
  <si>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</si>
  <si>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</si>
  <si>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</si>
  <si>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</si>
  <si>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</si>
  <si>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</si>
  <si>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</si>
  <si>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</si>
  <si>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</si>
  <si>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</si>
  <si>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</si>
  <si>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</si>
  <si>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</si>
  <si>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</si>
  <si>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</si>
  <si>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</si>
  <si>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</si>
  <si>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</si>
  <si>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</si>
  <si>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</si>
  <si>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</si>
  <si>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</si>
  <si>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</si>
  <si>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</si>
  <si>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</si>
  <si>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</si>
  <si>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</si>
  <si>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</si>
  <si>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</si>
  <si>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</si>
  <si>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</si>
  <si>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</si>
  <si>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</si>
  <si>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</si>
  <si>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</si>
  <si>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</si>
  <si>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</si>
  <si>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</si>
  <si>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</si>
  <si>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</si>
  <si>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</si>
  <si>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</si>
  <si>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</si>
  <si>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</si>
  <si>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</si>
  <si>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</si>
  <si>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</si>
  <si>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</si>
  <si>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</si>
  <si>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</si>
  <si>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</si>
  <si>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</si>
  <si>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</si>
  <si>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</si>
  <si>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</si>
  <si>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</si>
  <si>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</si>
  <si>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</si>
  <si>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</si>
  <si>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</si>
  <si>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</si>
  <si>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</si>
  <si>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</si>
  <si>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</si>
  <si>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</si>
  <si>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</si>
  <si>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</si>
  <si>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</si>
  <si>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</si>
  <si>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</si>
  <si>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</si>
  <si>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</si>
  <si>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</si>
  <si>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</si>
  <si>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</si>
  <si>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</si>
  <si>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</si>
  <si>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</si>
  <si>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</si>
  <si>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</si>
  <si>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</si>
  <si>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</si>
  <si>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</si>
  <si>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</si>
  <si>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</si>
  <si>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</si>
  <si>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</si>
  <si>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</si>
  <si>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</si>
  <si>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</si>
  <si>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</si>
  <si>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</si>
  <si>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</si>
  <si>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</si>
  <si>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</si>
  <si>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</si>
  <si>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</si>
  <si>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</si>
  <si>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</si>
  <si>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</si>
  <si>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</si>
  <si>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</si>
  <si>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</si>
  <si>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</si>
  <si>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</si>
  <si>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</si>
  <si>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</si>
  <si>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</si>
  <si>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</si>
  <si>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</si>
  <si>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</si>
  <si>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</si>
  <si>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</si>
  <si>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</si>
  <si>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</si>
  <si>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</si>
  <si>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</si>
  <si>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</si>
  <si>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</si>
  <si>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</si>
  <si>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</si>
  <si>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</si>
  <si>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</si>
  <si>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</si>
  <si>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</si>
  <si>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</si>
  <si>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</si>
  <si>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</si>
  <si>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</si>
  <si>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</si>
  <si>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</si>
  <si>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</si>
  <si>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</si>
  <si>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</si>
  <si>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</si>
  <si>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</si>
  <si>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</si>
  <si>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</si>
  <si>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</si>
  <si>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</si>
  <si>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</si>
  <si>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</si>
  <si>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</si>
  <si>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</si>
  <si>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</si>
  <si>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</si>
  <si>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</si>
  <si>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</si>
  <si>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</si>
  <si>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</si>
  <si>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</si>
  <si>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</si>
  <si>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</si>
  <si>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</si>
  <si>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</si>
  <si>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</si>
  <si>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</si>
  <si>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</si>
  <si>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</si>
  <si>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</si>
  <si>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</si>
  <si>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</si>
  <si>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</si>
  <si>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</si>
  <si>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</si>
  <si>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</si>
  <si>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</si>
  <si>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</si>
  <si>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</si>
  <si>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</si>
  <si>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</si>
  <si>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</si>
  <si>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</si>
  <si>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</si>
  <si>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</si>
  <si>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</si>
  <si>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</si>
  <si>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</si>
  <si>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</si>
  <si>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</si>
  <si>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</si>
  <si>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</si>
  <si>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</si>
  <si>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</si>
  <si>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</si>
  <si>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</si>
  <si>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</si>
  <si>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</si>
  <si>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</si>
  <si>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</si>
  <si>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</si>
  <si>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</si>
  <si>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</si>
  <si>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</si>
  <si>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</si>
  <si>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</si>
  <si>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</si>
  <si>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</si>
  <si>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</si>
  <si>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</si>
  <si>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</si>
  <si>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</si>
  <si>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</si>
  <si>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</si>
  <si>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</si>
  <si>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</si>
  <si>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</si>
  <si>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</si>
  <si>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</si>
  <si>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</si>
  <si>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</si>
  <si>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</si>
  <si>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</si>
  <si>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</si>
  <si>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</si>
  <si>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</si>
  <si>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</si>
  <si>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</si>
  <si>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</si>
  <si>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</si>
  <si>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</si>
  <si>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</si>
  <si>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</si>
  <si>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</si>
  <si>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</si>
  <si>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</si>
  <si>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</si>
  <si>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</si>
  <si>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</si>
  <si>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</si>
  <si>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</si>
  <si>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</si>
  <si>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</si>
  <si>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</si>
  <si>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</si>
  <si>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</si>
  <si>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</si>
  <si>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</si>
  <si>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</si>
  <si>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</si>
  <si>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</si>
  <si>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</si>
  <si>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</si>
  <si>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</si>
  <si>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</si>
  <si>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</si>
  <si>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</si>
  <si>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</si>
  <si>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</si>
  <si>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</si>
  <si>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</si>
  <si>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</si>
  <si>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</si>
  <si>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</si>
  <si>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</si>
  <si>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</si>
  <si>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</si>
  <si>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</si>
  <si>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</si>
  <si>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</si>
  <si>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</si>
  <si>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</si>
  <si>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</si>
  <si>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</si>
  <si>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</si>
  <si>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</si>
  <si>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</si>
  <si>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</si>
  <si>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</si>
  <si>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</si>
  <si>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</si>
  <si>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</si>
  <si>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</si>
  <si>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</si>
  <si>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</si>
  <si>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</si>
  <si>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</si>
  <si>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</si>
  <si>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</si>
  <si>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</si>
  <si>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</si>
  <si>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</si>
  <si>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</si>
  <si>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</si>
  <si>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</si>
  <si>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</si>
  <si>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</si>
  <si>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</si>
  <si>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</si>
  <si>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</si>
  <si>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</si>
  <si>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</si>
  <si>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</si>
  <si>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</si>
  <si>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</si>
  <si>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</si>
  <si>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</si>
  <si>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</si>
  <si>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</si>
  <si>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</si>
  <si>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</si>
  <si>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</si>
  <si>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</si>
  <si>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</si>
  <si>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</si>
  <si>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</si>
  <si>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</si>
  <si>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</si>
  <si>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</si>
  <si>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</si>
  <si>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</si>
  <si>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</si>
  <si>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</si>
  <si>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</si>
  <si>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</si>
  <si>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</si>
  <si>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</si>
  <si>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</si>
  <si>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</si>
  <si>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</si>
  <si>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</si>
  <si>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</si>
  <si>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</si>
  <si>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</si>
  <si>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</si>
  <si>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</si>
  <si>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</si>
  <si>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</si>
  <si>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</si>
  <si>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</si>
  <si>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</si>
  <si>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</si>
  <si>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</si>
  <si>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</si>
  <si>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</si>
  <si>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</si>
  <si>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</si>
  <si>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</si>
  <si>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</si>
  <si>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</si>
  <si>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</si>
  <si>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</si>
  <si>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</si>
  <si>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</si>
  <si>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</si>
  <si>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</si>
  <si>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</si>
  <si>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</si>
  <si>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</si>
  <si>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</si>
  <si>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</si>
  <si>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</si>
  <si>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</si>
  <si>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</si>
  <si>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</si>
  <si>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</si>
  <si>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</si>
  <si>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</si>
  <si>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</si>
  <si>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</si>
  <si>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</si>
  <si>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</si>
  <si>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</si>
  <si>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</si>
  <si>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</si>
  <si>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</si>
  <si>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</si>
  <si>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</si>
  <si>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</si>
  <si>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</si>
  <si>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</si>
  <si>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</si>
  <si>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</si>
  <si>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</si>
  <si>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</si>
  <si>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</si>
  <si>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</si>
  <si>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</si>
  <si>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</si>
  <si>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</si>
  <si>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</si>
  <si>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</si>
  <si>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</si>
  <si>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</si>
  <si>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</si>
  <si>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</si>
  <si>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</si>
  <si>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</si>
  <si>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</si>
  <si>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</si>
  <si>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</si>
  <si>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</si>
  <si>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</si>
  <si>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</si>
  <si>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</si>
  <si>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</si>
  <si>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</si>
  <si>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</si>
  <si>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</si>
  <si>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</si>
  <si>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</si>
  <si>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</si>
  <si>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</si>
  <si>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</si>
  <si>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</si>
  <si>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</si>
  <si>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</si>
  <si>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</si>
  <si>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</si>
  <si>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</si>
  <si>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</si>
  <si>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</si>
  <si>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</si>
  <si>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</si>
  <si>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</si>
  <si>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</si>
  <si>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</si>
  <si>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</si>
  <si>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</si>
  <si>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</si>
  <si>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</si>
  <si>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</si>
  <si>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</si>
  <si>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</si>
  <si>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</si>
  <si>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</si>
  <si>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</si>
  <si>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</si>
  <si>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</si>
  <si>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</si>
  <si>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</si>
  <si>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</si>
  <si>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</si>
  <si>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</si>
  <si>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</si>
  <si>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</si>
  <si>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</si>
  <si>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</si>
  <si>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</si>
  <si>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</si>
  <si>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</si>
  <si>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</si>
  <si>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</si>
  <si>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</si>
  <si>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</si>
  <si>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</si>
  <si>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</si>
  <si>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</si>
  <si>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</si>
  <si>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</si>
  <si>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</si>
  <si>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</si>
  <si>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</si>
  <si>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</si>
  <si>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</si>
  <si>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</si>
  <si>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</si>
  <si>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</si>
  <si>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Visualiza Requerimiento</t>
  </si>
  <si>
    <t>ACCESORIOS</t>
  </si>
  <si>
    <t>AGROTA</t>
  </si>
  <si>
    <t>AGROTA BODEGA  YAMABIKO</t>
  </si>
  <si>
    <t>AGROTA SUKAMPO FERIA LIBRE</t>
  </si>
  <si>
    <t>AGROTA SUKAMPO GUAYAQUIL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</si>
  <si>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</si>
  <si>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</si>
  <si>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</si>
  <si>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</si>
  <si>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</si>
  <si>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Bodega Central Agrota</t>
  </si>
  <si>
    <t>BODEGA CENTRAL MAQUINAS</t>
  </si>
  <si>
    <t>BODEGA CENTRAL MATERIA PRIMA</t>
  </si>
  <si>
    <t>BODEGA DUPOCSA ARENAL</t>
  </si>
  <si>
    <t>BODEGA DUPOCSA CONCORDIA</t>
  </si>
  <si>
    <t>BODEGA DUPOCSA QUEVEDO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</si>
  <si>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</si>
  <si>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</si>
  <si>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</si>
  <si>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</si>
  <si>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</si>
  <si>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</si>
  <si>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</si>
  <si>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MATERIA PRIMA</t>
  </si>
  <si>
    <t>PRODUCTO TERMINADO</t>
  </si>
  <si>
    <t>Maquinas ECHO - SHINDAIWA.xlsm</t>
  </si>
  <si>
    <t>0-20-55</t>
  </si>
  <si>
    <t xml:space="preserve">02050 GR </t>
  </si>
  <si>
    <t>1 4D AMINA 720G/L</t>
  </si>
  <si>
    <t>104511 GR</t>
  </si>
  <si>
    <t>13640 MICROELEMENTOS GR</t>
  </si>
  <si>
    <t>153015 MICROELEMENTOS GR</t>
  </si>
  <si>
    <t>161612 SC</t>
  </si>
  <si>
    <t>2 4D AMINA 720G/L</t>
  </si>
  <si>
    <t>24D160G/L+PICLORAM 80 G/L</t>
  </si>
  <si>
    <t>251010 MICROELEMENTOS GR</t>
  </si>
  <si>
    <t>3 4D AMINA 720G/L</t>
  </si>
  <si>
    <t>352520 MICROELEMENTOS GR</t>
  </si>
  <si>
    <t>AA (No Aplica)</t>
  </si>
  <si>
    <t xml:space="preserve">ABAMECTIN 2.0% Ec </t>
  </si>
  <si>
    <t>ACCERORIO PICADORA</t>
  </si>
  <si>
    <t>ACCESORIOS ASABA</t>
  </si>
  <si>
    <t>ACCESORIOS EQUIPOS 2T</t>
  </si>
  <si>
    <t>ACCESORIOS EQUIPOS 4T</t>
  </si>
  <si>
    <t>ACCESORIOS EQUIPOS BATERIA</t>
  </si>
  <si>
    <t>ACCESORIOS EQUIPOS MANUALES</t>
  </si>
  <si>
    <t>ACCESORIOS MOTOAZADA</t>
  </si>
  <si>
    <t>ACCESORIOS MOTOCULTORES</t>
  </si>
  <si>
    <t>ACCESORIOS TRACTORES</t>
  </si>
  <si>
    <t>ACEFATO 75</t>
  </si>
  <si>
    <t>ACEITE</t>
  </si>
  <si>
    <t>ACEITES</t>
  </si>
  <si>
    <t>ACIDO GIBELERICO</t>
  </si>
  <si>
    <t>ACIDOS HUMICOS SL</t>
  </si>
  <si>
    <t>Acidos Organicos/humicos</t>
  </si>
  <si>
    <t>Agente Tensoactivo</t>
  </si>
  <si>
    <t>AIREADORES</t>
  </si>
  <si>
    <t xml:space="preserve">AISLADORES </t>
  </si>
  <si>
    <t>ALIMENTOS GANADO</t>
  </si>
  <si>
    <t>ALIMENTOS MASCOTAS</t>
  </si>
  <si>
    <t xml:space="preserve">AMINOACIDOS 6% + GIBERELINAS 25PPM SL </t>
  </si>
  <si>
    <t>ANTIBIOTICOS</t>
  </si>
  <si>
    <t>ANTIPARASITARIOS</t>
  </si>
  <si>
    <t>ANTISEPTICOS</t>
  </si>
  <si>
    <t>ARRIENDO DE LOCALES</t>
  </si>
  <si>
    <t>ATRAPRIN 90WG</t>
  </si>
  <si>
    <t>ATRAZINA 90%</t>
  </si>
  <si>
    <t>AZOXYSTROBIN 12% + TEBUCONAZOLE 20%</t>
  </si>
  <si>
    <t>AZOZISTROBINA 250G/L</t>
  </si>
  <si>
    <t>BANDAS</t>
  </si>
  <si>
    <t>BEBEDEROS</t>
  </si>
  <si>
    <t>BENALAXYL 8%+MANCOZEB 65% WP</t>
  </si>
  <si>
    <t>Bioestimulante 243 ppm</t>
  </si>
  <si>
    <t>BISPIRIBAC SODIUM 48%</t>
  </si>
  <si>
    <t>BOMBAS AGUA</t>
  </si>
  <si>
    <t>BOMBAS DE AGUA 2T</t>
  </si>
  <si>
    <t>BOMBAS DE AGUA DE CAUDAL</t>
  </si>
  <si>
    <t>BOMBAS DE AGUA DE PRESION</t>
  </si>
  <si>
    <t>Boro Molibdeno</t>
  </si>
  <si>
    <t>BUTACLOR</t>
  </si>
  <si>
    <t>CAFE</t>
  </si>
  <si>
    <t>CAJAS</t>
  </si>
  <si>
    <t>CALCIO 6% BORO 3% SL</t>
  </si>
  <si>
    <t>Calcio Nitrogeno</t>
  </si>
  <si>
    <t>Camaras</t>
  </si>
  <si>
    <t xml:space="preserve">CANTARAS </t>
  </si>
  <si>
    <t>CARBENDAZIM 50% SC</t>
  </si>
  <si>
    <t>CARBENDAZIM 50% WP</t>
  </si>
  <si>
    <t>Carboxilato de cobre/aminoglycoside</t>
  </si>
  <si>
    <t>Carboxilato de cobre/Fe</t>
  </si>
  <si>
    <t>Carboxilato de Cu/Fe/Al/Amino</t>
  </si>
  <si>
    <t>CARTAP 50% SP</t>
  </si>
  <si>
    <t>CEDAZO</t>
  </si>
  <si>
    <t>CEREZA</t>
  </si>
  <si>
    <t>CHIPPER/SHEDDERS</t>
  </si>
  <si>
    <t>CHLOROTALONIL 72% SC</t>
  </si>
  <si>
    <t>CITOQUININAS 110 PPM SL</t>
  </si>
  <si>
    <t>CLOFENTAZINE 50 % SC</t>
  </si>
  <si>
    <t>CLOROTALONIL 8% + DIMETOMORF 40%</t>
  </si>
  <si>
    <t>CLORPIRIFOS 480 G/L</t>
  </si>
  <si>
    <t>CLORPIRIFOS 500 CIPERMETRINA 50 550G/L</t>
  </si>
  <si>
    <t>COADYUVANTE</t>
  </si>
  <si>
    <t>COLMENAS</t>
  </si>
  <si>
    <t>CONDUCTORES</t>
  </si>
  <si>
    <t>COPIADORA</t>
  </si>
  <si>
    <t>CORTACESPED 4T</t>
  </si>
  <si>
    <t>CORTASETOS 2T</t>
  </si>
  <si>
    <t>CORTASETOS BATERIA</t>
  </si>
  <si>
    <t>COSECHADORA</t>
  </si>
  <si>
    <t>CYHALOFOP</t>
  </si>
  <si>
    <t>CYROMAZINA 75% WP</t>
  </si>
  <si>
    <t>DELTAMETRINA 2.5% EC</t>
  </si>
  <si>
    <t>Desgranadora</t>
  </si>
  <si>
    <t>DESMALEZADORA BATERIA</t>
  </si>
  <si>
    <t>DESMALEZADORAS 2T</t>
  </si>
  <si>
    <t>DESPULPADORA</t>
  </si>
  <si>
    <t>DIAFENTHIURON 25% EC</t>
  </si>
  <si>
    <t>DIAZINON 40%</t>
  </si>
  <si>
    <t>DIFENOCONAZOLE 25% EC</t>
  </si>
  <si>
    <t>DIMETOATO</t>
  </si>
  <si>
    <t>DIMETOMORPH 9% + MANCOZEB 60%</t>
  </si>
  <si>
    <t>Dioctil sulfosuccinato</t>
  </si>
  <si>
    <t>Dioctil Sulfosuccinato + indicador</t>
  </si>
  <si>
    <t>DISCO DURO</t>
  </si>
  <si>
    <t>DIURON</t>
  </si>
  <si>
    <t>ELECTRODOMESTICOS</t>
  </si>
  <si>
    <t xml:space="preserve">ENERGIZADORES </t>
  </si>
  <si>
    <t>ENSILADORAS</t>
  </si>
  <si>
    <t>ENVASES</t>
  </si>
  <si>
    <t>EPOXICONAZOLE 7.5%</t>
  </si>
  <si>
    <t>EQUIPOS ELECTRONICOS</t>
  </si>
  <si>
    <t>ETIQUETAS</t>
  </si>
  <si>
    <t>FERTILIZANTES EDAFICOS</t>
  </si>
  <si>
    <t>FIPRONIL</t>
  </si>
  <si>
    <t>Fitohormonas + Vitaminas</t>
  </si>
  <si>
    <t>FITOHORMONAS 170 ppm SL</t>
  </si>
  <si>
    <t>FOSETYL ALUMINIO 80% WP</t>
  </si>
  <si>
    <t>FOSFONATO POTASICO 70% SL</t>
  </si>
  <si>
    <t>Fosforo + Hormonas</t>
  </si>
  <si>
    <t>FOTOCOPIADORA</t>
  </si>
  <si>
    <t>FUMIGACION ESTACIONARIA</t>
  </si>
  <si>
    <t>FUMIGACION MANUAL</t>
  </si>
  <si>
    <t>FUNDAS</t>
  </si>
  <si>
    <t>GENERADORES</t>
  </si>
  <si>
    <t>GLIFOSATO 48% SL</t>
  </si>
  <si>
    <t>HERRAMIENTAS</t>
  </si>
  <si>
    <t>Herramientas Agricolas</t>
  </si>
  <si>
    <t>HERRAMIENTAS DE TALLER</t>
  </si>
  <si>
    <t>HEXYTHIAZOX 5% EC</t>
  </si>
  <si>
    <t>HIDROLAVADORAS ELECTRICAS</t>
  </si>
  <si>
    <t>HIDROLAVADORAS Y BOMBAS HIDROMECANICA</t>
  </si>
  <si>
    <t>IMIDACLOPRID 25% WP</t>
  </si>
  <si>
    <t>IMIDACLOPRID 42%+LAMBDA-CYHALOTHRIN 6%WP</t>
  </si>
  <si>
    <t xml:space="preserve">IMPLEMENTOS </t>
  </si>
  <si>
    <t>IMPRESORAS</t>
  </si>
  <si>
    <t>IVA PRODUCCION</t>
  </si>
  <si>
    <t>LAMBDACIHALOTRINA 2.5% EC</t>
  </si>
  <si>
    <t>LECHEROS</t>
  </si>
  <si>
    <t>LICENCIAS</t>
  </si>
  <si>
    <t>LOCALIZADOR</t>
  </si>
  <si>
    <t>LUV DMAX CAMIONETA</t>
  </si>
  <si>
    <t>Magnecio Hierro Zinc</t>
  </si>
  <si>
    <t>MANTENIMIENTO</t>
  </si>
  <si>
    <t xml:space="preserve">MAQUINA DE TALLER </t>
  </si>
  <si>
    <t>MAQUINA MULTIUSOS</t>
  </si>
  <si>
    <t>MAQUINARIA DE CONSTRUCCIÓN</t>
  </si>
  <si>
    <t>MAQUINARIA HUESO</t>
  </si>
  <si>
    <t>MAQUINARIA Y EQUIPO</t>
  </si>
  <si>
    <t>MARCAS Y PATENTES</t>
  </si>
  <si>
    <t>Medidor</t>
  </si>
  <si>
    <t>METALDEHIDO</t>
  </si>
  <si>
    <t>METALOSATO DE CALCIO 23% SL</t>
  </si>
  <si>
    <t>METSULFURON METHYL 60% WP</t>
  </si>
  <si>
    <t>MEZCLADORAS</t>
  </si>
  <si>
    <t>MICROELEMENTOS SOLUBLES GR</t>
  </si>
  <si>
    <t>MOLINOS PICADORES</t>
  </si>
  <si>
    <t>MONITOR</t>
  </si>
  <si>
    <t>MOTOAZADA</t>
  </si>
  <si>
    <t>MOTOCULTORES</t>
  </si>
  <si>
    <t>MOTORES 4T</t>
  </si>
  <si>
    <t>MOTORES ELECTRICOS</t>
  </si>
  <si>
    <t>MOTOSIERRAS 2T</t>
  </si>
  <si>
    <t>MOTOSIERRAS BATERIA</t>
  </si>
  <si>
    <t>MUEBLES</t>
  </si>
  <si>
    <t>MYCLOBUTANIL 12.5% EC</t>
  </si>
  <si>
    <t>NEBULIZADORA 2T</t>
  </si>
  <si>
    <t>NICOSULFURON</t>
  </si>
  <si>
    <t>NPK + Microelementos</t>
  </si>
  <si>
    <t>NUTRICIONAL AGROENCIMAS</t>
  </si>
  <si>
    <t xml:space="preserve">ORDENOS MECANICOS </t>
  </si>
  <si>
    <t>ORTOFOSFATO 20% SL</t>
  </si>
  <si>
    <t>OTROS EQUIPOS</t>
  </si>
  <si>
    <t>OXIDO DE POTASIO 40% SL</t>
  </si>
  <si>
    <t>PARAQUAT 270 G/L</t>
  </si>
  <si>
    <t>PARTES Y PIEZAS</t>
  </si>
  <si>
    <t>PC</t>
  </si>
  <si>
    <t>PEMETRINA</t>
  </si>
  <si>
    <t>PENDIMETALINA</t>
  </si>
  <si>
    <t>PERSA</t>
  </si>
  <si>
    <t>PICLORAM</t>
  </si>
  <si>
    <t>PIRIMETANIL 60%</t>
  </si>
  <si>
    <t>PODADORA BATERIA</t>
  </si>
  <si>
    <t>PODADORA ELECTRICA</t>
  </si>
  <si>
    <t xml:space="preserve">PODADORAS DE ALTURA 2T </t>
  </si>
  <si>
    <t>PODADORAS DE ALTURA MANUAL</t>
  </si>
  <si>
    <t>PORTATIL</t>
  </si>
  <si>
    <t>PROCHLORAZ 45% EC</t>
  </si>
  <si>
    <t>PROFENOFOS</t>
  </si>
  <si>
    <t>PROPICONAZOLE 25% EC</t>
  </si>
  <si>
    <t>Proyector</t>
  </si>
  <si>
    <t>PUBLICIDAD</t>
  </si>
  <si>
    <t>PULVERIZADORA 2T</t>
  </si>
  <si>
    <t>PULVERIZADORA BATERIA</t>
  </si>
  <si>
    <t>QUELATO DE HIERRO 5% SL</t>
  </si>
  <si>
    <t>QUELATO DE ZINC 11% SL</t>
  </si>
  <si>
    <t>RATICIDA</t>
  </si>
  <si>
    <t>REPUESTOS</t>
  </si>
  <si>
    <t>REPUESTOS 2T</t>
  </si>
  <si>
    <t>REPUESTOS 4T</t>
  </si>
  <si>
    <t>REPUESTOS BOMBA E HIDROLAVADORAS</t>
  </si>
  <si>
    <t>REPUESTOS BOMBAS DE AGUA</t>
  </si>
  <si>
    <t>REPUESTOS ENSILADORAS Y MOLINOS</t>
  </si>
  <si>
    <t>REPUESTOS EQUIPOS ELECTRICOS</t>
  </si>
  <si>
    <t>REPUESTOS EQUIPOS MANUALES</t>
  </si>
  <si>
    <t>REPUESTOS MOTOCULTORES</t>
  </si>
  <si>
    <t>REPUESTOS OTROS EQUIPOS</t>
  </si>
  <si>
    <t xml:space="preserve">REPUESTOS PICADORA </t>
  </si>
  <si>
    <t>REPUESTOS TRACTORES</t>
  </si>
  <si>
    <t>REPUESTOS ULTILITARIOS</t>
  </si>
  <si>
    <t>ROUTER</t>
  </si>
  <si>
    <t>SEMBRADORA ESPARCIDORA</t>
  </si>
  <si>
    <t>SEMILLAS FLORES</t>
  </si>
  <si>
    <t>SERRUCHOS</t>
  </si>
  <si>
    <t>SERVICIO TECNICO</t>
  </si>
  <si>
    <t>SERVICIOS</t>
  </si>
  <si>
    <t>SILICATO DE POTACIO</t>
  </si>
  <si>
    <t>Silicato de potasio</t>
  </si>
  <si>
    <t>Sistema de Vigilancia</t>
  </si>
  <si>
    <t>SISTEMAS</t>
  </si>
  <si>
    <t>SOPLADORA BATERIA</t>
  </si>
  <si>
    <t>SOPLADORAS 2T</t>
  </si>
  <si>
    <t>SPINETORAM</t>
  </si>
  <si>
    <t>SUELDOS Y SALARIOS</t>
  </si>
  <si>
    <t>SULFATO DE COBRE 24% AMINOACIDOS 5% SL</t>
  </si>
  <si>
    <t>SULFATO DE COBRE 24% SL</t>
  </si>
  <si>
    <t>TALADRO MOTORIZADO</t>
  </si>
  <si>
    <t>TALCO MEDICADO</t>
  </si>
  <si>
    <t>TEBUCONAZOL 25% EC</t>
  </si>
  <si>
    <t>Tebuconazole 25%</t>
  </si>
  <si>
    <t>TELEFONOS</t>
  </si>
  <si>
    <t>TERMINADO</t>
  </si>
  <si>
    <t>THIAMETOXAM</t>
  </si>
  <si>
    <t>TIJERAS</t>
  </si>
  <si>
    <t>TOSTADO</t>
  </si>
  <si>
    <t xml:space="preserve">TRACTORES </t>
  </si>
  <si>
    <t>TRANSPORTE</t>
  </si>
  <si>
    <t>TRIDEMORF 86 OL</t>
  </si>
  <si>
    <t>TRILLADORA</t>
  </si>
  <si>
    <t>UTILITARIOS 2T</t>
  </si>
  <si>
    <t>VEHICULOS</t>
  </si>
  <si>
    <t>VERDE</t>
  </si>
  <si>
    <t>VETERINARIO</t>
  </si>
  <si>
    <t>VITAMINAS Y MINERALES</t>
  </si>
  <si>
    <t>ACTIVO FIJO</t>
  </si>
  <si>
    <t>AGROPECUARIA</t>
  </si>
  <si>
    <t>ALIMENTOS</t>
  </si>
  <si>
    <t>APICULTURA</t>
  </si>
  <si>
    <t>GSM LOCALIZADOR</t>
  </si>
  <si>
    <t>HARDWARE</t>
  </si>
  <si>
    <t>INDUSTRIAL</t>
  </si>
  <si>
    <t>LABRANZA</t>
  </si>
  <si>
    <t>NUTRICIONAL</t>
  </si>
  <si>
    <t>NUTRICIONAL ANIMAL</t>
  </si>
  <si>
    <t>OTROS AGROQUIMICOS</t>
  </si>
  <si>
    <t>OTROS MAQUINARIA</t>
  </si>
  <si>
    <t>OTROS SUKAMPO</t>
  </si>
  <si>
    <t>PLAGUICIDAS CONVENCIONALES</t>
  </si>
  <si>
    <t>PLAGUICIDAS ORGANICOS</t>
  </si>
  <si>
    <t>PRODUCCION</t>
  </si>
  <si>
    <t>SOFTWARE</t>
  </si>
  <si>
    <t>TALLERES</t>
  </si>
  <si>
    <t>ACCESORIO DE ARMADO</t>
  </si>
  <si>
    <t>ARRIENDOS</t>
  </si>
  <si>
    <t>BALANCEADO</t>
  </si>
  <si>
    <t>BIOESTIMULANTES</t>
  </si>
  <si>
    <t>BOMBAS DE AGUA 4T</t>
  </si>
  <si>
    <t>BOMBAS HIDROMECANICAS</t>
  </si>
  <si>
    <t>CA ACCESORIOS LUBRICANTES</t>
  </si>
  <si>
    <t>CA HERBICIDA</t>
  </si>
  <si>
    <t>CA MOTORES Y BOMBAS OTRAS MARCAS</t>
  </si>
  <si>
    <t>CA OTROS EQUIPOS AGROFORESTALES</t>
  </si>
  <si>
    <t>CANTARAS</t>
  </si>
  <si>
    <t>CERCAS ELECTRICAS</t>
  </si>
  <si>
    <t>CHIPEADORAS</t>
  </si>
  <si>
    <t>COADYUVANTES</t>
  </si>
  <si>
    <t xml:space="preserve">CONVENCIONAL </t>
  </si>
  <si>
    <t>CORTACESPED</t>
  </si>
  <si>
    <t>CORTASETOS</t>
  </si>
  <si>
    <t>DESMALEZADORAS</t>
  </si>
  <si>
    <t>ENSILADORAS Y PICADORAS DE PASTO</t>
  </si>
  <si>
    <t xml:space="preserve">ENVASES </t>
  </si>
  <si>
    <t>EQUIPO DE COMPUTACION</t>
  </si>
  <si>
    <t>EQUIPOS</t>
  </si>
  <si>
    <t>EQUIPOS DE OFICINA</t>
  </si>
  <si>
    <t>EQUIPOS PARA CAFE</t>
  </si>
  <si>
    <t xml:space="preserve">ETIQUETAS </t>
  </si>
  <si>
    <t>FERTILIZANTE FOLIAR</t>
  </si>
  <si>
    <t>FUMIGACION</t>
  </si>
  <si>
    <t>FUNDAS PREIMPRESAS</t>
  </si>
  <si>
    <t>FUNGICIDA</t>
  </si>
  <si>
    <t>FUNGICIDAS ORGANICOS</t>
  </si>
  <si>
    <t>HERBICIDA</t>
  </si>
  <si>
    <t>HERRAMIENTAS PODA MANUAL</t>
  </si>
  <si>
    <t>HIDROLAVADORAS</t>
  </si>
  <si>
    <t>IMPLEMENTOS</t>
  </si>
  <si>
    <t>INSECTICIDA</t>
  </si>
  <si>
    <t>INSECTICIDAS ORGANICOS</t>
  </si>
  <si>
    <t>LUBRICANTE</t>
  </si>
  <si>
    <t>LUBRICANTES</t>
  </si>
  <si>
    <t>MAQUINA DE TALLER</t>
  </si>
  <si>
    <t>MAQUINARIA</t>
  </si>
  <si>
    <t>MEDICAMENTOS</t>
  </si>
  <si>
    <t>MUEBLES Y ENSERES</t>
  </si>
  <si>
    <t>NUTRICIONAL AGROENZIMAS</t>
  </si>
  <si>
    <t>ORDENOS</t>
  </si>
  <si>
    <t>OTROS</t>
  </si>
  <si>
    <t>OTROS VARIOS AGROQUIMICOS</t>
  </si>
  <si>
    <t xml:space="preserve">PODADORA </t>
  </si>
  <si>
    <t>PUBLICIDAD ECHO SHINDAIWA</t>
  </si>
  <si>
    <t>SEMILLAS</t>
  </si>
  <si>
    <t>SOPLADORAS</t>
  </si>
  <si>
    <t>TRACTORES</t>
  </si>
  <si>
    <t>UTILITARIOS</t>
  </si>
  <si>
    <t xml:space="preserve">VEHICULOS </t>
  </si>
  <si>
    <t>ACER</t>
  </si>
  <si>
    <t>ACTIVOS FIJOS</t>
  </si>
  <si>
    <t>AGROCHEM</t>
  </si>
  <si>
    <t>AGROCHEM POR LIQUIDAR</t>
  </si>
  <si>
    <t>AGROENZYMAS</t>
  </si>
  <si>
    <t>Agroquímicos</t>
  </si>
  <si>
    <t>AGSO CUENCA</t>
  </si>
  <si>
    <t>ALCON</t>
  </si>
  <si>
    <t>ARS</t>
  </si>
  <si>
    <t>ASABA</t>
  </si>
  <si>
    <t>ASO. GANADEROS</t>
  </si>
  <si>
    <t>BALDAN</t>
  </si>
  <si>
    <t>BALSECA &amp; BALSECA</t>
  </si>
  <si>
    <t>BARNEL</t>
  </si>
  <si>
    <t>BEAR CAT</t>
  </si>
  <si>
    <t>BELLOTA</t>
  </si>
  <si>
    <t>BENQ</t>
  </si>
  <si>
    <t>Boralsan</t>
  </si>
  <si>
    <t>BRIGGS-STRATTON</t>
  </si>
  <si>
    <t>BRIGSS</t>
  </si>
  <si>
    <t>BRISTOL</t>
  </si>
  <si>
    <t>BRUDDEN</t>
  </si>
  <si>
    <t>BUENCAN</t>
  </si>
  <si>
    <t>CAFE 1200</t>
  </si>
  <si>
    <t>CASIO</t>
  </si>
  <si>
    <t>CHANGFA</t>
  </si>
  <si>
    <t>CHEVROLET</t>
  </si>
  <si>
    <t>CHICKY</t>
  </si>
  <si>
    <t>CIFARELLI</t>
  </si>
  <si>
    <t>CIVEMASA</t>
  </si>
  <si>
    <t>COMPA</t>
  </si>
  <si>
    <t>Craftfman</t>
  </si>
  <si>
    <t>CREMASCO</t>
  </si>
  <si>
    <t>CRIBOS</t>
  </si>
  <si>
    <t>DOG</t>
  </si>
  <si>
    <t>DOGSTAR</t>
  </si>
  <si>
    <t>DON FENG</t>
  </si>
  <si>
    <t>DUAJA</t>
  </si>
  <si>
    <t>DUCATI</t>
  </si>
  <si>
    <t>DURAPLAST</t>
  </si>
  <si>
    <t>EBERLE</t>
  </si>
  <si>
    <t>ECHO</t>
  </si>
  <si>
    <t>ECUAQUIMICA</t>
  </si>
  <si>
    <t>EL VALLE</t>
  </si>
  <si>
    <t>EPSON</t>
  </si>
  <si>
    <t>EUROLAC</t>
  </si>
  <si>
    <t>EuroLatte</t>
  </si>
  <si>
    <t>FARBIOVET</t>
  </si>
  <si>
    <t>FERGUZ</t>
  </si>
  <si>
    <t>FERRARI</t>
  </si>
  <si>
    <t>FLETE</t>
  </si>
  <si>
    <t>FLOW</t>
  </si>
  <si>
    <t>FORD</t>
  </si>
  <si>
    <t>GASTOS ADMINISTRATIVOS</t>
  </si>
  <si>
    <t>GLOBAL</t>
  </si>
  <si>
    <t>GOLDEN BEAR</t>
  </si>
  <si>
    <t xml:space="preserve">GOLDONI </t>
  </si>
  <si>
    <t>GRAFICAS HERNANDEZ</t>
  </si>
  <si>
    <t>GREENCORP</t>
  </si>
  <si>
    <t>GREENLEAF</t>
  </si>
  <si>
    <t>GROWAY</t>
  </si>
  <si>
    <t>HALLEY</t>
  </si>
  <si>
    <t>HANCHANG</t>
  </si>
  <si>
    <t>HONDA</t>
  </si>
  <si>
    <t>HP</t>
  </si>
  <si>
    <t>HUSQVARNA</t>
  </si>
  <si>
    <t>IKRA</t>
  </si>
  <si>
    <t>INCOMAGRI</t>
  </si>
  <si>
    <t>INTEL CORE DUO</t>
  </si>
  <si>
    <t>INTEROC</t>
  </si>
  <si>
    <t>INTERPUMP</t>
  </si>
  <si>
    <t>ITALCAN</t>
  </si>
  <si>
    <t>IVAN BOHMAN C.A.</t>
  </si>
  <si>
    <t>Jacto</t>
  </si>
  <si>
    <t>JACTO CLEAN</t>
  </si>
  <si>
    <t>JET</t>
  </si>
  <si>
    <t>JF</t>
  </si>
  <si>
    <t>JINMA</t>
  </si>
  <si>
    <t>JM. ESTRADA</t>
  </si>
  <si>
    <t>KITS</t>
  </si>
  <si>
    <t>LAMBORGINI</t>
  </si>
  <si>
    <t>LANDINI</t>
  </si>
  <si>
    <t>LAVRALE</t>
  </si>
  <si>
    <t>LECHERO</t>
  </si>
  <si>
    <t>LG</t>
  </si>
  <si>
    <t>LIRYS</t>
  </si>
  <si>
    <t>MAQTRON</t>
  </si>
  <si>
    <t>MARUYAMA</t>
  </si>
  <si>
    <t>MFW</t>
  </si>
  <si>
    <t>MICHU</t>
  </si>
  <si>
    <t>MICROSOFT</t>
  </si>
  <si>
    <t>MIO CHEMICAL</t>
  </si>
  <si>
    <t>MITSUBOSHI</t>
  </si>
  <si>
    <t>MURRAY</t>
  </si>
  <si>
    <t>NEYPLEX</t>
  </si>
  <si>
    <t>NOVOFARMS</t>
  </si>
  <si>
    <t>NUTRAPRO</t>
  </si>
  <si>
    <t>NUTRIL</t>
  </si>
  <si>
    <t>OLEO MAC</t>
  </si>
  <si>
    <t>OREGON</t>
  </si>
  <si>
    <t>OSORIO</t>
  </si>
  <si>
    <t>PAL</t>
  </si>
  <si>
    <t>PATRIOT</t>
  </si>
  <si>
    <t>PLASTLIT</t>
  </si>
  <si>
    <t>PRIMAX</t>
  </si>
  <si>
    <t>PROCAN</t>
  </si>
  <si>
    <t>PROCAT</t>
  </si>
  <si>
    <t>PRODUCTOS HACIENDA</t>
  </si>
  <si>
    <t>PROMIX</t>
  </si>
  <si>
    <t>PRONACA</t>
  </si>
  <si>
    <t>SAMSUNG</t>
  </si>
  <si>
    <t>SANYO</t>
  </si>
  <si>
    <t>SERVICIOS COMERCIALES</t>
  </si>
  <si>
    <t>SHARDA</t>
  </si>
  <si>
    <t>SHINDAIWA</t>
  </si>
  <si>
    <t>SHIVA</t>
  </si>
  <si>
    <t>SIEMENS</t>
  </si>
  <si>
    <t>SINOCHEM</t>
  </si>
  <si>
    <t>SIRFRAN</t>
  </si>
  <si>
    <t>SISTEC</t>
  </si>
  <si>
    <t>SITREX</t>
  </si>
  <si>
    <t>SKEKURA</t>
  </si>
  <si>
    <t>SOLO DEL ECUADOR</t>
  </si>
  <si>
    <t>SOLO JARDIN</t>
  </si>
  <si>
    <t>STAFOR</t>
  </si>
  <si>
    <t>STANLEY</t>
  </si>
  <si>
    <t>STHIL</t>
  </si>
  <si>
    <t>Subaru</t>
  </si>
  <si>
    <t>SUNJOY</t>
  </si>
  <si>
    <t>SUPERCAN</t>
  </si>
  <si>
    <t>SUPERELLI</t>
  </si>
  <si>
    <t>SUPRAPLAST</t>
  </si>
  <si>
    <t>SWISSOIL</t>
  </si>
  <si>
    <t>TATU</t>
  </si>
  <si>
    <t>TECNOPLAS</t>
  </si>
  <si>
    <t>TEMCO</t>
  </si>
  <si>
    <t>TRUPER</t>
  </si>
  <si>
    <t>VALDIS</t>
  </si>
  <si>
    <t>VARIOS</t>
  </si>
  <si>
    <t>VINVELPLO</t>
  </si>
  <si>
    <t>VITASAL</t>
  </si>
  <si>
    <t>VOCAGRO</t>
  </si>
  <si>
    <t>WEG</t>
  </si>
  <si>
    <t>XEROX</t>
  </si>
  <si>
    <t>YAMAMOTOR</t>
  </si>
  <si>
    <t>ZM</t>
  </si>
  <si>
    <t>CHINA SUNJOY</t>
  </si>
  <si>
    <t>MEXICO</t>
  </si>
  <si>
    <t>Jaher</t>
  </si>
  <si>
    <t>BRASIL</t>
  </si>
  <si>
    <t>USA ECHO</t>
  </si>
  <si>
    <t>JAPON CHATANI</t>
  </si>
  <si>
    <t>BRASIL EUROLATTE</t>
  </si>
  <si>
    <t>NUEVA ZELANDA PATRIOT</t>
  </si>
  <si>
    <t>ESPAÑA BCS</t>
  </si>
  <si>
    <t>TURKIA BORALSAN</t>
  </si>
  <si>
    <t>CHINA MIRAL</t>
  </si>
  <si>
    <t>ESPAÑA SIRFRAN</t>
  </si>
  <si>
    <t>MERCALIMSA MATERIA PRIMA</t>
  </si>
  <si>
    <t>AUSTROBOX</t>
  </si>
  <si>
    <t>VALDIVIESO TORRES</t>
  </si>
  <si>
    <t>PLASLIT</t>
  </si>
  <si>
    <t>SUKAMPO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</si>
  <si>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</si>
  <si>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</si>
  <si>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</si>
  <si>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</si>
  <si>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</si>
  <si>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</si>
  <si>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</si>
  <si>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</si>
  <si>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</si>
  <si>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</si>
  <si>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</si>
  <si>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</si>
  <si>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</si>
  <si>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</si>
  <si>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</si>
  <si>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MERCALIMSA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</si>
  <si>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</si>
  <si>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</si>
  <si>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</si>
  <si>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</si>
  <si>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</si>
  <si>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</si>
  <si>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</si>
  <si>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</si>
  <si>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</si>
  <si>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</si>
  <si>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</si>
  <si>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</si>
  <si>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</si>
  <si>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</si>
  <si>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</si>
  <si>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</si>
  <si>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</si>
  <si>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</si>
  <si>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</si>
  <si>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</si>
  <si>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</si>
  <si>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</si>
  <si>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</si>
  <si>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</si>
  <si>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</si>
  <si>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</si>
  <si>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</si>
  <si>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</si>
  <si>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</si>
  <si>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</si>
  <si>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</si>
  <si>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</si>
  <si>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</si>
  <si>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</si>
  <si>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</si>
  <si>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</si>
  <si>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</si>
  <si>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</si>
  <si>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</si>
  <si>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</si>
  <si>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</si>
  <si>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</si>
  <si>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</si>
  <si>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</si>
  <si>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</si>
  <si>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</si>
  <si>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REPUESTOS PARA MAQUINAS SIN IP</t>
  </si>
  <si>
    <t>CIPERMETRINA</t>
  </si>
  <si>
    <t>DIFLUBENZURON+LAMBDA</t>
  </si>
  <si>
    <t>REPUESTOS ORDEÑOS</t>
  </si>
  <si>
    <t>REPUESTOS UTILITARIOS</t>
  </si>
  <si>
    <t>TABLET</t>
  </si>
  <si>
    <t>THIODICARB</t>
  </si>
  <si>
    <t>ALTUNA</t>
  </si>
  <si>
    <t>MERALDA</t>
  </si>
  <si>
    <t>JM COLOMBIA</t>
  </si>
  <si>
    <t>admin</t>
  </si>
  <si>
    <t>Accesorios.xlsm</t>
  </si>
  <si>
    <t xml:space="preserve">ACCESORIOS MEZCLADORAS </t>
  </si>
  <si>
    <t>AZUFRE MICRONIZADO</t>
  </si>
  <si>
    <t>LONCIN</t>
  </si>
  <si>
    <t>Jf</t>
  </si>
  <si>
    <t>CLOFENTAZINE 50%SC</t>
  </si>
  <si>
    <t>ACARICIDA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</si>
</sst>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8401152"/>
        <c:axId val="898401712"/>
      </c:barChart>
      <c:catAx>
        <c:axId val="898401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898401712"/>
        <c:crosses val="autoZero"/>
        <c:auto val="1"/>
        <c:lblAlgn val="ctr"/>
        <c:lblOffset val="100"/>
        <c:noMultiLvlLbl val="0"/>
      </c:catAx>
      <c:valAx>
        <c:axId val="8984017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98401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88" val="0"/>
</file>

<file path=xl/ctrlProps/ctrlProp3.xml><?xml version="1.0" encoding="utf-8"?>
<formControlPr xmlns="http://schemas.microsoft.com/office/spreadsheetml/2009/9/main" objectType="List" dx="22" fmlaLink="Combos!$K$1" fmlaRange="Combos!$I$2:$I$2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154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49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4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2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90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23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3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20</xdr:row>
          <xdr:rowOff>104775</xdr:rowOff>
        </xdr:from>
        <xdr:to>
          <xdr:col>2</xdr:col>
          <xdr:colOff>285750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1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1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5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5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88" totalsRowShown="0">
  <autoFilter ref="E1:E88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2" insertRow="1" totalsRowShown="0">
  <autoFilter ref="I1:I2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154" totalsRowShown="0">
  <autoFilter ref="M1:M154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49" totalsRowShown="0">
  <autoFilter ref="Q1:Q249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4" totalsRowShown="0">
  <autoFilter ref="U1:U24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2" insertRow="1" totalsRowShown="0">
  <autoFilter ref="AK1:AK2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90" totalsRowShown="0">
  <autoFilter ref="AO1:AO90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23" totalsRowShown="0">
  <autoFilter ref="BI1:BI23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3" totalsRowShown="0">
  <autoFilter ref="BU1:BU3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 activeCell="K4" sqref="K4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3483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ya00+GWoSDqWLHP+1noPl5jRhpelwwLx8eivMkbMHNV3VXBsrislk6AYiG8qSO/sN+z3es1t9m8OS9LYK+I58A==" saltValue="qaGPIjd59Nmi6aBQA/LaaA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523875</xdr:colOff>
                <xdr:row>20</xdr:row>
                <xdr:rowOff>104775</xdr:rowOff>
              </from>
              <to>
                <xdr:col>2</xdr:col>
                <xdr:colOff>285750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autoPict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autoPict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3478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249"/>
  <sheetViews>
    <sheetView showGridLines="0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4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2895</v>
      </c>
      <c r="BZ1" t="s">
        <v>209</v>
      </c>
      <c r="CB1" t="s">
        <v>2908</v>
      </c>
    </row>
    <row r="2" spans="1:80" x14ac:dyDescent="0.25">
      <c r="A2" t="s">
        <v>2910</v>
      </c>
      <c r="C2" t="str">
        <f>IFERROR(INDEX(tbl_empresa[Nombre],num_empresa_seleccionada,1),$A$2)</f>
        <v>AGROTA</v>
      </c>
      <c r="E2" t="s">
        <v>3406</v>
      </c>
      <c r="G2" t="str">
        <f>IFERROR(INDEX(tbl_bodega[Nombre],num_bodega_seleccionada,1),$E$2)</f>
        <v>Activos Agrota Feria Libre</v>
      </c>
      <c r="K2">
        <f>IFERROR(INDEX(tbl_proveedor[Nombre],num_proveedor_seleccionada,1),$I$2)</f>
        <v>0</v>
      </c>
      <c r="M2" t="s">
        <v>2947</v>
      </c>
      <c r="O2" t="str">
        <f>IFERROR(INDEX(tbl_marca[Nombre],num_marca_seleccionada,1),$M$2)</f>
        <v>AA (No Aplica)</v>
      </c>
      <c r="Q2" t="s">
        <v>2935</v>
      </c>
      <c r="S2" t="str">
        <f>IFERROR(INDEX(tbl_grupo[Nombre],num_grupo_seleccionada,1),$Q$2)</f>
        <v>0-20-55</v>
      </c>
      <c r="U2" t="s">
        <v>2947</v>
      </c>
      <c r="W2" t="str">
        <f>IFERROR(INDEX(tbl_linea[Nombre],num_linea_seleccionada,1),$U$2)</f>
        <v>AA (No Aplica)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M2">
        <f>IFERROR(INDEX(tbl_subfamilia[Nombre],num_subfamilia_seleccionada,1),$AK$2)</f>
        <v>0</v>
      </c>
      <c r="AO2" t="s">
        <v>2947</v>
      </c>
      <c r="AQ2" t="str">
        <f>IFERROR(INDEX(tbl_categoria[Nombre],num_categoria_seleccionada,1),$AO$2)</f>
        <v>AA (No Aplica)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253</v>
      </c>
      <c r="BK2" t="str">
        <f>IFERROR(INDEX(tbl_perfil[Nombre],num_perfil_seleccionada,1),$BI$2)</f>
        <v>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3479</v>
      </c>
      <c r="BW2" t="str">
        <f>IFERROR(INDEX(tbl_hojacb[Nombre],num_hojacb_seleccionada,1),$BU$2)</f>
        <v>Accesorios.xlsm</v>
      </c>
      <c r="BY2" t="s">
        <v>2907</v>
      </c>
      <c r="BZ2" t="b">
        <v>0</v>
      </c>
      <c r="CB2" t="b">
        <v>1</v>
      </c>
    </row>
    <row r="3" spans="1:80" x14ac:dyDescent="0.25">
      <c r="A3" t="s">
        <v>3405</v>
      </c>
      <c r="E3" t="s">
        <v>3407</v>
      </c>
      <c r="M3" t="s">
        <v>3243</v>
      </c>
      <c r="Q3" t="s">
        <v>2936</v>
      </c>
      <c r="U3" t="s">
        <v>3172</v>
      </c>
      <c r="AO3" t="s">
        <v>3485</v>
      </c>
      <c r="BI3" t="s">
        <v>3389</v>
      </c>
      <c r="BM3" t="s">
        <v>2906</v>
      </c>
      <c r="BU3" t="s">
        <v>2934</v>
      </c>
      <c r="BY3" t="s">
        <v>2888</v>
      </c>
      <c r="BZ3" t="b">
        <v>0</v>
      </c>
    </row>
    <row r="4" spans="1:80" x14ac:dyDescent="0.25">
      <c r="E4" t="s">
        <v>2911</v>
      </c>
      <c r="M4" t="s">
        <v>3244</v>
      </c>
      <c r="Q4" t="s">
        <v>2937</v>
      </c>
      <c r="U4" t="s">
        <v>1401</v>
      </c>
      <c r="AO4" t="s">
        <v>3190</v>
      </c>
      <c r="BI4" t="s">
        <v>3390</v>
      </c>
      <c r="BM4" t="s">
        <v>1981</v>
      </c>
      <c r="BY4" t="s">
        <v>2896</v>
      </c>
      <c r="BZ4" t="b">
        <v>0</v>
      </c>
    </row>
    <row r="5" spans="1:80" x14ac:dyDescent="0.25">
      <c r="E5" t="s">
        <v>3408</v>
      </c>
      <c r="M5" t="s">
        <v>3245</v>
      </c>
      <c r="Q5" t="s">
        <v>2938</v>
      </c>
      <c r="U5" t="s">
        <v>3173</v>
      </c>
      <c r="AO5" t="s">
        <v>2909</v>
      </c>
      <c r="BI5" t="s">
        <v>3187</v>
      </c>
      <c r="BM5" t="s">
        <v>1196</v>
      </c>
      <c r="BY5" t="s">
        <v>2897</v>
      </c>
      <c r="BZ5" t="b">
        <v>0</v>
      </c>
    </row>
    <row r="6" spans="1:80" x14ac:dyDescent="0.25">
      <c r="E6" t="s">
        <v>3409</v>
      </c>
      <c r="M6" t="s">
        <v>3246</v>
      </c>
      <c r="Q6" t="s">
        <v>2939</v>
      </c>
      <c r="U6" t="s">
        <v>3174</v>
      </c>
      <c r="AO6" t="s">
        <v>3174</v>
      </c>
      <c r="BI6" t="s">
        <v>3391</v>
      </c>
      <c r="BM6" t="s">
        <v>1983</v>
      </c>
      <c r="BY6" t="s">
        <v>7</v>
      </c>
      <c r="BZ6" t="b">
        <v>0</v>
      </c>
    </row>
    <row r="7" spans="1:80" x14ac:dyDescent="0.25">
      <c r="E7" t="s">
        <v>3410</v>
      </c>
      <c r="M7" t="s">
        <v>3247</v>
      </c>
      <c r="Q7" t="s">
        <v>2940</v>
      </c>
      <c r="U7" t="s">
        <v>3175</v>
      </c>
      <c r="AO7" t="s">
        <v>3191</v>
      </c>
      <c r="BI7" t="s">
        <v>3392</v>
      </c>
      <c r="BM7" t="s">
        <v>2824</v>
      </c>
      <c r="BY7" t="s">
        <v>2898</v>
      </c>
      <c r="BZ7" t="b">
        <v>0</v>
      </c>
    </row>
    <row r="8" spans="1:80" x14ac:dyDescent="0.25">
      <c r="E8" t="s">
        <v>3411</v>
      </c>
      <c r="M8" t="s">
        <v>3248</v>
      </c>
      <c r="Q8" t="s">
        <v>2941</v>
      </c>
      <c r="U8" t="s">
        <v>3176</v>
      </c>
      <c r="AO8" t="s">
        <v>3192</v>
      </c>
      <c r="BI8" t="s">
        <v>3394</v>
      </c>
      <c r="BY8" t="s">
        <v>2899</v>
      </c>
      <c r="BZ8" t="b">
        <v>0</v>
      </c>
    </row>
    <row r="9" spans="1:80" x14ac:dyDescent="0.25">
      <c r="E9" t="s">
        <v>3412</v>
      </c>
      <c r="M9" t="s">
        <v>3249</v>
      </c>
      <c r="Q9" t="s">
        <v>2942</v>
      </c>
      <c r="U9" t="s">
        <v>3177</v>
      </c>
      <c r="AO9" t="s">
        <v>3193</v>
      </c>
      <c r="BI9" t="s">
        <v>3397</v>
      </c>
      <c r="BY9" t="s">
        <v>2900</v>
      </c>
      <c r="BZ9" t="b">
        <v>0</v>
      </c>
    </row>
    <row r="10" spans="1:80" x14ac:dyDescent="0.25">
      <c r="E10" t="s">
        <v>3413</v>
      </c>
      <c r="M10" t="s">
        <v>3250</v>
      </c>
      <c r="Q10" t="s">
        <v>2943</v>
      </c>
      <c r="U10" t="s">
        <v>3178</v>
      </c>
      <c r="AO10" t="s">
        <v>2983</v>
      </c>
      <c r="BI10" t="s">
        <v>3399</v>
      </c>
      <c r="BY10" t="s">
        <v>2901</v>
      </c>
      <c r="BZ10" t="b">
        <v>0</v>
      </c>
    </row>
    <row r="11" spans="1:80" x14ac:dyDescent="0.25">
      <c r="E11" t="s">
        <v>3414</v>
      </c>
      <c r="M11" t="s">
        <v>3475</v>
      </c>
      <c r="Q11" t="s">
        <v>2944</v>
      </c>
      <c r="U11" t="s">
        <v>3179</v>
      </c>
      <c r="AO11" t="s">
        <v>2984</v>
      </c>
      <c r="BI11" t="s">
        <v>3400</v>
      </c>
      <c r="BY11" t="s">
        <v>2902</v>
      </c>
      <c r="BZ11" t="b">
        <v>0</v>
      </c>
    </row>
    <row r="12" spans="1:80" x14ac:dyDescent="0.25">
      <c r="E12" t="s">
        <v>2912</v>
      </c>
      <c r="M12" t="s">
        <v>3251</v>
      </c>
      <c r="Q12" t="s">
        <v>2945</v>
      </c>
      <c r="U12" t="s">
        <v>3180</v>
      </c>
      <c r="AO12" t="s">
        <v>3194</v>
      </c>
      <c r="BI12" t="s">
        <v>3401</v>
      </c>
      <c r="BY12" t="s">
        <v>2903</v>
      </c>
      <c r="BZ12" t="b">
        <v>0</v>
      </c>
    </row>
    <row r="13" spans="1:80" x14ac:dyDescent="0.25">
      <c r="E13" t="s">
        <v>2913</v>
      </c>
      <c r="M13" t="s">
        <v>3252</v>
      </c>
      <c r="Q13" t="s">
        <v>2946</v>
      </c>
      <c r="U13" t="s">
        <v>3181</v>
      </c>
      <c r="AO13" t="s">
        <v>3195</v>
      </c>
      <c r="BI13" t="s">
        <v>3402</v>
      </c>
      <c r="BY13" t="s">
        <v>1153</v>
      </c>
      <c r="BZ13" t="b">
        <v>0</v>
      </c>
    </row>
    <row r="14" spans="1:80" x14ac:dyDescent="0.25">
      <c r="E14" t="s">
        <v>2914</v>
      </c>
      <c r="M14" t="s">
        <v>3253</v>
      </c>
      <c r="Q14" t="s">
        <v>2947</v>
      </c>
      <c r="U14" t="s">
        <v>3182</v>
      </c>
      <c r="AO14" t="s">
        <v>3196</v>
      </c>
      <c r="BI14" t="s">
        <v>3300</v>
      </c>
      <c r="BY14" t="s">
        <v>2904</v>
      </c>
      <c r="BZ14" t="b">
        <v>0</v>
      </c>
    </row>
    <row r="15" spans="1:80" x14ac:dyDescent="0.25">
      <c r="E15" t="s">
        <v>2915</v>
      </c>
      <c r="M15" t="s">
        <v>3254</v>
      </c>
      <c r="Q15" t="s">
        <v>2948</v>
      </c>
      <c r="U15" t="s">
        <v>3183</v>
      </c>
      <c r="AO15" t="s">
        <v>3197</v>
      </c>
      <c r="BI15" t="s">
        <v>3403</v>
      </c>
      <c r="BY15" t="s">
        <v>2847</v>
      </c>
      <c r="BZ15" t="b">
        <v>0</v>
      </c>
    </row>
    <row r="16" spans="1:80" x14ac:dyDescent="0.25">
      <c r="E16" t="s">
        <v>3415</v>
      </c>
      <c r="M16" t="s">
        <v>3255</v>
      </c>
      <c r="Q16" t="s">
        <v>2949</v>
      </c>
      <c r="U16" t="s">
        <v>3184</v>
      </c>
      <c r="AO16" t="s">
        <v>3198</v>
      </c>
      <c r="BI16" t="s">
        <v>3377</v>
      </c>
      <c r="BY16" t="s">
        <v>1195</v>
      </c>
      <c r="BZ16" t="b">
        <v>0</v>
      </c>
    </row>
    <row r="17" spans="5:78" x14ac:dyDescent="0.25">
      <c r="E17" t="s">
        <v>2916</v>
      </c>
      <c r="M17" t="s">
        <v>3256</v>
      </c>
      <c r="Q17" t="s">
        <v>2909</v>
      </c>
      <c r="U17" t="s">
        <v>3185</v>
      </c>
      <c r="AO17" t="s">
        <v>3199</v>
      </c>
      <c r="BI17" t="s">
        <v>3404</v>
      </c>
      <c r="BY17" t="s">
        <v>2905</v>
      </c>
      <c r="BZ17" t="b">
        <v>0</v>
      </c>
    </row>
    <row r="18" spans="5:78" x14ac:dyDescent="0.25">
      <c r="E18" t="s">
        <v>2917</v>
      </c>
      <c r="M18" t="s">
        <v>3257</v>
      </c>
      <c r="Q18" t="s">
        <v>2950</v>
      </c>
      <c r="U18" t="s">
        <v>3186</v>
      </c>
      <c r="AO18" t="s">
        <v>2989</v>
      </c>
      <c r="BI18" t="s">
        <v>3374</v>
      </c>
    </row>
    <row r="19" spans="5:78" x14ac:dyDescent="0.25">
      <c r="E19" t="s">
        <v>3416</v>
      </c>
      <c r="M19" t="s">
        <v>3258</v>
      </c>
      <c r="Q19" t="s">
        <v>2951</v>
      </c>
      <c r="U19" t="s">
        <v>3187</v>
      </c>
      <c r="AO19" t="s">
        <v>2990</v>
      </c>
      <c r="BI19" t="s">
        <v>3393</v>
      </c>
    </row>
    <row r="20" spans="5:78" x14ac:dyDescent="0.25">
      <c r="E20" t="s">
        <v>2918</v>
      </c>
      <c r="M20" t="s">
        <v>3259</v>
      </c>
      <c r="Q20" t="s">
        <v>2952</v>
      </c>
      <c r="U20" t="s">
        <v>3119</v>
      </c>
      <c r="AO20" t="s">
        <v>3200</v>
      </c>
      <c r="BI20" t="s">
        <v>3395</v>
      </c>
    </row>
    <row r="21" spans="5:78" x14ac:dyDescent="0.25">
      <c r="E21" t="s">
        <v>3417</v>
      </c>
      <c r="M21" t="s">
        <v>3260</v>
      </c>
      <c r="Q21" t="s">
        <v>2953</v>
      </c>
      <c r="U21" t="s">
        <v>3143</v>
      </c>
      <c r="AO21" t="s">
        <v>3001</v>
      </c>
      <c r="BI21" t="s">
        <v>3396</v>
      </c>
    </row>
    <row r="22" spans="5:78" x14ac:dyDescent="0.25">
      <c r="E22" t="s">
        <v>3418</v>
      </c>
      <c r="M22" t="s">
        <v>3261</v>
      </c>
      <c r="Q22" t="s">
        <v>2954</v>
      </c>
      <c r="U22" t="s">
        <v>3188</v>
      </c>
      <c r="AO22" t="s">
        <v>3201</v>
      </c>
      <c r="BI22" t="s">
        <v>3398</v>
      </c>
    </row>
    <row r="23" spans="5:78" x14ac:dyDescent="0.25">
      <c r="E23" t="s">
        <v>3419</v>
      </c>
      <c r="M23" t="s">
        <v>3262</v>
      </c>
      <c r="Q23" t="s">
        <v>3480</v>
      </c>
      <c r="U23" t="s">
        <v>3189</v>
      </c>
      <c r="AO23" t="s">
        <v>3202</v>
      </c>
      <c r="BI23" t="s">
        <v>3477</v>
      </c>
    </row>
    <row r="24" spans="5:78" x14ac:dyDescent="0.25">
      <c r="E24" t="s">
        <v>2919</v>
      </c>
      <c r="M24" t="s">
        <v>3263</v>
      </c>
      <c r="Q24" t="s">
        <v>2955</v>
      </c>
      <c r="U24" t="s">
        <v>3170</v>
      </c>
      <c r="AO24" t="s">
        <v>3203</v>
      </c>
    </row>
    <row r="25" spans="5:78" x14ac:dyDescent="0.25">
      <c r="E25" t="s">
        <v>2920</v>
      </c>
      <c r="M25" t="s">
        <v>3264</v>
      </c>
      <c r="Q25" t="s">
        <v>2956</v>
      </c>
      <c r="AO25" t="s">
        <v>3011</v>
      </c>
    </row>
    <row r="26" spans="5:78" x14ac:dyDescent="0.25">
      <c r="E26" t="s">
        <v>2921</v>
      </c>
      <c r="M26" t="s">
        <v>3265</v>
      </c>
      <c r="Q26" t="s">
        <v>2957</v>
      </c>
      <c r="AO26" t="s">
        <v>3204</v>
      </c>
    </row>
    <row r="27" spans="5:78" x14ac:dyDescent="0.25">
      <c r="E27" t="s">
        <v>2922</v>
      </c>
      <c r="M27" t="s">
        <v>3266</v>
      </c>
      <c r="Q27" t="s">
        <v>2958</v>
      </c>
      <c r="AO27" t="s">
        <v>3205</v>
      </c>
    </row>
    <row r="28" spans="5:78" x14ac:dyDescent="0.25">
      <c r="E28" t="s">
        <v>2923</v>
      </c>
      <c r="M28" t="s">
        <v>3267</v>
      </c>
      <c r="Q28" t="s">
        <v>2959</v>
      </c>
      <c r="AO28" t="s">
        <v>3206</v>
      </c>
    </row>
    <row r="29" spans="5:78" x14ac:dyDescent="0.25">
      <c r="E29" t="s">
        <v>2924</v>
      </c>
      <c r="M29" t="s">
        <v>3268</v>
      </c>
      <c r="Q29" t="s">
        <v>2960</v>
      </c>
      <c r="AO29" t="s">
        <v>3207</v>
      </c>
    </row>
    <row r="30" spans="5:78" x14ac:dyDescent="0.25">
      <c r="E30" t="s">
        <v>3420</v>
      </c>
      <c r="M30" t="s">
        <v>3269</v>
      </c>
      <c r="Q30" t="s">
        <v>2961</v>
      </c>
      <c r="AO30" t="s">
        <v>3208</v>
      </c>
    </row>
    <row r="31" spans="5:78" x14ac:dyDescent="0.25">
      <c r="E31" t="s">
        <v>3421</v>
      </c>
      <c r="M31" t="s">
        <v>3270</v>
      </c>
      <c r="Q31" t="s">
        <v>2962</v>
      </c>
      <c r="AO31" t="s">
        <v>3209</v>
      </c>
    </row>
    <row r="32" spans="5:78" x14ac:dyDescent="0.25">
      <c r="E32" t="s">
        <v>2925</v>
      </c>
      <c r="M32" t="s">
        <v>3271</v>
      </c>
      <c r="Q32" t="s">
        <v>2963</v>
      </c>
      <c r="AO32" t="s">
        <v>3210</v>
      </c>
    </row>
    <row r="33" spans="5:41" x14ac:dyDescent="0.25">
      <c r="E33" t="s">
        <v>2926</v>
      </c>
      <c r="M33" t="s">
        <v>3272</v>
      </c>
      <c r="Q33" t="s">
        <v>2964</v>
      </c>
      <c r="AO33" t="s">
        <v>3211</v>
      </c>
    </row>
    <row r="34" spans="5:41" x14ac:dyDescent="0.25">
      <c r="E34" t="s">
        <v>2927</v>
      </c>
      <c r="M34" t="s">
        <v>3273</v>
      </c>
      <c r="Q34" t="s">
        <v>2965</v>
      </c>
      <c r="AO34" t="s">
        <v>3212</v>
      </c>
    </row>
    <row r="35" spans="5:41" x14ac:dyDescent="0.25">
      <c r="E35" t="s">
        <v>3422</v>
      </c>
      <c r="M35" t="s">
        <v>3274</v>
      </c>
      <c r="Q35" t="s">
        <v>2966</v>
      </c>
      <c r="AO35" t="s">
        <v>3213</v>
      </c>
    </row>
    <row r="36" spans="5:41" x14ac:dyDescent="0.25">
      <c r="E36" t="s">
        <v>3423</v>
      </c>
      <c r="M36" t="s">
        <v>3275</v>
      </c>
      <c r="Q36" t="s">
        <v>2967</v>
      </c>
      <c r="AO36" t="s">
        <v>3214</v>
      </c>
    </row>
    <row r="37" spans="5:41" x14ac:dyDescent="0.25">
      <c r="E37" t="s">
        <v>3424</v>
      </c>
      <c r="M37" t="s">
        <v>3276</v>
      </c>
      <c r="Q37" t="s">
        <v>2968</v>
      </c>
      <c r="AO37" t="s">
        <v>3215</v>
      </c>
    </row>
    <row r="38" spans="5:41" x14ac:dyDescent="0.25">
      <c r="E38" t="s">
        <v>3425</v>
      </c>
      <c r="M38" t="s">
        <v>3277</v>
      </c>
      <c r="Q38" t="s">
        <v>2969</v>
      </c>
      <c r="AO38" t="s">
        <v>3216</v>
      </c>
    </row>
    <row r="39" spans="5:41" x14ac:dyDescent="0.25">
      <c r="E39" t="s">
        <v>3426</v>
      </c>
      <c r="M39" t="s">
        <v>3278</v>
      </c>
      <c r="Q39" t="s">
        <v>2970</v>
      </c>
      <c r="AO39" t="s">
        <v>3217</v>
      </c>
    </row>
    <row r="40" spans="5:41" x14ac:dyDescent="0.25">
      <c r="E40" t="s">
        <v>3427</v>
      </c>
      <c r="M40" t="s">
        <v>3279</v>
      </c>
      <c r="Q40" t="s">
        <v>2971</v>
      </c>
      <c r="AO40" t="s">
        <v>3218</v>
      </c>
    </row>
    <row r="41" spans="5:41" x14ac:dyDescent="0.25">
      <c r="E41" t="s">
        <v>3428</v>
      </c>
      <c r="M41" t="s">
        <v>3280</v>
      </c>
      <c r="Q41" t="s">
        <v>2972</v>
      </c>
      <c r="AO41" t="s">
        <v>3219</v>
      </c>
    </row>
    <row r="42" spans="5:41" x14ac:dyDescent="0.25">
      <c r="E42" t="s">
        <v>2928</v>
      </c>
      <c r="M42" t="s">
        <v>3281</v>
      </c>
      <c r="Q42" t="s">
        <v>2973</v>
      </c>
      <c r="AO42" t="s">
        <v>3052</v>
      </c>
    </row>
    <row r="43" spans="5:41" x14ac:dyDescent="0.25">
      <c r="E43" t="s">
        <v>3429</v>
      </c>
      <c r="M43" t="s">
        <v>3282</v>
      </c>
      <c r="Q43" t="s">
        <v>2974</v>
      </c>
      <c r="AO43" t="s">
        <v>3176</v>
      </c>
    </row>
    <row r="44" spans="5:41" x14ac:dyDescent="0.25">
      <c r="E44" t="s">
        <v>2929</v>
      </c>
      <c r="M44" t="s">
        <v>3283</v>
      </c>
      <c r="Q44" t="s">
        <v>2975</v>
      </c>
      <c r="AO44" t="s">
        <v>3220</v>
      </c>
    </row>
    <row r="45" spans="5:41" x14ac:dyDescent="0.25">
      <c r="E45" t="s">
        <v>2930</v>
      </c>
      <c r="M45" t="s">
        <v>3284</v>
      </c>
      <c r="Q45" t="s">
        <v>2976</v>
      </c>
      <c r="AO45" t="s">
        <v>3056</v>
      </c>
    </row>
    <row r="46" spans="5:41" x14ac:dyDescent="0.25">
      <c r="E46" t="s">
        <v>3430</v>
      </c>
      <c r="M46" t="s">
        <v>3285</v>
      </c>
      <c r="Q46" t="s">
        <v>2977</v>
      </c>
      <c r="AO46" t="s">
        <v>3221</v>
      </c>
    </row>
    <row r="47" spans="5:41" x14ac:dyDescent="0.25">
      <c r="E47" t="s">
        <v>3431</v>
      </c>
      <c r="M47" t="s">
        <v>3286</v>
      </c>
      <c r="Q47" t="s">
        <v>3481</v>
      </c>
      <c r="AO47" t="s">
        <v>3222</v>
      </c>
    </row>
    <row r="48" spans="5:41" x14ac:dyDescent="0.25">
      <c r="E48" t="s">
        <v>3432</v>
      </c>
      <c r="M48" t="s">
        <v>3287</v>
      </c>
      <c r="Q48" t="s">
        <v>2978</v>
      </c>
      <c r="AO48" t="s">
        <v>3223</v>
      </c>
    </row>
    <row r="49" spans="5:41" x14ac:dyDescent="0.25">
      <c r="E49" t="s">
        <v>3433</v>
      </c>
      <c r="M49" t="s">
        <v>3288</v>
      </c>
      <c r="Q49" t="s">
        <v>2979</v>
      </c>
      <c r="AO49" t="s">
        <v>3224</v>
      </c>
    </row>
    <row r="50" spans="5:41" x14ac:dyDescent="0.25">
      <c r="E50" t="s">
        <v>2931</v>
      </c>
      <c r="M50" t="s">
        <v>3289</v>
      </c>
      <c r="Q50" t="s">
        <v>2980</v>
      </c>
      <c r="AO50" t="s">
        <v>3225</v>
      </c>
    </row>
    <row r="51" spans="5:41" x14ac:dyDescent="0.25">
      <c r="E51" t="s">
        <v>3434</v>
      </c>
      <c r="M51" t="s">
        <v>3290</v>
      </c>
      <c r="Q51" t="s">
        <v>2981</v>
      </c>
      <c r="AO51" t="s">
        <v>3064</v>
      </c>
    </row>
    <row r="52" spans="5:41" x14ac:dyDescent="0.25">
      <c r="E52" t="s">
        <v>3435</v>
      </c>
      <c r="M52" t="s">
        <v>3291</v>
      </c>
      <c r="Q52" t="s">
        <v>2982</v>
      </c>
      <c r="AO52" t="s">
        <v>3067</v>
      </c>
    </row>
    <row r="53" spans="5:41" x14ac:dyDescent="0.25">
      <c r="E53" t="s">
        <v>3436</v>
      </c>
      <c r="M53" t="s">
        <v>3292</v>
      </c>
      <c r="Q53" t="s">
        <v>2983</v>
      </c>
      <c r="AO53" t="s">
        <v>3226</v>
      </c>
    </row>
    <row r="54" spans="5:41" x14ac:dyDescent="0.25">
      <c r="E54" t="s">
        <v>3437</v>
      </c>
      <c r="M54" t="s">
        <v>3293</v>
      </c>
      <c r="Q54" t="s">
        <v>2984</v>
      </c>
      <c r="AO54" t="s">
        <v>3227</v>
      </c>
    </row>
    <row r="55" spans="5:41" x14ac:dyDescent="0.25">
      <c r="E55" t="s">
        <v>3438</v>
      </c>
      <c r="M55" t="s">
        <v>3294</v>
      </c>
      <c r="Q55" t="s">
        <v>2985</v>
      </c>
      <c r="AO55" t="s">
        <v>3071</v>
      </c>
    </row>
    <row r="56" spans="5:41" x14ac:dyDescent="0.25">
      <c r="E56" t="s">
        <v>3439</v>
      </c>
      <c r="M56" t="s">
        <v>3295</v>
      </c>
      <c r="Q56" t="s">
        <v>2986</v>
      </c>
      <c r="AO56" t="s">
        <v>3228</v>
      </c>
    </row>
    <row r="57" spans="5:41" x14ac:dyDescent="0.25">
      <c r="E57" t="s">
        <v>3440</v>
      </c>
      <c r="M57" t="s">
        <v>3296</v>
      </c>
      <c r="Q57" t="s">
        <v>2987</v>
      </c>
      <c r="AO57" t="s">
        <v>3073</v>
      </c>
    </row>
    <row r="58" spans="5:41" x14ac:dyDescent="0.25">
      <c r="E58" t="s">
        <v>3441</v>
      </c>
      <c r="M58" t="s">
        <v>3297</v>
      </c>
      <c r="Q58" t="s">
        <v>2988</v>
      </c>
      <c r="AO58" t="s">
        <v>3229</v>
      </c>
    </row>
    <row r="59" spans="5:41" x14ac:dyDescent="0.25">
      <c r="E59" t="s">
        <v>3442</v>
      </c>
      <c r="M59" t="s">
        <v>3298</v>
      </c>
      <c r="Q59" t="s">
        <v>2989</v>
      </c>
      <c r="AO59" t="s">
        <v>3074</v>
      </c>
    </row>
    <row r="60" spans="5:41" x14ac:dyDescent="0.25">
      <c r="E60" t="s">
        <v>3443</v>
      </c>
      <c r="M60" t="s">
        <v>3299</v>
      </c>
      <c r="Q60" t="s">
        <v>2990</v>
      </c>
      <c r="AO60" t="s">
        <v>3077</v>
      </c>
    </row>
    <row r="61" spans="5:41" x14ac:dyDescent="0.25">
      <c r="E61" t="s">
        <v>3444</v>
      </c>
      <c r="M61" t="s">
        <v>3300</v>
      </c>
      <c r="Q61" t="s">
        <v>2991</v>
      </c>
      <c r="AO61" t="s">
        <v>2932</v>
      </c>
    </row>
    <row r="62" spans="5:41" x14ac:dyDescent="0.25">
      <c r="E62" t="s">
        <v>3445</v>
      </c>
      <c r="M62" t="s">
        <v>3301</v>
      </c>
      <c r="Q62" t="s">
        <v>2992</v>
      </c>
      <c r="AO62" t="s">
        <v>3230</v>
      </c>
    </row>
    <row r="63" spans="5:41" x14ac:dyDescent="0.25">
      <c r="E63" t="s">
        <v>3446</v>
      </c>
      <c r="M63" t="s">
        <v>3302</v>
      </c>
      <c r="Q63" t="s">
        <v>2993</v>
      </c>
      <c r="AO63" t="s">
        <v>3082</v>
      </c>
    </row>
    <row r="64" spans="5:41" x14ac:dyDescent="0.25">
      <c r="E64" t="s">
        <v>3447</v>
      </c>
      <c r="M64" t="s">
        <v>3303</v>
      </c>
      <c r="Q64" t="s">
        <v>2994</v>
      </c>
      <c r="AO64" t="s">
        <v>3086</v>
      </c>
    </row>
    <row r="65" spans="5:41" x14ac:dyDescent="0.25">
      <c r="E65" t="s">
        <v>3448</v>
      </c>
      <c r="M65" t="s">
        <v>3304</v>
      </c>
      <c r="Q65" t="s">
        <v>2995</v>
      </c>
      <c r="AO65" t="s">
        <v>3087</v>
      </c>
    </row>
    <row r="66" spans="5:41" x14ac:dyDescent="0.25">
      <c r="E66" t="s">
        <v>3449</v>
      </c>
      <c r="M66" t="s">
        <v>3305</v>
      </c>
      <c r="Q66" t="s">
        <v>2996</v>
      </c>
      <c r="AO66" t="s">
        <v>3088</v>
      </c>
    </row>
    <row r="67" spans="5:41" x14ac:dyDescent="0.25">
      <c r="E67" t="s">
        <v>3450</v>
      </c>
      <c r="M67" t="s">
        <v>3306</v>
      </c>
      <c r="Q67" t="s">
        <v>2997</v>
      </c>
      <c r="AO67" t="s">
        <v>3089</v>
      </c>
    </row>
    <row r="68" spans="5:41" x14ac:dyDescent="0.25">
      <c r="E68" t="s">
        <v>3451</v>
      </c>
      <c r="M68" t="s">
        <v>3307</v>
      </c>
      <c r="Q68" t="s">
        <v>2998</v>
      </c>
      <c r="AO68" t="s">
        <v>1456</v>
      </c>
    </row>
    <row r="69" spans="5:41" x14ac:dyDescent="0.25">
      <c r="E69" t="s">
        <v>3452</v>
      </c>
      <c r="M69" t="s">
        <v>3308</v>
      </c>
      <c r="Q69" t="s">
        <v>2999</v>
      </c>
      <c r="AO69" t="s">
        <v>3231</v>
      </c>
    </row>
    <row r="70" spans="5:41" x14ac:dyDescent="0.25">
      <c r="E70" t="s">
        <v>3453</v>
      </c>
      <c r="M70" t="s">
        <v>3309</v>
      </c>
      <c r="Q70" t="s">
        <v>3000</v>
      </c>
      <c r="AO70" t="s">
        <v>3232</v>
      </c>
    </row>
    <row r="71" spans="5:41" x14ac:dyDescent="0.25">
      <c r="E71" t="s">
        <v>3454</v>
      </c>
      <c r="M71" t="s">
        <v>3310</v>
      </c>
      <c r="Q71" t="s">
        <v>3001</v>
      </c>
      <c r="AO71" t="s">
        <v>3233</v>
      </c>
    </row>
    <row r="72" spans="5:41" x14ac:dyDescent="0.25">
      <c r="E72" t="s">
        <v>3455</v>
      </c>
      <c r="M72" t="s">
        <v>3311</v>
      </c>
      <c r="Q72" t="s">
        <v>3002</v>
      </c>
      <c r="AO72" t="s">
        <v>3234</v>
      </c>
    </row>
    <row r="73" spans="5:41" x14ac:dyDescent="0.25">
      <c r="E73" t="s">
        <v>3456</v>
      </c>
      <c r="M73" t="s">
        <v>3312</v>
      </c>
      <c r="Q73" t="s">
        <v>3003</v>
      </c>
      <c r="AO73" t="s">
        <v>3235</v>
      </c>
    </row>
    <row r="74" spans="5:41" x14ac:dyDescent="0.25">
      <c r="E74" t="s">
        <v>3457</v>
      </c>
      <c r="M74" t="s">
        <v>3313</v>
      </c>
      <c r="Q74" t="s">
        <v>3004</v>
      </c>
      <c r="AO74" t="s">
        <v>3236</v>
      </c>
    </row>
    <row r="75" spans="5:41" x14ac:dyDescent="0.25">
      <c r="E75" t="s">
        <v>3458</v>
      </c>
      <c r="M75" t="s">
        <v>3314</v>
      </c>
      <c r="Q75" t="s">
        <v>3469</v>
      </c>
      <c r="AO75" t="s">
        <v>1910</v>
      </c>
    </row>
    <row r="76" spans="5:41" x14ac:dyDescent="0.25">
      <c r="E76" t="s">
        <v>2932</v>
      </c>
      <c r="M76" t="s">
        <v>3315</v>
      </c>
      <c r="Q76" t="s">
        <v>3005</v>
      </c>
      <c r="AO76" t="s">
        <v>3119</v>
      </c>
    </row>
    <row r="77" spans="5:41" x14ac:dyDescent="0.25">
      <c r="E77" t="s">
        <v>3459</v>
      </c>
      <c r="M77" t="s">
        <v>3316</v>
      </c>
      <c r="Q77" t="s">
        <v>3006</v>
      </c>
      <c r="AO77" t="s">
        <v>3237</v>
      </c>
    </row>
    <row r="78" spans="5:41" x14ac:dyDescent="0.25">
      <c r="E78" t="s">
        <v>3460</v>
      </c>
      <c r="M78" t="s">
        <v>3317</v>
      </c>
      <c r="Q78" t="s">
        <v>3484</v>
      </c>
      <c r="AO78" t="s">
        <v>3125</v>
      </c>
    </row>
    <row r="79" spans="5:41" x14ac:dyDescent="0.25">
      <c r="E79" t="s">
        <v>3461</v>
      </c>
      <c r="M79" t="s">
        <v>3318</v>
      </c>
      <c r="Q79" t="s">
        <v>3007</v>
      </c>
      <c r="AO79" t="s">
        <v>3238</v>
      </c>
    </row>
    <row r="80" spans="5:41" x14ac:dyDescent="0.25">
      <c r="E80" t="s">
        <v>3462</v>
      </c>
      <c r="M80" t="s">
        <v>3319</v>
      </c>
      <c r="Q80" t="s">
        <v>3008</v>
      </c>
      <c r="AO80" t="s">
        <v>3142</v>
      </c>
    </row>
    <row r="81" spans="5:41" x14ac:dyDescent="0.25">
      <c r="E81" t="s">
        <v>3463</v>
      </c>
      <c r="M81" t="s">
        <v>3320</v>
      </c>
      <c r="Q81" t="s">
        <v>3009</v>
      </c>
      <c r="AO81" t="s">
        <v>3143</v>
      </c>
    </row>
    <row r="82" spans="5:41" x14ac:dyDescent="0.25">
      <c r="E82" t="s">
        <v>3464</v>
      </c>
      <c r="M82" t="s">
        <v>3321</v>
      </c>
      <c r="Q82" t="s">
        <v>3010</v>
      </c>
      <c r="AO82" t="s">
        <v>3147</v>
      </c>
    </row>
    <row r="83" spans="5:41" x14ac:dyDescent="0.25">
      <c r="E83" t="s">
        <v>3465</v>
      </c>
      <c r="M83" t="s">
        <v>3322</v>
      </c>
      <c r="Q83" t="s">
        <v>3011</v>
      </c>
      <c r="AO83" t="s">
        <v>3239</v>
      </c>
    </row>
    <row r="84" spans="5:41" x14ac:dyDescent="0.25">
      <c r="E84" t="s">
        <v>3466</v>
      </c>
      <c r="M84" t="s">
        <v>3323</v>
      </c>
      <c r="Q84" t="s">
        <v>3012</v>
      </c>
      <c r="AO84" t="s">
        <v>3151</v>
      </c>
    </row>
    <row r="85" spans="5:41" x14ac:dyDescent="0.25">
      <c r="E85" t="s">
        <v>3467</v>
      </c>
      <c r="M85" t="s">
        <v>3324</v>
      </c>
      <c r="Q85" t="s">
        <v>3013</v>
      </c>
      <c r="AO85" t="s">
        <v>3240</v>
      </c>
    </row>
    <row r="86" spans="5:41" x14ac:dyDescent="0.25">
      <c r="E86" t="s">
        <v>3187</v>
      </c>
      <c r="M86" t="s">
        <v>3325</v>
      </c>
      <c r="Q86" t="s">
        <v>3014</v>
      </c>
      <c r="AO86" t="s">
        <v>3164</v>
      </c>
    </row>
    <row r="87" spans="5:41" x14ac:dyDescent="0.25">
      <c r="E87" t="s">
        <v>2933</v>
      </c>
      <c r="M87" t="s">
        <v>3326</v>
      </c>
      <c r="Q87" t="s">
        <v>3015</v>
      </c>
      <c r="AO87" t="s">
        <v>3241</v>
      </c>
    </row>
    <row r="88" spans="5:41" x14ac:dyDescent="0.25">
      <c r="E88" t="s">
        <v>3468</v>
      </c>
      <c r="M88" t="s">
        <v>3327</v>
      </c>
      <c r="Q88" t="s">
        <v>3016</v>
      </c>
      <c r="AO88" t="s">
        <v>3242</v>
      </c>
    </row>
    <row r="89" spans="5:41" x14ac:dyDescent="0.25">
      <c r="M89" t="s">
        <v>3328</v>
      </c>
      <c r="Q89" t="s">
        <v>3017</v>
      </c>
      <c r="AO89" t="s">
        <v>3170</v>
      </c>
    </row>
    <row r="90" spans="5:41" x14ac:dyDescent="0.25">
      <c r="M90" t="s">
        <v>253</v>
      </c>
      <c r="Q90" t="s">
        <v>3018</v>
      </c>
      <c r="AO90" t="s">
        <v>3171</v>
      </c>
    </row>
    <row r="91" spans="5:41" x14ac:dyDescent="0.25">
      <c r="M91" t="s">
        <v>3482</v>
      </c>
      <c r="Q91" t="s">
        <v>3019</v>
      </c>
    </row>
    <row r="92" spans="5:41" x14ac:dyDescent="0.25">
      <c r="M92" t="s">
        <v>3329</v>
      </c>
      <c r="Q92" t="s">
        <v>3020</v>
      </c>
    </row>
    <row r="93" spans="5:41" x14ac:dyDescent="0.25">
      <c r="M93" t="s">
        <v>3330</v>
      </c>
      <c r="Q93" t="s">
        <v>3021</v>
      </c>
    </row>
    <row r="94" spans="5:41" x14ac:dyDescent="0.25">
      <c r="M94" t="s">
        <v>3476</v>
      </c>
      <c r="Q94" t="s">
        <v>3022</v>
      </c>
    </row>
    <row r="95" spans="5:41" x14ac:dyDescent="0.25">
      <c r="M95" t="s">
        <v>3331</v>
      </c>
      <c r="Q95" t="s">
        <v>3023</v>
      </c>
    </row>
    <row r="96" spans="5:41" x14ac:dyDescent="0.25">
      <c r="M96" t="s">
        <v>3332</v>
      </c>
      <c r="Q96" t="s">
        <v>3024</v>
      </c>
    </row>
    <row r="97" spans="13:17" x14ac:dyDescent="0.25">
      <c r="M97" t="s">
        <v>3333</v>
      </c>
      <c r="Q97" t="s">
        <v>3025</v>
      </c>
    </row>
    <row r="98" spans="13:17" x14ac:dyDescent="0.25">
      <c r="M98" t="s">
        <v>3334</v>
      </c>
      <c r="Q98" t="s">
        <v>3026</v>
      </c>
    </row>
    <row r="99" spans="13:17" x14ac:dyDescent="0.25">
      <c r="M99" t="s">
        <v>3335</v>
      </c>
      <c r="Q99" t="s">
        <v>3027</v>
      </c>
    </row>
    <row r="100" spans="13:17" x14ac:dyDescent="0.25">
      <c r="M100" t="s">
        <v>3336</v>
      </c>
      <c r="Q100" t="s">
        <v>3470</v>
      </c>
    </row>
    <row r="101" spans="13:17" x14ac:dyDescent="0.25">
      <c r="M101" t="s">
        <v>3337</v>
      </c>
      <c r="Q101" t="s">
        <v>3028</v>
      </c>
    </row>
    <row r="102" spans="13:17" x14ac:dyDescent="0.25">
      <c r="M102" t="s">
        <v>3338</v>
      </c>
      <c r="Q102" t="s">
        <v>3029</v>
      </c>
    </row>
    <row r="103" spans="13:17" x14ac:dyDescent="0.25">
      <c r="M103" t="s">
        <v>3339</v>
      </c>
      <c r="Q103" t="s">
        <v>3030</v>
      </c>
    </row>
    <row r="104" spans="13:17" x14ac:dyDescent="0.25">
      <c r="M104" t="s">
        <v>3340</v>
      </c>
      <c r="Q104" t="s">
        <v>3031</v>
      </c>
    </row>
    <row r="105" spans="13:17" x14ac:dyDescent="0.25">
      <c r="M105" t="s">
        <v>3341</v>
      </c>
      <c r="Q105" t="s">
        <v>3032</v>
      </c>
    </row>
    <row r="106" spans="13:17" x14ac:dyDescent="0.25">
      <c r="M106" t="s">
        <v>3342</v>
      </c>
      <c r="Q106" t="s">
        <v>3033</v>
      </c>
    </row>
    <row r="107" spans="13:17" x14ac:dyDescent="0.25">
      <c r="M107" t="s">
        <v>3343</v>
      </c>
      <c r="Q107" t="s">
        <v>3034</v>
      </c>
    </row>
    <row r="108" spans="13:17" x14ac:dyDescent="0.25">
      <c r="M108" t="s">
        <v>3234</v>
      </c>
      <c r="Q108" t="s">
        <v>3035</v>
      </c>
    </row>
    <row r="109" spans="13:17" x14ac:dyDescent="0.25">
      <c r="M109" t="s">
        <v>3344</v>
      </c>
      <c r="Q109" t="s">
        <v>3036</v>
      </c>
    </row>
    <row r="110" spans="13:17" x14ac:dyDescent="0.25">
      <c r="M110" t="s">
        <v>3345</v>
      </c>
      <c r="Q110" t="s">
        <v>3037</v>
      </c>
    </row>
    <row r="111" spans="13:17" x14ac:dyDescent="0.25">
      <c r="M111" t="s">
        <v>3346</v>
      </c>
      <c r="Q111" t="s">
        <v>3038</v>
      </c>
    </row>
    <row r="112" spans="13:17" x14ac:dyDescent="0.25">
      <c r="M112" t="s">
        <v>3347</v>
      </c>
      <c r="Q112" t="s">
        <v>3039</v>
      </c>
    </row>
    <row r="113" spans="13:17" x14ac:dyDescent="0.25">
      <c r="M113" t="s">
        <v>3348</v>
      </c>
      <c r="Q113" t="s">
        <v>3040</v>
      </c>
    </row>
    <row r="114" spans="13:17" x14ac:dyDescent="0.25">
      <c r="M114" t="s">
        <v>3349</v>
      </c>
      <c r="Q114" t="s">
        <v>3041</v>
      </c>
    </row>
    <row r="115" spans="13:17" x14ac:dyDescent="0.25">
      <c r="M115" t="s">
        <v>3350</v>
      </c>
      <c r="Q115" t="s">
        <v>3042</v>
      </c>
    </row>
    <row r="116" spans="13:17" x14ac:dyDescent="0.25">
      <c r="M116" t="s">
        <v>3351</v>
      </c>
      <c r="Q116" t="s">
        <v>3043</v>
      </c>
    </row>
    <row r="117" spans="13:17" x14ac:dyDescent="0.25">
      <c r="M117" t="s">
        <v>3352</v>
      </c>
      <c r="Q117" t="s">
        <v>3044</v>
      </c>
    </row>
    <row r="118" spans="13:17" x14ac:dyDescent="0.25">
      <c r="M118" t="s">
        <v>3353</v>
      </c>
      <c r="Q118" t="s">
        <v>3045</v>
      </c>
    </row>
    <row r="119" spans="13:17" x14ac:dyDescent="0.25">
      <c r="M119" t="s">
        <v>3354</v>
      </c>
      <c r="Q119" t="s">
        <v>3046</v>
      </c>
    </row>
    <row r="120" spans="13:17" x14ac:dyDescent="0.25">
      <c r="M120" t="s">
        <v>3142</v>
      </c>
      <c r="Q120" t="s">
        <v>3047</v>
      </c>
    </row>
    <row r="121" spans="13:17" x14ac:dyDescent="0.25">
      <c r="M121" t="s">
        <v>3355</v>
      </c>
      <c r="Q121" t="s">
        <v>3048</v>
      </c>
    </row>
    <row r="122" spans="13:17" x14ac:dyDescent="0.25">
      <c r="M122" t="s">
        <v>3356</v>
      </c>
      <c r="Q122" t="s">
        <v>3049</v>
      </c>
    </row>
    <row r="123" spans="13:17" x14ac:dyDescent="0.25">
      <c r="M123" t="s">
        <v>3357</v>
      </c>
      <c r="Q123" t="s">
        <v>3050</v>
      </c>
    </row>
    <row r="124" spans="13:17" x14ac:dyDescent="0.25">
      <c r="M124" t="s">
        <v>3358</v>
      </c>
      <c r="Q124" t="s">
        <v>3051</v>
      </c>
    </row>
    <row r="125" spans="13:17" x14ac:dyDescent="0.25">
      <c r="M125" t="s">
        <v>3359</v>
      </c>
      <c r="Q125" t="s">
        <v>3052</v>
      </c>
    </row>
    <row r="126" spans="13:17" x14ac:dyDescent="0.25">
      <c r="M126" t="s">
        <v>3360</v>
      </c>
      <c r="Q126" t="s">
        <v>3053</v>
      </c>
    </row>
    <row r="127" spans="13:17" x14ac:dyDescent="0.25">
      <c r="M127" t="s">
        <v>3361</v>
      </c>
      <c r="Q127" t="s">
        <v>3054</v>
      </c>
    </row>
    <row r="128" spans="13:17" x14ac:dyDescent="0.25">
      <c r="M128" t="s">
        <v>3362</v>
      </c>
      <c r="Q128" t="s">
        <v>3055</v>
      </c>
    </row>
    <row r="129" spans="13:17" x14ac:dyDescent="0.25">
      <c r="M129" t="s">
        <v>3363</v>
      </c>
      <c r="Q129" t="s">
        <v>3056</v>
      </c>
    </row>
    <row r="130" spans="13:17" x14ac:dyDescent="0.25">
      <c r="M130" t="s">
        <v>3364</v>
      </c>
      <c r="Q130" t="s">
        <v>3057</v>
      </c>
    </row>
    <row r="131" spans="13:17" x14ac:dyDescent="0.25">
      <c r="M131" t="s">
        <v>3365</v>
      </c>
      <c r="Q131" t="s">
        <v>3058</v>
      </c>
    </row>
    <row r="132" spans="13:17" x14ac:dyDescent="0.25">
      <c r="M132" t="s">
        <v>3366</v>
      </c>
      <c r="Q132" t="s">
        <v>3059</v>
      </c>
    </row>
    <row r="133" spans="13:17" x14ac:dyDescent="0.25">
      <c r="M133" t="s">
        <v>3367</v>
      </c>
      <c r="Q133" t="s">
        <v>3060</v>
      </c>
    </row>
    <row r="134" spans="13:17" x14ac:dyDescent="0.25">
      <c r="M134" t="s">
        <v>3368</v>
      </c>
      <c r="Q134" t="s">
        <v>3061</v>
      </c>
    </row>
    <row r="135" spans="13:17" x14ac:dyDescent="0.25">
      <c r="M135" t="s">
        <v>3369</v>
      </c>
      <c r="Q135" t="s">
        <v>3062</v>
      </c>
    </row>
    <row r="136" spans="13:17" x14ac:dyDescent="0.25">
      <c r="M136" t="s">
        <v>3370</v>
      </c>
      <c r="Q136" t="s">
        <v>3063</v>
      </c>
    </row>
    <row r="137" spans="13:17" x14ac:dyDescent="0.25">
      <c r="M137" t="s">
        <v>3371</v>
      </c>
      <c r="Q137" t="s">
        <v>3064</v>
      </c>
    </row>
    <row r="138" spans="13:17" x14ac:dyDescent="0.25">
      <c r="M138" t="s">
        <v>3372</v>
      </c>
      <c r="Q138" t="s">
        <v>3065</v>
      </c>
    </row>
    <row r="139" spans="13:17" x14ac:dyDescent="0.25">
      <c r="M139" t="s">
        <v>3373</v>
      </c>
      <c r="Q139" t="s">
        <v>3066</v>
      </c>
    </row>
    <row r="140" spans="13:17" x14ac:dyDescent="0.25">
      <c r="M140" t="s">
        <v>3374</v>
      </c>
      <c r="Q140" t="s">
        <v>3067</v>
      </c>
    </row>
    <row r="141" spans="13:17" x14ac:dyDescent="0.25">
      <c r="M141" t="s">
        <v>3375</v>
      </c>
      <c r="Q141" t="s">
        <v>3068</v>
      </c>
    </row>
    <row r="142" spans="13:17" x14ac:dyDescent="0.25">
      <c r="M142" t="s">
        <v>3376</v>
      </c>
      <c r="Q142" t="s">
        <v>3069</v>
      </c>
    </row>
    <row r="143" spans="13:17" x14ac:dyDescent="0.25">
      <c r="M143" t="s">
        <v>3377</v>
      </c>
      <c r="Q143" t="s">
        <v>3070</v>
      </c>
    </row>
    <row r="144" spans="13:17" x14ac:dyDescent="0.25">
      <c r="M144" t="s">
        <v>3378</v>
      </c>
      <c r="Q144" t="s">
        <v>3071</v>
      </c>
    </row>
    <row r="145" spans="13:17" x14ac:dyDescent="0.25">
      <c r="M145" t="s">
        <v>3379</v>
      </c>
      <c r="Q145" t="s">
        <v>3072</v>
      </c>
    </row>
    <row r="146" spans="13:17" x14ac:dyDescent="0.25">
      <c r="M146" t="s">
        <v>3380</v>
      </c>
      <c r="Q146" t="s">
        <v>3073</v>
      </c>
    </row>
    <row r="147" spans="13:17" x14ac:dyDescent="0.25">
      <c r="M147" t="s">
        <v>3381</v>
      </c>
      <c r="Q147" t="s">
        <v>3074</v>
      </c>
    </row>
    <row r="148" spans="13:17" x14ac:dyDescent="0.25">
      <c r="M148" t="s">
        <v>3382</v>
      </c>
      <c r="Q148" t="s">
        <v>3075</v>
      </c>
    </row>
    <row r="149" spans="13:17" x14ac:dyDescent="0.25">
      <c r="M149" t="s">
        <v>3383</v>
      </c>
      <c r="Q149" t="s">
        <v>3076</v>
      </c>
    </row>
    <row r="150" spans="13:17" x14ac:dyDescent="0.25">
      <c r="M150" t="s">
        <v>3384</v>
      </c>
      <c r="Q150" t="s">
        <v>3077</v>
      </c>
    </row>
    <row r="151" spans="13:17" x14ac:dyDescent="0.25">
      <c r="M151" t="s">
        <v>3385</v>
      </c>
      <c r="Q151" t="s">
        <v>2932</v>
      </c>
    </row>
    <row r="152" spans="13:17" x14ac:dyDescent="0.25">
      <c r="M152" t="s">
        <v>3386</v>
      </c>
      <c r="Q152" t="s">
        <v>3078</v>
      </c>
    </row>
    <row r="153" spans="13:17" x14ac:dyDescent="0.25">
      <c r="M153" t="s">
        <v>3387</v>
      </c>
      <c r="Q153" t="s">
        <v>3079</v>
      </c>
    </row>
    <row r="154" spans="13:17" x14ac:dyDescent="0.25">
      <c r="M154" t="s">
        <v>3388</v>
      </c>
      <c r="Q154" t="s">
        <v>3080</v>
      </c>
    </row>
    <row r="155" spans="13:17" x14ac:dyDescent="0.25">
      <c r="Q155" t="s">
        <v>3081</v>
      </c>
    </row>
    <row r="156" spans="13:17" x14ac:dyDescent="0.25">
      <c r="Q156" t="s">
        <v>3082</v>
      </c>
    </row>
    <row r="157" spans="13:17" x14ac:dyDescent="0.25">
      <c r="Q157" t="s">
        <v>3083</v>
      </c>
    </row>
    <row r="158" spans="13:17" x14ac:dyDescent="0.25">
      <c r="Q158" t="s">
        <v>3084</v>
      </c>
    </row>
    <row r="159" spans="13:17" x14ac:dyDescent="0.25">
      <c r="Q159" t="s">
        <v>3085</v>
      </c>
    </row>
    <row r="160" spans="13:17" x14ac:dyDescent="0.25">
      <c r="Q160" t="s">
        <v>3086</v>
      </c>
    </row>
    <row r="161" spans="17:17" x14ac:dyDescent="0.25">
      <c r="Q161" t="s">
        <v>3087</v>
      </c>
    </row>
    <row r="162" spans="17:17" x14ac:dyDescent="0.25">
      <c r="Q162" t="s">
        <v>3088</v>
      </c>
    </row>
    <row r="163" spans="17:17" x14ac:dyDescent="0.25">
      <c r="Q163" t="s">
        <v>3089</v>
      </c>
    </row>
    <row r="164" spans="17:17" x14ac:dyDescent="0.25">
      <c r="Q164" t="s">
        <v>3090</v>
      </c>
    </row>
    <row r="165" spans="17:17" x14ac:dyDescent="0.25">
      <c r="Q165" t="s">
        <v>3091</v>
      </c>
    </row>
    <row r="166" spans="17:17" x14ac:dyDescent="0.25">
      <c r="Q166" t="s">
        <v>3092</v>
      </c>
    </row>
    <row r="167" spans="17:17" x14ac:dyDescent="0.25">
      <c r="Q167" t="s">
        <v>3093</v>
      </c>
    </row>
    <row r="168" spans="17:17" x14ac:dyDescent="0.25">
      <c r="Q168" t="s">
        <v>3094</v>
      </c>
    </row>
    <row r="169" spans="17:17" x14ac:dyDescent="0.25">
      <c r="Q169" t="s">
        <v>3095</v>
      </c>
    </row>
    <row r="170" spans="17:17" x14ac:dyDescent="0.25">
      <c r="Q170" t="s">
        <v>3096</v>
      </c>
    </row>
    <row r="171" spans="17:17" x14ac:dyDescent="0.25">
      <c r="Q171" t="s">
        <v>3097</v>
      </c>
    </row>
    <row r="172" spans="17:17" x14ac:dyDescent="0.25">
      <c r="Q172" t="s">
        <v>3098</v>
      </c>
    </row>
    <row r="173" spans="17:17" x14ac:dyDescent="0.25">
      <c r="Q173" t="s">
        <v>3099</v>
      </c>
    </row>
    <row r="174" spans="17:17" x14ac:dyDescent="0.25">
      <c r="Q174" t="s">
        <v>3100</v>
      </c>
    </row>
    <row r="175" spans="17:17" x14ac:dyDescent="0.25">
      <c r="Q175" t="s">
        <v>3101</v>
      </c>
    </row>
    <row r="176" spans="17:17" x14ac:dyDescent="0.25">
      <c r="Q176" t="s">
        <v>3102</v>
      </c>
    </row>
    <row r="177" spans="17:17" x14ac:dyDescent="0.25">
      <c r="Q177" t="s">
        <v>3103</v>
      </c>
    </row>
    <row r="178" spans="17:17" x14ac:dyDescent="0.25">
      <c r="Q178" t="s">
        <v>3104</v>
      </c>
    </row>
    <row r="179" spans="17:17" x14ac:dyDescent="0.25">
      <c r="Q179" t="s">
        <v>3105</v>
      </c>
    </row>
    <row r="180" spans="17:17" x14ac:dyDescent="0.25">
      <c r="Q180" t="s">
        <v>3106</v>
      </c>
    </row>
    <row r="181" spans="17:17" x14ac:dyDescent="0.25">
      <c r="Q181" t="s">
        <v>3107</v>
      </c>
    </row>
    <row r="182" spans="17:17" x14ac:dyDescent="0.25">
      <c r="Q182" t="s">
        <v>3108</v>
      </c>
    </row>
    <row r="183" spans="17:17" x14ac:dyDescent="0.25">
      <c r="Q183" t="s">
        <v>3109</v>
      </c>
    </row>
    <row r="184" spans="17:17" x14ac:dyDescent="0.25">
      <c r="Q184" t="s">
        <v>3110</v>
      </c>
    </row>
    <row r="185" spans="17:17" x14ac:dyDescent="0.25">
      <c r="Q185" t="s">
        <v>3111</v>
      </c>
    </row>
    <row r="186" spans="17:17" x14ac:dyDescent="0.25">
      <c r="Q186" t="s">
        <v>3112</v>
      </c>
    </row>
    <row r="187" spans="17:17" x14ac:dyDescent="0.25">
      <c r="Q187" t="s">
        <v>3113</v>
      </c>
    </row>
    <row r="188" spans="17:17" x14ac:dyDescent="0.25">
      <c r="Q188" t="s">
        <v>3114</v>
      </c>
    </row>
    <row r="189" spans="17:17" x14ac:dyDescent="0.25">
      <c r="Q189" t="s">
        <v>3115</v>
      </c>
    </row>
    <row r="190" spans="17:17" x14ac:dyDescent="0.25">
      <c r="Q190" t="s">
        <v>3116</v>
      </c>
    </row>
    <row r="191" spans="17:17" x14ac:dyDescent="0.25">
      <c r="Q191" t="s">
        <v>3117</v>
      </c>
    </row>
    <row r="192" spans="17:17" x14ac:dyDescent="0.25">
      <c r="Q192" t="s">
        <v>3118</v>
      </c>
    </row>
    <row r="193" spans="17:17" x14ac:dyDescent="0.25">
      <c r="Q193" t="s">
        <v>3119</v>
      </c>
    </row>
    <row r="194" spans="17:17" x14ac:dyDescent="0.25">
      <c r="Q194" t="s">
        <v>3120</v>
      </c>
    </row>
    <row r="195" spans="17:17" x14ac:dyDescent="0.25">
      <c r="Q195" t="s">
        <v>3121</v>
      </c>
    </row>
    <row r="196" spans="17:17" x14ac:dyDescent="0.25">
      <c r="Q196" t="s">
        <v>3122</v>
      </c>
    </row>
    <row r="197" spans="17:17" x14ac:dyDescent="0.25">
      <c r="Q197" t="s">
        <v>3123</v>
      </c>
    </row>
    <row r="198" spans="17:17" x14ac:dyDescent="0.25">
      <c r="Q198" t="s">
        <v>3124</v>
      </c>
    </row>
    <row r="199" spans="17:17" x14ac:dyDescent="0.25">
      <c r="Q199" t="s">
        <v>3125</v>
      </c>
    </row>
    <row r="200" spans="17:17" x14ac:dyDescent="0.25">
      <c r="Q200" t="s">
        <v>3126</v>
      </c>
    </row>
    <row r="201" spans="17:17" x14ac:dyDescent="0.25">
      <c r="Q201" t="s">
        <v>3127</v>
      </c>
    </row>
    <row r="202" spans="17:17" x14ac:dyDescent="0.25">
      <c r="Q202" t="s">
        <v>3128</v>
      </c>
    </row>
    <row r="203" spans="17:17" x14ac:dyDescent="0.25">
      <c r="Q203" t="s">
        <v>3129</v>
      </c>
    </row>
    <row r="204" spans="17:17" x14ac:dyDescent="0.25">
      <c r="Q204" t="s">
        <v>3130</v>
      </c>
    </row>
    <row r="205" spans="17:17" x14ac:dyDescent="0.25">
      <c r="Q205" t="s">
        <v>3131</v>
      </c>
    </row>
    <row r="206" spans="17:17" x14ac:dyDescent="0.25">
      <c r="Q206" t="s">
        <v>3132</v>
      </c>
    </row>
    <row r="207" spans="17:17" x14ac:dyDescent="0.25">
      <c r="Q207" t="s">
        <v>3133</v>
      </c>
    </row>
    <row r="208" spans="17:17" x14ac:dyDescent="0.25">
      <c r="Q208" t="s">
        <v>3471</v>
      </c>
    </row>
    <row r="209" spans="17:17" x14ac:dyDescent="0.25">
      <c r="Q209" t="s">
        <v>3134</v>
      </c>
    </row>
    <row r="210" spans="17:17" x14ac:dyDescent="0.25">
      <c r="Q210" t="s">
        <v>3135</v>
      </c>
    </row>
    <row r="211" spans="17:17" x14ac:dyDescent="0.25">
      <c r="Q211" t="s">
        <v>3136</v>
      </c>
    </row>
    <row r="212" spans="17:17" x14ac:dyDescent="0.25">
      <c r="Q212" t="s">
        <v>3137</v>
      </c>
    </row>
    <row r="213" spans="17:17" x14ac:dyDescent="0.25">
      <c r="Q213" t="s">
        <v>3472</v>
      </c>
    </row>
    <row r="214" spans="17:17" x14ac:dyDescent="0.25">
      <c r="Q214" t="s">
        <v>3138</v>
      </c>
    </row>
    <row r="215" spans="17:17" x14ac:dyDescent="0.25">
      <c r="Q215" t="s">
        <v>3139</v>
      </c>
    </row>
    <row r="216" spans="17:17" x14ac:dyDescent="0.25">
      <c r="Q216" t="s">
        <v>3140</v>
      </c>
    </row>
    <row r="217" spans="17:17" x14ac:dyDescent="0.25">
      <c r="Q217" t="s">
        <v>3141</v>
      </c>
    </row>
    <row r="218" spans="17:17" x14ac:dyDescent="0.25">
      <c r="Q218" t="s">
        <v>3142</v>
      </c>
    </row>
    <row r="219" spans="17:17" x14ac:dyDescent="0.25">
      <c r="Q219" t="s">
        <v>3143</v>
      </c>
    </row>
    <row r="220" spans="17:17" x14ac:dyDescent="0.25">
      <c r="Q220" t="s">
        <v>3144</v>
      </c>
    </row>
    <row r="221" spans="17:17" x14ac:dyDescent="0.25">
      <c r="Q221" t="s">
        <v>3145</v>
      </c>
    </row>
    <row r="222" spans="17:17" x14ac:dyDescent="0.25">
      <c r="Q222" t="s">
        <v>3146</v>
      </c>
    </row>
    <row r="223" spans="17:17" x14ac:dyDescent="0.25">
      <c r="Q223" t="s">
        <v>3147</v>
      </c>
    </row>
    <row r="224" spans="17:17" x14ac:dyDescent="0.25">
      <c r="Q224" t="s">
        <v>3148</v>
      </c>
    </row>
    <row r="225" spans="17:17" x14ac:dyDescent="0.25">
      <c r="Q225" t="s">
        <v>3149</v>
      </c>
    </row>
    <row r="226" spans="17:17" x14ac:dyDescent="0.25">
      <c r="Q226" t="s">
        <v>3150</v>
      </c>
    </row>
    <row r="227" spans="17:17" x14ac:dyDescent="0.25">
      <c r="Q227" t="s">
        <v>3151</v>
      </c>
    </row>
    <row r="228" spans="17:17" x14ac:dyDescent="0.25">
      <c r="Q228" t="s">
        <v>3152</v>
      </c>
    </row>
    <row r="229" spans="17:17" x14ac:dyDescent="0.25">
      <c r="Q229" t="s">
        <v>3153</v>
      </c>
    </row>
    <row r="230" spans="17:17" x14ac:dyDescent="0.25">
      <c r="Q230" t="s">
        <v>3473</v>
      </c>
    </row>
    <row r="231" spans="17:17" x14ac:dyDescent="0.25">
      <c r="Q231" t="s">
        <v>3154</v>
      </c>
    </row>
    <row r="232" spans="17:17" x14ac:dyDescent="0.25">
      <c r="Q232" t="s">
        <v>3155</v>
      </c>
    </row>
    <row r="233" spans="17:17" x14ac:dyDescent="0.25">
      <c r="Q233" t="s">
        <v>3156</v>
      </c>
    </row>
    <row r="234" spans="17:17" x14ac:dyDescent="0.25">
      <c r="Q234" t="s">
        <v>3157</v>
      </c>
    </row>
    <row r="235" spans="17:17" x14ac:dyDescent="0.25">
      <c r="Q235" t="s">
        <v>3158</v>
      </c>
    </row>
    <row r="236" spans="17:17" x14ac:dyDescent="0.25">
      <c r="Q236" t="s">
        <v>3159</v>
      </c>
    </row>
    <row r="237" spans="17:17" x14ac:dyDescent="0.25">
      <c r="Q237" t="s">
        <v>3160</v>
      </c>
    </row>
    <row r="238" spans="17:17" x14ac:dyDescent="0.25">
      <c r="Q238" t="s">
        <v>3474</v>
      </c>
    </row>
    <row r="239" spans="17:17" x14ac:dyDescent="0.25">
      <c r="Q239" t="s">
        <v>3161</v>
      </c>
    </row>
    <row r="240" spans="17:17" x14ac:dyDescent="0.25">
      <c r="Q240" t="s">
        <v>3162</v>
      </c>
    </row>
    <row r="241" spans="17:17" x14ac:dyDescent="0.25">
      <c r="Q241" t="s">
        <v>3163</v>
      </c>
    </row>
    <row r="242" spans="17:17" x14ac:dyDescent="0.25">
      <c r="Q242" t="s">
        <v>3164</v>
      </c>
    </row>
    <row r="243" spans="17:17" x14ac:dyDescent="0.25">
      <c r="Q243" t="s">
        <v>3165</v>
      </c>
    </row>
    <row r="244" spans="17:17" x14ac:dyDescent="0.25">
      <c r="Q244" t="s">
        <v>3166</v>
      </c>
    </row>
    <row r="245" spans="17:17" x14ac:dyDescent="0.25">
      <c r="Q245" t="s">
        <v>3167</v>
      </c>
    </row>
    <row r="246" spans="17:17" x14ac:dyDescent="0.25">
      <c r="Q246" t="s">
        <v>3168</v>
      </c>
    </row>
    <row r="247" spans="17:17" x14ac:dyDescent="0.25">
      <c r="Q247" t="s">
        <v>3169</v>
      </c>
    </row>
    <row r="248" spans="17:17" x14ac:dyDescent="0.25">
      <c r="Q248" t="s">
        <v>3170</v>
      </c>
    </row>
    <row r="249" spans="17:17" x14ac:dyDescent="0.25">
      <c r="Q249" t="s">
        <v>3171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67</vt:i4>
      </vt:variant>
    </vt:vector>
  </HeadingPairs>
  <TitlesOfParts>
    <vt:vector size="77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2018-05-29T00:27:20Z</dcterms:modified>
</cp:coreProperties>
</file>