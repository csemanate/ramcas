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90" windowWidth="15480" windowHeight="10485"/>
  </bookViews>
  <sheets>
    <sheet name="ESTACIONALIDAD" sheetId="1" r:id="rId1"/>
  </sheets>
  <calcPr calcId="125725"/>
</workbook>
</file>

<file path=xl/calcChain.xml><?xml version="1.0" encoding="utf-8"?>
<calcChain xmlns="http://schemas.openxmlformats.org/spreadsheetml/2006/main">
  <c r="J3" i="1"/>
  <c r="K3"/>
  <c r="L3"/>
  <c r="J2"/>
  <c r="L2" s="1"/>
  <c r="K2" l="1"/>
</calcChain>
</file>

<file path=xl/sharedStrings.xml><?xml version="1.0" encoding="utf-8"?>
<sst xmlns="http://schemas.openxmlformats.org/spreadsheetml/2006/main" count="15" uniqueCount="15">
  <si>
    <t>TIPO</t>
  </si>
  <si>
    <t>INICIO</t>
  </si>
  <si>
    <t>PICO</t>
  </si>
  <si>
    <t>DECLIVE</t>
  </si>
  <si>
    <t>NORMAL</t>
  </si>
  <si>
    <t>% CAMBIO</t>
  </si>
  <si>
    <t>CALENDARIO</t>
  </si>
  <si>
    <t>NUM SUBIDAS</t>
  </si>
  <si>
    <t>NUM BAJADAS</t>
  </si>
  <si>
    <t>Ult Semana</t>
  </si>
  <si>
    <t>Max Num Bajadas</t>
  </si>
  <si>
    <t>Max Num Subidas</t>
  </si>
  <si>
    <t>PROMOCION DURO SELECCIÓN</t>
  </si>
  <si>
    <t>INT</t>
  </si>
  <si>
    <t>nuevo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</si>
</sst>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Border="1"/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</cellXfs>
  <cellStyles count="1">
    <cellStyle name="Normal" xfId="0" builtinId="0"/>
  </cellStyles>
  <dxfs count="1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numFmt numFmtId="19" formatCode="dd/mm/yyyy"/>
      <alignment horizontal="center" vertical="bottom" textRotation="0" wrapText="0" indent="0" relativeIndent="255" justifyLastLine="0" shrinkToFit="0" mergeCell="0" readingOrder="0"/>
    </dxf>
    <dxf>
      <numFmt numFmtId="0" formatCode="General"/>
    </dxf>
    <dxf>
      <alignment horizontal="center" vertical="center" textRotation="0" wrapText="1" indent="0" relativeIndent="255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_Calendarios_Estacionalidad" displayName="Tabla_Calendarios_Estacionalidad" ref="A1:L3" totalsRowShown="0" headerRowDxfId="14">
  <autoFilter ref="A1:L3">
    <filterColumn colId="0"/>
    <filterColumn colId="1"/>
    <filterColumn colId="5"/>
    <filterColumn colId="6"/>
    <filterColumn colId="7"/>
    <filterColumn colId="8"/>
    <filterColumn colId="9"/>
    <filterColumn colId="10"/>
    <filterColumn colId="11"/>
  </autoFilter>
  <tableColumns count="12">
    <tableColumn id="6" name="CALENDARIO" dataDxfId="13"/>
    <tableColumn id="7" name="TIPO" dataDxfId="12"/>
    <tableColumn id="1" name="INICIO" dataDxfId="11"/>
    <tableColumn id="2" name="PICO" dataDxfId="10"/>
    <tableColumn id="3" name="DECLIVE" dataDxfId="9"/>
    <tableColumn id="4" name="NORMAL" dataDxfId="8"/>
    <tableColumn id="5" name="% CAMBIO" dataDxfId="7"/>
    <tableColumn id="8" name="NUM SUBIDAS" dataDxfId="6"/>
    <tableColumn id="9" name="NUM BAJADAS" dataDxfId="5"/>
    <tableColumn id="10" name="Ult Semana" dataDxfId="4">
      <calculatedColumnFormula>WEEKNUM("31/12/"&amp;YEAR(TODAY())-1,2)</calculatedColumnFormula>
    </tableColumn>
    <tableColumn id="11" name="Max Num Subidas" dataDxfId="3">
      <calculatedColumnFormula>IF(Tabla_Calendarios_Estacionalidad[[#This Row],[PICO]]&gt;=Tabla_Calendarios_Estacionalidad[[#This Row],[INICIO]],Tabla_Calendarios_Estacionalidad[[#This Row],[PICO]]-Tabla_Calendarios_Estacionalidad[[#This Row],[INICIO]],Tabla_Calendarios_Estacionalidad[[#This Row],[Ult Semana]]-ABS(Tabla_Calendarios_Estacionalidad[[#This Row],[PICO]]-Tabla_Calendarios_Estacionalidad[[#This Row],[INICIO]]))+1</calculatedColumnFormula>
    </tableColumn>
    <tableColumn id="12" name="Max Num Bajadas" dataDxfId="2">
      <calculatedColumnFormula>IF(Tabla_Calendarios_Estacionalidad[[#This Row],[NORMAL]]&gt;=Tabla_Calendarios_Estacionalidad[[#This Row],[DECLIVE]],Tabla_Calendarios_Estacionalidad[[#This Row],[NORMAL]]-Tabla_Calendarios_Estacionalidad[[#This Row],[DECLIVE]],Tabla_Calendarios_Estacionalidad[[#This Row],[Ult Semana]]-ABS(Tabla_Calendarios_Estacionalidad[[#This Row],[NORMAL]]-Tabla_Calendarios_Estacionalidad[[#This Row],[DECLIVE]]))+1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L3"/>
  <sheetViews>
    <sheetView showGridLines="0" tabSelected="1" zoomScale="90" zoomScaleNormal="90" workbookViewId="0">
      <selection activeCell="A4" sqref="A4"/>
    </sheetView>
  </sheetViews>
  <sheetFormatPr baseColWidth="10" defaultRowHeight="15"/>
  <cols>
    <col min="1" max="1" width="28.42578125" bestFit="1" customWidth="1"/>
    <col min="2" max="2" width="7.7109375" customWidth="1"/>
    <col min="3" max="3" width="11.5703125" bestFit="1" customWidth="1"/>
    <col min="4" max="4" width="9.28515625" customWidth="1"/>
    <col min="5" max="6" width="10.28515625" customWidth="1"/>
    <col min="7" max="7" width="10.140625" customWidth="1"/>
    <col min="10" max="12" width="11.42578125" hidden="1" customWidth="1"/>
  </cols>
  <sheetData>
    <row r="1" spans="1:12" ht="50.25" customHeight="1">
      <c r="A1" s="4" t="s">
        <v>6</v>
      </c>
      <c r="B1" s="4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4" t="s">
        <v>7</v>
      </c>
      <c r="I1" s="4" t="s">
        <v>8</v>
      </c>
      <c r="J1" s="8" t="s">
        <v>9</v>
      </c>
      <c r="K1" s="8" t="s">
        <v>11</v>
      </c>
      <c r="L1" s="8" t="s">
        <v>10</v>
      </c>
    </row>
    <row r="2" spans="1:12">
      <c r="A2" s="1" t="s">
        <v>12</v>
      </c>
      <c r="B2" s="5" t="s">
        <v>13</v>
      </c>
      <c r="C2" s="2">
        <v>14</v>
      </c>
      <c r="D2" s="2">
        <v>17</v>
      </c>
      <c r="E2" s="2">
        <v>21</v>
      </c>
      <c r="F2" s="2">
        <v>26</v>
      </c>
      <c r="G2" s="3">
        <v>0.4</v>
      </c>
      <c r="H2" s="7">
        <v>1</v>
      </c>
      <c r="I2" s="9">
        <v>1</v>
      </c>
      <c r="J2" s="2">
        <f t="shared" ref="J2" ca="1" si="0">WEEKNUM("31/12/"&amp;YEAR(TODAY())-1,2)</f>
        <v>53</v>
      </c>
      <c r="K2" s="2">
        <f>IF(Tabla_Calendarios_Estacionalidad[[#This Row],[PICO]]&gt;=Tabla_Calendarios_Estacionalidad[[#This Row],[INICIO]],Tabla_Calendarios_Estacionalidad[[#This Row],[PICO]]-Tabla_Calendarios_Estacionalidad[[#This Row],[INICIO]],Tabla_Calendarios_Estacionalidad[[#This Row],[Ult Semana]]-ABS(Tabla_Calendarios_Estacionalidad[[#This Row],[PICO]]-Tabla_Calendarios_Estacionalidad[[#This Row],[INICIO]]))+1</f>
        <v>4</v>
      </c>
      <c r="L2" s="2">
        <f>IF(Tabla_Calendarios_Estacionalidad[[#This Row],[NORMAL]]&gt;=Tabla_Calendarios_Estacionalidad[[#This Row],[DECLIVE]],Tabla_Calendarios_Estacionalidad[[#This Row],[NORMAL]]-Tabla_Calendarios_Estacionalidad[[#This Row],[DECLIVE]],Tabla_Calendarios_Estacionalidad[[#This Row],[Ult Semana]]-ABS(Tabla_Calendarios_Estacionalidad[[#This Row],[NORMAL]]-Tabla_Calendarios_Estacionalidad[[#This Row],[DECLIVE]]))+1</f>
        <v>6</v>
      </c>
    </row>
    <row r="3" spans="1:12">
      <c r="A3" s="10" t="s">
        <v>14</v>
      </c>
      <c r="B3" s="11"/>
      <c r="C3" s="12"/>
      <c r="D3" s="12"/>
      <c r="E3" s="12"/>
      <c r="F3" s="12"/>
      <c r="G3" s="12"/>
      <c r="H3" s="12"/>
      <c r="I3" s="13"/>
      <c r="J3" s="14">
        <f ca="1">WEEKNUM("31/12/"&amp;YEAR(TODAY())-1,2)</f>
        <v>53</v>
      </c>
      <c r="K3" s="14">
        <f>IF(Tabla_Calendarios_Estacionalidad[[#This Row],[PICO]]&gt;=Tabla_Calendarios_Estacionalidad[[#This Row],[INICIO]],Tabla_Calendarios_Estacionalidad[[#This Row],[PICO]]-Tabla_Calendarios_Estacionalidad[[#This Row],[INICIO]],Tabla_Calendarios_Estacionalidad[[#This Row],[Ult Semana]]-ABS(Tabla_Calendarios_Estacionalidad[[#This Row],[PICO]]-Tabla_Calendarios_Estacionalidad[[#This Row],[INICIO]]))+1</f>
        <v>1</v>
      </c>
      <c r="L3" s="14">
        <f>IF(Tabla_Calendarios_Estacionalidad[[#This Row],[NORMAL]]&gt;=Tabla_Calendarios_Estacionalidad[[#This Row],[DECLIVE]],Tabla_Calendarios_Estacionalidad[[#This Row],[NORMAL]]-Tabla_Calendarios_Estacionalidad[[#This Row],[DECLIVE]],Tabla_Calendarios_Estacionalidad[[#This Row],[Ult Semana]]-ABS(Tabla_Calendarios_Estacionalidad[[#This Row],[NORMAL]]-Tabla_Calendarios_Estacionalidad[[#This Row],[DECLIVE]]))+1</f>
        <v>1</v>
      </c>
    </row>
  </sheetData>
  <conditionalFormatting sqref="H2:I3">
    <cfRule type="expression" dxfId="16" priority="2">
      <formula>H2&gt;K2</formula>
    </cfRule>
  </conditionalFormatting>
  <conditionalFormatting sqref="A2:A3">
    <cfRule type="duplicateValues" dxfId="15" priority="10"/>
  </conditionalFormatting>
  <dataValidations count="1">
    <dataValidation type="list" allowBlank="1" showInputMessage="1" showErrorMessage="1" sqref="B2:B3">
      <formula1>"INT,EXT"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ESTACIONALIDAD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dcterms:created xsi:type="dcterms:W3CDTF">2011-08-27T04:46:51Z</dcterms:created>
  <dcterms:modified xsi:type="dcterms:W3CDTF">2014-01-07T05:26:16Z</dcterms:modified>
</cp:coreProperties>
</file>